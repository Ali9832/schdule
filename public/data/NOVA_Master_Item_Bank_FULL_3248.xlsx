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c59996b52f49c8" /></Relationships>
</file>

<file path=xl/workbook.xml><?xml version="1.0" encoding="utf-8"?>
<x:workbook xmlns:x="http://schemas.openxmlformats.org/spreadsheetml/2006/main">
  <x:sheets>
    <x:sheet xmlns:r="http://schemas.openxmlformats.org/officeDocument/2006/relationships" name="00-مرکز کنترل" sheetId="1" r:id="R3d335ae632b745ce"/>
    <x:sheet xmlns:r="http://schemas.openxmlformats.org/officeDocument/2006/relationships" name="01-همه آیتم‌ها" sheetId="2" r:id="Rc956bcc032304c55"/>
    <x:sheet xmlns:r="http://schemas.openxmlformats.org/officeDocument/2006/relationships" name="02-تمرکز اولویت‌ها" sheetId="3" r:id="R5c209ca39c7446f6"/>
    <x:sheet xmlns:r="http://schemas.openxmlformats.org/officeDocument/2006/relationships" name="03-جستجو" sheetId="4" r:id="R1edc4f5801844146"/>
    <x:sheet xmlns:r="http://schemas.openxmlformats.org/officeDocument/2006/relationships" name="04-ساختارهای ویژه" sheetId="5" r:id="R3a92ea2ac629417c"/>
    <x:sheet xmlns:r="http://schemas.openxmlformats.org/officeDocument/2006/relationships" name="05-ممیزی و ردیابی" sheetId="6" r:id="R5a5ec116a24d4ab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4">
    <x:font>
      <x:sz val="11"/>
      <x:name val="Carlito"/>
    </x:font>
    <x:font>
      <x:b/>
      <x:sz val="11"/>
      <x:color rgb="FFFFFFFF"/>
      <x:name val="Carlito"/>
    </x:font>
    <x:font>
      <x:b/>
      <x:sz val="11"/>
      <x:color rgb="FF17365D"/>
      <x:name val="Carlito"/>
    </x:font>
    <x:font>
      <x:b/>
      <x:sz val="11"/>
      <x:color rgb="FF7F6000"/>
      <x:name val="Carlito"/>
    </x:font>
  </x:fonts>
  <x:fills count="7">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D9EAF7"/>
      </x:patternFill>
    </x:fill>
    <x:fill>
      <x:patternFill patternType="solid">
        <x:fgColor rgb="FFFFF8E1"/>
      </x:patternFill>
    </x:fill>
  </x:fills>
  <x:borders count="2">
    <x:border/>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right" wrapText="1"/>
    </x:xf>
    <x:xf numFmtId="0" fontId="2" fillId="3" borderId="1" xfId="0" applyNumberFormat="1" applyFont="1" applyFill="1" applyBorder="1" applyAlignment="1">
      <x:alignment horizontal="righ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0" fillId="0"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right" wrapText="1"/>
    </x:xf>
    <x:xf numFmtId="0" fontId="0" fillId="0" borderId="0" xfId="0" applyNumberFormat="1" applyFont="1" applyFill="1" applyBorder="1" applyAlignment="1">
      <x:alignment horizontal="right" vertical="center" wrapText="1"/>
    </x:xf>
    <x:xf numFmtId="0" fontId="0" fillId="0" borderId="1" xfId="0" applyNumberFormat="1" applyFont="1" applyFill="1" applyBorder="1" applyAlignment="1">
      <x:alignment horizontal="right" wrapText="1"/>
    </x:xf>
    <x:xf numFmtId="0" fontId="0" fillId="0" borderId="1" xfId="0" applyNumberFormat="1" applyFont="1" applyFill="1" applyBorder="1" applyAlignment="1">
      <x:alignment horizontal="right"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right" wrapText="1"/>
    </x:xf>
    <x:xf numFmtId="0" fontId="2" fillId="5" borderId="0" xfId="0" applyNumberFormat="1" applyFont="1" applyFill="1" applyBorder="1" applyAlignment="1">
      <x:alignment horizontal="right" vertic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right" wrapText="1"/>
    </x:xf>
    <x:xf numFmtId="0" fontId="2" fillId="5" borderId="1" xfId="0" applyNumberFormat="1" applyFont="1" applyFill="1" applyBorder="1" applyAlignment="1">
      <x:alignment horizontal="right" vertical="center" wrapText="1"/>
    </x:xf>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0" xfId="0" applyNumberFormat="1" applyFont="1" applyFill="1" applyBorder="1" applyAlignment="1">
      <x:alignment horizontal="center" vertic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2" fillId="0" borderId="1" xfId="0" applyNumberFormat="1" applyFont="1" applyFill="1" applyBorder="1" applyAlignment="1">
      <x:alignment horizontal="center" vertical="center"/>
    </x:xf>
    <x:xf numFmtId="200" fontId="2" fillId="0" borderId="0" xfId="0" applyNumberFormat="1" applyFont="1" applyFill="1" applyBorder="1" applyAlignment="1">
      <x:alignment horizontal="center" vertical="center"/>
    </x:xf>
    <x:xf numFmtId="200" fontId="2" fillId="0" borderId="1" xfId="0" applyNumberFormat="1" applyFont="1" applyFill="1" applyBorder="1" applyAlignment="1">
      <x:alignment horizontal="center" vertical="center"/>
    </x:xf>
    <x:xf numFmtId="200" fontId="0" fillId="0" borderId="0"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right" wrapText="1"/>
    </x:xf>
    <x:xf numFmtId="0" fontId="3" fillId="6" borderId="0" xfId="0" applyNumberFormat="1" applyFont="1" applyFill="1" applyBorder="1" applyAlignment="1">
      <x:alignment horizontal="right"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right" wrapText="1"/>
    </x:xf>
    <x:xf numFmtId="0" fontId="3" fillId="6" borderId="1" xfId="0" applyNumberFormat="1" applyFont="1" applyFill="1" applyBorder="1" applyAlignment="1">
      <x:alignment horizontal="right" vertical="center" wrapText="1"/>
    </x:xf>
    <x:xf numFmtId="0" fontId="0" fillId="0" borderId="0" xfId="0" applyNumberFormat="1" applyFont="1" applyFill="1" applyBorder="1"/>
    <x:xf numFmtId="201" fontId="0" fillId="0" borderId="0" xfId="0" applyNumberFormat="1" applyFont="1" applyFill="1" applyBorder="1" applyAlignment="1">
      <x:alignment horizontal="right" vertical="center" wrapText="1"/>
    </x:xf>
  </x:cellXfs>
  <x:cellStyles count="1">
    <x:cellStyle name="Normal" xfId="0"/>
  </x:cellStyles>
  <x:dxfs count="3">
    <x:dxf>
      <x:font>
        <x:color rgb="FF006100"/>
      </x:font>
      <x:fill>
        <x:patternFill>
          <x:bgColor rgb="FFE2F0D9"/>
        </x:patternFill>
      </x:fill>
    </x:dxf>
    <x:dxf>
      <x:font>
        <x:color rgb="FF006100"/>
      </x:font>
      <x:fill>
        <x:patternFill>
          <x:bgColor rgb="FFE2F0D9"/>
        </x:patternFill>
      </x:fill>
    </x:dxf>
    <x:dxf>
      <x:font>
        <x:color rgb="FF006100"/>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b5f4e979f334924" /><Relationship Type="http://schemas.openxmlformats.org/officeDocument/2006/relationships/theme" Target="/xl/theme/theme1.xml" Id="R7b11dee7a6804848" /><Relationship Type="http://schemas.openxmlformats.org/officeDocument/2006/relationships/sharedStrings" Target="/xl/sharedStrings.xml" Id="R6da61f788ded49bd" /><Relationship Type="http://schemas.openxmlformats.org/officeDocument/2006/relationships/worksheet" Target="/xl/worksheets/sheet1.xml" Id="R3d335ae632b745ce" /><Relationship Type="http://schemas.openxmlformats.org/officeDocument/2006/relationships/worksheet" Target="/xl/worksheets/sheet2.xml" Id="Rc956bcc032304c55" /><Relationship Type="http://schemas.openxmlformats.org/officeDocument/2006/relationships/worksheet" Target="/xl/worksheets/sheet3.xml" Id="R5c209ca39c7446f6" /><Relationship Type="http://schemas.openxmlformats.org/officeDocument/2006/relationships/worksheet" Target="/xl/worksheets/sheet4.xml" Id="R1edc4f5801844146" /><Relationship Type="http://schemas.openxmlformats.org/officeDocument/2006/relationships/worksheet" Target="/xl/worksheets/sheet5.xml" Id="R3a92ea2ac629417c" /><Relationship Type="http://schemas.openxmlformats.org/officeDocument/2006/relationships/worksheet" Target="/xl/worksheets/sheet6.xml" Id="R5a5ec116a24d4ab5" /></Relationships>
</file>

<file path=xl/tables/table1.xml><?xml version="1.0" encoding="utf-8"?>
<x:table xmlns:x="http://schemas.openxmlformats.org/spreadsheetml/2006/main" id="1" name="AllItems" displayName="AllItems" ref="A3:N3251" headerRowCount="1" totalsRowCount="0" totalsRowShown="0">
  <x:tableColumns count="14">
    <x:tableColumn id="1" name="وضعیت"/>
    <x:tableColumn id="2" name="ID"/>
    <x:tableColumn id="3" name="حوزه مادر"/>
    <x:tableColumn id="4" name="دسته H"/>
    <x:tableColumn id="5" name="عنوان دسته"/>
    <x:tableColumn id="6" name="اولویت"/>
    <x:tableColumn id="7" name="نوع"/>
    <x:tableColumn id="8" name="عنوان/متن یکتا"/>
    <x:tableColumn id="9" name="تصمیم تیم"/>
    <x:tableColumn id="10" name="مالک تخصصی"/>
    <x:tableColumn id="11" name="برچسب تخصصی"/>
    <x:tableColumn id="12" name="منابع خام"/>
    <x:tableColumn id="13" name="یادداشت / اقدام بعدی"/>
    <x:tableColumn id="14" name="منبع ثبت"/>
  </x:tableColumns>
  <x:tableStyleInfo name="TableStyleMedium2" showFirstColumn="0" showLastColumn="0" showRowStripes="1" showColumnStripes="0"/>
</x:table>
</file>

<file path=xl/tables/table2.xml><?xml version="1.0" encoding="utf-8"?>
<x:table xmlns:x="http://schemas.openxmlformats.org/spreadsheetml/2006/main" id="2" name="FocusTable" displayName="FocusTable" ref="A6:J225" headerRowCount="1" totalsRowCount="0" totalsRowShown="0">
  <x:tableColumns count="10">
    <x:tableColumn id="1" name="وضعیت"/>
    <x:tableColumn id="2" name="ID"/>
    <x:tableColumn id="3" name="اولویت"/>
    <x:tableColumn id="4" name="حوزه مادر"/>
    <x:tableColumn id="5" name="H"/>
    <x:tableColumn id="6" name="عنوان دسته"/>
    <x:tableColumn id="7" name="آیتم"/>
    <x:tableColumn id="8" name="تصمیم تیم"/>
    <x:tableColumn id="9" name="یادداشت"/>
    <x:tableColumn id="10" name="باز کردن"/>
  </x:tableColumns>
  <x:tableStyleInfo name="TableStyleMedium2" showFirstColumn="0" showLastColumn="0" showRowStripes="1" showColumnStripes="0"/>
</x:table>
</file>

<file path=xl/tables/table3.xml><?xml version="1.0" encoding="utf-8"?>
<x:table xmlns:x="http://schemas.openxmlformats.org/spreadsheetml/2006/main" id="3" name="AuditTable" displayName="AuditTable" ref="A28:O2810" headerRowCount="1" totalsRowCount="0" totalsRowShown="0">
  <x:tableColumns count="15">
    <x:tableColumn id="1" name="بازبینی"/>
    <x:tableColumn id="2" name="شناسه"/>
    <x:tableColumn id="3" name="متن خام"/>
    <x:tableColumn id="4" name="وضعیت تطبیق"/>
    <x:tableColumn id="5" name="شباهت"/>
    <x:tableColumn id="6" name="ID پایه"/>
    <x:tableColumn id="7" name="عنوان پایه"/>
    <x:tableColumn id="8" name="H پایه"/>
    <x:tableColumn id="9" name="اولویت پایه"/>
    <x:tableColumn id="10" name="طبقه نهایی"/>
    <x:tableColumn id="11" name="نوع ثبت"/>
    <x:tableColumn id="12" name="ID نهایی"/>
    <x:tableColumn id="13" name="عنوان نهایی"/>
    <x:tableColumn id="14" name="منابع/موقعیت‌ها"/>
    <x:tableColumn id="15" name="یادداشت ممیز"/>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93daab8d5e457f" /></Relationships>
</file>

<file path=xl/worksheets/_rels/sheet3.xml.rels>&#65279;<?xml version="1.0" encoding="utf-8"?><Relationships xmlns="http://schemas.openxmlformats.org/package/2006/relationships"><Relationship Type="http://schemas.openxmlformats.org/officeDocument/2006/relationships/table" Target="/xl/tables/table2.xml" Id="R6f3c1601ef284ccf" /></Relationships>
</file>

<file path=xl/worksheets/_rels/sheet6.xml.rels>&#65279;<?xml version="1.0" encoding="utf-8"?><Relationships xmlns="http://schemas.openxmlformats.org/package/2006/relationships"><Relationship Type="http://schemas.openxmlformats.org/officeDocument/2006/relationships/table" Target="/xl/tables/table3.xml" Id="Rd5f38a0e20b644ef" /></Relationships>
</file>

<file path=xl/worksheets/sheet1.xml><?xml version="1.0" encoding="utf-8"?>
<x:worksheet xmlns:x="http://schemas.openxmlformats.org/spreadsheetml/2006/main">
  <x:sheetFormatPr defaultRowHeight="15"/>
  <x:cols>
    <x:col min="1" max="1" width="8" hidden="0" customWidth="1"/>
    <x:col min="2" max="2" width="38" hidden="0" customWidth="1"/>
    <x:col min="3" max="3" width="10" hidden="0" customWidth="1"/>
    <x:col min="4" max="4" width="10" hidden="0" customWidth="1"/>
    <x:col min="5" max="5" width="10" hidden="0" customWidth="1"/>
    <x:col min="6" max="6" width="12" hidden="0" customWidth="1"/>
    <x:col min="8" max="8" width="8" hidden="0" customWidth="1"/>
    <x:col min="9" max="9" width="9" hidden="0" customWidth="1"/>
    <x:col min="10" max="10" width="32" hidden="0" customWidth="1"/>
    <x:col min="11" max="11" width="10" hidden="0" customWidth="1"/>
    <x:col min="12" max="12" width="10" hidden="0" customWidth="1"/>
    <x:col min="13" max="13" width="12" hidden="0" customWidth="1"/>
  </x:cols>
  <x:sheetData>
    <x:row r="1">
      <x:c r="A1" s="6" t="str">
        <x:v>مرکز کنترل — فایل متمرکز ۶ شیتی</x:v>
      </x:c>
      <x:c r="B1" s="6"/>
      <x:c r="C1" s="6"/>
      <x:c r="D1" s="6"/>
      <x:c r="E1" s="6"/>
      <x:c r="F1" s="6"/>
      <x:c r="G1" s="6"/>
      <x:c r="H1" s="6"/>
      <x:c r="I1" s="6"/>
      <x:c r="J1" s="6"/>
      <x:c r="K1" s="6"/>
      <x:c r="L1" s="6"/>
      <x:c r="M1" s="6"/>
    </x:row>
    <x:row r="2">
      <x:c r="A2" s="46" t="str">
        <x:v>برای کار روزمره فقط از «01-همه آیتم‌ها»، «02-تمرکز اولویت‌ها» و «03-جستجو» استفاده کنید. ساختارهای تحلیلی و ممیزی در دو شیت آخر تجمیع شده‌اند.</x:v>
      </x:c>
      <x:c r="B2" s="46"/>
      <x:c r="C2" s="46"/>
      <x:c r="D2" s="46"/>
      <x:c r="E2" s="46"/>
      <x:c r="F2" s="46"/>
      <x:c r="G2" s="46"/>
      <x:c r="H2" s="46"/>
      <x:c r="I2" s="46"/>
      <x:c r="J2" s="46"/>
      <x:c r="K2" s="46"/>
      <x:c r="L2" s="46"/>
      <x:c r="M2" s="46"/>
    </x:row>
    <x:row r="4">
      <x:c r="A4" s="53" t="str">
        <x:v>کل آیتم‌ها</x:v>
      </x:c>
      <x:c r="B4" s="58" t="n">
        <x:v>3248</x:v>
      </x:c>
      <x:c r="C4" s="53" t="str">
        <x:v>تکمیل‌شده</x:v>
      </x:c>
      <x:c r="D4" s="58" t="n">
        <x:f>COUNTIF('01-همه آیتم‌ها'!$A$4:$A$3251,"☑")</x:f>
        <x:v>0</x:v>
      </x:c>
      <x:c r="E4" s="53" t="str">
        <x:v>باقی‌مانده</x:v>
      </x:c>
      <x:c r="F4" s="58" t="n">
        <x:f>B4-D4</x:f>
        <x:v>3248</x:v>
      </x:c>
      <x:c r="G4" s="53" t="str">
        <x:v>پیشرفت کل</x:v>
      </x:c>
      <x:c r="H4" s="62" t="n">
        <x:f>IF(B4=0,0,D4/B4)</x:f>
        <x:v>0</x:v>
      </x:c>
    </x:row>
    <x:row r="7">
      <x:c r="A7" s="26" t="str">
        <x:v>وضعیت</x:v>
      </x:c>
      <x:c r="B7" s="26" t="str">
        <x:v>حوزه مادر</x:v>
      </x:c>
      <x:c r="C7" s="26" t="str">
        <x:v>کل</x:v>
      </x:c>
      <x:c r="D7" s="26" t="str">
        <x:v>تکمیل</x:v>
      </x:c>
      <x:c r="E7" s="26" t="str">
        <x:v>باقی</x:v>
      </x:c>
      <x:c r="F7" s="26" t="str">
        <x:v>پیشرفت</x:v>
      </x:c>
      <x:c r="H7" s="26" t="str">
        <x:v>وضعیت</x:v>
      </x:c>
      <x:c r="I7" s="26" t="str">
        <x:v>H</x:v>
      </x:c>
      <x:c r="J7" s="26" t="str">
        <x:v>عنوان دسته</x:v>
      </x:c>
      <x:c r="K7" s="26" t="str">
        <x:v>کل</x:v>
      </x:c>
      <x:c r="L7" s="26" t="str">
        <x:v>تکمیل</x:v>
      </x:c>
      <x:c r="M7" s="26" t="str">
        <x:v>پیشرفت</x:v>
      </x:c>
    </x:row>
    <x:row r="8">
      <x:c r="A8" s="34" t="str">
        <x:f>IF(D8=C8,"☑","☐")</x:f>
        <x:v>☐</x:v>
      </x:c>
      <x:c r="B8" s="39" t="str">
        <x:v>M1 — فرد، پایه‌های عملکرد و خودشناسی</x:v>
      </x:c>
      <x:c r="C8" s="34" t="n">
        <x:f>COUNTIF('01-همه آیتم‌ها'!$C$4:$C$3251,B8)</x:f>
        <x:v>260</x:v>
      </x:c>
      <x:c r="D8" s="34" t="n">
        <x:f>COUNTIFS('01-همه آیتم‌ها'!$C$4:$C$3251,B8,'01-همه آیتم‌ها'!$A$4:$A$3251,"☑")</x:f>
        <x:v>0</x:v>
      </x:c>
      <x:c r="E8" s="34" t="n">
        <x:f>C8-D8</x:f>
        <x:v>260</x:v>
      </x:c>
      <x:c r="F8" s="64" t="n">
        <x:f>IF(C8=0,0,D8/C8)</x:f>
        <x:v>0</x:v>
      </x:c>
      <x:c r="H8" s="34" t="str">
        <x:f>IF(L8=K8,"☑","☐")</x:f>
        <x:v>☐</x:v>
      </x:c>
      <x:c r="I8" s="34" t="str">
        <x:v>H1</x:v>
      </x:c>
      <x:c r="J8" s="39" t="str">
        <x:v>پایه‌های زندگی و خودمدیریتی</x:v>
      </x:c>
      <x:c r="K8" s="34" t="n">
        <x:f>COUNTIF('01-همه آیتم‌ها'!$D$4:$D$3251,I8)</x:f>
        <x:v>130</x:v>
      </x:c>
      <x:c r="L8" s="34" t="n">
        <x:f>COUNTIFS('01-همه آیتم‌ها'!$D$4:$D$3251,I8,'01-همه آیتم‌ها'!$A$4:$A$3251,"☑")</x:f>
        <x:v>0</x:v>
      </x:c>
      <x:c r="M8" s="64" t="n">
        <x:f>IF(K8=0,0,L8/K8)</x:f>
        <x:v>0</x:v>
      </x:c>
    </x:row>
    <x:row r="9">
      <x:c r="A9" s="34" t="str">
        <x:f>IF(D9=C9,"☑","☐")</x:f>
        <x:v>☐</x:v>
      </x:c>
      <x:c r="B9" s="39" t="str">
        <x:v>M2 — تحصیل، مسیر شغلی و توانمندی حرفه‌ای</x:v>
      </x:c>
      <x:c r="C9" s="34" t="n">
        <x:f>COUNTIF('01-همه آیتم‌ها'!$C$4:$C$3251,B9)</x:f>
        <x:v>199</x:v>
      </x:c>
      <x:c r="D9" s="34" t="n">
        <x:f>COUNTIFS('01-همه آیتم‌ها'!$C$4:$C$3251,B9,'01-همه آیتم‌ها'!$A$4:$A$3251,"☑")</x:f>
        <x:v>0</x:v>
      </x:c>
      <x:c r="E9" s="34" t="n">
        <x:f>C9-D9</x:f>
        <x:v>199</x:v>
      </x:c>
      <x:c r="F9" s="64" t="n">
        <x:f>IF(C9=0,0,D9/C9)</x:f>
        <x:v>0</x:v>
      </x:c>
      <x:c r="H9" s="34" t="str">
        <x:f>IF(L9=K9,"☑","☐")</x:f>
        <x:v>☐</x:v>
      </x:c>
      <x:c r="I9" s="34" t="str">
        <x:v>H2</x:v>
      </x:c>
      <x:c r="J9" s="39" t="str">
        <x:v>تحصیل، دانشگاه، تدریس و مدارک</x:v>
      </x:c>
      <x:c r="K9" s="34" t="n">
        <x:f>COUNTIF('01-همه آیتم‌ها'!$D$4:$D$3251,I9)</x:f>
        <x:v>15</x:v>
      </x:c>
      <x:c r="L9" s="34" t="n">
        <x:f>COUNTIFS('01-همه آیتم‌ها'!$D$4:$D$3251,I9,'01-همه آیتم‌ها'!$A$4:$A$3251,"☑")</x:f>
        <x:v>0</x:v>
      </x:c>
      <x:c r="M9" s="64" t="n">
        <x:f>IF(K9=0,0,L9/K9)</x:f>
        <x:v>0</x:v>
      </x:c>
    </x:row>
    <x:row r="10">
      <x:c r="A10" s="34" t="str">
        <x:f>IF(D10=C10,"☑","☐")</x:f>
        <x:v>☐</x:v>
      </x:c>
      <x:c r="B10" s="39" t="str">
        <x:v>M3 — کسب‌وکار، شبکه و زیست‌بوم نوآوری</x:v>
      </x:c>
      <x:c r="C10" s="34" t="n">
        <x:f>COUNTIF('01-همه آیتم‌ها'!$C$4:$C$3251,B10)</x:f>
        <x:v>702</x:v>
      </x:c>
      <x:c r="D10" s="34" t="n">
        <x:f>COUNTIFS('01-همه آیتم‌ها'!$C$4:$C$3251,B10,'01-همه آیتم‌ها'!$A$4:$A$3251,"☑")</x:f>
        <x:v>0</x:v>
      </x:c>
      <x:c r="E10" s="34" t="n">
        <x:f>C10-D10</x:f>
        <x:v>702</x:v>
      </x:c>
      <x:c r="F10" s="64" t="n">
        <x:f>IF(C10=0,0,D10/C10)</x:f>
        <x:v>0</x:v>
      </x:c>
      <x:c r="H10" s="34" t="str">
        <x:f>IF(L10=K10,"☑","☐")</x:f>
        <x:v>☐</x:v>
      </x:c>
      <x:c r="I10" s="34" t="str">
        <x:v>H3</x:v>
      </x:c>
      <x:c r="J10" s="39" t="str">
        <x:v>مسیر شغلی، رزومه و تجربه حرفه‌ای</x:v>
      </x:c>
      <x:c r="K10" s="34" t="n">
        <x:f>COUNTIF('01-همه آیتم‌ها'!$D$4:$D$3251,I10)</x:f>
        <x:v>30</x:v>
      </x:c>
      <x:c r="L10" s="34" t="n">
        <x:f>COUNTIFS('01-همه آیتم‌ها'!$D$4:$D$3251,I10,'01-همه آیتم‌ها'!$A$4:$A$3251,"☑")</x:f>
        <x:v>0</x:v>
      </x:c>
      <x:c r="M10" s="64" t="n">
        <x:f>IF(K10=0,0,L10/K10)</x:f>
        <x:v>0</x:v>
      </x:c>
    </x:row>
    <x:row r="11">
      <x:c r="A11" s="34" t="str">
        <x:f>IF(D11=C11,"☑","☐")</x:f>
        <x:v>☐</x:v>
      </x:c>
      <x:c r="B11" s="39" t="str">
        <x:v>M4 — اجرا، دانشگاه، صنعت و پروژه‌های اجتماعی</x:v>
      </x:c>
      <x:c r="C11" s="34" t="n">
        <x:f>COUNTIF('01-همه آیتم‌ها'!$C$4:$C$3251,B11)</x:f>
        <x:v>844</x:v>
      </x:c>
      <x:c r="D11" s="34" t="n">
        <x:f>COUNTIFS('01-همه آیتم‌ها'!$C$4:$C$3251,B11,'01-همه آیتم‌ها'!$A$4:$A$3251,"☑")</x:f>
        <x:v>0</x:v>
      </x:c>
      <x:c r="E11" s="34" t="n">
        <x:f>C11-D11</x:f>
        <x:v>844</x:v>
      </x:c>
      <x:c r="F11" s="64" t="n">
        <x:f>IF(C11=0,0,D11/C11)</x:f>
        <x:v>0</x:v>
      </x:c>
      <x:c r="H11" s="34" t="str">
        <x:f>IF(L11=K11,"☑","☐")</x:f>
        <x:v>☐</x:v>
      </x:c>
      <x:c r="I11" s="34" t="str">
        <x:v>H4</x:v>
      </x:c>
      <x:c r="J11" s="39" t="str">
        <x:v>رهبری، ارتباطات و مهارت‌های نرم</x:v>
      </x:c>
      <x:c r="K11" s="34" t="n">
        <x:f>COUNTIF('01-همه آیتم‌ها'!$D$4:$D$3251,I11)</x:f>
        <x:v>46</x:v>
      </x:c>
      <x:c r="L11" s="34" t="n">
        <x:f>COUNTIFS('01-همه آیتم‌ها'!$D$4:$D$3251,I11,'01-همه آیتم‌ها'!$A$4:$A$3251,"☑")</x:f>
        <x:v>0</x:v>
      </x:c>
      <x:c r="M11" s="64" t="n">
        <x:f>IF(K11=0,0,L11/K11)</x:f>
        <x:v>0</x:v>
      </x:c>
    </x:row>
    <x:row r="12">
      <x:c r="A12" s="34" t="str">
        <x:f>IF(D12=C12,"☑","☐")</x:f>
        <x:v>☐</x:v>
      </x:c>
      <x:c r="B12" s="39" t="str">
        <x:v>M5 — دانش، فرهنگ، حکمرانی و بانک مطالعاتی</x:v>
      </x:c>
      <x:c r="C12" s="34" t="n">
        <x:f>COUNTIF('01-همه آیتم‌ها'!$C$4:$C$3251,B12)</x:f>
        <x:v>427</x:v>
      </x:c>
      <x:c r="D12" s="34" t="n">
        <x:f>COUNTIFS('01-همه آیتم‌ها'!$C$4:$C$3251,B12,'01-همه آیتم‌ها'!$A$4:$A$3251,"☑")</x:f>
        <x:v>0</x:v>
      </x:c>
      <x:c r="E12" s="34" t="n">
        <x:f>C12-D12</x:f>
        <x:v>427</x:v>
      </x:c>
      <x:c r="F12" s="64" t="n">
        <x:f>IF(C12=0,0,D12/C12)</x:f>
        <x:v>0</x:v>
      </x:c>
      <x:c r="H12" s="34" t="str">
        <x:f>IF(L12=K12,"☑","☐")</x:f>
        <x:v>☐</x:v>
      </x:c>
      <x:c r="I12" s="34" t="str">
        <x:v>H5</x:v>
      </x:c>
      <x:c r="J12" s="39" t="str">
        <x:v>زبان‌ها و ارتباط بین‌الملل</x:v>
      </x:c>
      <x:c r="K12" s="34" t="n">
        <x:f>COUNTIF('01-همه آیتم‌ها'!$D$4:$D$3251,I12)</x:f>
        <x:v>5</x:v>
      </x:c>
      <x:c r="L12" s="34" t="n">
        <x:f>COUNTIFS('01-همه آیتم‌ها'!$D$4:$D$3251,I12,'01-همه آیتم‌ها'!$A$4:$A$3251,"☑")</x:f>
        <x:v>0</x:v>
      </x:c>
      <x:c r="M12" s="64" t="n">
        <x:f>IF(K12=0,0,L12/K12)</x:f>
        <x:v>0</x:v>
      </x:c>
    </x:row>
    <x:row r="13">
      <x:c r="A13" s="34" t="str">
        <x:f>IF(D13=C13,"☑","☐")</x:f>
        <x:v>☐</x:v>
      </x:c>
      <x:c r="B13" s="39" t="str">
        <x:v>M6 — تحلیل‌های خام و ورودی‌های نیازمند پالایش</x:v>
      </x:c>
      <x:c r="C13" s="34" t="n">
        <x:f>COUNTIF('01-همه آیتم‌ها'!$C$4:$C$3251,B13)</x:f>
        <x:v>816</x:v>
      </x:c>
      <x:c r="D13" s="34" t="n">
        <x:f>COUNTIFS('01-همه آیتم‌ها'!$C$4:$C$3251,B13,'01-همه آیتم‌ها'!$A$4:$A$3251,"☑")</x:f>
        <x:v>0</x:v>
      </x:c>
      <x:c r="E13" s="34" t="n">
        <x:f>C13-D13</x:f>
        <x:v>816</x:v>
      </x:c>
      <x:c r="F13" s="64" t="n">
        <x:f>IF(C13=0,0,D13/C13)</x:f>
        <x:v>0</x:v>
      </x:c>
      <x:c r="H13" s="34" t="str">
        <x:f>IF(L13=K13,"☑","☐")</x:f>
        <x:v>☐</x:v>
      </x:c>
      <x:c r="I13" s="34" t="str">
        <x:v>H6</x:v>
      </x:c>
      <x:c r="J13" s="39" t="str">
        <x:v>مهندسی مکانیک، صنایع و مهارت‌های فنی</x:v>
      </x:c>
      <x:c r="K13" s="34" t="n">
        <x:f>COUNTIF('01-همه آیتم‌ها'!$D$4:$D$3251,I13)</x:f>
        <x:v>65</x:v>
      </x:c>
      <x:c r="L13" s="34" t="n">
        <x:f>COUNTIFS('01-همه آیتم‌ها'!$D$4:$D$3251,I13,'01-همه آیتم‌ها'!$A$4:$A$3251,"☑")</x:f>
        <x:v>0</x:v>
      </x:c>
      <x:c r="M13" s="64" t="n">
        <x:f>IF(K13=0,0,L13/K13)</x:f>
        <x:v>0</x:v>
      </x:c>
    </x:row>
    <x:row r="14">
      <x:c r="H14" s="34" t="str">
        <x:f>IF(L14=K14,"☑","☐")</x:f>
        <x:v>☐</x:v>
      </x:c>
      <x:c r="I14" s="34" t="str">
        <x:v>H7</x:v>
      </x:c>
      <x:c r="J14" s="39" t="str">
        <x:v>داده، هوش مصنوعی، نرم‌افزار و اتوماسیون</x:v>
      </x:c>
      <x:c r="K14" s="34" t="n">
        <x:f>COUNTIF('01-همه آیتم‌ها'!$D$4:$D$3251,I14)</x:f>
        <x:v>47</x:v>
      </x:c>
      <x:c r="L14" s="34" t="n">
        <x:f>COUNTIFS('01-همه آیتم‌ها'!$D$4:$D$3251,I14,'01-همه آیتم‌ها'!$A$4:$A$3251,"☑")</x:f>
        <x:v>0</x:v>
      </x:c>
      <x:c r="M14" s="64" t="n">
        <x:f>IF(K14=0,0,L14/K14)</x:f>
        <x:v>0</x:v>
      </x:c>
    </x:row>
    <x:row r="15">
      <x:c r="H15" s="34" t="str">
        <x:f>IF(L15=K15,"☑","☐")</x:f>
        <x:v>☐</x:v>
      </x:c>
      <x:c r="I15" s="34" t="str">
        <x:v>H8</x:v>
      </x:c>
      <x:c r="J15" s="39" t="str">
        <x:v>کسب‌وکار، فروش، بازاریابی و مالی</x:v>
      </x:c>
      <x:c r="K15" s="34" t="n">
        <x:f>COUNTIF('01-همه آیتم‌ها'!$D$4:$D$3251,I15)</x:f>
        <x:v>151</x:v>
      </x:c>
      <x:c r="L15" s="34" t="n">
        <x:f>COUNTIFS('01-همه آیتم‌ها'!$D$4:$D$3251,I15,'01-همه آیتم‌ها'!$A$4:$A$3251,"☑")</x:f>
        <x:v>0</x:v>
      </x:c>
      <x:c r="M15" s="64" t="n">
        <x:f>IF(K15=0,0,L15/K15)</x:f>
        <x:v>0</x:v>
      </x:c>
    </x:row>
    <x:row r="16">
      <x:c r="H16" s="34" t="str">
        <x:f>IF(L16=K16,"☑","☐")</x:f>
        <x:v>☐</x:v>
      </x:c>
      <x:c r="I16" s="34" t="str">
        <x:v>H9</x:v>
      </x:c>
      <x:c r="J16" s="39" t="str">
        <x:v>پژوهش، نوآوری و دانش فنی</x:v>
      </x:c>
      <x:c r="K16" s="34" t="n">
        <x:f>COUNTIF('01-همه آیتم‌ها'!$D$4:$D$3251,I16)</x:f>
        <x:v>42</x:v>
      </x:c>
      <x:c r="L16" s="34" t="n">
        <x:f>COUNTIFS('01-همه آیتم‌ها'!$D$4:$D$3251,I16,'01-همه آیتم‌ها'!$A$4:$A$3251,"☑")</x:f>
        <x:v>0</x:v>
      </x:c>
      <x:c r="M16" s="64" t="n">
        <x:f>IF(K16=0,0,L16/K16)</x:f>
        <x:v>0</x:v>
      </x:c>
    </x:row>
    <x:row r="17">
      <x:c r="H17" s="34" t="str">
        <x:f>IF(L17=K17,"☑","☐")</x:f>
        <x:v>☐</x:v>
      </x:c>
      <x:c r="I17" s="34" t="str">
        <x:v>H10</x:v>
      </x:c>
      <x:c r="J17" s="39" t="str">
        <x:v>زیست‌بوم نوآوری، استعداد و تیم‌سازی</x:v>
      </x:c>
      <x:c r="K17" s="34" t="n">
        <x:f>COUNTIF('01-همه آیتم‌ها'!$D$4:$D$3251,I17)</x:f>
        <x:v>306</x:v>
      </x:c>
      <x:c r="L17" s="34" t="n">
        <x:f>COUNTIFS('01-همه آیتم‌ها'!$D$4:$D$3251,I17,'01-همه آیتم‌ها'!$A$4:$A$3251,"☑")</x:f>
        <x:v>0</x:v>
      </x:c>
      <x:c r="M17" s="64" t="n">
        <x:f>IF(K17=0,0,L17/K17)</x:f>
        <x:v>0</x:v>
      </x:c>
    </x:row>
    <x:row r="18">
      <x:c r="H18" s="34" t="str">
        <x:f>IF(L18=K18,"☑","☐")</x:f>
        <x:v>☐</x:v>
      </x:c>
      <x:c r="I18" s="34" t="str">
        <x:v>H11</x:v>
      </x:c>
      <x:c r="J18" s="39" t="str">
        <x:v>دانشگاه؛ صنفی، رفاهی، اجرایی و رسانه‌ای</x:v>
      </x:c>
      <x:c r="K18" s="34" t="n">
        <x:f>COUNTIF('01-همه آیتم‌ها'!$D$4:$D$3251,I18)</x:f>
        <x:v>503</x:v>
      </x:c>
      <x:c r="L18" s="34" t="n">
        <x:f>COUNTIFS('01-همه آیتم‌ها'!$D$4:$D$3251,I18,'01-همه آیتم‌ها'!$A$4:$A$3251,"☑")</x:f>
        <x:v>0</x:v>
      </x:c>
      <x:c r="M18" s="64" t="n">
        <x:f>IF(K18=0,0,L18/K18)</x:f>
        <x:v>0</x:v>
      </x:c>
    </x:row>
    <x:row r="19">
      <x:c r="H19" s="34" t="str">
        <x:f>IF(L19=K19,"☑","☐")</x:f>
        <x:v>☐</x:v>
      </x:c>
      <x:c r="I19" s="34" t="str">
        <x:v>H12</x:v>
      </x:c>
      <x:c r="J19" s="39" t="str">
        <x:v>صنعت، انرژی، محیط‌زیست، کشاورزی و پروژه‌های تولیدی</x:v>
      </x:c>
      <x:c r="K19" s="34" t="n">
        <x:f>COUNTIF('01-همه آیتم‌ها'!$D$4:$D$3251,I19)</x:f>
        <x:v>306</x:v>
      </x:c>
      <x:c r="L19" s="34" t="n">
        <x:f>COUNTIFS('01-همه آیتم‌ها'!$D$4:$D$3251,I19,'01-همه آیتم‌ها'!$A$4:$A$3251,"☑")</x:f>
        <x:v>0</x:v>
      </x:c>
      <x:c r="M19" s="64" t="n">
        <x:f>IF(K19=0,0,L19/K19)</x:f>
        <x:v>0</x:v>
      </x:c>
    </x:row>
    <x:row r="20">
      <x:c r="H20" s="34" t="str">
        <x:f>IF(L20=K20,"☑","☐")</x:f>
        <x:v>☐</x:v>
      </x:c>
      <x:c r="I20" s="34" t="str">
        <x:v>H13</x:v>
      </x:c>
      <x:c r="J20" s="39" t="str">
        <x:v>سلامت، خدمات اجتماعی و امور خیر</x:v>
      </x:c>
      <x:c r="K20" s="34" t="n">
        <x:f>COUNTIF('01-همه آیتم‌ها'!$D$4:$D$3251,I20)</x:f>
        <x:v>35</x:v>
      </x:c>
      <x:c r="L20" s="34" t="n">
        <x:f>COUNTIFS('01-همه آیتم‌ها'!$D$4:$D$3251,I20,'01-همه آیتم‌ها'!$A$4:$A$3251,"☑")</x:f>
        <x:v>0</x:v>
      </x:c>
      <x:c r="M20" s="64" t="n">
        <x:f>IF(K20=0,0,L20/K20)</x:f>
        <x:v>0</x:v>
      </x:c>
    </x:row>
    <x:row r="21">
      <x:c r="H21" s="34" t="str">
        <x:f>IF(L21=K21,"☑","☐")</x:f>
        <x:v>☐</x:v>
      </x:c>
      <x:c r="I21" s="34" t="str">
        <x:v>H14</x:v>
      </x:c>
      <x:c r="J21" s="39" t="str">
        <x:v>شبکه‌سازی، افراد و ارتباطات کلیدی</x:v>
      </x:c>
      <x:c r="K21" s="34" t="n">
        <x:f>COUNTIF('01-همه آیتم‌ها'!$D$4:$D$3251,I21)</x:f>
        <x:v>187</x:v>
      </x:c>
      <x:c r="L21" s="34" t="n">
        <x:f>COUNTIFS('01-همه آیتم‌ها'!$D$4:$D$3251,I21,'01-همه آیتم‌ها'!$A$4:$A$3251,"☑")</x:f>
        <x:v>0</x:v>
      </x:c>
      <x:c r="M21" s="64" t="n">
        <x:f>IF(K21=0,0,L21/K21)</x:f>
        <x:v>0</x:v>
      </x:c>
    </x:row>
    <x:row r="22">
      <x:c r="H22" s="34" t="str">
        <x:f>IF(L22=K22,"☑","☐")</x:f>
        <x:v>☐</x:v>
      </x:c>
      <x:c r="I22" s="34" t="str">
        <x:v>H15</x:v>
      </x:c>
      <x:c r="J22" s="39" t="str">
        <x:v>فرهنگ، دین، تاریخ، کتاب و رسانه</x:v>
      </x:c>
      <x:c r="K22" s="34" t="n">
        <x:f>COUNTIF('01-همه آیتم‌ها'!$D$4:$D$3251,I22)</x:f>
        <x:v>75</x:v>
      </x:c>
      <x:c r="L22" s="34" t="n">
        <x:f>COUNTIFS('01-همه آیتم‌ها'!$D$4:$D$3251,I22,'01-همه آیتم‌ها'!$A$4:$A$3251,"☑")</x:f>
        <x:v>0</x:v>
      </x:c>
      <x:c r="M22" s="64" t="n">
        <x:f>IF(K22=0,0,L22/K22)</x:f>
        <x:v>0</x:v>
      </x:c>
    </x:row>
    <x:row r="23">
      <x:c r="H23" s="34" t="str">
        <x:f>IF(L23=K23,"☑","☐")</x:f>
        <x:v>☐</x:v>
      </x:c>
      <x:c r="I23" s="34" t="str">
        <x:v>H16</x:v>
      </x:c>
      <x:c r="J23" s="39" t="str">
        <x:v>سیاست، حکمرانی، حقوق و اقتصاد کلان</x:v>
      </x:c>
      <x:c r="K23" s="34" t="n">
        <x:f>COUNTIF('01-همه آیتم‌ها'!$D$4:$D$3251,I23)</x:f>
        <x:v>42</x:v>
      </x:c>
      <x:c r="L23" s="34" t="n">
        <x:f>COUNTIFS('01-همه آیتم‌ها'!$D$4:$D$3251,I23,'01-همه آیتم‌ها'!$A$4:$A$3251,"☑")</x:f>
        <x:v>0</x:v>
      </x:c>
      <x:c r="M23" s="64" t="n">
        <x:f>IF(K23=0,0,L23/K23)</x:f>
        <x:v>0</x:v>
      </x:c>
    </x:row>
    <x:row r="24">
      <x:c r="H24" s="34" t="str">
        <x:f>IF(L24=K24,"☑","☐")</x:f>
        <x:v>☐</x:v>
      </x:c>
      <x:c r="I24" s="34" t="str">
        <x:v>H17</x:v>
      </x:c>
      <x:c r="J24" s="39" t="str">
        <x:v>سفر، تفریح، هنر و ورزش</x:v>
      </x:c>
      <x:c r="K24" s="34" t="n">
        <x:f>COUNTIF('01-همه آیتم‌ها'!$D$4:$D$3251,I24)</x:f>
        <x:v>39</x:v>
      </x:c>
      <x:c r="L24" s="34" t="n">
        <x:f>COUNTIFS('01-همه آیتم‌ها'!$D$4:$D$3251,I24,'01-همه آیتم‌ها'!$A$4:$A$3251,"☑")</x:f>
        <x:v>0</x:v>
      </x:c>
      <x:c r="M24" s="64" t="n">
        <x:f>IF(K24=0,0,L24/K24)</x:f>
        <x:v>0</x:v>
      </x:c>
    </x:row>
    <x:row r="25">
      <x:c r="H25" s="34" t="str">
        <x:f>IF(L25=K25,"☑","☐")</x:f>
        <x:v>☐</x:v>
      </x:c>
      <x:c r="I25" s="34" t="str">
        <x:v>H18</x:v>
      </x:c>
      <x:c r="J25" s="39" t="str">
        <x:v>بانک مطالعه، منابع و موضوعات کنجکاوی</x:v>
      </x:c>
      <x:c r="K25" s="34" t="n">
        <x:f>COUNTIF('01-همه آیتم‌ها'!$D$4:$D$3251,I25)</x:f>
        <x:v>310</x:v>
      </x:c>
      <x:c r="L25" s="34" t="n">
        <x:f>COUNTIFS('01-همه آیتم‌ها'!$D$4:$D$3251,I25,'01-همه آیتم‌ها'!$A$4:$A$3251,"☑")</x:f>
        <x:v>0</x:v>
      </x:c>
      <x:c r="M25" s="64" t="n">
        <x:f>IF(K25=0,0,L25/K25)</x:f>
        <x:v>0</x:v>
      </x:c>
    </x:row>
    <x:row r="26">
      <x:c r="H26" s="34" t="str">
        <x:f>IF(L26=K26,"☑","☐")</x:f>
        <x:v>☐</x:v>
      </x:c>
      <x:c r="I26" s="34" t="str">
        <x:v>H19</x:v>
      </x:c>
      <x:c r="J26" s="39" t="str">
        <x:v>چشم‌انداز، ایده‌های بلندمدت و سرمایه‌گذاری</x:v>
      </x:c>
      <x:c r="K26" s="34" t="n">
        <x:f>COUNTIF('01-همه آیتم‌ها'!$D$4:$D$3251,I26)</x:f>
        <x:v>58</x:v>
      </x:c>
      <x:c r="L26" s="34" t="n">
        <x:f>COUNTIFS('01-همه آیتم‌ها'!$D$4:$D$3251,I26,'01-همه آیتم‌ها'!$A$4:$A$3251,"☑")</x:f>
        <x:v>0</x:v>
      </x:c>
      <x:c r="M26" s="64" t="n">
        <x:f>IF(K26=0,0,L26/K26)</x:f>
        <x:v>0</x:v>
      </x:c>
    </x:row>
    <x:row r="27">
      <x:c r="H27" s="34" t="str">
        <x:f>IF(L27=K27,"☑","☐")</x:f>
        <x:v>☐</x:v>
      </x:c>
      <x:c r="I27" s="34" t="str">
        <x:v>H20</x:v>
      </x:c>
      <x:c r="J27" s="39" t="str">
        <x:v>یادداشت تحلیلی/راهبری ثبت‌شده در 11211</x:v>
      </x:c>
      <x:c r="K27" s="34" t="n">
        <x:f>COUNTIF('01-همه آیتم‌ها'!$D$4:$D$3251,I27)</x:f>
        <x:v>714</x:v>
      </x:c>
      <x:c r="L27" s="34" t="n">
        <x:f>COUNTIFS('01-همه آیتم‌ها'!$D$4:$D$3251,I27,'01-همه آیتم‌ها'!$A$4:$A$3251,"☑")</x:f>
        <x:v>0</x:v>
      </x:c>
      <x:c r="M27" s="64" t="n">
        <x:f>IF(K27=0,0,L27/K27)</x:f>
        <x:v>0</x:v>
      </x:c>
    </x:row>
    <x:row r="28">
      <x:c r="H28" s="34" t="str">
        <x:f>IF(L28=K28,"☑","☐")</x:f>
        <x:v>☐</x:v>
      </x:c>
      <x:c r="I28" s="34" t="str">
        <x:v>H21</x:v>
      </x:c>
      <x:c r="J28" s="39" t="str">
        <x:v>شاهد و داده خوداظهاری مصاحبه</x:v>
      </x:c>
      <x:c r="K28" s="34" t="n">
        <x:f>COUNTIF('01-همه آیتم‌ها'!$D$4:$D$3251,I28)</x:f>
        <x:v>10</x:v>
      </x:c>
      <x:c r="L28" s="34" t="n">
        <x:f>COUNTIFS('01-همه آیتم‌ها'!$D$4:$D$3251,I28,'01-همه آیتم‌ها'!$A$4:$A$3251,"☑")</x:f>
        <x:v>0</x:v>
      </x:c>
      <x:c r="M28" s="64" t="n">
        <x:f>IF(K28=0,0,L28/K28)</x:f>
        <x:v>0</x:v>
      </x:c>
    </x:row>
    <x:row r="29">
      <x:c r="H29" s="34" t="str">
        <x:f>IF(L29=K29,"☑","☐")</x:f>
        <x:v>☐</x:v>
      </x:c>
      <x:c r="I29" s="34" t="str">
        <x:v>H22</x:v>
      </x:c>
      <x:c r="J29" s="39" t="str">
        <x:v>نتیجه آزمون و داده سنجشی</x:v>
      </x:c>
      <x:c r="K29" s="34" t="n">
        <x:f>COUNTIF('01-همه آیتم‌ها'!$D$4:$D$3251,I29)</x:f>
        <x:v>30</x:v>
      </x:c>
      <x:c r="L29" s="34" t="n">
        <x:f>COUNTIFS('01-همه آیتم‌ها'!$D$4:$D$3251,I29,'01-همه آیتم‌ها'!$A$4:$A$3251,"☑")</x:f>
        <x:v>0</x:v>
      </x:c>
      <x:c r="M29" s="64" t="n">
        <x:f>IF(K29=0,0,L29/K29)</x:f>
        <x:v>0</x:v>
      </x:c>
    </x:row>
    <x:row r="30">
      <x:c r="H30" s="34" t="str">
        <x:f>IF(L30=K30,"☑","☐")</x:f>
        <x:v>☐</x:v>
      </x:c>
      <x:c r="I30" s="34" t="str">
        <x:v>H23</x:v>
      </x:c>
      <x:c r="J30" s="39" t="str">
        <x:v>عنوان/موضوع عمومی نیازمند تعریف خروجی</x:v>
      </x:c>
      <x:c r="K30" s="34" t="n">
        <x:f>COUNTIF('01-همه آیتم‌ها'!$D$4:$D$3251,I30)</x:f>
        <x:v>102</x:v>
      </x:c>
      <x:c r="L30" s="34" t="n">
        <x:f>COUNTIFS('01-همه آیتم‌ها'!$D$4:$D$3251,I30,'01-همه آیتم‌ها'!$A$4:$A$3251,"☑")</x:f>
        <x:v>0</x:v>
      </x:c>
      <x:c r="M30" s="64" t="n">
        <x:f>IF(K30=0,0,L30/K30)</x:f>
        <x:v>0</x:v>
      </x:c>
    </x:row>
    <x:row r="33">
      <x:c r="A33" s="26" t="str">
        <x:v>وضعیت</x:v>
      </x:c>
      <x:c r="B33" s="26" t="str">
        <x:v>اولویت</x:v>
      </x:c>
      <x:c r="C33" s="26" t="str">
        <x:v>کل</x:v>
      </x:c>
      <x:c r="D33" s="26" t="str">
        <x:v>تکمیل</x:v>
      </x:c>
      <x:c r="E33" s="26" t="str">
        <x:v>باقی</x:v>
      </x:c>
      <x:c r="F33" s="26" t="str">
        <x:v>پیشرفت</x:v>
      </x:c>
    </x:row>
    <x:row r="34">
      <x:c r="A34" s="34" t="str">
        <x:f>IF(D34=C34,"☑","☐")</x:f>
        <x:v>☐</x:v>
      </x:c>
      <x:c r="B34" s="34" t="str">
        <x:v>P0</x:v>
      </x:c>
      <x:c r="C34" s="34" t="n">
        <x:v>124</x:v>
      </x:c>
      <x:c r="D34" s="34" t="n">
        <x:f>COUNTIFS('01-همه آیتم‌ها'!$F$4:$F$3251,B34,'01-همه آیتم‌ها'!$A$4:$A$3251,"☑")</x:f>
        <x:v>0</x:v>
      </x:c>
      <x:c r="E34" s="34" t="n">
        <x:f>C34-D34</x:f>
        <x:v>124</x:v>
      </x:c>
      <x:c r="F34" s="64" t="n">
        <x:f>IF(C34=0,0,D34/C34)</x:f>
        <x:v>0</x:v>
      </x:c>
    </x:row>
    <x:row r="35">
      <x:c r="A35" s="34" t="str">
        <x:f>IF(D35=C35,"☑","☐")</x:f>
        <x:v>☐</x:v>
      </x:c>
      <x:c r="B35" s="34" t="str">
        <x:v>P0/P1</x:v>
      </x:c>
      <x:c r="C35" s="34" t="n">
        <x:v>5</x:v>
      </x:c>
      <x:c r="D35" s="34" t="n">
        <x:f>COUNTIFS('01-همه آیتم‌ها'!$F$4:$F$3251,B35,'01-همه آیتم‌ها'!$A$4:$A$3251,"☑")</x:f>
        <x:v>0</x:v>
      </x:c>
      <x:c r="E35" s="34" t="n">
        <x:f>C35-D35</x:f>
        <x:v>5</x:v>
      </x:c>
      <x:c r="F35" s="64" t="n">
        <x:f>IF(C35=0,0,D35/C35)</x:f>
        <x:v>0</x:v>
      </x:c>
    </x:row>
    <x:row r="36">
      <x:c r="A36" s="34" t="str">
        <x:f>IF(D36=C36,"☑","☐")</x:f>
        <x:v>☐</x:v>
      </x:c>
      <x:c r="B36" s="34" t="str">
        <x:v>P1</x:v>
      </x:c>
      <x:c r="C36" s="34" t="n">
        <x:v>90</x:v>
      </x:c>
      <x:c r="D36" s="34" t="n">
        <x:f>COUNTIFS('01-همه آیتم‌ها'!$F$4:$F$3251,B36,'01-همه آیتم‌ها'!$A$4:$A$3251,"☑")</x:f>
        <x:v>0</x:v>
      </x:c>
      <x:c r="E36" s="34" t="n">
        <x:f>C36-D36</x:f>
        <x:v>90</x:v>
      </x:c>
      <x:c r="F36" s="64" t="n">
        <x:f>IF(C36=0,0,D36/C36)</x:f>
        <x:v>0</x:v>
      </x:c>
    </x:row>
    <x:row r="37">
      <x:c r="A37" s="34" t="str">
        <x:f>IF(D37=C37,"☑","☐")</x:f>
        <x:v>☐</x:v>
      </x:c>
      <x:c r="B37" s="34" t="str">
        <x:v>P2</x:v>
      </x:c>
      <x:c r="C37" s="34" t="n">
        <x:v>821</x:v>
      </x:c>
      <x:c r="D37" s="34" t="n">
        <x:f>COUNTIFS('01-همه آیتم‌ها'!$F$4:$F$3251,B37,'01-همه آیتم‌ها'!$A$4:$A$3251,"☑")</x:f>
        <x:v>0</x:v>
      </x:c>
      <x:c r="E37" s="34" t="n">
        <x:f>C37-D37</x:f>
        <x:v>821</x:v>
      </x:c>
      <x:c r="F37" s="64" t="n">
        <x:f>IF(C37=0,0,D37/C37)</x:f>
        <x:v>0</x:v>
      </x:c>
    </x:row>
    <x:row r="38">
      <x:c r="A38" s="34" t="str">
        <x:f>IF(D38=C38,"☑","☐")</x:f>
        <x:v>☐</x:v>
      </x:c>
      <x:c r="B38" s="34" t="str">
        <x:v>DELEGATE/P2</x:v>
      </x:c>
      <x:c r="C38" s="34" t="n">
        <x:v>476</x:v>
      </x:c>
      <x:c r="D38" s="34" t="n">
        <x:f>COUNTIFS('01-همه آیتم‌ها'!$F$4:$F$3251,B38,'01-همه آیتم‌ها'!$A$4:$A$3251,"☑")</x:f>
        <x:v>0</x:v>
      </x:c>
      <x:c r="E38" s="34" t="n">
        <x:f>C38-D38</x:f>
        <x:v>476</x:v>
      </x:c>
      <x:c r="F38" s="64" t="n">
        <x:f>IF(C38=0,0,D38/C38)</x:f>
        <x:v>0</x:v>
      </x:c>
    </x:row>
    <x:row r="39">
      <x:c r="A39" s="34" t="str">
        <x:f>IF(D39=C39,"☑","☐")</x:f>
        <x:v>☐</x:v>
      </x:c>
      <x:c r="B39" s="34" t="str">
        <x:v>BANK</x:v>
      </x:c>
      <x:c r="C39" s="34" t="n">
        <x:v>392</x:v>
      </x:c>
      <x:c r="D39" s="34" t="n">
        <x:f>COUNTIFS('01-همه آیتم‌ها'!$F$4:$F$3251,B39,'01-همه آیتم‌ها'!$A$4:$A$3251,"☑")</x:f>
        <x:v>0</x:v>
      </x:c>
      <x:c r="E39" s="34" t="n">
        <x:f>C39-D39</x:f>
        <x:v>392</x:v>
      </x:c>
      <x:c r="F39" s="64" t="n">
        <x:f>IF(C39=0,0,D39/C39)</x:f>
        <x:v>0</x:v>
      </x:c>
    </x:row>
    <x:row r="40">
      <x:c r="A40" s="34" t="str">
        <x:f>IF(D40=C40,"☑","☐")</x:f>
        <x:v>☐</x:v>
      </x:c>
      <x:c r="B40" s="34" t="str">
        <x:v>P3</x:v>
      </x:c>
      <x:c r="C40" s="34" t="n">
        <x:v>274</x:v>
      </x:c>
      <x:c r="D40" s="34" t="n">
        <x:f>COUNTIFS('01-همه آیتم‌ها'!$F$4:$F$3251,B40,'01-همه آیتم‌ها'!$A$4:$A$3251,"☑")</x:f>
        <x:v>0</x:v>
      </x:c>
      <x:c r="E40" s="34" t="n">
        <x:f>C40-D40</x:f>
        <x:v>274</x:v>
      </x:c>
      <x:c r="F40" s="64" t="n">
        <x:f>IF(C40=0,0,D40/C40)</x:f>
        <x:v>0</x:v>
      </x:c>
    </x:row>
    <x:row r="41">
      <x:c r="A41" s="34" t="str">
        <x:f>IF(D41=C41,"☑","☐")</x:f>
        <x:v>☐</x:v>
      </x:c>
      <x:c r="B41" s="34" t="str">
        <x:v>P3/CLARIFY</x:v>
      </x:c>
      <x:c r="C41" s="34" t="n">
        <x:v>1060</x:v>
      </x:c>
      <x:c r="D41" s="34" t="n">
        <x:f>COUNTIFS('01-همه آیتم‌ها'!$F$4:$F$3251,B41,'01-همه آیتم‌ها'!$A$4:$A$3251,"☑")</x:f>
        <x:v>0</x:v>
      </x:c>
      <x:c r="E41" s="34" t="n">
        <x:f>C41-D41</x:f>
        <x:v>1060</x:v>
      </x:c>
      <x:c r="F41" s="64" t="n">
        <x:f>IF(C41=0,0,D41/C41)</x:f>
        <x:v>0</x:v>
      </x:c>
    </x:row>
    <x:row r="42">
      <x:c r="A42" s="34" t="str">
        <x:f>IF(D42=C42,"☑","☐")</x:f>
        <x:v>☐</x:v>
      </x:c>
      <x:c r="B42" s="34" t="str">
        <x:v>REFERENCE</x:v>
      </x:c>
      <x:c r="C42" s="34" t="n">
        <x:v>6</x:v>
      </x:c>
      <x:c r="D42" s="34" t="n">
        <x:f>COUNTIFS('01-همه آیتم‌ها'!$F$4:$F$3251,B42,'01-همه آیتم‌ها'!$A$4:$A$3251,"☑")</x:f>
        <x:v>0</x:v>
      </x:c>
      <x:c r="E42" s="34" t="n">
        <x:f>C42-D42</x:f>
        <x:v>6</x:v>
      </x:c>
      <x:c r="F42" s="64" t="n">
        <x:f>IF(C42=0,0,D42/C42)</x:f>
        <x:v>0</x:v>
      </x:c>
    </x:row>
  </x:sheetData>
  <x:mergeCells>
    <x:mergeCell ref="A1:M1"/>
    <x:mergeCell ref="A2:M2"/>
  </x:mergeCells>
  <x:conditionalFormatting sqref="H4:H4">
    <x:cfRule type="colorScale" priority="1">
      <x:colorScale>
        <x:cfvo type="min"/>
        <x:cfvo type="percentile" val="50"/>
        <x:cfvo type="max"/>
        <x:color rgb="FFFDECEC"/>
        <x:color rgb="FFFFF2CC"/>
        <x:color rgb="FFC6EFCE"/>
      </x:colorScale>
    </x:cfRule>
  </x:conditionalFormatting>
  <x:conditionalFormatting sqref="F8:F13">
    <x:cfRule type="colorScale" priority="2">
      <x:colorScale>
        <x:cfvo type="min"/>
        <x:cfvo type="percentile" val="50"/>
        <x:cfvo type="max"/>
        <x:color rgb="FFFDECEC"/>
        <x:color rgb="FFFFF2CC"/>
        <x:color rgb="FFC6EFCE"/>
      </x:colorScale>
    </x:cfRule>
  </x:conditionalFormatting>
  <x:conditionalFormatting sqref="M8:M30">
    <x:cfRule type="colorScale" priority="3">
      <x:colorScale>
        <x:cfvo type="min"/>
        <x:cfvo type="percentile" val="50"/>
        <x:cfvo type="max"/>
        <x:color rgb="FFFDECEC"/>
        <x:color rgb="FFFFF2CC"/>
        <x:color rgb="FFC6EFCE"/>
      </x:colorScale>
    </x:cfRule>
  </x:conditionalFormatting>
  <x:conditionalFormatting sqref="F34:F42">
    <x:cfRule type="colorScale" priority="4">
      <x:colorScale>
        <x:cfvo type="min"/>
        <x:cfvo type="percentile" val="50"/>
        <x:cfvo type="max"/>
        <x:color rgb="FFFDECEC"/>
        <x:color rgb="FFFFF2CC"/>
        <x:color rgb="FFC6EFCE"/>
      </x:colorScale>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3" hidden="0" customWidth="1"/>
    <x:col min="3" max="3" width="34" hidden="0" customWidth="1"/>
    <x:col min="4" max="4" width="9" hidden="0" customWidth="1"/>
    <x:col min="5" max="5" width="28" hidden="0" customWidth="1"/>
    <x:col min="6" max="6" width="14" hidden="0" customWidth="1"/>
    <x:col min="7" max="7" width="18" hidden="0" customWidth="1"/>
    <x:col min="8" max="8" width="58" hidden="0" customWidth="1"/>
    <x:col min="9" max="9" width="36" hidden="0" customWidth="1"/>
    <x:col min="10" max="10" width="34" hidden="0" customWidth="1"/>
    <x:col min="11" max="11" width="24" hidden="0" customWidth="1"/>
    <x:col min="12" max="12" width="26" hidden="0" customWidth="1"/>
    <x:col min="13" max="13" width="32" hidden="0" customWidth="1"/>
    <x:col min="14" max="14" width="24" hidden="0" customWidth="1"/>
  </x:cols>
  <x:sheetData>
    <x:row r="1">
      <x:c r="A1" s="6" t="str">
        <x:v>همه آیتم‌ها — منبع واحد اجرا و تیک‌زدن</x:v>
      </x:c>
      <x:c r="B1" s="6"/>
      <x:c r="C1" s="6"/>
      <x:c r="D1" s="6"/>
      <x:c r="E1" s="6"/>
      <x:c r="F1" s="6"/>
      <x:c r="G1" s="6"/>
      <x:c r="H1" s="6"/>
      <x:c r="I1" s="6"/>
      <x:c r="J1" s="6"/>
      <x:c r="K1" s="6"/>
      <x:c r="L1" s="6"/>
      <x:c r="M1" s="6"/>
      <x:c r="N1" s="6"/>
    </x:row>
    <x:row r="2">
      <x:c r="A2" s="16" t="str">
        <x:v>تمام ۳٬۲۴۸ آیتم در این شیت هستند. فقط اینجا وضعیت ☐/☑ و «یادداشت / اقدام بعدی» را ویرایش کنید؛ داشبورد و شیت تمرکز از همین داده‌ها به‌روزرسانی می‌شوند.</x:v>
      </x:c>
      <x:c r="B2" s="16"/>
      <x:c r="C2" s="16"/>
      <x:c r="D2" s="16"/>
      <x:c r="E2" s="16"/>
      <x:c r="F2" s="16"/>
      <x:c r="G2" s="16"/>
      <x:c r="H2" s="16"/>
      <x:c r="I2" s="16"/>
      <x:c r="J2" s="16"/>
      <x:c r="K2" s="16"/>
      <x:c r="L2" s="16"/>
      <x:c r="M2" s="16"/>
      <x:c r="N2" s="16"/>
    </x:row>
    <x:row r="3">
      <x:c r="A3" s="26" t="str">
        <x:v>وضعیت</x:v>
      </x:c>
      <x:c r="B3" s="26" t="str">
        <x:v>ID</x:v>
      </x:c>
      <x:c r="C3" s="26" t="str">
        <x:v>حوزه مادر</x:v>
      </x:c>
      <x:c r="D3" s="26" t="str">
        <x:v>دسته H</x:v>
      </x:c>
      <x:c r="E3" s="26" t="str">
        <x:v>عنوان دسته</x:v>
      </x:c>
      <x:c r="F3" s="26" t="str">
        <x:v>اولویت</x:v>
      </x:c>
      <x:c r="G3" s="26" t="str">
        <x:v>نوع</x:v>
      </x:c>
      <x:c r="H3" s="26" t="str">
        <x:v>عنوان/متن یکتا</x:v>
      </x:c>
      <x:c r="I3" s="26" t="str">
        <x:v>تصمیم تیم</x:v>
      </x:c>
      <x:c r="J3" s="26" t="str">
        <x:v>مالک تخصصی</x:v>
      </x:c>
      <x:c r="K3" s="26" t="str">
        <x:v>برچسب تخصصی</x:v>
      </x:c>
      <x:c r="L3" s="26" t="str">
        <x:v>منابع خام</x:v>
      </x:c>
      <x:c r="M3" s="26" t="str">
        <x:v>یادداشت / اقدام بعدی</x:v>
      </x:c>
      <x:c r="N3" s="26" t="str">
        <x:v>منبع ثبت</x:v>
      </x:c>
    </x:row>
    <x:row r="4" ht="34" customHeight="1">
      <x:c r="A4" s="34" t="str">
        <x:v>☐</x:v>
      </x:c>
      <x:c r="B4" s="34" t="str">
        <x:v>MI-0049</x:v>
      </x:c>
      <x:c r="C4" s="34" t="str">
        <x:v>M1 — فرد، پایه‌های عملکرد و خودشناسی</x:v>
      </x:c>
      <x:c r="D4" s="34" t="str">
        <x:v>H1</x:v>
      </x:c>
      <x:c r="E4" s="34" t="str">
        <x:v>پایه‌های زندگی و خودمدیریتی</x:v>
      </x:c>
      <x:c r="F4" s="34" t="str">
        <x:v>P0</x:v>
      </x:c>
      <x:c r="G4" s="34" t="str">
        <x:v>اقدام اجرایی</x:v>
      </x:c>
      <x:c r="H4" s="39" t="str">
        <x:v>گذاشتن قرار دوستانه دبیرستانی</x:v>
      </x:c>
      <x:c r="I4" s="39" t="str">
        <x:v>اکنون؛ پایه عملکرد</x:v>
      </x:c>
      <x:c r="J4" s="39" t="str">
        <x:v>کوچ اجرایی + متخصص مهارت‌های هیجانی/رفتاری</x:v>
      </x:c>
      <x:c r="K4" s="39" t="str"/>
      <x:c r="L4" s="39" t="str">
        <x:v>PL:R50؛ AP:P1518</x:v>
      </x:c>
      <x:c r="M4" s="39" t="str"/>
      <x:c r="N4" s="39" t="str">
        <x:v>نسخه پایه ۳۱۵۰</x:v>
      </x:c>
    </x:row>
    <x:row r="5" ht="34" customHeight="1">
      <x:c r="A5" s="34" t="str">
        <x:v>☐</x:v>
      </x:c>
      <x:c r="B5" s="34" t="str">
        <x:v>MI-0179</x:v>
      </x:c>
      <x:c r="C5" s="34" t="str">
        <x:v>M1 — فرد، پایه‌های عملکرد و خودشناسی</x:v>
      </x:c>
      <x:c r="D5" s="34" t="str">
        <x:v>H1</x:v>
      </x:c>
      <x:c r="E5" s="34" t="str">
        <x:v>پایه‌های زندگی و خودمدیریتی</x:v>
      </x:c>
      <x:c r="F5" s="34" t="str">
        <x:v>P0</x:v>
      </x:c>
      <x:c r="G5" s="34" t="str">
        <x:v>اقدام اجرایی</x:v>
      </x:c>
      <x:c r="H5" s="39" t="str">
        <x:v>برنامه ریزی شهری</x:v>
      </x:c>
      <x:c r="I5" s="39" t="str">
        <x:v>اکنون؛ پایه عملکرد</x:v>
      </x:c>
      <x:c r="J5" s="39" t="str">
        <x:v>کوچ اجرایی + متخصص مهارت‌های هیجانی/رفتاری</x:v>
      </x:c>
      <x:c r="K5" s="39" t="str"/>
      <x:c r="L5" s="39" t="str">
        <x:v>PL:R184</x:v>
      </x:c>
      <x:c r="M5" s="39" t="str"/>
      <x:c r="N5" s="39" t="str">
        <x:v>نسخه پایه ۳۱۵۰</x:v>
      </x:c>
    </x:row>
    <x:row r="6" ht="34" customHeight="1">
      <x:c r="A6" s="34" t="str">
        <x:v>☐</x:v>
      </x:c>
      <x:c r="B6" s="34" t="str">
        <x:v>MI-1451</x:v>
      </x:c>
      <x:c r="C6" s="34" t="str">
        <x:v>M1 — فرد، پایه‌های عملکرد و خودشناسی</x:v>
      </x:c>
      <x:c r="D6" s="34" t="str">
        <x:v>H1</x:v>
      </x:c>
      <x:c r="E6" s="34" t="str">
        <x:v>پایه‌های زندگی و خودمدیریتی</x:v>
      </x:c>
      <x:c r="F6" s="34" t="str">
        <x:v>P0</x:v>
      </x:c>
      <x:c r="G6" s="34" t="str">
        <x:v>اقدام اجرایی</x:v>
      </x:c>
      <x:c r="H6" s="39" t="str">
        <x:v>تهیه بهترین ایرپاد</x:v>
      </x:c>
      <x:c r="I6" s="39" t="str">
        <x:v>اکنون؛ پایه عملکرد</x:v>
      </x:c>
      <x:c r="J6" s="39" t="str">
        <x:v>کوچ اجرایی + متخصص مهارت‌های هیجانی/رفتاری</x:v>
      </x:c>
      <x:c r="K6" s="39" t="str"/>
      <x:c r="L6" s="39" t="str">
        <x:v>AP:P1352</x:v>
      </x:c>
      <x:c r="M6" s="39" t="str"/>
      <x:c r="N6" s="39" t="str">
        <x:v>نسخه پایه ۳۱۵۰</x:v>
      </x:c>
    </x:row>
    <x:row r="7" ht="34" customHeight="1">
      <x:c r="A7" s="34" t="str">
        <x:v>☐</x:v>
      </x:c>
      <x:c r="B7" s="34" t="str">
        <x:v>MI-1501</x:v>
      </x:c>
      <x:c r="C7" s="34" t="str">
        <x:v>M1 — فرد، پایه‌های عملکرد و خودشناسی</x:v>
      </x:c>
      <x:c r="D7" s="34" t="str">
        <x:v>H1</x:v>
      </x:c>
      <x:c r="E7" s="34" t="str">
        <x:v>پایه‌های زندگی و خودمدیریتی</x:v>
      </x:c>
      <x:c r="F7" s="34" t="str">
        <x:v>P0</x:v>
      </x:c>
      <x:c r="G7" s="34" t="str">
        <x:v>اقدام اجرایی</x:v>
      </x:c>
      <x:c r="H7" s="39" t="str">
        <x:v>مدیریت ریسک: شناسایی ریسک ها، ارزیابی اثرات، تدوین برنامه های مقابله با ریسک ها.</x:v>
      </x:c>
      <x:c r="I7" s="39" t="str">
        <x:v>اکنون؛ پایه عملکرد</x:v>
      </x:c>
      <x:c r="J7" s="39" t="str">
        <x:v>کوچ اجرایی + متخصص مهارت‌های هیجانی/رفتاری</x:v>
      </x:c>
      <x:c r="K7" s="39" t="str"/>
      <x:c r="L7" s="39" t="str">
        <x:v>AP:P1458</x:v>
      </x:c>
      <x:c r="M7" s="39" t="str"/>
      <x:c r="N7" s="39" t="str">
        <x:v>نسخه پایه ۳۱۵۰</x:v>
      </x:c>
    </x:row>
    <x:row r="8" ht="34" customHeight="1">
      <x:c r="A8" s="34" t="str">
        <x:v>☐</x:v>
      </x:c>
      <x:c r="B8" s="34" t="str">
        <x:v>MI-1503</x:v>
      </x:c>
      <x:c r="C8" s="34" t="str">
        <x:v>M1 — فرد، پایه‌های عملکرد و خودشناسی</x:v>
      </x:c>
      <x:c r="D8" s="34" t="str">
        <x:v>H1</x:v>
      </x:c>
      <x:c r="E8" s="34" t="str">
        <x:v>پایه‌های زندگی و خودمدیریتی</x:v>
      </x:c>
      <x:c r="F8" s="34" t="str">
        <x:v>P0</x:v>
      </x:c>
      <x:c r="G8" s="34" t="str">
        <x:v>اقدام اجرایی</x:v>
      </x:c>
      <x:c r="H8" s="39" t="str">
        <x:v>مدیریت زمان: اولویت بندی، برنامه ریزی، تمرکز.</x:v>
      </x:c>
      <x:c r="I8" s="39" t="str">
        <x:v>اکنون؛ پایه عملکرد</x:v>
      </x:c>
      <x:c r="J8" s="39" t="str">
        <x:v>کوچ اجرایی + متخصص مهارت‌های هیجانی/رفتاری</x:v>
      </x:c>
      <x:c r="K8" s="39" t="str"/>
      <x:c r="L8" s="39" t="str">
        <x:v>AP:P1460</x:v>
      </x:c>
      <x:c r="M8" s="39" t="str"/>
      <x:c r="N8" s="39" t="str">
        <x:v>نسخه پایه ۳۱۵۰</x:v>
      </x:c>
    </x:row>
    <x:row r="9" ht="34" customHeight="1">
      <x:c r="A9" s="34" t="str">
        <x:v>☐</x:v>
      </x:c>
      <x:c r="B9" s="34" t="str">
        <x:v>MI-1513</x:v>
      </x:c>
      <x:c r="C9" s="34" t="str">
        <x:v>M1 — فرد، پایه‌های عملکرد و خودشناسی</x:v>
      </x:c>
      <x:c r="D9" s="34" t="str">
        <x:v>H1</x:v>
      </x:c>
      <x:c r="E9" s="34" t="str">
        <x:v>پایه‌های زندگی و خودمدیریتی</x:v>
      </x:c>
      <x:c r="F9" s="34" t="str">
        <x:v>P0</x:v>
      </x:c>
      <x:c r="G9" s="34" t="str">
        <x:v>پروژه/طرح</x:v>
      </x:c>
      <x:c r="H9" s="39" t="str">
        <x:v>تولید و کارآفرینی: توانایی تولید محصول و خدمات و ایجاد شغل.</x:v>
      </x:c>
      <x:c r="I9" s="39" t="str">
        <x:v>اکنون؛ پایه عملکرد</x:v>
      </x:c>
      <x:c r="J9" s="39" t="str">
        <x:v>کوچ اجرایی + متخصص مهارت‌های هیجانی/رفتاری</x:v>
      </x:c>
      <x:c r="K9" s="39" t="str"/>
      <x:c r="L9" s="39" t="str">
        <x:v>AP:P1471</x:v>
      </x:c>
      <x:c r="M9" s="39" t="str"/>
      <x:c r="N9" s="39" t="str">
        <x:v>نسخه پایه ۳۱۵۰</x:v>
      </x:c>
    </x:row>
    <x:row r="10" ht="34" customHeight="1">
      <x:c r="A10" s="34" t="str">
        <x:v>☐</x:v>
      </x:c>
      <x:c r="B10" s="34" t="str">
        <x:v>MI-1530</x:v>
      </x:c>
      <x:c r="C10" s="34" t="str">
        <x:v>M1 — فرد، پایه‌های عملکرد و خودشناسی</x:v>
      </x:c>
      <x:c r="D10" s="34" t="str">
        <x:v>H1</x:v>
      </x:c>
      <x:c r="E10" s="34" t="str">
        <x:v>پایه‌های زندگی و خودمدیریتی</x:v>
      </x:c>
      <x:c r="F10" s="34" t="str">
        <x:v>P0</x:v>
      </x:c>
      <x:c r="G10" s="34" t="str">
        <x:v>پروژه/طرح</x:v>
      </x:c>
      <x:c r="H10" s="39" t="str">
        <x:v>ایجاد ستاد تحول بسیج</x:v>
      </x:c>
      <x:c r="I10" s="39" t="str">
        <x:v>اکنون؛ پایه عملکرد</x:v>
      </x:c>
      <x:c r="J10" s="39" t="str">
        <x:v>کوچ اجرایی + متخصص مهارت‌های هیجانی/رفتاری</x:v>
      </x:c>
      <x:c r="K10" s="39" t="str"/>
      <x:c r="L10" s="39" t="str">
        <x:v>AP:P1503</x:v>
      </x:c>
      <x:c r="M10" s="39" t="str"/>
      <x:c r="N10" s="39" t="str">
        <x:v>نسخه پایه ۳۱۵۰</x:v>
      </x:c>
    </x:row>
    <x:row r="11" ht="34" customHeight="1">
      <x:c r="A11" s="34" t="str">
        <x:v>☐</x:v>
      </x:c>
      <x:c r="B11" s="34" t="str">
        <x:v>MI-2921</x:v>
      </x:c>
      <x:c r="C11" s="34" t="str">
        <x:v>M1 — فرد، پایه‌های عملکرد و خودشناسی</x:v>
      </x:c>
      <x:c r="D11" s="34" t="str">
        <x:v>H1</x:v>
      </x:c>
      <x:c r="E11" s="34" t="str">
        <x:v>پایه‌های زندگی و خودمدیریتی</x:v>
      </x:c>
      <x:c r="F11" s="34" t="str">
        <x:v>P0</x:v>
      </x:c>
      <x:c r="G11" s="34" t="str">
        <x:v>پروژه/طرح</x:v>
      </x:c>
      <x:c r="H11" s="39" t="str">
        <x:v>ساختار تصمیم گیری چگونه باید باشد</x:v>
      </x:c>
      <x:c r="I11" s="39" t="str">
        <x:v>اکنون؛ پایه عملکرد</x:v>
      </x:c>
      <x:c r="J11" s="39" t="str">
        <x:v>کوچ اجرایی + متخصص مهارت‌های هیجانی/رفتاری</x:v>
      </x:c>
      <x:c r="K11" s="39" t="str"/>
      <x:c r="L11" s="39" t="str">
        <x:v>E112:P3274</x:v>
      </x:c>
      <x:c r="M11" s="39" t="str"/>
      <x:c r="N11" s="39" t="str">
        <x:v>نسخه پایه ۳۱۵۰</x:v>
      </x:c>
    </x:row>
    <x:row r="12" ht="34" customHeight="1">
      <x:c r="A12" s="34" t="str">
        <x:v>☐</x:v>
      </x:c>
      <x:c r="B12" s="34" t="str">
        <x:v>MI-3034</x:v>
      </x:c>
      <x:c r="C12" s="34" t="str">
        <x:v>M1 — فرد، پایه‌های عملکرد و خودشناسی</x:v>
      </x:c>
      <x:c r="D12" s="34" t="str">
        <x:v>H1</x:v>
      </x:c>
      <x:c r="E12" s="34" t="str">
        <x:v>پایه‌های زندگی و خودمدیریتی</x:v>
      </x:c>
      <x:c r="F12" s="34" t="str">
        <x:v>P0</x:v>
      </x:c>
      <x:c r="G12" s="34" t="str">
        <x:v>پروژه/طرح</x:v>
      </x:c>
      <x:c r="H12" s="39" t="str">
        <x:v>7. ساختار تصمیم گیری</x:v>
      </x:c>
      <x:c r="I12" s="39" t="str">
        <x:v>اکنون؛ پایه عملکرد</x:v>
      </x:c>
      <x:c r="J12" s="39" t="str">
        <x:v>کوچ اجرایی + متخصص مهارت‌های هیجانی/رفتاری</x:v>
      </x:c>
      <x:c r="K12" s="39" t="str"/>
      <x:c r="L12" s="39" t="str">
        <x:v>E112:P3598</x:v>
      </x:c>
      <x:c r="M12" s="39" t="str"/>
      <x:c r="N12" s="39" t="str">
        <x:v>نسخه پایه ۳۱۵۰</x:v>
      </x:c>
    </x:row>
    <x:row r="13" ht="34" customHeight="1">
      <x:c r="A13" s="34" t="str">
        <x:v>☐</x:v>
      </x:c>
      <x:c r="B13" s="34" t="str">
        <x:v>MI-0005</x:v>
      </x:c>
      <x:c r="C13" s="34" t="str">
        <x:v>M1 — فرد، پایه‌های عملکرد و خودشناسی</x:v>
      </x:c>
      <x:c r="D13" s="34" t="str">
        <x:v>H1</x:v>
      </x:c>
      <x:c r="E13" s="34" t="str">
        <x:v>پایه‌های زندگی و خودمدیریتی</x:v>
      </x:c>
      <x:c r="F13" s="34" t="str">
        <x:v>P0</x:v>
      </x:c>
      <x:c r="G13" s="34" t="str">
        <x:v>مهارت/یادگیری</x:v>
      </x:c>
      <x:c r="H13" s="39" t="str">
        <x:v>افزایش دایره لغات انگلیسی</x:v>
      </x:c>
      <x:c r="I13" s="39" t="str">
        <x:v>اکنون؛ پایه عملکرد</x:v>
      </x:c>
      <x:c r="J13" s="39" t="str">
        <x:v>کوچ اجرایی + متخصص مهارت‌های هیجانی/رفتاری</x:v>
      </x:c>
      <x:c r="K13" s="39" t="str"/>
      <x:c r="L13" s="39" t="str">
        <x:v>PL:R6؛ AP:P1392</x:v>
      </x:c>
      <x:c r="M13" s="39" t="str"/>
      <x:c r="N13" s="39" t="str">
        <x:v>نسخه پایه ۳۱۵۰</x:v>
      </x:c>
    </x:row>
    <x:row r="14" ht="34" customHeight="1">
      <x:c r="A14" s="34" t="str">
        <x:v>☐</x:v>
      </x:c>
      <x:c r="B14" s="34" t="str">
        <x:v>MI-0019</x:v>
      </x:c>
      <x:c r="C14" s="34" t="str">
        <x:v>M1 — فرد، پایه‌های عملکرد و خودشناسی</x:v>
      </x:c>
      <x:c r="D14" s="34" t="str">
        <x:v>H1</x:v>
      </x:c>
      <x:c r="E14" s="34" t="str">
        <x:v>پایه‌های زندگی و خودمدیریتی</x:v>
      </x:c>
      <x:c r="F14" s="34" t="str">
        <x:v>P0</x:v>
      </x:c>
      <x:c r="G14" s="34" t="str">
        <x:v>مهارت/یادگیری</x:v>
      </x:c>
      <x:c r="H14" s="39" t="str">
        <x:v>آشنایی با نرم افزار املاک</x:v>
      </x:c>
      <x:c r="I14" s="39" t="str">
        <x:v>اکنون؛ پایه عملکرد</x:v>
      </x:c>
      <x:c r="J14" s="39" t="str">
        <x:v>کوچ اجرایی + متخصص مهارت‌های هیجانی/رفتاری</x:v>
      </x:c>
      <x:c r="K14" s="39" t="str"/>
      <x:c r="L14" s="39" t="str">
        <x:v>PL:R20؛ AP:P1435</x:v>
      </x:c>
      <x:c r="M14" s="39" t="str"/>
      <x:c r="N14" s="39" t="str">
        <x:v>نسخه پایه ۳۱۵۰</x:v>
      </x:c>
    </x:row>
    <x:row r="15" ht="34" customHeight="1">
      <x:c r="A15" s="34" t="str">
        <x:v>☐</x:v>
      </x:c>
      <x:c r="B15" s="34" t="str">
        <x:v>MI-0021</x:v>
      </x:c>
      <x:c r="C15" s="34" t="str">
        <x:v>M1 — فرد، پایه‌های عملکرد و خودشناسی</x:v>
      </x:c>
      <x:c r="D15" s="34" t="str">
        <x:v>H1</x:v>
      </x:c>
      <x:c r="E15" s="34" t="str">
        <x:v>پایه‌های زندگی و خودمدیریتی</x:v>
      </x:c>
      <x:c r="F15" s="34" t="str">
        <x:v>P0</x:v>
      </x:c>
      <x:c r="G15" s="34" t="str">
        <x:v>مهارت/یادگیری</x:v>
      </x:c>
      <x:c r="H15" s="39" t="str">
        <x:v>برنامه ریزی بسیار جدی تر برای دروس دانشگاه نوشیروانی بابل</x:v>
      </x:c>
      <x:c r="I15" s="39" t="str">
        <x:v>اکنون؛ پایه عملکرد</x:v>
      </x:c>
      <x:c r="J15" s="39" t="str">
        <x:v>کوچ اجرایی + متخصص مهارت‌های هیجانی/رفتاری</x:v>
      </x:c>
      <x:c r="K15" s="39" t="str"/>
      <x:c r="L15" s="39" t="str">
        <x:v>PL:R22؛ AP:P1376</x:v>
      </x:c>
      <x:c r="M15" s="39" t="str"/>
      <x:c r="N15" s="39" t="str">
        <x:v>نسخه پایه ۳۱۵۰</x:v>
      </x:c>
    </x:row>
    <x:row r="16" ht="34" customHeight="1">
      <x:c r="A16" s="34" t="str">
        <x:v>☐</x:v>
      </x:c>
      <x:c r="B16" s="34" t="str">
        <x:v>MI-0022</x:v>
      </x:c>
      <x:c r="C16" s="34" t="str">
        <x:v>M1 — فرد، پایه‌های عملکرد و خودشناسی</x:v>
      </x:c>
      <x:c r="D16" s="34" t="str">
        <x:v>H1</x:v>
      </x:c>
      <x:c r="E16" s="34" t="str">
        <x:v>پایه‌های زندگی و خودمدیریتی</x:v>
      </x:c>
      <x:c r="F16" s="34" t="str">
        <x:v>P0</x:v>
      </x:c>
      <x:c r="G16" s="34" t="str">
        <x:v>مهارت/یادگیری</x:v>
      </x:c>
      <x:c r="H16" s="39" t="str">
        <x:v>برنامه ریزی جدی برای دروس دانشگاه پیام نور</x:v>
      </x:c>
      <x:c r="I16" s="39" t="str">
        <x:v>اکنون؛ پایه عملکرد</x:v>
      </x:c>
      <x:c r="J16" s="39" t="str">
        <x:v>کوچ اجرایی + متخصص مهارت‌های هیجانی/رفتاری</x:v>
      </x:c>
      <x:c r="K16" s="39" t="str"/>
      <x:c r="L16" s="39" t="str">
        <x:v>PL:R23؛ AP:P1378</x:v>
      </x:c>
      <x:c r="M16" s="39" t="str"/>
      <x:c r="N16" s="39" t="str">
        <x:v>نسخه پایه ۳۱۵۰</x:v>
      </x:c>
    </x:row>
    <x:row r="17" ht="34" customHeight="1">
      <x:c r="A17" s="34" t="str">
        <x:v>☐</x:v>
      </x:c>
      <x:c r="B17" s="34" t="str">
        <x:v>MI-0023</x:v>
      </x:c>
      <x:c r="C17" s="34" t="str">
        <x:v>M1 — فرد، پایه‌های عملکرد و خودشناسی</x:v>
      </x:c>
      <x:c r="D17" s="34" t="str">
        <x:v>H1</x:v>
      </x:c>
      <x:c r="E17" s="34" t="str">
        <x:v>پایه‌های زندگی و خودمدیریتی</x:v>
      </x:c>
      <x:c r="F17" s="34" t="str">
        <x:v>P0</x:v>
      </x:c>
      <x:c r="G17" s="34" t="str">
        <x:v>مهارت/یادگیری</x:v>
      </x:c>
      <x:c r="H17" s="39" t="str">
        <x:v>برنامه ریزی دقیق و علمگرا هییت دانشگاه</x:v>
      </x:c>
      <x:c r="I17" s="39" t="str">
        <x:v>اکنون؛ پایه عملکرد</x:v>
      </x:c>
      <x:c r="J17" s="39" t="str">
        <x:v>کوچ اجرایی + متخصص مهارت‌های هیجانی/رفتاری</x:v>
      </x:c>
      <x:c r="K17" s="39" t="str"/>
      <x:c r="L17" s="39" t="str">
        <x:v>PL:R24؛ AP:P1377</x:v>
      </x:c>
      <x:c r="M17" s="39" t="str"/>
      <x:c r="N17" s="39" t="str">
        <x:v>نسخه پایه ۳۱۵۰</x:v>
      </x:c>
    </x:row>
    <x:row r="18" ht="34" customHeight="1">
      <x:c r="A18" s="34" t="str">
        <x:v>☐</x:v>
      </x:c>
      <x:c r="B18" s="34" t="str">
        <x:v>MI-0029</x:v>
      </x:c>
      <x:c r="C18" s="34" t="str">
        <x:v>M1 — فرد، پایه‌های عملکرد و خودشناسی</x:v>
      </x:c>
      <x:c r="D18" s="34" t="str">
        <x:v>H1</x:v>
      </x:c>
      <x:c r="E18" s="34" t="str">
        <x:v>پایه‌های زندگی و خودمدیریتی</x:v>
      </x:c>
      <x:c r="F18" s="34" t="str">
        <x:v>P0</x:v>
      </x:c>
      <x:c r="G18" s="34" t="str">
        <x:v>مهارت/یادگیری</x:v>
      </x:c>
      <x:c r="H18" s="39" t="str">
        <x:v>تدریس ریاضی و فیزیک</x:v>
      </x:c>
      <x:c r="I18" s="39" t="str">
        <x:v>اکنون؛ پایه عملکرد</x:v>
      </x:c>
      <x:c r="J18" s="39" t="str">
        <x:v>کوچ اجرایی + متخصص مهارت‌های هیجانی/رفتاری</x:v>
      </x:c>
      <x:c r="K18" s="39" t="str"/>
      <x:c r="L18" s="39" t="str">
        <x:v>PL:R30؛ AP:P1397</x:v>
      </x:c>
      <x:c r="M18" s="39" t="str"/>
      <x:c r="N18" s="39" t="str">
        <x:v>نسخه پایه ۳۱۵۰</x:v>
      </x:c>
    </x:row>
    <x:row r="19" ht="34" customHeight="1">
      <x:c r="A19" s="34" t="str">
        <x:v>☐</x:v>
      </x:c>
      <x:c r="B19" s="34" t="str">
        <x:v>MI-0050</x:v>
      </x:c>
      <x:c r="C19" s="34" t="str">
        <x:v>M1 — فرد، پایه‌های عملکرد و خودشناسی</x:v>
      </x:c>
      <x:c r="D19" s="34" t="str">
        <x:v>H1</x:v>
      </x:c>
      <x:c r="E19" s="34" t="str">
        <x:v>پایه‌های زندگی و خودمدیریتی</x:v>
      </x:c>
      <x:c r="F19" s="34" t="str">
        <x:v>P0</x:v>
      </x:c>
      <x:c r="G19" s="34" t="str">
        <x:v>مهارت/یادگیری</x:v>
      </x:c>
      <x:c r="H19" s="39" t="str">
        <x:v>گرفتن گواهینامه پایه 1</x:v>
      </x:c>
      <x:c r="I19" s="39" t="str">
        <x:v>اکنون؛ پایه عملکرد</x:v>
      </x:c>
      <x:c r="J19" s="39" t="str">
        <x:v>کوچ اجرایی + متخصص مهارت‌های هیجانی/رفتاری</x:v>
      </x:c>
      <x:c r="K19" s="39" t="str"/>
      <x:c r="L19" s="39" t="str">
        <x:v>PL:R51؛ AP:P1438</x:v>
      </x:c>
      <x:c r="M19" s="39" t="str"/>
      <x:c r="N19" s="39" t="str">
        <x:v>نسخه پایه ۳۱۵۰</x:v>
      </x:c>
    </x:row>
    <x:row r="20" ht="34" customHeight="1">
      <x:c r="A20" s="34" t="str">
        <x:v>☐</x:v>
      </x:c>
      <x:c r="B20" s="34" t="str">
        <x:v>MI-0051</x:v>
      </x:c>
      <x:c r="C20" s="34" t="str">
        <x:v>M1 — فرد، پایه‌های عملکرد و خودشناسی</x:v>
      </x:c>
      <x:c r="D20" s="34" t="str">
        <x:v>H1</x:v>
      </x:c>
      <x:c r="E20" s="34" t="str">
        <x:v>پایه‌های زندگی و خودمدیریتی</x:v>
      </x:c>
      <x:c r="F20" s="34" t="str">
        <x:v>P0</x:v>
      </x:c>
      <x:c r="G20" s="34" t="str">
        <x:v>مهارت/یادگیری</x:v>
      </x:c>
      <x:c r="H20" s="39" t="str">
        <x:v>گرفتن مدرک cnc</x:v>
      </x:c>
      <x:c r="I20" s="39" t="str">
        <x:v>اکنون؛ پایه عملکرد</x:v>
      </x:c>
      <x:c r="J20" s="39" t="str">
        <x:v>کوچ اجرایی + متخصص مهارت‌های هیجانی/رفتاری</x:v>
      </x:c>
      <x:c r="K20" s="39" t="str"/>
      <x:c r="L20" s="39" t="str">
        <x:v>PL:R52؛ AP:P1439</x:v>
      </x:c>
      <x:c r="M20" s="39" t="str"/>
      <x:c r="N20" s="39" t="str">
        <x:v>نسخه پایه ۳۱۵۰</x:v>
      </x:c>
    </x:row>
    <x:row r="21" ht="34" customHeight="1">
      <x:c r="A21" s="34" t="str">
        <x:v>☐</x:v>
      </x:c>
      <x:c r="B21" s="34" t="str">
        <x:v>MI-0053</x:v>
      </x:c>
      <x:c r="C21" s="34" t="str">
        <x:v>M1 — فرد، پایه‌های عملکرد و خودشناسی</x:v>
      </x:c>
      <x:c r="D21" s="34" t="str">
        <x:v>H1</x:v>
      </x:c>
      <x:c r="E21" s="34" t="str">
        <x:v>پایه‌های زندگی و خودمدیریتی</x:v>
      </x:c>
      <x:c r="F21" s="34" t="str">
        <x:v>P0</x:v>
      </x:c>
      <x:c r="G21" s="34" t="str">
        <x:v>مهارت/یادگیری</x:v>
      </x:c>
      <x:c r="H21" s="39" t="str">
        <x:v>گرفتن مدرک آیلتس</x:v>
      </x:c>
      <x:c r="I21" s="39" t="str">
        <x:v>اکنون؛ پایه عملکرد</x:v>
      </x:c>
      <x:c r="J21" s="39" t="str">
        <x:v>کوچ اجرایی + متخصص مهارت‌های هیجانی/رفتاری</x:v>
      </x:c>
      <x:c r="K21" s="39" t="str"/>
      <x:c r="L21" s="39" t="str">
        <x:v>PL:R54؛ AP:P1391</x:v>
      </x:c>
      <x:c r="M21" s="39" t="str"/>
      <x:c r="N21" s="39" t="str">
        <x:v>نسخه پایه ۳۱۵۰</x:v>
      </x:c>
    </x:row>
    <x:row r="22" ht="34" customHeight="1">
      <x:c r="A22" s="34" t="str">
        <x:v>☐</x:v>
      </x:c>
      <x:c r="B22" s="34" t="str">
        <x:v>MI-0055</x:v>
      </x:c>
      <x:c r="C22" s="34" t="str">
        <x:v>M1 — فرد، پایه‌های عملکرد و خودشناسی</x:v>
      </x:c>
      <x:c r="D22" s="34" t="str">
        <x:v>H1</x:v>
      </x:c>
      <x:c r="E22" s="34" t="str">
        <x:v>پایه‌های زندگی و خودمدیریتی</x:v>
      </x:c>
      <x:c r="F22" s="34" t="str">
        <x:v>P0</x:v>
      </x:c>
      <x:c r="G22" s="34" t="str">
        <x:v>مهارت/یادگیری</x:v>
      </x:c>
      <x:c r="H22" s="39" t="str">
        <x:v>گرفتن مدرک تکنسین داروخانه</x:v>
      </x:c>
      <x:c r="I22" s="39" t="str">
        <x:v>اکنون؛ پایه عملکرد</x:v>
      </x:c>
      <x:c r="J22" s="39" t="str">
        <x:v>کوچ اجرایی + متخصص مهارت‌های هیجانی/رفتاری</x:v>
      </x:c>
      <x:c r="K22" s="39" t="str"/>
      <x:c r="L22" s="39" t="str">
        <x:v>PL:R56؛ AP:P1441</x:v>
      </x:c>
      <x:c r="M22" s="39" t="str"/>
      <x:c r="N22" s="39" t="str">
        <x:v>نسخه پایه ۳۱۵۰</x:v>
      </x:c>
    </x:row>
    <x:row r="23" ht="34" customHeight="1">
      <x:c r="A23" s="34" t="str">
        <x:v>☐</x:v>
      </x:c>
      <x:c r="B23" s="34" t="str">
        <x:v>MI-0059</x:v>
      </x:c>
      <x:c r="C23" s="34" t="str">
        <x:v>M1 — فرد، پایه‌های عملکرد و خودشناسی</x:v>
      </x:c>
      <x:c r="D23" s="34" t="str">
        <x:v>H1</x:v>
      </x:c>
      <x:c r="E23" s="34" t="str">
        <x:v>پایه‌های زندگی و خودمدیریتی</x:v>
      </x:c>
      <x:c r="F23" s="34" t="str">
        <x:v>P0</x:v>
      </x:c>
      <x:c r="G23" s="34" t="str">
        <x:v>مهارت/یادگیری</x:v>
      </x:c>
      <x:c r="H23" s="39" t="str">
        <x:v>یادگیری AutoCAD Mechanical</x:v>
      </x:c>
      <x:c r="I23" s="39" t="str">
        <x:v>اکنون؛ پایه عملکرد</x:v>
      </x:c>
      <x:c r="J23" s="39" t="str">
        <x:v>کوچ اجرایی + متخصص مهارت‌های هیجانی/رفتاری</x:v>
      </x:c>
      <x:c r="K23" s="39" t="str"/>
      <x:c r="L23" s="39" t="str">
        <x:v>PL:R60؛ AP:P1411</x:v>
      </x:c>
      <x:c r="M23" s="39" t="str"/>
      <x:c r="N23" s="39" t="str">
        <x:v>نسخه پایه ۳۱۵۰</x:v>
      </x:c>
    </x:row>
    <x:row r="24" ht="34" customHeight="1">
      <x:c r="A24" s="34" t="str">
        <x:v>☐</x:v>
      </x:c>
      <x:c r="B24" s="34" t="str">
        <x:v>MI-0061</x:v>
      </x:c>
      <x:c r="C24" s="34" t="str">
        <x:v>M1 — فرد، پایه‌های عملکرد و خودشناسی</x:v>
      </x:c>
      <x:c r="D24" s="34" t="str">
        <x:v>H1</x:v>
      </x:c>
      <x:c r="E24" s="34" t="str">
        <x:v>پایه‌های زندگی و خودمدیریتی</x:v>
      </x:c>
      <x:c r="F24" s="34" t="str">
        <x:v>P0</x:v>
      </x:c>
      <x:c r="G24" s="34" t="str">
        <x:v>مهارت/یادگیری</x:v>
      </x:c>
      <x:c r="H24" s="39" t="str">
        <x:v>یادگیری اصول و فنون مذاکره</x:v>
      </x:c>
      <x:c r="I24" s="39" t="str">
        <x:v>اکنون؛ پایه عملکرد</x:v>
      </x:c>
      <x:c r="J24" s="39" t="str">
        <x:v>کوچ اجرایی + متخصص مهارت‌های هیجانی/رفتاری</x:v>
      </x:c>
      <x:c r="K24" s="39" t="str"/>
      <x:c r="L24" s="39" t="str">
        <x:v>PL:R62؛ AP:P1370</x:v>
      </x:c>
      <x:c r="M24" s="39" t="str"/>
      <x:c r="N24" s="39" t="str">
        <x:v>نسخه پایه ۳۱۵۰</x:v>
      </x:c>
    </x:row>
    <x:row r="25" ht="34" customHeight="1">
      <x:c r="A25" s="34" t="str">
        <x:v>☐</x:v>
      </x:c>
      <x:c r="B25" s="34" t="str">
        <x:v>MI-0067</x:v>
      </x:c>
      <x:c r="C25" s="34" t="str">
        <x:v>M1 — فرد، پایه‌های عملکرد و خودشناسی</x:v>
      </x:c>
      <x:c r="D25" s="34" t="str">
        <x:v>H1</x:v>
      </x:c>
      <x:c r="E25" s="34" t="str">
        <x:v>پایه‌های زندگی و خودمدیریتی</x:v>
      </x:c>
      <x:c r="F25" s="34" t="str">
        <x:v>P0</x:v>
      </x:c>
      <x:c r="G25" s="34" t="str">
        <x:v>مهارت/یادگیری</x:v>
      </x:c>
      <x:c r="H25" s="39" t="str">
        <x:v>یادگیری روش تعامل با افراد گوناگون</x:v>
      </x:c>
      <x:c r="I25" s="39" t="str">
        <x:v>اکنون؛ پایه عملکرد</x:v>
      </x:c>
      <x:c r="J25" s="39" t="str">
        <x:v>کوچ اجرایی + متخصص مهارت‌های هیجانی/رفتاری</x:v>
      </x:c>
      <x:c r="K25" s="39" t="str"/>
      <x:c r="L25" s="39" t="str">
        <x:v>PL:R68؛ AP:P1367</x:v>
      </x:c>
      <x:c r="M25" s="39" t="str"/>
      <x:c r="N25" s="39" t="str">
        <x:v>نسخه پایه ۳۱۵۰</x:v>
      </x:c>
    </x:row>
    <x:row r="26" ht="34" customHeight="1">
      <x:c r="A26" s="34" t="str">
        <x:v>☐</x:v>
      </x:c>
      <x:c r="B26" s="34" t="str">
        <x:v>MI-0068</x:v>
      </x:c>
      <x:c r="C26" s="34" t="str">
        <x:v>M1 — فرد، پایه‌های عملکرد و خودشناسی</x:v>
      </x:c>
      <x:c r="D26" s="34" t="str">
        <x:v>H1</x:v>
      </x:c>
      <x:c r="E26" s="34" t="str">
        <x:v>پایه‌های زندگی و خودمدیریتی</x:v>
      </x:c>
      <x:c r="F26" s="34" t="str">
        <x:v>P0</x:v>
      </x:c>
      <x:c r="G26" s="34" t="str">
        <x:v>مهارت/یادگیری</x:v>
      </x:c>
      <x:c r="H26" s="39" t="str">
        <x:v>یادگیری زبان برنامه نویسی اندروید</x:v>
      </x:c>
      <x:c r="I26" s="39" t="str">
        <x:v>اکنون؛ پایه عملکرد</x:v>
      </x:c>
      <x:c r="J26" s="39" t="str">
        <x:v>کوچ اجرایی + متخصص مهارت‌های هیجانی/رفتاری</x:v>
      </x:c>
      <x:c r="K26" s="39" t="str"/>
      <x:c r="L26" s="39" t="str">
        <x:v>PL:R69؛ AP:P1422</x:v>
      </x:c>
      <x:c r="M26" s="39" t="str"/>
      <x:c r="N26" s="39" t="str">
        <x:v>نسخه پایه ۳۱۵۰</x:v>
      </x:c>
    </x:row>
    <x:row r="27" ht="34" customHeight="1">
      <x:c r="A27" s="34" t="str">
        <x:v>☐</x:v>
      </x:c>
      <x:c r="B27" s="34" t="str">
        <x:v>MI-0070</x:v>
      </x:c>
      <x:c r="C27" s="34" t="str">
        <x:v>M1 — فرد، پایه‌های عملکرد و خودشناسی</x:v>
      </x:c>
      <x:c r="D27" s="34" t="str">
        <x:v>H1</x:v>
      </x:c>
      <x:c r="E27" s="34" t="str">
        <x:v>پایه‌های زندگی و خودمدیریتی</x:v>
      </x:c>
      <x:c r="F27" s="34" t="str">
        <x:v>P0</x:v>
      </x:c>
      <x:c r="G27" s="34" t="str">
        <x:v>مهارت/یادگیری</x:v>
      </x:c>
      <x:c r="H27" s="39" t="str">
        <x:v>یادگیری عربی خمسه عراق - دبی</x:v>
      </x:c>
      <x:c r="I27" s="39" t="str">
        <x:v>اکنون؛ پایه عملکرد</x:v>
      </x:c>
      <x:c r="J27" s="39" t="str">
        <x:v>کوچ اجرایی + متخصص مهارت‌های هیجانی/رفتاری</x:v>
      </x:c>
      <x:c r="K27" s="39" t="str"/>
      <x:c r="L27" s="39" t="str">
        <x:v>PL:R71؛ AP:P1390</x:v>
      </x:c>
      <x:c r="M27" s="39" t="str"/>
      <x:c r="N27" s="39" t="str">
        <x:v>نسخه پایه ۳۱۵۰</x:v>
      </x:c>
    </x:row>
    <x:row r="28" ht="34" customHeight="1">
      <x:c r="A28" s="34" t="str">
        <x:v>☐</x:v>
      </x:c>
      <x:c r="B28" s="34" t="str">
        <x:v>MI-0071</x:v>
      </x:c>
      <x:c r="C28" s="34" t="str">
        <x:v>M1 — فرد، پایه‌های عملکرد و خودشناسی</x:v>
      </x:c>
      <x:c r="D28" s="34" t="str">
        <x:v>H1</x:v>
      </x:c>
      <x:c r="E28" s="34" t="str">
        <x:v>پایه‌های زندگی و خودمدیریتی</x:v>
      </x:c>
      <x:c r="F28" s="34" t="str">
        <x:v>P0</x:v>
      </x:c>
      <x:c r="G28" s="34" t="str">
        <x:v>مهارت/یادگیری</x:v>
      </x:c>
      <x:c r="H28" s="39" t="str">
        <x:v>یادگیری فن سخنوری</x:v>
      </x:c>
      <x:c r="I28" s="39" t="str">
        <x:v>اکنون؛ پایه عملکرد</x:v>
      </x:c>
      <x:c r="J28" s="39" t="str">
        <x:v>کوچ اجرایی + متخصص مهارت‌های هیجانی/رفتاری</x:v>
      </x:c>
      <x:c r="K28" s="39" t="str"/>
      <x:c r="L28" s="39" t="str">
        <x:v>PL:R72؛ AP:P1366</x:v>
      </x:c>
      <x:c r="M28" s="39" t="str"/>
      <x:c r="N28" s="39" t="str">
        <x:v>نسخه پایه ۳۱۵۰</x:v>
      </x:c>
    </x:row>
    <x:row r="29" ht="34" customHeight="1">
      <x:c r="A29" s="34" t="str">
        <x:v>☐</x:v>
      </x:c>
      <x:c r="B29" s="34" t="str">
        <x:v>MI-0077</x:v>
      </x:c>
      <x:c r="C29" s="34" t="str">
        <x:v>M1 — فرد، پایه‌های عملکرد و خودشناسی</x:v>
      </x:c>
      <x:c r="D29" s="34" t="str">
        <x:v>H1</x:v>
      </x:c>
      <x:c r="E29" s="34" t="str">
        <x:v>پایه‌های زندگی و خودمدیریتی</x:v>
      </x:c>
      <x:c r="F29" s="34" t="str">
        <x:v>P0</x:v>
      </x:c>
      <x:c r="G29" s="34" t="str">
        <x:v>مهارت/یادگیری</x:v>
      </x:c>
      <x:c r="H29" s="39" t="str">
        <x:v>یادگیری هوش هیجانی و قدرت تصمیم گیری بالا در لحظه</x:v>
      </x:c>
      <x:c r="I29" s="39" t="str">
        <x:v>اکنون؛ پایه عملکرد</x:v>
      </x:c>
      <x:c r="J29" s="39" t="str">
        <x:v>کوچ اجرایی + متخصص مهارت‌های هیجانی/رفتاری</x:v>
      </x:c>
      <x:c r="K29" s="39" t="str"/>
      <x:c r="L29" s="39" t="str">
        <x:v>PL:R78؛ AP:P1371</x:v>
      </x:c>
      <x:c r="M29" s="39" t="str"/>
      <x:c r="N29" s="39" t="str">
        <x:v>نسخه پایه ۳۱۵۰</x:v>
      </x:c>
    </x:row>
    <x:row r="30" ht="34" customHeight="1">
      <x:c r="A30" s="34" t="str">
        <x:v>☐</x:v>
      </x:c>
      <x:c r="B30" s="34" t="str">
        <x:v>MI-0090</x:v>
      </x:c>
      <x:c r="C30" s="34" t="str">
        <x:v>M1 — فرد، پایه‌های عملکرد و خودشناسی</x:v>
      </x:c>
      <x:c r="D30" s="34" t="str">
        <x:v>H1</x:v>
      </x:c>
      <x:c r="E30" s="34" t="str">
        <x:v>پایه‌های زندگی و خودمدیریتی</x:v>
      </x:c>
      <x:c r="F30" s="34" t="str">
        <x:v>P0</x:v>
      </x:c>
      <x:c r="G30" s="34" t="str">
        <x:v>مهارت/یادگیری</x:v>
      </x:c>
      <x:c r="H30" s="39" t="str">
        <x:v>مهارت شبکه سازی</x:v>
      </x:c>
      <x:c r="I30" s="39" t="str">
        <x:v>اکنون؛ پایه عملکرد</x:v>
      </x:c>
      <x:c r="J30" s="39" t="str">
        <x:v>کوچ اجرایی + متخصص مهارت‌های هیجانی/رفتاری</x:v>
      </x:c>
      <x:c r="K30" s="39" t="str"/>
      <x:c r="L30" s="39" t="str">
        <x:v>PL:R92؛ AP:P1455</x:v>
      </x:c>
      <x:c r="M30" s="39" t="str"/>
      <x:c r="N30" s="39" t="str">
        <x:v>نسخه پایه ۳۱۵۰</x:v>
      </x:c>
    </x:row>
    <x:row r="31" ht="34" customHeight="1">
      <x:c r="A31" s="34" t="str">
        <x:v>☐</x:v>
      </x:c>
      <x:c r="B31" s="34" t="str">
        <x:v>MI-0110</x:v>
      </x:c>
      <x:c r="C31" s="34" t="str">
        <x:v>M1 — فرد، پایه‌های عملکرد و خودشناسی</x:v>
      </x:c>
      <x:c r="D31" s="34" t="str">
        <x:v>H1</x:v>
      </x:c>
      <x:c r="E31" s="34" t="str">
        <x:v>پایه‌های زندگی و خودمدیریتی</x:v>
      </x:c>
      <x:c r="F31" s="34" t="str">
        <x:v>P0</x:v>
      </x:c>
      <x:c r="G31" s="34" t="str">
        <x:v>مهارت/یادگیری</x:v>
      </x:c>
      <x:c r="H31" s="39" t="str">
        <x:v>خلاقیت و ایده پردازی</x:v>
      </x:c>
      <x:c r="I31" s="39" t="str">
        <x:v>اکنون؛ پایه عملکرد</x:v>
      </x:c>
      <x:c r="J31" s="39" t="str">
        <x:v>کوچ اجرایی + متخصص مهارت‌های هیجانی/رفتاری</x:v>
      </x:c>
      <x:c r="K31" s="39" t="str"/>
      <x:c r="L31" s="39" t="str">
        <x:v>PL:R112؛ AP:P1399</x:v>
      </x:c>
      <x:c r="M31" s="39" t="str"/>
      <x:c r="N31" s="39" t="str">
        <x:v>نسخه پایه ۳۱۵۰</x:v>
      </x:c>
    </x:row>
    <x:row r="32" ht="34" customHeight="1">
      <x:c r="A32" s="34" t="str">
        <x:v>☐</x:v>
      </x:c>
      <x:c r="B32" s="34" t="str">
        <x:v>MI-0113</x:v>
      </x:c>
      <x:c r="C32" s="34" t="str">
        <x:v>M1 — فرد، پایه‌های عملکرد و خودشناسی</x:v>
      </x:c>
      <x:c r="D32" s="34" t="str">
        <x:v>H1</x:v>
      </x:c>
      <x:c r="E32" s="34" t="str">
        <x:v>پایه‌های زندگی و خودمدیریتی</x:v>
      </x:c>
      <x:c r="F32" s="34" t="str">
        <x:v>P0</x:v>
      </x:c>
      <x:c r="G32" s="34" t="str">
        <x:v>مهارت/یادگیری</x:v>
      </x:c>
      <x:c r="H32" s="39" t="str">
        <x:v>flask</x:v>
      </x:c>
      <x:c r="I32" s="39" t="str">
        <x:v>اکنون؛ پایه عملکرد</x:v>
      </x:c>
      <x:c r="J32" s="39" t="str">
        <x:v>کوچ اجرایی + متخصص مهارت‌های هیجانی/رفتاری</x:v>
      </x:c>
      <x:c r="K32" s="39" t="str"/>
      <x:c r="L32" s="39" t="str">
        <x:v>PL:R115؛ AP:P1425</x:v>
      </x:c>
      <x:c r="M32" s="39" t="str"/>
      <x:c r="N32" s="39" t="str">
        <x:v>نسخه پایه ۳۱۵۰</x:v>
      </x:c>
    </x:row>
    <x:row r="33" ht="34" customHeight="1">
      <x:c r="A33" s="34" t="str">
        <x:v>☐</x:v>
      </x:c>
      <x:c r="B33" s="34" t="str">
        <x:v>MI-0117</x:v>
      </x:c>
      <x:c r="C33" s="34" t="str">
        <x:v>M1 — فرد، پایه‌های عملکرد و خودشناسی</x:v>
      </x:c>
      <x:c r="D33" s="34" t="str">
        <x:v>H1</x:v>
      </x:c>
      <x:c r="E33" s="34" t="str">
        <x:v>پایه‌های زندگی و خودمدیریتی</x:v>
      </x:c>
      <x:c r="F33" s="34" t="str">
        <x:v>P0</x:v>
      </x:c>
      <x:c r="G33" s="34" t="str">
        <x:v>مهارت/یادگیری</x:v>
      </x:c>
      <x:c r="H33" s="39" t="str">
        <x:v>etap</x:v>
      </x:c>
      <x:c r="I33" s="39" t="str">
        <x:v>اکنون؛ پایه عملکرد</x:v>
      </x:c>
      <x:c r="J33" s="39" t="str">
        <x:v>کوچ اجرایی + متخصص مهارت‌های هیجانی/رفتاری</x:v>
      </x:c>
      <x:c r="K33" s="39" t="str"/>
      <x:c r="L33" s="39" t="str">
        <x:v>PL:R119؛ AP:P1417</x:v>
      </x:c>
      <x:c r="M33" s="39" t="str"/>
      <x:c r="N33" s="39" t="str">
        <x:v>نسخه پایه ۳۱۵۰</x:v>
      </x:c>
    </x:row>
    <x:row r="34" ht="34" customHeight="1">
      <x:c r="A34" s="34" t="str">
        <x:v>☐</x:v>
      </x:c>
      <x:c r="B34" s="34" t="str">
        <x:v>MI-0122</x:v>
      </x:c>
      <x:c r="C34" s="34" t="str">
        <x:v>M1 — فرد، پایه‌های عملکرد و خودشناسی</x:v>
      </x:c>
      <x:c r="D34" s="34" t="str">
        <x:v>H1</x:v>
      </x:c>
      <x:c r="E34" s="34" t="str">
        <x:v>پایه‌های زندگی و خودمدیریتی</x:v>
      </x:c>
      <x:c r="F34" s="34" t="str">
        <x:v>P0</x:v>
      </x:c>
      <x:c r="G34" s="34" t="str">
        <x:v>مهارت/یادگیری</x:v>
      </x:c>
      <x:c r="H34" s="39" t="str">
        <x:v>odoo</x:v>
      </x:c>
      <x:c r="I34" s="39" t="str">
        <x:v>اکنون؛ پایه عملکرد</x:v>
      </x:c>
      <x:c r="J34" s="39" t="str">
        <x:v>کوچ اجرایی + متخصص مهارت‌های هیجانی/رفتاری</x:v>
      </x:c>
      <x:c r="K34" s="39" t="str"/>
      <x:c r="L34" s="39" t="str">
        <x:v>PL:R124؛ AP:P1408</x:v>
      </x:c>
      <x:c r="M34" s="39" t="str"/>
      <x:c r="N34" s="39" t="str">
        <x:v>نسخه پایه ۳۱۵۰</x:v>
      </x:c>
    </x:row>
    <x:row r="35" ht="34" customHeight="1">
      <x:c r="A35" s="34" t="str">
        <x:v>☐</x:v>
      </x:c>
      <x:c r="B35" s="34" t="str">
        <x:v>MI-0123</x:v>
      </x:c>
      <x:c r="C35" s="34" t="str">
        <x:v>M1 — فرد، پایه‌های عملکرد و خودشناسی</x:v>
      </x:c>
      <x:c r="D35" s="34" t="str">
        <x:v>H1</x:v>
      </x:c>
      <x:c r="E35" s="34" t="str">
        <x:v>پایه‌های زندگی و خودمدیریتی</x:v>
      </x:c>
      <x:c r="F35" s="34" t="str">
        <x:v>P0</x:v>
      </x:c>
      <x:c r="G35" s="34" t="str">
        <x:v>مهارت/یادگیری</x:v>
      </x:c>
      <x:c r="H35" s="39" t="str">
        <x:v>crm</x:v>
      </x:c>
      <x:c r="I35" s="39" t="str">
        <x:v>اکنون؛ پایه عملکرد</x:v>
      </x:c>
      <x:c r="J35" s="39" t="str">
        <x:v>کوچ اجرایی + متخصص مهارت‌های هیجانی/رفتاری</x:v>
      </x:c>
      <x:c r="K35" s="39" t="str"/>
      <x:c r="L35" s="39" t="str">
        <x:v>PL:R125؛ PL:R145؛ AP:P1407</x:v>
      </x:c>
      <x:c r="M35" s="39" t="str"/>
      <x:c r="N35" s="39" t="str">
        <x:v>نسخه پایه ۳۱۵۰</x:v>
      </x:c>
    </x:row>
    <x:row r="36" ht="34" customHeight="1">
      <x:c r="A36" s="34" t="str">
        <x:v>☐</x:v>
      </x:c>
      <x:c r="B36" s="34" t="str">
        <x:v>MI-0162</x:v>
      </x:c>
      <x:c r="C36" s="34" t="str">
        <x:v>M1 — فرد، پایه‌های عملکرد و خودشناسی</x:v>
      </x:c>
      <x:c r="D36" s="34" t="str">
        <x:v>H1</x:v>
      </x:c>
      <x:c r="E36" s="34" t="str">
        <x:v>پایه‌های زندگی و خودمدیریتی</x:v>
      </x:c>
      <x:c r="F36" s="34" t="str">
        <x:v>P0</x:v>
      </x:c>
      <x:c r="G36" s="34" t="str">
        <x:v>مهارت/یادگیری</x:v>
      </x:c>
      <x:c r="H36" s="39" t="str">
        <x:v>SIMULINK</x:v>
      </x:c>
      <x:c r="I36" s="39" t="str">
        <x:v>اکنون؛ پایه عملکرد</x:v>
      </x:c>
      <x:c r="J36" s="39" t="str">
        <x:v>کوچ اجرایی + متخصص مهارت‌های هیجانی/رفتاری</x:v>
      </x:c>
      <x:c r="K36" s="39" t="str"/>
      <x:c r="L36" s="39" t="str">
        <x:v>PL:R167؛ AP:P1418</x:v>
      </x:c>
      <x:c r="M36" s="39" t="str"/>
      <x:c r="N36" s="39" t="str">
        <x:v>نسخه پایه ۳۱۵۰</x:v>
      </x:c>
    </x:row>
    <x:row r="37" ht="34" customHeight="1">
      <x:c r="A37" s="34" t="str">
        <x:v>☐</x:v>
      </x:c>
      <x:c r="B37" s="34" t="str">
        <x:v>MI-0173</x:v>
      </x:c>
      <x:c r="C37" s="34" t="str">
        <x:v>M1 — فرد، پایه‌های عملکرد و خودشناسی</x:v>
      </x:c>
      <x:c r="D37" s="34" t="str">
        <x:v>H1</x:v>
      </x:c>
      <x:c r="E37" s="34" t="str">
        <x:v>پایه‌های زندگی و خودمدیریتی</x:v>
      </x:c>
      <x:c r="F37" s="34" t="str">
        <x:v>P0</x:v>
      </x:c>
      <x:c r="G37" s="34" t="str">
        <x:v>مهارت/یادگیری</x:v>
      </x:c>
      <x:c r="H37" s="39" t="str">
        <x:v>جستجو در منابع سریع</x:v>
      </x:c>
      <x:c r="I37" s="39" t="str">
        <x:v>اکنون؛ پایه عملکرد</x:v>
      </x:c>
      <x:c r="J37" s="39" t="str">
        <x:v>کوچ اجرایی + متخصص مهارت‌های هیجانی/رفتاری</x:v>
      </x:c>
      <x:c r="K37" s="39" t="str"/>
      <x:c r="L37" s="39" t="str">
        <x:v>PL:R178؛ AP:P1402</x:v>
      </x:c>
      <x:c r="M37" s="39" t="str"/>
      <x:c r="N37" s="39" t="str">
        <x:v>نسخه پایه ۳۱۵۰</x:v>
      </x:c>
    </x:row>
    <x:row r="38" ht="34" customHeight="1">
      <x:c r="A38" s="34" t="str">
        <x:v>☐</x:v>
      </x:c>
      <x:c r="B38" s="34" t="str">
        <x:v>MI-0186</x:v>
      </x:c>
      <x:c r="C38" s="34" t="str">
        <x:v>M1 — فرد، پایه‌های عملکرد و خودشناسی</x:v>
      </x:c>
      <x:c r="D38" s="34" t="str">
        <x:v>H1</x:v>
      </x:c>
      <x:c r="E38" s="34" t="str">
        <x:v>پایه‌های زندگی و خودمدیریتی</x:v>
      </x:c>
      <x:c r="F38" s="34" t="str">
        <x:v>P0</x:v>
      </x:c>
      <x:c r="G38" s="34" t="str">
        <x:v>مهارت/یادگیری</x:v>
      </x:c>
      <x:c r="H38" s="39" t="str">
        <x:v>فن بیان</x:v>
      </x:c>
      <x:c r="I38" s="39" t="str">
        <x:v>اکنون؛ پایه عملکرد</x:v>
      </x:c>
      <x:c r="J38" s="39" t="str">
        <x:v>کوچ اجرایی + متخصص مهارت‌های هیجانی/رفتاری</x:v>
      </x:c>
      <x:c r="K38" s="39" t="str"/>
      <x:c r="L38" s="39" t="str">
        <x:v>PL:R191؛ AP:P1365</x:v>
      </x:c>
      <x:c r="M38" s="39" t="str"/>
      <x:c r="N38" s="39" t="str">
        <x:v>نسخه پایه ۳۱۵۰</x:v>
      </x:c>
    </x:row>
    <x:row r="39" ht="34" customHeight="1">
      <x:c r="A39" s="34" t="str">
        <x:v>☐</x:v>
      </x:c>
      <x:c r="B39" s="34" t="str">
        <x:v>MI-1435</x:v>
      </x:c>
      <x:c r="C39" s="34" t="str">
        <x:v>M1 — فرد، پایه‌های عملکرد و خودشناسی</x:v>
      </x:c>
      <x:c r="D39" s="34" t="str">
        <x:v>H1</x:v>
      </x:c>
      <x:c r="E39" s="34" t="str">
        <x:v>پایه‌های زندگی و خودمدیریتی</x:v>
      </x:c>
      <x:c r="F39" s="34" t="str">
        <x:v>P0</x:v>
      </x:c>
      <x:c r="G39" s="34" t="str">
        <x:v>مهارت/یادگیری</x:v>
      </x:c>
      <x:c r="H39" s="39" t="str">
        <x:v>دوره ترک گناه</x:v>
      </x:c>
      <x:c r="I39" s="39" t="str">
        <x:v>اکنون؛ پایه عملکرد</x:v>
      </x:c>
      <x:c r="J39" s="39" t="str">
        <x:v>کوچ اجرایی + متخصص مهارت‌های هیجانی/رفتاری</x:v>
      </x:c>
      <x:c r="K39" s="39" t="str"/>
      <x:c r="L39" s="39" t="str">
        <x:v>AP:P1335</x:v>
      </x:c>
      <x:c r="M39" s="39" t="str"/>
      <x:c r="N39" s="39" t="str">
        <x:v>نسخه پایه ۳۱۵۰</x:v>
      </x:c>
    </x:row>
    <x:row r="40" ht="34" customHeight="1">
      <x:c r="A40" s="34" t="str">
        <x:v>☐</x:v>
      </x:c>
      <x:c r="B40" s="34" t="str">
        <x:v>MI-1461</x:v>
      </x:c>
      <x:c r="C40" s="34" t="str">
        <x:v>M1 — فرد، پایه‌های عملکرد و خودشناسی</x:v>
      </x:c>
      <x:c r="D40" s="34" t="str">
        <x:v>H1</x:v>
      </x:c>
      <x:c r="E40" s="34" t="str">
        <x:v>پایه‌های زندگی و خودمدیریتی</x:v>
      </x:c>
      <x:c r="F40" s="34" t="str">
        <x:v>P0</x:v>
      </x:c>
      <x:c r="G40" s="34" t="str">
        <x:v>مهارت/یادگیری</x:v>
      </x:c>
      <x:c r="H40" s="39" t="str">
        <x:v>مهارت های ارتباطی و بین فردی</x:v>
      </x:c>
      <x:c r="I40" s="39" t="str">
        <x:v>اکنون؛ پایه عملکرد</x:v>
      </x:c>
      <x:c r="J40" s="39" t="str">
        <x:v>کوچ اجرایی + متخصص مهارت‌های هیجانی/رفتاری</x:v>
      </x:c>
      <x:c r="K40" s="39" t="str"/>
      <x:c r="L40" s="39" t="str">
        <x:v>AP:P1364</x:v>
      </x:c>
      <x:c r="M40" s="39" t="str"/>
      <x:c r="N40" s="39" t="str">
        <x:v>نسخه پایه ۳۱۵۰</x:v>
      </x:c>
    </x:row>
    <x:row r="41" ht="34" customHeight="1">
      <x:c r="A41" s="34" t="str">
        <x:v>☐</x:v>
      </x:c>
      <x:c r="B41" s="34" t="str">
        <x:v>MI-1464</x:v>
      </x:c>
      <x:c r="C41" s="34" t="str">
        <x:v>M1 — فرد، پایه‌های عملکرد و خودشناسی</x:v>
      </x:c>
      <x:c r="D41" s="34" t="str">
        <x:v>H1</x:v>
      </x:c>
      <x:c r="E41" s="34" t="str">
        <x:v>پایه‌های زندگی و خودمدیریتی</x:v>
      </x:c>
      <x:c r="F41" s="34" t="str">
        <x:v>P0</x:v>
      </x:c>
      <x:c r="G41" s="34" t="str">
        <x:v>مهارت/یادگیری</x:v>
      </x:c>
      <x:c r="H41" s="39" t="str">
        <x:v>تحصیلات و یادگیری</x:v>
      </x:c>
      <x:c r="I41" s="39" t="str">
        <x:v>اکنون؛ پایه عملکرد</x:v>
      </x:c>
      <x:c r="J41" s="39" t="str">
        <x:v>کوچ اجرایی + متخصص مهارت‌های هیجانی/رفتاری</x:v>
      </x:c>
      <x:c r="K41" s="39" t="str"/>
      <x:c r="L41" s="39" t="str">
        <x:v>AP:P1374</x:v>
      </x:c>
      <x:c r="M41" s="39" t="str"/>
      <x:c r="N41" s="39" t="str">
        <x:v>نسخه پایه ۳۱۵۰</x:v>
      </x:c>
    </x:row>
    <x:row r="42" ht="34" customHeight="1">
      <x:c r="A42" s="34" t="str">
        <x:v>☐</x:v>
      </x:c>
      <x:c r="B42" s="34" t="str">
        <x:v>MI-1465</x:v>
      </x:c>
      <x:c r="C42" s="34" t="str">
        <x:v>M1 — فرد، پایه‌های عملکرد و خودشناسی</x:v>
      </x:c>
      <x:c r="D42" s="34" t="str">
        <x:v>H1</x:v>
      </x:c>
      <x:c r="E42" s="34" t="str">
        <x:v>پایه‌های زندگی و خودمدیریتی</x:v>
      </x:c>
      <x:c r="F42" s="34" t="str">
        <x:v>P0</x:v>
      </x:c>
      <x:c r="G42" s="34" t="str">
        <x:v>مهارت/یادگیری</x:v>
      </x:c>
      <x:c r="H42" s="39" t="str">
        <x:v>برنامه ریزی تحصیلی:</x:v>
      </x:c>
      <x:c r="I42" s="39" t="str">
        <x:v>اکنون؛ پایه عملکرد</x:v>
      </x:c>
      <x:c r="J42" s="39" t="str">
        <x:v>کوچ اجرایی + متخصص مهارت‌های هیجانی/رفتاری</x:v>
      </x:c>
      <x:c r="K42" s="39" t="str"/>
      <x:c r="L42" s="39" t="str">
        <x:v>AP:P1375</x:v>
      </x:c>
      <x:c r="M42" s="39" t="str"/>
      <x:c r="N42" s="39" t="str">
        <x:v>نسخه پایه ۳۱۵۰</x:v>
      </x:c>
    </x:row>
    <x:row r="43" ht="34" customHeight="1">
      <x:c r="A43" s="34" t="str">
        <x:v>☐</x:v>
      </x:c>
      <x:c r="B43" s="34" t="str">
        <x:v>MI-1466</x:v>
      </x:c>
      <x:c r="C43" s="34" t="str">
        <x:v>M1 — فرد، پایه‌های عملکرد و خودشناسی</x:v>
      </x:c>
      <x:c r="D43" s="34" t="str">
        <x:v>H1</x:v>
      </x:c>
      <x:c r="E43" s="34" t="str">
        <x:v>پایه‌های زندگی و خودمدیریتی</x:v>
      </x:c>
      <x:c r="F43" s="34" t="str">
        <x:v>P0</x:v>
      </x:c>
      <x:c r="G43" s="34" t="str">
        <x:v>مهارت/یادگیری</x:v>
      </x:c>
      <x:c r="H43" s="39" t="str">
        <x:v>تحصیلات دانشگاهی:</x:v>
      </x:c>
      <x:c r="I43" s="39" t="str">
        <x:v>اکنون؛ پایه عملکرد</x:v>
      </x:c>
      <x:c r="J43" s="39" t="str">
        <x:v>کوچ اجرایی + متخصص مهارت‌های هیجانی/رفتاری</x:v>
      </x:c>
      <x:c r="K43" s="39" t="str"/>
      <x:c r="L43" s="39" t="str">
        <x:v>AP:P1379</x:v>
      </x:c>
      <x:c r="M43" s="39" t="str"/>
      <x:c r="N43" s="39" t="str">
        <x:v>نسخه پایه ۳۱۵۰</x:v>
      </x:c>
    </x:row>
    <x:row r="44" ht="34" customHeight="1">
      <x:c r="A44" s="34" t="str">
        <x:v>☐</x:v>
      </x:c>
      <x:c r="B44" s="34" t="str">
        <x:v>MI-1468</x:v>
      </x:c>
      <x:c r="C44" s="34" t="str">
        <x:v>M1 — فرد، پایه‌های عملکرد و خودشناسی</x:v>
      </x:c>
      <x:c r="D44" s="34" t="str">
        <x:v>H1</x:v>
      </x:c>
      <x:c r="E44" s="34" t="str">
        <x:v>پایه‌های زندگی و خودمدیریتی</x:v>
      </x:c>
      <x:c r="F44" s="34" t="str">
        <x:v>P0</x:v>
      </x:c>
      <x:c r="G44" s="34" t="str">
        <x:v>مهارت/یادگیری</x:v>
      </x:c>
      <x:c r="H44" s="39" t="str">
        <x:v>یادگیری زبان:</x:v>
      </x:c>
      <x:c r="I44" s="39" t="str">
        <x:v>اکنون؛ پایه عملکرد</x:v>
      </x:c>
      <x:c r="J44" s="39" t="str">
        <x:v>کوچ اجرایی + متخصص مهارت‌های هیجانی/رفتاری</x:v>
      </x:c>
      <x:c r="K44" s="39" t="str"/>
      <x:c r="L44" s="39" t="str">
        <x:v>AP:P1385</x:v>
      </x:c>
      <x:c r="M44" s="39" t="str"/>
      <x:c r="N44" s="39" t="str">
        <x:v>نسخه پایه ۳۱۵۰</x:v>
      </x:c>
    </x:row>
    <x:row r="45" ht="34" customHeight="1">
      <x:c r="A45" s="34" t="str">
        <x:v>☐</x:v>
      </x:c>
      <x:c r="B45" s="34" t="str">
        <x:v>MI-1469</x:v>
      </x:c>
      <x:c r="C45" s="34" t="str">
        <x:v>M1 — فرد، پایه‌های عملکرد و خودشناسی</x:v>
      </x:c>
      <x:c r="D45" s="34" t="str">
        <x:v>H1</x:v>
      </x:c>
      <x:c r="E45" s="34" t="str">
        <x:v>پایه‌های زندگی و خودمدیریتی</x:v>
      </x:c>
      <x:c r="F45" s="34" t="str">
        <x:v>P0</x:v>
      </x:c>
      <x:c r="G45" s="34" t="str">
        <x:v>مهارت/یادگیری</x:v>
      </x:c>
      <x:c r="H45" s="39" t="str">
        <x:v>مهارت های درآمدزایی:</x:v>
      </x:c>
      <x:c r="I45" s="39" t="str">
        <x:v>اکنون؛ پایه عملکرد</x:v>
      </x:c>
      <x:c r="J45" s="39" t="str">
        <x:v>کوچ اجرایی + متخصص مهارت‌های هیجانی/رفتاری</x:v>
      </x:c>
      <x:c r="K45" s="39" t="str"/>
      <x:c r="L45" s="39" t="str">
        <x:v>AP:P1394</x:v>
      </x:c>
      <x:c r="M45" s="39" t="str"/>
      <x:c r="N45" s="39" t="str">
        <x:v>نسخه پایه ۳۱۵۰</x:v>
      </x:c>
    </x:row>
    <x:row r="46" ht="34" customHeight="1">
      <x:c r="A46" s="34" t="str">
        <x:v>☐</x:v>
      </x:c>
      <x:c r="B46" s="34" t="str">
        <x:v>MI-1470</x:v>
      </x:c>
      <x:c r="C46" s="34" t="str">
        <x:v>M1 — فرد، پایه‌های عملکرد و خودشناسی</x:v>
      </x:c>
      <x:c r="D46" s="34" t="str">
        <x:v>H1</x:v>
      </x:c>
      <x:c r="E46" s="34" t="str">
        <x:v>پایه‌های زندگی و خودمدیریتی</x:v>
      </x:c>
      <x:c r="F46" s="34" t="str">
        <x:v>P0</x:v>
      </x:c>
      <x:c r="G46" s="34" t="str">
        <x:v>مهارت/یادگیری</x:v>
      </x:c>
      <x:c r="H46" s="39" t="str">
        <x:v>مهارت های نرم:</x:v>
      </x:c>
      <x:c r="I46" s="39" t="str">
        <x:v>اکنون؛ پایه عملکرد</x:v>
      </x:c>
      <x:c r="J46" s="39" t="str">
        <x:v>کوچ اجرایی + متخصص مهارت‌های هیجانی/رفتاری</x:v>
      </x:c>
      <x:c r="K46" s="39" t="str"/>
      <x:c r="L46" s="39" t="str">
        <x:v>AP:P1398؛ E112:P469؛ E112:P511؛ E112:P2897؛ E112:P3337؛ E112:P3490</x:v>
      </x:c>
      <x:c r="M46" s="39" t="str"/>
      <x:c r="N46" s="39" t="str">
        <x:v>نسخه پایه ۳۱۵۰</x:v>
      </x:c>
    </x:row>
    <x:row r="47" ht="34" customHeight="1">
      <x:c r="A47" s="34" t="str">
        <x:v>☐</x:v>
      </x:c>
      <x:c r="B47" s="34" t="str">
        <x:v>MI-1472</x:v>
      </x:c>
      <x:c r="C47" s="34" t="str">
        <x:v>M1 — فرد، پایه‌های عملکرد و خودشناسی</x:v>
      </x:c>
      <x:c r="D47" s="34" t="str">
        <x:v>H1</x:v>
      </x:c>
      <x:c r="E47" s="34" t="str">
        <x:v>پایه‌های زندگی و خودمدیریتی</x:v>
      </x:c>
      <x:c r="F47" s="34" t="str">
        <x:v>P0</x:v>
      </x:c>
      <x:c r="G47" s="34" t="str">
        <x:v>مهارت/یادگیری</x:v>
      </x:c>
      <x:c r="H47" s="39" t="str">
        <x:v>حل مشکلات</x:v>
      </x:c>
      <x:c r="I47" s="39" t="str">
        <x:v>اکنون؛ پایه عملکرد</x:v>
      </x:c>
      <x:c r="J47" s="39" t="str">
        <x:v>کوچ اجرایی + متخصص مهارت‌های هیجانی/رفتاری</x:v>
      </x:c>
      <x:c r="K47" s="39" t="str"/>
      <x:c r="L47" s="39" t="str">
        <x:v>AP:P1403</x:v>
      </x:c>
      <x:c r="M47" s="39" t="str"/>
      <x:c r="N47" s="39" t="str">
        <x:v>نسخه پایه ۳۱۵۰</x:v>
      </x:c>
    </x:row>
    <x:row r="48" ht="34" customHeight="1">
      <x:c r="A48" s="34" t="str">
        <x:v>☐</x:v>
      </x:c>
      <x:c r="B48" s="34" t="str">
        <x:v>MI-1473</x:v>
      </x:c>
      <x:c r="C48" s="34" t="str">
        <x:v>M1 — فرد، پایه‌های عملکرد و خودشناسی</x:v>
      </x:c>
      <x:c r="D48" s="34" t="str">
        <x:v>H1</x:v>
      </x:c>
      <x:c r="E48" s="34" t="str">
        <x:v>پایه‌های زندگی و خودمدیریتی</x:v>
      </x:c>
      <x:c r="F48" s="34" t="str">
        <x:v>P0</x:v>
      </x:c>
      <x:c r="G48" s="34" t="str">
        <x:v>مهارت/یادگیری</x:v>
      </x:c>
      <x:c r="H48" s="39" t="str">
        <x:v>مهارت های فنی و دیجیتال</x:v>
      </x:c>
      <x:c r="I48" s="39" t="str">
        <x:v>اکنون؛ پایه عملکرد</x:v>
      </x:c>
      <x:c r="J48" s="39" t="str">
        <x:v>کوچ اجرایی + متخصص مهارت‌های هیجانی/رفتاری</x:v>
      </x:c>
      <x:c r="K48" s="39" t="str"/>
      <x:c r="L48" s="39" t="str">
        <x:v>AP:P1405</x:v>
      </x:c>
      <x:c r="M48" s="39" t="str"/>
      <x:c r="N48" s="39" t="str">
        <x:v>نسخه پایه ۳۱۵۰</x:v>
      </x:c>
    </x:row>
    <x:row r="49" ht="34" customHeight="1">
      <x:c r="A49" s="34" t="str">
        <x:v>☐</x:v>
      </x:c>
      <x:c r="B49" s="34" t="str">
        <x:v>MI-1474</x:v>
      </x:c>
      <x:c r="C49" s="34" t="str">
        <x:v>M1 — فرد، پایه‌های عملکرد و خودشناسی</x:v>
      </x:c>
      <x:c r="D49" s="34" t="str">
        <x:v>H1</x:v>
      </x:c>
      <x:c r="E49" s="34" t="str">
        <x:v>پایه‌های زندگی و خودمدیریتی</x:v>
      </x:c>
      <x:c r="F49" s="34" t="str">
        <x:v>P0</x:v>
      </x:c>
      <x:c r="G49" s="34" t="str">
        <x:v>مهارت/یادگیری</x:v>
      </x:c>
      <x:c r="H49" s="39" t="str">
        <x:v>نرم افزارها:</x:v>
      </x:c>
      <x:c r="I49" s="39" t="str">
        <x:v>اکنون؛ پایه عملکرد</x:v>
      </x:c>
      <x:c r="J49" s="39" t="str">
        <x:v>کوچ اجرایی + متخصص مهارت‌های هیجانی/رفتاری</x:v>
      </x:c>
      <x:c r="K49" s="39" t="str"/>
      <x:c r="L49" s="39" t="str">
        <x:v>AP:P1406</x:v>
      </x:c>
      <x:c r="M49" s="39" t="str"/>
      <x:c r="N49" s="39" t="str">
        <x:v>نسخه پایه ۳۱۵۰</x:v>
      </x:c>
    </x:row>
    <x:row r="50" ht="34" customHeight="1">
      <x:c r="A50" s="34" t="str">
        <x:v>☐</x:v>
      </x:c>
      <x:c r="B50" s="34" t="str">
        <x:v>MI-1475</x:v>
      </x:c>
      <x:c r="C50" s="34" t="str">
        <x:v>M1 — فرد، پایه‌های عملکرد و خودشناسی</x:v>
      </x:c>
      <x:c r="D50" s="34" t="str">
        <x:v>H1</x:v>
      </x:c>
      <x:c r="E50" s="34" t="str">
        <x:v>پایه‌های زندگی و خودمدیریتی</x:v>
      </x:c>
      <x:c r="F50" s="34" t="str">
        <x:v>P0</x:v>
      </x:c>
      <x:c r="G50" s="34" t="str">
        <x:v>مهارت/یادگیری</x:v>
      </x:c>
      <x:c r="H50" s="39" t="str">
        <x:v>Wordpress</x:v>
      </x:c>
      <x:c r="I50" s="39" t="str">
        <x:v>اکنون؛ پایه عملکرد</x:v>
      </x:c>
      <x:c r="J50" s="39" t="str">
        <x:v>کوچ اجرایی + متخصص مهارت‌های هیجانی/رفتاری</x:v>
      </x:c>
      <x:c r="K50" s="39" t="str"/>
      <x:c r="L50" s="39" t="str">
        <x:v>AP:P1409</x:v>
      </x:c>
      <x:c r="M50" s="39" t="str"/>
      <x:c r="N50" s="39" t="str">
        <x:v>نسخه پایه ۳۱۵۰</x:v>
      </x:c>
    </x:row>
    <x:row r="51" ht="34" customHeight="1">
      <x:c r="A51" s="34" t="str">
        <x:v>☐</x:v>
      </x:c>
      <x:c r="B51" s="34" t="str">
        <x:v>MI-1476</x:v>
      </x:c>
      <x:c r="C51" s="34" t="str">
        <x:v>M1 — فرد، پایه‌های عملکرد و خودشناسی</x:v>
      </x:c>
      <x:c r="D51" s="34" t="str">
        <x:v>H1</x:v>
      </x:c>
      <x:c r="E51" s="34" t="str">
        <x:v>پایه‌های زندگی و خودمدیریتی</x:v>
      </x:c>
      <x:c r="F51" s="34" t="str">
        <x:v>P0</x:v>
      </x:c>
      <x:c r="G51" s="34" t="str">
        <x:v>مهارت/یادگیری</x:v>
      </x:c>
      <x:c r="H51" s="39" t="str">
        <x:v>Elementor Pro</x:v>
      </x:c>
      <x:c r="I51" s="39" t="str">
        <x:v>اکنون؛ پایه عملکرد</x:v>
      </x:c>
      <x:c r="J51" s="39" t="str">
        <x:v>کوچ اجرایی + متخصص مهارت‌های هیجانی/رفتاری</x:v>
      </x:c>
      <x:c r="K51" s="39" t="str"/>
      <x:c r="L51" s="39" t="str">
        <x:v>AP:P1410</x:v>
      </x:c>
      <x:c r="M51" s="39" t="str"/>
      <x:c r="N51" s="39" t="str">
        <x:v>نسخه پایه ۳۱۵۰</x:v>
      </x:c>
    </x:row>
    <x:row r="52" ht="34" customHeight="1">
      <x:c r="A52" s="34" t="str">
        <x:v>☐</x:v>
      </x:c>
      <x:c r="B52" s="34" t="str">
        <x:v>MI-1477</x:v>
      </x:c>
      <x:c r="C52" s="34" t="str">
        <x:v>M1 — فرد، پایه‌های عملکرد و خودشناسی</x:v>
      </x:c>
      <x:c r="D52" s="34" t="str">
        <x:v>H1</x:v>
      </x:c>
      <x:c r="E52" s="34" t="str">
        <x:v>پایه‌های زندگی و خودمدیریتی</x:v>
      </x:c>
      <x:c r="F52" s="34" t="str">
        <x:v>P0</x:v>
      </x:c>
      <x:c r="G52" s="34" t="str">
        <x:v>مهارت/یادگیری</x:v>
      </x:c>
      <x:c r="H52" s="39" t="str">
        <x:v>SolidWorks</x:v>
      </x:c>
      <x:c r="I52" s="39" t="str">
        <x:v>اکنون؛ پایه عملکرد</x:v>
      </x:c>
      <x:c r="J52" s="39" t="str">
        <x:v>کوچ اجرایی + متخصص مهارت‌های هیجانی/رفتاری</x:v>
      </x:c>
      <x:c r="K52" s="39" t="str"/>
      <x:c r="L52" s="39" t="str">
        <x:v>AP:P1412</x:v>
      </x:c>
      <x:c r="M52" s="39" t="str"/>
      <x:c r="N52" s="39" t="str">
        <x:v>نسخه پایه ۳۱۵۰</x:v>
      </x:c>
    </x:row>
    <x:row r="53" ht="34" customHeight="1">
      <x:c r="A53" s="34" t="str">
        <x:v>☐</x:v>
      </x:c>
      <x:c r="B53" s="34" t="str">
        <x:v>MI-1478</x:v>
      </x:c>
      <x:c r="C53" s="34" t="str">
        <x:v>M1 — فرد، پایه‌های عملکرد و خودشناسی</x:v>
      </x:c>
      <x:c r="D53" s="34" t="str">
        <x:v>H1</x:v>
      </x:c>
      <x:c r="E53" s="34" t="str">
        <x:v>پایه‌های زندگی و خودمدیریتی</x:v>
      </x:c>
      <x:c r="F53" s="34" t="str">
        <x:v>P0</x:v>
      </x:c>
      <x:c r="G53" s="34" t="str">
        <x:v>مهارت/یادگیری</x:v>
      </x:c>
      <x:c r="H53" s="39" t="str">
        <x:v>Zexam</x:v>
      </x:c>
      <x:c r="I53" s="39" t="str">
        <x:v>اکنون؛ پایه عملکرد</x:v>
      </x:c>
      <x:c r="J53" s="39" t="str">
        <x:v>کوچ اجرایی + متخصص مهارت‌های هیجانی/رفتاری</x:v>
      </x:c>
      <x:c r="K53" s="39" t="str"/>
      <x:c r="L53" s="39" t="str">
        <x:v>AP:P1413</x:v>
      </x:c>
      <x:c r="M53" s="39" t="str"/>
      <x:c r="N53" s="39" t="str">
        <x:v>نسخه پایه ۳۱۵۰</x:v>
      </x:c>
    </x:row>
    <x:row r="54" ht="34" customHeight="1">
      <x:c r="A54" s="34" t="str">
        <x:v>☐</x:v>
      </x:c>
      <x:c r="B54" s="34" t="str">
        <x:v>MI-1479</x:v>
      </x:c>
      <x:c r="C54" s="34" t="str">
        <x:v>M1 — فرد، پایه‌های عملکرد و خودشناسی</x:v>
      </x:c>
      <x:c r="D54" s="34" t="str">
        <x:v>H1</x:v>
      </x:c>
      <x:c r="E54" s="34" t="str">
        <x:v>پایه‌های زندگی و خودمدیریتی</x:v>
      </x:c>
      <x:c r="F54" s="34" t="str">
        <x:v>P0</x:v>
      </x:c>
      <x:c r="G54" s="34" t="str">
        <x:v>مهارت/یادگیری</x:v>
      </x:c>
      <x:c r="H54" s="39" t="str">
        <x:v>ANSYS</x:v>
      </x:c>
      <x:c r="I54" s="39" t="str">
        <x:v>اکنون؛ پایه عملکرد</x:v>
      </x:c>
      <x:c r="J54" s="39" t="str">
        <x:v>کوچ اجرایی + متخصص مهارت‌های هیجانی/رفتاری</x:v>
      </x:c>
      <x:c r="K54" s="39" t="str"/>
      <x:c r="L54" s="39" t="str">
        <x:v>AP:P1414؛ AP:P1419</x:v>
      </x:c>
      <x:c r="M54" s="39" t="str"/>
      <x:c r="N54" s="39" t="str">
        <x:v>نسخه پایه ۳۱۵۰</x:v>
      </x:c>
    </x:row>
    <x:row r="55" ht="34" customHeight="1">
      <x:c r="A55" s="34" t="str">
        <x:v>☐</x:v>
      </x:c>
      <x:c r="B55" s="34" t="str">
        <x:v>MI-1480</x:v>
      </x:c>
      <x:c r="C55" s="34" t="str">
        <x:v>M1 — فرد، پایه‌های عملکرد و خودشناسی</x:v>
      </x:c>
      <x:c r="D55" s="34" t="str">
        <x:v>H1</x:v>
      </x:c>
      <x:c r="E55" s="34" t="str">
        <x:v>پایه‌های زندگی و خودمدیریتی</x:v>
      </x:c>
      <x:c r="F55" s="34" t="str">
        <x:v>P0</x:v>
      </x:c>
      <x:c r="G55" s="34" t="str">
        <x:v>مهارت/یادگیری</x:v>
      </x:c>
      <x:c r="H55" s="39" t="str">
        <x:v>Corel Video Studio</x:v>
      </x:c>
      <x:c r="I55" s="39" t="str">
        <x:v>اکنون؛ پایه عملکرد</x:v>
      </x:c>
      <x:c r="J55" s="39" t="str">
        <x:v>کوچ اجرایی + متخصص مهارت‌های هیجانی/رفتاری</x:v>
      </x:c>
      <x:c r="K55" s="39" t="str"/>
      <x:c r="L55" s="39" t="str">
        <x:v>AP:P1415</x:v>
      </x:c>
      <x:c r="M55" s="39" t="str"/>
      <x:c r="N55" s="39" t="str">
        <x:v>نسخه پایه ۳۱۵۰</x:v>
      </x:c>
    </x:row>
    <x:row r="56" ht="34" customHeight="1">
      <x:c r="A56" s="34" t="str">
        <x:v>☐</x:v>
      </x:c>
      <x:c r="B56" s="34" t="str">
        <x:v>MI-1482</x:v>
      </x:c>
      <x:c r="C56" s="34" t="str">
        <x:v>M1 — فرد، پایه‌های عملکرد و خودشناسی</x:v>
      </x:c>
      <x:c r="D56" s="34" t="str">
        <x:v>H1</x:v>
      </x:c>
      <x:c r="E56" s="34" t="str">
        <x:v>پایه‌های زندگی و خودمدیریتی</x:v>
      </x:c>
      <x:c r="F56" s="34" t="str">
        <x:v>P0</x:v>
      </x:c>
      <x:c r="G56" s="34" t="str">
        <x:v>مهارت/یادگیری</x:v>
      </x:c>
      <x:c r="H56" s="39" t="str">
        <x:v>برنامه نویسی:</x:v>
      </x:c>
      <x:c r="I56" s="39" t="str">
        <x:v>اکنون؛ پایه عملکرد</x:v>
      </x:c>
      <x:c r="J56" s="39" t="str">
        <x:v>کوچ اجرایی + متخصص مهارت‌های هیجانی/رفتاری</x:v>
      </x:c>
      <x:c r="K56" s="39" t="str"/>
      <x:c r="L56" s="39" t="str">
        <x:v>AP:P1421؛ E112:P2014؛ E112:P2553؛ E112:P2992</x:v>
      </x:c>
      <x:c r="M56" s="39" t="str"/>
      <x:c r="N56" s="39" t="str">
        <x:v>نسخه پایه ۳۱۵۰</x:v>
      </x:c>
    </x:row>
    <x:row r="57" ht="34" customHeight="1">
      <x:c r="A57" s="34" t="str">
        <x:v>☐</x:v>
      </x:c>
      <x:c r="B57" s="34" t="str">
        <x:v>MI-1484</x:v>
      </x:c>
      <x:c r="C57" s="34" t="str">
        <x:v>M1 — فرد، پایه‌های عملکرد و خودشناسی</x:v>
      </x:c>
      <x:c r="D57" s="34" t="str">
        <x:v>H1</x:v>
      </x:c>
      <x:c r="E57" s="34" t="str">
        <x:v>پایه‌های زندگی و خودمدیریتی</x:v>
      </x:c>
      <x:c r="F57" s="34" t="str">
        <x:v>P0</x:v>
      </x:c>
      <x:c r="G57" s="34" t="str">
        <x:v>مهارت/یادگیری</x:v>
      </x:c>
      <x:c r="H57" s="39" t="str">
        <x:v>Verilog</x:v>
      </x:c>
      <x:c r="I57" s="39" t="str">
        <x:v>اکنون؛ پایه عملکرد</x:v>
      </x:c>
      <x:c r="J57" s="39" t="str">
        <x:v>کوچ اجرایی + متخصص مهارت‌های هیجانی/رفتاری</x:v>
      </x:c>
      <x:c r="K57" s="39" t="str"/>
      <x:c r="L57" s="39" t="str">
        <x:v>AP:P1424</x:v>
      </x:c>
      <x:c r="M57" s="39" t="str"/>
      <x:c r="N57" s="39" t="str">
        <x:v>نسخه پایه ۳۱۵۰</x:v>
      </x:c>
    </x:row>
    <x:row r="58" ht="34" customHeight="1">
      <x:c r="A58" s="34" t="str">
        <x:v>☐</x:v>
      </x:c>
      <x:c r="B58" s="34" t="str">
        <x:v>MI-1490</x:v>
      </x:c>
      <x:c r="C58" s="34" t="str">
        <x:v>M1 — فرد، پایه‌های عملکرد و خودشناسی</x:v>
      </x:c>
      <x:c r="D58" s="34" t="str">
        <x:v>H1</x:v>
      </x:c>
      <x:c r="E58" s="34" t="str">
        <x:v>پایه‌های زندگی و خودمدیریتی</x:v>
      </x:c>
      <x:c r="F58" s="34" t="str">
        <x:v>P0</x:v>
      </x:c>
      <x:c r="G58" s="34" t="str">
        <x:v>مهارت/یادگیری</x:v>
      </x:c>
      <x:c r="H58" s="39" t="str">
        <x:v>سایر مهارت های فنی:</x:v>
      </x:c>
      <x:c r="I58" s="39" t="str">
        <x:v>اکنون؛ پایه عملکرد</x:v>
      </x:c>
      <x:c r="J58" s="39" t="str">
        <x:v>کوچ اجرایی + متخصص مهارت‌های هیجانی/رفتاری</x:v>
      </x:c>
      <x:c r="K58" s="39" t="str"/>
      <x:c r="L58" s="39" t="str">
        <x:v>AP:P1433</x:v>
      </x:c>
      <x:c r="M58" s="39" t="str"/>
      <x:c r="N58" s="39" t="str">
        <x:v>نسخه پایه ۳۱۵۰</x:v>
      </x:c>
    </x:row>
    <x:row r="59" ht="34" customHeight="1">
      <x:c r="A59" s="34" t="str">
        <x:v>☐</x:v>
      </x:c>
      <x:c r="B59" s="34" t="str">
        <x:v>MI-1491</x:v>
      </x:c>
      <x:c r="C59" s="34" t="str">
        <x:v>M1 — فرد، پایه‌های عملکرد و خودشناسی</x:v>
      </x:c>
      <x:c r="D59" s="34" t="str">
        <x:v>H1</x:v>
      </x:c>
      <x:c r="E59" s="34" t="str">
        <x:v>پایه‌های زندگی و خودمدیریتی</x:v>
      </x:c>
      <x:c r="F59" s="34" t="str">
        <x:v>P0</x:v>
      </x:c>
      <x:c r="G59" s="34" t="str">
        <x:v>مهارت/یادگیری</x:v>
      </x:c>
      <x:c r="H59" s="39" t="str">
        <x:v>تایپ ده انگشتی</x:v>
      </x:c>
      <x:c r="I59" s="39" t="str">
        <x:v>اکنون؛ پایه عملکرد</x:v>
      </x:c>
      <x:c r="J59" s="39" t="str">
        <x:v>کوچ اجرایی + متخصص مهارت‌های هیجانی/رفتاری</x:v>
      </x:c>
      <x:c r="K59" s="39" t="str"/>
      <x:c r="L59" s="39" t="str">
        <x:v>AP:P1436</x:v>
      </x:c>
      <x:c r="M59" s="39" t="str"/>
      <x:c r="N59" s="39" t="str">
        <x:v>نسخه پایه ۳۱۵۰</x:v>
      </x:c>
    </x:row>
    <x:row r="60" ht="34" customHeight="1">
      <x:c r="A60" s="34" t="str">
        <x:v>☐</x:v>
      </x:c>
      <x:c r="B60" s="34" t="str">
        <x:v>MI-1492</x:v>
      </x:c>
      <x:c r="C60" s="34" t="str">
        <x:v>M1 — فرد، پایه‌های عملکرد و خودشناسی</x:v>
      </x:c>
      <x:c r="D60" s="34" t="str">
        <x:v>H1</x:v>
      </x:c>
      <x:c r="E60" s="34" t="str">
        <x:v>پایه‌های زندگی و خودمدیریتی</x:v>
      </x:c>
      <x:c r="F60" s="34" t="str">
        <x:v>P0</x:v>
      </x:c>
      <x:c r="G60" s="34" t="str">
        <x:v>مهارت/یادگیری</x:v>
      </x:c>
      <x:c r="H60" s="39" t="str">
        <x:v>گواهی نامه</x:v>
      </x:c>
      <x:c r="I60" s="39" t="str">
        <x:v>اکنون؛ پایه عملکرد</x:v>
      </x:c>
      <x:c r="J60" s="39" t="str">
        <x:v>کوچ اجرایی + متخصص مهارت‌های هیجانی/رفتاری</x:v>
      </x:c>
      <x:c r="K60" s="39" t="str"/>
      <x:c r="L60" s="39" t="str">
        <x:v>AP:P1437</x:v>
      </x:c>
      <x:c r="M60" s="39" t="str"/>
      <x:c r="N60" s="39" t="str">
        <x:v>نسخه پایه ۳۱۵۰</x:v>
      </x:c>
    </x:row>
    <x:row r="61" ht="34" customHeight="1">
      <x:c r="A61" s="34" t="str">
        <x:v>☐</x:v>
      </x:c>
      <x:c r="B61" s="34" t="str">
        <x:v>MI-1493</x:v>
      </x:c>
      <x:c r="C61" s="34" t="str">
        <x:v>M1 — فرد، پایه‌های عملکرد و خودشناسی</x:v>
      </x:c>
      <x:c r="D61" s="34" t="str">
        <x:v>H1</x:v>
      </x:c>
      <x:c r="E61" s="34" t="str">
        <x:v>پایه‌های زندگی و خودمدیریتی</x:v>
      </x:c>
      <x:c r="F61" s="34" t="str">
        <x:v>P0</x:v>
      </x:c>
      <x:c r="G61" s="34" t="str">
        <x:v>مهارت/یادگیری</x:v>
      </x:c>
      <x:c r="H61" s="39" t="str">
        <x:v>گرفتن مدرک تزریق</x:v>
      </x:c>
      <x:c r="I61" s="39" t="str">
        <x:v>اکنون؛ پایه عملکرد</x:v>
      </x:c>
      <x:c r="J61" s="39" t="str">
        <x:v>کوچ اجرایی + متخصص مهارت‌های هیجانی/رفتاری</x:v>
      </x:c>
      <x:c r="K61" s="39" t="str"/>
      <x:c r="L61" s="39" t="str">
        <x:v>AP:P1440</x:v>
      </x:c>
      <x:c r="M61" s="39" t="str"/>
      <x:c r="N61" s="39" t="str">
        <x:v>نسخه پایه ۳۱۵۰</x:v>
      </x:c>
    </x:row>
    <x:row r="62" ht="34" customHeight="1">
      <x:c r="A62" s="34" t="str">
        <x:v>☐</x:v>
      </x:c>
      <x:c r="B62" s="34" t="str">
        <x:v>MI-1499</x:v>
      </x:c>
      <x:c r="C62" s="34" t="str">
        <x:v>M1 — فرد، پایه‌های عملکرد و خودشناسی</x:v>
      </x:c>
      <x:c r="D62" s="34" t="str">
        <x:v>H1</x:v>
      </x:c>
      <x:c r="E62" s="34" t="str">
        <x:v>پایه‌های زندگی و خودمدیریتی</x:v>
      </x:c>
      <x:c r="F62" s="34" t="str">
        <x:v>P0</x:v>
      </x:c>
      <x:c r="G62" s="34" t="str">
        <x:v>مهارت/یادگیری</x:v>
      </x:c>
      <x:c r="H62" s="39" t="str">
        <x:v>مدیریت منابع انسانی: استخدام، آموزش، ارزیابی، انگیزش کارکنان.</x:v>
      </x:c>
      <x:c r="I62" s="39" t="str">
        <x:v>اکنون؛ پایه عملکرد</x:v>
      </x:c>
      <x:c r="J62" s="39" t="str">
        <x:v>کوچ اجرایی + متخصص مهارت‌های هیجانی/رفتاری</x:v>
      </x:c>
      <x:c r="K62" s="39" t="str"/>
      <x:c r="L62" s="39" t="str">
        <x:v>AP:P1456</x:v>
      </x:c>
      <x:c r="M62" s="39" t="str"/>
      <x:c r="N62" s="39" t="str">
        <x:v>نسخه پایه ۳۱۵۰</x:v>
      </x:c>
    </x:row>
    <x:row r="63" ht="34" customHeight="1">
      <x:c r="A63" s="34" t="str">
        <x:v>☐</x:v>
      </x:c>
      <x:c r="B63" s="34" t="str">
        <x:v>MI-1504</x:v>
      </x:c>
      <x:c r="C63" s="34" t="str">
        <x:v>M1 — فرد، پایه‌های عملکرد و خودشناسی</x:v>
      </x:c>
      <x:c r="D63" s="34" t="str">
        <x:v>H1</x:v>
      </x:c>
      <x:c r="E63" s="34" t="str">
        <x:v>پایه‌های زندگی و خودمدیریتی</x:v>
      </x:c>
      <x:c r="F63" s="34" t="str">
        <x:v>P0</x:v>
      </x:c>
      <x:c r="G63" s="34" t="str">
        <x:v>مهارت/یادگیری</x:v>
      </x:c>
      <x:c r="H63" s="39" t="str">
        <x:v>مهارت های نرم (Soft Skills):</x:v>
      </x:c>
      <x:c r="I63" s="39" t="str">
        <x:v>اکنون؛ پایه عملکرد</x:v>
      </x:c>
      <x:c r="J63" s="39" t="str">
        <x:v>کوچ اجرایی + متخصص مهارت‌های هیجانی/رفتاری</x:v>
      </x:c>
      <x:c r="K63" s="39" t="str"/>
      <x:c r="L63" s="39" t="str">
        <x:v>AP:P1461</x:v>
      </x:c>
      <x:c r="M63" s="39" t="str"/>
      <x:c r="N63" s="39" t="str">
        <x:v>نسخه پایه ۳۱۵۰</x:v>
      </x:c>
    </x:row>
    <x:row r="64" ht="34" customHeight="1">
      <x:c r="A64" s="34" t="str">
        <x:v>☐</x:v>
      </x:c>
      <x:c r="B64" s="34" t="str">
        <x:v>MI-1507</x:v>
      </x:c>
      <x:c r="C64" s="34" t="str">
        <x:v>M1 — فرد، پایه‌های عملکرد و خودشناسی</x:v>
      </x:c>
      <x:c r="D64" s="34" t="str">
        <x:v>H1</x:v>
      </x:c>
      <x:c r="E64" s="34" t="str">
        <x:v>پایه‌های زندگی و خودمدیریتی</x:v>
      </x:c>
      <x:c r="F64" s="34" t="str">
        <x:v>P0</x:v>
      </x:c>
      <x:c r="G64" s="34" t="str">
        <x:v>مهارت/یادگیری</x:v>
      </x:c>
      <x:c r="H64" s="39" t="str">
        <x:v>انعطاف پذیری: تطبیق با شرایط جدید، یادگیری سریع.</x:v>
      </x:c>
      <x:c r="I64" s="39" t="str">
        <x:v>اکنون؛ پایه عملکرد</x:v>
      </x:c>
      <x:c r="J64" s="39" t="str">
        <x:v>کوچ اجرایی + متخصص مهارت‌های هیجانی/رفتاری</x:v>
      </x:c>
      <x:c r="K64" s="39" t="str"/>
      <x:c r="L64" s="39" t="str">
        <x:v>AP:P1464</x:v>
      </x:c>
      <x:c r="M64" s="39" t="str"/>
      <x:c r="N64" s="39" t="str">
        <x:v>نسخه پایه ۳۱۵۰</x:v>
      </x:c>
    </x:row>
    <x:row r="65" ht="34" customHeight="1">
      <x:c r="A65" s="34" t="str">
        <x:v>☐</x:v>
      </x:c>
      <x:c r="B65" s="34" t="str">
        <x:v>MI-1508</x:v>
      </x:c>
      <x:c r="C65" s="34" t="str">
        <x:v>M1 — فرد، پایه‌های عملکرد و خودشناسی</x:v>
      </x:c>
      <x:c r="D65" s="34" t="str">
        <x:v>H1</x:v>
      </x:c>
      <x:c r="E65" s="34" t="str">
        <x:v>پایه‌های زندگی و خودمدیریتی</x:v>
      </x:c>
      <x:c r="F65" s="34" t="str">
        <x:v>P0</x:v>
      </x:c>
      <x:c r="G65" s="34" t="str">
        <x:v>مهارت/یادگیری</x:v>
      </x:c>
      <x:c r="H65" s="39" t="str">
        <x:v>مهارت های فنی: تسلط بر نرم افزارهای تخصصی، ابزارهای مهندسی، تکنولوژی های جدید.</x:v>
      </x:c>
      <x:c r="I65" s="39" t="str">
        <x:v>اکنون؛ پایه عملکرد</x:v>
      </x:c>
      <x:c r="J65" s="39" t="str">
        <x:v>کوچ اجرایی + متخصص مهارت‌های هیجانی/رفتاری</x:v>
      </x:c>
      <x:c r="K65" s="39" t="str"/>
      <x:c r="L65" s="39" t="str">
        <x:v>AP:P1465</x:v>
      </x:c>
      <x:c r="M65" s="39" t="str"/>
      <x:c r="N65" s="39" t="str">
        <x:v>نسخه پایه ۳۱۵۰</x:v>
      </x:c>
    </x:row>
    <x:row r="66" ht="34" customHeight="1">
      <x:c r="A66" s="34" t="str">
        <x:v>☐</x:v>
      </x:c>
      <x:c r="B66" s="34" t="str">
        <x:v>MI-1510</x:v>
      </x:c>
      <x:c r="C66" s="34" t="str">
        <x:v>M1 — فرد، پایه‌های عملکرد و خودشناسی</x:v>
      </x:c>
      <x:c r="D66" s="34" t="str">
        <x:v>H1</x:v>
      </x:c>
      <x:c r="E66" s="34" t="str">
        <x:v>پایه‌های زندگی و خودمدیریتی</x:v>
      </x:c>
      <x:c r="F66" s="34" t="str">
        <x:v>P0</x:v>
      </x:c>
      <x:c r="G66" s="34" t="str">
        <x:v>مهارت/یادگیری</x:v>
      </x:c>
      <x:c r="H66" s="39" t="str">
        <x:v>دانش مالی: درک مفاهیم مالی، آشنایی با انواع سرمایه گذاری ها.</x:v>
      </x:c>
      <x:c r="I66" s="39" t="str">
        <x:v>اکنون؛ پایه عملکرد</x:v>
      </x:c>
      <x:c r="J66" s="39" t="str">
        <x:v>کوچ اجرایی + متخصص مهارت‌های هیجانی/رفتاری</x:v>
      </x:c>
      <x:c r="K66" s="39" t="str"/>
      <x:c r="L66" s="39" t="str">
        <x:v>AP:P1468</x:v>
      </x:c>
      <x:c r="M66" s="39" t="str"/>
      <x:c r="N66" s="39" t="str">
        <x:v>نسخه پایه ۳۱۵۰</x:v>
      </x:c>
    </x:row>
    <x:row r="67" ht="34" customHeight="1">
      <x:c r="A67" s="34" t="str">
        <x:v>☐</x:v>
      </x:c>
      <x:c r="B67" s="34" t="str">
        <x:v>MI-1512</x:v>
      </x:c>
      <x:c r="C67" s="34" t="str">
        <x:v>M1 — فرد، پایه‌های عملکرد و خودشناسی</x:v>
      </x:c>
      <x:c r="D67" s="34" t="str">
        <x:v>H1</x:v>
      </x:c>
      <x:c r="E67" s="34" t="str">
        <x:v>پایه‌های زندگی و خودمدیریتی</x:v>
      </x:c>
      <x:c r="F67" s="34" t="str">
        <x:v>P0</x:v>
      </x:c>
      <x:c r="G67" s="34" t="str">
        <x:v>مهارت/یادگیری</x:v>
      </x:c>
      <x:c r="H67" s="39" t="str">
        <x:v>بازار سرمایه: آشنایی با بازار سهام، اوراق قرضه، و سایر ابزارهای مالی.</x:v>
      </x:c>
      <x:c r="I67" s="39" t="str">
        <x:v>اکنون؛ پایه عملکرد</x:v>
      </x:c>
      <x:c r="J67" s="39" t="str">
        <x:v>کوچ اجرایی + متخصص مهارت‌های هیجانی/رفتاری</x:v>
      </x:c>
      <x:c r="K67" s="39" t="str"/>
      <x:c r="L67" s="39" t="str">
        <x:v>AP:P1470</x:v>
      </x:c>
      <x:c r="M67" s="39" t="str"/>
      <x:c r="N67" s="39" t="str">
        <x:v>نسخه پایه ۳۱۵۰</x:v>
      </x:c>
    </x:row>
    <x:row r="68" ht="34" customHeight="1">
      <x:c r="A68" s="34" t="str">
        <x:v>☐</x:v>
      </x:c>
      <x:c r="B68" s="34" t="str">
        <x:v>MI-1516</x:v>
      </x:c>
      <x:c r="C68" s="34" t="str">
        <x:v>M1 — فرد، پایه‌های عملکرد و خودشناسی</x:v>
      </x:c>
      <x:c r="D68" s="34" t="str">
        <x:v>H1</x:v>
      </x:c>
      <x:c r="E68" s="34" t="str">
        <x:v>پایه‌های زندگی و خودمدیریتی</x:v>
      </x:c>
      <x:c r="F68" s="34" t="str">
        <x:v>P0</x:v>
      </x:c>
      <x:c r="G68" s="34" t="str">
        <x:v>مهارت/یادگیری</x:v>
      </x:c>
      <x:c r="H68" s="39" t="str">
        <x:v>مهارت های مالی و تجاری:</x:v>
      </x:c>
      <x:c r="I68" s="39" t="str">
        <x:v>اکنون؛ پایه عملکرد</x:v>
      </x:c>
      <x:c r="J68" s="39" t="str">
        <x:v>کوچ اجرایی + متخصص مهارت‌های هیجانی/رفتاری</x:v>
      </x:c>
      <x:c r="K68" s="39" t="str"/>
      <x:c r="L68" s="39" t="str">
        <x:v>AP:P1475</x:v>
      </x:c>
      <x:c r="M68" s="39" t="str"/>
      <x:c r="N68" s="39" t="str">
        <x:v>نسخه پایه ۳۱۵۰</x:v>
      </x:c>
    </x:row>
    <x:row r="69" ht="34" customHeight="1">
      <x:c r="A69" s="34" t="str">
        <x:v>☐</x:v>
      </x:c>
      <x:c r="B69" s="34" t="str">
        <x:v>MI-1525</x:v>
      </x:c>
      <x:c r="C69" s="34" t="str">
        <x:v>M1 — فرد، پایه‌های عملکرد و خودشناسی</x:v>
      </x:c>
      <x:c r="D69" s="34" t="str">
        <x:v>H1</x:v>
      </x:c>
      <x:c r="E69" s="34" t="str">
        <x:v>پایه‌های زندگی و خودمدیریتی</x:v>
      </x:c>
      <x:c r="F69" s="34" t="str">
        <x:v>P0</x:v>
      </x:c>
      <x:c r="G69" s="34" t="str">
        <x:v>مهارت/یادگیری</x:v>
      </x:c>
      <x:c r="H69" s="39" t="str">
        <x:v>آشنایی با قوانین و مقررات: قوانین مدنی، کیفری، تجاری، کار، مالیاتی.</x:v>
      </x:c>
      <x:c r="I69" s="39" t="str">
        <x:v>اکنون؛ پایه عملکرد</x:v>
      </x:c>
      <x:c r="J69" s="39" t="str">
        <x:v>کوچ اجرایی + متخصص مهارت‌های هیجانی/رفتاری</x:v>
      </x:c>
      <x:c r="K69" s="39" t="str"/>
      <x:c r="L69" s="39" t="str">
        <x:v>AP:P1496</x:v>
      </x:c>
      <x:c r="M69" s="39" t="str"/>
      <x:c r="N69" s="39" t="str">
        <x:v>نسخه پایه ۳۱۵۰</x:v>
      </x:c>
    </x:row>
    <x:row r="70" ht="34" customHeight="1">
      <x:c r="A70" s="34" t="str">
        <x:v>☐</x:v>
      </x:c>
      <x:c r="B70" s="34" t="str">
        <x:v>MI-2505</x:v>
      </x:c>
      <x:c r="C70" s="34" t="str">
        <x:v>M1 — فرد، پایه‌های عملکرد و خودشناسی</x:v>
      </x:c>
      <x:c r="D70" s="34" t="str">
        <x:v>H1</x:v>
      </x:c>
      <x:c r="E70" s="34" t="str">
        <x:v>پایه‌های زندگی و خودمدیریتی</x:v>
      </x:c>
      <x:c r="F70" s="34" t="str">
        <x:v>P0</x:v>
      </x:c>
      <x:c r="G70" s="34" t="str">
        <x:v>مهارت/یادگیری</x:v>
      </x:c>
      <x:c r="H70" s="39" t="str">
        <x:v>تمرکز روی مهارت هایی که بازار نیاز دارد.</x:v>
      </x:c>
      <x:c r="I70" s="39" t="str">
        <x:v>اکنون؛ پایه عملکرد</x:v>
      </x:c>
      <x:c r="J70" s="39" t="str">
        <x:v>کوچ اجرایی + متخصص مهارت‌های هیجانی/رفتاری</x:v>
      </x:c>
      <x:c r="K70" s="39" t="str"/>
      <x:c r="L70" s="39" t="str">
        <x:v>E112:P2010</x:v>
      </x:c>
      <x:c r="M70" s="39" t="str"/>
      <x:c r="N70" s="39" t="str">
        <x:v>نسخه پایه ۳۱۵۰</x:v>
      </x:c>
    </x:row>
    <x:row r="71" ht="34" customHeight="1">
      <x:c r="A71" s="34" t="str">
        <x:v>☐</x:v>
      </x:c>
      <x:c r="B71" s="34" t="str">
        <x:v>MI-3061</x:v>
      </x:c>
      <x:c r="C71" s="34" t="str">
        <x:v>M1 — فرد، پایه‌های عملکرد و خودشناسی</x:v>
      </x:c>
      <x:c r="D71" s="34" t="str">
        <x:v>H1</x:v>
      </x:c>
      <x:c r="E71" s="34" t="str">
        <x:v>پایه‌های زندگی و خودمدیریتی</x:v>
      </x:c>
      <x:c r="F71" s="34" t="str">
        <x:v>P0</x:v>
      </x:c>
      <x:c r="G71" s="34" t="str">
        <x:v>مهارت/یادگیری</x:v>
      </x:c>
      <x:c r="H71"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I71" s="39" t="str">
        <x:v>اکنون؛ پایه عملکرد</x:v>
      </x:c>
      <x:c r="J71" s="39" t="str">
        <x:v>کوچ اجرایی + متخصص مهارت‌های هیجانی/رفتاری</x:v>
      </x:c>
      <x:c r="K71" s="39" t="str"/>
      <x:c r="L71" s="39" t="str">
        <x:v>INT:T6 R2</x:v>
      </x:c>
      <x:c r="M71" s="39" t="str"/>
      <x:c r="N71" s="39" t="str">
        <x:v>نسخه پایه ۳۱۵۰</x:v>
      </x:c>
    </x:row>
    <x:row r="72" ht="34" customHeight="1">
      <x:c r="A72" s="34" t="str">
        <x:v>☐</x:v>
      </x:c>
      <x:c r="B72" s="34" t="str">
        <x:v>MI-3063</x:v>
      </x:c>
      <x:c r="C72" s="34" t="str">
        <x:v>M1 — فرد، پایه‌های عملکرد و خودشناسی</x:v>
      </x:c>
      <x:c r="D72" s="34" t="str">
        <x:v>H1</x:v>
      </x:c>
      <x:c r="E72" s="34" t="str">
        <x:v>پایه‌های زندگی و خودمدیریتی</x:v>
      </x:c>
      <x:c r="F72" s="34" t="str">
        <x:v>P0</x:v>
      </x:c>
      <x:c r="G72" s="34" t="str">
        <x:v>مهارت/یادگیری</x:v>
      </x:c>
      <x:c r="H72"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I72" s="39" t="str">
        <x:v>اکنون؛ پایه عملکرد</x:v>
      </x:c>
      <x:c r="J72" s="39" t="str">
        <x:v>کوچ اجرایی + متخصص مهارت‌های هیجانی/رفتاری</x:v>
      </x:c>
      <x:c r="K72" s="39" t="str"/>
      <x:c r="L72" s="39" t="str">
        <x:v>INT:T7 R2</x:v>
      </x:c>
      <x:c r="M72" s="39" t="str"/>
      <x:c r="N72" s="39" t="str">
        <x:v>نسخه پایه ۳۱۵۰</x:v>
      </x:c>
    </x:row>
    <x:row r="73" ht="34" customHeight="1">
      <x:c r="A73" s="34" t="str">
        <x:v>☐</x:v>
      </x:c>
      <x:c r="B73" s="34" t="str">
        <x:v>MI-3147</x:v>
      </x:c>
      <x:c r="C73" s="34" t="str">
        <x:v>M1 — فرد، پایه‌های عملکرد و خودشناسی</x:v>
      </x:c>
      <x:c r="D73" s="34" t="str">
        <x:v>H1</x:v>
      </x:c>
      <x:c r="E73" s="34" t="str">
        <x:v>پایه‌های زندگی و خودمدیریتی</x:v>
      </x:c>
      <x:c r="F73" s="34" t="str">
        <x:v>P0</x:v>
      </x:c>
      <x:c r="G73" s="34" t="str">
        <x:v>مهارت/یادگیری</x:v>
      </x:c>
      <x:c r="H73" s="39" t="str">
        <x:v>ارزش 7: مهارت و توسعه فردی</x:v>
      </x:c>
      <x:c r="I73" s="39" t="str">
        <x:v>اکنون؛ پایه عملکرد</x:v>
      </x:c>
      <x:c r="J73" s="39" t="str">
        <x:v>کوچ اجرایی + متخصص مهارت‌های هیجانی/رفتاری</x:v>
      </x:c>
      <x:c r="K73" s="39" t="str"/>
      <x:c r="L73" s="39" t="str">
        <x:v>TEST:ارزش 7</x:v>
      </x:c>
      <x:c r="M73" s="39" t="str"/>
      <x:c r="N73" s="39" t="str">
        <x:v>نسخه پایه ۳۱۵۰</x:v>
      </x:c>
    </x:row>
    <x:row r="74" ht="34" customHeight="1">
      <x:c r="A74" s="34" t="str">
        <x:v>☐</x:v>
      </x:c>
      <x:c r="B74" s="34" t="str">
        <x:v>MI-0001</x:v>
      </x:c>
      <x:c r="C74" s="34" t="str">
        <x:v>M1 — فرد، پایه‌های عملکرد و خودشناسی</x:v>
      </x:c>
      <x:c r="D74" s="34" t="str">
        <x:v>H1</x:v>
      </x:c>
      <x:c r="E74" s="34" t="str">
        <x:v>پایه‌های زندگی و خودمدیریتی</x:v>
      </x:c>
      <x:c r="F74" s="34" t="str">
        <x:v>P0</x:v>
      </x:c>
      <x:c r="G74" s="34" t="str">
        <x:v>هدف/موضوع</x:v>
      </x:c>
      <x:c r="H74" s="39" t="str">
        <x:v>روانشناسی کنترل خشم و استرس و تحمل و صبر</x:v>
      </x:c>
      <x:c r="I74" s="39" t="str">
        <x:v>اکنون؛ پایه عملکرد</x:v>
      </x:c>
      <x:c r="J74" s="39" t="str">
        <x:v>کوچ اجرایی + متخصص مهارت‌های هیجانی/رفتاری</x:v>
      </x:c>
      <x:c r="K74" s="39" t="str"/>
      <x:c r="L74" s="39" t="str">
        <x:v>PL:R2</x:v>
      </x:c>
      <x:c r="M74" s="39" t="str"/>
      <x:c r="N74" s="39" t="str">
        <x:v>نسخه پایه ۳۱۵۰</x:v>
      </x:c>
    </x:row>
    <x:row r="75" ht="34" customHeight="1">
      <x:c r="A75" s="34" t="str">
        <x:v>☐</x:v>
      </x:c>
      <x:c r="B75" s="34" t="str">
        <x:v>MI-0040</x:v>
      </x:c>
      <x:c r="C75" s="34" t="str">
        <x:v>M1 — فرد، پایه‌های عملکرد و خودشناسی</x:v>
      </x:c>
      <x:c r="D75" s="34" t="str">
        <x:v>H1</x:v>
      </x:c>
      <x:c r="E75" s="34" t="str">
        <x:v>پایه‌های زندگی و خودمدیریتی</x:v>
      </x:c>
      <x:c r="F75" s="34" t="str">
        <x:v>P0</x:v>
      </x:c>
      <x:c r="G75" s="34" t="str">
        <x:v>هدف/موضوع</x:v>
      </x:c>
      <x:c r="H75" s="39" t="str">
        <x:v>روانشناسی تاریک در مذاکره</x:v>
      </x:c>
      <x:c r="I75" s="39" t="str">
        <x:v>اکنون؛ پایه عملکرد</x:v>
      </x:c>
      <x:c r="J75" s="39" t="str">
        <x:v>کوچ اجرایی + متخصص مهارت‌های هیجانی/رفتاری</x:v>
      </x:c>
      <x:c r="K75" s="39" t="str"/>
      <x:c r="L75" s="39" t="str">
        <x:v>PL:R41؛ AP:P1362</x:v>
      </x:c>
      <x:c r="M75" s="39" t="str"/>
      <x:c r="N75" s="39" t="str">
        <x:v>نسخه پایه ۳۱۵۰</x:v>
      </x:c>
    </x:row>
    <x:row r="76" ht="34" customHeight="1">
      <x:c r="A76" s="34" t="str">
        <x:v>☐</x:v>
      </x:c>
      <x:c r="B76" s="34" t="str">
        <x:v>MI-0100</x:v>
      </x:c>
      <x:c r="C76" s="34" t="str">
        <x:v>M1 — فرد، پایه‌های عملکرد و خودشناسی</x:v>
      </x:c>
      <x:c r="D76" s="34" t="str">
        <x:v>H1</x:v>
      </x:c>
      <x:c r="E76" s="34" t="str">
        <x:v>پایه‌های زندگی و خودمدیریتی</x:v>
      </x:c>
      <x:c r="F76" s="34" t="str">
        <x:v>P0</x:v>
      </x:c>
      <x:c r="G76" s="34" t="str">
        <x:v>هدف/موضوع</x:v>
      </x:c>
      <x:c r="H76" s="39" t="str">
        <x:v>مدیریت راهبردی کسب و کار</x:v>
      </x:c>
      <x:c r="I76" s="39" t="str">
        <x:v>اکنون؛ پایه عملکرد</x:v>
      </x:c>
      <x:c r="J76" s="39" t="str">
        <x:v>کوچ اجرایی + متخصص مهارت‌های هیجانی/رفتاری</x:v>
      </x:c>
      <x:c r="K76" s="39" t="str"/>
      <x:c r="L76" s="39" t="str">
        <x:v>PL:R102؛ AP:P1453</x:v>
      </x:c>
      <x:c r="M76" s="39" t="str"/>
      <x:c r="N76" s="39" t="str">
        <x:v>نسخه پایه ۳۱۵۰</x:v>
      </x:c>
    </x:row>
    <x:row r="77" ht="34" customHeight="1">
      <x:c r="A77" s="34" t="str">
        <x:v>☐</x:v>
      </x:c>
      <x:c r="B77" s="34" t="str">
        <x:v>MI-0101</x:v>
      </x:c>
      <x:c r="C77" s="34" t="str">
        <x:v>M1 — فرد، پایه‌های عملکرد و خودشناسی</x:v>
      </x:c>
      <x:c r="D77" s="34" t="str">
        <x:v>H1</x:v>
      </x:c>
      <x:c r="E77" s="34" t="str">
        <x:v>پایه‌های زندگی و خودمدیریتی</x:v>
      </x:c>
      <x:c r="F77" s="34" t="str">
        <x:v>P0</x:v>
      </x:c>
      <x:c r="G77" s="34" t="str">
        <x:v>هدف/موضوع</x:v>
      </x:c>
      <x:c r="H77" s="39" t="str">
        <x:v>مدیریت کسب و کار</x:v>
      </x:c>
      <x:c r="I77" s="39" t="str">
        <x:v>اکنون؛ پایه عملکرد</x:v>
      </x:c>
      <x:c r="J77" s="39" t="str">
        <x:v>کوچ اجرایی + متخصص مهارت‌های هیجانی/رفتاری</x:v>
      </x:c>
      <x:c r="K77" s="39" t="str"/>
      <x:c r="L77" s="39" t="str">
        <x:v>PL:R103؛ AP:P1452؛ AP:P1454</x:v>
      </x:c>
      <x:c r="M77" s="39" t="str"/>
      <x:c r="N77" s="39" t="str">
        <x:v>نسخه پایه ۳۱۵۰</x:v>
      </x:c>
    </x:row>
    <x:row r="78" ht="34" customHeight="1">
      <x:c r="A78" s="34" t="str">
        <x:v>☐</x:v>
      </x:c>
      <x:c r="B78" s="34" t="str">
        <x:v>MI-0104</x:v>
      </x:c>
      <x:c r="C78" s="34" t="str">
        <x:v>M1 — فرد، پایه‌های عملکرد و خودشناسی</x:v>
      </x:c>
      <x:c r="D78" s="34" t="str">
        <x:v>H1</x:v>
      </x:c>
      <x:c r="E78" s="34" t="str">
        <x:v>پایه‌های زندگی و خودمدیریتی</x:v>
      </x:c>
      <x:c r="F78" s="34" t="str">
        <x:v>P0</x:v>
      </x:c>
      <x:c r="G78" s="34" t="str">
        <x:v>هدف/موضوع</x:v>
      </x:c>
      <x:c r="H78" s="39" t="str">
        <x:v>مدیریت اجرایی</x:v>
      </x:c>
      <x:c r="I78" s="39" t="str">
        <x:v>اکنون؛ پایه عملکرد</x:v>
      </x:c>
      <x:c r="J78" s="39" t="str">
        <x:v>کوچ اجرایی + متخصص مهارت‌های هیجانی/رفتاری</x:v>
      </x:c>
      <x:c r="K78" s="39" t="str"/>
      <x:c r="L78" s="39" t="str">
        <x:v>PL:R106؛ AP:P1447</x:v>
      </x:c>
      <x:c r="M78" s="39" t="str"/>
      <x:c r="N78" s="39" t="str">
        <x:v>نسخه پایه ۳۱۵۰</x:v>
      </x:c>
    </x:row>
    <x:row r="79" ht="34" customHeight="1">
      <x:c r="A79" s="34" t="str">
        <x:v>☐</x:v>
      </x:c>
      <x:c r="B79" s="34" t="str">
        <x:v>MI-0190</x:v>
      </x:c>
      <x:c r="C79" s="34" t="str">
        <x:v>M1 — فرد، پایه‌های عملکرد و خودشناسی</x:v>
      </x:c>
      <x:c r="D79" s="34" t="str">
        <x:v>H1</x:v>
      </x:c>
      <x:c r="E79" s="34" t="str">
        <x:v>پایه‌های زندگی و خودمدیریتی</x:v>
      </x:c>
      <x:c r="F79" s="34" t="str">
        <x:v>P0</x:v>
      </x:c>
      <x:c r="G79" s="34" t="str">
        <x:v>هدف/موضوع</x:v>
      </x:c>
      <x:c r="H79" s="39" t="str">
        <x:v>مدیریت دولتی</x:v>
      </x:c>
      <x:c r="I79" s="39" t="str">
        <x:v>اکنون؛ پایه عملکرد</x:v>
      </x:c>
      <x:c r="J79" s="39" t="str">
        <x:v>کوچ اجرایی + متخصص مهارت‌های هیجانی/رفتاری</x:v>
      </x:c>
      <x:c r="K79" s="39" t="str"/>
      <x:c r="L79" s="39" t="str">
        <x:v>PL:R195؛ AP:P1448</x:v>
      </x:c>
      <x:c r="M79" s="39" t="str"/>
      <x:c r="N79" s="39" t="str">
        <x:v>نسخه پایه ۳۱۵۰</x:v>
      </x:c>
    </x:row>
    <x:row r="80" ht="34" customHeight="1">
      <x:c r="A80" s="34" t="str">
        <x:v>☐</x:v>
      </x:c>
      <x:c r="B80" s="34" t="str">
        <x:v>MI-0191</x:v>
      </x:c>
      <x:c r="C80" s="34" t="str">
        <x:v>M1 — فرد، پایه‌های عملکرد و خودشناسی</x:v>
      </x:c>
      <x:c r="D80" s="34" t="str">
        <x:v>H1</x:v>
      </x:c>
      <x:c r="E80" s="34" t="str">
        <x:v>پایه‌های زندگی و خودمدیریتی</x:v>
      </x:c>
      <x:c r="F80" s="34" t="str">
        <x:v>P0</x:v>
      </x:c>
      <x:c r="G80" s="34" t="str">
        <x:v>هدف/موضوع</x:v>
      </x:c>
      <x:c r="H80" s="39" t="str">
        <x:v>تصمیم گیری و خط مشی گذاری</x:v>
      </x:c>
      <x:c r="I80" s="39" t="str">
        <x:v>اکنون؛ پایه عملکرد</x:v>
      </x:c>
      <x:c r="J80" s="39" t="str">
        <x:v>کوچ اجرایی + متخصص مهارت‌های هیجانی/رفتاری</x:v>
      </x:c>
      <x:c r="K80" s="39" t="str"/>
      <x:c r="L80" s="39" t="str">
        <x:v>PL:R196</x:v>
      </x:c>
      <x:c r="M80" s="39" t="str"/>
      <x:c r="N80" s="39" t="str">
        <x:v>نسخه پایه ۳۱۵۰</x:v>
      </x:c>
    </x:row>
    <x:row r="81" ht="34" customHeight="1">
      <x:c r="A81" s="34" t="str">
        <x:v>☐</x:v>
      </x:c>
      <x:c r="B81" s="34" t="str">
        <x:v>MI-0208</x:v>
      </x:c>
      <x:c r="C81" s="34" t="str">
        <x:v>M1 — فرد، پایه‌های عملکرد و خودشناسی</x:v>
      </x:c>
      <x:c r="D81" s="34" t="str">
        <x:v>H1</x:v>
      </x:c>
      <x:c r="E81" s="34" t="str">
        <x:v>پایه‌های زندگی و خودمدیریتی</x:v>
      </x:c>
      <x:c r="F81" s="34" t="str">
        <x:v>P0</x:v>
      </x:c>
      <x:c r="G81" s="34" t="str">
        <x:v>هدف/موضوع</x:v>
      </x:c>
      <x:c r="H81" s="39" t="str">
        <x:v>توسعه فردی و رهبری تیم</x:v>
      </x:c>
      <x:c r="I81" s="39" t="str">
        <x:v>اکنون؛ پایه عملکرد</x:v>
      </x:c>
      <x:c r="J81" s="39" t="str">
        <x:v>کوچ اجرایی + متخصص مهارت‌های هیجانی/رفتاری</x:v>
      </x:c>
      <x:c r="K81" s="39" t="str"/>
      <x:c r="L81" s="39" t="str">
        <x:v>PL:R273</x:v>
      </x:c>
      <x:c r="M81" s="39" t="str"/>
      <x:c r="N81" s="39" t="str">
        <x:v>نسخه پایه ۳۱۵۰</x:v>
      </x:c>
    </x:row>
    <x:row r="82" ht="34" customHeight="1">
      <x:c r="A82" s="34" t="str">
        <x:v>☐</x:v>
      </x:c>
      <x:c r="B82" s="34" t="str">
        <x:v>MI-1434</x:v>
      </x:c>
      <x:c r="C82" s="34" t="str">
        <x:v>M1 — فرد، پایه‌های عملکرد و خودشناسی</x:v>
      </x:c>
      <x:c r="D82" s="34" t="str">
        <x:v>H1</x:v>
      </x:c>
      <x:c r="E82" s="34" t="str">
        <x:v>پایه‌های زندگی و خودمدیریتی</x:v>
      </x:c>
      <x:c r="F82" s="34" t="str">
        <x:v>P0</x:v>
      </x:c>
      <x:c r="G82" s="34" t="str">
        <x:v>هدف/موضوع</x:v>
      </x:c>
      <x:c r="H82" s="39" t="str">
        <x:v>مدیریت معنوی</x:v>
      </x:c>
      <x:c r="I82" s="39" t="str">
        <x:v>اکنون؛ پایه عملکرد</x:v>
      </x:c>
      <x:c r="J82" s="39" t="str">
        <x:v>کوچ اجرایی + متخصص مهارت‌های هیجانی/رفتاری</x:v>
      </x:c>
      <x:c r="K82" s="39" t="str"/>
      <x:c r="L82" s="39" t="str">
        <x:v>AP:P1334</x:v>
      </x:c>
      <x:c r="M82" s="39" t="str"/>
      <x:c r="N82" s="39" t="str">
        <x:v>نسخه پایه ۳۱۵۰</x:v>
      </x:c>
    </x:row>
    <x:row r="83" ht="34" customHeight="1">
      <x:c r="A83" s="34" t="str">
        <x:v>☐</x:v>
      </x:c>
      <x:c r="B83" s="34" t="str">
        <x:v>MI-1438</x:v>
      </x:c>
      <x:c r="C83" s="34" t="str">
        <x:v>M1 — فرد، پایه‌های عملکرد و خودشناسی</x:v>
      </x:c>
      <x:c r="D83" s="34" t="str">
        <x:v>H1</x:v>
      </x:c>
      <x:c r="E83" s="34" t="str">
        <x:v>پایه‌های زندگی و خودمدیریتی</x:v>
      </x:c>
      <x:c r="F83" s="34" t="str">
        <x:v>P0</x:v>
      </x:c>
      <x:c r="G83" s="34" t="str">
        <x:v>هدف/موضوع</x:v>
      </x:c>
      <x:c r="H83" s="39" t="str">
        <x:v>معنویات</x:v>
      </x:c>
      <x:c r="I83" s="39" t="str">
        <x:v>اکنون؛ پایه عملکرد</x:v>
      </x:c>
      <x:c r="J83" s="39" t="str">
        <x:v>کوچ اجرایی + متخصص مهارت‌های هیجانی/رفتاری</x:v>
      </x:c>
      <x:c r="K83" s="39" t="str"/>
      <x:c r="L83" s="39" t="str">
        <x:v>AP:P1338</x:v>
      </x:c>
      <x:c r="M83" s="39" t="str"/>
      <x:c r="N83" s="39" t="str">
        <x:v>نسخه پایه ۳۱۵۰</x:v>
      </x:c>
    </x:row>
    <x:row r="84" ht="34" customHeight="1">
      <x:c r="A84" s="34" t="str">
        <x:v>☐</x:v>
      </x:c>
      <x:c r="B84" s="34" t="str">
        <x:v>MI-1439</x:v>
      </x:c>
      <x:c r="C84" s="34" t="str">
        <x:v>M1 — فرد، پایه‌های عملکرد و خودشناسی</x:v>
      </x:c>
      <x:c r="D84" s="34" t="str">
        <x:v>H1</x:v>
      </x:c>
      <x:c r="E84" s="34" t="str">
        <x:v>پایه‌های زندگی و خودمدیریتی</x:v>
      </x:c>
      <x:c r="F84" s="34" t="str">
        <x:v>P0</x:v>
      </x:c>
      <x:c r="G84" s="34" t="str">
        <x:v>هدف/موضوع</x:v>
      </x:c>
      <x:c r="H84" s="39" t="str">
        <x:v>دعای هفتم و دعای 22 صحیفه سجادیه</x:v>
      </x:c>
      <x:c r="I84" s="39" t="str">
        <x:v>اکنون؛ پایه عملکرد</x:v>
      </x:c>
      <x:c r="J84" s="39" t="str">
        <x:v>کوچ اجرایی + متخصص مهارت‌های هیجانی/رفتاری</x:v>
      </x:c>
      <x:c r="K84" s="39" t="str"/>
      <x:c r="L84" s="39" t="str">
        <x:v>AP:P1339</x:v>
      </x:c>
      <x:c r="M84" s="39" t="str"/>
      <x:c r="N84" s="39" t="str">
        <x:v>نسخه پایه ۳۱۵۰</x:v>
      </x:c>
    </x:row>
    <x:row r="85" ht="34" customHeight="1">
      <x:c r="A85" s="34" t="str">
        <x:v>☐</x:v>
      </x:c>
      <x:c r="B85" s="34" t="str">
        <x:v>MI-1440</x:v>
      </x:c>
      <x:c r="C85" s="34" t="str">
        <x:v>M1 — فرد، پایه‌های عملکرد و خودشناسی</x:v>
      </x:c>
      <x:c r="D85" s="34" t="str">
        <x:v>H1</x:v>
      </x:c>
      <x:c r="E85" s="34" t="str">
        <x:v>پایه‌های زندگی و خودمدیریتی</x:v>
      </x:c>
      <x:c r="F85" s="34" t="str">
        <x:v>P0</x:v>
      </x:c>
      <x:c r="G85" s="34" t="str">
        <x:v>هدف/موضوع</x:v>
      </x:c>
      <x:c r="H85" s="39" t="str">
        <x:v>مسایل شرعی</x:v>
      </x:c>
      <x:c r="I85" s="39" t="str">
        <x:v>اکنون؛ پایه عملکرد</x:v>
      </x:c>
      <x:c r="J85" s="39" t="str">
        <x:v>کوچ اجرایی + متخصص مهارت‌های هیجانی/رفتاری</x:v>
      </x:c>
      <x:c r="K85" s="39" t="str"/>
      <x:c r="L85" s="39" t="str">
        <x:v>AP:P1340</x:v>
      </x:c>
      <x:c r="M85" s="39" t="str"/>
      <x:c r="N85" s="39" t="str">
        <x:v>نسخه پایه ۳۱۵۰</x:v>
      </x:c>
    </x:row>
    <x:row r="86" ht="34" customHeight="1">
      <x:c r="A86" s="34" t="str">
        <x:v>☐</x:v>
      </x:c>
      <x:c r="B86" s="34" t="str">
        <x:v>MI-1441</x:v>
      </x:c>
      <x:c r="C86" s="34" t="str">
        <x:v>M1 — فرد، پایه‌های عملکرد و خودشناسی</x:v>
      </x:c>
      <x:c r="D86" s="34" t="str">
        <x:v>H1</x:v>
      </x:c>
      <x:c r="E86" s="34" t="str">
        <x:v>پایه‌های زندگی و خودمدیریتی</x:v>
      </x:c>
      <x:c r="F86" s="34" t="str">
        <x:v>P0</x:v>
      </x:c>
      <x:c r="G86" s="34" t="str">
        <x:v>هدف/موضوع</x:v>
      </x:c>
      <x:c r="H86" s="39" t="str">
        <x:v>خدایا 20 هزار صلولت نذر میکنم که اگه بزارن کنکور</x:v>
      </x:c>
      <x:c r="I86" s="39" t="str">
        <x:v>اکنون؛ پایه عملکرد</x:v>
      </x:c>
      <x:c r="J86" s="39" t="str">
        <x:v>کوچ اجرایی + متخصص مهارت‌های هیجانی/رفتاری</x:v>
      </x:c>
      <x:c r="K86" s="39" t="str"/>
      <x:c r="L86" s="39" t="str">
        <x:v>AP:P1341</x:v>
      </x:c>
      <x:c r="M86" s="39" t="str"/>
      <x:c r="N86" s="39" t="str">
        <x:v>نسخه پایه ۳۱۵۰</x:v>
      </x:c>
    </x:row>
    <x:row r="87" ht="34" customHeight="1">
      <x:c r="A87" s="34" t="str">
        <x:v>☐</x:v>
      </x:c>
      <x:c r="B87" s="34" t="str">
        <x:v>MI-1442</x:v>
      </x:c>
      <x:c r="C87" s="34" t="str">
        <x:v>M1 — فرد، پایه‌های عملکرد و خودشناسی</x:v>
      </x:c>
      <x:c r="D87" s="34" t="str">
        <x:v>H1</x:v>
      </x:c>
      <x:c r="E87" s="34" t="str">
        <x:v>پایه‌های زندگی و خودمدیریتی</x:v>
      </x:c>
      <x:c r="F87" s="34" t="str">
        <x:v>P0</x:v>
      </x:c>
      <x:c r="G87" s="34" t="str">
        <x:v>هدف/موضوع</x:v>
      </x:c>
      <x:c r="H87" s="39" t="str">
        <x:v>این نیت کردم نمیدونم انجام شده یا نه چه کنم</x:v>
      </x:c>
      <x:c r="I87" s="39" t="str">
        <x:v>اکنون؛ پایه عملکرد</x:v>
      </x:c>
      <x:c r="J87" s="39" t="str">
        <x:v>کوچ اجرایی + متخصص مهارت‌های هیجانی/رفتاری</x:v>
      </x:c>
      <x:c r="K87" s="39" t="str"/>
      <x:c r="L87" s="39" t="str">
        <x:v>AP:P1342</x:v>
      </x:c>
      <x:c r="M87" s="39" t="str"/>
      <x:c r="N87" s="39" t="str">
        <x:v>نسخه پایه ۳۱۵۰</x:v>
      </x:c>
    </x:row>
    <x:row r="88" ht="34" customHeight="1">
      <x:c r="A88" s="34" t="str">
        <x:v>☐</x:v>
      </x:c>
      <x:c r="B88" s="34" t="str">
        <x:v>MI-1443</x:v>
      </x:c>
      <x:c r="C88" s="34" t="str">
        <x:v>M1 — فرد، پایه‌های عملکرد و خودشناسی</x:v>
      </x:c>
      <x:c r="D88" s="34" t="str">
        <x:v>H1</x:v>
      </x:c>
      <x:c r="E88" s="34" t="str">
        <x:v>پایه‌های زندگی و خودمدیریتی</x:v>
      </x:c>
      <x:c r="F88" s="34" t="str">
        <x:v>P0</x:v>
      </x:c>
      <x:c r="G88" s="34" t="str">
        <x:v>هدف/موضوع</x:v>
      </x:c>
      <x:c r="H88" s="39" t="str">
        <x:v>مدیونی ها</x:v>
      </x:c>
      <x:c r="I88" s="39" t="str">
        <x:v>اکنون؛ پایه عملکرد</x:v>
      </x:c>
      <x:c r="J88" s="39" t="str">
        <x:v>کوچ اجرایی + متخصص مهارت‌های هیجانی/رفتاری</x:v>
      </x:c>
      <x:c r="K88" s="39" t="str"/>
      <x:c r="L88" s="39" t="str">
        <x:v>AP:P1343؛ AP:P1344</x:v>
      </x:c>
      <x:c r="M88" s="39" t="str"/>
      <x:c r="N88" s="39" t="str">
        <x:v>نسخه پایه ۳۱۵۰</x:v>
      </x:c>
    </x:row>
    <x:row r="89" ht="34" customHeight="1">
      <x:c r="A89" s="34" t="str">
        <x:v>☐</x:v>
      </x:c>
      <x:c r="B89" s="34" t="str">
        <x:v>MI-1444</x:v>
      </x:c>
      <x:c r="C89" s="34" t="str">
        <x:v>M1 — فرد، پایه‌های عملکرد و خودشناسی</x:v>
      </x:c>
      <x:c r="D89" s="34" t="str">
        <x:v>H1</x:v>
      </x:c>
      <x:c r="E89" s="34" t="str">
        <x:v>پایه‌های زندگی و خودمدیریتی</x:v>
      </x:c>
      <x:c r="F89" s="34" t="str">
        <x:v>P0</x:v>
      </x:c>
      <x:c r="G89" s="34" t="str">
        <x:v>هدف/موضوع</x:v>
      </x:c>
      <x:c r="H89" s="39" t="str">
        <x:v>اسپیس های مصلی</x:v>
      </x:c>
      <x:c r="I89" s="39" t="str">
        <x:v>اکنون؛ پایه عملکرد</x:v>
      </x:c>
      <x:c r="J89" s="39" t="str">
        <x:v>کوچ اجرایی + متخصص مهارت‌های هیجانی/رفتاری</x:v>
      </x:c>
      <x:c r="K89" s="39" t="str"/>
      <x:c r="L89" s="39" t="str">
        <x:v>AP:P1345</x:v>
      </x:c>
      <x:c r="M89" s="39" t="str"/>
      <x:c r="N89" s="39" t="str">
        <x:v>نسخه پایه ۳۱۵۰</x:v>
      </x:c>
    </x:row>
    <x:row r="90" ht="34" customHeight="1">
      <x:c r="A90" s="34" t="str">
        <x:v>☐</x:v>
      </x:c>
      <x:c r="B90" s="34" t="str">
        <x:v>MI-1445</x:v>
      </x:c>
      <x:c r="C90" s="34" t="str">
        <x:v>M1 — فرد، پایه‌های عملکرد و خودشناسی</x:v>
      </x:c>
      <x:c r="D90" s="34" t="str">
        <x:v>H1</x:v>
      </x:c>
      <x:c r="E90" s="34" t="str">
        <x:v>پایه‌های زندگی و خودمدیریتی</x:v>
      </x:c>
      <x:c r="F90" s="34" t="str">
        <x:v>P0</x:v>
      </x:c>
      <x:c r="G90" s="34" t="str">
        <x:v>هدف/موضوع</x:v>
      </x:c>
      <x:c r="H90" s="39" t="str">
        <x:v>بنری که بالا نرفت برای بسیج</x:v>
      </x:c>
      <x:c r="I90" s="39" t="str">
        <x:v>اکنون؛ پایه عملکرد</x:v>
      </x:c>
      <x:c r="J90" s="39" t="str">
        <x:v>کوچ اجرایی + متخصص مهارت‌های هیجانی/رفتاری</x:v>
      </x:c>
      <x:c r="K90" s="39" t="str"/>
      <x:c r="L90" s="39" t="str">
        <x:v>AP:P1346</x:v>
      </x:c>
      <x:c r="M90" s="39" t="str"/>
      <x:c r="N90" s="39" t="str">
        <x:v>نسخه پایه ۳۱۵۰</x:v>
      </x:c>
    </x:row>
    <x:row r="91" ht="34" customHeight="1">
      <x:c r="A91" s="34" t="str">
        <x:v>☐</x:v>
      </x:c>
      <x:c r="B91" s="34" t="str">
        <x:v>MI-1446</x:v>
      </x:c>
      <x:c r="C91" s="34" t="str">
        <x:v>M1 — فرد، پایه‌های عملکرد و خودشناسی</x:v>
      </x:c>
      <x:c r="D91" s="34" t="str">
        <x:v>H1</x:v>
      </x:c>
      <x:c r="E91" s="34" t="str">
        <x:v>پایه‌های زندگی و خودمدیریتی</x:v>
      </x:c>
      <x:c r="F91" s="34" t="str">
        <x:v>P0</x:v>
      </x:c>
      <x:c r="G91" s="34" t="str">
        <x:v>هدف/موضوع</x:v>
      </x:c>
      <x:c r="H91" s="39" t="str">
        <x:v>صدقه 10 تومن</x:v>
      </x:c>
      <x:c r="I91" s="39" t="str">
        <x:v>اکنون؛ پایه عملکرد</x:v>
      </x:c>
      <x:c r="J91" s="39" t="str">
        <x:v>کوچ اجرایی + متخصص مهارت‌های هیجانی/رفتاری</x:v>
      </x:c>
      <x:c r="K91" s="39" t="str"/>
      <x:c r="L91" s="39" t="str">
        <x:v>AP:P1347</x:v>
      </x:c>
      <x:c r="M91" s="39" t="str"/>
      <x:c r="N91" s="39" t="str">
        <x:v>نسخه پایه ۳۱۵۰</x:v>
      </x:c>
    </x:row>
    <x:row r="92" ht="34" customHeight="1">
      <x:c r="A92" s="34" t="str">
        <x:v>☐</x:v>
      </x:c>
      <x:c r="B92" s="34" t="str">
        <x:v>MI-1447</x:v>
      </x:c>
      <x:c r="C92" s="34" t="str">
        <x:v>M1 — فرد، پایه‌های عملکرد و خودشناسی</x:v>
      </x:c>
      <x:c r="D92" s="34" t="str">
        <x:v>H1</x:v>
      </x:c>
      <x:c r="E92" s="34" t="str">
        <x:v>پایه‌های زندگی و خودمدیریتی</x:v>
      </x:c>
      <x:c r="F92" s="34" t="str">
        <x:v>P0</x:v>
      </x:c>
      <x:c r="G92" s="34" t="str">
        <x:v>هدف/موضوع</x:v>
      </x:c>
      <x:c r="H92" s="39" t="str">
        <x:v>صدقه 12 ت</x:v>
      </x:c>
      <x:c r="I92" s="39" t="str">
        <x:v>اکنون؛ پایه عملکرد</x:v>
      </x:c>
      <x:c r="J92" s="39" t="str">
        <x:v>کوچ اجرایی + متخصص مهارت‌های هیجانی/رفتاری</x:v>
      </x:c>
      <x:c r="K92" s="39" t="str"/>
      <x:c r="L92" s="39" t="str">
        <x:v>AP:P1348</x:v>
      </x:c>
      <x:c r="M92" s="39" t="str"/>
      <x:c r="N92" s="39" t="str">
        <x:v>نسخه پایه ۳۱۵۰</x:v>
      </x:c>
    </x:row>
    <x:row r="93" ht="34" customHeight="1">
      <x:c r="A93" s="34" t="str">
        <x:v>☐</x:v>
      </x:c>
      <x:c r="B93" s="34" t="str">
        <x:v>MI-1448</x:v>
      </x:c>
      <x:c r="C93" s="34" t="str">
        <x:v>M1 — فرد، پایه‌های عملکرد و خودشناسی</x:v>
      </x:c>
      <x:c r="D93" s="34" t="str">
        <x:v>H1</x:v>
      </x:c>
      <x:c r="E93" s="34" t="str">
        <x:v>پایه‌های زندگی و خودمدیریتی</x:v>
      </x:c>
      <x:c r="F93" s="34" t="str">
        <x:v>P0</x:v>
      </x:c>
      <x:c r="G93" s="34" t="str">
        <x:v>هدف/موضوع</x:v>
      </x:c>
      <x:c r="H93" s="39" t="str">
        <x:v>پول هییت قبلا چوقدر هست دست من؟؟؟ قبلا 4,290 بوده . چقدر به سید دادم.</x:v>
      </x:c>
      <x:c r="I93" s="39" t="str">
        <x:v>اکنون؛ پایه عملکرد</x:v>
      </x:c>
      <x:c r="J93" s="39" t="str">
        <x:v>کوچ اجرایی + متخصص مهارت‌های هیجانی/رفتاری</x:v>
      </x:c>
      <x:c r="K93" s="39" t="str"/>
      <x:c r="L93" s="39" t="str">
        <x:v>AP:P1349</x:v>
      </x:c>
      <x:c r="M93" s="39" t="str"/>
      <x:c r="N93" s="39" t="str">
        <x:v>نسخه پایه ۳۱۵۰</x:v>
      </x:c>
    </x:row>
    <x:row r="94" ht="34" customHeight="1">
      <x:c r="A94" s="34" t="str">
        <x:v>☐</x:v>
      </x:c>
      <x:c r="B94" s="34" t="str">
        <x:v>MI-1449</x:v>
      </x:c>
      <x:c r="C94" s="34" t="str">
        <x:v>M1 — فرد، پایه‌های عملکرد و خودشناسی</x:v>
      </x:c>
      <x:c r="D94" s="34" t="str">
        <x:v>H1</x:v>
      </x:c>
      <x:c r="E94" s="34" t="str">
        <x:v>پایه‌های زندگی و خودمدیریتی</x:v>
      </x:c>
      <x:c r="F94" s="34" t="str">
        <x:v>P0</x:v>
      </x:c>
      <x:c r="G94" s="34" t="str">
        <x:v>هدف/موضوع</x:v>
      </x:c>
      <x:c r="H94" s="39" t="str">
        <x:v>سلامت و سبک زندگی</x:v>
      </x:c>
      <x:c r="I94" s="39" t="str">
        <x:v>اکنون؛ پایه عملکرد</x:v>
      </x:c>
      <x:c r="J94" s="39" t="str">
        <x:v>کوچ اجرایی + متخصص مهارت‌های هیجانی/رفتاری</x:v>
      </x:c>
      <x:c r="K94" s="39" t="str"/>
      <x:c r="L94" s="39" t="str">
        <x:v>AP:P1350</x:v>
      </x:c>
      <x:c r="M94" s="39" t="str"/>
      <x:c r="N94" s="39" t="str">
        <x:v>نسخه پایه ۳۱۵۰</x:v>
      </x:c>
    </x:row>
    <x:row r="95" ht="34" customHeight="1">
      <x:c r="A95" s="34" t="str">
        <x:v>☐</x:v>
      </x:c>
      <x:c r="B95" s="34" t="str">
        <x:v>MI-1450</x:v>
      </x:c>
      <x:c r="C95" s="34" t="str">
        <x:v>M1 — فرد، پایه‌های عملکرد و خودشناسی</x:v>
      </x:c>
      <x:c r="D95" s="34" t="str">
        <x:v>H1</x:v>
      </x:c>
      <x:c r="E95" s="34" t="str">
        <x:v>پایه‌های زندگی و خودمدیریتی</x:v>
      </x:c>
      <x:c r="F95" s="34" t="str">
        <x:v>P0</x:v>
      </x:c>
      <x:c r="G95" s="34" t="str">
        <x:v>هدف/موضوع</x:v>
      </x:c>
      <x:c r="H95" s="39" t="str">
        <x:v>سبک زندگی:</x:v>
      </x:c>
      <x:c r="I95" s="39" t="str">
        <x:v>اکنون؛ پایه عملکرد</x:v>
      </x:c>
      <x:c r="J95" s="39" t="str">
        <x:v>کوچ اجرایی + متخصص مهارت‌های هیجانی/رفتاری</x:v>
      </x:c>
      <x:c r="K95" s="39" t="str"/>
      <x:c r="L95" s="39" t="str">
        <x:v>AP:P1351</x:v>
      </x:c>
      <x:c r="M95" s="39" t="str"/>
      <x:c r="N95" s="39" t="str">
        <x:v>نسخه پایه ۳۱۵۰</x:v>
      </x:c>
    </x:row>
    <x:row r="96" ht="34" customHeight="1">
      <x:c r="A96" s="34" t="str">
        <x:v>☐</x:v>
      </x:c>
      <x:c r="B96" s="34" t="str">
        <x:v>MI-1453</x:v>
      </x:c>
      <x:c r="C96" s="34" t="str">
        <x:v>M1 — فرد، پایه‌های عملکرد و خودشناسی</x:v>
      </x:c>
      <x:c r="D96" s="34" t="str">
        <x:v>H1</x:v>
      </x:c>
      <x:c r="E96" s="34" t="str">
        <x:v>پایه‌های زندگی و خودمدیریتی</x:v>
      </x:c>
      <x:c r="F96" s="34" t="str">
        <x:v>P0</x:v>
      </x:c>
      <x:c r="G96" s="34" t="str">
        <x:v>هدف/موضوع</x:v>
      </x:c>
      <x:c r="H96" s="39" t="str">
        <x:v>سلامت روان: مدیریت استرس، کاهش اضطراب، بهبود خلق و خو، درمان اختلالات روانی.</x:v>
      </x:c>
      <x:c r="I96" s="39" t="str">
        <x:v>اکنون؛ پایه عملکرد</x:v>
      </x:c>
      <x:c r="J96" s="39" t="str">
        <x:v>کوچ اجرایی + متخصص مهارت‌های هیجانی/رفتاری</x:v>
      </x:c>
      <x:c r="K96" s="39" t="str"/>
      <x:c r="L96" s="39" t="str">
        <x:v>AP:P1354</x:v>
      </x:c>
      <x:c r="M96" s="39" t="str"/>
      <x:c r="N96" s="39" t="str">
        <x:v>نسخه پایه ۳۱۵۰</x:v>
      </x:c>
    </x:row>
    <x:row r="97" ht="34" customHeight="1">
      <x:c r="A97" s="34" t="str">
        <x:v>☐</x:v>
      </x:c>
      <x:c r="B97" s="34" t="str">
        <x:v>MI-1454</x:v>
      </x:c>
      <x:c r="C97" s="34" t="str">
        <x:v>M1 — فرد، پایه‌های عملکرد و خودشناسی</x:v>
      </x:c>
      <x:c r="D97" s="34" t="str">
        <x:v>H1</x:v>
      </x:c>
      <x:c r="E97" s="34" t="str">
        <x:v>پایه‌های زندگی و خودمدیریتی</x:v>
      </x:c>
      <x:c r="F97" s="34" t="str">
        <x:v>P0</x:v>
      </x:c>
      <x:c r="G97" s="34" t="str">
        <x:v>هدف/موضوع</x:v>
      </x:c>
      <x:c r="H97" s="39" t="str">
        <x:v>مدیریت استرس و خشم</x:v>
      </x:c>
      <x:c r="I97" s="39" t="str">
        <x:v>اکنون؛ پایه عملکرد</x:v>
      </x:c>
      <x:c r="J97" s="39" t="str">
        <x:v>کوچ اجرایی + متخصص مهارت‌های هیجانی/رفتاری</x:v>
      </x:c>
      <x:c r="K97" s="39" t="str"/>
      <x:c r="L97" s="39" t="str">
        <x:v>AP:P1355</x:v>
      </x:c>
      <x:c r="M97" s="39" t="str"/>
      <x:c r="N97" s="39" t="str">
        <x:v>نسخه پایه ۳۱۵۰</x:v>
      </x:c>
    </x:row>
    <x:row r="98" ht="34" customHeight="1">
      <x:c r="A98" s="34" t="str">
        <x:v>☐</x:v>
      </x:c>
      <x:c r="B98" s="34" t="str">
        <x:v>MI-1455</x:v>
      </x:c>
      <x:c r="C98" s="34" t="str">
        <x:v>M1 — فرد، پایه‌های عملکرد و خودشناسی</x:v>
      </x:c>
      <x:c r="D98" s="34" t="str">
        <x:v>H1</x:v>
      </x:c>
      <x:c r="E98" s="34" t="str">
        <x:v>پایه‌های زندگی و خودمدیریتی</x:v>
      </x:c>
      <x:c r="F98" s="34" t="str">
        <x:v>P0</x:v>
      </x:c>
      <x:c r="G98" s="34" t="str">
        <x:v>هدف/موضوع</x:v>
      </x:c>
      <x:c r="H98" s="39" t="str">
        <x:v>افزایش صبر و تحمل</x:v>
      </x:c>
      <x:c r="I98" s="39" t="str">
        <x:v>اکنون؛ پایه عملکرد</x:v>
      </x:c>
      <x:c r="J98" s="39" t="str">
        <x:v>کوچ اجرایی + متخصص مهارت‌های هیجانی/رفتاری</x:v>
      </x:c>
      <x:c r="K98" s="39" t="str"/>
      <x:c r="L98" s="39" t="str">
        <x:v>AP:P1356</x:v>
      </x:c>
      <x:c r="M98" s="39" t="str"/>
      <x:c r="N98" s="39" t="str">
        <x:v>نسخه پایه ۳۱۵۰</x:v>
      </x:c>
    </x:row>
    <x:row r="99" ht="34" customHeight="1">
      <x:c r="A99" s="34" t="str">
        <x:v>☐</x:v>
      </x:c>
      <x:c r="B99" s="34" t="str">
        <x:v>MI-1457</x:v>
      </x:c>
      <x:c r="C99" s="34" t="str">
        <x:v>M1 — فرد، پایه‌های عملکرد و خودشناسی</x:v>
      </x:c>
      <x:c r="D99" s="34" t="str">
        <x:v>H1</x:v>
      </x:c>
      <x:c r="E99" s="34" t="str">
        <x:v>پایه‌های زندگی و خودمدیریتی</x:v>
      </x:c>
      <x:c r="F99" s="34" t="str">
        <x:v>P0</x:v>
      </x:c>
      <x:c r="G99" s="34" t="str">
        <x:v>هدف/موضوع</x:v>
      </x:c>
      <x:c r="H99" s="39" t="str">
        <x:v>سلامت جسمانی: تغذیه سالم، ورزش منظم، خواب کافی، پیشگیری از بیماری ها.</x:v>
      </x:c>
      <x:c r="I99" s="39" t="str">
        <x:v>اکنون؛ پایه عملکرد</x:v>
      </x:c>
      <x:c r="J99" s="39" t="str">
        <x:v>کوچ اجرایی + متخصص مهارت‌های هیجانی/رفتاری</x:v>
      </x:c>
      <x:c r="K99" s="39" t="str"/>
      <x:c r="L99" s="39" t="str">
        <x:v>AP:P1358</x:v>
      </x:c>
      <x:c r="M99" s="39" t="str"/>
      <x:c r="N99" s="39" t="str">
        <x:v>نسخه پایه ۳۱۵۰</x:v>
      </x:c>
    </x:row>
    <x:row r="100" ht="34" customHeight="1">
      <x:c r="A100" s="34" t="str">
        <x:v>☐</x:v>
      </x:c>
      <x:c r="B100" s="34" t="str">
        <x:v>MI-1458</x:v>
      </x:c>
      <x:c r="C100" s="34" t="str">
        <x:v>M1 — فرد، پایه‌های عملکرد و خودشناسی</x:v>
      </x:c>
      <x:c r="D100" s="34" t="str">
        <x:v>H1</x:v>
      </x:c>
      <x:c r="E100" s="34" t="str">
        <x:v>پایه‌های زندگی و خودمدیریتی</x:v>
      </x:c>
      <x:c r="F100" s="34" t="str">
        <x:v>P0</x:v>
      </x:c>
      <x:c r="G100" s="34" t="str">
        <x:v>هدف/موضوع</x:v>
      </x:c>
      <x:c r="H100" s="39" t="str">
        <x:v>توسعه فردی و روانشناسی</x:v>
      </x:c>
      <x:c r="I100" s="39" t="str">
        <x:v>اکنون؛ پایه عملکرد</x:v>
      </x:c>
      <x:c r="J100" s="39" t="str">
        <x:v>کوچ اجرایی + متخصص مهارت‌های هیجانی/رفتاری</x:v>
      </x:c>
      <x:c r="K100" s="39" t="str"/>
      <x:c r="L100" s="39" t="str">
        <x:v>AP:P1360</x:v>
      </x:c>
      <x:c r="M100" s="39" t="str"/>
      <x:c r="N100" s="39" t="str">
        <x:v>نسخه پایه ۳۱۵۰</x:v>
      </x:c>
    </x:row>
    <x:row r="101" ht="34" customHeight="1">
      <x:c r="A101" s="34" t="str">
        <x:v>☐</x:v>
      </x:c>
      <x:c r="B101" s="34" t="str">
        <x:v>MI-1459</x:v>
      </x:c>
      <x:c r="C101" s="34" t="str">
        <x:v>M1 — فرد، پایه‌های عملکرد و خودشناسی</x:v>
      </x:c>
      <x:c r="D101" s="34" t="str">
        <x:v>H1</x:v>
      </x:c>
      <x:c r="E101" s="34" t="str">
        <x:v>پایه‌های زندگی و خودمدیریتی</x:v>
      </x:c>
      <x:c r="F101" s="34" t="str">
        <x:v>P0</x:v>
      </x:c>
      <x:c r="G101" s="34" t="str">
        <x:v>هدف/موضوع</x:v>
      </x:c>
      <x:c r="H101" s="39" t="str">
        <x:v>روانشناسی کنترل خشم و استرس</x:v>
      </x:c>
      <x:c r="I101" s="39" t="str">
        <x:v>اکنون؛ پایه عملکرد</x:v>
      </x:c>
      <x:c r="J101" s="39" t="str">
        <x:v>کوچ اجرایی + متخصص مهارت‌های هیجانی/رفتاری</x:v>
      </x:c>
      <x:c r="K101" s="39" t="str"/>
      <x:c r="L101" s="39" t="str">
        <x:v>AP:P1361</x:v>
      </x:c>
      <x:c r="M101" s="39" t="str"/>
      <x:c r="N101" s="39" t="str">
        <x:v>نسخه پایه ۳۱۵۰</x:v>
      </x:c>
    </x:row>
    <x:row r="102" ht="34" customHeight="1">
      <x:c r="A102" s="34" t="str">
        <x:v>☐</x:v>
      </x:c>
      <x:c r="B102" s="34" t="str">
        <x:v>MI-1460</x:v>
      </x:c>
      <x:c r="C102" s="34" t="str">
        <x:v>M1 — فرد، پایه‌های عملکرد و خودشناسی</x:v>
      </x:c>
      <x:c r="D102" s="34" t="str">
        <x:v>H1</x:v>
      </x:c>
      <x:c r="E102" s="34" t="str">
        <x:v>پایه‌های زندگی و خودمدیریتی</x:v>
      </x:c>
      <x:c r="F102" s="34" t="str">
        <x:v>P0</x:v>
      </x:c>
      <x:c r="G102" s="34" t="str">
        <x:v>هدف/موضوع</x:v>
      </x:c>
      <x:c r="H102" s="39" t="str">
        <x:v>تحمل و صبر</x:v>
      </x:c>
      <x:c r="I102" s="39" t="str">
        <x:v>اکنون؛ پایه عملکرد</x:v>
      </x:c>
      <x:c r="J102" s="39" t="str">
        <x:v>کوچ اجرایی + متخصص مهارت‌های هیجانی/رفتاری</x:v>
      </x:c>
      <x:c r="K102" s="39" t="str"/>
      <x:c r="L102" s="39" t="str">
        <x:v>AP:P1363</x:v>
      </x:c>
      <x:c r="M102" s="39" t="str"/>
      <x:c r="N102" s="39" t="str">
        <x:v>نسخه پایه ۳۱۵۰</x:v>
      </x:c>
    </x:row>
    <x:row r="103" ht="34" customHeight="1">
      <x:c r="A103" s="34" t="str">
        <x:v>☐</x:v>
      </x:c>
      <x:c r="B103" s="34" t="str">
        <x:v>MI-1462</x:v>
      </x:c>
      <x:c r="C103" s="34" t="str">
        <x:v>M1 — فرد، پایه‌های عملکرد و خودشناسی</x:v>
      </x:c>
      <x:c r="D103" s="34" t="str">
        <x:v>H1</x:v>
      </x:c>
      <x:c r="E103" s="34" t="str">
        <x:v>پایه‌های زندگی و خودمدیریتی</x:v>
      </x:c>
      <x:c r="F103" s="34" t="str">
        <x:v>P0</x:v>
      </x:c>
      <x:c r="G103" s="34" t="str">
        <x:v>هدف/موضوع</x:v>
      </x:c>
      <x:c r="H103" s="39" t="str">
        <x:v>مهندسی اجتماعی</x:v>
      </x:c>
      <x:c r="I103" s="39" t="str">
        <x:v>اکنون؛ پایه عملکرد</x:v>
      </x:c>
      <x:c r="J103" s="39" t="str">
        <x:v>کوچ اجرایی + متخصص مهارت‌های هیجانی/رفتاری</x:v>
      </x:c>
      <x:c r="K103" s="39" t="str"/>
      <x:c r="L103" s="39" t="str">
        <x:v>AP:P1368</x:v>
      </x:c>
      <x:c r="M103" s="39" t="str"/>
      <x:c r="N103" s="39" t="str">
        <x:v>نسخه پایه ۳۱۵۰</x:v>
      </x:c>
    </x:row>
    <x:row r="104" ht="34" customHeight="1">
      <x:c r="A104" s="34" t="str">
        <x:v>☐</x:v>
      </x:c>
      <x:c r="B104" s="34" t="str">
        <x:v>MI-1494</x:v>
      </x:c>
      <x:c r="C104" s="34" t="str">
        <x:v>M1 — فرد، پایه‌های عملکرد و خودشناسی</x:v>
      </x:c>
      <x:c r="D104" s="34" t="str">
        <x:v>H1</x:v>
      </x:c>
      <x:c r="E104" s="34" t="str">
        <x:v>پایه‌های زندگی و خودمدیریتی</x:v>
      </x:c>
      <x:c r="F104" s="34" t="str">
        <x:v>P0</x:v>
      </x:c>
      <x:c r="G104" s="34" t="str">
        <x:v>هدف/موضوع</x:v>
      </x:c>
      <x:c r="H104" s="39" t="str">
        <x:v>مدیریت و رهبری:</x:v>
      </x:c>
      <x:c r="I104" s="39" t="str">
        <x:v>اکنون؛ پایه عملکرد</x:v>
      </x:c>
      <x:c r="J104" s="39" t="str">
        <x:v>کوچ اجرایی + متخصص مهارت‌های هیجانی/رفتاری</x:v>
      </x:c>
      <x:c r="K104" s="39" t="str"/>
      <x:c r="L104" s="39" t="str">
        <x:v>AP:P1443</x:v>
      </x:c>
      <x:c r="M104" s="39" t="str"/>
      <x:c r="N104" s="39" t="str">
        <x:v>نسخه پایه ۳۱۵۰</x:v>
      </x:c>
    </x:row>
    <x:row r="105" ht="34" customHeight="1">
      <x:c r="A105" s="34" t="str">
        <x:v>☐</x:v>
      </x:c>
      <x:c r="B105" s="34" t="str">
        <x:v>MI-1496</x:v>
      </x:c>
      <x:c r="C105" s="34" t="str">
        <x:v>M1 — فرد، پایه‌های عملکرد و خودشناسی</x:v>
      </x:c>
      <x:c r="D105" s="34" t="str">
        <x:v>H1</x:v>
      </x:c>
      <x:c r="E105" s="34" t="str">
        <x:v>پایه‌های زندگی و خودمدیریتی</x:v>
      </x:c>
      <x:c r="F105" s="34" t="str">
        <x:v>P0</x:v>
      </x:c>
      <x:c r="G105" s="34" t="str">
        <x:v>هدف/موضوع</x:v>
      </x:c>
      <x:c r="H105" s="39" t="str">
        <x:v>مدیریت اجرایی: اجرای استراتژی ها، تصمیم گیری، حل مسیله.</x:v>
      </x:c>
      <x:c r="I105" s="39" t="str">
        <x:v>اکنون؛ پایه عملکرد</x:v>
      </x:c>
      <x:c r="J105" s="39" t="str">
        <x:v>کوچ اجرایی + متخصص مهارت‌های هیجانی/رفتاری</x:v>
      </x:c>
      <x:c r="K105" s="39" t="str"/>
      <x:c r="L105" s="39" t="str">
        <x:v>AP:P1446</x:v>
      </x:c>
      <x:c r="M105" s="39" t="str"/>
      <x:c r="N105" s="39" t="str">
        <x:v>نسخه پایه ۳۱۵۰</x:v>
      </x:c>
    </x:row>
    <x:row r="106" ht="34" customHeight="1">
      <x:c r="A106" s="34" t="str">
        <x:v>☐</x:v>
      </x:c>
      <x:c r="B106" s="34" t="str">
        <x:v>MI-1500</x:v>
      </x:c>
      <x:c r="C106" s="34" t="str">
        <x:v>M1 — فرد، پایه‌های عملکرد و خودشناسی</x:v>
      </x:c>
      <x:c r="D106" s="34" t="str">
        <x:v>H1</x:v>
      </x:c>
      <x:c r="E106" s="34" t="str">
        <x:v>پایه‌های زندگی و خودمدیریتی</x:v>
      </x:c>
      <x:c r="F106" s="34" t="str">
        <x:v>P0</x:v>
      </x:c>
      <x:c r="G106" s="34" t="str">
        <x:v>هدف/موضوع</x:v>
      </x:c>
      <x:c r="H106" s="39" t="str">
        <x:v>مدیریت مالی: تخصیص منابع، کنترل هزینه ها، گزارش دهی مالی.</x:v>
      </x:c>
      <x:c r="I106" s="39" t="str">
        <x:v>اکنون؛ پایه عملکرد</x:v>
      </x:c>
      <x:c r="J106" s="39" t="str">
        <x:v>کوچ اجرایی + متخصص مهارت‌های هیجانی/رفتاری</x:v>
      </x:c>
      <x:c r="K106" s="39" t="str"/>
      <x:c r="L106" s="39" t="str">
        <x:v>AP:P1457</x:v>
      </x:c>
      <x:c r="M106" s="39" t="str"/>
      <x:c r="N106" s="39" t="str">
        <x:v>نسخه پایه ۳۱۵۰</x:v>
      </x:c>
    </x:row>
    <x:row r="107" ht="34" customHeight="1">
      <x:c r="A107" s="34" t="str">
        <x:v>☐</x:v>
      </x:c>
      <x:c r="B107" s="34" t="str">
        <x:v>MI-1502</x:v>
      </x:c>
      <x:c r="C107" s="34" t="str">
        <x:v>M1 — فرد، پایه‌های عملکرد و خودشناسی</x:v>
      </x:c>
      <x:c r="D107" s="34" t="str">
        <x:v>H1</x:v>
      </x:c>
      <x:c r="E107" s="34" t="str">
        <x:v>پایه‌های زندگی و خودمدیریتی</x:v>
      </x:c>
      <x:c r="F107" s="34" t="str">
        <x:v>P0</x:v>
      </x:c>
      <x:c r="G107" s="34" t="str">
        <x:v>هدف/موضوع</x:v>
      </x:c>
      <x:c r="H107" s="39" t="str">
        <x:v>رهبری: مدیریت تیم، انگیزش، تصمیم گیری، حل مسیله.</x:v>
      </x:c>
      <x:c r="I107" s="39" t="str">
        <x:v>اکنون؛ پایه عملکرد</x:v>
      </x:c>
      <x:c r="J107" s="39" t="str">
        <x:v>کوچ اجرایی + متخصص مهارت‌های هیجانی/رفتاری</x:v>
      </x:c>
      <x:c r="K107" s="39" t="str"/>
      <x:c r="L107" s="39" t="str">
        <x:v>AP:P1459</x:v>
      </x:c>
      <x:c r="M107" s="39" t="str"/>
      <x:c r="N107" s="39" t="str">
        <x:v>نسخه پایه ۳۱۵۰</x:v>
      </x:c>
    </x:row>
    <x:row r="108" ht="34" customHeight="1">
      <x:c r="A108" s="34" t="str">
        <x:v>☐</x:v>
      </x:c>
      <x:c r="B108" s="34" t="str">
        <x:v>MI-1506</x:v>
      </x:c>
      <x:c r="C108" s="34" t="str">
        <x:v>M1 — فرد، پایه‌های عملکرد و خودشناسی</x:v>
      </x:c>
      <x:c r="D108" s="34" t="str">
        <x:v>H1</x:v>
      </x:c>
      <x:c r="E108" s="34" t="str">
        <x:v>پایه‌های زندگی و خودمدیریتی</x:v>
      </x:c>
      <x:c r="F108" s="34" t="str">
        <x:v>P0</x:v>
      </x:c>
      <x:c r="G108" s="34" t="str">
        <x:v>هدف/موضوع</x:v>
      </x:c>
      <x:c r="H108" s="39" t="str">
        <x:v>خلاقیت و نوآوری: تفکر خارج از چارچوب، تولید ایده های جدید.</x:v>
      </x:c>
      <x:c r="I108" s="39" t="str">
        <x:v>اکنون؛ پایه عملکرد</x:v>
      </x:c>
      <x:c r="J108" s="39" t="str">
        <x:v>کوچ اجرایی + متخصص مهارت‌های هیجانی/رفتاری</x:v>
      </x:c>
      <x:c r="K108" s="39" t="str"/>
      <x:c r="L108" s="39" t="str">
        <x:v>AP:P1463</x:v>
      </x:c>
      <x:c r="M108" s="39" t="str"/>
      <x:c r="N108" s="39" t="str">
        <x:v>نسخه پایه ۳۱۵۰</x:v>
      </x:c>
    </x:row>
    <x:row r="109" ht="34" customHeight="1">
      <x:c r="A109" s="34" t="str">
        <x:v>☐</x:v>
      </x:c>
      <x:c r="B109" s="34" t="str">
        <x:v>MI-1509</x:v>
      </x:c>
      <x:c r="C109" s="34" t="str">
        <x:v>M1 — فرد، پایه‌های عملکرد و خودشناسی</x:v>
      </x:c>
      <x:c r="D109" s="34" t="str">
        <x:v>H1</x:v>
      </x:c>
      <x:c r="E109" s="34" t="str">
        <x:v>پایه‌های زندگی و خودمدیریتی</x:v>
      </x:c>
      <x:c r="F109" s="34" t="str">
        <x:v>P0</x:v>
      </x:c>
      <x:c r="G109" s="34" t="str">
        <x:v>هدف/موضوع</x:v>
      </x:c>
      <x:c r="H109" s="39" t="str">
        <x:v>سرمایه گذاری و اقتصاد:</x:v>
      </x:c>
      <x:c r="I109" s="39" t="str">
        <x:v>اکنون؛ پایه عملکرد</x:v>
      </x:c>
      <x:c r="J109" s="39" t="str">
        <x:v>کوچ اجرایی + متخصص مهارت‌های هیجانی/رفتاری</x:v>
      </x:c>
      <x:c r="K109" s="39" t="str"/>
      <x:c r="L109" s="39" t="str">
        <x:v>AP:P1467</x:v>
      </x:c>
      <x:c r="M109" s="39" t="str"/>
      <x:c r="N109" s="39" t="str">
        <x:v>نسخه پایه ۳۱۵۰</x:v>
      </x:c>
    </x:row>
    <x:row r="110" ht="34" customHeight="1">
      <x:c r="A110" s="34" t="str">
        <x:v>☐</x:v>
      </x:c>
      <x:c r="B110" s="34" t="str">
        <x:v>MI-1511</x:v>
      </x:c>
      <x:c r="C110" s="34" t="str">
        <x:v>M1 — فرد، پایه‌های عملکرد و خودشناسی</x:v>
      </x:c>
      <x:c r="D110" s="34" t="str">
        <x:v>H1</x:v>
      </x:c>
      <x:c r="E110" s="34" t="str">
        <x:v>پایه‌های زندگی و خودمدیریتی</x:v>
      </x:c>
      <x:c r="F110" s="34" t="str">
        <x:v>P0</x:v>
      </x:c>
      <x:c r="G110" s="34" t="str">
        <x:v>هدف/موضوع</x:v>
      </x:c>
      <x:c r="H110" s="39" t="str">
        <x:v>مدیریت سرمایه: تخصیص سرمایه، ارزیابی ریسک و بازده.</x:v>
      </x:c>
      <x:c r="I110" s="39" t="str">
        <x:v>اکنون؛ پایه عملکرد</x:v>
      </x:c>
      <x:c r="J110" s="39" t="str">
        <x:v>کوچ اجرایی + متخصص مهارت‌های هیجانی/رفتاری</x:v>
      </x:c>
      <x:c r="K110" s="39" t="str"/>
      <x:c r="L110" s="39" t="str">
        <x:v>AP:P1469</x:v>
      </x:c>
      <x:c r="M110" s="39" t="str"/>
      <x:c r="N110" s="39" t="str">
        <x:v>نسخه پایه ۳۱۵۰</x:v>
      </x:c>
    </x:row>
    <x:row r="111" ht="34" customHeight="1">
      <x:c r="A111" s="34" t="str">
        <x:v>☐</x:v>
      </x:c>
      <x:c r="B111" s="34" t="str">
        <x:v>MI-1524</x:v>
      </x:c>
      <x:c r="C111" s="34" t="str">
        <x:v>M1 — فرد، پایه‌های عملکرد و خودشناسی</x:v>
      </x:c>
      <x:c r="D111" s="34" t="str">
        <x:v>H1</x:v>
      </x:c>
      <x:c r="E111" s="34" t="str">
        <x:v>پایه‌های زندگی و خودمدیریتی</x:v>
      </x:c>
      <x:c r="F111" s="34" t="str">
        <x:v>P0</x:v>
      </x:c>
      <x:c r="G111" s="34" t="str">
        <x:v>هدف/موضوع</x:v>
      </x:c>
      <x:c r="H111" s="39" t="str">
        <x:v>حقوقی و مدنی:</x:v>
      </x:c>
      <x:c r="I111" s="39" t="str">
        <x:v>اکنون؛ پایه عملکرد</x:v>
      </x:c>
      <x:c r="J111" s="39" t="str">
        <x:v>کوچ اجرایی + متخصص مهارت‌های هیجانی/رفتاری</x:v>
      </x:c>
      <x:c r="K111" s="39" t="str"/>
      <x:c r="L111" s="39" t="str">
        <x:v>AP:P1495</x:v>
      </x:c>
      <x:c r="M111" s="39" t="str"/>
      <x:c r="N111" s="39" t="str">
        <x:v>نسخه پایه ۳۱۵۰</x:v>
      </x:c>
    </x:row>
    <x:row r="112" ht="34" customHeight="1">
      <x:c r="A112" s="34" t="str">
        <x:v>☐</x:v>
      </x:c>
      <x:c r="B112" s="34" t="str">
        <x:v>MI-1526</x:v>
      </x:c>
      <x:c r="C112" s="34" t="str">
        <x:v>M1 — فرد، پایه‌های عملکرد و خودشناسی</x:v>
      </x:c>
      <x:c r="D112" s="34" t="str">
        <x:v>H1</x:v>
      </x:c>
      <x:c r="E112" s="34" t="str">
        <x:v>پایه‌های زندگی و خودمدیریتی</x:v>
      </x:c>
      <x:c r="F112" s="34" t="str">
        <x:v>P0</x:v>
      </x:c>
      <x:c r="G112" s="34" t="str">
        <x:v>هدف/موضوع</x:v>
      </x:c>
      <x:c r="H112" s="39" t="str">
        <x:v>حقوق شهروندی: حقوق و وظایف شهروندان.</x:v>
      </x:c>
      <x:c r="I112" s="39" t="str">
        <x:v>اکنون؛ پایه عملکرد</x:v>
      </x:c>
      <x:c r="J112" s="39" t="str">
        <x:v>کوچ اجرایی + متخصص مهارت‌های هیجانی/رفتاری</x:v>
      </x:c>
      <x:c r="K112" s="39" t="str"/>
      <x:c r="L112" s="39" t="str">
        <x:v>AP:P1497</x:v>
      </x:c>
      <x:c r="M112" s="39" t="str"/>
      <x:c r="N112" s="39" t="str">
        <x:v>نسخه پایه ۳۱۵۰</x:v>
      </x:c>
    </x:row>
    <x:row r="113" ht="34" customHeight="1">
      <x:c r="A113" s="34" t="str">
        <x:v>☐</x:v>
      </x:c>
      <x:c r="B113" s="34" t="str">
        <x:v>MI-1527</x:v>
      </x:c>
      <x:c r="C113" s="34" t="str">
        <x:v>M1 — فرد، پایه‌های عملکرد و خودشناسی</x:v>
      </x:c>
      <x:c r="D113" s="34" t="str">
        <x:v>H1</x:v>
      </x:c>
      <x:c r="E113" s="34" t="str">
        <x:v>پایه‌های زندگی و خودمدیریتی</x:v>
      </x:c>
      <x:c r="F113" s="34" t="str">
        <x:v>P0</x:v>
      </x:c>
      <x:c r="G113" s="34" t="str">
        <x:v>هدف/موضوع</x:v>
      </x:c>
      <x:c r="H113" s="39" t="str">
        <x:v>حقوق مالکیت معنوی: حق اختراع، حق نشر، علایم تجاری.</x:v>
      </x:c>
      <x:c r="I113" s="39" t="str">
        <x:v>اکنون؛ پایه عملکرد</x:v>
      </x:c>
      <x:c r="J113" s="39" t="str">
        <x:v>کوچ اجرایی + متخصص مهارت‌های هیجانی/رفتاری</x:v>
      </x:c>
      <x:c r="K113" s="39" t="str"/>
      <x:c r="L113" s="39" t="str">
        <x:v>AP:P1498</x:v>
      </x:c>
      <x:c r="M113" s="39" t="str"/>
      <x:c r="N113" s="39" t="str">
        <x:v>نسخه پایه ۳۱۵۰</x:v>
      </x:c>
    </x:row>
    <x:row r="114" ht="34" customHeight="1">
      <x:c r="A114" s="34" t="str">
        <x:v>☐</x:v>
      </x:c>
      <x:c r="B114" s="34" t="str">
        <x:v>MI-1528</x:v>
      </x:c>
      <x:c r="C114" s="34" t="str">
        <x:v>M1 — فرد، پایه‌های عملکرد و خودشناسی</x:v>
      </x:c>
      <x:c r="D114" s="34" t="str">
        <x:v>H1</x:v>
      </x:c>
      <x:c r="E114" s="34" t="str">
        <x:v>پایه‌های زندگی و خودمدیریتی</x:v>
      </x:c>
      <x:c r="F114" s="34" t="str">
        <x:v>P0</x:v>
      </x:c>
      <x:c r="G114" s="34" t="str">
        <x:v>هدف/موضوع</x:v>
      </x:c>
      <x:c r="H114" s="39" t="str">
        <x:v>فعالیت های اجتماعی و فرهنگی</x:v>
      </x:c>
      <x:c r="I114" s="39" t="str">
        <x:v>اکنون؛ پایه عملکرد</x:v>
      </x:c>
      <x:c r="J114" s="39" t="str">
        <x:v>کوچ اجرایی + متخصص مهارت‌های هیجانی/رفتاری</x:v>
      </x:c>
      <x:c r="K114" s="39" t="str"/>
      <x:c r="L114" s="39" t="str">
        <x:v>AP:P1500</x:v>
      </x:c>
      <x:c r="M114" s="39" t="str"/>
      <x:c r="N114" s="39" t="str">
        <x:v>نسخه پایه ۳۱۵۰</x:v>
      </x:c>
    </x:row>
    <x:row r="115" ht="34" customHeight="1">
      <x:c r="A115" s="34" t="str">
        <x:v>☐</x:v>
      </x:c>
      <x:c r="B115" s="34" t="str">
        <x:v>MI-1531</x:v>
      </x:c>
      <x:c r="C115" s="34" t="str">
        <x:v>M1 — فرد، پایه‌های عملکرد و خودشناسی</x:v>
      </x:c>
      <x:c r="D115" s="34" t="str">
        <x:v>H1</x:v>
      </x:c>
      <x:c r="E115" s="34" t="str">
        <x:v>پایه‌های زندگی و خودمدیریتی</x:v>
      </x:c>
      <x:c r="F115" s="34" t="str">
        <x:v>P0</x:v>
      </x:c>
      <x:c r="G115" s="34" t="str">
        <x:v>هدف/موضوع</x:v>
      </x:c>
      <x:c r="H115" s="39" t="str">
        <x:v>باز کردن دفتر بسیج خوابگاه</x:v>
      </x:c>
      <x:c r="I115" s="39" t="str">
        <x:v>اکنون؛ پایه عملکرد</x:v>
      </x:c>
      <x:c r="J115" s="39" t="str">
        <x:v>کوچ اجرایی + متخصص مهارت‌های هیجانی/رفتاری</x:v>
      </x:c>
      <x:c r="K115" s="39" t="str"/>
      <x:c r="L115" s="39" t="str">
        <x:v>AP:P1504</x:v>
      </x:c>
      <x:c r="M115" s="39" t="str"/>
      <x:c r="N115" s="39" t="str">
        <x:v>نسخه پایه ۳۱۵۰</x:v>
      </x:c>
    </x:row>
    <x:row r="116" ht="34" customHeight="1">
      <x:c r="A116" s="34" t="str">
        <x:v>☐</x:v>
      </x:c>
      <x:c r="B116" s="34" t="str">
        <x:v>MI-1533</x:v>
      </x:c>
      <x:c r="C116" s="34" t="str">
        <x:v>M1 — فرد، پایه‌های عملکرد و خودشناسی</x:v>
      </x:c>
      <x:c r="D116" s="34" t="str">
        <x:v>H1</x:v>
      </x:c>
      <x:c r="E116" s="34" t="str">
        <x:v>پایه‌های زندگی و خودمدیریتی</x:v>
      </x:c>
      <x:c r="F116" s="34" t="str">
        <x:v>P0</x:v>
      </x:c>
      <x:c r="G116" s="34" t="str">
        <x:v>هدف/موضوع</x:v>
      </x:c>
      <x:c r="H116" s="39" t="str">
        <x:v>فعالیت های فرهنگی:</x:v>
      </x:c>
      <x:c r="I116" s="39" t="str">
        <x:v>اکنون؛ پایه عملکرد</x:v>
      </x:c>
      <x:c r="J116" s="39" t="str">
        <x:v>کوچ اجرایی + متخصص مهارت‌های هیجانی/رفتاری</x:v>
      </x:c>
      <x:c r="K116" s="39" t="str"/>
      <x:c r="L116" s="39" t="str">
        <x:v>AP:P1509</x:v>
      </x:c>
      <x:c r="M116" s="39" t="str"/>
      <x:c r="N116" s="39" t="str">
        <x:v>نسخه پایه ۳۱۵۰</x:v>
      </x:c>
    </x:row>
    <x:row r="117" ht="34" customHeight="1">
      <x:c r="A117" s="34" t="str">
        <x:v>☐</x:v>
      </x:c>
      <x:c r="B117" s="34" t="str">
        <x:v>MI-1537</x:v>
      </x:c>
      <x:c r="C117" s="34" t="str">
        <x:v>M1 — فرد، پایه‌های عملکرد و خودشناسی</x:v>
      </x:c>
      <x:c r="D117" s="34" t="str">
        <x:v>H1</x:v>
      </x:c>
      <x:c r="E117" s="34" t="str">
        <x:v>پایه‌های زندگی و خودمدیریتی</x:v>
      </x:c>
      <x:c r="F117" s="34" t="str">
        <x:v>P0</x:v>
      </x:c>
      <x:c r="G117" s="34" t="str">
        <x:v>هدف/موضوع</x:v>
      </x:c>
      <x:c r="H117" s="39" t="str">
        <x:v>سایر فعالیت های اجتماعی:</x:v>
      </x:c>
      <x:c r="I117" s="39" t="str">
        <x:v>اکنون؛ پایه عملکرد</x:v>
      </x:c>
      <x:c r="J117" s="39" t="str">
        <x:v>کوچ اجرایی + متخصص مهارت‌های هیجانی/رفتاری</x:v>
      </x:c>
      <x:c r="K117" s="39" t="str"/>
      <x:c r="L117" s="39" t="str">
        <x:v>AP:P1517</x:v>
      </x:c>
      <x:c r="M117" s="39" t="str"/>
      <x:c r="N117" s="39" t="str">
        <x:v>نسخه پایه ۳۱۵۰</x:v>
      </x:c>
    </x:row>
    <x:row r="118" ht="34" customHeight="1">
      <x:c r="A118" s="34" t="str">
        <x:v>☐</x:v>
      </x:c>
      <x:c r="B118" s="34" t="str">
        <x:v>MI-1538</x:v>
      </x:c>
      <x:c r="C118" s="34" t="str">
        <x:v>M1 — فرد، پایه‌های عملکرد و خودشناسی</x:v>
      </x:c>
      <x:c r="D118" s="34" t="str">
        <x:v>H1</x:v>
      </x:c>
      <x:c r="E118" s="34" t="str">
        <x:v>پایه‌های زندگی و خودمدیریتی</x:v>
      </x:c>
      <x:c r="F118" s="34" t="str">
        <x:v>P0</x:v>
      </x:c>
      <x:c r="G118" s="34" t="str">
        <x:v>هدف/موضوع</x:v>
      </x:c>
      <x:c r="H118" s="39" t="str">
        <x:v>فعالیت های فرهنگی: شرکت در فعالیت های هنری، موسیقی، تیاتر، سینما، نگارش، خوشنویسی.</x:v>
      </x:c>
      <x:c r="I118" s="39" t="str">
        <x:v>اکنون؛ پایه عملکرد</x:v>
      </x:c>
      <x:c r="J118" s="39" t="str">
        <x:v>کوچ اجرایی + متخصص مهارت‌های هیجانی/رفتاری</x:v>
      </x:c>
      <x:c r="K118" s="39" t="str"/>
      <x:c r="L118" s="39" t="str">
        <x:v>AP:P1519</x:v>
      </x:c>
      <x:c r="M118" s="39" t="str"/>
      <x:c r="N118" s="39" t="str">
        <x:v>نسخه پایه ۳۱۵۰</x:v>
      </x:c>
    </x:row>
    <x:row r="119" ht="34" customHeight="1">
      <x:c r="A119" s="34" t="str">
        <x:v>☐</x:v>
      </x:c>
      <x:c r="B119" s="34" t="str">
        <x:v>MI-2265</x:v>
      </x:c>
      <x:c r="C119" s="34" t="str">
        <x:v>M1 — فرد، پایه‌های عملکرد و خودشناسی</x:v>
      </x:c>
      <x:c r="D119" s="34" t="str">
        <x:v>H1</x:v>
      </x:c>
      <x:c r="E119" s="34" t="str">
        <x:v>پایه‌های زندگی و خودمدیریتی</x:v>
      </x:c>
      <x:c r="F119" s="34" t="str">
        <x:v>P0</x:v>
      </x:c>
      <x:c r="G119" s="34" t="str">
        <x:v>هدف/موضوع</x:v>
      </x:c>
      <x:c r="H119" s="39" t="str">
        <x:v>تمرکز روی:</x:v>
      </x:c>
      <x:c r="I119" s="39" t="str">
        <x:v>اکنون؛ پایه عملکرد</x:v>
      </x:c>
      <x:c r="J119" s="39" t="str">
        <x:v>کوچ اجرایی + متخصص مهارت‌های هیجانی/رفتاری</x:v>
      </x:c>
      <x:c r="K119" s="39" t="str"/>
      <x:c r="L119" s="39" t="str">
        <x:v>E112:P1193؛ E112:P1421</x:v>
      </x:c>
      <x:c r="M119" s="39" t="str"/>
      <x:c r="N119" s="39" t="str">
        <x:v>نسخه پایه ۳۱۵۰</x:v>
      </x:c>
    </x:row>
    <x:row r="120" ht="34" customHeight="1">
      <x:c r="A120" s="34" t="str">
        <x:v>☐</x:v>
      </x:c>
      <x:c r="B120" s="34" t="str">
        <x:v>MI-2399</x:v>
      </x:c>
      <x:c r="C120" s="34" t="str">
        <x:v>M1 — فرد، پایه‌های عملکرد و خودشناسی</x:v>
      </x:c>
      <x:c r="D120" s="34" t="str">
        <x:v>H1</x:v>
      </x:c>
      <x:c r="E120" s="34" t="str">
        <x:v>پایه‌های زندگی و خودمدیریتی</x:v>
      </x:c>
      <x:c r="F120" s="34" t="str">
        <x:v>P0</x:v>
      </x:c>
      <x:c r="G120" s="34" t="str">
        <x:v>هدف/موضوع</x:v>
      </x:c>
      <x:c r="H120" s="39" t="str">
        <x:v>1. صنایع اصلی که باید روی آن ها تمرکز شود</x:v>
      </x:c>
      <x:c r="I120" s="39" t="str">
        <x:v>اکنون؛ پایه عملکرد</x:v>
      </x:c>
      <x:c r="J120" s="39" t="str">
        <x:v>کوچ اجرایی + متخصص مهارت‌های هیجانی/رفتاری</x:v>
      </x:c>
      <x:c r="K120" s="39" t="str"/>
      <x:c r="L120" s="39" t="str">
        <x:v>E112:P1475</x:v>
      </x:c>
      <x:c r="M120" s="39" t="str"/>
      <x:c r="N120" s="39" t="str">
        <x:v>نسخه پایه ۳۱۵۰</x:v>
      </x:c>
    </x:row>
    <x:row r="121" ht="34" customHeight="1">
      <x:c r="A121" s="34" t="str">
        <x:v>☐</x:v>
      </x:c>
      <x:c r="B121" s="34" t="str">
        <x:v>MI-2411</x:v>
      </x:c>
      <x:c r="C121" s="34" t="str">
        <x:v>M1 — فرد، پایه‌های عملکرد و خودشناسی</x:v>
      </x:c>
      <x:c r="D121" s="34" t="str">
        <x:v>H1</x:v>
      </x:c>
      <x:c r="E121" s="34" t="str">
        <x:v>پایه‌های زندگی و خودمدیریتی</x:v>
      </x:c>
      <x:c r="F121" s="34" t="str">
        <x:v>P0</x:v>
      </x:c>
      <x:c r="G121" s="34" t="str">
        <x:v>هدف/موضوع</x:v>
      </x:c>
      <x:c r="H121" s="39" t="str">
        <x:v>تمرکز: حل مسیله واقعی استان</x:v>
      </x:c>
      <x:c r="I121" s="39" t="str">
        <x:v>اکنون؛ پایه عملکرد</x:v>
      </x:c>
      <x:c r="J121" s="39" t="str">
        <x:v>کوچ اجرایی + متخصص مهارت‌های هیجانی/رفتاری</x:v>
      </x:c>
      <x:c r="K121" s="39" t="str"/>
      <x:c r="L121" s="39" t="str">
        <x:v>E112:P1492</x:v>
      </x:c>
      <x:c r="M121" s="39" t="str"/>
      <x:c r="N121" s="39" t="str">
        <x:v>نسخه پایه ۳۱۵۰</x:v>
      </x:c>
    </x:row>
    <x:row r="122" ht="34" customHeight="1">
      <x:c r="A122" s="34" t="str">
        <x:v>☐</x:v>
      </x:c>
      <x:c r="B122" s="34" t="str">
        <x:v>MI-2446</x:v>
      </x:c>
      <x:c r="C122" s="34" t="str">
        <x:v>M1 — فرد، پایه‌های عملکرد و خودشناسی</x:v>
      </x:c>
      <x:c r="D122" s="34" t="str">
        <x:v>H1</x:v>
      </x:c>
      <x:c r="E122" s="34" t="str">
        <x:v>پایه‌های زندگی و خودمدیریتی</x:v>
      </x:c>
      <x:c r="F122" s="34" t="str">
        <x:v>P0</x:v>
      </x:c>
      <x:c r="G122" s="34" t="str">
        <x:v>هدف/موضوع</x:v>
      </x:c>
      <x:c r="H122" s="39" t="str">
        <x:v>تمرکز جغرافیایی:</x:v>
      </x:c>
      <x:c r="I122" s="39" t="str">
        <x:v>اکنون؛ پایه عملکرد</x:v>
      </x:c>
      <x:c r="J122" s="39" t="str">
        <x:v>کوچ اجرایی + متخصص مهارت‌های هیجانی/رفتاری</x:v>
      </x:c>
      <x:c r="K122" s="39" t="str"/>
      <x:c r="L122" s="39" t="str">
        <x:v>E112:P1729</x:v>
      </x:c>
      <x:c r="M122" s="39" t="str"/>
      <x:c r="N122" s="39" t="str">
        <x:v>نسخه پایه ۳۱۵۰</x:v>
      </x:c>
    </x:row>
    <x:row r="123" ht="34" customHeight="1">
      <x:c r="A123" s="34" t="str">
        <x:v>☐</x:v>
      </x:c>
      <x:c r="B123" s="34" t="str">
        <x:v>MI-2857</x:v>
      </x:c>
      <x:c r="C123" s="34" t="str">
        <x:v>M1 — فرد، پایه‌های عملکرد و خودشناسی</x:v>
      </x:c>
      <x:c r="D123" s="34" t="str">
        <x:v>H1</x:v>
      </x:c>
      <x:c r="E123" s="34" t="str">
        <x:v>پایه‌های زندگی و خودمدیریتی</x:v>
      </x:c>
      <x:c r="F123" s="34" t="str">
        <x:v>P0</x:v>
      </x:c>
      <x:c r="G123" s="34" t="str">
        <x:v>هدف/موضوع</x:v>
      </x:c>
      <x:c r="H123" s="39" t="str">
        <x:v>تمرکز روی صنایع مزیت دار استان:</x:v>
      </x:c>
      <x:c r="I123" s="39" t="str">
        <x:v>اکنون؛ پایه عملکرد</x:v>
      </x:c>
      <x:c r="J123" s="39" t="str">
        <x:v>کوچ اجرایی + متخصص مهارت‌های هیجانی/رفتاری</x:v>
      </x:c>
      <x:c r="K123" s="39" t="str"/>
      <x:c r="L123" s="39" t="str">
        <x:v>E112:P3113</x:v>
      </x:c>
      <x:c r="M123" s="39" t="str"/>
      <x:c r="N123" s="39" t="str">
        <x:v>نسخه پایه ۳۱۵۰</x:v>
      </x:c>
    </x:row>
    <x:row r="124" ht="34" customHeight="1">
      <x:c r="A124" s="34" t="str">
        <x:v>☐</x:v>
      </x:c>
      <x:c r="B124" s="34" t="str">
        <x:v>MI-2943</x:v>
      </x:c>
      <x:c r="C124" s="34" t="str">
        <x:v>M1 — فرد، پایه‌های عملکرد و خودشناسی</x:v>
      </x:c>
      <x:c r="D124" s="34" t="str">
        <x:v>H1</x:v>
      </x:c>
      <x:c r="E124" s="34" t="str">
        <x:v>پایه‌های زندگی و خودمدیریتی</x:v>
      </x:c>
      <x:c r="F124" s="34" t="str">
        <x:v>P0</x:v>
      </x:c>
      <x:c r="G124" s="34" t="str">
        <x:v>هدف/موضوع</x:v>
      </x:c>
      <x:c r="H124" s="39" t="str">
        <x:v>این تیم در واقع مغز تصمیم گیری اکوسیستم است.</x:v>
      </x:c>
      <x:c r="I124" s="39" t="str">
        <x:v>اکنون؛ پایه عملکرد</x:v>
      </x:c>
      <x:c r="J124" s="39" t="str">
        <x:v>کوچ اجرایی + متخصص مهارت‌های هیجانی/رفتاری</x:v>
      </x:c>
      <x:c r="K124" s="39" t="str"/>
      <x:c r="L124" s="39" t="str">
        <x:v>E112:P3312</x:v>
      </x:c>
      <x:c r="M124" s="39" t="str"/>
      <x:c r="N124" s="39" t="str">
        <x:v>نسخه پایه ۳۱۵۰</x:v>
      </x:c>
    </x:row>
    <x:row r="125" ht="34" customHeight="1">
      <x:c r="A125" s="34" t="str">
        <x:v>☐</x:v>
      </x:c>
      <x:c r="B125" s="34" t="str">
        <x:v>MI-3035</x:v>
      </x:c>
      <x:c r="C125" s="34" t="str">
        <x:v>M1 — فرد، پایه‌های عملکرد و خودشناسی</x:v>
      </x:c>
      <x:c r="D125" s="34" t="str">
        <x:v>H1</x:v>
      </x:c>
      <x:c r="E125" s="34" t="str">
        <x:v>پایه‌های زندگی و خودمدیریتی</x:v>
      </x:c>
      <x:c r="F125" s="34" t="str">
        <x:v>P0</x:v>
      </x:c>
      <x:c r="G125" s="34" t="str">
        <x:v>هدف/موضوع</x:v>
      </x:c>
      <x:c r="H125" s="39" t="str">
        <x:v>سه سطح تصمیم گیری نیاز است.</x:v>
      </x:c>
      <x:c r="I125" s="39" t="str">
        <x:v>اکنون؛ پایه عملکرد</x:v>
      </x:c>
      <x:c r="J125" s="39" t="str">
        <x:v>کوچ اجرایی + متخصص مهارت‌های هیجانی/رفتاری</x:v>
      </x:c>
      <x:c r="K125" s="39" t="str"/>
      <x:c r="L125" s="39" t="str">
        <x:v>E112:P3600</x:v>
      </x:c>
      <x:c r="M125" s="39" t="str"/>
      <x:c r="N125" s="39" t="str">
        <x:v>نسخه پایه ۳۱۵۰</x:v>
      </x:c>
    </x:row>
    <x:row r="126" ht="34" customHeight="1">
      <x:c r="A126" s="34" t="str">
        <x:v>☐</x:v>
      </x:c>
      <x:c r="B126" s="34" t="str">
        <x:v>MI-3098</x:v>
      </x:c>
      <x:c r="C126" s="34" t="str">
        <x:v>M1 — فرد، پایه‌های عملکرد و خودشناسی</x:v>
      </x:c>
      <x:c r="D126" s="34" t="str">
        <x:v>H1</x:v>
      </x:c>
      <x:c r="E126" s="34" t="str">
        <x:v>پایه‌های زندگی و خودمدیریتی</x:v>
      </x:c>
      <x:c r="F126" s="34" t="str">
        <x:v>P0</x:v>
      </x:c>
      <x:c r="G126" s="34" t="str">
        <x:v>هدف/موضوع</x:v>
      </x:c>
      <x:c r="H126" s="39" t="str">
        <x:v>حتی وقتی خسته هستید یا استرس دارید، باز هم دوست دارید چه کاری رو انجام دهید؟</x:v>
      </x:c>
      <x:c r="I126" s="39" t="str">
        <x:v>اکنون؛ پایه عملکرد</x:v>
      </x:c>
      <x:c r="J126" s="39" t="str">
        <x:v>کوچ اجرایی + متخصص مهارت‌های هیجانی/رفتاری</x:v>
      </x:c>
      <x:c r="K126" s="39" t="str"/>
      <x:c r="L126" s="39" t="str">
        <x:v>INT:T30 R1</x:v>
      </x:c>
      <x:c r="M126" s="39" t="str"/>
      <x:c r="N126" s="39" t="str">
        <x:v>نسخه پایه ۳۱۵۰</x:v>
      </x:c>
    </x:row>
    <x:row r="127" ht="34" customHeight="1">
      <x:c r="A127" s="34" t="str">
        <x:v>☐</x:v>
      </x:c>
      <x:c r="B127" s="34" t="str">
        <x:v>MI-3113</x:v>
      </x:c>
      <x:c r="C127" s="34" t="str">
        <x:v>M1 — فرد، پایه‌های عملکرد و خودشناسی</x:v>
      </x:c>
      <x:c r="D127" s="34" t="str">
        <x:v>H1</x:v>
      </x:c>
      <x:c r="E127" s="34" t="str">
        <x:v>پایه‌های زندگی و خودمدیریتی</x:v>
      </x:c>
      <x:c r="F127" s="34" t="str">
        <x:v>P0</x:v>
      </x:c>
      <x:c r="G127" s="34" t="str">
        <x:v>یادداشت/تحلیل</x:v>
      </x:c>
      <x:c r="H127"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I127" s="39" t="str">
        <x:v>اکنون؛ پایه عملکرد</x:v>
      </x:c>
      <x:c r="J127" s="39" t="str">
        <x:v>کوچ اجرایی + متخصص مهارت‌های هیجانی/رفتاری</x:v>
      </x:c>
      <x:c r="K127" s="39" t="str"/>
      <x:c r="L127" s="39" t="str">
        <x:v>INT:T37 R2</x:v>
      </x:c>
      <x:c r="M127" s="39" t="str"/>
      <x:c r="N127" s="39" t="str">
        <x:v>نسخه پایه ۳۱۵۰</x:v>
      </x:c>
    </x:row>
    <x:row r="128" ht="34" customHeight="1">
      <x:c r="A128" s="34" t="str">
        <x:v>☐</x:v>
      </x:c>
      <x:c r="B128" s="34" t="str">
        <x:v>MI-0035</x:v>
      </x:c>
      <x:c r="C128" s="34" t="str">
        <x:v>M1 — فرد، پایه‌های عملکرد و خودشناسی</x:v>
      </x:c>
      <x:c r="D128" s="34" t="str">
        <x:v>H1</x:v>
      </x:c>
      <x:c r="E128" s="34" t="str">
        <x:v>پایه‌های زندگی و خودمدیریتی</x:v>
      </x:c>
      <x:c r="F128" s="34" t="str">
        <x:v>BANK</x:v>
      </x:c>
      <x:c r="G128" s="34" t="str">
        <x:v>مطالعه/منبع</x:v>
      </x:c>
      <x:c r="H128" s="39" t="str">
        <x:v>خواندن کتب انگلیسی لول بندی شده</x:v>
      </x:c>
      <x:c r="I128" s="39" t="str">
        <x:v>بانک مطالعه؛ سقف زمانی</x:v>
      </x:c>
      <x:c r="J128" s="39" t="str">
        <x:v>کوچ اجرایی + متخصص مهارت‌های هیجانی/رفتاری</x:v>
      </x:c>
      <x:c r="K128" s="39" t="str"/>
      <x:c r="L128" s="39" t="str">
        <x:v>PL:R36؛ AP:P1386؛ AP:P1388</x:v>
      </x:c>
      <x:c r="M128" s="39" t="str"/>
      <x:c r="N128" s="39" t="str">
        <x:v>نسخه پایه ۳۱۵۰</x:v>
      </x:c>
    </x:row>
    <x:row r="129" ht="34" customHeight="1">
      <x:c r="A129" s="34" t="str">
        <x:v>☐</x:v>
      </x:c>
      <x:c r="B129" s="34" t="str">
        <x:v>MI-0087</x:v>
      </x:c>
      <x:c r="C129" s="34" t="str">
        <x:v>M1 — فرد، پایه‌های عملکرد و خودشناسی</x:v>
      </x:c>
      <x:c r="D129" s="34" t="str">
        <x:v>H1</x:v>
      </x:c>
      <x:c r="E129" s="34" t="str">
        <x:v>پایه‌های زندگی و خودمدیریتی</x:v>
      </x:c>
      <x:c r="F129" s="34" t="str">
        <x:v>BANK</x:v>
      </x:c>
      <x:c r="G129" s="34" t="str">
        <x:v>مطالعه/منبع</x:v>
      </x:c>
      <x:c r="H129" s="39" t="str">
        <x:v>خواندن دیکشنری فرهنگ لغت انگلیسی به فارسی</x:v>
      </x:c>
      <x:c r="I129" s="39" t="str">
        <x:v>بانک مطالعه؛ سقف زمانی</x:v>
      </x:c>
      <x:c r="J129" s="39" t="str">
        <x:v>کوچ اجرایی + متخصص مهارت‌های هیجانی/رفتاری</x:v>
      </x:c>
      <x:c r="K129" s="39" t="str"/>
      <x:c r="L129" s="39" t="str">
        <x:v>PL:R88؛ AP:P1387</x:v>
      </x:c>
      <x:c r="M129" s="39" t="str"/>
      <x:c r="N129" s="39" t="str">
        <x:v>نسخه پایه ۳۱۵۰</x:v>
      </x:c>
    </x:row>
    <x:row r="130" ht="34" customHeight="1">
      <x:c r="A130" s="34" t="str">
        <x:v>☐</x:v>
      </x:c>
      <x:c r="B130" s="34" t="str">
        <x:v>MI-0151</x:v>
      </x:c>
      <x:c r="C130" s="34" t="str">
        <x:v>M1 — فرد، پایه‌های عملکرد و خودشناسی</x:v>
      </x:c>
      <x:c r="D130" s="34" t="str">
        <x:v>H1</x:v>
      </x:c>
      <x:c r="E130" s="34" t="str">
        <x:v>پایه‌های زندگی و خودمدیریتی</x:v>
      </x:c>
      <x:c r="F130" s="34" t="str">
        <x:v>BANK</x:v>
      </x:c>
      <x:c r="G130" s="34" t="str">
        <x:v>مطالعه/منبع</x:v>
      </x:c>
      <x:c r="H130" s="39" t="str">
        <x:v>مقاله نویسی</x:v>
      </x:c>
      <x:c r="I130" s="39" t="str">
        <x:v>بانک مطالعه؛ سقف زمانی</x:v>
      </x:c>
      <x:c r="J130" s="39" t="str">
        <x:v>کوچ اجرایی + متخصص مهارت‌های هیجانی/رفتاری</x:v>
      </x:c>
      <x:c r="K130" s="39" t="str"/>
      <x:c r="L130" s="39" t="str">
        <x:v>PL:R155؛ AP:P1401</x:v>
      </x:c>
      <x:c r="M130" s="39" t="str"/>
      <x:c r="N130" s="39" t="str">
        <x:v>نسخه پایه ۳۱۵۰</x:v>
      </x:c>
    </x:row>
    <x:row r="131" ht="34" customHeight="1">
      <x:c r="A131" s="34" t="str">
        <x:v>☐</x:v>
      </x:c>
      <x:c r="B131" s="34" t="str">
        <x:v>MI-0358</x:v>
      </x:c>
      <x:c r="C131" s="34" t="str">
        <x:v>M1 — فرد، پایه‌های عملکرد و خودشناسی</x:v>
      </x:c>
      <x:c r="D131" s="34" t="str">
        <x:v>H1</x:v>
      </x:c>
      <x:c r="E131" s="34" t="str">
        <x:v>پایه‌های زندگی و خودمدیریتی</x:v>
      </x:c>
      <x:c r="F131" s="34" t="str">
        <x:v>BANK</x:v>
      </x:c>
      <x:c r="G131" s="34" t="str">
        <x:v>مطالعه/منبع</x:v>
      </x:c>
      <x:c r="H131" s="39" t="str">
        <x:v>مطالعه توسعه فردی</x:v>
      </x:c>
      <x:c r="I131" s="39" t="str">
        <x:v>بانک مطالعه؛ سقف زمانی</x:v>
      </x:c>
      <x:c r="J131" s="39" t="str">
        <x:v>کوچ اجرایی + متخصص مهارت‌های هیجانی/رفتاری</x:v>
      </x:c>
      <x:c r="K131" s="39" t="str"/>
      <x:c r="L131" s="39" t="str">
        <x:v>AP:P139؛ AP:P1333</x:v>
      </x:c>
      <x:c r="M131" s="39" t="str"/>
      <x:c r="N131" s="39" t="str">
        <x:v>نسخه پایه ۳۱۵۰</x:v>
      </x:c>
    </x:row>
    <x:row r="132" ht="34" customHeight="1">
      <x:c r="A132" s="34" t="str">
        <x:v>☐</x:v>
      </x:c>
      <x:c r="B132" s="34" t="str">
        <x:v>MI-1532</x:v>
      </x:c>
      <x:c r="C132" s="34" t="str">
        <x:v>M1 — فرد، پایه‌های عملکرد و خودشناسی</x:v>
      </x:c>
      <x:c r="D132" s="34" t="str">
        <x:v>H1</x:v>
      </x:c>
      <x:c r="E132" s="34" t="str">
        <x:v>پایه‌های زندگی و خودمدیریتی</x:v>
      </x:c>
      <x:c r="F132" s="34" t="str">
        <x:v>BANK</x:v>
      </x:c>
      <x:c r="G132" s="34" t="str">
        <x:v>مطالعه/منبع</x:v>
      </x:c>
      <x:c r="H132" s="39" t="str">
        <x:v>راه اندازی سایت و گروه های اجتماعی</x:v>
      </x:c>
      <x:c r="I132" s="39" t="str">
        <x:v>بانک مطالعه؛ سقف زمانی</x:v>
      </x:c>
      <x:c r="J132" s="39" t="str">
        <x:v>کوچ اجرایی + متخصص مهارت‌های هیجانی/رفتاری</x:v>
      </x:c>
      <x:c r="K132" s="39" t="str"/>
      <x:c r="L132" s="39" t="str">
        <x:v>AP:P1507</x:v>
      </x:c>
      <x:c r="M132" s="39" t="str"/>
      <x:c r="N132" s="39" t="str">
        <x:v>نسخه پایه ۳۱۵۰</x:v>
      </x:c>
    </x:row>
    <x:row r="133" ht="34" customHeight="1">
      <x:c r="A133" s="34" t="str">
        <x:v>☐</x:v>
      </x:c>
      <x:c r="B133" s="34" t="str">
        <x:v>MI-1536</x:v>
      </x:c>
      <x:c r="C133" s="34" t="str">
        <x:v>M1 — فرد، پایه‌های عملکرد و خودشناسی</x:v>
      </x:c>
      <x:c r="D133" s="34" t="str">
        <x:v>H1</x:v>
      </x:c>
      <x:c r="E133" s="34" t="str">
        <x:v>پایه‌های زندگی و خودمدیریتی</x:v>
      </x:c>
      <x:c r="F133" s="34" t="str">
        <x:v>BANK</x:v>
      </x:c>
      <x:c r="G133" s="34" t="str">
        <x:v>مطالعه/منبع</x:v>
      </x:c>
      <x:c r="H133" s="39" t="str">
        <x:v>جمع آوری اطلاعات از روایات و داستان ها</x:v>
      </x:c>
      <x:c r="I133" s="39" t="str">
        <x:v>بانک مطالعه؛ سقف زمانی</x:v>
      </x:c>
      <x:c r="J133" s="39" t="str">
        <x:v>کوچ اجرایی + متخصص مهارت‌های هیجانی/رفتاری</x:v>
      </x:c>
      <x:c r="K133" s="39" t="str"/>
      <x:c r="L133" s="39" t="str">
        <x:v>AP:P1516</x:v>
      </x:c>
      <x:c r="M133" s="39" t="str"/>
      <x:c r="N133" s="39" t="str">
        <x:v>نسخه پایه ۳۱۵۰</x:v>
      </x:c>
    </x:row>
    <x:row r="134" ht="34" customHeight="1">
      <x:c r="A134" s="34" t="str">
        <x:v>☐</x:v>
      </x:c>
      <x:c r="B134" s="34" t="str">
        <x:v>MI-0056</x:v>
      </x:c>
      <x:c r="C134" s="34" t="str">
        <x:v>M2 — تحصیل، مسیر شغلی و توانمندی حرفه‌ای</x:v>
      </x:c>
      <x:c r="D134" s="34" t="str">
        <x:v>H2</x:v>
      </x:c>
      <x:c r="E134" s="34" t="str">
        <x:v>تحصیل، دانشگاه، تدریس و مدارک</x:v>
      </x:c>
      <x:c r="F134" s="34" t="str">
        <x:v>BANK</x:v>
      </x:c>
      <x:c r="G134" s="34" t="str">
        <x:v>مطالعه/منبع</x:v>
      </x:c>
      <x:c r="H134" s="39" t="str">
        <x:v>گرفتن مدرک کارشناسی پیام نور و اقدام سریع برای عضویت در کتابخانه ملی تهران</x:v>
      </x:c>
      <x:c r="I134" s="39" t="str">
        <x:v>بانک مطالعه؛ سقف زمانی</x:v>
      </x:c>
      <x:c r="J134" s="39" t="str">
        <x:v>مشاور تحصیلی/آکادمیک</x:v>
      </x:c>
      <x:c r="K134" s="39" t="str"/>
      <x:c r="L134" s="39" t="str">
        <x:v>PL:R57؛ AP:P1381</x:v>
      </x:c>
      <x:c r="M134" s="39" t="str"/>
      <x:c r="N134" s="39" t="str">
        <x:v>نسخه پایه ۳۱۵۰</x:v>
      </x:c>
    </x:row>
    <x:row r="135" ht="34" customHeight="1">
      <x:c r="A135" s="34" t="str">
        <x:v>☐</x:v>
      </x:c>
      <x:c r="B135" s="34" t="str">
        <x:v>MI-1431</x:v>
      </x:c>
      <x:c r="C135" s="34" t="str">
        <x:v>M2 — تحصیل، مسیر شغلی و توانمندی حرفه‌ای</x:v>
      </x:c>
      <x:c r="D135" s="34" t="str">
        <x:v>H2</x:v>
      </x:c>
      <x:c r="E135" s="34" t="str">
        <x:v>تحصیل، دانشگاه، تدریس و مدارک</x:v>
      </x:c>
      <x:c r="F135" s="34" t="str">
        <x:v>BANK</x:v>
      </x:c>
      <x:c r="G135" s="34" t="str">
        <x:v>مطالعه/منبع</x:v>
      </x:c>
      <x:c r="H135" s="39" t="str">
        <x:v>از فضای کنار ریاست فناوری استفاده بشه و اقتباس گرفته از کتابخانه ملی</x:v>
      </x:c>
      <x:c r="I135" s="39" t="str">
        <x:v>بانک مطالعه؛ سقف زمانی</x:v>
      </x:c>
      <x:c r="J135" s="39" t="str">
        <x:v>مشاور تحصیلی/آکادمیک</x:v>
      </x:c>
      <x:c r="K135" s="39" t="str"/>
      <x:c r="L135" s="39" t="str">
        <x:v>AP:P1330</x:v>
      </x:c>
      <x:c r="M135" s="39" t="str"/>
      <x:c r="N135" s="39" t="str">
        <x:v>نسخه پایه ۳۱۵۰</x:v>
      </x:c>
    </x:row>
    <x:row r="136" ht="34" customHeight="1">
      <x:c r="A136" s="34" t="str">
        <x:v>☐</x:v>
      </x:c>
      <x:c r="B136" s="34" t="str">
        <x:v>MI-0048</x:v>
      </x:c>
      <x:c r="C136" s="34" t="str">
        <x:v>M2 — تحصیل، مسیر شغلی و توانمندی حرفه‌ای</x:v>
      </x:c>
      <x:c r="D136" s="34" t="str">
        <x:v>H2</x:v>
      </x:c>
      <x:c r="E136" s="34" t="str">
        <x:v>تحصیل، دانشگاه، تدریس و مدارک</x:v>
      </x:c>
      <x:c r="F136" s="34" t="str">
        <x:v>P3/CLARIFY</x:v>
      </x:c>
      <x:c r="G136" s="34" t="str">
        <x:v>مهارت/یادگیری</x:v>
      </x:c>
      <x:c r="H136" s="39" t="str">
        <x:v>عضو هیات علمی دانشگاه آیت ا... بروجردی در بروجرد</x:v>
      </x:c>
      <x:c r="I136" s="39" t="str">
        <x:v>نیازمند تعریف خروجی یا پارک</x:v>
      </x:c>
      <x:c r="J136" s="39" t="str">
        <x:v>مشاور تحصیلی/آکادمیک</x:v>
      </x:c>
      <x:c r="K136" s="39" t="str"/>
      <x:c r="L136" s="39" t="str">
        <x:v>PL:R49؛ AP:P1380</x:v>
      </x:c>
      <x:c r="M136" s="39" t="str"/>
      <x:c r="N136" s="39" t="str">
        <x:v>نسخه پایه ۳۱۵۰</x:v>
      </x:c>
    </x:row>
    <x:row r="137" ht="34" customHeight="1">
      <x:c r="A137" s="34" t="str">
        <x:v>☐</x:v>
      </x:c>
      <x:c r="B137" s="34" t="str">
        <x:v>MI-0065</x:v>
      </x:c>
      <x:c r="C137" s="34" t="str">
        <x:v>M2 — تحصیل، مسیر شغلی و توانمندی حرفه‌ای</x:v>
      </x:c>
      <x:c r="D137" s="34" t="str">
        <x:v>H2</x:v>
      </x:c>
      <x:c r="E137" s="34" t="str">
        <x:v>تحصیل، دانشگاه، تدریس و مدارک</x:v>
      </x:c>
      <x:c r="F137" s="34" t="str">
        <x:v>P3/CLARIFY</x:v>
      </x:c>
      <x:c r="G137" s="34" t="str">
        <x:v>مهارت/یادگیری</x:v>
      </x:c>
      <x:c r="H137" s="39" t="str">
        <x:v>یادگیری دوره تربیت مدرس ttc</x:v>
      </x:c>
      <x:c r="I137" s="39" t="str">
        <x:v>نیازمند تعریف خروجی یا پارک</x:v>
      </x:c>
      <x:c r="J137" s="39" t="str">
        <x:v>مشاور تحصیلی/آکادمیک</x:v>
      </x:c>
      <x:c r="K137" s="39" t="str"/>
      <x:c r="L137" s="39" t="str">
        <x:v>PL:R66</x:v>
      </x:c>
      <x:c r="M137" s="39" t="str"/>
      <x:c r="N137" s="39" t="str">
        <x:v>نسخه پایه ۳۱۵۰</x:v>
      </x:c>
    </x:row>
    <x:row r="138" ht="34" customHeight="1">
      <x:c r="A138" s="34" t="str">
        <x:v>☐</x:v>
      </x:c>
      <x:c r="B138" s="34" t="str">
        <x:v>MI-0083</x:v>
      </x:c>
      <x:c r="C138" s="34" t="str">
        <x:v>M2 — تحصیل، مسیر شغلی و توانمندی حرفه‌ای</x:v>
      </x:c>
      <x:c r="D138" s="34" t="str">
        <x:v>H2</x:v>
      </x:c>
      <x:c r="E138" s="34" t="str">
        <x:v>تحصیل، دانشگاه، تدریس و مدارک</x:v>
      </x:c>
      <x:c r="F138" s="34" t="str">
        <x:v>P3/CLARIFY</x:v>
      </x:c>
      <x:c r="G138" s="34" t="str">
        <x:v>مهارت/یادگیری</x:v>
      </x:c>
      <x:c r="H138" s="39" t="str">
        <x:v>کنکور زبان</x:v>
      </x:c>
      <x:c r="I138" s="39" t="str">
        <x:v>نیازمند تعریف خروجی یا پارک</x:v>
      </x:c>
      <x:c r="J138" s="39" t="str">
        <x:v>مشاور تحصیلی/آکادمیک</x:v>
      </x:c>
      <x:c r="K138" s="39" t="str"/>
      <x:c r="L138" s="39" t="str">
        <x:v>PL:R84؛ AP:P1384</x:v>
      </x:c>
      <x:c r="M138" s="39" t="str"/>
      <x:c r="N138" s="39" t="str">
        <x:v>نسخه پایه ۳۱۵۰</x:v>
      </x:c>
    </x:row>
    <x:row r="139" ht="34" customHeight="1">
      <x:c r="A139" s="34" t="str">
        <x:v>☐</x:v>
      </x:c>
      <x:c r="B139" s="34" t="str">
        <x:v>MI-0084</x:v>
      </x:c>
      <x:c r="C139" s="34" t="str">
        <x:v>M2 — تحصیل، مسیر شغلی و توانمندی حرفه‌ای</x:v>
      </x:c>
      <x:c r="D139" s="34" t="str">
        <x:v>H2</x:v>
      </x:c>
      <x:c r="E139" s="34" t="str">
        <x:v>تحصیل، دانشگاه، تدریس و مدارک</x:v>
      </x:c>
      <x:c r="F139" s="34" t="str">
        <x:v>P3/CLARIFY</x:v>
      </x:c>
      <x:c r="G139" s="34" t="str">
        <x:v>مهارت/یادگیری</x:v>
      </x:c>
      <x:c r="H139" s="39" t="str">
        <x:v>تسلط بر دروس آزمون ارشد مکانیک جامدات</x:v>
      </x:c>
      <x:c r="I139" s="39" t="str">
        <x:v>نیازمند تعریف خروجی یا پارک</x:v>
      </x:c>
      <x:c r="J139" s="39" t="str">
        <x:v>مشاور تحصیلی/آکادمیک</x:v>
      </x:c>
      <x:c r="K139" s="39" t="str"/>
      <x:c r="L139" s="39" t="str">
        <x:v>PL:R85</x:v>
      </x:c>
      <x:c r="M139" s="39" t="str"/>
      <x:c r="N139" s="39" t="str">
        <x:v>نسخه پایه ۳۱۵۰</x:v>
      </x:c>
    </x:row>
    <x:row r="140" ht="34" customHeight="1">
      <x:c r="A140" s="34" t="str">
        <x:v>☐</x:v>
      </x:c>
      <x:c r="B140" s="34" t="str">
        <x:v>MI-0085</x:v>
      </x:c>
      <x:c r="C140" s="34" t="str">
        <x:v>M2 — تحصیل، مسیر شغلی و توانمندی حرفه‌ای</x:v>
      </x:c>
      <x:c r="D140" s="34" t="str">
        <x:v>H2</x:v>
      </x:c>
      <x:c r="E140" s="34" t="str">
        <x:v>تحصیل، دانشگاه، تدریس و مدارک</x:v>
      </x:c>
      <x:c r="F140" s="34" t="str">
        <x:v>P3/CLARIFY</x:v>
      </x:c>
      <x:c r="G140" s="34" t="str">
        <x:v>مهارت/یادگیری</x:v>
      </x:c>
      <x:c r="H140" s="39" t="str">
        <x:v>نوشتن جزوه درس ریاضی</x:v>
      </x:c>
      <x:c r="I140" s="39" t="str">
        <x:v>نیازمند تعریف خروجی یا پارک</x:v>
      </x:c>
      <x:c r="J140" s="39" t="str">
        <x:v>مشاور تحصیلی/آکادمیک</x:v>
      </x:c>
      <x:c r="K140" s="39" t="str"/>
      <x:c r="L140" s="39" t="str">
        <x:v>PL:R86؛ AP:P1395</x:v>
      </x:c>
      <x:c r="M140" s="39" t="str"/>
      <x:c r="N140" s="39" t="str">
        <x:v>نسخه پایه ۳۱۵۰</x:v>
      </x:c>
    </x:row>
    <x:row r="141" ht="34" customHeight="1">
      <x:c r="A141" s="34" t="str">
        <x:v>☐</x:v>
      </x:c>
      <x:c r="B141" s="34" t="str">
        <x:v>MI-0086</x:v>
      </x:c>
      <x:c r="C141" s="34" t="str">
        <x:v>M2 — تحصیل، مسیر شغلی و توانمندی حرفه‌ای</x:v>
      </x:c>
      <x:c r="D141" s="34" t="str">
        <x:v>H2</x:v>
      </x:c>
      <x:c r="E141" s="34" t="str">
        <x:v>تحصیل، دانشگاه، تدریس و مدارک</x:v>
      </x:c>
      <x:c r="F141" s="34" t="str">
        <x:v>P3/CLARIFY</x:v>
      </x:c>
      <x:c r="G141" s="34" t="str">
        <x:v>مهارت/یادگیری</x:v>
      </x:c>
      <x:c r="H141" s="39" t="str">
        <x:v>نوشتن جزوه درس فیزیک</x:v>
      </x:c>
      <x:c r="I141" s="39" t="str">
        <x:v>نیازمند تعریف خروجی یا پارک</x:v>
      </x:c>
      <x:c r="J141" s="39" t="str">
        <x:v>مشاور تحصیلی/آکادمیک</x:v>
      </x:c>
      <x:c r="K141" s="39" t="str"/>
      <x:c r="L141" s="39" t="str">
        <x:v>PL:R87؛ AP:P1396</x:v>
      </x:c>
      <x:c r="M141" s="39" t="str"/>
      <x:c r="N141" s="39" t="str">
        <x:v>نسخه پایه ۳۱۵۰</x:v>
      </x:c>
    </x:row>
    <x:row r="142" ht="34" customHeight="1">
      <x:c r="A142" s="34" t="str">
        <x:v>☐</x:v>
      </x:c>
      <x:c r="B142" s="34" t="str">
        <x:v>MI-1467</x:v>
      </x:c>
      <x:c r="C142" s="34" t="str">
        <x:v>M2 — تحصیل، مسیر شغلی و توانمندی حرفه‌ای</x:v>
      </x:c>
      <x:c r="D142" s="34" t="str">
        <x:v>H2</x:v>
      </x:c>
      <x:c r="E142" s="34" t="str">
        <x:v>تحصیل، دانشگاه، تدریس و مدارک</x:v>
      </x:c>
      <x:c r="F142" s="34" t="str">
        <x:v>P3/CLARIFY</x:v>
      </x:c>
      <x:c r="G142" s="34" t="str">
        <x:v>مهارت/یادگیری</x:v>
      </x:c>
      <x:c r="H142" s="39" t="str">
        <x:v>تسلط بر دروس آزمون ارشد مکاترونیک</x:v>
      </x:c>
      <x:c r="I142" s="39" t="str">
        <x:v>نیازمند تعریف خروجی یا پارک</x:v>
      </x:c>
      <x:c r="J142" s="39" t="str">
        <x:v>مشاور تحصیلی/آکادمیک</x:v>
      </x:c>
      <x:c r="K142" s="39" t="str"/>
      <x:c r="L142" s="39" t="str">
        <x:v>AP:P1382</x:v>
      </x:c>
      <x:c r="M142" s="39" t="str"/>
      <x:c r="N142" s="39" t="str">
        <x:v>نسخه پایه ۳۱۵۰</x:v>
      </x:c>
    </x:row>
    <x:row r="143" ht="34" customHeight="1">
      <x:c r="A143" s="34" t="str">
        <x:v>☐</x:v>
      </x:c>
      <x:c r="B143" s="34" t="str">
        <x:v>MI-0054</x:v>
      </x:c>
      <x:c r="C143" s="34" t="str">
        <x:v>M2 — تحصیل، مسیر شغلی و توانمندی حرفه‌ای</x:v>
      </x:c>
      <x:c r="D143" s="34" t="str">
        <x:v>H2</x:v>
      </x:c>
      <x:c r="E143" s="34" t="str">
        <x:v>تحصیل، دانشگاه، تدریس و مدارک</x:v>
      </x:c>
      <x:c r="F143" s="34" t="str">
        <x:v>P3/CLARIFY</x:v>
      </x:c>
      <x:c r="G143" s="34" t="str">
        <x:v>مدرک/گواهی</x:v>
      </x:c>
      <x:c r="H143" s="39" t="str">
        <x:v>گرفتن مدرک تزریقات</x:v>
      </x:c>
      <x:c r="I143" s="39" t="str">
        <x:v>نیازمند تعریف خروجی یا پارک</x:v>
      </x:c>
      <x:c r="J143" s="39" t="str">
        <x:v>مشاور تحصیلی/آکادمیک</x:v>
      </x:c>
      <x:c r="K143" s="39" t="str"/>
      <x:c r="L143" s="39" t="str">
        <x:v>PL:R55</x:v>
      </x:c>
      <x:c r="M143" s="39" t="str"/>
      <x:c r="N143" s="39" t="str">
        <x:v>نسخه پایه ۳۱۵۰</x:v>
      </x:c>
    </x:row>
    <x:row r="144" ht="34" customHeight="1">
      <x:c r="A144" s="34" t="str">
        <x:v>☐</x:v>
      </x:c>
      <x:c r="B144" s="34" t="str">
        <x:v>MI-3109</x:v>
      </x:c>
      <x:c r="C144" s="34" t="str">
        <x:v>M2 — تحصیل، مسیر شغلی و توانمندی حرفه‌ای</x:v>
      </x:c>
      <x:c r="D144" s="34" t="str">
        <x:v>H2</x:v>
      </x:c>
      <x:c r="E144" s="34" t="str">
        <x:v>تحصیل، دانشگاه، تدریس و مدارک</x:v>
      </x:c>
      <x:c r="F144" s="34" t="str">
        <x:v>P3/CLARIFY</x:v>
      </x:c>
      <x:c r="G144" s="34" t="str">
        <x:v>مدرک/گواهی</x:v>
      </x:c>
      <x:c r="H144" s="39" t="str">
        <x:v>در حال حاضر که توی خوابگاه بیشتر وقت خودم رو میگذرونم با این 4 5 سال لیسانس ، یعنی دوست دارم از محیط خونه دور باشم و به فکر اینده . ، بله خانواده خیلی بر این هستن که میخوای چکار کنی، داری چکاری میکنی، بشین فکر کن ، بازیگوشی نکن، میخوای زندگی تشکیل بدی باید پول داشته باشی ، برادرت رو نگاه کن که سروسامون گرفت ، داییت رو نگاه کن ، زحمت کشید و نتیجه اش رو داره میبینه، اون یکی فلانی رو نگاه کن چقد با مشکلات مواجه شده درس نخونده و تلاش نکرده، سر خودت رو شیره مالیدی و الکی خرج کردی و داری این شاخه و اون شاخه میکنی و ..... 6 ساله هیچ مدرک تحصیلی دریافت نکردی ، بریم بگیم مدرکت چیه ، اگه الان لیسانستو گرفته بودی داییت یا داداشت میبردت سر کار و ، اصن بیا پول جور میکنیم داروخونه میزنیم بیا برو بچرخونش، یا اصن تزریقات یادبگیر برو پیش داداشت کار کن ...</x:v>
      </x:c>
      <x:c r="I144" s="39" t="str">
        <x:v>نیازمند تعریف خروجی یا پارک</x:v>
      </x:c>
      <x:c r="J144" s="39" t="str">
        <x:v>مشاور تحصیلی/آکادمیک</x:v>
      </x:c>
      <x:c r="K144" s="39" t="str"/>
      <x:c r="L144" s="39" t="str">
        <x:v>INT:T35 R2</x:v>
      </x:c>
      <x:c r="M144" s="39" t="str"/>
      <x:c r="N144" s="39" t="str">
        <x:v>نسخه پایه ۳۱۵۰</x:v>
      </x:c>
    </x:row>
    <x:row r="145" ht="34" customHeight="1">
      <x:c r="A145" s="34" t="str">
        <x:v>☐</x:v>
      </x:c>
      <x:c r="B145" s="34" t="str">
        <x:v>MI-0680</x:v>
      </x:c>
      <x:c r="C145" s="34" t="str">
        <x:v>M2 — تحصیل، مسیر شغلی و توانمندی حرفه‌ای</x:v>
      </x:c>
      <x:c r="D145" s="34" t="str">
        <x:v>H2</x:v>
      </x:c>
      <x:c r="E145" s="34" t="str">
        <x:v>تحصیل، دانشگاه، تدریس و مدارک</x:v>
      </x:c>
      <x:c r="F145" s="34" t="str">
        <x:v>P3/CLARIFY</x:v>
      </x:c>
      <x:c r="G145" s="34" t="str">
        <x:v>هدف/موضوع</x:v>
      </x:c>
      <x:c r="H145" s="39" t="str">
        <x:v>هدف گذاری درست برای هر فرد</x:v>
      </x:c>
      <x:c r="I145" s="39" t="str">
        <x:v>نیازمند تعریف خروجی یا پارک</x:v>
      </x:c>
      <x:c r="J145" s="39" t="str">
        <x:v>مشاور تحصیلی/آکادمیک</x:v>
      </x:c>
      <x:c r="K145" s="39" t="str"/>
      <x:c r="L145" s="39" t="str">
        <x:v>AP:P469</x:v>
      </x:c>
      <x:c r="M145" s="39" t="str"/>
      <x:c r="N145" s="39" t="str">
        <x:v>نسخه پایه ۳۱۵۰</x:v>
      </x:c>
    </x:row>
    <x:row r="146" ht="34" customHeight="1">
      <x:c r="A146" s="34" t="str">
        <x:v>☐</x:v>
      </x:c>
      <x:c r="B146" s="34" t="str">
        <x:v>MI-1678</x:v>
      </x:c>
      <x:c r="C146" s="34" t="str">
        <x:v>M2 — تحصیل، مسیر شغلی و توانمندی حرفه‌ای</x:v>
      </x:c>
      <x:c r="D146" s="34" t="str">
        <x:v>H2</x:v>
      </x:c>
      <x:c r="E146" s="34" t="str">
        <x:v>تحصیل، دانشگاه، تدریس و مدارک</x:v>
      </x:c>
      <x:c r="F146" s="34" t="str">
        <x:v>P3/CLARIFY</x:v>
      </x:c>
      <x:c r="G146" s="34" t="str">
        <x:v>هدف/موضوع</x:v>
      </x:c>
      <x:c r="H146" s="39" t="str">
        <x:v>اگر درست طراحی شود، مازندران می تواند تبدیل شود به:</x:v>
      </x:c>
      <x:c r="I146" s="39" t="str">
        <x:v>نیازمند تعریف خروجی یا پارک</x:v>
      </x:c>
      <x:c r="J146" s="39" t="str">
        <x:v>مشاور تحصیلی/آکادمیک</x:v>
      </x:c>
      <x:c r="K146" s="39" t="str"/>
      <x:c r="L146" s="39" t="str">
        <x:v>E112:P144؛ E112:P1633؛ E112:P1924؛ E112:P2390</x:v>
      </x:c>
      <x:c r="M146" s="39" t="str"/>
      <x:c r="N146" s="39" t="str">
        <x:v>نسخه پایه ۳۱۵۰</x:v>
      </x:c>
    </x:row>
    <x:row r="147" ht="34" customHeight="1">
      <x:c r="A147" s="34" t="str">
        <x:v>☐</x:v>
      </x:c>
      <x:c r="B147" s="34" t="str">
        <x:v>MI-1858</x:v>
      </x:c>
      <x:c r="C147" s="34" t="str">
        <x:v>M2 — تحصیل، مسیر شغلی و توانمندی حرفه‌ای</x:v>
      </x:c>
      <x:c r="D147" s="34" t="str">
        <x:v>H2</x:v>
      </x:c>
      <x:c r="E147" s="34" t="str">
        <x:v>تحصیل، دانشگاه، تدریس و مدارک</x:v>
      </x:c>
      <x:c r="F147" s="34" t="str">
        <x:v>P3/CLARIFY</x:v>
      </x:c>
      <x:c r="G147" s="34" t="str">
        <x:v>هدف/موضوع</x:v>
      </x:c>
      <x:c r="H147" s="39" t="str">
        <x:v>مدیران ارشد شرکت ها</x:v>
      </x:c>
      <x:c r="I147" s="39" t="str">
        <x:v>نیازمند تعریف خروجی یا پارک</x:v>
      </x:c>
      <x:c r="J147" s="39" t="str">
        <x:v>مشاور تحصیلی/آکادمیک</x:v>
      </x:c>
      <x:c r="K147" s="39" t="str"/>
      <x:c r="L147" s="39" t="str">
        <x:v>E112:P424</x:v>
      </x:c>
      <x:c r="M147" s="39" t="str"/>
      <x:c r="N147" s="39" t="str">
        <x:v>نسخه پایه ۳۱۵۰</x:v>
      </x:c>
    </x:row>
    <x:row r="148" ht="34" customHeight="1">
      <x:c r="A148" s="34" t="str">
        <x:v>☐</x:v>
      </x:c>
      <x:c r="B148" s="34" t="str">
        <x:v>MI-1924</x:v>
      </x:c>
      <x:c r="C148" s="34" t="str">
        <x:v>M2 — تحصیل، مسیر شغلی و توانمندی حرفه‌ای</x:v>
      </x:c>
      <x:c r="D148" s="34" t="str">
        <x:v>H2</x:v>
      </x:c>
      <x:c r="E148" s="34" t="str">
        <x:v>تحصیل، دانشگاه، تدریس و مدارک</x:v>
      </x:c>
      <x:c r="F148" s="34" t="str">
        <x:v>P3/CLARIFY</x:v>
      </x:c>
      <x:c r="G148" s="34" t="str">
        <x:v>هدف/موضوع</x:v>
      </x:c>
      <x:c r="H148" s="39" t="str">
        <x:v>مدرسه تابستانی</x:v>
      </x:c>
      <x:c r="I148" s="39" t="str">
        <x:v>نیازمند تعریف خروجی یا پارک</x:v>
      </x:c>
      <x:c r="J148" s="39" t="str">
        <x:v>مشاور تحصیلی/آکادمیک</x:v>
      </x:c>
      <x:c r="K148" s="39" t="str"/>
      <x:c r="L148" s="39" t="str">
        <x:v>E112:P524</x:v>
      </x:c>
      <x:c r="M148" s="39" t="str"/>
      <x:c r="N148" s="39" t="str">
        <x:v>نسخه پایه ۳۱۵۰</x:v>
      </x:c>
    </x:row>
    <x:row r="149" ht="34" customHeight="1">
      <x:c r="A149" s="34" t="str">
        <x:v>☐</x:v>
      </x:c>
      <x:c r="B149" s="34" t="str">
        <x:v>MI-0670</x:v>
      </x:c>
      <x:c r="C149" s="34" t="str">
        <x:v>M2 — تحصیل، مسیر شغلی و توانمندی حرفه‌ای</x:v>
      </x:c>
      <x:c r="D149" s="34" t="str">
        <x:v>H3</x:v>
      </x:c>
      <x:c r="E149" s="34" t="str">
        <x:v>مسیر شغلی، رزومه و تجربه حرفه‌ای</x:v>
      </x:c>
      <x:c r="F149" s="34" t="str">
        <x:v>P0/P1</x:v>
      </x:c>
      <x:c r="G149" s="34" t="str">
        <x:v>پروژه/طرح</x:v>
      </x:c>
      <x:c r="H149" s="39" t="str">
        <x:v>پادکست رشته ها و توضیح آن برای ورودی ها ، بازار کار، درآمد ، کار ها ، درس ها</x:v>
      </x:c>
      <x:c r="I149" s="39" t="str">
        <x:v>فعال؛ خروجی شغلی/درآمدی</x:v>
      </x:c>
      <x:c r="J149" s="39" t="str">
        <x:v>استراتژیست شغلی + منتور صنعت</x:v>
      </x:c>
      <x:c r="K149" s="39" t="str"/>
      <x:c r="L149" s="39" t="str">
        <x:v>AP:P459؛ AP:P1316</x:v>
      </x:c>
      <x:c r="M149" s="39" t="str"/>
      <x:c r="N149" s="39" t="str">
        <x:v>نسخه پایه ۳۱۵۰</x:v>
      </x:c>
    </x:row>
    <x:row r="150" ht="34" customHeight="1">
      <x:c r="A150" s="34" t="str">
        <x:v>☐</x:v>
      </x:c>
      <x:c r="B150" s="34" t="str">
        <x:v>MI-0272</x:v>
      </x:c>
      <x:c r="C150" s="34" t="str">
        <x:v>M2 — تحصیل، مسیر شغلی و توانمندی حرفه‌ای</x:v>
      </x:c>
      <x:c r="D150" s="34" t="str">
        <x:v>H3</x:v>
      </x:c>
      <x:c r="E150" s="34" t="str">
        <x:v>مسیر شغلی، رزومه و تجربه حرفه‌ای</x:v>
      </x:c>
      <x:c r="F150" s="34" t="str">
        <x:v>P0/P1</x:v>
      </x:c>
      <x:c r="G150" s="34" t="str">
        <x:v>مهارت/یادگیری</x:v>
      </x:c>
      <x:c r="H150" s="39" t="str">
        <x:v>بررسی تمامی شاخه های تحصیلی و کارگاه ها و نرم افزار و سخت افزار های جامع و بررسی فرصت های شغلی با بیشترین اشتراکات حرفه ها و گواهی ها و رزومه ها</x:v>
      </x:c>
      <x:c r="I150" s="39" t="str">
        <x:v>فعال؛ خروجی شغلی/درآمدی</x:v>
      </x:c>
      <x:c r="J150" s="39" t="str">
        <x:v>استراتژیست شغلی + منتور صنعت</x:v>
      </x:c>
      <x:c r="K150" s="39" t="str"/>
      <x:c r="L150" s="39" t="str">
        <x:v>AP:P43</x:v>
      </x:c>
      <x:c r="M150" s="39" t="str"/>
      <x:c r="N150" s="39" t="str">
        <x:v>نسخه پایه ۳۱۵۰</x:v>
      </x:c>
    </x:row>
    <x:row r="151" ht="34" customHeight="1">
      <x:c r="A151" s="34" t="str">
        <x:v>☐</x:v>
      </x:c>
      <x:c r="B151" s="34" t="str">
        <x:v>MI-1574</x:v>
      </x:c>
      <x:c r="C151" s="34" t="str">
        <x:v>M2 — تحصیل، مسیر شغلی و توانمندی حرفه‌ای</x:v>
      </x:c>
      <x:c r="D151" s="34" t="str">
        <x:v>H3</x:v>
      </x:c>
      <x:c r="E151" s="34" t="str">
        <x:v>مسیر شغلی، رزومه و تجربه حرفه‌ای</x:v>
      </x:c>
      <x:c r="F151" s="34" t="str">
        <x:v>P0/P1</x:v>
      </x:c>
      <x:c r="G151" s="34" t="str">
        <x:v>مهارت/یادگیری</x:v>
      </x:c>
      <x:c r="H151" s="39" t="str">
        <x:v>در این میان باید یه اکادمی مهارت های نرم هم ایجاد بشه که بشه روی مهارت های تیم سازی و مهارت های نرم مورد نیاز جامعه اشتغال کار کنه و افراد بتونن علاوه بر رزومه سازی بتونن از فرصت های شغلی سربلند بیرون بیان در بحص پروژ] گرفتن یا استخدام شدن یا همکاری یا .....</x:v>
      </x:c>
      <x:c r="I151" s="39" t="str">
        <x:v>فعال؛ خروجی شغلی/درآمدی</x:v>
      </x:c>
      <x:c r="J151" s="39" t="str">
        <x:v>استراتژیست شغلی + منتور صنعت</x:v>
      </x:c>
      <x:c r="K151" s="39" t="str"/>
      <x:c r="L151" s="39" t="str">
        <x:v>E112:P5؛ E112:P1785؛ E112:P2251</x:v>
      </x:c>
      <x:c r="M151" s="39" t="str"/>
      <x:c r="N151" s="39" t="str">
        <x:v>نسخه پایه ۳۱۵۰</x:v>
      </x:c>
    </x:row>
    <x:row r="152" ht="34" customHeight="1">
      <x:c r="A152" s="34" t="str">
        <x:v>☐</x:v>
      </x:c>
      <x:c r="B152" s="34" t="str">
        <x:v>MI-0676</x:v>
      </x:c>
      <x:c r="C152" s="34" t="str">
        <x:v>M2 — تحصیل، مسیر شغلی و توانمندی حرفه‌ای</x:v>
      </x:c>
      <x:c r="D152" s="34" t="str">
        <x:v>H3</x:v>
      </x:c>
      <x:c r="E152" s="34" t="str">
        <x:v>مسیر شغلی، رزومه و تجربه حرفه‌ای</x:v>
      </x:c>
      <x:c r="F152" s="34" t="str">
        <x:v>P0/P1</x:v>
      </x:c>
      <x:c r="G152" s="34" t="str">
        <x:v>هدف/موضوع</x:v>
      </x:c>
      <x:c r="H152" s="39" t="str">
        <x:v>پرکردن رزومه افراد متناسب با نیاز های شغلی</x:v>
      </x:c>
      <x:c r="I152" s="39" t="str">
        <x:v>فعال؛ خروجی شغلی/درآمدی</x:v>
      </x:c>
      <x:c r="J152" s="39" t="str">
        <x:v>استراتژیست شغلی + منتور صنعت</x:v>
      </x:c>
      <x:c r="K152" s="39" t="str"/>
      <x:c r="L152" s="39" t="str">
        <x:v>AP:P465</x:v>
      </x:c>
      <x:c r="M152" s="39" t="str"/>
      <x:c r="N152" s="39" t="str">
        <x:v>نسخه پایه ۳۱۵۰</x:v>
      </x:c>
    </x:row>
    <x:row r="153" ht="34" customHeight="1">
      <x:c r="A153" s="34" t="str">
        <x:v>☐</x:v>
      </x:c>
      <x:c r="B153" s="34" t="str">
        <x:v>MI-2491</x:v>
      </x:c>
      <x:c r="C153" s="34" t="str">
        <x:v>M2 — تحصیل، مسیر شغلی و توانمندی حرفه‌ای</x:v>
      </x:c>
      <x:c r="D153" s="34" t="str">
        <x:v>H3</x:v>
      </x:c>
      <x:c r="E153" s="34" t="str">
        <x:v>مسیر شغلی، رزومه و تجربه حرفه‌ای</x:v>
      </x:c>
      <x:c r="F153" s="34" t="str">
        <x:v>P0/P1</x:v>
      </x:c>
      <x:c r="G153" s="34" t="str">
        <x:v>هدف/موضوع</x:v>
      </x:c>
      <x:c r="H153" s="39" t="str">
        <x:v>پیشنهاد فرصت شغلی</x:v>
      </x:c>
      <x:c r="I153" s="39" t="str">
        <x:v>فعال؛ خروجی شغلی/درآمدی</x:v>
      </x:c>
      <x:c r="J153" s="39" t="str">
        <x:v>استراتژیست شغلی + منتور صنعت</x:v>
      </x:c>
      <x:c r="K153" s="39" t="str"/>
      <x:c r="L153" s="39" t="str">
        <x:v>E112:P1986</x:v>
      </x:c>
      <x:c r="M153" s="39" t="str"/>
      <x:c r="N153" s="39" t="str">
        <x:v>نسخه پایه ۳۱۵۰</x:v>
      </x:c>
    </x:row>
    <x:row r="154" ht="34" customHeight="1">
      <x:c r="A154" s="34" t="str">
        <x:v>☐</x:v>
      </x:c>
      <x:c r="B154" s="34" t="str">
        <x:v>MI-2511</x:v>
      </x:c>
      <x:c r="C154" s="34" t="str">
        <x:v>M2 — تحصیل، مسیر شغلی و توانمندی حرفه‌ای</x:v>
      </x:c>
      <x:c r="D154" s="34" t="str">
        <x:v>H3</x:v>
      </x:c>
      <x:c r="E154" s="34" t="str">
        <x:v>مسیر شغلی، رزومه و تجربه حرفه‌ای</x:v>
      </x:c>
      <x:c r="F154" s="34" t="str">
        <x:v>P3/CLARIFY</x:v>
      </x:c>
      <x:c r="G154" s="34" t="str">
        <x:v>پروژه/طرح</x:v>
      </x:c>
      <x:c r="H154" s="39" t="str">
        <x:v>آکادمی باید بر اساس نیاز پروژه ها و بازار کار محتوا تولید کند.</x:v>
      </x:c>
      <x:c r="I154" s="39" t="str">
        <x:v>نیازمند تعریف خروجی یا پارک</x:v>
      </x:c>
      <x:c r="J154" s="39" t="str">
        <x:v>استراتژیست شغلی + منتور صنعت</x:v>
      </x:c>
      <x:c r="K154" s="39" t="str"/>
      <x:c r="L154" s="39" t="str">
        <x:v>E112:P2022</x:v>
      </x:c>
      <x:c r="M154" s="39" t="str"/>
      <x:c r="N154" s="39" t="str">
        <x:v>نسخه پایه ۳۱۵۰</x:v>
      </x:c>
    </x:row>
    <x:row r="155" ht="34" customHeight="1">
      <x:c r="A155" s="34" t="str">
        <x:v>☐</x:v>
      </x:c>
      <x:c r="B155" s="34" t="str">
        <x:v>MI-3004</x:v>
      </x:c>
      <x:c r="C155" s="34" t="str">
        <x:v>M2 — تحصیل، مسیر شغلی و توانمندی حرفه‌ای</x:v>
      </x:c>
      <x:c r="D155" s="34" t="str">
        <x:v>H3</x:v>
      </x:c>
      <x:c r="E155" s="34" t="str">
        <x:v>مسیر شغلی، رزومه و تجربه حرفه‌ای</x:v>
      </x:c>
      <x:c r="F155" s="34" t="str">
        <x:v>P3/CLARIFY</x:v>
      </x:c>
      <x:c r="G155" s="34" t="str">
        <x:v>پروژه/طرح</x:v>
      </x:c>
      <x:c r="H155" s="39" t="str">
        <x:v>تعداد شغل ایجاد شده</x:v>
      </x:c>
      <x:c r="I155" s="39" t="str">
        <x:v>نیازمند تعریف خروجی یا پارک</x:v>
      </x:c>
      <x:c r="J155" s="39" t="str">
        <x:v>استراتژیست شغلی + منتور صنعت</x:v>
      </x:c>
      <x:c r="K155" s="39" t="str"/>
      <x:c r="L155" s="39" t="str">
        <x:v>E112:P3509</x:v>
      </x:c>
      <x:c r="M155" s="39" t="str"/>
      <x:c r="N155" s="39" t="str">
        <x:v>نسخه پایه ۳۱۵۰</x:v>
      </x:c>
    </x:row>
    <x:row r="156" ht="34" customHeight="1">
      <x:c r="A156" s="34" t="str">
        <x:v>☐</x:v>
      </x:c>
      <x:c r="B156" s="34" t="str">
        <x:v>MI-3058</x:v>
      </x:c>
      <x:c r="C156" s="34" t="str">
        <x:v>M2 — تحصیل، مسیر شغلی و توانمندی حرفه‌ای</x:v>
      </x:c>
      <x:c r="D156" s="34" t="str">
        <x:v>H3</x:v>
      </x:c>
      <x:c r="E156" s="34" t="str">
        <x:v>مسیر شغلی، رزومه و تجربه حرفه‌ای</x:v>
      </x:c>
      <x:c r="F156" s="34" t="str">
        <x:v>P3/CLARIFY</x:v>
      </x:c>
      <x:c r="G156" s="34" t="str">
        <x:v>پروژه/طرح</x:v>
      </x:c>
      <x:c r="H156" s="39" t="str">
        <x:v>آیا سابقه بیماری خاص و یا آلرژی یا عمل جراحی داشتید؟ و این موضوع برای شما محدودیت شغلی ایجاد کرده است؟</x:v>
      </x:c>
      <x:c r="I156" s="39" t="str">
        <x:v>نیازمند تعریف خروجی یا پارک</x:v>
      </x:c>
      <x:c r="J156" s="39" t="str">
        <x:v>استراتژیست شغلی + منتور صنعت</x:v>
      </x:c>
      <x:c r="K156" s="39" t="str"/>
      <x:c r="L156" s="39" t="str">
        <x:v>INT:T5 R1</x:v>
      </x:c>
      <x:c r="M156" s="39" t="str"/>
      <x:c r="N156" s="39" t="str">
        <x:v>نسخه پایه ۳۱۵۰</x:v>
      </x:c>
    </x:row>
    <x:row r="157" ht="34" customHeight="1">
      <x:c r="A157" s="34" t="str">
        <x:v>☐</x:v>
      </x:c>
      <x:c r="B157" s="34" t="str">
        <x:v>MI-0663</x:v>
      </x:c>
      <x:c r="C157" s="34" t="str">
        <x:v>M2 — تحصیل، مسیر شغلی و توانمندی حرفه‌ای</x:v>
      </x:c>
      <x:c r="D157" s="34" t="str">
        <x:v>H3</x:v>
      </x:c>
      <x:c r="E157" s="34" t="str">
        <x:v>مسیر شغلی، رزومه و تجربه حرفه‌ای</x:v>
      </x:c>
      <x:c r="F157" s="34" t="str">
        <x:v>P3/CLARIFY</x:v>
      </x:c>
      <x:c r="G157" s="34" t="str">
        <x:v>مهارت/یادگیری</x:v>
      </x:c>
      <x:c r="H157" s="39" t="str">
        <x:v>آشنایی با مهندسی ها با اساتید مطرح در سراج ( مصاحبه - تولید محتوا - پادکست شغلی و رشته معرفی)</x:v>
      </x:c>
      <x:c r="I157" s="39" t="str">
        <x:v>نیازمند تعریف خروجی یا پارک</x:v>
      </x:c>
      <x:c r="J157" s="39" t="str">
        <x:v>استراتژیست شغلی + منتور صنعت</x:v>
      </x:c>
      <x:c r="K157" s="39" t="str"/>
      <x:c r="L157" s="39" t="str">
        <x:v>AP:P452</x:v>
      </x:c>
      <x:c r="M157" s="39" t="str"/>
      <x:c r="N157" s="39" t="str">
        <x:v>نسخه پایه ۳۱۵۰</x:v>
      </x:c>
    </x:row>
    <x:row r="158" ht="34" customHeight="1">
      <x:c r="A158" s="34" t="str">
        <x:v>☐</x:v>
      </x:c>
      <x:c r="B158" s="34" t="str">
        <x:v>MI-1575</x:v>
      </x:c>
      <x:c r="C158" s="34" t="str">
        <x:v>M2 — تحصیل، مسیر شغلی و توانمندی حرفه‌ای</x:v>
      </x:c>
      <x:c r="D158" s="34" t="str">
        <x:v>H3</x:v>
      </x:c>
      <x:c r="E158" s="34" t="str">
        <x:v>مسیر شغلی، رزومه و تجربه حرفه‌ای</x:v>
      </x:c>
      <x:c r="F158" s="34" t="str">
        <x:v>P3/CLARIFY</x:v>
      </x:c>
      <x:c r="G158" s="34" t="str">
        <x:v>مهارت/یادگیری</x:v>
      </x:c>
      <x:c r="H158" s="39" t="str">
        <x:v>همچنین اکادمی مهارت های سخت همچون نرم افزار های حوزه های خاص باید شکل بگیره که بشه دانش نرم افزاری رو متناسب با اونچه تیم نیاز داره یا فرصت های شغلی موجود هستند برای اون رشته رو نمایان کنه و اکادمی به سمت تولید اون محتوا بره</x:v>
      </x:c>
      <x:c r="I158" s="39" t="str">
        <x:v>نیازمند تعریف خروجی یا پارک</x:v>
      </x:c>
      <x:c r="J158" s="39" t="str">
        <x:v>استراتژیست شغلی + منتور صنعت</x:v>
      </x:c>
      <x:c r="K158" s="39" t="str"/>
      <x:c r="L158" s="39" t="str">
        <x:v>E112:P7؛ E112:P1787؛ E112:P2253</x:v>
      </x:c>
      <x:c r="M158" s="39" t="str"/>
      <x:c r="N158" s="39" t="str">
        <x:v>نسخه پایه ۳۱۵۰</x:v>
      </x:c>
    </x:row>
    <x:row r="159" ht="34" customHeight="1">
      <x:c r="A159" s="34" t="str">
        <x:v>☐</x:v>
      </x:c>
      <x:c r="B159" s="34" t="str">
        <x:v>MI-1576</x:v>
      </x:c>
      <x:c r="C159" s="34" t="str">
        <x:v>M2 — تحصیل، مسیر شغلی و توانمندی حرفه‌ای</x:v>
      </x:c>
      <x:c r="D159" s="34" t="str">
        <x:v>H3</x:v>
      </x:c>
      <x:c r="E159" s="34" t="str">
        <x:v>مسیر شغلی، رزومه و تجربه حرفه‌ای</x:v>
      </x:c>
      <x:c r="F159" s="34" t="str">
        <x:v>P3/CLARIFY</x:v>
      </x:c>
      <x:c r="G159" s="34" t="str">
        <x:v>مهارت/یادگیری</x:v>
      </x:c>
      <x:c r="H159" s="39" t="str">
        <x:v>در این میان میشه از سیستمی جهت پایش افراد با استعداد یابی های هوشمند استفاده کرد برای معرفی شغلی یا پروژه یا مهارت نرم بره یاد بگیره یا مهارت سخت</x:v>
      </x:c>
      <x:c r="I159" s="39" t="str">
        <x:v>نیازمند تعریف خروجی یا پارک</x:v>
      </x:c>
      <x:c r="J159" s="39" t="str">
        <x:v>استراتژیست شغلی + منتور صنعت</x:v>
      </x:c>
      <x:c r="K159" s="39" t="str"/>
      <x:c r="L159" s="39" t="str">
        <x:v>E112:P9؛ E112:P1789؛ E112:P2255</x:v>
      </x:c>
      <x:c r="M159" s="39" t="str"/>
      <x:c r="N159" s="39" t="str">
        <x:v>نسخه پایه ۳۱۵۰</x:v>
      </x:c>
    </x:row>
    <x:row r="160" ht="34" customHeight="1">
      <x:c r="A160" s="34" t="str">
        <x:v>☐</x:v>
      </x:c>
      <x:c r="B160" s="34" t="str">
        <x:v>MI-0230</x:v>
      </x:c>
      <x:c r="C160" s="34" t="str">
        <x:v>M2 — تحصیل، مسیر شغلی و توانمندی حرفه‌ای</x:v>
      </x:c>
      <x:c r="D160" s="34" t="str">
        <x:v>H3</x:v>
      </x:c>
      <x:c r="E160" s="34" t="str">
        <x:v>مسیر شغلی، رزومه و تجربه حرفه‌ای</x:v>
      </x:c>
      <x:c r="F160" s="34" t="str">
        <x:v>P3/CLARIFY</x:v>
      </x:c>
      <x:c r="G160" s="34" t="str">
        <x:v>هدف/موضوع</x:v>
      </x:c>
      <x:c r="H160" s="39" t="str">
        <x:v>هدایت تحصیلی و شغلی</x:v>
      </x:c>
      <x:c r="I160" s="39" t="str">
        <x:v>نیازمند تعریف خروجی یا پارک</x:v>
      </x:c>
      <x:c r="J160" s="39" t="str">
        <x:v>استراتژیست شغلی + منتور صنعت</x:v>
      </x:c>
      <x:c r="K160" s="39" t="str"/>
      <x:c r="L160" s="39" t="str">
        <x:v>PL:R404</x:v>
      </x:c>
      <x:c r="M160" s="39" t="str"/>
      <x:c r="N160" s="39" t="str">
        <x:v>نسخه پایه ۳۱۵۰</x:v>
      </x:c>
    </x:row>
    <x:row r="161" ht="34" customHeight="1">
      <x:c r="A161" s="34" t="str">
        <x:v>☐</x:v>
      </x:c>
      <x:c r="B161" s="34" t="str">
        <x:v>MI-1906</x:v>
      </x:c>
      <x:c r="C161" s="34" t="str">
        <x:v>M2 — تحصیل، مسیر شغلی و توانمندی حرفه‌ای</x:v>
      </x:c>
      <x:c r="D161" s="34" t="str">
        <x:v>H3</x:v>
      </x:c>
      <x:c r="E161" s="34" t="str">
        <x:v>مسیر شغلی، رزومه و تجربه حرفه‌ای</x:v>
      </x:c>
      <x:c r="F161" s="34" t="str">
        <x:v>P3/CLARIFY</x:v>
      </x:c>
      <x:c r="G161" s="34" t="str">
        <x:v>هدف/موضوع</x:v>
      </x:c>
      <x:c r="H161" s="39" t="str">
        <x:v>مراکز فنی و حرفه ای</x:v>
      </x:c>
      <x:c r="I161" s="39" t="str">
        <x:v>نیازمند تعریف خروجی یا پارک</x:v>
      </x:c>
      <x:c r="J161" s="39" t="str">
        <x:v>استراتژیست شغلی + منتور صنعت</x:v>
      </x:c>
      <x:c r="K161" s="39" t="str"/>
      <x:c r="L161" s="39" t="str">
        <x:v>E112:P499</x:v>
      </x:c>
      <x:c r="M161" s="39" t="str"/>
      <x:c r="N161" s="39" t="str">
        <x:v>نسخه پایه ۳۱۵۰</x:v>
      </x:c>
    </x:row>
    <x:row r="162" ht="34" customHeight="1">
      <x:c r="A162" s="34" t="str">
        <x:v>☐</x:v>
      </x:c>
      <x:c r="B162" s="34" t="str">
        <x:v>MI-1953</x:v>
      </x:c>
      <x:c r="C162" s="34" t="str">
        <x:v>M2 — تحصیل، مسیر شغلی و توانمندی حرفه‌ای</x:v>
      </x:c>
      <x:c r="D162" s="34" t="str">
        <x:v>H3</x:v>
      </x:c>
      <x:c r="E162" s="34" t="str">
        <x:v>مسیر شغلی، رزومه و تجربه حرفه‌ای</x:v>
      </x:c>
      <x:c r="F162" s="34" t="str">
        <x:v>P3/CLARIFY</x:v>
      </x:c>
      <x:c r="G162" s="34" t="str">
        <x:v>هدف/موضوع</x:v>
      </x:c>
      <x:c r="H162" s="39" t="str">
        <x:v>توییتر حرفه ای</x:v>
      </x:c>
      <x:c r="I162" s="39" t="str">
        <x:v>نیازمند تعریف خروجی یا پارک</x:v>
      </x:c>
      <x:c r="J162" s="39" t="str">
        <x:v>استراتژیست شغلی + منتور صنعت</x:v>
      </x:c>
      <x:c r="K162" s="39" t="str"/>
      <x:c r="L162" s="39" t="str">
        <x:v>E112:P571</x:v>
      </x:c>
      <x:c r="M162" s="39" t="str"/>
      <x:c r="N162" s="39" t="str">
        <x:v>نسخه پایه ۳۱۵۰</x:v>
      </x:c>
    </x:row>
    <x:row r="163" ht="34" customHeight="1">
      <x:c r="A163" s="34" t="str">
        <x:v>☐</x:v>
      </x:c>
      <x:c r="B163" s="34" t="str">
        <x:v>MI-1972</x:v>
      </x:c>
      <x:c r="C163" s="34" t="str">
        <x:v>M2 — تحصیل، مسیر شغلی و توانمندی حرفه‌ای</x:v>
      </x:c>
      <x:c r="D163" s="34" t="str">
        <x:v>H3</x:v>
      </x:c>
      <x:c r="E163" s="34" t="str">
        <x:v>مسیر شغلی، رزومه و تجربه حرفه‌ای</x:v>
      </x:c>
      <x:c r="F163" s="34" t="str">
        <x:v>P3/CLARIFY</x:v>
      </x:c>
      <x:c r="G163" s="34" t="str">
        <x:v>هدف/موضوع</x:v>
      </x:c>
      <x:c r="H163" s="39" t="str">
        <x:v>بررسی صنعت و بازار کار</x:v>
      </x:c>
      <x:c r="I163" s="39" t="str">
        <x:v>نیازمند تعریف خروجی یا پارک</x:v>
      </x:c>
      <x:c r="J163" s="39" t="str">
        <x:v>استراتژیست شغلی + منتور صنعت</x:v>
      </x:c>
      <x:c r="K163" s="39" t="str"/>
      <x:c r="L163" s="39" t="str">
        <x:v>E112:P598؛ E112:P1722</x:v>
      </x:c>
      <x:c r="M163" s="39" t="str"/>
      <x:c r="N163" s="39" t="str">
        <x:v>نسخه پایه ۳۱۵۰</x:v>
      </x:c>
    </x:row>
    <x:row r="164" ht="34" customHeight="1">
      <x:c r="A164" s="34" t="str">
        <x:v>☐</x:v>
      </x:c>
      <x:c r="B164" s="34" t="str">
        <x:v>MI-2015</x:v>
      </x:c>
      <x:c r="C164" s="34" t="str">
        <x:v>M2 — تحصیل، مسیر شغلی و توانمندی حرفه‌ای</x:v>
      </x:c>
      <x:c r="D164" s="34" t="str">
        <x:v>H3</x:v>
      </x:c>
      <x:c r="E164" s="34" t="str">
        <x:v>مسیر شغلی، رزومه و تجربه حرفه‌ای</x:v>
      </x:c>
      <x:c r="F164" s="34" t="str">
        <x:v>P3/CLARIFY</x:v>
      </x:c>
      <x:c r="G164" s="34" t="str">
        <x:v>هدف/موضوع</x:v>
      </x:c>
      <x:c r="H164" s="39" t="str">
        <x:v>سازمان فنی و حرفه ای</x:v>
      </x:c>
      <x:c r="I164" s="39" t="str">
        <x:v>نیازمند تعریف خروجی یا پارک</x:v>
      </x:c>
      <x:c r="J164" s="39" t="str">
        <x:v>استراتژیست شغلی + منتور صنعت</x:v>
      </x:c>
      <x:c r="K164" s="39" t="str"/>
      <x:c r="L164" s="39" t="str">
        <x:v>E112:P671</x:v>
      </x:c>
      <x:c r="M164" s="39" t="str"/>
      <x:c r="N164" s="39" t="str">
        <x:v>نسخه پایه ۳۱۵۰</x:v>
      </x:c>
    </x:row>
    <x:row r="165" ht="34" customHeight="1">
      <x:c r="A165" s="34" t="str">
        <x:v>☐</x:v>
      </x:c>
      <x:c r="B165" s="34" t="str">
        <x:v>MI-2637</x:v>
      </x:c>
      <x:c r="C165" s="34" t="str">
        <x:v>M2 — تحصیل، مسیر شغلی و توانمندی حرفه‌ای</x:v>
      </x:c>
      <x:c r="D165" s="34" t="str">
        <x:v>H3</x:v>
      </x:c>
      <x:c r="E165" s="34" t="str">
        <x:v>مسیر شغلی، رزومه و تجربه حرفه‌ای</x:v>
      </x:c>
      <x:c r="F165" s="34" t="str">
        <x:v>P3/CLARIFY</x:v>
      </x:c>
      <x:c r="G165" s="34" t="str">
        <x:v>هدف/موضوع</x:v>
      </x:c>
      <x:c r="H165" s="39" t="str">
        <x:v>معرفی فرصت های شغلی</x:v>
      </x:c>
      <x:c r="I165" s="39" t="str">
        <x:v>نیازمند تعریف خروجی یا پارک</x:v>
      </x:c>
      <x:c r="J165" s="39" t="str">
        <x:v>استراتژیست شغلی + منتور صنعت</x:v>
      </x:c>
      <x:c r="K165" s="39" t="str"/>
      <x:c r="L165" s="39" t="str">
        <x:v>E112:P2505</x:v>
      </x:c>
      <x:c r="M165" s="39" t="str"/>
      <x:c r="N165" s="39" t="str">
        <x:v>نسخه پایه ۳۱۵۰</x:v>
      </x:c>
    </x:row>
    <x:row r="166" ht="34" customHeight="1">
      <x:c r="A166" s="34" t="str">
        <x:v>☐</x:v>
      </x:c>
      <x:c r="B166" s="34" t="str">
        <x:v>MI-2647</x:v>
      </x:c>
      <x:c r="C166" s="34" t="str">
        <x:v>M2 — تحصیل، مسیر شغلی و توانمندی حرفه‌ای</x:v>
      </x:c>
      <x:c r="D166" s="34" t="str">
        <x:v>H3</x:v>
      </x:c>
      <x:c r="E166" s="34" t="str">
        <x:v>مسیر شغلی، رزومه و تجربه حرفه‌ای</x:v>
      </x:c>
      <x:c r="F166" s="34" t="str">
        <x:v>P3/CLARIFY</x:v>
      </x:c>
      <x:c r="G166" s="34" t="str">
        <x:v>هدف/موضوع</x:v>
      </x:c>
      <x:c r="H166" s="39" t="str">
        <x:v>همکاری حرفه ای</x:v>
      </x:c>
      <x:c r="I166" s="39" t="str">
        <x:v>نیازمند تعریف خروجی یا پارک</x:v>
      </x:c>
      <x:c r="J166" s="39" t="str">
        <x:v>استراتژیست شغلی + منتور صنعت</x:v>
      </x:c>
      <x:c r="K166" s="39" t="str"/>
      <x:c r="L166" s="39" t="str">
        <x:v>E112:P2542</x:v>
      </x:c>
      <x:c r="M166" s="39" t="str"/>
      <x:c r="N166" s="39" t="str">
        <x:v>نسخه پایه ۳۱۵۰</x:v>
      </x:c>
    </x:row>
    <x:row r="167" ht="34" customHeight="1">
      <x:c r="A167" s="34" t="str">
        <x:v>☐</x:v>
      </x:c>
      <x:c r="B167" s="34" t="str">
        <x:v>MI-2648</x:v>
      </x:c>
      <x:c r="C167" s="34" t="str">
        <x:v>M2 — تحصیل، مسیر شغلی و توانمندی حرفه‌ای</x:v>
      </x:c>
      <x:c r="D167" s="34" t="str">
        <x:v>H3</x:v>
      </x:c>
      <x:c r="E167" s="34" t="str">
        <x:v>مسیر شغلی، رزومه و تجربه حرفه‌ای</x:v>
      </x:c>
      <x:c r="F167" s="34" t="str">
        <x:v>P3/CLARIFY</x:v>
      </x:c>
      <x:c r="G167" s="34" t="str">
        <x:v>هدف/موضوع</x:v>
      </x:c>
      <x:c r="H167" s="39" t="str">
        <x:v>ورود به بازار کار</x:v>
      </x:c>
      <x:c r="I167" s="39" t="str">
        <x:v>نیازمند تعریف خروجی یا پارک</x:v>
      </x:c>
      <x:c r="J167" s="39" t="str">
        <x:v>استراتژیست شغلی + منتور صنعت</x:v>
      </x:c>
      <x:c r="K167" s="39" t="str"/>
      <x:c r="L167" s="39" t="str">
        <x:v>E112:P2544؛ E112:P3362</x:v>
      </x:c>
      <x:c r="M167" s="39" t="str"/>
      <x:c r="N167" s="39" t="str">
        <x:v>نسخه پایه ۳۱۵۰</x:v>
      </x:c>
    </x:row>
    <x:row r="168" ht="34" customHeight="1">
      <x:c r="A168" s="34" t="str">
        <x:v>☐</x:v>
      </x:c>
      <x:c r="B168" s="34" t="str">
        <x:v>MI-2658</x:v>
      </x:c>
      <x:c r="C168" s="34" t="str">
        <x:v>M2 — تحصیل، مسیر شغلی و توانمندی حرفه‌ای</x:v>
      </x:c>
      <x:c r="D168" s="34" t="str">
        <x:v>H3</x:v>
      </x:c>
      <x:c r="E168" s="34" t="str">
        <x:v>مسیر شغلی، رزومه و تجربه حرفه‌ای</x:v>
      </x:c>
      <x:c r="F168" s="34" t="str">
        <x:v>P3/CLARIFY</x:v>
      </x:c>
      <x:c r="G168" s="34" t="str">
        <x:v>هدف/موضوع</x:v>
      </x:c>
      <x:c r="H168" s="39" t="str">
        <x:v>فرصت های شغلی</x:v>
      </x:c>
      <x:c r="I168" s="39" t="str">
        <x:v>نیازمند تعریف خروجی یا پارک</x:v>
      </x:c>
      <x:c r="J168" s="39" t="str">
        <x:v>استراتژیست شغلی + منتور صنعت</x:v>
      </x:c>
      <x:c r="K168" s="39" t="str"/>
      <x:c r="L168" s="39" t="str">
        <x:v>E112:P2573</x:v>
      </x:c>
      <x:c r="M168" s="39" t="str"/>
      <x:c r="N168" s="39" t="str">
        <x:v>نسخه پایه ۳۱۵۰</x:v>
      </x:c>
    </x:row>
    <x:row r="169" ht="34" customHeight="1">
      <x:c r="A169" s="34" t="str">
        <x:v>☐</x:v>
      </x:c>
      <x:c r="B169" s="34" t="str">
        <x:v>MI-2785</x:v>
      </x:c>
      <x:c r="C169" s="34" t="str">
        <x:v>M2 — تحصیل، مسیر شغلی و توانمندی حرفه‌ای</x:v>
      </x:c>
      <x:c r="D169" s="34" t="str">
        <x:v>H3</x:v>
      </x:c>
      <x:c r="E169" s="34" t="str">
        <x:v>مسیر شغلی، رزومه و تجربه حرفه‌ای</x:v>
      </x:c>
      <x:c r="F169" s="34" t="str">
        <x:v>P3/CLARIFY</x:v>
      </x:c>
      <x:c r="G169" s="34" t="str">
        <x:v>هدف/موضوع</x:v>
      </x:c>
      <x:c r="H169" s="39" t="str">
        <x:v>اگر بخواهی، در مرحله بعد می توانم دو چیز بسیار مهم را هم طراحی کنم که این سند را چند برابر حرفه ای تر و اجرایی تر می کند:</x:v>
      </x:c>
      <x:c r="I169" s="39" t="str">
        <x:v>نیازمند تعریف خروجی یا پارک</x:v>
      </x:c>
      <x:c r="J169" s="39" t="str">
        <x:v>استراتژیست شغلی + منتور صنعت</x:v>
      </x:c>
      <x:c r="K169" s="39" t="str"/>
      <x:c r="L169" s="39" t="str">
        <x:v>E112:P2913</x:v>
      </x:c>
      <x:c r="M169" s="39" t="str"/>
      <x:c r="N169" s="39" t="str">
        <x:v>نسخه پایه ۳۱۵۰</x:v>
      </x:c>
    </x:row>
    <x:row r="170" ht="34" customHeight="1">
      <x:c r="A170" s="34" t="str">
        <x:v>☐</x:v>
      </x:c>
      <x:c r="B170" s="34" t="str">
        <x:v>MI-2812</x:v>
      </x:c>
      <x:c r="C170" s="34" t="str">
        <x:v>M2 — تحصیل، مسیر شغلی و توانمندی حرفه‌ای</x:v>
      </x:c>
      <x:c r="D170" s="34" t="str">
        <x:v>H3</x:v>
      </x:c>
      <x:c r="E170" s="34" t="str">
        <x:v>مسیر شغلی، رزومه و تجربه حرفه‌ای</x:v>
      </x:c>
      <x:c r="F170" s="34" t="str">
        <x:v>P3/CLARIFY</x:v>
      </x:c>
      <x:c r="G170" s="34" t="str">
        <x:v>هدف/موضوع</x:v>
      </x:c>
      <x:c r="H170" s="39" t="str">
        <x:v>پیشنهاد شغل</x:v>
      </x:c>
      <x:c r="I170" s="39" t="str">
        <x:v>نیازمند تعریف خروجی یا پارک</x:v>
      </x:c>
      <x:c r="J170" s="39" t="str">
        <x:v>استراتژیست شغلی + منتور صنعت</x:v>
      </x:c>
      <x:c r="K170" s="39" t="str"/>
      <x:c r="L170" s="39" t="str">
        <x:v>E112:P2967</x:v>
      </x:c>
      <x:c r="M170" s="39" t="str"/>
      <x:c r="N170" s="39" t="str">
        <x:v>نسخه پایه ۳۱۵۰</x:v>
      </x:c>
    </x:row>
    <x:row r="171" ht="34" customHeight="1">
      <x:c r="A171" s="34" t="str">
        <x:v>☐</x:v>
      </x:c>
      <x:c r="B171" s="34" t="str">
        <x:v>MI-2927</x:v>
      </x:c>
      <x:c r="C171" s="34" t="str">
        <x:v>M2 — تحصیل، مسیر شغلی و توانمندی حرفه‌ای</x:v>
      </x:c>
      <x:c r="D171" s="34" t="str">
        <x:v>H3</x:v>
      </x:c>
      <x:c r="E171" s="34" t="str">
        <x:v>مسیر شغلی، رزومه و تجربه حرفه‌ای</x:v>
      </x:c>
      <x:c r="F171" s="34" t="str">
        <x:v>P3/CLARIFY</x:v>
      </x:c>
      <x:c r="G171" s="34" t="str">
        <x:v>هدف/موضوع</x:v>
      </x:c>
      <x:c r="H171" s="39" t="str">
        <x:v>اگر بخواهی، یک مرحله حرفه ای تر هم می توانیم انجام دهیم:</x:v>
      </x:c>
      <x:c r="I171" s="39" t="str">
        <x:v>نیازمند تعریف خروجی یا پارک</x:v>
      </x:c>
      <x:c r="J171" s="39" t="str">
        <x:v>استراتژیست شغلی + منتور صنعت</x:v>
      </x:c>
      <x:c r="K171" s="39" t="str"/>
      <x:c r="L171" s="39" t="str">
        <x:v>E112:P3286</x:v>
      </x:c>
      <x:c r="M171" s="39" t="str"/>
      <x:c r="N171" s="39" t="str">
        <x:v>نسخه پایه ۳۱۵۰</x:v>
      </x:c>
    </x:row>
    <x:row r="172" ht="34" customHeight="1">
      <x:c r="A172" s="34" t="str">
        <x:v>☐</x:v>
      </x:c>
      <x:c r="B172" s="34" t="str">
        <x:v>MI-3059</x:v>
      </x:c>
      <x:c r="C172" s="34" t="str">
        <x:v>M2 — تحصیل، مسیر شغلی و توانمندی حرفه‌ای</x:v>
      </x:c>
      <x:c r="D172" s="34" t="str">
        <x:v>H3</x:v>
      </x:c>
      <x:c r="E172" s="34" t="str">
        <x:v>مسیر شغلی، رزومه و تجربه حرفه‌ای</x:v>
      </x:c>
      <x:c r="F172" s="34" t="str">
        <x:v>P3/CLARIFY</x:v>
      </x:c>
      <x:c r="G172" s="34" t="str">
        <x:v>هدف/موضوع</x:v>
      </x:c>
      <x:c r="H172" s="39" t="str">
        <x:v>سابقه بیماری نداشتم، امّا سابقه جراحی جزیی در ایام طفولیت داشتم. موضوعی جهت محدودیت شغلی ندارم.</x:v>
      </x:c>
      <x:c r="I172" s="39" t="str">
        <x:v>نیازمند تعریف خروجی یا پارک</x:v>
      </x:c>
      <x:c r="J172" s="39" t="str">
        <x:v>استراتژیست شغلی + منتور صنعت</x:v>
      </x:c>
      <x:c r="K172" s="39" t="str"/>
      <x:c r="L172" s="39" t="str">
        <x:v>INT:T5 R2</x:v>
      </x:c>
      <x:c r="M172" s="39" t="str"/>
      <x:c r="N172" s="39" t="str">
        <x:v>نسخه پایه ۳۱۵۰</x:v>
      </x:c>
    </x:row>
    <x:row r="173" ht="34" customHeight="1">
      <x:c r="A173" s="34" t="str">
        <x:v>☐</x:v>
      </x:c>
      <x:c r="B173" s="34" t="str">
        <x:v>MI-3062</x:v>
      </x:c>
      <x:c r="C173" s="34" t="str">
        <x:v>M2 — تحصیل، مسیر شغلی و توانمندی حرفه‌ای</x:v>
      </x:c>
      <x:c r="D173" s="34" t="str">
        <x:v>H3</x:v>
      </x:c>
      <x:c r="E173" s="34" t="str">
        <x:v>مسیر شغلی، رزومه و تجربه حرفه‌ای</x:v>
      </x:c>
      <x:c r="F173" s="34" t="str">
        <x:v>P3/CLARIFY</x:v>
      </x:c>
      <x:c r="G173" s="34" t="str">
        <x:v>هدف/موضوع</x:v>
      </x:c>
      <x:c r="H173" s="39" t="str">
        <x:v>بهترین شغل از نظر شما چیست؟ نام برده و دلیل آن را بنویسید.</x:v>
      </x:c>
      <x:c r="I173" s="39" t="str">
        <x:v>نیازمند تعریف خروجی یا پارک</x:v>
      </x:c>
      <x:c r="J173" s="39" t="str">
        <x:v>استراتژیست شغلی + منتور صنعت</x:v>
      </x:c>
      <x:c r="K173" s="39" t="str"/>
      <x:c r="L173" s="39" t="str">
        <x:v>INT:T7 R1</x:v>
      </x:c>
      <x:c r="M173" s="39" t="str"/>
      <x:c r="N173" s="39" t="str">
        <x:v>نسخه پایه ۳۱۵۰</x:v>
      </x:c>
    </x:row>
    <x:row r="174" ht="34" customHeight="1">
      <x:c r="A174" s="34" t="str">
        <x:v>☐</x:v>
      </x:c>
      <x:c r="B174" s="34" t="str">
        <x:v>MI-3064</x:v>
      </x:c>
      <x:c r="C174" s="34" t="str">
        <x:v>M2 — تحصیل، مسیر شغلی و توانمندی حرفه‌ای</x:v>
      </x:c>
      <x:c r="D174" s="34" t="str">
        <x:v>H3</x:v>
      </x:c>
      <x:c r="E174" s="34" t="str">
        <x:v>مسیر شغلی، رزومه و تجربه حرفه‌ای</x:v>
      </x:c>
      <x:c r="F174" s="34" t="str">
        <x:v>P3/CLARIFY</x:v>
      </x:c>
      <x:c r="G174" s="34" t="str">
        <x:v>هدف/موضوع</x:v>
      </x:c>
      <x:c r="H174" s="39" t="str">
        <x:v>بدترین شغل از نظر شما چیست؟ نام برده و دلیل آن را بنویسید.</x:v>
      </x:c>
      <x:c r="I174" s="39" t="str">
        <x:v>نیازمند تعریف خروجی یا پارک</x:v>
      </x:c>
      <x:c r="J174" s="39" t="str">
        <x:v>استراتژیست شغلی + منتور صنعت</x:v>
      </x:c>
      <x:c r="K174" s="39" t="str"/>
      <x:c r="L174" s="39" t="str">
        <x:v>INT:T8 R1</x:v>
      </x:c>
      <x:c r="M174" s="39" t="str"/>
      <x:c r="N174" s="39" t="str">
        <x:v>نسخه پایه ۳۱۵۰</x:v>
      </x:c>
    </x:row>
    <x:row r="175" ht="34" customHeight="1">
      <x:c r="A175" s="34" t="str">
        <x:v>☐</x:v>
      </x:c>
      <x:c r="B175" s="34" t="str">
        <x:v>MI-3106</x:v>
      </x:c>
      <x:c r="C175" s="34" t="str">
        <x:v>M2 — تحصیل، مسیر شغلی و توانمندی حرفه‌ای</x:v>
      </x:c>
      <x:c r="D175" s="34" t="str">
        <x:v>H3</x:v>
      </x:c>
      <x:c r="E175" s="34" t="str">
        <x:v>مسیر شغلی، رزومه و تجربه حرفه‌ای</x:v>
      </x:c>
      <x:c r="F175" s="34" t="str">
        <x:v>P3/CLARIFY</x:v>
      </x:c>
      <x:c r="G175" s="34" t="str">
        <x:v>هدف/موضوع</x:v>
      </x:c>
      <x:c r="H175" s="39" t="str">
        <x:v>انتظار شما از شغل آیندتون چیست؟ فکر میکنید چه نیازهایی از شما را باید برطرف کند؟</x:v>
      </x:c>
      <x:c r="I175" s="39" t="str">
        <x:v>نیازمند تعریف خروجی یا پارک</x:v>
      </x:c>
      <x:c r="J175" s="39" t="str">
        <x:v>استراتژیست شغلی + منتور صنعت</x:v>
      </x:c>
      <x:c r="K175" s="39" t="str"/>
      <x:c r="L175" s="39" t="str">
        <x:v>INT:T34 R1</x:v>
      </x:c>
      <x:c r="M175" s="39" t="str"/>
      <x:c r="N175" s="39" t="str">
        <x:v>نسخه پایه ۳۱۵۰</x:v>
      </x:c>
    </x:row>
    <x:row r="176" ht="34" customHeight="1">
      <x:c r="A176" s="34" t="str">
        <x:v>☐</x:v>
      </x:c>
      <x:c r="B176" s="34" t="str">
        <x:v>MI-3108</x:v>
      </x:c>
      <x:c r="C176" s="34" t="str">
        <x:v>M2 — تحصیل، مسیر شغلی و توانمندی حرفه‌ای</x:v>
      </x:c>
      <x:c r="D176" s="34" t="str">
        <x:v>H3</x:v>
      </x:c>
      <x:c r="E176" s="34" t="str">
        <x:v>مسیر شغلی، رزومه و تجربه حرفه‌ای</x:v>
      </x:c>
      <x:c r="F176" s="34" t="str">
        <x:v>P3/CLARIFY</x:v>
      </x:c>
      <x:c r="G176" s="34" t="str">
        <x:v>هدف/موضوع</x:v>
      </x:c>
      <x:c r="H176" s="39" t="str">
        <x:v>در حال حاضر با چه کسی زندگی میکنید؟ آیا اعضای خانواده شما یا افرادی که با شما زندگی میکنند با شرایط شغلی شما مشکل دارند؟ (چالش با اعضای خانواده)</x:v>
      </x:c>
      <x:c r="I176" s="39" t="str">
        <x:v>نیازمند تعریف خروجی یا پارک</x:v>
      </x:c>
      <x:c r="J176" s="39" t="str">
        <x:v>استراتژیست شغلی + منتور صنعت</x:v>
      </x:c>
      <x:c r="K176" s="39" t="str"/>
      <x:c r="L176" s="39" t="str">
        <x:v>INT:T35 R1</x:v>
      </x:c>
      <x:c r="M176" s="39" t="str"/>
      <x:c r="N176" s="39" t="str">
        <x:v>نسخه پایه ۳۱۵۰</x:v>
      </x:c>
    </x:row>
    <x:row r="177" ht="34" customHeight="1">
      <x:c r="A177" s="34" t="str">
        <x:v>☐</x:v>
      </x:c>
      <x:c r="B177" s="34" t="str">
        <x:v>MI-3110</x:v>
      </x:c>
      <x:c r="C177" s="34" t="str">
        <x:v>M2 — تحصیل، مسیر شغلی و توانمندی حرفه‌ای</x:v>
      </x:c>
      <x:c r="D177" s="34" t="str">
        <x:v>H3</x:v>
      </x:c>
      <x:c r="E177" s="34" t="str">
        <x:v>مسیر شغلی، رزومه و تجربه حرفه‌ای</x:v>
      </x:c>
      <x:c r="F177" s="34" t="str">
        <x:v>P3/CLARIFY</x:v>
      </x:c>
      <x:c r="G177" s="34" t="str">
        <x:v>هدف/موضوع</x:v>
      </x:c>
      <x:c r="H177" s="39" t="str">
        <x:v>تلاشهایی که تا به الان برای رسیدن به شغل مطلوب خود انجام داده اید چه بوده است؟</x:v>
      </x:c>
      <x:c r="I177" s="39" t="str">
        <x:v>نیازمند تعریف خروجی یا پارک</x:v>
      </x:c>
      <x:c r="J177" s="39" t="str">
        <x:v>استراتژیست شغلی + منتور صنعت</x:v>
      </x:c>
      <x:c r="K177" s="39" t="str"/>
      <x:c r="L177" s="39" t="str">
        <x:v>INT:T36 R1</x:v>
      </x:c>
      <x:c r="M177" s="39" t="str"/>
      <x:c r="N177" s="39" t="str">
        <x:v>نسخه پایه ۳۱۵۰</x:v>
      </x:c>
    </x:row>
    <x:row r="178" ht="34" customHeight="1">
      <x:c r="A178" s="34" t="str">
        <x:v>☐</x:v>
      </x:c>
      <x:c r="B178" s="34" t="str">
        <x:v>MI-3114</x:v>
      </x:c>
      <x:c r="C178" s="34" t="str">
        <x:v>M2 — تحصیل، مسیر شغلی و توانمندی حرفه‌ای</x:v>
      </x:c>
      <x:c r="D178" s="34" t="str">
        <x:v>H3</x:v>
      </x:c>
      <x:c r="E178" s="34" t="str">
        <x:v>مسیر شغلی، رزومه و تجربه حرفه‌ای</x:v>
      </x:c>
      <x:c r="F178" s="34" t="str">
        <x:v>P3/CLARIFY</x:v>
      </x:c>
      <x:c r="G178" s="34" t="str">
        <x:v>هدف/موضوع</x:v>
      </x:c>
      <x:c r="H178" s="39" t="str">
        <x:v>اگر دیگران بخواهند در حال حاضر شغل شما را انتخاب کنند به آنها چه توصیه ای میکنید؟</x:v>
      </x:c>
      <x:c r="I178" s="39" t="str">
        <x:v>نیازمند تعریف خروجی یا پارک</x:v>
      </x:c>
      <x:c r="J178" s="39" t="str">
        <x:v>استراتژیست شغلی + منتور صنعت</x:v>
      </x:c>
      <x:c r="K178" s="39" t="str"/>
      <x:c r="L178" s="39" t="str">
        <x:v>INT:T38 R1</x:v>
      </x:c>
      <x:c r="M178" s="39" t="str"/>
      <x:c r="N178" s="39" t="str">
        <x:v>نسخه پایه ۳۱۵۰</x:v>
      </x:c>
    </x:row>
    <x:row r="179" ht="34" customHeight="1">
      <x:c r="A179" s="34" t="str">
        <x:v>☐</x:v>
      </x:c>
      <x:c r="B179" s="34" t="str">
        <x:v>MI-0616</x:v>
      </x:c>
      <x:c r="C179" s="34" t="str">
        <x:v>M1 — فرد، پایه‌های عملکرد و خودشناسی</x:v>
      </x:c>
      <x:c r="D179" s="34" t="str">
        <x:v>H4</x:v>
      </x:c>
      <x:c r="E179" s="34" t="str">
        <x:v>رهبری، ارتباطات و مهارت‌های نرم</x:v>
      </x:c>
      <x:c r="F179" s="34" t="str">
        <x:v>P1</x:v>
      </x:c>
      <x:c r="G179" s="34" t="str">
        <x:v>اقدام اجرایی</x:v>
      </x:c>
      <x:c r="H179" s="39" t="str">
        <x:v>تهیه اتاق گالری برای آرشیو عکس ها</x:v>
      </x:c>
      <x:c r="I179" s="39" t="str">
        <x:v>سه‌ماهه اول؛ فقط متصل به پروژه واقعی</x:v>
      </x:c>
      <x:c r="J179" s="39" t="str">
        <x:v>کوچ رهبری/ارتباطات</x:v>
      </x:c>
      <x:c r="K179" s="39" t="str"/>
      <x:c r="L179" s="39" t="str">
        <x:v>AP:P403</x:v>
      </x:c>
      <x:c r="M179" s="39" t="str"/>
      <x:c r="N179" s="39" t="str">
        <x:v>نسخه پایه ۳۱۵۰</x:v>
      </x:c>
    </x:row>
    <x:row r="180" ht="34" customHeight="1">
      <x:c r="A180" s="34" t="str">
        <x:v>☐</x:v>
      </x:c>
      <x:c r="B180" s="34" t="str">
        <x:v>MI-0064</x:v>
      </x:c>
      <x:c r="C180" s="34" t="str">
        <x:v>M1 — فرد، پایه‌های عملکرد و خودشناسی</x:v>
      </x:c>
      <x:c r="D180" s="34" t="str">
        <x:v>H4</x:v>
      </x:c>
      <x:c r="E180" s="34" t="str">
        <x:v>رهبری، ارتباطات و مهارت‌های نرم</x:v>
      </x:c>
      <x:c r="F180" s="34" t="str">
        <x:v>P1</x:v>
      </x:c>
      <x:c r="G180" s="34" t="str">
        <x:v>مهارت/یادگیری</x:v>
      </x:c>
      <x:c r="H180" s="39" t="str">
        <x:v>یادگیری تکنیک های مذاکره، زبان بدن، و پیشبرد فروش</x:v>
      </x:c>
      <x:c r="I180" s="39" t="str">
        <x:v>سه‌ماهه اول؛ فقط متصل به پروژه واقعی</x:v>
      </x:c>
      <x:c r="J180" s="39" t="str">
        <x:v>کوچ رهبری/ارتباطات</x:v>
      </x:c>
      <x:c r="K180" s="39" t="str"/>
      <x:c r="L180" s="39" t="str">
        <x:v>PL:R65</x:v>
      </x:c>
      <x:c r="M180" s="39" t="str"/>
      <x:c r="N180" s="39" t="str">
        <x:v>نسخه پایه ۳۱۵۰</x:v>
      </x:c>
    </x:row>
    <x:row r="181" ht="34" customHeight="1">
      <x:c r="A181" s="34" t="str">
        <x:v>☐</x:v>
      </x:c>
      <x:c r="B181" s="34" t="str">
        <x:v>MI-0072</x:v>
      </x:c>
      <x:c r="C181" s="34" t="str">
        <x:v>M1 — فرد، پایه‌های عملکرد و خودشناسی</x:v>
      </x:c>
      <x:c r="D181" s="34" t="str">
        <x:v>H4</x:v>
      </x:c>
      <x:c r="E181" s="34" t="str">
        <x:v>رهبری، ارتباطات و مهارت‌های نرم</x:v>
      </x:c>
      <x:c r="F181" s="34" t="str">
        <x:v>P1</x:v>
      </x:c>
      <x:c r="G181" s="34" t="str">
        <x:v>مهارت/یادگیری</x:v>
      </x:c>
      <x:c r="H181" s="39" t="str">
        <x:v>یادگیری گویندگی و اجرا</x:v>
      </x:c>
      <x:c r="I181" s="39" t="str">
        <x:v>سه‌ماهه اول؛ فقط متصل به پروژه واقعی</x:v>
      </x:c>
      <x:c r="J181" s="39" t="str">
        <x:v>کوچ رهبری/ارتباطات</x:v>
      </x:c>
      <x:c r="K181" s="39" t="str"/>
      <x:c r="L181" s="39" t="str">
        <x:v>PL:R73</x:v>
      </x:c>
      <x:c r="M181" s="39" t="str"/>
      <x:c r="N181" s="39" t="str">
        <x:v>نسخه پایه ۳۱۵۰</x:v>
      </x:c>
    </x:row>
    <x:row r="182" ht="34" customHeight="1">
      <x:c r="A182" s="34" t="str">
        <x:v>☐</x:v>
      </x:c>
      <x:c r="B182" s="34" t="str">
        <x:v>MI-0075</x:v>
      </x:c>
      <x:c r="C182" s="34" t="str">
        <x:v>M1 — فرد، پایه‌های عملکرد و خودشناسی</x:v>
      </x:c>
      <x:c r="D182" s="34" t="str">
        <x:v>H4</x:v>
      </x:c>
      <x:c r="E182" s="34" t="str">
        <x:v>رهبری، ارتباطات و مهارت‌های نرم</x:v>
      </x:c>
      <x:c r="F182" s="34" t="str">
        <x:v>P1</x:v>
      </x:c>
      <x:c r="G182" s="34" t="str">
        <x:v>مهارت/یادگیری</x:v>
      </x:c>
      <x:c r="H182" s="39" t="str">
        <x:v>یادگیری و اجرای برنامه گفت و گو محور</x:v>
      </x:c>
      <x:c r="I182" s="39" t="str">
        <x:v>سه‌ماهه اول؛ فقط متصل به پروژه واقعی</x:v>
      </x:c>
      <x:c r="J182" s="39" t="str">
        <x:v>کوچ رهبری/ارتباطات</x:v>
      </x:c>
      <x:c r="K182" s="39" t="str"/>
      <x:c r="L182" s="39" t="str">
        <x:v>PL:R76</x:v>
      </x:c>
      <x:c r="M182" s="39" t="str"/>
      <x:c r="N182" s="39" t="str">
        <x:v>نسخه پایه ۳۱۵۰</x:v>
      </x:c>
    </x:row>
    <x:row r="183" ht="34" customHeight="1">
      <x:c r="A183" s="34" t="str">
        <x:v>☐</x:v>
      </x:c>
      <x:c r="B183" s="34" t="str">
        <x:v>MI-0111</x:v>
      </x:c>
      <x:c r="C183" s="34" t="str">
        <x:v>M1 — فرد، پایه‌های عملکرد و خودشناسی</x:v>
      </x:c>
      <x:c r="D183" s="34" t="str">
        <x:v>H4</x:v>
      </x:c>
      <x:c r="E183" s="34" t="str">
        <x:v>رهبری، ارتباطات و مهارت‌های نرم</x:v>
      </x:c>
      <x:c r="F183" s="34" t="str">
        <x:v>P1</x:v>
      </x:c>
      <x:c r="G183" s="34" t="str">
        <x:v>مهارت/یادگیری</x:v>
      </x:c>
      <x:c r="H183" s="39" t="str">
        <x:v>مهارت مذاکره</x:v>
      </x:c>
      <x:c r="I183" s="39" t="str">
        <x:v>سه‌ماهه اول؛ فقط متصل به پروژه واقعی</x:v>
      </x:c>
      <x:c r="J183" s="39" t="str">
        <x:v>کوچ رهبری/ارتباطات</x:v>
      </x:c>
      <x:c r="K183" s="39" t="str"/>
      <x:c r="L183" s="39" t="str">
        <x:v>PL:R113</x:v>
      </x:c>
      <x:c r="M183" s="39" t="str"/>
      <x:c r="N183" s="39" t="str">
        <x:v>نسخه پایه ۳۱۵۰</x:v>
      </x:c>
    </x:row>
    <x:row r="184" ht="34" customHeight="1">
      <x:c r="A184" s="34" t="str">
        <x:v>☐</x:v>
      </x:c>
      <x:c r="B184" s="34" t="str">
        <x:v>MI-0112</x:v>
      </x:c>
      <x:c r="C184" s="34" t="str">
        <x:v>M1 — فرد، پایه‌های عملکرد و خودشناسی</x:v>
      </x:c>
      <x:c r="D184" s="34" t="str">
        <x:v>H4</x:v>
      </x:c>
      <x:c r="E184" s="34" t="str">
        <x:v>رهبری، ارتباطات و مهارت‌های نرم</x:v>
      </x:c>
      <x:c r="F184" s="34" t="str">
        <x:v>P1</x:v>
      </x:c>
      <x:c r="G184" s="34" t="str">
        <x:v>مهارت/یادگیری</x:v>
      </x:c>
      <x:c r="H184" s="39" t="str">
        <x:v>مهارت تیم سازی</x:v>
      </x:c>
      <x:c r="I184" s="39" t="str">
        <x:v>سه‌ماهه اول؛ فقط متصل به پروژه واقعی</x:v>
      </x:c>
      <x:c r="J184" s="39" t="str">
        <x:v>کوچ رهبری/ارتباطات</x:v>
      </x:c>
      <x:c r="K184" s="39" t="str"/>
      <x:c r="L184" s="39" t="str">
        <x:v>PL:R114</x:v>
      </x:c>
      <x:c r="M184" s="39" t="str"/>
      <x:c r="N184" s="39" t="str">
        <x:v>نسخه پایه ۳۱۵۰</x:v>
      </x:c>
    </x:row>
    <x:row r="185" ht="34" customHeight="1">
      <x:c r="A185" s="34" t="str">
        <x:v>☐</x:v>
      </x:c>
      <x:c r="B185" s="34" t="str">
        <x:v>MI-0152</x:v>
      </x:c>
      <x:c r="C185" s="34" t="str">
        <x:v>M1 — فرد، پایه‌های عملکرد و خودشناسی</x:v>
      </x:c>
      <x:c r="D185" s="34" t="str">
        <x:v>H4</x:v>
      </x:c>
      <x:c r="E185" s="34" t="str">
        <x:v>رهبری، ارتباطات و مهارت‌های نرم</x:v>
      </x:c>
      <x:c r="F185" s="34" t="str">
        <x:v>P1</x:v>
      </x:c>
      <x:c r="G185" s="34" t="str">
        <x:v>مهارت/یادگیری</x:v>
      </x:c>
      <x:c r="H185" s="39" t="str">
        <x:v>OWASP TOPLO</x:v>
      </x:c>
      <x:c r="I185" s="39" t="str">
        <x:v>سه‌ماهه اول؛ فقط متصل به پروژه واقعی</x:v>
      </x:c>
      <x:c r="J185" s="39" t="str">
        <x:v>کوچ رهبری/ارتباطات</x:v>
      </x:c>
      <x:c r="K185" s="39" t="str"/>
      <x:c r="L185" s="39" t="str">
        <x:v>PL:R156؛ AP:P1427</x:v>
      </x:c>
      <x:c r="M185" s="39" t="str"/>
      <x:c r="N185" s="39" t="str">
        <x:v>نسخه پایه ۳۱۵۰</x:v>
      </x:c>
    </x:row>
    <x:row r="186" ht="34" customHeight="1">
      <x:c r="A186" s="34" t="str">
        <x:v>☐</x:v>
      </x:c>
      <x:c r="B186" s="34" t="str">
        <x:v>MI-0611</x:v>
      </x:c>
      <x:c r="C186" s="34" t="str">
        <x:v>M1 — فرد، پایه‌های عملکرد و خودشناسی</x:v>
      </x:c>
      <x:c r="D186" s="34" t="str">
        <x:v>H4</x:v>
      </x:c>
      <x:c r="E186" s="34" t="str">
        <x:v>رهبری، ارتباطات و مهارت‌های نرم</x:v>
      </x:c>
      <x:c r="F186" s="34" t="str">
        <x:v>P1</x:v>
      </x:c>
      <x:c r="G186" s="34" t="str">
        <x:v>مهارت/یادگیری</x:v>
      </x:c>
      <x:c r="H186" s="39" t="str">
        <x:v>صحبت برای پخش یک مصاحبه از زبان معاونت آموزشی یا رییس دانشگاه از شبکه استانی در باب خبر امتحانات دانشگاهی</x:v>
      </x:c>
      <x:c r="I186" s="39" t="str">
        <x:v>سه‌ماهه اول؛ فقط متصل به پروژه واقعی</x:v>
      </x:c>
      <x:c r="J186" s="39" t="str">
        <x:v>کوچ رهبری/ارتباطات</x:v>
      </x:c>
      <x:c r="K186" s="39" t="str"/>
      <x:c r="L186" s="39" t="str">
        <x:v>AP:P397</x:v>
      </x:c>
      <x:c r="M186" s="39" t="str"/>
      <x:c r="N186" s="39" t="str">
        <x:v>نسخه پایه ۳۱۵۰</x:v>
      </x:c>
    </x:row>
    <x:row r="187" ht="34" customHeight="1">
      <x:c r="A187" s="34" t="str">
        <x:v>☐</x:v>
      </x:c>
      <x:c r="B187" s="34" t="str">
        <x:v>MI-1463</x:v>
      </x:c>
      <x:c r="C187" s="34" t="str">
        <x:v>M1 — فرد، پایه‌های عملکرد و خودشناسی</x:v>
      </x:c>
      <x:c r="D187" s="34" t="str">
        <x:v>H4</x:v>
      </x:c>
      <x:c r="E187" s="34" t="str">
        <x:v>رهبری، ارتباطات و مهارت‌های نرم</x:v>
      </x:c>
      <x:c r="F187" s="34" t="str">
        <x:v>P1</x:v>
      </x:c>
      <x:c r="G187" s="34" t="str">
        <x:v>مهارت/یادگیری</x:v>
      </x:c>
      <x:c r="H187" s="39" t="str">
        <x:v>ارتباطات: فن بیان، ارایه مطلب، مذاکره، گوش دادن فعال.</x:v>
      </x:c>
      <x:c r="I187" s="39" t="str">
        <x:v>سه‌ماهه اول؛ فقط متصل به پروژه واقعی</x:v>
      </x:c>
      <x:c r="J187" s="39" t="str">
        <x:v>کوچ رهبری/ارتباطات</x:v>
      </x:c>
      <x:c r="K187" s="39" t="str"/>
      <x:c r="L187" s="39" t="str">
        <x:v>AP:P1372</x:v>
      </x:c>
      <x:c r="M187" s="39" t="str"/>
      <x:c r="N187" s="39" t="str">
        <x:v>نسخه پایه ۳۱۵۰</x:v>
      </x:c>
    </x:row>
    <x:row r="188" ht="34" customHeight="1">
      <x:c r="A188" s="34" t="str">
        <x:v>☐</x:v>
      </x:c>
      <x:c r="B188" s="34" t="str">
        <x:v>MI-1485</x:v>
      </x:c>
      <x:c r="C188" s="34" t="str">
        <x:v>M1 — فرد، پایه‌های عملکرد و خودشناسی</x:v>
      </x:c>
      <x:c r="D188" s="34" t="str">
        <x:v>H4</x:v>
      </x:c>
      <x:c r="E188" s="34" t="str">
        <x:v>رهبری، ارتباطات و مهارت‌های نرم</x:v>
      </x:c>
      <x:c r="F188" s="34" t="str">
        <x:v>P1</x:v>
      </x:c>
      <x:c r="G188" s="34" t="str">
        <x:v>مهارت/یادگیری</x:v>
      </x:c>
      <x:c r="H188" s="39" t="str">
        <x:v>شبکه سازی و امنیت:</x:v>
      </x:c>
      <x:c r="I188" s="39" t="str">
        <x:v>سه‌ماهه اول؛ فقط متصل به پروژه واقعی</x:v>
      </x:c>
      <x:c r="J188" s="39" t="str">
        <x:v>کوچ رهبری/ارتباطات</x:v>
      </x:c>
      <x:c r="K188" s="39" t="str"/>
      <x:c r="L188" s="39" t="str">
        <x:v>AP:P1426</x:v>
      </x:c>
      <x:c r="M188" s="39" t="str"/>
      <x:c r="N188" s="39" t="str">
        <x:v>نسخه پایه ۳۱۵۰</x:v>
      </x:c>
    </x:row>
    <x:row r="189" ht="34" customHeight="1">
      <x:c r="A189" s="34" t="str">
        <x:v>☐</x:v>
      </x:c>
      <x:c r="B189" s="34" t="str">
        <x:v>MI-3086</x:v>
      </x:c>
      <x:c r="C189" s="34" t="str">
        <x:v>M1 — فرد، پایه‌های عملکرد و خودشناسی</x:v>
      </x:c>
      <x:c r="D189" s="34" t="str">
        <x:v>H4</x:v>
      </x:c>
      <x:c r="E189" s="34" t="str">
        <x:v>رهبری، ارتباطات و مهارت‌های نرم</x:v>
      </x:c>
      <x:c r="F189" s="34" t="str">
        <x:v>P1</x:v>
      </x:c>
      <x:c r="G189" s="34" t="str">
        <x:v>مهارت/یادگیری</x:v>
      </x:c>
      <x:c r="H189" s="39" t="str">
        <x:v>به دوره کاشف در رابطه با عارضه یابی و تحقیقات بازار و اقتصادی رفتم و شرکت کردم به دوره فن بیان رفتم</x:v>
      </x:c>
      <x:c r="I189" s="39" t="str">
        <x:v>سه‌ماهه اول؛ فقط متصل به پروژه واقعی</x:v>
      </x:c>
      <x:c r="J189" s="39" t="str">
        <x:v>کوچ رهبری/ارتباطات</x:v>
      </x:c>
      <x:c r="K189" s="39" t="str"/>
      <x:c r="L189" s="39" t="str">
        <x:v>INT:T23 R2</x:v>
      </x:c>
      <x:c r="M189" s="39" t="str"/>
      <x:c r="N189" s="39" t="str">
        <x:v>نسخه پایه ۳۱۵۰</x:v>
      </x:c>
    </x:row>
    <x:row r="190" ht="34" customHeight="1">
      <x:c r="A190" s="34" t="str">
        <x:v>☐</x:v>
      </x:c>
      <x:c r="B190" s="34" t="str">
        <x:v>MI-0004</x:v>
      </x:c>
      <x:c r="C190" s="34" t="str">
        <x:v>M1 — فرد، پایه‌های عملکرد و خودشناسی</x:v>
      </x:c>
      <x:c r="D190" s="34" t="str">
        <x:v>H4</x:v>
      </x:c>
      <x:c r="E190" s="34" t="str">
        <x:v>رهبری، ارتباطات و مهارت‌های نرم</x:v>
      </x:c>
      <x:c r="F190" s="34" t="str">
        <x:v>P1</x:v>
      </x:c>
      <x:c r="G190" s="34" t="str">
        <x:v>هدف/موضوع</x:v>
      </x:c>
      <x:c r="H190" s="39" t="str">
        <x:v>اصول تیم سازی تخصصی</x:v>
      </x:c>
      <x:c r="I190" s="39" t="str">
        <x:v>سه‌ماهه اول؛ فقط متصل به پروژه واقعی</x:v>
      </x:c>
      <x:c r="J190" s="39" t="str">
        <x:v>کوچ رهبری/ارتباطات</x:v>
      </x:c>
      <x:c r="K190" s="39" t="str"/>
      <x:c r="L190" s="39" t="str">
        <x:v>PL:R5</x:v>
      </x:c>
      <x:c r="M190" s="39" t="str"/>
      <x:c r="N190" s="39" t="str">
        <x:v>نسخه پایه ۳۱۵۰</x:v>
      </x:c>
    </x:row>
    <x:row r="191" ht="34" customHeight="1">
      <x:c r="A191" s="34" t="str">
        <x:v>☐</x:v>
      </x:c>
      <x:c r="B191" s="34" t="str">
        <x:v>MI-0139</x:v>
      </x:c>
      <x:c r="C191" s="34" t="str">
        <x:v>M1 — فرد، پایه‌های عملکرد و خودشناسی</x:v>
      </x:c>
      <x:c r="D191" s="34" t="str">
        <x:v>H4</x:v>
      </x:c>
      <x:c r="E191" s="34" t="str">
        <x:v>رهبری، ارتباطات و مهارت‌های نرم</x:v>
      </x:c>
      <x:c r="F191" s="34" t="str">
        <x:v>P1</x:v>
      </x:c>
      <x:c r="G191" s="34" t="str">
        <x:v>هدف/موضوع</x:v>
      </x:c>
      <x:c r="H191" s="39" t="str">
        <x:v>گویندگی</x:v>
      </x:c>
      <x:c r="I191" s="39" t="str">
        <x:v>سه‌ماهه اول؛ فقط متصل به پروژه واقعی</x:v>
      </x:c>
      <x:c r="J191" s="39" t="str">
        <x:v>کوچ رهبری/ارتباطات</x:v>
      </x:c>
      <x:c r="K191" s="39" t="str"/>
      <x:c r="L191" s="39" t="str">
        <x:v>PL:R141</x:v>
      </x:c>
      <x:c r="M191" s="39" t="str"/>
      <x:c r="N191" s="39" t="str">
        <x:v>نسخه پایه ۳۱۵۰</x:v>
      </x:c>
    </x:row>
    <x:row r="192" ht="34" customHeight="1">
      <x:c r="A192" s="34" t="str">
        <x:v>☐</x:v>
      </x:c>
      <x:c r="B192" s="34" t="str">
        <x:v>MI-0185</x:v>
      </x:c>
      <x:c r="C192" s="34" t="str">
        <x:v>M1 — فرد، پایه‌های عملکرد و خودشناسی</x:v>
      </x:c>
      <x:c r="D192" s="34" t="str">
        <x:v>H4</x:v>
      </x:c>
      <x:c r="E192" s="34" t="str">
        <x:v>رهبری، ارتباطات و مهارت‌های نرم</x:v>
      </x:c>
      <x:c r="F192" s="34" t="str">
        <x:v>P1</x:v>
      </x:c>
      <x:c r="G192" s="34" t="str">
        <x:v>هدف/موضوع</x:v>
      </x:c>
      <x:c r="H192" s="39" t="str">
        <x:v>اصول مذاکره</x:v>
      </x:c>
      <x:c r="I192" s="39" t="str">
        <x:v>سه‌ماهه اول؛ فقط متصل به پروژه واقعی</x:v>
      </x:c>
      <x:c r="J192" s="39" t="str">
        <x:v>کوچ رهبری/ارتباطات</x:v>
      </x:c>
      <x:c r="K192" s="39" t="str"/>
      <x:c r="L192" s="39" t="str">
        <x:v>PL:R190</x:v>
      </x:c>
      <x:c r="M192" s="39" t="str"/>
      <x:c r="N192" s="39" t="str">
        <x:v>نسخه پایه ۳۱۵۰</x:v>
      </x:c>
    </x:row>
    <x:row r="193" ht="34" customHeight="1">
      <x:c r="A193" s="34" t="str">
        <x:v>☐</x:v>
      </x:c>
      <x:c r="B193" s="34" t="str">
        <x:v>MI-0222</x:v>
      </x:c>
      <x:c r="C193" s="34" t="str">
        <x:v>M1 — فرد، پایه‌های عملکرد و خودشناسی</x:v>
      </x:c>
      <x:c r="D193" s="34" t="str">
        <x:v>H4</x:v>
      </x:c>
      <x:c r="E193" s="34" t="str">
        <x:v>رهبری، ارتباطات و مهارت‌های نرم</x:v>
      </x:c>
      <x:c r="F193" s="34" t="str">
        <x:v>P1</x:v>
      </x:c>
      <x:c r="G193" s="34" t="str">
        <x:v>هدف/موضوع</x:v>
      </x:c>
      <x:c r="H193" s="39" t="str">
        <x:v>فعالیتهای اجتماعی و ارتباطی</x:v>
      </x:c>
      <x:c r="I193" s="39" t="str">
        <x:v>سه‌ماهه اول؛ فقط متصل به پروژه واقعی</x:v>
      </x:c>
      <x:c r="J193" s="39" t="str">
        <x:v>کوچ رهبری/ارتباطات</x:v>
      </x:c>
      <x:c r="K193" s="39" t="str"/>
      <x:c r="L193" s="39" t="str">
        <x:v>PL:R349</x:v>
      </x:c>
      <x:c r="M193" s="39" t="str"/>
      <x:c r="N193" s="39" t="str">
        <x:v>نسخه پایه ۳۱۵۰</x:v>
      </x:c>
    </x:row>
    <x:row r="194" ht="34" customHeight="1">
      <x:c r="A194" s="34" t="str">
        <x:v>☐</x:v>
      </x:c>
      <x:c r="B194" s="34" t="str">
        <x:v>MI-0242</x:v>
      </x:c>
      <x:c r="C194" s="34" t="str">
        <x:v>M1 — فرد، پایه‌های عملکرد و خودشناسی</x:v>
      </x:c>
      <x:c r="D194" s="34" t="str">
        <x:v>H4</x:v>
      </x:c>
      <x:c r="E194" s="34" t="str">
        <x:v>رهبری، ارتباطات و مهارت‌های نرم</x:v>
      </x:c>
      <x:c r="F194" s="34" t="str">
        <x:v>P1</x:v>
      </x:c>
      <x:c r="G194" s="34" t="str">
        <x:v>هدف/موضوع</x:v>
      </x:c>
      <x:c r="H194" s="39" t="str">
        <x:v>چالش های تربیت و ارایه راهکار</x:v>
      </x:c>
      <x:c r="I194" s="39" t="str">
        <x:v>سه‌ماهه اول؛ فقط متصل به پروژه واقعی</x:v>
      </x:c>
      <x:c r="J194" s="39" t="str">
        <x:v>کوچ رهبری/ارتباطات</x:v>
      </x:c>
      <x:c r="K194" s="39" t="str"/>
      <x:c r="L194" s="39" t="str">
        <x:v>AP:P13</x:v>
      </x:c>
      <x:c r="M194" s="39" t="str"/>
      <x:c r="N194" s="39" t="str">
        <x:v>نسخه پایه ۳۱۵۰</x:v>
      </x:c>
    </x:row>
    <x:row r="195" ht="34" customHeight="1">
      <x:c r="A195" s="34" t="str">
        <x:v>☐</x:v>
      </x:c>
      <x:c r="B195" s="34" t="str">
        <x:v>MI-0243</x:v>
      </x:c>
      <x:c r="C195" s="34" t="str">
        <x:v>M1 — فرد، پایه‌های عملکرد و خودشناسی</x:v>
      </x:c>
      <x:c r="D195" s="34" t="str">
        <x:v>H4</x:v>
      </x:c>
      <x:c r="E195" s="34" t="str">
        <x:v>رهبری، ارتباطات و مهارت‌های نرم</x:v>
      </x:c>
      <x:c r="F195" s="34" t="str">
        <x:v>P1</x:v>
      </x:c>
      <x:c r="G195" s="34" t="str">
        <x:v>هدف/موضوع</x:v>
      </x:c>
      <x:c r="H195" s="39" t="str">
        <x:v>چالش های مساجد و ارایه راهکار</x:v>
      </x:c>
      <x:c r="I195" s="39" t="str">
        <x:v>سه‌ماهه اول؛ فقط متصل به پروژه واقعی</x:v>
      </x:c>
      <x:c r="J195" s="39" t="str">
        <x:v>کوچ رهبری/ارتباطات</x:v>
      </x:c>
      <x:c r="K195" s="39" t="str"/>
      <x:c r="L195" s="39" t="str">
        <x:v>AP:P14</x:v>
      </x:c>
      <x:c r="M195" s="39" t="str"/>
      <x:c r="N195" s="39" t="str">
        <x:v>نسخه پایه ۳۱۵۰</x:v>
      </x:c>
    </x:row>
    <x:row r="196" ht="34" customHeight="1">
      <x:c r="A196" s="34" t="str">
        <x:v>☐</x:v>
      </x:c>
      <x:c r="B196" s="34" t="str">
        <x:v>MI-0610</x:v>
      </x:c>
      <x:c r="C196" s="34" t="str">
        <x:v>M1 — فرد، پایه‌های عملکرد و خودشناسی</x:v>
      </x:c>
      <x:c r="D196" s="34" t="str">
        <x:v>H4</x:v>
      </x:c>
      <x:c r="E196" s="34" t="str">
        <x:v>رهبری، ارتباطات و مهارت‌های نرم</x:v>
      </x:c>
      <x:c r="F196" s="34" t="str">
        <x:v>P1</x:v>
      </x:c>
      <x:c r="G196" s="34" t="str">
        <x:v>هدف/موضوع</x:v>
      </x:c>
      <x:c r="H196" s="39" t="str">
        <x:v>روابط عمومی دانشگاه</x:v>
      </x:c>
      <x:c r="I196" s="39" t="str">
        <x:v>سه‌ماهه اول؛ فقط متصل به پروژه واقعی</x:v>
      </x:c>
      <x:c r="J196" s="39" t="str">
        <x:v>کوچ رهبری/ارتباطات</x:v>
      </x:c>
      <x:c r="K196" s="39" t="str"/>
      <x:c r="L196" s="39" t="str">
        <x:v>AP:P396</x:v>
      </x:c>
      <x:c r="M196" s="39" t="str"/>
      <x:c r="N196" s="39" t="str">
        <x:v>نسخه پایه ۳۱۵۰</x:v>
      </x:c>
    </x:row>
    <x:row r="197" ht="34" customHeight="1">
      <x:c r="A197" s="34" t="str">
        <x:v>☐</x:v>
      </x:c>
      <x:c r="B197" s="34" t="str">
        <x:v>MI-0613</x:v>
      </x:c>
      <x:c r="C197" s="34" t="str">
        <x:v>M1 — فرد، پایه‌های عملکرد و خودشناسی</x:v>
      </x:c>
      <x:c r="D197" s="34" t="str">
        <x:v>H4</x:v>
      </x:c>
      <x:c r="E197" s="34" t="str">
        <x:v>رهبری، ارتباطات و مهارت‌های نرم</x:v>
      </x:c>
      <x:c r="F197" s="34" t="str">
        <x:v>P1</x:v>
      </x:c>
      <x:c r="G197" s="34" t="str">
        <x:v>هدف/موضوع</x:v>
      </x:c>
      <x:c r="H197" s="39" t="str">
        <x:v>نحوه اطلاع رسانی در شرایط بحرانی</x:v>
      </x:c>
      <x:c r="I197" s="39" t="str">
        <x:v>سه‌ماهه اول؛ فقط متصل به پروژه واقعی</x:v>
      </x:c>
      <x:c r="J197" s="39" t="str">
        <x:v>کوچ رهبری/ارتباطات</x:v>
      </x:c>
      <x:c r="K197" s="39" t="str"/>
      <x:c r="L197" s="39" t="str">
        <x:v>AP:P399</x:v>
      </x:c>
      <x:c r="M197" s="39" t="str"/>
      <x:c r="N197" s="39" t="str">
        <x:v>نسخه پایه ۳۱۵۰</x:v>
      </x:c>
    </x:row>
    <x:row r="198" ht="34" customHeight="1">
      <x:c r="A198" s="34" t="str">
        <x:v>☐</x:v>
      </x:c>
      <x:c r="B198" s="34" t="str">
        <x:v>MI-0615</x:v>
      </x:c>
      <x:c r="C198" s="34" t="str">
        <x:v>M1 — فرد، پایه‌های عملکرد و خودشناسی</x:v>
      </x:c>
      <x:c r="D198" s="34" t="str">
        <x:v>H4</x:v>
      </x:c>
      <x:c r="E198" s="34" t="str">
        <x:v>رهبری، ارتباطات و مهارت‌های نرم</x:v>
      </x:c>
      <x:c r="F198" s="34" t="str">
        <x:v>P1</x:v>
      </x:c>
      <x:c r="G198" s="34" t="str">
        <x:v>هدف/موضوع</x:v>
      </x:c>
      <x:c r="H198" s="39" t="str">
        <x:v>ضبط و پخش کلیپ مصاحبه و گزارش از وضعیت دانشگاه و پخش در شبکه استانی یا زیرنویس کردن در شبکه استانی</x:v>
      </x:c>
      <x:c r="I198" s="39" t="str">
        <x:v>سه‌ماهه اول؛ فقط متصل به پروژه واقعی</x:v>
      </x:c>
      <x:c r="J198" s="39" t="str">
        <x:v>کوچ رهبری/ارتباطات</x:v>
      </x:c>
      <x:c r="K198" s="39" t="str"/>
      <x:c r="L198" s="39" t="str">
        <x:v>AP:P401</x:v>
      </x:c>
      <x:c r="M198" s="39" t="str"/>
      <x:c r="N198" s="39" t="str">
        <x:v>نسخه پایه ۳۱۵۰</x:v>
      </x:c>
    </x:row>
    <x:row r="199" ht="34" customHeight="1">
      <x:c r="A199" s="34" t="str">
        <x:v>☐</x:v>
      </x:c>
      <x:c r="B199" s="34" t="str">
        <x:v>MI-0617</x:v>
      </x:c>
      <x:c r="C199" s="34" t="str">
        <x:v>M1 — فرد، پایه‌های عملکرد و خودشناسی</x:v>
      </x:c>
      <x:c r="D199" s="34" t="str">
        <x:v>H4</x:v>
      </x:c>
      <x:c r="E199" s="34" t="str">
        <x:v>رهبری، ارتباطات و مهارت‌های نرم</x:v>
      </x:c>
      <x:c r="F199" s="34" t="str">
        <x:v>P1</x:v>
      </x:c>
      <x:c r="G199" s="34" t="str">
        <x:v>هدف/موضوع</x:v>
      </x:c>
      <x:c r="H199" s="39" t="str">
        <x:v>تجهیز اتاق استودیو برای ضبط</x:v>
      </x:c>
      <x:c r="I199" s="39" t="str">
        <x:v>سه‌ماهه اول؛ فقط متصل به پروژه واقعی</x:v>
      </x:c>
      <x:c r="J199" s="39" t="str">
        <x:v>کوچ رهبری/ارتباطات</x:v>
      </x:c>
      <x:c r="K199" s="39" t="str"/>
      <x:c r="L199" s="39" t="str">
        <x:v>AP:P404</x:v>
      </x:c>
      <x:c r="M199" s="39" t="str"/>
      <x:c r="N199" s="39" t="str">
        <x:v>نسخه پایه ۳۱۵۰</x:v>
      </x:c>
    </x:row>
    <x:row r="200" ht="34" customHeight="1">
      <x:c r="A200" s="34" t="str">
        <x:v>☐</x:v>
      </x:c>
      <x:c r="B200" s="34" t="str">
        <x:v>MI-0620</x:v>
      </x:c>
      <x:c r="C200" s="34" t="str">
        <x:v>M1 — فرد، پایه‌های عملکرد و خودشناسی</x:v>
      </x:c>
      <x:c r="D200" s="34" t="str">
        <x:v>H4</x:v>
      </x:c>
      <x:c r="E200" s="34" t="str">
        <x:v>رهبری، ارتباطات و مهارت‌های نرم</x:v>
      </x:c>
      <x:c r="F200" s="34" t="str">
        <x:v>P1</x:v>
      </x:c>
      <x:c r="G200" s="34" t="str">
        <x:v>هدف/موضوع</x:v>
      </x:c>
      <x:c r="H200" s="39" t="str">
        <x:v>بیمه تجهیزات الکترونیکی مثل لپ تاپ</x:v>
      </x:c>
      <x:c r="I200" s="39" t="str">
        <x:v>سه‌ماهه اول؛ فقط متصل به پروژه واقعی</x:v>
      </x:c>
      <x:c r="J200" s="39" t="str">
        <x:v>کوچ رهبری/ارتباطات</x:v>
      </x:c>
      <x:c r="K200" s="39" t="str"/>
      <x:c r="L200" s="39" t="str">
        <x:v>AP:P407</x:v>
      </x:c>
      <x:c r="M200" s="39" t="str"/>
      <x:c r="N200" s="39" t="str">
        <x:v>نسخه پایه ۳۱۵۰</x:v>
      </x:c>
    </x:row>
    <x:row r="201" ht="34" customHeight="1">
      <x:c r="A201" s="34" t="str">
        <x:v>☐</x:v>
      </x:c>
      <x:c r="B201" s="34" t="str">
        <x:v>MI-0637</x:v>
      </x:c>
      <x:c r="C201" s="34" t="str">
        <x:v>M1 — فرد، پایه‌های عملکرد و خودشناسی</x:v>
      </x:c>
      <x:c r="D201" s="34" t="str">
        <x:v>H4</x:v>
      </x:c>
      <x:c r="E201" s="34" t="str">
        <x:v>رهبری، ارتباطات و مهارت‌های نرم</x:v>
      </x:c>
      <x:c r="F201" s="34" t="str">
        <x:v>P1</x:v>
      </x:c>
      <x:c r="G201" s="34" t="str">
        <x:v>هدف/موضوع</x:v>
      </x:c>
      <x:c r="H201" s="39" t="str">
        <x:v>روابط عمومی و رسانه</x:v>
      </x:c>
      <x:c r="I201" s="39" t="str">
        <x:v>سه‌ماهه اول؛ فقط متصل به پروژه واقعی</x:v>
      </x:c>
      <x:c r="J201" s="39" t="str">
        <x:v>کوچ رهبری/ارتباطات</x:v>
      </x:c>
      <x:c r="K201" s="39" t="str"/>
      <x:c r="L201" s="39" t="str">
        <x:v>AP:P424</x:v>
      </x:c>
      <x:c r="M201" s="39" t="str"/>
      <x:c r="N201" s="39" t="str">
        <x:v>نسخه پایه ۳۱۵۰</x:v>
      </x:c>
    </x:row>
    <x:row r="202" ht="34" customHeight="1">
      <x:c r="A202" s="34" t="str">
        <x:v>☐</x:v>
      </x:c>
      <x:c r="B202" s="34" t="str">
        <x:v>MI-0638</x:v>
      </x:c>
      <x:c r="C202" s="34" t="str">
        <x:v>M1 — فرد، پایه‌های عملکرد و خودشناسی</x:v>
      </x:c>
      <x:c r="D202" s="34" t="str">
        <x:v>H4</x:v>
      </x:c>
      <x:c r="E202" s="34" t="str">
        <x:v>رهبری، ارتباطات و مهارت‌های نرم</x:v>
      </x:c>
      <x:c r="F202" s="34" t="str">
        <x:v>P1</x:v>
      </x:c>
      <x:c r="G202" s="34" t="str">
        <x:v>هدف/موضوع</x:v>
      </x:c>
      <x:c r="H202" s="39" t="str">
        <x:v>تولید فیلم و کلیپ از بازدید و ...</x:v>
      </x:c>
      <x:c r="I202" s="39" t="str">
        <x:v>سه‌ماهه اول؛ فقط متصل به پروژه واقعی</x:v>
      </x:c>
      <x:c r="J202" s="39" t="str">
        <x:v>کوچ رهبری/ارتباطات</x:v>
      </x:c>
      <x:c r="K202" s="39" t="str"/>
      <x:c r="L202" s="39" t="str">
        <x:v>AP:P425</x:v>
      </x:c>
      <x:c r="M202" s="39" t="str"/>
      <x:c r="N202" s="39" t="str">
        <x:v>نسخه پایه ۳۱۵۰</x:v>
      </x:c>
    </x:row>
    <x:row r="203" ht="34" customHeight="1">
      <x:c r="A203" s="34" t="str">
        <x:v>☐</x:v>
      </x:c>
      <x:c r="B203" s="34" t="str">
        <x:v>MI-0640</x:v>
      </x:c>
      <x:c r="C203" s="34" t="str">
        <x:v>M1 — فرد، پایه‌های عملکرد و خودشناسی</x:v>
      </x:c>
      <x:c r="D203" s="34" t="str">
        <x:v>H4</x:v>
      </x:c>
      <x:c r="E203" s="34" t="str">
        <x:v>رهبری، ارتباطات و مهارت‌های نرم</x:v>
      </x:c>
      <x:c r="F203" s="34" t="str">
        <x:v>P1</x:v>
      </x:c>
      <x:c r="G203" s="34" t="str">
        <x:v>هدف/موضوع</x:v>
      </x:c>
      <x:c r="H203" s="39" t="str">
        <x:v>پوستر</x:v>
      </x:c>
      <x:c r="I203" s="39" t="str">
        <x:v>سه‌ماهه اول؛ فقط متصل به پروژه واقعی</x:v>
      </x:c>
      <x:c r="J203" s="39" t="str">
        <x:v>کوچ رهبری/ارتباطات</x:v>
      </x:c>
      <x:c r="K203" s="39" t="str"/>
      <x:c r="L203" s="39" t="str">
        <x:v>AP:P427</x:v>
      </x:c>
      <x:c r="M203" s="39" t="str"/>
      <x:c r="N203" s="39" t="str">
        <x:v>نسخه پایه ۳۱۵۰</x:v>
      </x:c>
    </x:row>
    <x:row r="204" ht="34" customHeight="1">
      <x:c r="A204" s="34" t="str">
        <x:v>☐</x:v>
      </x:c>
      <x:c r="B204" s="34" t="str">
        <x:v>MI-1119</x:v>
      </x:c>
      <x:c r="C204" s="34" t="str">
        <x:v>M1 — فرد، پایه‌های عملکرد و خودشناسی</x:v>
      </x:c>
      <x:c r="D204" s="34" t="str">
        <x:v>H4</x:v>
      </x:c>
      <x:c r="E204" s="34" t="str">
        <x:v>رهبری، ارتباطات و مهارت‌های نرم</x:v>
      </x:c>
      <x:c r="F204" s="34" t="str">
        <x:v>P1</x:v>
      </x:c>
      <x:c r="G204" s="34" t="str">
        <x:v>هدف/موضوع</x:v>
      </x:c>
      <x:c r="H204" s="39" t="str">
        <x:v>شبکه سازی بزرگ جهت هماهنگی با مادحین و سخنرانان، سخنوران</x:v>
      </x:c>
      <x:c r="I204" s="39" t="str">
        <x:v>سه‌ماهه اول؛ فقط متصل به پروژه واقعی</x:v>
      </x:c>
      <x:c r="J204" s="39" t="str">
        <x:v>کوچ رهبری/ارتباطات</x:v>
      </x:c>
      <x:c r="K204" s="39" t="str"/>
      <x:c r="L204" s="39" t="str">
        <x:v>AP:P967</x:v>
      </x:c>
      <x:c r="M204" s="39" t="str"/>
      <x:c r="N204" s="39" t="str">
        <x:v>نسخه پایه ۳۱۵۰</x:v>
      </x:c>
    </x:row>
    <x:row r="205" ht="34" customHeight="1">
      <x:c r="A205" s="34" t="str">
        <x:v>☐</x:v>
      </x:c>
      <x:c r="B205" s="34" t="str">
        <x:v>MI-1505</x:v>
      </x:c>
      <x:c r="C205" s="34" t="str">
        <x:v>M1 — فرد، پایه‌های عملکرد و خودشناسی</x:v>
      </x:c>
      <x:c r="D205" s="34" t="str">
        <x:v>H4</x:v>
      </x:c>
      <x:c r="E205" s="34" t="str">
        <x:v>رهبری، ارتباطات و مهارت‌های نرم</x:v>
      </x:c>
      <x:c r="F205" s="34" t="str">
        <x:v>P1</x:v>
      </x:c>
      <x:c r="G205" s="34" t="str">
        <x:v>هدف/موضوع</x:v>
      </x:c>
      <x:c r="H205" s="39" t="str">
        <x:v>کار تیمی: همکاری، همبستگی، تعامل سازنده.</x:v>
      </x:c>
      <x:c r="I205" s="39" t="str">
        <x:v>سه‌ماهه اول؛ فقط متصل به پروژه واقعی</x:v>
      </x:c>
      <x:c r="J205" s="39" t="str">
        <x:v>کوچ رهبری/ارتباطات</x:v>
      </x:c>
      <x:c r="K205" s="39" t="str"/>
      <x:c r="L205" s="39" t="str">
        <x:v>AP:P1462</x:v>
      </x:c>
      <x:c r="M205" s="39" t="str"/>
      <x:c r="N205" s="39" t="str">
        <x:v>نسخه پایه ۳۱۵۰</x:v>
      </x:c>
    </x:row>
    <x:row r="206" ht="34" customHeight="1">
      <x:c r="A206" s="34" t="str">
        <x:v>☐</x:v>
      </x:c>
      <x:c r="B206" s="34" t="str">
        <x:v>MI-1593</x:v>
      </x:c>
      <x:c r="C206" s="34" t="str">
        <x:v>M1 — فرد، پایه‌های عملکرد و خودشناسی</x:v>
      </x:c>
      <x:c r="D206" s="34" t="str">
        <x:v>H4</x:v>
      </x:c>
      <x:c r="E206" s="34" t="str">
        <x:v>رهبری، ارتباطات و مهارت‌های نرم</x:v>
      </x:c>
      <x:c r="F206" s="34" t="str">
        <x:v>P1</x:v>
      </x:c>
      <x:c r="G206" s="34" t="str">
        <x:v>هدف/موضوع</x:v>
      </x:c>
      <x:c r="H206" s="39" t="str">
        <x:v>یا خروجی های قوی یه همایش یا رویداد کارافرینین و جذب سرمایه شده که میشه معرفی بشه برای سرمایه گذاری یا تیم سازی و اجداث شرکت و پیشروی</x:v>
      </x:c>
      <x:c r="I206" s="39" t="str">
        <x:v>سه‌ماهه اول؛ فقط متصل به پروژه واقعی</x:v>
      </x:c>
      <x:c r="J206" s="39" t="str">
        <x:v>کوچ رهبری/ارتباطات</x:v>
      </x:c>
      <x:c r="K206" s="39" t="str"/>
      <x:c r="L206" s="39" t="str">
        <x:v>E112:P43؛ E112:P1823؛ E112:P2289</x:v>
      </x:c>
      <x:c r="M206" s="39" t="str"/>
      <x:c r="N206" s="39" t="str">
        <x:v>نسخه پایه ۳۱۵۰</x:v>
      </x:c>
    </x:row>
    <x:row r="207" ht="34" customHeight="1">
      <x:c r="A207" s="34" t="str">
        <x:v>☐</x:v>
      </x:c>
      <x:c r="B207" s="34" t="str">
        <x:v>MI-1741</x:v>
      </x:c>
      <x:c r="C207" s="34" t="str">
        <x:v>M1 — فرد، پایه‌های عملکرد و خودشناسی</x:v>
      </x:c>
      <x:c r="D207" s="34" t="str">
        <x:v>H4</x:v>
      </x:c>
      <x:c r="E207" s="34" t="str">
        <x:v>رهبری، ارتباطات و مهارت‌های نرم</x:v>
      </x:c>
      <x:c r="F207" s="34" t="str">
        <x:v>P1</x:v>
      </x:c>
      <x:c r="G207" s="34" t="str">
        <x:v>هدف/موضوع</x:v>
      </x:c>
      <x:c r="H207" s="39" t="str">
        <x:v>شبکه سازی</x:v>
      </x:c>
      <x:c r="I207" s="39" t="str">
        <x:v>سه‌ماهه اول؛ فقط متصل به پروژه واقعی</x:v>
      </x:c>
      <x:c r="J207" s="39" t="str">
        <x:v>کوچ رهبری/ارتباطات</x:v>
      </x:c>
      <x:c r="K207" s="39" t="str"/>
      <x:c r="L207" s="39" t="str">
        <x:v>E112:P218؛ E112:P2200؛ E112:P2714؛ E112:P2768</x:v>
      </x:c>
      <x:c r="M207" s="39" t="str"/>
      <x:c r="N207" s="39" t="str">
        <x:v>نسخه پایه ۳۱۵۰</x:v>
      </x:c>
    </x:row>
    <x:row r="208" ht="34" customHeight="1">
      <x:c r="A208" s="34" t="str">
        <x:v>☐</x:v>
      </x:c>
      <x:c r="B208" s="34" t="str">
        <x:v>MI-1944</x:v>
      </x:c>
      <x:c r="C208" s="34" t="str">
        <x:v>M1 — فرد، پایه‌های عملکرد و خودشناسی</x:v>
      </x:c>
      <x:c r="D208" s="34" t="str">
        <x:v>H4</x:v>
      </x:c>
      <x:c r="E208" s="34" t="str">
        <x:v>رهبری، ارتباطات و مهارت‌های نرم</x:v>
      </x:c>
      <x:c r="F208" s="34" t="str">
        <x:v>P1</x:v>
      </x:c>
      <x:c r="G208" s="34" t="str">
        <x:v>هدف/موضوع</x:v>
      </x:c>
      <x:c r="H208" s="39" t="str">
        <x:v>این ها بستر گردش ارتباطات هستند.</x:v>
      </x:c>
      <x:c r="I208" s="39" t="str">
        <x:v>سه‌ماهه اول؛ فقط متصل به پروژه واقعی</x:v>
      </x:c>
      <x:c r="J208" s="39" t="str">
        <x:v>کوچ رهبری/ارتباطات</x:v>
      </x:c>
      <x:c r="K208" s="39" t="str"/>
      <x:c r="L208" s="39" t="str">
        <x:v>E112:P558</x:v>
      </x:c>
      <x:c r="M208" s="39" t="str"/>
      <x:c r="N208" s="39" t="str">
        <x:v>نسخه پایه ۳۱۵۰</x:v>
      </x:c>
    </x:row>
    <x:row r="209" ht="34" customHeight="1">
      <x:c r="A209" s="34" t="str">
        <x:v>☐</x:v>
      </x:c>
      <x:c r="B209" s="34" t="str">
        <x:v>MI-2286</x:v>
      </x:c>
      <x:c r="C209" s="34" t="str">
        <x:v>M1 — فرد، پایه‌های عملکرد و خودشناسی</x:v>
      </x:c>
      <x:c r="D209" s="34" t="str">
        <x:v>H4</x:v>
      </x:c>
      <x:c r="E209" s="34" t="str">
        <x:v>رهبری، ارتباطات و مهارت‌های نرم</x:v>
      </x:c>
      <x:c r="F209" s="34" t="str">
        <x:v>P1</x:v>
      </x:c>
      <x:c r="G209" s="34" t="str">
        <x:v>هدف/موضوع</x:v>
      </x:c>
      <x:c r="H209" s="39" t="str">
        <x:v>دقیقاً با چه کسانی باید ارتباط بگیری</x:v>
      </x:c>
      <x:c r="I209" s="39" t="str">
        <x:v>سه‌ماهه اول؛ فقط متصل به پروژه واقعی</x:v>
      </x:c>
      <x:c r="J209" s="39" t="str">
        <x:v>کوچ رهبری/ارتباطات</x:v>
      </x:c>
      <x:c r="K209" s="39" t="str"/>
      <x:c r="L209" s="39" t="str">
        <x:v>E112:P1243</x:v>
      </x:c>
      <x:c r="M209" s="39" t="str"/>
      <x:c r="N209" s="39" t="str">
        <x:v>نسخه پایه ۳۱۵۰</x:v>
      </x:c>
    </x:row>
    <x:row r="210" ht="34" customHeight="1">
      <x:c r="A210" s="34" t="str">
        <x:v>☐</x:v>
      </x:c>
      <x:c r="B210" s="34" t="str">
        <x:v>MI-2496</x:v>
      </x:c>
      <x:c r="C210" s="34" t="str">
        <x:v>M1 — فرد، پایه‌های عملکرد و خودشناسی</x:v>
      </x:c>
      <x:c r="D210" s="34" t="str">
        <x:v>H4</x:v>
      </x:c>
      <x:c r="E210" s="34" t="str">
        <x:v>رهبری، ارتباطات و مهارت‌های نرم</x:v>
      </x:c>
      <x:c r="F210" s="34" t="str">
        <x:v>P1</x:v>
      </x:c>
      <x:c r="G210" s="34" t="str">
        <x:v>هدف/موضوع</x:v>
      </x:c>
      <x:c r="H210" s="39" t="str">
        <x:v>تیم سازی</x:v>
      </x:c>
      <x:c r="I210" s="39" t="str">
        <x:v>سه‌ماهه اول؛ فقط متصل به پروژه واقعی</x:v>
      </x:c>
      <x:c r="J210" s="39" t="str">
        <x:v>کوچ رهبری/ارتباطات</x:v>
      </x:c>
      <x:c r="K210" s="39" t="str"/>
      <x:c r="L210" s="39" t="str">
        <x:v>E112:P1996؛ E112:P2033؛ E112:P2216؛ E112:P2520؛ E112:P2582؛ E112:P3172</x:v>
      </x:c>
      <x:c r="M210" s="39" t="str"/>
      <x:c r="N210" s="39" t="str">
        <x:v>نسخه پایه ۳۱۵۰</x:v>
      </x:c>
    </x:row>
    <x:row r="211" ht="34" customHeight="1">
      <x:c r="A211" s="34" t="str">
        <x:v>☐</x:v>
      </x:c>
      <x:c r="B211" s="34" t="str">
        <x:v>MI-2498</x:v>
      </x:c>
      <x:c r="C211" s="34" t="str">
        <x:v>M1 — فرد، پایه‌های عملکرد و خودشناسی</x:v>
      </x:c>
      <x:c r="D211" s="34" t="str">
        <x:v>H4</x:v>
      </x:c>
      <x:c r="E211" s="34" t="str">
        <x:v>رهبری، ارتباطات و مهارت‌های نرم</x:v>
      </x:c>
      <x:c r="F211" s="34" t="str">
        <x:v>P1</x:v>
      </x:c>
      <x:c r="G211" s="34" t="str">
        <x:v>هدف/موضوع</x:v>
      </x:c>
      <x:c r="H211" s="39" t="str">
        <x:v>ارتباطات</x:v>
      </x:c>
      <x:c r="I211" s="39" t="str">
        <x:v>سه‌ماهه اول؛ فقط متصل به پروژه واقعی</x:v>
      </x:c>
      <x:c r="J211" s="39" t="str">
        <x:v>کوچ رهبری/ارتباطات</x:v>
      </x:c>
      <x:c r="K211" s="39" t="str"/>
      <x:c r="L211" s="39" t="str">
        <x:v>E112:P1998؛ E112:P2977</x:v>
      </x:c>
      <x:c r="M211" s="39" t="str"/>
      <x:c r="N211" s="39" t="str">
        <x:v>نسخه پایه ۳۱۵۰</x:v>
      </x:c>
    </x:row>
    <x:row r="212" ht="34" customHeight="1">
      <x:c r="A212" s="34" t="str">
        <x:v>☐</x:v>
      </x:c>
      <x:c r="B212" s="34" t="str">
        <x:v>MI-2500</x:v>
      </x:c>
      <x:c r="C212" s="34" t="str">
        <x:v>M1 — فرد، پایه‌های عملکرد و خودشناسی</x:v>
      </x:c>
      <x:c r="D212" s="34" t="str">
        <x:v>H4</x:v>
      </x:c>
      <x:c r="E212" s="34" t="str">
        <x:v>رهبری، ارتباطات و مهارت‌های نرم</x:v>
      </x:c>
      <x:c r="F212" s="34" t="str">
        <x:v>P1</x:v>
      </x:c>
      <x:c r="G212" s="34" t="str">
        <x:v>هدف/موضوع</x:v>
      </x:c>
      <x:c r="H212" s="39" t="str">
        <x:v>مذاکره</x:v>
      </x:c>
      <x:c r="I212" s="39" t="str">
        <x:v>سه‌ماهه اول؛ فقط متصل به پروژه واقعی</x:v>
      </x:c>
      <x:c r="J212" s="39" t="str">
        <x:v>کوچ رهبری/ارتباطات</x:v>
      </x:c>
      <x:c r="K212" s="39" t="str"/>
      <x:c r="L212" s="39" t="str">
        <x:v>E112:P2001؛ E112:P2532؛ E112:P2978</x:v>
      </x:c>
      <x:c r="M212" s="39" t="str"/>
      <x:c r="N212" s="39" t="str">
        <x:v>نسخه پایه ۳۱۵۰</x:v>
      </x:c>
    </x:row>
    <x:row r="213" ht="34" customHeight="1">
      <x:c r="A213" s="34" t="str">
        <x:v>☐</x:v>
      </x:c>
      <x:c r="B213" s="34" t="str">
        <x:v>MI-2512</x:v>
      </x:c>
      <x:c r="C213" s="34" t="str">
        <x:v>M1 — فرد، پایه‌های عملکرد و خودشناسی</x:v>
      </x:c>
      <x:c r="D213" s="34" t="str">
        <x:v>H4</x:v>
      </x:c>
      <x:c r="E213" s="34" t="str">
        <x:v>رهبری، ارتباطات و مهارت‌های نرم</x:v>
      </x:c>
      <x:c r="F213" s="34" t="str">
        <x:v>P1</x:v>
      </x:c>
      <x:c r="G213" s="34" t="str">
        <x:v>هدف/موضوع</x:v>
      </x:c>
      <x:c r="H213" s="39" t="str">
        <x:v>4. مراکز نوآوری و تیم سازی</x:v>
      </x:c>
      <x:c r="I213" s="39" t="str">
        <x:v>سه‌ماهه اول؛ فقط متصل به پروژه واقعی</x:v>
      </x:c>
      <x:c r="J213" s="39" t="str">
        <x:v>کوچ رهبری/ارتباطات</x:v>
      </x:c>
      <x:c r="K213" s="39" t="str"/>
      <x:c r="L213" s="39" t="str">
        <x:v>E112:P2023؛ E112:P2576؛ E112:P3203</x:v>
      </x:c>
      <x:c r="M213" s="39" t="str"/>
      <x:c r="N213" s="39" t="str">
        <x:v>نسخه پایه ۳۱۵۰</x:v>
      </x:c>
    </x:row>
    <x:row r="214" ht="34" customHeight="1">
      <x:c r="A214" s="34" t="str">
        <x:v>☐</x:v>
      </x:c>
      <x:c r="B214" s="34" t="str">
        <x:v>MI-2643</x:v>
      </x:c>
      <x:c r="C214" s="34" t="str">
        <x:v>M1 — فرد، پایه‌های عملکرد و خودشناسی</x:v>
      </x:c>
      <x:c r="D214" s="34" t="str">
        <x:v>H4</x:v>
      </x:c>
      <x:c r="E214" s="34" t="str">
        <x:v>رهبری، ارتباطات و مهارت‌های نرم</x:v>
      </x:c>
      <x:c r="F214" s="34" t="str">
        <x:v>P1</x:v>
      </x:c>
      <x:c r="G214" s="34" t="str">
        <x:v>هدف/موضوع</x:v>
      </x:c>
      <x:c r="H214" s="39" t="str">
        <x:v>ارتباطات حرفه ای</x:v>
      </x:c>
      <x:c r="I214" s="39" t="str">
        <x:v>سه‌ماهه اول؛ فقط متصل به پروژه واقعی</x:v>
      </x:c>
      <x:c r="J214" s="39" t="str">
        <x:v>کوچ رهبری/ارتباطات</x:v>
      </x:c>
      <x:c r="K214" s="39" t="str"/>
      <x:c r="L214" s="39" t="str">
        <x:v>E112:P2524</x:v>
      </x:c>
      <x:c r="M214" s="39" t="str"/>
      <x:c r="N214" s="39" t="str">
        <x:v>نسخه پایه ۳۱۵۰</x:v>
      </x:c>
    </x:row>
    <x:row r="215" ht="34" customHeight="1">
      <x:c r="A215" s="34" t="str">
        <x:v>☐</x:v>
      </x:c>
      <x:c r="B215" s="34" t="str">
        <x:v>MI-2685</x:v>
      </x:c>
      <x:c r="C215" s="34" t="str">
        <x:v>M1 — فرد، پایه‌های عملکرد و خودشناسی</x:v>
      </x:c>
      <x:c r="D215" s="34" t="str">
        <x:v>H4</x:v>
      </x:c>
      <x:c r="E215" s="34" t="str">
        <x:v>رهبری، ارتباطات و مهارت‌های نرم</x:v>
      </x:c>
      <x:c r="F215" s="34" t="str">
        <x:v>P1</x:v>
      </x:c>
      <x:c r="G215" s="34" t="str">
        <x:v>هدف/موضوع</x:v>
      </x:c>
      <x:c r="H215" s="39" t="str">
        <x:v>شبکه سازی گسترده</x:v>
      </x:c>
      <x:c r="I215" s="39" t="str">
        <x:v>سه‌ماهه اول؛ فقط متصل به پروژه واقعی</x:v>
      </x:c>
      <x:c r="J215" s="39" t="str">
        <x:v>کوچ رهبری/ارتباطات</x:v>
      </x:c>
      <x:c r="K215" s="39" t="str"/>
      <x:c r="L215" s="39" t="str">
        <x:v>E112:P2648</x:v>
      </x:c>
      <x:c r="M215" s="39" t="str"/>
      <x:c r="N215" s="39" t="str">
        <x:v>نسخه پایه ۳۱۵۰</x:v>
      </x:c>
    </x:row>
    <x:row r="216" ht="34" customHeight="1">
      <x:c r="A216" s="34" t="str">
        <x:v>☐</x:v>
      </x:c>
      <x:c r="B216" s="34" t="str">
        <x:v>MI-2713</x:v>
      </x:c>
      <x:c r="C216" s="34" t="str">
        <x:v>M1 — فرد، پایه‌های عملکرد و خودشناسی</x:v>
      </x:c>
      <x:c r="D216" s="34" t="str">
        <x:v>H4</x:v>
      </x:c>
      <x:c r="E216" s="34" t="str">
        <x:v>رهبری، ارتباطات و مهارت‌های نرم</x:v>
      </x:c>
      <x:c r="F216" s="34" t="str">
        <x:v>P1</x:v>
      </x:c>
      <x:c r="G216" s="34" t="str">
        <x:v>هدف/موضوع</x:v>
      </x:c>
      <x:c r="H216" s="39" t="str">
        <x:v>تعامل</x:v>
      </x:c>
      <x:c r="I216" s="39" t="str">
        <x:v>سه‌ماهه اول؛ فقط متصل به پروژه واقعی</x:v>
      </x:c>
      <x:c r="J216" s="39" t="str">
        <x:v>کوچ رهبری/ارتباطات</x:v>
      </x:c>
      <x:c r="K216" s="39" t="str"/>
      <x:c r="L216" s="39" t="str">
        <x:v>E112:P2712</x:v>
      </x:c>
      <x:c r="M216" s="39" t="str"/>
      <x:c r="N216" s="39" t="str">
        <x:v>نسخه پایه ۳۱۵۰</x:v>
      </x:c>
    </x:row>
    <x:row r="217" ht="34" customHeight="1">
      <x:c r="A217" s="34" t="str">
        <x:v>☐</x:v>
      </x:c>
      <x:c r="B217" s="34" t="str">
        <x:v>MI-2821</x:v>
      </x:c>
      <x:c r="C217" s="34" t="str">
        <x:v>M1 — فرد، پایه‌های عملکرد و خودشناسی</x:v>
      </x:c>
      <x:c r="D217" s="34" t="str">
        <x:v>H4</x:v>
      </x:c>
      <x:c r="E217" s="34" t="str">
        <x:v>رهبری، ارتباطات و مهارت‌های نرم</x:v>
      </x:c>
      <x:c r="F217" s="34" t="str">
        <x:v>P1</x:v>
      </x:c>
      <x:c r="G217" s="34" t="str">
        <x:v>هدف/موضوع</x:v>
      </x:c>
      <x:c r="H217" s="39" t="str">
        <x:v>لایه 4 — تیم سازی و نوآوری</x:v>
      </x:c>
      <x:c r="I217" s="39" t="str">
        <x:v>سه‌ماهه اول؛ فقط متصل به پروژه واقعی</x:v>
      </x:c>
      <x:c r="J217" s="39" t="str">
        <x:v>کوچ رهبری/ارتباطات</x:v>
      </x:c>
      <x:c r="K217" s="39" t="str"/>
      <x:c r="L217" s="39" t="str">
        <x:v>E112:P3000</x:v>
      </x:c>
      <x:c r="M217" s="39" t="str"/>
      <x:c r="N217" s="39" t="str">
        <x:v>نسخه پایه ۳۱۵۰</x:v>
      </x:c>
    </x:row>
    <x:row r="218" ht="34" customHeight="1">
      <x:c r="A218" s="34" t="str">
        <x:v>☐</x:v>
      </x:c>
      <x:c r="B218" s="34" t="str">
        <x:v>MI-2904</x:v>
      </x:c>
      <x:c r="C218" s="34" t="str">
        <x:v>M1 — فرد، پایه‌های عملکرد و خودشناسی</x:v>
      </x:c>
      <x:c r="D218" s="34" t="str">
        <x:v>H4</x:v>
      </x:c>
      <x:c r="E218" s="34" t="str">
        <x:v>رهبری، ارتباطات و مهارت‌های نرم</x:v>
      </x:c>
      <x:c r="F218" s="34" t="str">
        <x:v>P1</x:v>
      </x:c>
      <x:c r="G218" s="34" t="str">
        <x:v>هدف/موضوع</x:v>
      </x:c>
      <x:c r="H218" s="39" t="str">
        <x:v>ارتباط بین این بخش ها را مشخص کنی.</x:v>
      </x:c>
      <x:c r="I218" s="39" t="str">
        <x:v>سه‌ماهه اول؛ فقط متصل به پروژه واقعی</x:v>
      </x:c>
      <x:c r="J218" s="39" t="str">
        <x:v>کوچ رهبری/ارتباطات</x:v>
      </x:c>
      <x:c r="K218" s="39" t="str"/>
      <x:c r="L218" s="39" t="str">
        <x:v>E112:P3253</x:v>
      </x:c>
      <x:c r="M218" s="39" t="str"/>
      <x:c r="N218" s="39" t="str">
        <x:v>نسخه پایه ۳۱۵۰</x:v>
      </x:c>
    </x:row>
    <x:row r="219" ht="34" customHeight="1">
      <x:c r="A219" s="34" t="str">
        <x:v>☐</x:v>
      </x:c>
      <x:c r="B219" s="34" t="str">
        <x:v>MI-2911</x:v>
      </x:c>
      <x:c r="C219" s="34" t="str">
        <x:v>M1 — فرد، پایه‌های عملکرد و خودشناسی</x:v>
      </x:c>
      <x:c r="D219" s="34" t="str">
        <x:v>H4</x:v>
      </x:c>
      <x:c r="E219" s="34" t="str">
        <x:v>رهبری، ارتباطات و مهارت‌های نرم</x:v>
      </x:c>
      <x:c r="F219" s="34" t="str">
        <x:v>P1</x:v>
      </x:c>
      <x:c r="G219" s="34" t="str">
        <x:v>هدف/موضوع</x:v>
      </x:c>
      <x:c r="H219" s="39" t="str">
        <x:v>واحد تیم سازی و نوآوری</x:v>
      </x:c>
      <x:c r="I219" s="39" t="str">
        <x:v>سه‌ماهه اول؛ فقط متصل به پروژه واقعی</x:v>
      </x:c>
      <x:c r="J219" s="39" t="str">
        <x:v>کوچ رهبری/ارتباطات</x:v>
      </x:c>
      <x:c r="K219" s="39" t="str"/>
      <x:c r="L219" s="39" t="str">
        <x:v>E112:P3262</x:v>
      </x:c>
      <x:c r="M219" s="39" t="str"/>
      <x:c r="N219" s="39" t="str">
        <x:v>نسخه پایه ۳۱۵۰</x:v>
      </x:c>
    </x:row>
    <x:row r="220" ht="34" customHeight="1">
      <x:c r="A220" s="34" t="str">
        <x:v>☐</x:v>
      </x:c>
      <x:c r="B220" s="34" t="str">
        <x:v>MI-2914</x:v>
      </x:c>
      <x:c r="C220" s="34" t="str">
        <x:v>M1 — فرد، پایه‌های عملکرد و خودشناسی</x:v>
      </x:c>
      <x:c r="D220" s="34" t="str">
        <x:v>H4</x:v>
      </x:c>
      <x:c r="E220" s="34" t="str">
        <x:v>رهبری، ارتباطات و مهارت‌های نرم</x:v>
      </x:c>
      <x:c r="F220" s="34" t="str">
        <x:v>P1</x:v>
      </x:c>
      <x:c r="G220" s="34" t="str">
        <x:v>هدف/موضوع</x:v>
      </x:c>
      <x:c r="H220" s="39" t="str">
        <x:v>واحد شبکه سازی و رویدادها</x:v>
      </x:c>
      <x:c r="I220" s="39" t="str">
        <x:v>سه‌ماهه اول؛ فقط متصل به پروژه واقعی</x:v>
      </x:c>
      <x:c r="J220" s="39" t="str">
        <x:v>کوچ رهبری/ارتباطات</x:v>
      </x:c>
      <x:c r="K220" s="39" t="str"/>
      <x:c r="L220" s="39" t="str">
        <x:v>E112:P3265</x:v>
      </x:c>
      <x:c r="M220" s="39" t="str"/>
      <x:c r="N220" s="39" t="str">
        <x:v>نسخه پایه ۳۱۵۰</x:v>
      </x:c>
    </x:row>
    <x:row r="221" ht="34" customHeight="1">
      <x:c r="A221" s="34" t="str">
        <x:v>☐</x:v>
      </x:c>
      <x:c r="B221" s="34" t="str">
        <x:v>MI-2967</x:v>
      </x:c>
      <x:c r="C221" s="34" t="str">
        <x:v>M1 — فرد، پایه‌های عملکرد و خودشناسی</x:v>
      </x:c>
      <x:c r="D221" s="34" t="str">
        <x:v>H4</x:v>
      </x:c>
      <x:c r="E221" s="34" t="str">
        <x:v>رهبری، ارتباطات و مهارت‌های نرم</x:v>
      </x:c>
      <x:c r="F221" s="34" t="str">
        <x:v>P1</x:v>
      </x:c>
      <x:c r="G221" s="34" t="str">
        <x:v>هدف/موضوع</x:v>
      </x:c>
      <x:c r="H221" s="39" t="str">
        <x:v>واحد 3 — سیستم تیم سازی و نوآوری</x:v>
      </x:c>
      <x:c r="I221" s="39" t="str">
        <x:v>سه‌ماهه اول؛ فقط متصل به پروژه واقعی</x:v>
      </x:c>
      <x:c r="J221" s="39" t="str">
        <x:v>کوچ رهبری/ارتباطات</x:v>
      </x:c>
      <x:c r="K221" s="39" t="str"/>
      <x:c r="L221" s="39" t="str">
        <x:v>E112:P3377</x:v>
      </x:c>
      <x:c r="M221" s="39" t="str"/>
      <x:c r="N221" s="39" t="str">
        <x:v>نسخه پایه ۳۱۵۰</x:v>
      </x:c>
    </x:row>
    <x:row r="222" ht="34" customHeight="1">
      <x:c r="A222" s="34" t="str">
        <x:v>☐</x:v>
      </x:c>
      <x:c r="B222" s="34" t="str">
        <x:v>MI-1577</x:v>
      </x:c>
      <x:c r="C222" s="34" t="str">
        <x:v>M1 — فرد، پایه‌های عملکرد و خودشناسی</x:v>
      </x:c>
      <x:c r="D222" s="34" t="str">
        <x:v>H4</x:v>
      </x:c>
      <x:c r="E222" s="34" t="str">
        <x:v>رهبری، ارتباطات و مهارت‌های نرم</x:v>
      </x:c>
      <x:c r="F222" s="34" t="str">
        <x:v>P1</x:v>
      </x:c>
      <x:c r="G222" s="34" t="str">
        <x:v>یادداشت/تحلیل</x:v>
      </x:c>
      <x:c r="H222" s="39" t="str">
        <x:v>یه سری لینک هستند یا پل های ارتباطی مثل سمن های حوزه اشتغال زایی جوانان زیر نظر وزارت ورزش و جوانان که میشه از بدنه جوانان بالا بیاد و اهرم قدرت ما برای بعضی موارد باشه که در سطح سیاست گذاری میخواد پیش بره یا در سطح حقوقی خودش و یا یه شبکه سازی خوب از جوانان در بحص پایش و کنترل هوشمند و جهت دهی شغلی اونها</x:v>
      </x:c>
      <x:c r="I222" s="39" t="str">
        <x:v>سه‌ماهه اول؛ فقط متصل به پروژه واقعی</x:v>
      </x:c>
      <x:c r="J222" s="39" t="str">
        <x:v>کوچ رهبری/ارتباطات</x:v>
      </x:c>
      <x:c r="K222" s="39" t="str"/>
      <x:c r="L222" s="39" t="str">
        <x:v>E112:P11؛ E112:P1791؛ E112:P2257</x:v>
      </x:c>
      <x:c r="M222" s="39" t="str"/>
      <x:c r="N222" s="39" t="str">
        <x:v>نسخه پایه ۳۱۵۰</x:v>
      </x:c>
    </x:row>
    <x:row r="223" ht="34" customHeight="1">
      <x:c r="A223" s="34" t="str">
        <x:v>☐</x:v>
      </x:c>
      <x:c r="B223" s="34" t="str">
        <x:v>N115-0044</x:v>
      </x:c>
      <x:c r="C223" s="34" t="str">
        <x:v>M1 — فرد، پایه‌های عملکرد و خودشناسی</x:v>
      </x:c>
      <x:c r="D223" s="34" t="str">
        <x:v>H4</x:v>
      </x:c>
      <x:c r="E223" s="34" t="str">
        <x:v>رهبری، ارتباطات و مهارت‌های نرم</x:v>
      </x:c>
      <x:c r="F223" s="34" t="str">
        <x:v>P2</x:v>
      </x:c>
      <x:c r="G223" s="34" t="str">
        <x:v>مهارت/یادگیری</x:v>
      </x:c>
      <x:c r="H223" s="39" t="str">
        <x:v>رهبری در آشوب و مدیریت سیستم‌های پیچیده</x:v>
      </x:c>
      <x:c r="I223" s="39" t="str">
        <x:v>یادگیری پس از تثبیت P0/P1</x:v>
      </x:c>
      <x:c r="J223" s="39" t="str">
        <x:v>کوچ رهبری/ارتباطات</x:v>
      </x:c>
      <x:c r="K223" s="39" t="str">
        <x:v>رهبری</x:v>
      </x:c>
      <x:c r="L223" s="39" t="str">
        <x:v>115:P1625</x:v>
      </x:c>
      <x:c r="M223" s="39" t="str"/>
      <x:c r="N223" s="39" t="str">
        <x:v>1154878548.docx / ممیزی جدید</x:v>
      </x:c>
    </x:row>
    <x:row r="224" ht="34" customHeight="1">
      <x:c r="A224" s="34" t="str">
        <x:v>☐</x:v>
      </x:c>
      <x:c r="B224" s="34" t="str">
        <x:v>MI-3068</x:v>
      </x:c>
      <x:c r="C224" s="34" t="str">
        <x:v>M1 — فرد، پایه‌های عملکرد و خودشناسی</x:v>
      </x:c>
      <x:c r="D224" s="34" t="str">
        <x:v>H4</x:v>
      </x:c>
      <x:c r="E224" s="34" t="str">
        <x:v>رهبری، ارتباطات و مهارت‌های نرم</x:v>
      </x:c>
      <x:c r="F224" s="34" t="str">
        <x:v>BANK</x:v>
      </x:c>
      <x:c r="G224" s="34" t="str">
        <x:v>مطالعه/منبع</x:v>
      </x:c>
      <x:c r="H224" s="39" t="str">
        <x:v>بدون تعصب نگاه کنیم ، افرادی که در جایگاه های بالاتر کشوری مشغول به خدمت بودند را بسیار قبول دارم، مثلا شخص مقام معظم رهبری شهید که تقریبا در همه ابعاد مشغول به مطالعه ،تفکر و تلاش در راستای همسو سازی سایرین در این زمنیه ها بودند، سیاست گذاری های به جا، سطح ارتباط اجتماعی با تمامی قشر ها، مدیریت مناسب شرایط ، سطح معنویت بسیار بالا ، قاطع و برنده در تصمیم گیری، پیشرفت پله به پله ، مطالعه بسیار بالا در مواردی که اقتضای شرایط بوده و یا در زمنیه های تصمیم گیری یا سخنوری بسیار تاثیر گذار هستند ، اهل شعر و شاعری و استفاده از ضرب المثل ها یا داستان هایی که تببین بهتر مسیله ای را در بر دارد یا به فضای جلسات رنگ و بویی دیگر میدهد، سحرخیزی، مقبولیت اجتماعی ، آینده نگری بسیار دقیق ، سطح روابط خانوادگی ، حمایت از جامعه علمی نخبگان، حمایت از خواصی که در جهات مختلف حاضر به تلاش برای بهبود شرایط عده ای هستن اما بروکراسی ها آن ها را دچار فرسایش کرده است و از باب ایشان و سطح روابطشان بتوانند پیش بروند، در مدت زمانی، میدانی بودن ایشان و رصد فضای حاکم بر آن شرایط به صورت حضوری که نیز ، آن فاصلهِ مسیولیتی با جامعه را کم میکند. رصد فعالیت های مختلف و شرایط داخلی، رصد فضای خارجی کشور ، سطوح مختلف تاثیر گذاری بر جوامع بین المللی ، برخوردار از سطوح بالای دیپلماسی، زبان بدن، سخنوری خاص، خارج از چهارچوب مقتضی فکر کردن، دید همزمان کلی و جزیی نسبت به مسایل مختلف کسب تجارب لازم به واسطه مطالبی که مطالعه میکنند، مباحثات ، اجلاس ، اقشار مختلف ، فرهنگ های مختلف، مقام و مسیولیت هایی چون ریاست جمهوری ، خطیب نماز جمعه ، مدرس حوزه و .... که هرکدام راهبری و کمک به نگاه و تصمیم گیری و سیاست گذاری در سطح کلان و در مقام بالاتر یعنی رهبری می انجامد .</x:v>
      </x:c>
      <x:c r="I224" s="39" t="str">
        <x:v>بانک مطالعه؛ سقف زمانی</x:v>
      </x:c>
      <x:c r="J224" s="39" t="str">
        <x:v>کوچ رهبری/ارتباطات</x:v>
      </x:c>
      <x:c r="K224" s="39" t="str"/>
      <x:c r="L224" s="39" t="str">
        <x:v>INT:T10 R2</x:v>
      </x:c>
      <x:c r="M224" s="39" t="str"/>
      <x:c r="N224" s="39" t="str">
        <x:v>نسخه پایه ۳۱۵۰</x:v>
      </x:c>
    </x:row>
    <x:row r="225" ht="34" customHeight="1">
      <x:c r="A225" s="34" t="str">
        <x:v>☐</x:v>
      </x:c>
      <x:c r="B225" s="34" t="str">
        <x:v>MI-1225</x:v>
      </x:c>
      <x:c r="C225" s="34" t="str">
        <x:v>M1 — فرد، پایه‌های عملکرد و خودشناسی</x:v>
      </x:c>
      <x:c r="D225" s="34" t="str">
        <x:v>H5</x:v>
      </x:c>
      <x:c r="E225" s="34" t="str">
        <x:v>زبان‌ها و ارتباط بین‌الملل</x:v>
      </x:c>
      <x:c r="F225" s="34" t="str">
        <x:v>P1</x:v>
      </x:c>
      <x:c r="G225" s="34" t="str">
        <x:v>پروژه/طرح</x:v>
      </x:c>
      <x:c r="H225" s="39" t="str">
        <x:v>طراحی برنامه گفتگوی فارسی و عربی عراقی</x:v>
      </x:c>
      <x:c r="I225" s="39" t="str">
        <x:v>سه‌ماهه اول؛ فقط متصل به پروژه واقعی</x:v>
      </x:c>
      <x:c r="J225" s="39" t="str">
        <x:v>مربی زبان + منتور ارتباط بین‌الملل</x:v>
      </x:c>
      <x:c r="K225" s="39" t="str"/>
      <x:c r="L225" s="39" t="str">
        <x:v>AP:P1089</x:v>
      </x:c>
      <x:c r="M225" s="39" t="str"/>
      <x:c r="N225" s="39" t="str">
        <x:v>نسخه پایه ۳۱۵۰</x:v>
      </x:c>
    </x:row>
    <x:row r="226" ht="34" customHeight="1">
      <x:c r="A226" s="34" t="str">
        <x:v>☐</x:v>
      </x:c>
      <x:c r="B226" s="34" t="str">
        <x:v>MI-0063</x:v>
      </x:c>
      <x:c r="C226" s="34" t="str">
        <x:v>M1 — فرد، پایه‌های عملکرد و خودشناسی</x:v>
      </x:c>
      <x:c r="D226" s="34" t="str">
        <x:v>H5</x:v>
      </x:c>
      <x:c r="E226" s="34" t="str">
        <x:v>زبان‌ها و ارتباط بین‌الملل</x:v>
      </x:c>
      <x:c r="F226" s="34" t="str">
        <x:v>P1</x:v>
      </x:c>
      <x:c r="G226" s="34" t="str">
        <x:v>مهارت/یادگیری</x:v>
      </x:c>
      <x:c r="H226" s="39" t="str">
        <x:v>یادگیری ترکی استانبولی</x:v>
      </x:c>
      <x:c r="I226" s="39" t="str">
        <x:v>سه‌ماهه اول؛ فقط متصل به پروژه واقعی</x:v>
      </x:c>
      <x:c r="J226" s="39" t="str">
        <x:v>مربی زبان + منتور ارتباط بین‌الملل</x:v>
      </x:c>
      <x:c r="K226" s="39" t="str"/>
      <x:c r="L226" s="39" t="str">
        <x:v>PL:R64؛ AP:P1389</x:v>
      </x:c>
      <x:c r="M226" s="39" t="str"/>
      <x:c r="N226" s="39" t="str">
        <x:v>نسخه پایه ۳۱۵۰</x:v>
      </x:c>
    </x:row>
    <x:row r="227" ht="34" customHeight="1">
      <x:c r="A227" s="34" t="str">
        <x:v>☐</x:v>
      </x:c>
      <x:c r="B227" s="34" t="str">
        <x:v>MI-0204</x:v>
      </x:c>
      <x:c r="C227" s="34" t="str">
        <x:v>M1 — فرد، پایه‌های عملکرد و خودشناسی</x:v>
      </x:c>
      <x:c r="D227" s="34" t="str">
        <x:v>H5</x:v>
      </x:c>
      <x:c r="E227" s="34" t="str">
        <x:v>زبان‌ها و ارتباط بین‌الملل</x:v>
      </x:c>
      <x:c r="F227" s="34" t="str">
        <x:v>P1</x:v>
      </x:c>
      <x:c r="G227" s="34" t="str">
        <x:v>مهارت/یادگیری</x:v>
      </x:c>
      <x:c r="H227" s="39" t="str">
        <x:v>آموزش زبان انگلیسی</x:v>
      </x:c>
      <x:c r="I227" s="39" t="str">
        <x:v>سه‌ماهه اول؛ فقط متصل به پروژه واقعی</x:v>
      </x:c>
      <x:c r="J227" s="39" t="str">
        <x:v>مربی زبان + منتور ارتباط بین‌الملل</x:v>
      </x:c>
      <x:c r="K227" s="39" t="str"/>
      <x:c r="L227" s="39" t="str">
        <x:v>PL:R247</x:v>
      </x:c>
      <x:c r="M227" s="39" t="str"/>
      <x:c r="N227" s="39" t="str">
        <x:v>نسخه پایه ۳۱۵۰</x:v>
      </x:c>
    </x:row>
    <x:row r="228" ht="34" customHeight="1">
      <x:c r="A228" s="34" t="str">
        <x:v>☐</x:v>
      </x:c>
      <x:c r="B228" s="34" t="str">
        <x:v>MI-0028</x:v>
      </x:c>
      <x:c r="C228" s="34" t="str">
        <x:v>M1 — فرد، پایه‌های عملکرد و خودشناسی</x:v>
      </x:c>
      <x:c r="D228" s="34" t="str">
        <x:v>H5</x:v>
      </x:c>
      <x:c r="E228" s="34" t="str">
        <x:v>زبان‌ها و ارتباط بین‌الملل</x:v>
      </x:c>
      <x:c r="F228" s="34" t="str">
        <x:v>P1</x:v>
      </x:c>
      <x:c r="G228" s="34" t="str">
        <x:v>هدف/موضوع</x:v>
      </x:c>
      <x:c r="H228" s="39" t="str">
        <x:v>تایپ ده انگشتی انگلیسی</x:v>
      </x:c>
      <x:c r="I228" s="39" t="str">
        <x:v>سه‌ماهه اول؛ فقط متصل به پروژه واقعی</x:v>
      </x:c>
      <x:c r="J228" s="39" t="str">
        <x:v>مربی زبان + منتور ارتباط بین‌الملل</x:v>
      </x:c>
      <x:c r="K228" s="39" t="str"/>
      <x:c r="L228" s="39" t="str">
        <x:v>PL:R29</x:v>
      </x:c>
      <x:c r="M228" s="39" t="str"/>
      <x:c r="N228" s="39" t="str">
        <x:v>نسخه پایه ۳۱۵۰</x:v>
      </x:c>
    </x:row>
    <x:row r="229" ht="34" customHeight="1">
      <x:c r="A229" s="34" t="str">
        <x:v>☐</x:v>
      </x:c>
      <x:c r="B229" s="34" t="str">
        <x:v>MI-3082</x:v>
      </x:c>
      <x:c r="C229" s="34" t="str">
        <x:v>M1 — فرد، پایه‌های عملکرد و خودشناسی</x:v>
      </x:c>
      <x:c r="D229" s="34" t="str">
        <x:v>H5</x:v>
      </x:c>
      <x:c r="E229" s="34" t="str">
        <x:v>زبان‌ها و ارتباط بین‌الملل</x:v>
      </x:c>
      <x:c r="F229" s="34" t="str">
        <x:v>P1</x:v>
      </x:c>
      <x:c r="G229" s="34" t="str">
        <x:v>هدف/موضوع</x:v>
      </x:c>
      <x:c r="H229" s="39" t="str">
        <x:v>به زبان انگلیسی در حد معمولی به زبان لری متوسط (: به عربی هم خیییلی دست و پا شکسته</x:v>
      </x:c>
      <x:c r="I229" s="39" t="str">
        <x:v>سه‌ماهه اول؛ فقط متصل به پروژه واقعی</x:v>
      </x:c>
      <x:c r="J229" s="39" t="str">
        <x:v>مربی زبان + منتور ارتباط بین‌الملل</x:v>
      </x:c>
      <x:c r="K229" s="39" t="str"/>
      <x:c r="L229" s="39" t="str">
        <x:v>INT:T19 R2</x:v>
      </x:c>
      <x:c r="M229" s="39" t="str"/>
      <x:c r="N229" s="39" t="str">
        <x:v>نسخه پایه ۳۱۵۰</x:v>
      </x:c>
    </x:row>
    <x:row r="230" ht="34" customHeight="1">
      <x:c r="A230" s="34" t="str">
        <x:v>☐</x:v>
      </x:c>
      <x:c r="B230" s="34" t="str">
        <x:v>N115-0052</x:v>
      </x:c>
      <x:c r="C230" s="34" t="str">
        <x:v>M2 — تحصیل، مسیر شغلی و توانمندی حرفه‌ای</x:v>
      </x:c>
      <x:c r="D230" s="34" t="str">
        <x:v>H6</x:v>
      </x:c>
      <x:c r="E230" s="34" t="str">
        <x:v>مهندسی مکانیک، صنایع و مهارت‌های فنی</x:v>
      </x:c>
      <x:c r="F230" s="34" t="str">
        <x:v>P1</x:v>
      </x:c>
      <x:c r="G230" s="34" t="str">
        <x:v>مهارت/یادگیری</x:v>
      </x:c>
      <x:c r="H230" s="39" t="str">
        <x:v>CATIA</x:v>
      </x:c>
      <x:c r="I230" s="39" t="str">
        <x:v>فقط در صورت انتخاب عمق طراحی مکانیکی/پروژه واقعی</x:v>
      </x:c>
      <x:c r="J230" s="39" t="str">
        <x:v>منتور مکانیک/صنایع</x:v>
      </x:c>
      <x:c r="K230" s="39" t="str">
        <x:v>CAD/CAM</x:v>
      </x:c>
      <x:c r="L230" s="39" t="str">
        <x:v>115:P1723</x:v>
      </x:c>
      <x:c r="M230" s="39" t="str"/>
      <x:c r="N230" s="39" t="str">
        <x:v>1154878548.docx / ممیزی جدید</x:v>
      </x:c>
    </x:row>
    <x:row r="231" ht="34" customHeight="1">
      <x:c r="A231" s="34" t="str">
        <x:v>☐</x:v>
      </x:c>
      <x:c r="B231" s="34" t="str">
        <x:v>MI-0388</x:v>
      </x:c>
      <x:c r="C231" s="34" t="str">
        <x:v>M2 — تحصیل، مسیر شغلی و توانمندی حرفه‌ای</x:v>
      </x:c>
      <x:c r="D231" s="34" t="str">
        <x:v>H6</x:v>
      </x:c>
      <x:c r="E231" s="34" t="str">
        <x:v>مهندسی مکانیک، صنایع و مهارت‌های فنی</x:v>
      </x:c>
      <x:c r="F231" s="34" t="str">
        <x:v>BANK</x:v>
      </x:c>
      <x:c r="G231" s="34" t="str">
        <x:v>مطالعه/منبع</x:v>
      </x:c>
      <x:c r="H231" s="39" t="str">
        <x:v>صنایع سیستم</x:v>
      </x:c>
      <x:c r="I231" s="39" t="str">
        <x:v>بانک مطالعه؛ سقف زمانی</x:v>
      </x:c>
      <x:c r="J231" s="39" t="str">
        <x:v>منتور مکانیک/صنایع</x:v>
      </x:c>
      <x:c r="K231" s="39" t="str"/>
      <x:c r="L231" s="39" t="str">
        <x:v>AP:P171</x:v>
      </x:c>
      <x:c r="M231" s="39" t="str"/>
      <x:c r="N231" s="39" t="str">
        <x:v>نسخه پایه ۳۱۵۰</x:v>
      </x:c>
    </x:row>
    <x:row r="232" ht="34" customHeight="1">
      <x:c r="A232" s="34" t="str">
        <x:v>☐</x:v>
      </x:c>
      <x:c r="B232" s="34" t="str">
        <x:v>MI-0126</x:v>
      </x:c>
      <x:c r="C232" s="34" t="str">
        <x:v>M2 — تحصیل، مسیر شغلی و توانمندی حرفه‌ای</x:v>
      </x:c>
      <x:c r="D232" s="34" t="str">
        <x:v>H6</x:v>
      </x:c>
      <x:c r="E232" s="34" t="str">
        <x:v>مهندسی مکانیک، صنایع و مهارت‌های فنی</x:v>
      </x:c>
      <x:c r="F232" s="34" t="str">
        <x:v>P3/CLARIFY</x:v>
      </x:c>
      <x:c r="G232" s="34" t="str">
        <x:v>اقدام اجرایی</x:v>
      </x:c>
      <x:c r="H232" s="39" t="str">
        <x:v>برنامه ریزی تولید</x:v>
      </x:c>
      <x:c r="I232" s="39" t="str">
        <x:v>نیازمند تعریف خروجی یا پارک</x:v>
      </x:c>
      <x:c r="J232" s="39" t="str">
        <x:v>منتور مکانیک/صنایع</x:v>
      </x:c>
      <x:c r="K232" s="39" t="str"/>
      <x:c r="L232" s="39" t="str">
        <x:v>PL:R128</x:v>
      </x:c>
      <x:c r="M232" s="39" t="str"/>
      <x:c r="N232" s="39" t="str">
        <x:v>نسخه پایه ۳۱۵۰</x:v>
      </x:c>
    </x:row>
    <x:row r="233" ht="34" customHeight="1">
      <x:c r="A233" s="34" t="str">
        <x:v>☐</x:v>
      </x:c>
      <x:c r="B233" s="34" t="str">
        <x:v>MI-0102</x:v>
      </x:c>
      <x:c r="C233" s="34" t="str">
        <x:v>M2 — تحصیل، مسیر شغلی و توانمندی حرفه‌ای</x:v>
      </x:c>
      <x:c r="D233" s="34" t="str">
        <x:v>H6</x:v>
      </x:c>
      <x:c r="E233" s="34" t="str">
        <x:v>مهندسی مکانیک، صنایع و مهارت‌های فنی</x:v>
      </x:c>
      <x:c r="F233" s="34" t="str">
        <x:v>P3/CLARIFY</x:v>
      </x:c>
      <x:c r="G233" s="34" t="str">
        <x:v>پروژه/طرح</x:v>
      </x:c>
      <x:c r="H233" s="39" t="str">
        <x:v>مدیریت پروژه های چندمرحله ای</x:v>
      </x:c>
      <x:c r="I233" s="39" t="str">
        <x:v>نیازمند تعریف خروجی یا پارک</x:v>
      </x:c>
      <x:c r="J233" s="39" t="str">
        <x:v>منتور مکانیک/صنایع</x:v>
      </x:c>
      <x:c r="K233" s="39" t="str"/>
      <x:c r="L233" s="39" t="str">
        <x:v>PL:R104</x:v>
      </x:c>
      <x:c r="M233" s="39" t="str"/>
      <x:c r="N233" s="39" t="str">
        <x:v>نسخه پایه ۳۱۵۰</x:v>
      </x:c>
    </x:row>
    <x:row r="234" ht="34" customHeight="1">
      <x:c r="A234" s="34" t="str">
        <x:v>☐</x:v>
      </x:c>
      <x:c r="B234" s="34" t="str">
        <x:v>MI-0103</x:v>
      </x:c>
      <x:c r="C234" s="34" t="str">
        <x:v>M2 — تحصیل، مسیر شغلی و توانمندی حرفه‌ای</x:v>
      </x:c>
      <x:c r="D234" s="34" t="str">
        <x:v>H6</x:v>
      </x:c>
      <x:c r="E234" s="34" t="str">
        <x:v>مهندسی مکانیک، صنایع و مهارت‌های فنی</x:v>
      </x:c>
      <x:c r="F234" s="34" t="str">
        <x:v>P3/CLARIFY</x:v>
      </x:c>
      <x:c r="G234" s="34" t="str">
        <x:v>پروژه/طرح</x:v>
      </x:c>
      <x:c r="H234" s="39" t="str">
        <x:v>مدیریت پروژه</x:v>
      </x:c>
      <x:c r="I234" s="39" t="str">
        <x:v>نیازمند تعریف خروجی یا پارک</x:v>
      </x:c>
      <x:c r="J234" s="39" t="str">
        <x:v>منتور مکانیک/صنایع</x:v>
      </x:c>
      <x:c r="K234" s="39" t="str"/>
      <x:c r="L234" s="39" t="str">
        <x:v>PL:R105؛ PL:R202؛ AP:P1449؛ E112:P1999؛ E112:P2526؛ E112:P2979؛ E112:P3019</x:v>
      </x:c>
      <x:c r="M234" s="39" t="str"/>
      <x:c r="N234" s="39" t="str">
        <x:v>نسخه پایه ۳۱۵۰</x:v>
      </x:c>
    </x:row>
    <x:row r="235" ht="34" customHeight="1">
      <x:c r="A235" s="34" t="str">
        <x:v>☐</x:v>
      </x:c>
      <x:c r="B235" s="34" t="str">
        <x:v>MI-1207</x:v>
      </x:c>
      <x:c r="C235" s="34" t="str">
        <x:v>M2 — تحصیل، مسیر شغلی و توانمندی حرفه‌ای</x:v>
      </x:c>
      <x:c r="D235" s="34" t="str">
        <x:v>H6</x:v>
      </x:c>
      <x:c r="E235" s="34" t="str">
        <x:v>مهندسی مکانیک، صنایع و مهارت‌های فنی</x:v>
      </x:c>
      <x:c r="F235" s="34" t="str">
        <x:v>P3/CLARIFY</x:v>
      </x:c>
      <x:c r="G235" s="34" t="str">
        <x:v>پروژه/طرح</x:v>
      </x:c>
      <x:c r="H235" s="39" t="str">
        <x:v>تهویه</x:v>
      </x:c>
      <x:c r="I235" s="39" t="str">
        <x:v>نیازمند تعریف خروجی یا پارک</x:v>
      </x:c>
      <x:c r="J235" s="39" t="str">
        <x:v>منتور مکانیک/صنایع</x:v>
      </x:c>
      <x:c r="K235" s="39" t="str"/>
      <x:c r="L235" s="39" t="str">
        <x:v>AP:P1069</x:v>
      </x:c>
      <x:c r="M235" s="39" t="str"/>
      <x:c r="N235" s="39" t="str">
        <x:v>نسخه پایه ۳۱۵۰</x:v>
      </x:c>
    </x:row>
    <x:row r="236" ht="34" customHeight="1">
      <x:c r="A236" s="34" t="str">
        <x:v>☐</x:v>
      </x:c>
      <x:c r="B236" s="34" t="str">
        <x:v>MI-1208</x:v>
      </x:c>
      <x:c r="C236" s="34" t="str">
        <x:v>M2 — تحصیل، مسیر شغلی و توانمندی حرفه‌ای</x:v>
      </x:c>
      <x:c r="D236" s="34" t="str">
        <x:v>H6</x:v>
      </x:c>
      <x:c r="E236" s="34" t="str">
        <x:v>مهندسی مکانیک، صنایع و مهارت‌های فنی</x:v>
      </x:c>
      <x:c r="F236" s="34" t="str">
        <x:v>P3/CLARIFY</x:v>
      </x:c>
      <x:c r="G236" s="34" t="str">
        <x:v>پروژه/طرح</x:v>
      </x:c>
      <x:c r="H236" s="39" t="str">
        <x:v>ارتعاشات</x:v>
      </x:c>
      <x:c r="I236" s="39" t="str">
        <x:v>نیازمند تعریف خروجی یا پارک</x:v>
      </x:c>
      <x:c r="J236" s="39" t="str">
        <x:v>منتور مکانیک/صنایع</x:v>
      </x:c>
      <x:c r="K236" s="39" t="str"/>
      <x:c r="L236" s="39" t="str">
        <x:v>AP:P1070؛ AP:P1073</x:v>
      </x:c>
      <x:c r="M236" s="39" t="str"/>
      <x:c r="N236" s="39" t="str">
        <x:v>نسخه پایه ۳۱۵۰</x:v>
      </x:c>
    </x:row>
    <x:row r="237" ht="34" customHeight="1">
      <x:c r="A237" s="34" t="str">
        <x:v>☐</x:v>
      </x:c>
      <x:c r="B237" s="34" t="str">
        <x:v>MI-1210</x:v>
      </x:c>
      <x:c r="C237" s="34" t="str">
        <x:v>M2 — تحصیل، مسیر شغلی و توانمندی حرفه‌ای</x:v>
      </x:c>
      <x:c r="D237" s="34" t="str">
        <x:v>H6</x:v>
      </x:c>
      <x:c r="E237" s="34" t="str">
        <x:v>مهندسی مکانیک، صنایع و مهارت‌های فنی</x:v>
      </x:c>
      <x:c r="F237" s="34" t="str">
        <x:v>P3/CLARIFY</x:v>
      </x:c>
      <x:c r="G237" s="34" t="str">
        <x:v>پروژه/طرح</x:v>
      </x:c>
      <x:c r="H237" s="39" t="str">
        <x:v>جزوه اتومکانیک</x:v>
      </x:c>
      <x:c r="I237" s="39" t="str">
        <x:v>نیازمند تعریف خروجی یا پارک</x:v>
      </x:c>
      <x:c r="J237" s="39" t="str">
        <x:v>منتور مکانیک/صنایع</x:v>
      </x:c>
      <x:c r="K237" s="39" t="str"/>
      <x:c r="L237" s="39" t="str">
        <x:v>AP:P1072</x:v>
      </x:c>
      <x:c r="M237" s="39" t="str"/>
      <x:c r="N237" s="39" t="str">
        <x:v>نسخه پایه ۳۱۵۰</x:v>
      </x:c>
    </x:row>
    <x:row r="238" ht="34" customHeight="1">
      <x:c r="A238" s="34" t="str">
        <x:v>☐</x:v>
      </x:c>
      <x:c r="B238" s="34" t="str">
        <x:v>MI-1498</x:v>
      </x:c>
      <x:c r="C238" s="34" t="str">
        <x:v>M2 — تحصیل، مسیر شغلی و توانمندی حرفه‌ای</x:v>
      </x:c>
      <x:c r="D238" s="34" t="str">
        <x:v>H6</x:v>
      </x:c>
      <x:c r="E238" s="34" t="str">
        <x:v>مهندسی مکانیک، صنایع و مهارت‌های فنی</x:v>
      </x:c>
      <x:c r="F238" s="34" t="str">
        <x:v>P3/CLARIFY</x:v>
      </x:c>
      <x:c r="G238" s="34" t="str">
        <x:v>پروژه/طرح</x:v>
      </x:c>
      <x:c r="H238" s="39" t="str">
        <x:v>مدیریت پروژه های چند مرحله ای</x:v>
      </x:c>
      <x:c r="I238" s="39" t="str">
        <x:v>نیازمند تعریف خروجی یا پارک</x:v>
      </x:c>
      <x:c r="J238" s="39" t="str">
        <x:v>منتور مکانیک/صنایع</x:v>
      </x:c>
      <x:c r="K238" s="39" t="str"/>
      <x:c r="L238" s="39" t="str">
        <x:v>AP:P1451</x:v>
      </x:c>
      <x:c r="M238" s="39" t="str"/>
      <x:c r="N238" s="39" t="str">
        <x:v>نسخه پایه ۳۱۵۰</x:v>
      </x:c>
    </x:row>
    <x:row r="239" ht="34" customHeight="1">
      <x:c r="A239" s="34" t="str">
        <x:v>☐</x:v>
      </x:c>
      <x:c r="B239" s="34" t="str">
        <x:v>MI-1802</x:v>
      </x:c>
      <x:c r="C239" s="34" t="str">
        <x:v>M2 — تحصیل، مسیر شغلی و توانمندی حرفه‌ای</x:v>
      </x:c>
      <x:c r="D239" s="34" t="str">
        <x:v>H6</x:v>
      </x:c>
      <x:c r="E239" s="34" t="str">
        <x:v>مهندسی مکانیک، صنایع و مهارت‌های فنی</x:v>
      </x:c>
      <x:c r="F239" s="34" t="str">
        <x:v>P3/CLARIFY</x:v>
      </x:c>
      <x:c r="G239" s="34" t="str">
        <x:v>پروژه/طرح</x:v>
      </x:c>
      <x:c r="H239" s="39" t="str">
        <x:v>4. مراکز ساخت و اجرا (Builder Ecosystem)</x:v>
      </x:c>
      <x:c r="I239" s="39" t="str">
        <x:v>نیازمند تعریف خروجی یا پارک</x:v>
      </x:c>
      <x:c r="J239" s="39" t="str">
        <x:v>منتور مکانیک/صنایع</x:v>
      </x:c>
      <x:c r="K239" s="39" t="str"/>
      <x:c r="L239" s="39" t="str">
        <x:v>E112:P314</x:v>
      </x:c>
      <x:c r="M239" s="39" t="str"/>
      <x:c r="N239" s="39" t="str">
        <x:v>نسخه پایه ۳۱۵۰</x:v>
      </x:c>
    </x:row>
    <x:row r="240" ht="34" customHeight="1">
      <x:c r="A240" s="34" t="str">
        <x:v>☐</x:v>
      </x:c>
      <x:c r="B240" s="34" t="str">
        <x:v>MI-0069</x:v>
      </x:c>
      <x:c r="C240" s="34" t="str">
        <x:v>M2 — تحصیل، مسیر شغلی و توانمندی حرفه‌ای</x:v>
      </x:c>
      <x:c r="D240" s="34" t="str">
        <x:v>H6</x:v>
      </x:c>
      <x:c r="E240" s="34" t="str">
        <x:v>مهندسی مکانیک، صنایع و مهارت‌های فنی</x:v>
      </x:c>
      <x:c r="F240" s="34" t="str">
        <x:v>P3/CLARIFY</x:v>
      </x:c>
      <x:c r="G240" s="34" t="str">
        <x:v>مهارت/یادگیری</x:v>
      </x:c>
      <x:c r="H240" s="39" t="str">
        <x:v>یادگیری سالیدورک</x:v>
      </x:c>
      <x:c r="I240" s="39" t="str">
        <x:v>نیازمند تعریف خروجی یا پارک</x:v>
      </x:c>
      <x:c r="J240" s="39" t="str">
        <x:v>منتور مکانیک/صنایع</x:v>
      </x:c>
      <x:c r="K240" s="39" t="str"/>
      <x:c r="L240" s="39" t="str">
        <x:v>PL:R70</x:v>
      </x:c>
      <x:c r="M240" s="39" t="str"/>
      <x:c r="N240" s="39" t="str">
        <x:v>نسخه پایه ۳۱۵۰</x:v>
      </x:c>
    </x:row>
    <x:row r="241" ht="34" customHeight="1">
      <x:c r="A241" s="34" t="str">
        <x:v>☐</x:v>
      </x:c>
      <x:c r="B241" s="34" t="str">
        <x:v>MI-3111</x:v>
      </x:c>
      <x:c r="C241" s="34" t="str">
        <x:v>M2 — تحصیل، مسیر شغلی و توانمندی حرفه‌ای</x:v>
      </x:c>
      <x:c r="D241" s="34" t="str">
        <x:v>H6</x:v>
      </x:c>
      <x:c r="E241" s="34" t="str">
        <x:v>مهندسی مکانیک، صنایع و مهارت‌های فنی</x:v>
      </x:c>
      <x:c r="F241" s="34" t="str">
        <x:v>P3/CLARIFY</x:v>
      </x:c>
      <x:c r="G241" s="34" t="str">
        <x:v>مهارت/یادگیری</x:v>
      </x:c>
      <x:c r="H241" s="39"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I241" s="39" t="str">
        <x:v>نیازمند تعریف خروجی یا پارک</x:v>
      </x:c>
      <x:c r="J241" s="39" t="str">
        <x:v>منتور مکانیک/صنایع</x:v>
      </x:c>
      <x:c r="K241" s="39" t="str"/>
      <x:c r="L241" s="39" t="str">
        <x:v>INT:T36 R2</x:v>
      </x:c>
      <x:c r="M241" s="39" t="str"/>
      <x:c r="N241" s="39" t="str">
        <x:v>نسخه پایه ۳۱۵۰</x:v>
      </x:c>
    </x:row>
    <x:row r="242" ht="34" customHeight="1">
      <x:c r="A242" s="34" t="str">
        <x:v>☐</x:v>
      </x:c>
      <x:c r="B242" s="34" t="str">
        <x:v>MI-0099</x:v>
      </x:c>
      <x:c r="C242" s="34" t="str">
        <x:v>M2 — تحصیل، مسیر شغلی و توانمندی حرفه‌ای</x:v>
      </x:c>
      <x:c r="D242" s="34" t="str">
        <x:v>H6</x:v>
      </x:c>
      <x:c r="E242" s="34" t="str">
        <x:v>مهندسی مکانیک، صنایع و مهارت‌های فنی</x:v>
      </x:c>
      <x:c r="F242" s="34" t="str">
        <x:v>P3/CLARIFY</x:v>
      </x:c>
      <x:c r="G242" s="34" t="str">
        <x:v>هدف/موضوع</x:v>
      </x:c>
      <x:c r="H242" s="39" t="str">
        <x:v>طراحی مکانیزم</x:v>
      </x:c>
      <x:c r="I242" s="39" t="str">
        <x:v>نیازمند تعریف خروجی یا پارک</x:v>
      </x:c>
      <x:c r="J242" s="39" t="str">
        <x:v>منتور مکانیک/صنایع</x:v>
      </x:c>
      <x:c r="K242" s="39" t="str"/>
      <x:c r="L242" s="39" t="str">
        <x:v>PL:R101</x:v>
      </x:c>
      <x:c r="M242" s="39" t="str"/>
      <x:c r="N242" s="39" t="str">
        <x:v>نسخه پایه ۳۱۵۰</x:v>
      </x:c>
    </x:row>
    <x:row r="243" ht="34" customHeight="1">
      <x:c r="A243" s="34" t="str">
        <x:v>☐</x:v>
      </x:c>
      <x:c r="B243" s="34" t="str">
        <x:v>MI-0105</x:v>
      </x:c>
      <x:c r="C243" s="34" t="str">
        <x:v>M2 — تحصیل، مسیر شغلی و توانمندی حرفه‌ای</x:v>
      </x:c>
      <x:c r="D243" s="34" t="str">
        <x:v>H6</x:v>
      </x:c>
      <x:c r="E243" s="34" t="str">
        <x:v>مهندسی مکانیک، صنایع و مهارت‌های فنی</x:v>
      </x:c>
      <x:c r="F243" s="34" t="str">
        <x:v>P3/CLARIFY</x:v>
      </x:c>
      <x:c r="G243" s="34" t="str">
        <x:v>هدف/موضوع</x:v>
      </x:c>
      <x:c r="H243" s="39" t="str">
        <x:v>راهبر</x:v>
      </x:c>
      <x:c r="I243" s="39" t="str">
        <x:v>نیازمند تعریف خروجی یا پارک</x:v>
      </x:c>
      <x:c r="J243" s="39" t="str">
        <x:v>منتور مکانیک/صنایع</x:v>
      </x:c>
      <x:c r="K243" s="39" t="str"/>
      <x:c r="L243" s="39" t="str">
        <x:v>PL:R107</x:v>
      </x:c>
      <x:c r="M243" s="39" t="str"/>
      <x:c r="N243" s="39" t="str">
        <x:v>نسخه پایه ۳۱۵۰</x:v>
      </x:c>
    </x:row>
    <x:row r="244" ht="34" customHeight="1">
      <x:c r="A244" s="34" t="str">
        <x:v>☐</x:v>
      </x:c>
      <x:c r="B244" s="34" t="str">
        <x:v>MI-0106</x:v>
      </x:c>
      <x:c r="C244" s="34" t="str">
        <x:v>M2 — تحصیل، مسیر شغلی و توانمندی حرفه‌ای</x:v>
      </x:c>
      <x:c r="D244" s="34" t="str">
        <x:v>H6</x:v>
      </x:c>
      <x:c r="E244" s="34" t="str">
        <x:v>مهندسی مکانیک، صنایع و مهارت‌های فنی</x:v>
      </x:c>
      <x:c r="F244" s="34" t="str">
        <x:v>P3/CLARIFY</x:v>
      </x:c>
      <x:c r="G244" s="34" t="str">
        <x:v>هدف/موضوع</x:v>
      </x:c>
      <x:c r="H244" s="39" t="str">
        <x:v>تحلیل دینامیک سازه</x:v>
      </x:c>
      <x:c r="I244" s="39" t="str">
        <x:v>نیازمند تعریف خروجی یا پارک</x:v>
      </x:c>
      <x:c r="J244" s="39" t="str">
        <x:v>منتور مکانیک/صنایع</x:v>
      </x:c>
      <x:c r="K244" s="39" t="str"/>
      <x:c r="L244" s="39" t="str">
        <x:v>PL:R108</x:v>
      </x:c>
      <x:c r="M244" s="39" t="str"/>
      <x:c r="N244" s="39" t="str">
        <x:v>نسخه پایه ۳۱۵۰</x:v>
      </x:c>
    </x:row>
    <x:row r="245" ht="34" customHeight="1">
      <x:c r="A245" s="34" t="str">
        <x:v>☐</x:v>
      </x:c>
      <x:c r="B245" s="34" t="str">
        <x:v>MI-0108</x:v>
      </x:c>
      <x:c r="C245" s="34" t="str">
        <x:v>M2 — تحصیل، مسیر شغلی و توانمندی حرفه‌ای</x:v>
      </x:c>
      <x:c r="D245" s="34" t="str">
        <x:v>H6</x:v>
      </x:c>
      <x:c r="E245" s="34" t="str">
        <x:v>مهندسی مکانیک، صنایع و مهارت‌های فنی</x:v>
      </x:c>
      <x:c r="F245" s="34" t="str">
        <x:v>P3/CLARIFY</x:v>
      </x:c>
      <x:c r="G245" s="34" t="str">
        <x:v>هدف/موضوع</x:v>
      </x:c>
      <x:c r="H245" s="39" t="str">
        <x:v>piping</x:v>
      </x:c>
      <x:c r="I245" s="39" t="str">
        <x:v>نیازمند تعریف خروجی یا پارک</x:v>
      </x:c>
      <x:c r="J245" s="39" t="str">
        <x:v>منتور مکانیک/صنایع</x:v>
      </x:c>
      <x:c r="K245" s="39" t="str"/>
      <x:c r="L245" s="39" t="str">
        <x:v>PL:R110</x:v>
      </x:c>
      <x:c r="M245" s="39" t="str"/>
      <x:c r="N245" s="39" t="str">
        <x:v>نسخه پایه ۳۱۵۰</x:v>
      </x:c>
    </x:row>
    <x:row r="246" ht="34" customHeight="1">
      <x:c r="A246" s="34" t="str">
        <x:v>☐</x:v>
      </x:c>
      <x:c r="B246" s="34" t="str">
        <x:v>MI-0109</x:v>
      </x:c>
      <x:c r="C246" s="34" t="str">
        <x:v>M2 — تحصیل، مسیر شغلی و توانمندی حرفه‌ای</x:v>
      </x:c>
      <x:c r="D246" s="34" t="str">
        <x:v>H6</x:v>
      </x:c>
      <x:c r="E246" s="34" t="str">
        <x:v>مهندسی مکانیک، صنایع و مهارت‌های فنی</x:v>
      </x:c>
      <x:c r="F246" s="34" t="str">
        <x:v>P3/CLARIFY</x:v>
      </x:c>
      <x:c r="G246" s="34" t="str">
        <x:v>هدف/موضوع</x:v>
      </x:c>
      <x:c r="H246" s="39" t="str">
        <x:v>xps</x:v>
      </x:c>
      <x:c r="I246" s="39" t="str">
        <x:v>نیازمند تعریف خروجی یا پارک</x:v>
      </x:c>
      <x:c r="J246" s="39" t="str">
        <x:v>منتور مکانیک/صنایع</x:v>
      </x:c>
      <x:c r="K246" s="39" t="str"/>
      <x:c r="L246" s="39" t="str">
        <x:v>PL:R111</x:v>
      </x:c>
      <x:c r="M246" s="39" t="str"/>
      <x:c r="N246" s="39" t="str">
        <x:v>نسخه پایه ۳۱۵۰</x:v>
      </x:c>
    </x:row>
    <x:row r="247" ht="34" customHeight="1">
      <x:c r="A247" s="34" t="str">
        <x:v>☐</x:v>
      </x:c>
      <x:c r="B247" s="34" t="str">
        <x:v>MI-0114</x:v>
      </x:c>
      <x:c r="C247" s="34" t="str">
        <x:v>M2 — تحصیل، مسیر شغلی و توانمندی حرفه‌ای</x:v>
      </x:c>
      <x:c r="D247" s="34" t="str">
        <x:v>H6</x:v>
      </x:c>
      <x:c r="E247" s="34" t="str">
        <x:v>مهندسی مکانیک، صنایع و مهارت‌های فنی</x:v>
      </x:c>
      <x:c r="F247" s="34" t="str">
        <x:v>P3/CLARIFY</x:v>
      </x:c>
      <x:c r="G247" s="34" t="str">
        <x:v>هدف/موضوع</x:v>
      </x:c>
      <x:c r="H247" s="39" t="str">
        <x:v>zemax</x:v>
      </x:c>
      <x:c r="I247" s="39" t="str">
        <x:v>نیازمند تعریف خروجی یا پارک</x:v>
      </x:c>
      <x:c r="J247" s="39" t="str">
        <x:v>منتور مکانیک/صنایع</x:v>
      </x:c>
      <x:c r="K247" s="39" t="str"/>
      <x:c r="L247" s="39" t="str">
        <x:v>PL:R116</x:v>
      </x:c>
      <x:c r="M247" s="39" t="str"/>
      <x:c r="N247" s="39" t="str">
        <x:v>نسخه پایه ۳۱۵۰</x:v>
      </x:c>
    </x:row>
    <x:row r="248" ht="34" customHeight="1">
      <x:c r="A248" s="34" t="str">
        <x:v>☐</x:v>
      </x:c>
      <x:c r="B248" s="34" t="str">
        <x:v>MI-0115</x:v>
      </x:c>
      <x:c r="C248" s="34" t="str">
        <x:v>M2 — تحصیل، مسیر شغلی و توانمندی حرفه‌ای</x:v>
      </x:c>
      <x:c r="D248" s="34" t="str">
        <x:v>H6</x:v>
      </x:c>
      <x:c r="E248" s="34" t="str">
        <x:v>مهندسی مکانیک، صنایع و مهارت‌های فنی</x:v>
      </x:c>
      <x:c r="F248" s="34" t="str">
        <x:v>P3/CLARIFY</x:v>
      </x:c>
      <x:c r="G248" s="34" t="str">
        <x:v>هدف/موضوع</x:v>
      </x:c>
      <x:c r="H248" s="39" t="str">
        <x:v>meta shape</x:v>
      </x:c>
      <x:c r="I248" s="39" t="str">
        <x:v>نیازمند تعریف خروجی یا پارک</x:v>
      </x:c>
      <x:c r="J248" s="39" t="str">
        <x:v>منتور مکانیک/صنایع</x:v>
      </x:c>
      <x:c r="K248" s="39" t="str"/>
      <x:c r="L248" s="39" t="str">
        <x:v>PL:R117</x:v>
      </x:c>
      <x:c r="M248" s="39" t="str"/>
      <x:c r="N248" s="39" t="str">
        <x:v>نسخه پایه ۳۱۵۰</x:v>
      </x:c>
    </x:row>
    <x:row r="249" ht="34" customHeight="1">
      <x:c r="A249" s="34" t="str">
        <x:v>☐</x:v>
      </x:c>
      <x:c r="B249" s="34" t="str">
        <x:v>MI-0120</x:v>
      </x:c>
      <x:c r="C249" s="34" t="str">
        <x:v>M2 — تحصیل، مسیر شغلی و توانمندی حرفه‌ای</x:v>
      </x:c>
      <x:c r="D249" s="34" t="str">
        <x:v>H6</x:v>
      </x:c>
      <x:c r="E249" s="34" t="str">
        <x:v>مهندسی مکانیک، صنایع و مهارت‌های فنی</x:v>
      </x:c>
      <x:c r="F249" s="34" t="str">
        <x:v>P3/CLARIFY</x:v>
      </x:c>
      <x:c r="G249" s="34" t="str">
        <x:v>هدف/موضوع</x:v>
      </x:c>
      <x:c r="H249" s="39" t="str">
        <x:v>emtp rv</x:v>
      </x:c>
      <x:c r="I249" s="39" t="str">
        <x:v>نیازمند تعریف خروجی یا پارک</x:v>
      </x:c>
      <x:c r="J249" s="39" t="str">
        <x:v>منتور مکانیک/صنایع</x:v>
      </x:c>
      <x:c r="K249" s="39" t="str"/>
      <x:c r="L249" s="39" t="str">
        <x:v>PL:R122</x:v>
      </x:c>
      <x:c r="M249" s="39" t="str"/>
      <x:c r="N249" s="39" t="str">
        <x:v>نسخه پایه ۳۱۵۰</x:v>
      </x:c>
    </x:row>
    <x:row r="250" ht="34" customHeight="1">
      <x:c r="A250" s="34" t="str">
        <x:v>☐</x:v>
      </x:c>
      <x:c r="B250" s="34" t="str">
        <x:v>MI-0129</x:v>
      </x:c>
      <x:c r="C250" s="34" t="str">
        <x:v>M2 — تحصیل، مسیر شغلی و توانمندی حرفه‌ای</x:v>
      </x:c>
      <x:c r="D250" s="34" t="str">
        <x:v>H6</x:v>
      </x:c>
      <x:c r="E250" s="34" t="str">
        <x:v>مهندسی مکانیک، صنایع و مهارت‌های فنی</x:v>
      </x:c>
      <x:c r="F250" s="34" t="str">
        <x:v>P3/CLARIFY</x:v>
      </x:c>
      <x:c r="G250" s="34" t="str">
        <x:v>هدف/موضوع</x:v>
      </x:c>
      <x:c r="H250" s="39" t="str">
        <x:v>mcnpx</x:v>
      </x:c>
      <x:c r="I250" s="39" t="str">
        <x:v>نیازمند تعریف خروجی یا پارک</x:v>
      </x:c>
      <x:c r="J250" s="39" t="str">
        <x:v>منتور مکانیک/صنایع</x:v>
      </x:c>
      <x:c r="K250" s="39" t="str"/>
      <x:c r="L250" s="39" t="str">
        <x:v>PL:R131</x:v>
      </x:c>
      <x:c r="M250" s="39" t="str"/>
      <x:c r="N250" s="39" t="str">
        <x:v>نسخه پایه ۳۱۵۰</x:v>
      </x:c>
    </x:row>
    <x:row r="251" ht="34" customHeight="1">
      <x:c r="A251" s="34" t="str">
        <x:v>☐</x:v>
      </x:c>
      <x:c r="B251" s="34" t="str">
        <x:v>MI-0130</x:v>
      </x:c>
      <x:c r="C251" s="34" t="str">
        <x:v>M2 — تحصیل، مسیر شغلی و توانمندی حرفه‌ای</x:v>
      </x:c>
      <x:c r="D251" s="34" t="str">
        <x:v>H6</x:v>
      </x:c>
      <x:c r="E251" s="34" t="str">
        <x:v>مهندسی مکانیک، صنایع و مهارت‌های فنی</x:v>
      </x:c>
      <x:c r="F251" s="34" t="str">
        <x:v>P3/CLARIFY</x:v>
      </x:c>
      <x:c r="G251" s="34" t="str">
        <x:v>هدف/موضوع</x:v>
      </x:c>
      <x:c r="H251" s="39" t="str">
        <x:v>cnc</x:v>
      </x:c>
      <x:c r="I251" s="39" t="str">
        <x:v>نیازمند تعریف خروجی یا پارک</x:v>
      </x:c>
      <x:c r="J251" s="39" t="str">
        <x:v>منتور مکانیک/صنایع</x:v>
      </x:c>
      <x:c r="K251" s="39" t="str"/>
      <x:c r="L251" s="39" t="str">
        <x:v>PL:R132</x:v>
      </x:c>
      <x:c r="M251" s="39" t="str"/>
      <x:c r="N251" s="39" t="str">
        <x:v>نسخه پایه ۳۱۵۰</x:v>
      </x:c>
    </x:row>
    <x:row r="252" ht="34" customHeight="1">
      <x:c r="A252" s="34" t="str">
        <x:v>☐</x:v>
      </x:c>
      <x:c r="B252" s="34" t="str">
        <x:v>MI-0131</x:v>
      </x:c>
      <x:c r="C252" s="34" t="str">
        <x:v>M2 — تحصیل، مسیر شغلی و توانمندی حرفه‌ای</x:v>
      </x:c>
      <x:c r="D252" s="34" t="str">
        <x:v>H6</x:v>
      </x:c>
      <x:c r="E252" s="34" t="str">
        <x:v>مهندسی مکانیک، صنایع و مهارت‌های فنی</x:v>
      </x:c>
      <x:c r="F252" s="34" t="str">
        <x:v>P3/CLARIFY</x:v>
      </x:c>
      <x:c r="G252" s="34" t="str">
        <x:v>هدف/موضوع</x:v>
      </x:c>
      <x:c r="H252" s="39" t="str">
        <x:v>g-code</x:v>
      </x:c>
      <x:c r="I252" s="39" t="str">
        <x:v>نیازمند تعریف خروجی یا پارک</x:v>
      </x:c>
      <x:c r="J252" s="39" t="str">
        <x:v>منتور مکانیک/صنایع</x:v>
      </x:c>
      <x:c r="K252" s="39" t="str"/>
      <x:c r="L252" s="39" t="str">
        <x:v>PL:R133</x:v>
      </x:c>
      <x:c r="M252" s="39" t="str"/>
      <x:c r="N252" s="39" t="str">
        <x:v>نسخه پایه ۳۱۵۰</x:v>
      </x:c>
    </x:row>
    <x:row r="253" ht="34" customHeight="1">
      <x:c r="A253" s="34" t="str">
        <x:v>☐</x:v>
      </x:c>
      <x:c r="B253" s="34" t="str">
        <x:v>MI-0134</x:v>
      </x:c>
      <x:c r="C253" s="34" t="str">
        <x:v>M2 — تحصیل، مسیر شغلی و توانمندی حرفه‌ای</x:v>
      </x:c>
      <x:c r="D253" s="34" t="str">
        <x:v>H6</x:v>
      </x:c>
      <x:c r="E253" s="34" t="str">
        <x:v>مهندسی مکانیک، صنایع و مهارت‌های فنی</x:v>
      </x:c>
      <x:c r="F253" s="34" t="str">
        <x:v>P3/CLARIFY</x:v>
      </x:c>
      <x:c r="G253" s="34" t="str">
        <x:v>هدف/موضوع</x:v>
      </x:c>
      <x:c r="H253" s="39" t="str">
        <x:v>STM</x:v>
      </x:c>
      <x:c r="I253" s="39" t="str">
        <x:v>نیازمند تعریف خروجی یا پارک</x:v>
      </x:c>
      <x:c r="J253" s="39" t="str">
        <x:v>منتور مکانیک/صنایع</x:v>
      </x:c>
      <x:c r="K253" s="39" t="str"/>
      <x:c r="L253" s="39" t="str">
        <x:v>PL:R136</x:v>
      </x:c>
      <x:c r="M253" s="39" t="str"/>
      <x:c r="N253" s="39" t="str">
        <x:v>نسخه پایه ۳۱۵۰</x:v>
      </x:c>
    </x:row>
    <x:row r="254" ht="34" customHeight="1">
      <x:c r="A254" s="34" t="str">
        <x:v>☐</x:v>
      </x:c>
      <x:c r="B254" s="34" t="str">
        <x:v>MI-0135</x:v>
      </x:c>
      <x:c r="C254" s="34" t="str">
        <x:v>M2 — تحصیل، مسیر شغلی و توانمندی حرفه‌ای</x:v>
      </x:c>
      <x:c r="D254" s="34" t="str">
        <x:v>H6</x:v>
      </x:c>
      <x:c r="E254" s="34" t="str">
        <x:v>مهندسی مکانیک، صنایع و مهارت‌های فنی</x:v>
      </x:c>
      <x:c r="F254" s="34" t="str">
        <x:v>P3/CLARIFY</x:v>
      </x:c>
      <x:c r="G254" s="34" t="str">
        <x:v>هدف/موضوع</x:v>
      </x:c>
      <x:c r="H254" s="39" t="str">
        <x:v>SEM</x:v>
      </x:c>
      <x:c r="I254" s="39" t="str">
        <x:v>نیازمند تعریف خروجی یا پارک</x:v>
      </x:c>
      <x:c r="J254" s="39" t="str">
        <x:v>منتور مکانیک/صنایع</x:v>
      </x:c>
      <x:c r="K254" s="39" t="str"/>
      <x:c r="L254" s="39" t="str">
        <x:v>PL:R137</x:v>
      </x:c>
      <x:c r="M254" s="39" t="str"/>
      <x:c r="N254" s="39" t="str">
        <x:v>نسخه پایه ۳۱۵۰</x:v>
      </x:c>
    </x:row>
    <x:row r="255" ht="34" customHeight="1">
      <x:c r="A255" s="34" t="str">
        <x:v>☐</x:v>
      </x:c>
      <x:c r="B255" s="34" t="str">
        <x:v>MI-0136</x:v>
      </x:c>
      <x:c r="C255" s="34" t="str">
        <x:v>M2 — تحصیل، مسیر شغلی و توانمندی حرفه‌ای</x:v>
      </x:c>
      <x:c r="D255" s="34" t="str">
        <x:v>H6</x:v>
      </x:c>
      <x:c r="E255" s="34" t="str">
        <x:v>مهندسی مکانیک، صنایع و مهارت‌های فنی</x:v>
      </x:c>
      <x:c r="F255" s="34" t="str">
        <x:v>P3/CLARIFY</x:v>
      </x:c>
      <x:c r="G255" s="34" t="str">
        <x:v>هدف/موضوع</x:v>
      </x:c>
      <x:c r="H255" s="39" t="str">
        <x:v>TEM</x:v>
      </x:c>
      <x:c r="I255" s="39" t="str">
        <x:v>نیازمند تعریف خروجی یا پارک</x:v>
      </x:c>
      <x:c r="J255" s="39" t="str">
        <x:v>منتور مکانیک/صنایع</x:v>
      </x:c>
      <x:c r="K255" s="39" t="str"/>
      <x:c r="L255" s="39" t="str">
        <x:v>PL:R138</x:v>
      </x:c>
      <x:c r="M255" s="39" t="str"/>
      <x:c r="N255" s="39" t="str">
        <x:v>نسخه پایه ۳۱۵۰</x:v>
      </x:c>
    </x:row>
    <x:row r="256" ht="34" customHeight="1">
      <x:c r="A256" s="34" t="str">
        <x:v>☐</x:v>
      </x:c>
      <x:c r="B256" s="34" t="str">
        <x:v>MI-0138</x:v>
      </x:c>
      <x:c r="C256" s="34" t="str">
        <x:v>M2 — تحصیل، مسیر شغلی و توانمندی حرفه‌ای</x:v>
      </x:c>
      <x:c r="D256" s="34" t="str">
        <x:v>H6</x:v>
      </x:c>
      <x:c r="E256" s="34" t="str">
        <x:v>مهندسی مکانیک، صنایع و مهارت‌های فنی</x:v>
      </x:c>
      <x:c r="F256" s="34" t="str">
        <x:v>P3/CLARIFY</x:v>
      </x:c>
      <x:c r="G256" s="34" t="str">
        <x:v>هدف/موضوع</x:v>
      </x:c>
      <x:c r="H256" s="39" t="str">
        <x:v>VEHSIM</x:v>
      </x:c>
      <x:c r="I256" s="39" t="str">
        <x:v>نیازمند تعریف خروجی یا پارک</x:v>
      </x:c>
      <x:c r="J256" s="39" t="str">
        <x:v>منتور مکانیک/صنایع</x:v>
      </x:c>
      <x:c r="K256" s="39" t="str"/>
      <x:c r="L256" s="39" t="str">
        <x:v>PL:R140</x:v>
      </x:c>
      <x:c r="M256" s="39" t="str"/>
      <x:c r="N256" s="39" t="str">
        <x:v>نسخه پایه ۳۱۵۰</x:v>
      </x:c>
    </x:row>
    <x:row r="257" ht="34" customHeight="1">
      <x:c r="A257" s="34" t="str">
        <x:v>☐</x:v>
      </x:c>
      <x:c r="B257" s="34" t="str">
        <x:v>MI-0141</x:v>
      </x:c>
      <x:c r="C257" s="34" t="str">
        <x:v>M2 — تحصیل، مسیر شغلی و توانمندی حرفه‌ای</x:v>
      </x:c>
      <x:c r="D257" s="34" t="str">
        <x:v>H6</x:v>
      </x:c>
      <x:c r="E257" s="34" t="str">
        <x:v>مهندسی مکانیک، صنایع و مهارت‌های فنی</x:v>
      </x:c>
      <x:c r="F257" s="34" t="str">
        <x:v>P3/CLARIFY</x:v>
      </x:c>
      <x:c r="G257" s="34" t="str">
        <x:v>هدف/موضوع</x:v>
      </x:c>
      <x:c r="H257" s="39" t="str">
        <x:v>ادمز</x:v>
      </x:c>
      <x:c r="I257" s="39" t="str">
        <x:v>نیازمند تعریف خروجی یا پارک</x:v>
      </x:c>
      <x:c r="J257" s="39" t="str">
        <x:v>منتور مکانیک/صنایع</x:v>
      </x:c>
      <x:c r="K257" s="39" t="str"/>
      <x:c r="L257" s="39" t="str">
        <x:v>PL:R143</x:v>
      </x:c>
      <x:c r="M257" s="39" t="str"/>
      <x:c r="N257" s="39" t="str">
        <x:v>نسخه پایه ۳۱۵۰</x:v>
      </x:c>
    </x:row>
    <x:row r="258" ht="34" customHeight="1">
      <x:c r="A258" s="34" t="str">
        <x:v>☐</x:v>
      </x:c>
      <x:c r="B258" s="34" t="str">
        <x:v>MI-0142</x:v>
      </x:c>
      <x:c r="C258" s="34" t="str">
        <x:v>M2 — تحصیل، مسیر شغلی و توانمندی حرفه‌ای</x:v>
      </x:c>
      <x:c r="D258" s="34" t="str">
        <x:v>H6</x:v>
      </x:c>
      <x:c r="E258" s="34" t="str">
        <x:v>مهندسی مکانیک، صنایع و مهارت‌های فنی</x:v>
      </x:c>
      <x:c r="F258" s="34" t="str">
        <x:v>P3/CLARIFY</x:v>
      </x:c>
      <x:c r="G258" s="34" t="str">
        <x:v>هدف/موضوع</x:v>
      </x:c>
      <x:c r="H258" s="39" t="str">
        <x:v>NL multisim</x:v>
      </x:c>
      <x:c r="I258" s="39" t="str">
        <x:v>نیازمند تعریف خروجی یا پارک</x:v>
      </x:c>
      <x:c r="J258" s="39" t="str">
        <x:v>منتور مکانیک/صنایع</x:v>
      </x:c>
      <x:c r="K258" s="39" t="str"/>
      <x:c r="L258" s="39" t="str">
        <x:v>PL:R144</x:v>
      </x:c>
      <x:c r="M258" s="39" t="str"/>
      <x:c r="N258" s="39" t="str">
        <x:v>نسخه پایه ۳۱۵۰</x:v>
      </x:c>
    </x:row>
    <x:row r="259" ht="34" customHeight="1">
      <x:c r="A259" s="34" t="str">
        <x:v>☐</x:v>
      </x:c>
      <x:c r="B259" s="34" t="str">
        <x:v>MI-0143</x:v>
      </x:c>
      <x:c r="C259" s="34" t="str">
        <x:v>M2 — تحصیل، مسیر شغلی و توانمندی حرفه‌ای</x:v>
      </x:c>
      <x:c r="D259" s="34" t="str">
        <x:v>H6</x:v>
      </x:c>
      <x:c r="E259" s="34" t="str">
        <x:v>مهندسی مکانیک، صنایع و مهارت‌های فنی</x:v>
      </x:c>
      <x:c r="F259" s="34" t="str">
        <x:v>P3/CLARIFY</x:v>
      </x:c>
      <x:c r="G259" s="34" t="str">
        <x:v>هدف/موضوع</x:v>
      </x:c>
      <x:c r="H259" s="39" t="str">
        <x:v>osemosys</x:v>
      </x:c>
      <x:c r="I259" s="39" t="str">
        <x:v>نیازمند تعریف خروجی یا پارک</x:v>
      </x:c>
      <x:c r="J259" s="39" t="str">
        <x:v>منتور مکانیک/صنایع</x:v>
      </x:c>
      <x:c r="K259" s="39" t="str"/>
      <x:c r="L259" s="39" t="str">
        <x:v>PL:R146</x:v>
      </x:c>
      <x:c r="M259" s="39" t="str"/>
      <x:c r="N259" s="39" t="str">
        <x:v>نسخه پایه ۳۱۵۰</x:v>
      </x:c>
    </x:row>
    <x:row r="260" ht="34" customHeight="1">
      <x:c r="A260" s="34" t="str">
        <x:v>☐</x:v>
      </x:c>
      <x:c r="B260" s="34" t="str">
        <x:v>MI-0145</x:v>
      </x:c>
      <x:c r="C260" s="34" t="str">
        <x:v>M2 — تحصیل، مسیر شغلی و توانمندی حرفه‌ای</x:v>
      </x:c>
      <x:c r="D260" s="34" t="str">
        <x:v>H6</x:v>
      </x:c>
      <x:c r="E260" s="34" t="str">
        <x:v>مهندسی مکانیک، صنایع و مهارت‌های فنی</x:v>
      </x:c>
      <x:c r="F260" s="34" t="str">
        <x:v>P3/CLARIFY</x:v>
      </x:c>
      <x:c r="G260" s="34" t="str">
        <x:v>هدف/موضوع</x:v>
      </x:c>
      <x:c r="H260" s="39" t="str">
        <x:v>3d modeling</x:v>
      </x:c>
      <x:c r="I260" s="39" t="str">
        <x:v>نیازمند تعریف خروجی یا پارک</x:v>
      </x:c>
      <x:c r="J260" s="39" t="str">
        <x:v>منتور مکانیک/صنایع</x:v>
      </x:c>
      <x:c r="K260" s="39" t="str"/>
      <x:c r="L260" s="39" t="str">
        <x:v>PL:R149</x:v>
      </x:c>
      <x:c r="M260" s="39" t="str"/>
      <x:c r="N260" s="39" t="str">
        <x:v>نسخه پایه ۳۱۵۰</x:v>
      </x:c>
    </x:row>
    <x:row r="261" ht="34" customHeight="1">
      <x:c r="A261" s="34" t="str">
        <x:v>☐</x:v>
      </x:c>
      <x:c r="B261" s="34" t="str">
        <x:v>MI-0146</x:v>
      </x:c>
      <x:c r="C261" s="34" t="str">
        <x:v>M2 — تحصیل، مسیر شغلی و توانمندی حرفه‌ای</x:v>
      </x:c>
      <x:c r="D261" s="34" t="str">
        <x:v>H6</x:v>
      </x:c>
      <x:c r="E261" s="34" t="str">
        <x:v>مهندسی مکانیک، صنایع و مهارت‌های فنی</x:v>
      </x:c>
      <x:c r="F261" s="34" t="str">
        <x:v>P3/CLARIFY</x:v>
      </x:c>
      <x:c r="G261" s="34" t="str">
        <x:v>هدف/موضوع</x:v>
      </x:c>
      <x:c r="H261" s="39" t="str">
        <x:v>CST</x:v>
      </x:c>
      <x:c r="I261" s="39" t="str">
        <x:v>نیازمند تعریف خروجی یا پارک</x:v>
      </x:c>
      <x:c r="J261" s="39" t="str">
        <x:v>منتور مکانیک/صنایع</x:v>
      </x:c>
      <x:c r="K261" s="39" t="str"/>
      <x:c r="L261" s="39" t="str">
        <x:v>PL:R150</x:v>
      </x:c>
      <x:c r="M261" s="39" t="str"/>
      <x:c r="N261" s="39" t="str">
        <x:v>نسخه پایه ۳۱۵۰</x:v>
      </x:c>
    </x:row>
    <x:row r="262" ht="34" customHeight="1">
      <x:c r="A262" s="34" t="str">
        <x:v>☐</x:v>
      </x:c>
      <x:c r="B262" s="34" t="str">
        <x:v>MI-0148</x:v>
      </x:c>
      <x:c r="C262" s="34" t="str">
        <x:v>M2 — تحصیل، مسیر شغلی و توانمندی حرفه‌ای</x:v>
      </x:c>
      <x:c r="D262" s="34" t="str">
        <x:v>H6</x:v>
      </x:c>
      <x:c r="E262" s="34" t="str">
        <x:v>مهندسی مکانیک، صنایع و مهارت‌های فنی</x:v>
      </x:c>
      <x:c r="F262" s="34" t="str">
        <x:v>P3/CLARIFY</x:v>
      </x:c>
      <x:c r="G262" s="34" t="str">
        <x:v>هدف/موضوع</x:v>
      </x:c>
      <x:c r="H262" s="39" t="str">
        <x:v>FEM</x:v>
      </x:c>
      <x:c r="I262" s="39" t="str">
        <x:v>نیازمند تعریف خروجی یا پارک</x:v>
      </x:c>
      <x:c r="J262" s="39" t="str">
        <x:v>منتور مکانیک/صنایع</x:v>
      </x:c>
      <x:c r="K262" s="39" t="str"/>
      <x:c r="L262" s="39" t="str">
        <x:v>PL:R152</x:v>
      </x:c>
      <x:c r="M262" s="39" t="str"/>
      <x:c r="N262" s="39" t="str">
        <x:v>نسخه پایه ۳۱۵۰</x:v>
      </x:c>
    </x:row>
    <x:row r="263" ht="34" customHeight="1">
      <x:c r="A263" s="34" t="str">
        <x:v>☐</x:v>
      </x:c>
      <x:c r="B263" s="34" t="str">
        <x:v>MI-0155</x:v>
      </x:c>
      <x:c r="C263" s="34" t="str">
        <x:v>M2 — تحصیل، مسیر شغلی و توانمندی حرفه‌ای</x:v>
      </x:c>
      <x:c r="D263" s="34" t="str">
        <x:v>H6</x:v>
      </x:c>
      <x:c r="E263" s="34" t="str">
        <x:v>مهندسی مکانیک، صنایع و مهارت‌های فنی</x:v>
      </x:c>
      <x:c r="F263" s="34" t="str">
        <x:v>P3/CLARIFY</x:v>
      </x:c>
      <x:c r="G263" s="34" t="str">
        <x:v>هدف/موضوع</x:v>
      </x:c>
      <x:c r="H263" s="39" t="str">
        <x:v>پاورمیل</x:v>
      </x:c>
      <x:c r="I263" s="39" t="str">
        <x:v>نیازمند تعریف خروجی یا پارک</x:v>
      </x:c>
      <x:c r="J263" s="39" t="str">
        <x:v>منتور مکانیک/صنایع</x:v>
      </x:c>
      <x:c r="K263" s="39" t="str"/>
      <x:c r="L263" s="39" t="str">
        <x:v>PL:R159</x:v>
      </x:c>
      <x:c r="M263" s="39" t="str"/>
      <x:c r="N263" s="39" t="str">
        <x:v>نسخه پایه ۳۱۵۰</x:v>
      </x:c>
    </x:row>
    <x:row r="264" ht="34" customHeight="1">
      <x:c r="A264" s="34" t="str">
        <x:v>☐</x:v>
      </x:c>
      <x:c r="B264" s="34" t="str">
        <x:v>MI-0156</x:v>
      </x:c>
      <x:c r="C264" s="34" t="str">
        <x:v>M2 — تحصیل، مسیر شغلی و توانمندی حرفه‌ای</x:v>
      </x:c>
      <x:c r="D264" s="34" t="str">
        <x:v>H6</x:v>
      </x:c>
      <x:c r="E264" s="34" t="str">
        <x:v>مهندسی مکانیک، صنایع و مهارت‌های فنی</x:v>
      </x:c>
      <x:c r="F264" s="34" t="str">
        <x:v>P3/CLARIFY</x:v>
      </x:c>
      <x:c r="G264" s="34" t="str">
        <x:v>هدف/موضوع</x:v>
      </x:c>
      <x:c r="H264" s="39" t="str">
        <x:v>CMG</x:v>
      </x:c>
      <x:c r="I264" s="39" t="str">
        <x:v>نیازمند تعریف خروجی یا پارک</x:v>
      </x:c>
      <x:c r="J264" s="39" t="str">
        <x:v>منتور مکانیک/صنایع</x:v>
      </x:c>
      <x:c r="K264" s="39" t="str"/>
      <x:c r="L264" s="39" t="str">
        <x:v>PL:R160</x:v>
      </x:c>
      <x:c r="M264" s="39" t="str"/>
      <x:c r="N264" s="39" t="str">
        <x:v>نسخه پایه ۳۱۵۰</x:v>
      </x:c>
    </x:row>
    <x:row r="265" ht="34" customHeight="1">
      <x:c r="A265" s="34" t="str">
        <x:v>☐</x:v>
      </x:c>
      <x:c r="B265" s="34" t="str">
        <x:v>MI-0157</x:v>
      </x:c>
      <x:c r="C265" s="34" t="str">
        <x:v>M2 — تحصیل، مسیر شغلی و توانمندی حرفه‌ای</x:v>
      </x:c>
      <x:c r="D265" s="34" t="str">
        <x:v>H6</x:v>
      </x:c>
      <x:c r="E265" s="34" t="str">
        <x:v>مهندسی مکانیک، صنایع و مهارت‌های فنی</x:v>
      </x:c>
      <x:c r="F265" s="34" t="str">
        <x:v>P3/CLARIFY</x:v>
      </x:c>
      <x:c r="G265" s="34" t="str">
        <x:v>هدف/موضوع</x:v>
      </x:c>
      <x:c r="H265" s="39" t="str">
        <x:v>EPETREL</x:v>
      </x:c>
      <x:c r="I265" s="39" t="str">
        <x:v>نیازمند تعریف خروجی یا پارک</x:v>
      </x:c>
      <x:c r="J265" s="39" t="str">
        <x:v>منتور مکانیک/صنایع</x:v>
      </x:c>
      <x:c r="K265" s="39" t="str"/>
      <x:c r="L265" s="39" t="str">
        <x:v>PL:R161</x:v>
      </x:c>
      <x:c r="M265" s="39" t="str"/>
      <x:c r="N265" s="39" t="str">
        <x:v>نسخه پایه ۳۱۵۰</x:v>
      </x:c>
    </x:row>
    <x:row r="266" ht="34" customHeight="1">
      <x:c r="A266" s="34" t="str">
        <x:v>☐</x:v>
      </x:c>
      <x:c r="B266" s="34" t="str">
        <x:v>MI-0164</x:v>
      </x:c>
      <x:c r="C266" s="34" t="str">
        <x:v>M2 — تحصیل، مسیر شغلی و توانمندی حرفه‌ای</x:v>
      </x:c>
      <x:c r="D266" s="34" t="str">
        <x:v>H6</x:v>
      </x:c>
      <x:c r="E266" s="34" t="str">
        <x:v>مهندسی مکانیک، صنایع و مهارت‌های فنی</x:v>
      </x:c>
      <x:c r="F266" s="34" t="str">
        <x:v>P3/CLARIFY</x:v>
      </x:c>
      <x:c r="G266" s="34" t="str">
        <x:v>هدف/موضوع</x:v>
      </x:c>
      <x:c r="H266" s="39" t="str">
        <x:v>جوشکاری و برش</x:v>
      </x:c>
      <x:c r="I266" s="39" t="str">
        <x:v>نیازمند تعریف خروجی یا پارک</x:v>
      </x:c>
      <x:c r="J266" s="39" t="str">
        <x:v>منتور مکانیک/صنایع</x:v>
      </x:c>
      <x:c r="K266" s="39" t="str"/>
      <x:c r="L266" s="39" t="str">
        <x:v>PL:R169</x:v>
      </x:c>
      <x:c r="M266" s="39" t="str"/>
      <x:c r="N266" s="39" t="str">
        <x:v>نسخه پایه ۳۱۵۰</x:v>
      </x:c>
    </x:row>
    <x:row r="267" ht="34" customHeight="1">
      <x:c r="A267" s="34" t="str">
        <x:v>☐</x:v>
      </x:c>
      <x:c r="B267" s="34" t="str">
        <x:v>MI-0166</x:v>
      </x:c>
      <x:c r="C267" s="34" t="str">
        <x:v>M2 — تحصیل، مسیر شغلی و توانمندی حرفه‌ای</x:v>
      </x:c>
      <x:c r="D267" s="34" t="str">
        <x:v>H6</x:v>
      </x:c>
      <x:c r="E267" s="34" t="str">
        <x:v>مهندسی مکانیک، صنایع و مهارت‌های فنی</x:v>
      </x:c>
      <x:c r="F267" s="34" t="str">
        <x:v>P3/CLARIFY</x:v>
      </x:c>
      <x:c r="G267" s="34" t="str">
        <x:v>هدف/موضوع</x:v>
      </x:c>
      <x:c r="H267" s="39" t="str">
        <x:v>مرغ داری</x:v>
      </x:c>
      <x:c r="I267" s="39" t="str">
        <x:v>نیازمند تعریف خروجی یا پارک</x:v>
      </x:c>
      <x:c r="J267" s="39" t="str">
        <x:v>منتور مکانیک/صنایع</x:v>
      </x:c>
      <x:c r="K267" s="39" t="str"/>
      <x:c r="L267" s="39" t="str">
        <x:v>PL:R171</x:v>
      </x:c>
      <x:c r="M267" s="39" t="str"/>
      <x:c r="N267" s="39" t="str">
        <x:v>نسخه پایه ۳۱۵۰</x:v>
      </x:c>
    </x:row>
    <x:row r="268" ht="34" customHeight="1">
      <x:c r="A268" s="34" t="str">
        <x:v>☐</x:v>
      </x:c>
      <x:c r="B268" s="34" t="str">
        <x:v>MI-0167</x:v>
      </x:c>
      <x:c r="C268" s="34" t="str">
        <x:v>M2 — تحصیل، مسیر شغلی و توانمندی حرفه‌ای</x:v>
      </x:c>
      <x:c r="D268" s="34" t="str">
        <x:v>H6</x:v>
      </x:c>
      <x:c r="E268" s="34" t="str">
        <x:v>مهندسی مکانیک، صنایع و مهارت‌های فنی</x:v>
      </x:c>
      <x:c r="F268" s="34" t="str">
        <x:v>P3/CLARIFY</x:v>
      </x:c>
      <x:c r="G268" s="34" t="str">
        <x:v>هدف/موضوع</x:v>
      </x:c>
      <x:c r="H268" s="39" t="str">
        <x:v>تهویه هوا</x:v>
      </x:c>
      <x:c r="I268" s="39" t="str">
        <x:v>نیازمند تعریف خروجی یا پارک</x:v>
      </x:c>
      <x:c r="J268" s="39" t="str">
        <x:v>منتور مکانیک/صنایع</x:v>
      </x:c>
      <x:c r="K268" s="39" t="str"/>
      <x:c r="L268" s="39" t="str">
        <x:v>PL:R172</x:v>
      </x:c>
      <x:c r="M268" s="39" t="str"/>
      <x:c r="N268" s="39" t="str">
        <x:v>نسخه پایه ۳۱۵۰</x:v>
      </x:c>
    </x:row>
    <x:row r="269" ht="34" customHeight="1">
      <x:c r="A269" s="34" t="str">
        <x:v>☐</x:v>
      </x:c>
      <x:c r="B269" s="34" t="str">
        <x:v>MI-0168</x:v>
      </x:c>
      <x:c r="C269" s="34" t="str">
        <x:v>M2 — تحصیل، مسیر شغلی و توانمندی حرفه‌ای</x:v>
      </x:c>
      <x:c r="D269" s="34" t="str">
        <x:v>H6</x:v>
      </x:c>
      <x:c r="E269" s="34" t="str">
        <x:v>مهندسی مکانیک، صنایع و مهارت‌های فنی</x:v>
      </x:c>
      <x:c r="F269" s="34" t="str">
        <x:v>P3/CLARIFY</x:v>
      </x:c>
      <x:c r="G269" s="34" t="str">
        <x:v>هدف/موضوع</x:v>
      </x:c>
      <x:c r="H269" s="39" t="str">
        <x:v>FORTRAN</x:v>
      </x:c>
      <x:c r="I269" s="39" t="str">
        <x:v>نیازمند تعریف خروجی یا پارک</x:v>
      </x:c>
      <x:c r="J269" s="39" t="str">
        <x:v>منتور مکانیک/صنایع</x:v>
      </x:c>
      <x:c r="K269" s="39" t="str"/>
      <x:c r="L269" s="39" t="str">
        <x:v>PL:R173</x:v>
      </x:c>
      <x:c r="M269" s="39" t="str"/>
      <x:c r="N269" s="39" t="str">
        <x:v>نسخه پایه ۳۱۵۰</x:v>
      </x:c>
    </x:row>
    <x:row r="270" ht="34" customHeight="1">
      <x:c r="A270" s="34" t="str">
        <x:v>☐</x:v>
      </x:c>
      <x:c r="B270" s="34" t="str">
        <x:v>MI-0183</x:v>
      </x:c>
      <x:c r="C270" s="34" t="str">
        <x:v>M2 — تحصیل، مسیر شغلی و توانمندی حرفه‌ای</x:v>
      </x:c>
      <x:c r="D270" s="34" t="str">
        <x:v>H6</x:v>
      </x:c>
      <x:c r="E270" s="34" t="str">
        <x:v>مهندسی مکانیک، صنایع و مهارت‌های فنی</x:v>
      </x:c>
      <x:c r="F270" s="34" t="str">
        <x:v>P3/CLARIFY</x:v>
      </x:c>
      <x:c r="G270" s="34" t="str">
        <x:v>هدف/موضوع</x:v>
      </x:c>
      <x:c r="H270" s="39" t="str">
        <x:v>ADAMS</x:v>
      </x:c>
      <x:c r="I270" s="39" t="str">
        <x:v>نیازمند تعریف خروجی یا پارک</x:v>
      </x:c>
      <x:c r="J270" s="39" t="str">
        <x:v>منتور مکانیک/صنایع</x:v>
      </x:c>
      <x:c r="K270" s="39" t="str"/>
      <x:c r="L270" s="39" t="str">
        <x:v>PL:R188</x:v>
      </x:c>
      <x:c r="M270" s="39" t="str"/>
      <x:c r="N270" s="39" t="str">
        <x:v>نسخه پایه ۳۱۵۰</x:v>
      </x:c>
    </x:row>
    <x:row r="271" ht="34" customHeight="1">
      <x:c r="A271" s="34" t="str">
        <x:v>☐</x:v>
      </x:c>
      <x:c r="B271" s="34" t="str">
        <x:v>MI-0184</x:v>
      </x:c>
      <x:c r="C271" s="34" t="str">
        <x:v>M2 — تحصیل، مسیر شغلی و توانمندی حرفه‌ای</x:v>
      </x:c>
      <x:c r="D271" s="34" t="str">
        <x:v>H6</x:v>
      </x:c>
      <x:c r="E271" s="34" t="str">
        <x:v>مهندسی مکانیک، صنایع و مهارت‌های فنی</x:v>
      </x:c>
      <x:c r="F271" s="34" t="str">
        <x:v>P3/CLARIFY</x:v>
      </x:c>
      <x:c r="G271" s="34" t="str">
        <x:v>هدف/موضوع</x:v>
      </x:c>
      <x:c r="H271" s="39" t="str">
        <x:v>SAP</x:v>
      </x:c>
      <x:c r="I271" s="39" t="str">
        <x:v>نیازمند تعریف خروجی یا پارک</x:v>
      </x:c>
      <x:c r="J271" s="39" t="str">
        <x:v>منتور مکانیک/صنایع</x:v>
      </x:c>
      <x:c r="K271" s="39" t="str"/>
      <x:c r="L271" s="39" t="str">
        <x:v>PL:R189</x:v>
      </x:c>
      <x:c r="M271" s="39" t="str"/>
      <x:c r="N271" s="39" t="str">
        <x:v>نسخه پایه ۳۱۵۰</x:v>
      </x:c>
    </x:row>
    <x:row r="272" ht="34" customHeight="1">
      <x:c r="A272" s="34" t="str">
        <x:v>☐</x:v>
      </x:c>
      <x:c r="B272" s="34" t="str">
        <x:v>MI-0187</x:v>
      </x:c>
      <x:c r="C272" s="34" t="str">
        <x:v>M2 — تحصیل، مسیر شغلی و توانمندی حرفه‌ای</x:v>
      </x:c>
      <x:c r="D272" s="34" t="str">
        <x:v>H6</x:v>
      </x:c>
      <x:c r="E272" s="34" t="str">
        <x:v>مهندسی مکانیک، صنایع و مهارت‌های فنی</x:v>
      </x:c>
      <x:c r="F272" s="34" t="str">
        <x:v>P3/CLARIFY</x:v>
      </x:c>
      <x:c r="G272" s="34" t="str">
        <x:v>هدف/موضوع</x:v>
      </x:c>
      <x:c r="H272" s="39" t="str">
        <x:v>MAX SURF</x:v>
      </x:c>
      <x:c r="I272" s="39" t="str">
        <x:v>نیازمند تعریف خروجی یا پارک</x:v>
      </x:c>
      <x:c r="J272" s="39" t="str">
        <x:v>منتور مکانیک/صنایع</x:v>
      </x:c>
      <x:c r="K272" s="39" t="str"/>
      <x:c r="L272" s="39" t="str">
        <x:v>PL:R192</x:v>
      </x:c>
      <x:c r="M272" s="39" t="str"/>
      <x:c r="N272" s="39" t="str">
        <x:v>نسخه پایه ۳۱۵۰</x:v>
      </x:c>
    </x:row>
    <x:row r="273" ht="34" customHeight="1">
      <x:c r="A273" s="34" t="str">
        <x:v>☐</x:v>
      </x:c>
      <x:c r="B273" s="34" t="str">
        <x:v>MI-0193</x:v>
      </x:c>
      <x:c r="C273" s="34" t="str">
        <x:v>M2 — تحصیل، مسیر شغلی و توانمندی حرفه‌ای</x:v>
      </x:c>
      <x:c r="D273" s="34" t="str">
        <x:v>H6</x:v>
      </x:c>
      <x:c r="E273" s="34" t="str">
        <x:v>مهندسی مکانیک، صنایع و مهارت‌های فنی</x:v>
      </x:c>
      <x:c r="F273" s="34" t="str">
        <x:v>P3/CLARIFY</x:v>
      </x:c>
      <x:c r="G273" s="34" t="str">
        <x:v>هدف/موضوع</x:v>
      </x:c>
      <x:c r="H273" s="39" t="str">
        <x:v>صنایع : سیستم تولید و خدمات</x:v>
      </x:c>
      <x:c r="I273" s="39" t="str">
        <x:v>نیازمند تعریف خروجی یا پارک</x:v>
      </x:c>
      <x:c r="J273" s="39" t="str">
        <x:v>منتور مکانیک/صنایع</x:v>
      </x:c>
      <x:c r="K273" s="39" t="str"/>
      <x:c r="L273" s="39" t="str">
        <x:v>PL:R198</x:v>
      </x:c>
      <x:c r="M273" s="39" t="str"/>
      <x:c r="N273" s="39" t="str">
        <x:v>نسخه پایه ۳۱۵۰</x:v>
      </x:c>
    </x:row>
    <x:row r="274" ht="34" customHeight="1">
      <x:c r="A274" s="34" t="str">
        <x:v>☐</x:v>
      </x:c>
      <x:c r="B274" s="34" t="str">
        <x:v>MI-0194</x:v>
      </x:c>
      <x:c r="C274" s="34" t="str">
        <x:v>M2 — تحصیل، مسیر شغلی و توانمندی حرفه‌ای</x:v>
      </x:c>
      <x:c r="D274" s="34" t="str">
        <x:v>H6</x:v>
      </x:c>
      <x:c r="E274" s="34" t="str">
        <x:v>مهندسی مکانیک، صنایع و مهارت‌های فنی</x:v>
      </x:c>
      <x:c r="F274" s="34" t="str">
        <x:v>P3/CLARIFY</x:v>
      </x:c>
      <x:c r="G274" s="34" t="str">
        <x:v>هدف/موضوع</x:v>
      </x:c>
      <x:c r="H274" s="39" t="str">
        <x:v>کیفیت و بهره وری</x:v>
      </x:c>
      <x:c r="I274" s="39" t="str">
        <x:v>نیازمند تعریف خروجی یا پارک</x:v>
      </x:c>
      <x:c r="J274" s="39" t="str">
        <x:v>منتور مکانیک/صنایع</x:v>
      </x:c>
      <x:c r="K274" s="39" t="str"/>
      <x:c r="L274" s="39" t="str">
        <x:v>PL:R199</x:v>
      </x:c>
      <x:c r="M274" s="39" t="str"/>
      <x:c r="N274" s="39" t="str">
        <x:v>نسخه پایه ۳۱۵۰</x:v>
      </x:c>
    </x:row>
    <x:row r="275" ht="34" customHeight="1">
      <x:c r="A275" s="34" t="str">
        <x:v>☐</x:v>
      </x:c>
      <x:c r="B275" s="34" t="str">
        <x:v>MI-0195</x:v>
      </x:c>
      <x:c r="C275" s="34" t="str">
        <x:v>M2 — تحصیل، مسیر شغلی و توانمندی حرفه‌ای</x:v>
      </x:c>
      <x:c r="D275" s="34" t="str">
        <x:v>H6</x:v>
      </x:c>
      <x:c r="E275" s="34" t="str">
        <x:v>مهندسی مکانیک، صنایع و مهارت‌های فنی</x:v>
      </x:c>
      <x:c r="F275" s="34" t="str">
        <x:v>P3/CLARIFY</x:v>
      </x:c>
      <x:c r="G275" s="34" t="str">
        <x:v>هدف/موضوع</x:v>
      </x:c>
      <x:c r="H275" s="39" t="str">
        <x:v>روش های بهینه سازی</x:v>
      </x:c>
      <x:c r="I275" s="39" t="str">
        <x:v>نیازمند تعریف خروجی یا پارک</x:v>
      </x:c>
      <x:c r="J275" s="39" t="str">
        <x:v>منتور مکانیک/صنایع</x:v>
      </x:c>
      <x:c r="K275" s="39" t="str"/>
      <x:c r="L275" s="39" t="str">
        <x:v>PL:R200</x:v>
      </x:c>
      <x:c r="M275" s="39" t="str"/>
      <x:c r="N275" s="39" t="str">
        <x:v>نسخه پایه ۳۱۵۰</x:v>
      </x:c>
    </x:row>
    <x:row r="276" ht="34" customHeight="1">
      <x:c r="A276" s="34" t="str">
        <x:v>☐</x:v>
      </x:c>
      <x:c r="B276" s="34" t="str">
        <x:v>MI-0196</x:v>
      </x:c>
      <x:c r="C276" s="34" t="str">
        <x:v>M2 — تحصیل، مسیر شغلی و توانمندی حرفه‌ای</x:v>
      </x:c>
      <x:c r="D276" s="34" t="str">
        <x:v>H6</x:v>
      </x:c>
      <x:c r="E276" s="34" t="str">
        <x:v>مهندسی مکانیک، صنایع و مهارت‌های فنی</x:v>
      </x:c>
      <x:c r="F276" s="34" t="str">
        <x:v>P3/CLARIFY</x:v>
      </x:c>
      <x:c r="G276" s="34" t="str">
        <x:v>هدف/موضوع</x:v>
      </x:c>
      <x:c r="H276" s="39" t="str">
        <x:v>لجستیک و زنجیره تامین</x:v>
      </x:c>
      <x:c r="I276" s="39" t="str">
        <x:v>نیازمند تعریف خروجی یا پارک</x:v>
      </x:c>
      <x:c r="J276" s="39" t="str">
        <x:v>منتور مکانیک/صنایع</x:v>
      </x:c>
      <x:c r="K276" s="39" t="str"/>
      <x:c r="L276" s="39" t="str">
        <x:v>PL:R201؛ E112:P1742</x:v>
      </x:c>
      <x:c r="M276" s="39" t="str"/>
      <x:c r="N276" s="39" t="str">
        <x:v>نسخه پایه ۳۱۵۰</x:v>
      </x:c>
    </x:row>
    <x:row r="277" ht="34" customHeight="1">
      <x:c r="A277" s="34" t="str">
        <x:v>☐</x:v>
      </x:c>
      <x:c r="B277" s="34" t="str">
        <x:v>MI-0199</x:v>
      </x:c>
      <x:c r="C277" s="34" t="str">
        <x:v>M2 — تحصیل، مسیر شغلی و توانمندی حرفه‌ای</x:v>
      </x:c>
      <x:c r="D277" s="34" t="str">
        <x:v>H6</x:v>
      </x:c>
      <x:c r="E277" s="34" t="str">
        <x:v>مهندسی مکانیک، صنایع و مهارت‌های فنی</x:v>
      </x:c>
      <x:c r="F277" s="34" t="str">
        <x:v>P3/CLARIFY</x:v>
      </x:c>
      <x:c r="G277" s="34" t="str">
        <x:v>هدف/موضوع</x:v>
      </x:c>
      <x:c r="H277" s="39" t="str">
        <x:v>مهندس پدافند غیر عامل</x:v>
      </x:c>
      <x:c r="I277" s="39" t="str">
        <x:v>نیازمند تعریف خروجی یا پارک</x:v>
      </x:c>
      <x:c r="J277" s="39" t="str">
        <x:v>منتور مکانیک/صنایع</x:v>
      </x:c>
      <x:c r="K277" s="39" t="str"/>
      <x:c r="L277" s="39" t="str">
        <x:v>PL:R205</x:v>
      </x:c>
      <x:c r="M277" s="39" t="str"/>
      <x:c r="N277" s="39" t="str">
        <x:v>نسخه پایه ۳۱۵۰</x:v>
      </x:c>
    </x:row>
    <x:row r="278" ht="34" customHeight="1">
      <x:c r="A278" s="34" t="str">
        <x:v>☐</x:v>
      </x:c>
      <x:c r="B278" s="34" t="str">
        <x:v>MI-0223</x:v>
      </x:c>
      <x:c r="C278" s="34" t="str">
        <x:v>M2 — تحصیل، مسیر شغلی و توانمندی حرفه‌ای</x:v>
      </x:c>
      <x:c r="D278" s="34" t="str">
        <x:v>H6</x:v>
      </x:c>
      <x:c r="E278" s="34" t="str">
        <x:v>مهندسی مکانیک، صنایع و مهارت‌های فنی</x:v>
      </x:c>
      <x:c r="F278" s="34" t="str">
        <x:v>P3/CLARIFY</x:v>
      </x:c>
      <x:c r="G278" s="34" t="str">
        <x:v>هدف/موضوع</x:v>
      </x:c>
      <x:c r="H278" s="39" t="str">
        <x:v>مطالعات راهبردی و نظامی</x:v>
      </x:c>
      <x:c r="I278" s="39" t="str">
        <x:v>نیازمند تعریف خروجی یا پارک</x:v>
      </x:c>
      <x:c r="J278" s="39" t="str">
        <x:v>منتور مکانیک/صنایع</x:v>
      </x:c>
      <x:c r="K278" s="39" t="str"/>
      <x:c r="L278" s="39" t="str">
        <x:v>PL:R354</x:v>
      </x:c>
      <x:c r="M278" s="39" t="str"/>
      <x:c r="N278" s="39" t="str">
        <x:v>نسخه پایه ۳۱۵۰</x:v>
      </x:c>
    </x:row>
    <x:row r="279" ht="34" customHeight="1">
      <x:c r="A279" s="34" t="str">
        <x:v>☐</x:v>
      </x:c>
      <x:c r="B279" s="34" t="str">
        <x:v>MI-1103</x:v>
      </x:c>
      <x:c r="C279" s="34" t="str">
        <x:v>M2 — تحصیل، مسیر شغلی و توانمندی حرفه‌ای</x:v>
      </x:c>
      <x:c r="D279" s="34" t="str">
        <x:v>H6</x:v>
      </x:c>
      <x:c r="E279" s="34" t="str">
        <x:v>مهندسی مکانیک، صنایع و مهارت‌های فنی</x:v>
      </x:c>
      <x:c r="F279" s="34" t="str">
        <x:v>P3/CLARIFY</x:v>
      </x:c>
      <x:c r="G279" s="34" t="str">
        <x:v>هدف/موضوع</x:v>
      </x:c>
      <x:c r="H279" s="39" t="str">
        <x:v>با کیفیت باشیم؟؟</x:v>
      </x:c>
      <x:c r="I279" s="39" t="str">
        <x:v>نیازمند تعریف خروجی یا پارک</x:v>
      </x:c>
      <x:c r="J279" s="39" t="str">
        <x:v>منتور مکانیک/صنایع</x:v>
      </x:c>
      <x:c r="K279" s="39" t="str"/>
      <x:c r="L279" s="39" t="str">
        <x:v>AP:P951</x:v>
      </x:c>
      <x:c r="M279" s="39" t="str"/>
      <x:c r="N279" s="39" t="str">
        <x:v>نسخه پایه ۳۱۵۰</x:v>
      </x:c>
    </x:row>
    <x:row r="280" ht="34" customHeight="1">
      <x:c r="A280" s="34" t="str">
        <x:v>☐</x:v>
      </x:c>
      <x:c r="B280" s="34" t="str">
        <x:v>MI-1497</x:v>
      </x:c>
      <x:c r="C280" s="34" t="str">
        <x:v>M2 — تحصیل، مسیر شغلی و توانمندی حرفه‌ای</x:v>
      </x:c>
      <x:c r="D280" s="34" t="str">
        <x:v>H6</x:v>
      </x:c>
      <x:c r="E280" s="34" t="str">
        <x:v>مهندسی مکانیک، صنایع و مهارت‌های فنی</x:v>
      </x:c>
      <x:c r="F280" s="34" t="str">
        <x:v>P3/CLARIFY</x:v>
      </x:c>
      <x:c r="G280" s="34" t="str">
        <x:v>هدف/موضوع</x:v>
      </x:c>
      <x:c r="H280" s="39" t="str">
        <x:v>مدیریت زنجیره تامین</x:v>
      </x:c>
      <x:c r="I280" s="39" t="str">
        <x:v>نیازمند تعریف خروجی یا پارک</x:v>
      </x:c>
      <x:c r="J280" s="39" t="str">
        <x:v>منتور مکانیک/صنایع</x:v>
      </x:c>
      <x:c r="K280" s="39" t="str"/>
      <x:c r="L280" s="39" t="str">
        <x:v>AP:P1450؛ E112:P1320؛ E112:P2565</x:v>
      </x:c>
      <x:c r="M280" s="39" t="str"/>
      <x:c r="N280" s="39" t="str">
        <x:v>نسخه پایه ۳۱۵۰</x:v>
      </x:c>
    </x:row>
    <x:row r="281" ht="34" customHeight="1">
      <x:c r="A281" s="34" t="str">
        <x:v>☐</x:v>
      </x:c>
      <x:c r="B281" s="34" t="str">
        <x:v>MI-1627</x:v>
      </x:c>
      <x:c r="C281" s="34" t="str">
        <x:v>M2 — تحصیل، مسیر شغلی و توانمندی حرفه‌ای</x:v>
      </x:c>
      <x:c r="D281" s="34" t="str">
        <x:v>H6</x:v>
      </x:c>
      <x:c r="E281" s="34" t="str">
        <x:v>مهندسی مکانیک، صنایع و مهارت‌های فنی</x:v>
      </x:c>
      <x:c r="F281" s="34" t="str">
        <x:v>P3/CLARIFY</x:v>
      </x:c>
      <x:c r="G281" s="34" t="str">
        <x:v>هدف/موضوع</x:v>
      </x:c>
      <x:c r="H281" s="39" t="str">
        <x:v>Entrepreneur in Residence + Investment Attraction</x:v>
      </x:c>
      <x:c r="I281" s="39" t="str">
        <x:v>نیازمند تعریف خروجی یا پارک</x:v>
      </x:c>
      <x:c r="J281" s="39" t="str">
        <x:v>منتور مکانیک/صنایع</x:v>
      </x:c>
      <x:c r="K281" s="39" t="str"/>
      <x:c r="L281" s="39" t="str">
        <x:v>E112:P87؛ E112:P1557؛ E112:P1867؛ E112:P2333</x:v>
      </x:c>
      <x:c r="M281" s="39" t="str"/>
      <x:c r="N281" s="39" t="str">
        <x:v>نسخه پایه ۳۱۵۰</x:v>
      </x:c>
    </x:row>
    <x:row r="282" ht="34" customHeight="1">
      <x:c r="A282" s="34" t="str">
        <x:v>☐</x:v>
      </x:c>
      <x:c r="B282" s="34" t="str">
        <x:v>MI-1714</x:v>
      </x:c>
      <x:c r="C282" s="34" t="str">
        <x:v>M2 — تحصیل، مسیر شغلی و توانمندی حرفه‌ای</x:v>
      </x:c>
      <x:c r="D282" s="34" t="str">
        <x:v>H6</x:v>
      </x:c>
      <x:c r="E282" s="34" t="str">
        <x:v>مهندسی مکانیک، صنایع و مهارت‌های فنی</x:v>
      </x:c>
      <x:c r="F282" s="34" t="str">
        <x:v>P3/CLARIFY</x:v>
      </x:c>
      <x:c r="G282" s="34" t="str">
        <x:v>هدف/موضوع</x:v>
      </x:c>
      <x:c r="H282" s="39" t="str">
        <x:v>North Innovation &amp; Investment Forum</x:v>
      </x:c>
      <x:c r="I282" s="39" t="str">
        <x:v>نیازمند تعریف خروجی یا پارک</x:v>
      </x:c>
      <x:c r="J282" s="39" t="str">
        <x:v>منتور مکانیک/صنایع</x:v>
      </x:c>
      <x:c r="K282" s="39" t="str"/>
      <x:c r="L282" s="39" t="str">
        <x:v>E112:P180؛ E112:P1701؛ E112:P1962؛ E112:P2428</x:v>
      </x:c>
      <x:c r="M282" s="39" t="str"/>
      <x:c r="N282" s="39" t="str">
        <x:v>نسخه پایه ۳۱۵۰</x:v>
      </x:c>
    </x:row>
    <x:row r="283" ht="34" customHeight="1">
      <x:c r="A283" s="34" t="str">
        <x:v>☐</x:v>
      </x:c>
      <x:c r="B283" s="34" t="str">
        <x:v>MI-2204</x:v>
      </x:c>
      <x:c r="C283" s="34" t="str">
        <x:v>M2 — تحصیل، مسیر شغلی و توانمندی حرفه‌ای</x:v>
      </x:c>
      <x:c r="D283" s="34" t="str">
        <x:v>H6</x:v>
      </x:c>
      <x:c r="E283" s="34" t="str">
        <x:v>مهندسی مکانیک، صنایع و مهارت‌های فنی</x:v>
      </x:c>
      <x:c r="F283" s="34" t="str">
        <x:v>P3/CLARIFY</x:v>
      </x:c>
      <x:c r="G283" s="34" t="str">
        <x:v>هدف/موضوع</x:v>
      </x:c>
      <x:c r="H283" s="39" t="str">
        <x:v>لجستیک و حمل ونقل شمال</x:v>
      </x:c>
      <x:c r="I283" s="39" t="str">
        <x:v>نیازمند تعریف خروجی یا پارک</x:v>
      </x:c>
      <x:c r="J283" s="39" t="str">
        <x:v>منتور مکانیک/صنایع</x:v>
      </x:c>
      <x:c r="K283" s="39" t="str"/>
      <x:c r="L283" s="39" t="str">
        <x:v>E112:P1031</x:v>
      </x:c>
      <x:c r="M283" s="39" t="str"/>
      <x:c r="N283" s="39" t="str">
        <x:v>نسخه پایه ۳۱۵۰</x:v>
      </x:c>
    </x:row>
    <x:row r="284" ht="34" customHeight="1">
      <x:c r="A284" s="34" t="str">
        <x:v>☐</x:v>
      </x:c>
      <x:c r="B284" s="34" t="str">
        <x:v>MI-2297</x:v>
      </x:c>
      <x:c r="C284" s="34" t="str">
        <x:v>M2 — تحصیل، مسیر شغلی و توانمندی حرفه‌ای</x:v>
      </x:c>
      <x:c r="D284" s="34" t="str">
        <x:v>H6</x:v>
      </x:c>
      <x:c r="E284" s="34" t="str">
        <x:v>مهندسی مکانیک، صنایع و مهارت‌های فنی</x:v>
      </x:c>
      <x:c r="F284" s="34" t="str">
        <x:v>P3/CLARIFY</x:v>
      </x:c>
      <x:c r="G284" s="34" t="str">
        <x:v>هدف/موضوع</x:v>
      </x:c>
      <x:c r="H284" s="39" t="str">
        <x:v>زنجیره تامین کشاورزی</x:v>
      </x:c>
      <x:c r="I284" s="39" t="str">
        <x:v>نیازمند تعریف خروجی یا پارک</x:v>
      </x:c>
      <x:c r="J284" s="39" t="str">
        <x:v>منتور مکانیک/صنایع</x:v>
      </x:c>
      <x:c r="K284" s="39" t="str"/>
      <x:c r="L284" s="39" t="str">
        <x:v>E112:P1261</x:v>
      </x:c>
      <x:c r="M284" s="39" t="str"/>
      <x:c r="N284" s="39" t="str">
        <x:v>نسخه پایه ۳۱۵۰</x:v>
      </x:c>
    </x:row>
    <x:row r="285" ht="34" customHeight="1">
      <x:c r="A285" s="34" t="str">
        <x:v>☐</x:v>
      </x:c>
      <x:c r="B285" s="34" t="str">
        <x:v>MI-2324</x:v>
      </x:c>
      <x:c r="C285" s="34" t="str">
        <x:v>M2 — تحصیل، مسیر شغلی و توانمندی حرفه‌ای</x:v>
      </x:c>
      <x:c r="D285" s="34" t="str">
        <x:v>H6</x:v>
      </x:c>
      <x:c r="E285" s="34" t="str">
        <x:v>مهندسی مکانیک، صنایع و مهارت‌های فنی</x:v>
      </x:c>
      <x:c r="F285" s="34" t="str">
        <x:v>P3/CLARIFY</x:v>
      </x:c>
      <x:c r="G285" s="34" t="str">
        <x:v>هدف/موضوع</x:v>
      </x:c>
      <x:c r="H285" s="39" t="str">
        <x:v>5. لجستیک شمال کشور</x:v>
      </x:c>
      <x:c r="I285" s="39" t="str">
        <x:v>نیازمند تعریف خروجی یا پارک</x:v>
      </x:c>
      <x:c r="J285" s="39" t="str">
        <x:v>منتور مکانیک/صنایع</x:v>
      </x:c>
      <x:c r="K285" s="39" t="str"/>
      <x:c r="L285" s="39" t="str">
        <x:v>E112:P1308</x:v>
      </x:c>
      <x:c r="M285" s="39" t="str"/>
      <x:c r="N285" s="39" t="str">
        <x:v>نسخه پایه ۳۱۵۰</x:v>
      </x:c>
    </x:row>
    <x:row r="286" ht="34" customHeight="1">
      <x:c r="A286" s="34" t="str">
        <x:v>☐</x:v>
      </x:c>
      <x:c r="B286" s="34" t="str">
        <x:v>MI-2328</x:v>
      </x:c>
      <x:c r="C286" s="34" t="str">
        <x:v>M2 — تحصیل، مسیر شغلی و توانمندی حرفه‌ای</x:v>
      </x:c>
      <x:c r="D286" s="34" t="str">
        <x:v>H6</x:v>
      </x:c>
      <x:c r="E286" s="34" t="str">
        <x:v>مهندسی مکانیک، صنایع و مهارت‌های فنی</x:v>
      </x:c>
      <x:c r="F286" s="34" t="str">
        <x:v>P3/CLARIFY</x:v>
      </x:c>
      <x:c r="G286" s="34" t="str">
        <x:v>هدف/موضوع</x:v>
      </x:c>
      <x:c r="H286" s="39" t="str">
        <x:v>لجستیک هوشمند</x:v>
      </x:c>
      <x:c r="I286" s="39" t="str">
        <x:v>نیازمند تعریف خروجی یا پارک</x:v>
      </x:c>
      <x:c r="J286" s="39" t="str">
        <x:v>منتور مکانیک/صنایع</x:v>
      </x:c>
      <x:c r="K286" s="39" t="str"/>
      <x:c r="L286" s="39" t="str">
        <x:v>E112:P1318</x:v>
      </x:c>
      <x:c r="M286" s="39" t="str"/>
      <x:c r="N286" s="39" t="str">
        <x:v>نسخه پایه ۳۱۵۰</x:v>
      </x:c>
    </x:row>
    <x:row r="287" ht="34" customHeight="1">
      <x:c r="A287" s="34" t="str">
        <x:v>☐</x:v>
      </x:c>
      <x:c r="B287" s="34" t="str">
        <x:v>MI-2350</x:v>
      </x:c>
      <x:c r="C287" s="34" t="str">
        <x:v>M2 — تحصیل، مسیر شغلی و توانمندی حرفه‌ای</x:v>
      </x:c>
      <x:c r="D287" s="34" t="str">
        <x:v>H6</x:v>
      </x:c>
      <x:c r="E287" s="34" t="str">
        <x:v>مهندسی مکانیک، صنایع و مهارت‌های فنی</x:v>
      </x:c>
      <x:c r="F287" s="34" t="str">
        <x:v>P3/CLARIFY</x:v>
      </x:c>
      <x:c r="G287" s="34" t="str">
        <x:v>هدف/موضوع</x:v>
      </x:c>
      <x:c r="H287" s="39" t="str">
        <x:v>زنجیره تامین</x:v>
      </x:c>
      <x:c r="I287" s="39" t="str">
        <x:v>نیازمند تعریف خروجی یا پارک</x:v>
      </x:c>
      <x:c r="J287" s="39" t="str">
        <x:v>منتور مکانیک/صنایع</x:v>
      </x:c>
      <x:c r="K287" s="39" t="str"/>
      <x:c r="L287" s="39" t="str">
        <x:v>E112:P1368</x:v>
      </x:c>
      <x:c r="M287" s="39" t="str"/>
      <x:c r="N287" s="39" t="str">
        <x:v>نسخه پایه ۳۱۵۰</x:v>
      </x:c>
    </x:row>
    <x:row r="288" ht="34" customHeight="1">
      <x:c r="A288" s="34" t="str">
        <x:v>☐</x:v>
      </x:c>
      <x:c r="B288" s="34" t="str">
        <x:v>MI-2404</x:v>
      </x:c>
      <x:c r="C288" s="34" t="str">
        <x:v>M2 — تحصیل، مسیر شغلی و توانمندی حرفه‌ای</x:v>
      </x:c>
      <x:c r="D288" s="34" t="str">
        <x:v>H6</x:v>
      </x:c>
      <x:c r="E288" s="34" t="str">
        <x:v>مهندسی مکانیک، صنایع و مهارت‌های فنی</x:v>
      </x:c>
      <x:c r="F288" s="34" t="str">
        <x:v>P3/CLARIFY</x:v>
      </x:c>
      <x:c r="G288" s="34" t="str">
        <x:v>هدف/موضوع</x:v>
      </x:c>
      <x:c r="H288" s="39" t="str">
        <x:v>لجستیک و زنجیره تامین شمال</x:v>
      </x:c>
      <x:c r="I288" s="39" t="str">
        <x:v>نیازمند تعریف خروجی یا پارک</x:v>
      </x:c>
      <x:c r="J288" s="39" t="str">
        <x:v>منتور مکانیک/صنایع</x:v>
      </x:c>
      <x:c r="K288" s="39" t="str"/>
      <x:c r="L288" s="39" t="str">
        <x:v>E112:P1481</x:v>
      </x:c>
      <x:c r="M288" s="39" t="str"/>
      <x:c r="N288" s="39" t="str">
        <x:v>نسخه پایه ۳۱۵۰</x:v>
      </x:c>
    </x:row>
    <x:row r="289" ht="34" customHeight="1">
      <x:c r="A289" s="34" t="str">
        <x:v>☐</x:v>
      </x:c>
      <x:c r="B289" s="34" t="str">
        <x:v>MI-2794</x:v>
      </x:c>
      <x:c r="C289" s="34" t="str">
        <x:v>M2 — تحصیل، مسیر شغلی و توانمندی حرفه‌ای</x:v>
      </x:c>
      <x:c r="D289" s="34" t="str">
        <x:v>H6</x:v>
      </x:c>
      <x:c r="E289" s="34" t="str">
        <x:v>مهندسی مکانیک، صنایع و مهارت‌های فنی</x:v>
      </x:c>
      <x:c r="F289" s="34" t="str">
        <x:v>P3/CLARIFY</x:v>
      </x:c>
      <x:c r="G289" s="34" t="str">
        <x:v>هدف/موضوع</x:v>
      </x:c>
      <x:c r="H289" s="39" t="str">
        <x:v>(Mazandaran Innovation Ecosystem Architecture)</x:v>
      </x:c>
      <x:c r="I289" s="39" t="str">
        <x:v>نیازمند تعریف خروجی یا پارک</x:v>
      </x:c>
      <x:c r="J289" s="39" t="str">
        <x:v>منتور مکانیک/صنایع</x:v>
      </x:c>
      <x:c r="K289" s="39" t="str"/>
      <x:c r="L289" s="39" t="str">
        <x:v>E112:P2929</x:v>
      </x:c>
      <x:c r="M289" s="39" t="str"/>
      <x:c r="N289" s="39" t="str">
        <x:v>نسخه پایه ۳۱۵۰</x:v>
      </x:c>
    </x:row>
    <x:row r="290" ht="34" customHeight="1">
      <x:c r="A290" s="34" t="str">
        <x:v>☐</x:v>
      </x:c>
      <x:c r="B290" s="34" t="str">
        <x:v>MI-2936</x:v>
      </x:c>
      <x:c r="C290" s="34" t="str">
        <x:v>M2 — تحصیل، مسیر شغلی و توانمندی حرفه‌ای</x:v>
      </x:c>
      <x:c r="D290" s="34" t="str">
        <x:v>H6</x:v>
      </x:c>
      <x:c r="E290" s="34" t="str">
        <x:v>مهندسی مکانیک، صنایع و مهارت‌های فنی</x:v>
      </x:c>
      <x:c r="F290" s="34" t="str">
        <x:v>P3/CLARIFY</x:v>
      </x:c>
      <x:c r="G290" s="34" t="str">
        <x:v>هدف/موضوع</x:v>
      </x:c>
      <x:c r="H290" s="39" t="str">
        <x:v>Ecosystem Core Team</x:v>
      </x:c>
      <x:c r="I290" s="39" t="str">
        <x:v>نیازمند تعریف خروجی یا پارک</x:v>
      </x:c>
      <x:c r="J290" s="39" t="str">
        <x:v>منتور مکانیک/صنایع</x:v>
      </x:c>
      <x:c r="K290" s="39" t="str"/>
      <x:c r="L290" s="39" t="str">
        <x:v>E112:P3301</x:v>
      </x:c>
      <x:c r="M290" s="39" t="str"/>
      <x:c r="N290" s="39" t="str">
        <x:v>نسخه پایه ۳۱۵۰</x:v>
      </x:c>
    </x:row>
    <x:row r="291" ht="34" customHeight="1">
      <x:c r="A291" s="34" t="str">
        <x:v>☐</x:v>
      </x:c>
      <x:c r="B291" s="34" t="str">
        <x:v>MI-2947</x:v>
      </x:c>
      <x:c r="C291" s="34" t="str">
        <x:v>M2 — تحصیل، مسیر شغلی و توانمندی حرفه‌ای</x:v>
      </x:c>
      <x:c r="D291" s="34" t="str">
        <x:v>H6</x:v>
      </x:c>
      <x:c r="E291" s="34" t="str">
        <x:v>مهندسی مکانیک، صنایع و مهارت‌های فنی</x:v>
      </x:c>
      <x:c r="F291" s="34" t="str">
        <x:v>P3/CLARIFY</x:v>
      </x:c>
      <x:c r="G291" s="34" t="str">
        <x:v>هدف/موضوع</x:v>
      </x:c>
      <x:c r="H291" s="39" t="str">
        <x:v>(Talent Discovery System)</x:v>
      </x:c>
      <x:c r="I291" s="39" t="str">
        <x:v>نیازمند تعریف خروجی یا پارک</x:v>
      </x:c>
      <x:c r="J291" s="39" t="str">
        <x:v>منتور مکانیک/صنایع</x:v>
      </x:c>
      <x:c r="K291" s="39" t="str"/>
      <x:c r="L291" s="39" t="str">
        <x:v>E112:P3318</x:v>
      </x:c>
      <x:c r="M291" s="39" t="str"/>
      <x:c r="N291" s="39" t="str">
        <x:v>نسخه پایه ۳۱۵۰</x:v>
      </x:c>
    </x:row>
    <x:row r="292" ht="34" customHeight="1">
      <x:c r="A292" s="34" t="str">
        <x:v>☐</x:v>
      </x:c>
      <x:c r="B292" s="34" t="str">
        <x:v>MI-2959</x:v>
      </x:c>
      <x:c r="C292" s="34" t="str">
        <x:v>M2 — تحصیل، مسیر شغلی و توانمندی حرفه‌ای</x:v>
      </x:c>
      <x:c r="D292" s="34" t="str">
        <x:v>H6</x:v>
      </x:c>
      <x:c r="E292" s="34" t="str">
        <x:v>مهندسی مکانیک، صنایع و مهارت‌های فنی</x:v>
      </x:c>
      <x:c r="F292" s="34" t="str">
        <x:v>P3/CLARIFY</x:v>
      </x:c>
      <x:c r="G292" s="34" t="str">
        <x:v>هدف/موضوع</x:v>
      </x:c>
      <x:c r="H292" s="39" t="str">
        <x:v>(Talent Development System)</x:v>
      </x:c>
      <x:c r="I292" s="39" t="str">
        <x:v>نیازمند تعریف خروجی یا پارک</x:v>
      </x:c>
      <x:c r="J292" s="39" t="str">
        <x:v>منتور مکانیک/صنایع</x:v>
      </x:c>
      <x:c r="K292" s="39" t="str"/>
      <x:c r="L292" s="39" t="str">
        <x:v>E112:P3348</x:v>
      </x:c>
      <x:c r="M292" s="39" t="str"/>
      <x:c r="N292" s="39" t="str">
        <x:v>نسخه پایه ۳۱۵۰</x:v>
      </x:c>
    </x:row>
    <x:row r="293" ht="34" customHeight="1">
      <x:c r="A293" s="34" t="str">
        <x:v>☐</x:v>
      </x:c>
      <x:c r="B293" s="34" t="str">
        <x:v>MI-2980</x:v>
      </x:c>
      <x:c r="C293" s="34" t="str">
        <x:v>M2 — تحصیل، مسیر شغلی و توانمندی حرفه‌ای</x:v>
      </x:c>
      <x:c r="D293" s="34" t="str">
        <x:v>H6</x:v>
      </x:c>
      <x:c r="E293" s="34" t="str">
        <x:v>مهندسی مکانیک، صنایع و مهارت‌های فنی</x:v>
      </x:c>
      <x:c r="F293" s="34" t="str">
        <x:v>P3/CLARIFY</x:v>
      </x:c>
      <x:c r="G293" s="34" t="str">
        <x:v>هدف/موضوع</x:v>
      </x:c>
      <x:c r="H293" s="39" t="str">
        <x:v>لجستیک</x:v>
      </x:c>
      <x:c r="I293" s="39" t="str">
        <x:v>نیازمند تعریف خروجی یا پارک</x:v>
      </x:c>
      <x:c r="J293" s="39" t="str">
        <x:v>منتور مکانیک/صنایع</x:v>
      </x:c>
      <x:c r="K293" s="39" t="str"/>
      <x:c r="L293" s="39" t="str">
        <x:v>E112:P3422</x:v>
      </x:c>
      <x:c r="M293" s="39" t="str"/>
      <x:c r="N293" s="39" t="str">
        <x:v>نسخه پایه ۳۱۵۰</x:v>
      </x:c>
    </x:row>
    <x:row r="294" ht="34" customHeight="1">
      <x:c r="A294" s="34" t="str">
        <x:v>☐</x:v>
      </x:c>
      <x:c r="B294" s="34" t="str">
        <x:v>MI-3013</x:v>
      </x:c>
      <x:c r="C294" s="34" t="str">
        <x:v>M2 — تحصیل، مسیر شغلی و توانمندی حرفه‌ای</x:v>
      </x:c>
      <x:c r="D294" s="34" t="str">
        <x:v>H6</x:v>
      </x:c>
      <x:c r="E294" s="34" t="str">
        <x:v>مهندسی مکانیک، صنایع و مهارت‌های فنی</x:v>
      </x:c>
      <x:c r="F294" s="34" t="str">
        <x:v>P3/CLARIFY</x:v>
      </x:c>
      <x:c r="G294" s="34" t="str">
        <x:v>هدف/موضوع</x:v>
      </x:c>
      <x:c r="H294" s="39" t="str">
        <x:v>Investment</x:v>
      </x:c>
      <x:c r="I294" s="39" t="str">
        <x:v>نیازمند تعریف خروجی یا پارک</x:v>
      </x:c>
      <x:c r="J294" s="39" t="str">
        <x:v>منتور مکانیک/صنایع</x:v>
      </x:c>
      <x:c r="K294" s="39" t="str"/>
      <x:c r="L294" s="39" t="str">
        <x:v>E112:P3541</x:v>
      </x:c>
      <x:c r="M294" s="39" t="str"/>
      <x:c r="N294" s="39" t="str">
        <x:v>نسخه پایه ۳۱۵۰</x:v>
      </x:c>
    </x:row>
    <x:row r="295" ht="34" customHeight="1">
      <x:c r="A295" s="34" t="str">
        <x:v>☐</x:v>
      </x:c>
      <x:c r="B295" s="34" t="str">
        <x:v>MI-0042</x:v>
      </x:c>
      <x:c r="C295" s="34" t="str">
        <x:v>M2 — تحصیل، مسیر شغلی و توانمندی حرفه‌ای</x:v>
      </x:c>
      <x:c r="D295" s="34" t="str">
        <x:v>H7</x:v>
      </x:c>
      <x:c r="E295" s="34" t="str">
        <x:v>داده، هوش مصنوعی، نرم‌افزار و اتوماسیون</x:v>
      </x:c>
      <x:c r="F295" s="34" t="str">
        <x:v>P1</x:v>
      </x:c>
      <x:c r="G295" s="34" t="str">
        <x:v>پروژه/طرح</x:v>
      </x:c>
      <x:c r="H295" s="39" t="str">
        <x:v>ساخت دستیار صوتی به زبان فارسی</x:v>
      </x:c>
      <x:c r="I295" s="39" t="str">
        <x:v>سه‌ماهه اول؛ فقط متصل به پروژه واقعی</x:v>
      </x:c>
      <x:c r="J295" s="39" t="str">
        <x:v>منتور داده/AI/اتوماسیون</x:v>
      </x:c>
      <x:c r="K295" s="39" t="str"/>
      <x:c r="L295" s="39" t="str">
        <x:v>PL:R43</x:v>
      </x:c>
      <x:c r="M295" s="39" t="str"/>
      <x:c r="N295" s="39" t="str">
        <x:v>نسخه پایه ۳۱۵۰</x:v>
      </x:c>
    </x:row>
    <x:row r="296" ht="34" customHeight="1">
      <x:c r="A296" s="34" t="str">
        <x:v>☐</x:v>
      </x:c>
      <x:c r="B296" s="34" t="str">
        <x:v>MI-0095</x:v>
      </x:c>
      <x:c r="C296" s="34" t="str">
        <x:v>M2 — تحصیل، مسیر شغلی و توانمندی حرفه‌ای</x:v>
      </x:c>
      <x:c r="D296" s="34" t="str">
        <x:v>H7</x:v>
      </x:c>
      <x:c r="E296" s="34" t="str">
        <x:v>داده، هوش مصنوعی، نرم‌افزار و اتوماسیون</x:v>
      </x:c>
      <x:c r="F296" s="34" t="str">
        <x:v>P1</x:v>
      </x:c>
      <x:c r="G296" s="34" t="str">
        <x:v>پروژه/طرح</x:v>
      </x:c>
      <x:c r="H296" s="39" t="str">
        <x:v>ساخت ریزپرنده</x:v>
      </x:c>
      <x:c r="I296" s="39" t="str">
        <x:v>سه‌ماهه اول؛ فقط متصل به پروژه واقعی</x:v>
      </x:c>
      <x:c r="J296" s="39" t="str">
        <x:v>منتور داده/AI/اتوماسیون</x:v>
      </x:c>
      <x:c r="K296" s="39" t="str"/>
      <x:c r="L296" s="39" t="str">
        <x:v>PL:R97</x:v>
      </x:c>
      <x:c r="M296" s="39" t="str"/>
      <x:c r="N296" s="39" t="str">
        <x:v>نسخه پایه ۳۱۵۰</x:v>
      </x:c>
    </x:row>
    <x:row r="297" ht="34" customHeight="1">
      <x:c r="A297" s="34" t="str">
        <x:v>☐</x:v>
      </x:c>
      <x:c r="B297" s="34" t="str">
        <x:v>MI-0008</x:v>
      </x:c>
      <x:c r="C297" s="34" t="str">
        <x:v>M2 — تحصیل، مسیر شغلی و توانمندی حرفه‌ای</x:v>
      </x:c>
      <x:c r="D297" s="34" t="str">
        <x:v>H7</x:v>
      </x:c>
      <x:c r="E297" s="34" t="str">
        <x:v>داده، هوش مصنوعی، نرم‌افزار و اتوماسیون</x:v>
      </x:c>
      <x:c r="F297" s="34" t="str">
        <x:v>P1</x:v>
      </x:c>
      <x:c r="G297" s="34" t="str">
        <x:v>مهارت/یادگیری</x:v>
      </x:c>
      <x:c r="H297" s="39" t="str">
        <x:v>آشنایی با پاور بی ای</x:v>
      </x:c>
      <x:c r="I297" s="39" t="str">
        <x:v>سه‌ماهه اول؛ فقط متصل به پروژه واقعی</x:v>
      </x:c>
      <x:c r="J297" s="39" t="str">
        <x:v>منتور داده/AI/اتوماسیون</x:v>
      </x:c>
      <x:c r="K297" s="39" t="str"/>
      <x:c r="L297" s="39" t="str">
        <x:v>PL:R9</x:v>
      </x:c>
      <x:c r="M297" s="39" t="str"/>
      <x:c r="N297" s="39" t="str">
        <x:v>نسخه پایه ۳۱۵۰</x:v>
      </x:c>
    </x:row>
    <x:row r="298" ht="34" customHeight="1">
      <x:c r="A298" s="34" t="str">
        <x:v>☐</x:v>
      </x:c>
      <x:c r="B298" s="34" t="str">
        <x:v>MI-0060</x:v>
      </x:c>
      <x:c r="C298" s="34" t="str">
        <x:v>M2 — تحصیل، مسیر شغلی و توانمندی حرفه‌ای</x:v>
      </x:c>
      <x:c r="D298" s="34" t="str">
        <x:v>H7</x:v>
      </x:c>
      <x:c r="E298" s="34" t="str">
        <x:v>داده، هوش مصنوعی، نرم‌افزار و اتوماسیون</x:v>
      </x:c>
      <x:c r="F298" s="34" t="str">
        <x:v>P1</x:v>
      </x:c>
      <x:c r="G298" s="34" t="str">
        <x:v>مهارت/یادگیری</x:v>
      </x:c>
      <x:c r="H298" s="39" t="str">
        <x:v>یادگیری icdl</x:v>
      </x:c>
      <x:c r="I298" s="39" t="str">
        <x:v>سه‌ماهه اول؛ فقط متصل به پروژه واقعی</x:v>
      </x:c>
      <x:c r="J298" s="39" t="str">
        <x:v>منتور داده/AI/اتوماسیون</x:v>
      </x:c>
      <x:c r="K298" s="39" t="str"/>
      <x:c r="L298" s="39" t="str">
        <x:v>PL:R61؛ PL:R166</x:v>
      </x:c>
      <x:c r="M298" s="39" t="str"/>
      <x:c r="N298" s="39" t="str">
        <x:v>نسخه پایه ۳۱۵۰</x:v>
      </x:c>
    </x:row>
    <x:row r="299" ht="34" customHeight="1">
      <x:c r="A299" s="34" t="str">
        <x:v>☐</x:v>
      </x:c>
      <x:c r="B299" s="34" t="str">
        <x:v>MI-0076</x:v>
      </x:c>
      <x:c r="C299" s="34" t="str">
        <x:v>M2 — تحصیل، مسیر شغلی و توانمندی حرفه‌ای</x:v>
      </x:c>
      <x:c r="D299" s="34" t="str">
        <x:v>H7</x:v>
      </x:c>
      <x:c r="E299" s="34" t="str">
        <x:v>داده، هوش مصنوعی، نرم‌افزار و اتوماسیون</x:v>
      </x:c>
      <x:c r="F299" s="34" t="str">
        <x:v>P1</x:v>
      </x:c>
      <x:c r="G299" s="34" t="str">
        <x:v>مهارت/یادگیری</x:v>
      </x:c>
      <x:c r="H299" s="39" t="str">
        <x:v>یادگیری وردپرس</x:v>
      </x:c>
      <x:c r="I299" s="39" t="str">
        <x:v>سه‌ماهه اول؛ فقط متصل به پروژه واقعی</x:v>
      </x:c>
      <x:c r="J299" s="39" t="str">
        <x:v>منتور داده/AI/اتوماسیون</x:v>
      </x:c>
      <x:c r="K299" s="39" t="str"/>
      <x:c r="L299" s="39" t="str">
        <x:v>PL:R77</x:v>
      </x:c>
      <x:c r="M299" s="39" t="str"/>
      <x:c r="N299" s="39" t="str">
        <x:v>نسخه پایه ۳۱۵۰</x:v>
      </x:c>
    </x:row>
    <x:row r="300" ht="34" customHeight="1">
      <x:c r="A300" s="34" t="str">
        <x:v>☐</x:v>
      </x:c>
      <x:c r="B300" s="34" t="str">
        <x:v>MI-0091</x:v>
      </x:c>
      <x:c r="C300" s="34" t="str">
        <x:v>M2 — تحصیل، مسیر شغلی و توانمندی حرفه‌ای</x:v>
      </x:c>
      <x:c r="D300" s="34" t="str">
        <x:v>H7</x:v>
      </x:c>
      <x:c r="E300" s="34" t="str">
        <x:v>داده، هوش مصنوعی، نرم‌افزار و اتوماسیون</x:v>
      </x:c>
      <x:c r="F300" s="34" t="str">
        <x:v>P1</x:v>
      </x:c>
      <x:c r="G300" s="34" t="str">
        <x:v>مهارت/یادگیری</x:v>
      </x:c>
      <x:c r="H300" s="39" t="str">
        <x:v>click house</x:v>
      </x:c>
      <x:c r="I300" s="39" t="str">
        <x:v>سه‌ماهه اول؛ فقط متصل به پروژه واقعی</x:v>
      </x:c>
      <x:c r="J300" s="39" t="str">
        <x:v>منتور داده/AI/اتوماسیون</x:v>
      </x:c>
      <x:c r="K300" s="39" t="str"/>
      <x:c r="L300" s="39" t="str">
        <x:v>PL:R93؛ AP:P1431</x:v>
      </x:c>
      <x:c r="M300" s="39" t="str"/>
      <x:c r="N300" s="39" t="str">
        <x:v>نسخه پایه ۳۱۵۰</x:v>
      </x:c>
    </x:row>
    <x:row r="301" ht="34" customHeight="1">
      <x:c r="A301" s="34" t="str">
        <x:v>☐</x:v>
      </x:c>
      <x:c r="B301" s="34" t="str">
        <x:v>MI-0172</x:v>
      </x:c>
      <x:c r="C301" s="34" t="str">
        <x:v>M2 — تحصیل، مسیر شغلی و توانمندی حرفه‌ای</x:v>
      </x:c>
      <x:c r="D301" s="34" t="str">
        <x:v>H7</x:v>
      </x:c>
      <x:c r="E301" s="34" t="str">
        <x:v>داده، هوش مصنوعی، نرم‌افزار و اتوماسیون</x:v>
      </x:c>
      <x:c r="F301" s="34" t="str">
        <x:v>P1</x:v>
      </x:c>
      <x:c r="G301" s="34" t="str">
        <x:v>مهارت/یادگیری</x:v>
      </x:c>
      <x:c r="H301" s="39" t="str">
        <x:v>تایپ سریع</x:v>
      </x:c>
      <x:c r="I301" s="39" t="str">
        <x:v>سه‌ماهه اول؛ فقط متصل به پروژه واقعی</x:v>
      </x:c>
      <x:c r="J301" s="39" t="str">
        <x:v>منتور داده/AI/اتوماسیون</x:v>
      </x:c>
      <x:c r="K301" s="39" t="str"/>
      <x:c r="L301" s="39" t="str">
        <x:v>PL:R177؛ AP:P1434</x:v>
      </x:c>
      <x:c r="M301" s="39" t="str"/>
      <x:c r="N301" s="39" t="str">
        <x:v>نسخه پایه ۳۱۵۰</x:v>
      </x:c>
    </x:row>
    <x:row r="302" ht="34" customHeight="1">
      <x:c r="A302" s="34" t="str">
        <x:v>☐</x:v>
      </x:c>
      <x:c r="B302" s="34" t="str">
        <x:v>MI-0189</x:v>
      </x:c>
      <x:c r="C302" s="34" t="str">
        <x:v>M2 — تحصیل، مسیر شغلی و توانمندی حرفه‌ای</x:v>
      </x:c>
      <x:c r="D302" s="34" t="str">
        <x:v>H7</x:v>
      </x:c>
      <x:c r="E302" s="34" t="str">
        <x:v>داده، هوش مصنوعی، نرم‌افزار و اتوماسیون</x:v>
      </x:c>
      <x:c r="F302" s="34" t="str">
        <x:v>P1</x:v>
      </x:c>
      <x:c r="G302" s="34" t="str">
        <x:v>مهارت/یادگیری</x:v>
      </x:c>
      <x:c r="H302" s="39" t="str">
        <x:v>POWER BI</x:v>
      </x:c>
      <x:c r="I302" s="39" t="str">
        <x:v>سه‌ماهه اول؛ فقط متصل به پروژه واقعی</x:v>
      </x:c>
      <x:c r="J302" s="39" t="str">
        <x:v>منتور داده/AI/اتوماسیون</x:v>
      </x:c>
      <x:c r="K302" s="39" t="str"/>
      <x:c r="L302" s="39" t="str">
        <x:v>PL:R194؛ AP:P1420</x:v>
      </x:c>
      <x:c r="M302" s="39" t="str"/>
      <x:c r="N302" s="39" t="str">
        <x:v>نسخه پایه ۳۱۵۰</x:v>
      </x:c>
    </x:row>
    <x:row r="303" ht="34" customHeight="1">
      <x:c r="A303" s="34" t="str">
        <x:v>☐</x:v>
      </x:c>
      <x:c r="B303" s="34" t="str">
        <x:v>MI-1481</x:v>
      </x:c>
      <x:c r="C303" s="34" t="str">
        <x:v>M2 — تحصیل، مسیر شغلی و توانمندی حرفه‌ای</x:v>
      </x:c>
      <x:c r="D303" s="34" t="str">
        <x:v>H7</x:v>
      </x:c>
      <x:c r="E303" s="34" t="str">
        <x:v>داده، هوش مصنوعی، نرم‌افزار و اتوماسیون</x:v>
      </x:c>
      <x:c r="F303" s="34" t="str">
        <x:v>P1</x:v>
      </x:c>
      <x:c r="G303" s="34" t="str">
        <x:v>مهارت/یادگیری</x:v>
      </x:c>
      <x:c r="H303" s="39" t="str">
        <x:v>After Effects</x:v>
      </x:c>
      <x:c r="I303" s="39" t="str">
        <x:v>سه‌ماهه اول؛ فقط متصل به پروژه واقعی</x:v>
      </x:c>
      <x:c r="J303" s="39" t="str">
        <x:v>منتور داده/AI/اتوماسیون</x:v>
      </x:c>
      <x:c r="K303" s="39" t="str"/>
      <x:c r="L303" s="39" t="str">
        <x:v>AP:P1416</x:v>
      </x:c>
      <x:c r="M303" s="39" t="str"/>
      <x:c r="N303" s="39" t="str">
        <x:v>نسخه پایه ۳۱۵۰</x:v>
      </x:c>
    </x:row>
    <x:row r="304" ht="34" customHeight="1">
      <x:c r="A304" s="34" t="str">
        <x:v>☐</x:v>
      </x:c>
      <x:c r="B304" s="34" t="str">
        <x:v>MI-1483</x:v>
      </x:c>
      <x:c r="C304" s="34" t="str">
        <x:v>M2 — تحصیل، مسیر شغلی و توانمندی حرفه‌ای</x:v>
      </x:c>
      <x:c r="D304" s="34" t="str">
        <x:v>H7</x:v>
      </x:c>
      <x:c r="E304" s="34" t="str">
        <x:v>داده، هوش مصنوعی، نرم‌افزار و اتوماسیون</x:v>
      </x:c>
      <x:c r="F304" s="34" t="str">
        <x:v>P1</x:v>
      </x:c>
      <x:c r="G304" s="34" t="str">
        <x:v>مهارت/یادگیری</x:v>
      </x:c>
      <x:c r="H304" s="39" t="str">
        <x:v>Python (NLP)</x:v>
      </x:c>
      <x:c r="I304" s="39" t="str">
        <x:v>سه‌ماهه اول؛ فقط متصل به پروژه واقعی</x:v>
      </x:c>
      <x:c r="J304" s="39" t="str">
        <x:v>منتور داده/AI/اتوماسیون</x:v>
      </x:c>
      <x:c r="K304" s="39" t="str"/>
      <x:c r="L304" s="39" t="str">
        <x:v>AP:P1423</x:v>
      </x:c>
      <x:c r="M304" s="39" t="str"/>
      <x:c r="N304" s="39" t="str">
        <x:v>نسخه پایه ۳۱۵۰</x:v>
      </x:c>
    </x:row>
    <x:row r="305" ht="34" customHeight="1">
      <x:c r="A305" s="34" t="str">
        <x:v>☐</x:v>
      </x:c>
      <x:c r="B305" s="34" t="str">
        <x:v>MI-1486</x:v>
      </x:c>
      <x:c r="C305" s="34" t="str">
        <x:v>M2 — تحصیل، مسیر شغلی و توانمندی حرفه‌ای</x:v>
      </x:c>
      <x:c r="D305" s="34" t="str">
        <x:v>H7</x:v>
      </x:c>
      <x:c r="E305" s="34" t="str">
        <x:v>داده، هوش مصنوعی، نرم‌افزار و اتوماسیون</x:v>
      </x:c>
      <x:c r="F305" s="34" t="str">
        <x:v>P1</x:v>
      </x:c>
      <x:c r="G305" s="34" t="str">
        <x:v>مهارت/یادگیری</x:v>
      </x:c>
      <x:c r="H305" s="39" t="str">
        <x:v>تحلیل داده:</x:v>
      </x:c>
      <x:c r="I305" s="39" t="str">
        <x:v>سه‌ماهه اول؛ فقط متصل به پروژه واقعی</x:v>
      </x:c>
      <x:c r="J305" s="39" t="str">
        <x:v>منتور داده/AI/اتوماسیون</x:v>
      </x:c>
      <x:c r="K305" s="39" t="str"/>
      <x:c r="L305" s="39" t="str">
        <x:v>AP:P1428؛ E112:P2015؛ E112:P2555؛ E112:P2993</x:v>
      </x:c>
      <x:c r="M305" s="39" t="str"/>
      <x:c r="N305" s="39" t="str">
        <x:v>نسخه پایه ۳۱۵۰</x:v>
      </x:c>
    </x:row>
    <x:row r="306" ht="34" customHeight="1">
      <x:c r="A306" s="34" t="str">
        <x:v>☐</x:v>
      </x:c>
      <x:c r="B306" s="34" t="str">
        <x:v>MI-1487</x:v>
      </x:c>
      <x:c r="C306" s="34" t="str">
        <x:v>M2 — تحصیل، مسیر شغلی و توانمندی حرفه‌ای</x:v>
      </x:c>
      <x:c r="D306" s="34" t="str">
        <x:v>H7</x:v>
      </x:c>
      <x:c r="E306" s="34" t="str">
        <x:v>داده، هوش مصنوعی، نرم‌افزار و اتوماسیون</x:v>
      </x:c>
      <x:c r="F306" s="34" t="str">
        <x:v>P1</x:v>
      </x:c>
      <x:c r="G306" s="34" t="str">
        <x:v>مهارت/یادگیری</x:v>
      </x:c>
      <x:c r="H306" s="39" t="str">
        <x:v>Google Trends</x:v>
      </x:c>
      <x:c r="I306" s="39" t="str">
        <x:v>سه‌ماهه اول؛ فقط متصل به پروژه واقعی</x:v>
      </x:c>
      <x:c r="J306" s="39" t="str">
        <x:v>منتور داده/AI/اتوماسیون</x:v>
      </x:c>
      <x:c r="K306" s="39" t="str"/>
      <x:c r="L306" s="39" t="str">
        <x:v>AP:P1429</x:v>
      </x:c>
      <x:c r="M306" s="39" t="str"/>
      <x:c r="N306" s="39" t="str">
        <x:v>نسخه پایه ۳۱۵۰</x:v>
      </x:c>
    </x:row>
    <x:row r="307" ht="34" customHeight="1">
      <x:c r="A307" s="34" t="str">
        <x:v>☐</x:v>
      </x:c>
      <x:c r="B307" s="34" t="str">
        <x:v>MI-1488</x:v>
      </x:c>
      <x:c r="C307" s="34" t="str">
        <x:v>M2 — تحصیل، مسیر شغلی و توانمندی حرفه‌ای</x:v>
      </x:c>
      <x:c r="D307" s="34" t="str">
        <x:v>H7</x:v>
      </x:c>
      <x:c r="E307" s="34" t="str">
        <x:v>داده، هوش مصنوعی، نرم‌افزار و اتوماسیون</x:v>
      </x:c>
      <x:c r="F307" s="34" t="str">
        <x:v>P1</x:v>
      </x:c>
      <x:c r="G307" s="34" t="str">
        <x:v>مهارت/یادگیری</x:v>
      </x:c>
      <x:c r="H307" s="39" t="str">
        <x:v>Google Search Console</x:v>
      </x:c>
      <x:c r="I307" s="39" t="str">
        <x:v>سه‌ماهه اول؛ فقط متصل به پروژه واقعی</x:v>
      </x:c>
      <x:c r="J307" s="39" t="str">
        <x:v>منتور داده/AI/اتوماسیون</x:v>
      </x:c>
      <x:c r="K307" s="39" t="str"/>
      <x:c r="L307" s="39" t="str">
        <x:v>AP:P1430</x:v>
      </x:c>
      <x:c r="M307" s="39" t="str"/>
      <x:c r="N307" s="39" t="str">
        <x:v>نسخه پایه ۳۱۵۰</x:v>
      </x:c>
    </x:row>
    <x:row r="308" ht="34" customHeight="1">
      <x:c r="A308" s="34" t="str">
        <x:v>☐</x:v>
      </x:c>
      <x:c r="B308" s="34" t="str">
        <x:v>MI-1489</x:v>
      </x:c>
      <x:c r="C308" s="34" t="str">
        <x:v>M2 — تحصیل، مسیر شغلی و توانمندی حرفه‌ای</x:v>
      </x:c>
      <x:c r="D308" s="34" t="str">
        <x:v>H7</x:v>
      </x:c>
      <x:c r="E308" s="34" t="str">
        <x:v>داده، هوش مصنوعی، نرم‌افزار و اتوماسیون</x:v>
      </x:c>
      <x:c r="F308" s="34" t="str">
        <x:v>P1</x:v>
      </x:c>
      <x:c r="G308" s="34" t="str">
        <x:v>مهارت/یادگیری</x:v>
      </x:c>
      <x:c r="H308" s="39" t="str">
        <x:v>Google Analytics</x:v>
      </x:c>
      <x:c r="I308" s="39" t="str">
        <x:v>سه‌ماهه اول؛ فقط متصل به پروژه واقعی</x:v>
      </x:c>
      <x:c r="J308" s="39" t="str">
        <x:v>منتور داده/AI/اتوماسیون</x:v>
      </x:c>
      <x:c r="K308" s="39" t="str"/>
      <x:c r="L308" s="39" t="str">
        <x:v>AP:P1432</x:v>
      </x:c>
      <x:c r="M308" s="39" t="str"/>
      <x:c r="N308" s="39" t="str">
        <x:v>نسخه پایه ۳۱۵۰</x:v>
      </x:c>
    </x:row>
    <x:row r="309" ht="34" customHeight="1">
      <x:c r="A309" s="34" t="str">
        <x:v>☐</x:v>
      </x:c>
      <x:c r="B309" s="34" t="str">
        <x:v>MI-0092</x:v>
      </x:c>
      <x:c r="C309" s="34" t="str">
        <x:v>M2 — تحصیل، مسیر شغلی و توانمندی حرفه‌ای</x:v>
      </x:c>
      <x:c r="D309" s="34" t="str">
        <x:v>H7</x:v>
      </x:c>
      <x:c r="E309" s="34" t="str">
        <x:v>داده، هوش مصنوعی، نرم‌افزار و اتوماسیون</x:v>
      </x:c>
      <x:c r="F309" s="34" t="str">
        <x:v>P1</x:v>
      </x:c>
      <x:c r="G309" s="34" t="str">
        <x:v>هدف/موضوع</x:v>
      </x:c>
      <x:c r="H309" s="39" t="str">
        <x:v>fritzing</x:v>
      </x:c>
      <x:c r="I309" s="39" t="str">
        <x:v>سه‌ماهه اول؛ فقط متصل به پروژه واقعی</x:v>
      </x:c>
      <x:c r="J309" s="39" t="str">
        <x:v>منتور داده/AI/اتوماسیون</x:v>
      </x:c>
      <x:c r="K309" s="39" t="str"/>
      <x:c r="L309" s="39" t="str">
        <x:v>PL:R94</x:v>
      </x:c>
      <x:c r="M309" s="39" t="str"/>
      <x:c r="N309" s="39" t="str">
        <x:v>نسخه پایه ۳۱۵۰</x:v>
      </x:c>
    </x:row>
    <x:row r="310" ht="34" customHeight="1">
      <x:c r="A310" s="34" t="str">
        <x:v>☐</x:v>
      </x:c>
      <x:c r="B310" s="34" t="str">
        <x:v>MI-0094</x:v>
      </x:c>
      <x:c r="C310" s="34" t="str">
        <x:v>M2 — تحصیل، مسیر شغلی و توانمندی حرفه‌ای</x:v>
      </x:c>
      <x:c r="D310" s="34" t="str">
        <x:v>H7</x:v>
      </x:c>
      <x:c r="E310" s="34" t="str">
        <x:v>داده، هوش مصنوعی، نرم‌افزار و اتوماسیون</x:v>
      </x:c>
      <x:c r="F310" s="34" t="str">
        <x:v>P1</x:v>
      </x:c>
      <x:c r="G310" s="34" t="str">
        <x:v>هدف/موضوع</x:v>
      </x:c>
      <x:c r="H310" s="39" t="str">
        <x:v>زبان verilog</x:v>
      </x:c>
      <x:c r="I310" s="39" t="str">
        <x:v>سه‌ماهه اول؛ فقط متصل به پروژه واقعی</x:v>
      </x:c>
      <x:c r="J310" s="39" t="str">
        <x:v>منتور داده/AI/اتوماسیون</x:v>
      </x:c>
      <x:c r="K310" s="39" t="str"/>
      <x:c r="L310" s="39" t="str">
        <x:v>PL:R96</x:v>
      </x:c>
      <x:c r="M310" s="39" t="str"/>
      <x:c r="N310" s="39" t="str">
        <x:v>نسخه پایه ۳۱۵۰</x:v>
      </x:c>
    </x:row>
    <x:row r="311" ht="34" customHeight="1">
      <x:c r="A311" s="34" t="str">
        <x:v>☐</x:v>
      </x:c>
      <x:c r="B311" s="34" t="str">
        <x:v>MI-0096</x:v>
      </x:c>
      <x:c r="C311" s="34" t="str">
        <x:v>M2 — تحصیل، مسیر شغلی و توانمندی حرفه‌ای</x:v>
      </x:c>
      <x:c r="D311" s="34" t="str">
        <x:v>H7</x:v>
      </x:c>
      <x:c r="E311" s="34" t="str">
        <x:v>داده، هوش مصنوعی، نرم‌افزار و اتوماسیون</x:v>
      </x:c>
      <x:c r="F311" s="34" t="str">
        <x:v>P1</x:v>
      </x:c>
      <x:c r="G311" s="34" t="str">
        <x:v>هدف/موضوع</x:v>
      </x:c>
      <x:c r="H311" s="39" t="str">
        <x:v>هوش مصنوعی و رباتیک</x:v>
      </x:c>
      <x:c r="I311" s="39" t="str">
        <x:v>سه‌ماهه اول؛ فقط متصل به پروژه واقعی</x:v>
      </x:c>
      <x:c r="J311" s="39" t="str">
        <x:v>منتور داده/AI/اتوماسیون</x:v>
      </x:c>
      <x:c r="K311" s="39" t="str"/>
      <x:c r="L311" s="39" t="str">
        <x:v>PL:R98</x:v>
      </x:c>
      <x:c r="M311" s="39" t="str"/>
      <x:c r="N311" s="39" t="str">
        <x:v>نسخه پایه ۳۱۵۰</x:v>
      </x:c>
    </x:row>
    <x:row r="312" ht="34" customHeight="1">
      <x:c r="A312" s="34" t="str">
        <x:v>☐</x:v>
      </x:c>
      <x:c r="B312" s="34" t="str">
        <x:v>MI-0097</x:v>
      </x:c>
      <x:c r="C312" s="34" t="str">
        <x:v>M2 — تحصیل، مسیر شغلی و توانمندی حرفه‌ای</x:v>
      </x:c>
      <x:c r="D312" s="34" t="str">
        <x:v>H7</x:v>
      </x:c>
      <x:c r="E312" s="34" t="str">
        <x:v>داده، هوش مصنوعی، نرم‌افزار و اتوماسیون</x:v>
      </x:c>
      <x:c r="F312" s="34" t="str">
        <x:v>P1</x:v>
      </x:c>
      <x:c r="G312" s="34" t="str">
        <x:v>هدف/موضوع</x:v>
      </x:c>
      <x:c r="H312" s="39" t="str">
        <x:v>هوش مصنوعی و دوبله با زبان خودش</x:v>
      </x:c>
      <x:c r="I312" s="39" t="str">
        <x:v>سه‌ماهه اول؛ فقط متصل به پروژه واقعی</x:v>
      </x:c>
      <x:c r="J312" s="39" t="str">
        <x:v>منتور داده/AI/اتوماسیون</x:v>
      </x:c>
      <x:c r="K312" s="39" t="str"/>
      <x:c r="L312" s="39" t="str">
        <x:v>PL:R99</x:v>
      </x:c>
      <x:c r="M312" s="39" t="str"/>
      <x:c r="N312" s="39" t="str">
        <x:v>نسخه پایه ۳۱۵۰</x:v>
      </x:c>
    </x:row>
    <x:row r="313" ht="34" customHeight="1">
      <x:c r="A313" s="34" t="str">
        <x:v>☐</x:v>
      </x:c>
      <x:c r="B313" s="34" t="str">
        <x:v>MI-0116</x:v>
      </x:c>
      <x:c r="C313" s="34" t="str">
        <x:v>M2 — تحصیل، مسیر شغلی و توانمندی حرفه‌ای</x:v>
      </x:c>
      <x:c r="D313" s="34" t="str">
        <x:v>H7</x:v>
      </x:c>
      <x:c r="E313" s="34" t="str">
        <x:v>داده، هوش مصنوعی، نرم‌افزار و اتوماسیون</x:v>
      </x:c>
      <x:c r="F313" s="34" t="str">
        <x:v>P1</x:v>
      </x:c>
      <x:c r="G313" s="34" t="str">
        <x:v>هدف/موضوع</x:v>
      </x:c>
      <x:c r="H313" s="39" t="str">
        <x:v>کنترل سیستم های هوشمند</x:v>
      </x:c>
      <x:c r="I313" s="39" t="str">
        <x:v>سه‌ماهه اول؛ فقط متصل به پروژه واقعی</x:v>
      </x:c>
      <x:c r="J313" s="39" t="str">
        <x:v>منتور داده/AI/اتوماسیون</x:v>
      </x:c>
      <x:c r="K313" s="39" t="str"/>
      <x:c r="L313" s="39" t="str">
        <x:v>PL:R118</x:v>
      </x:c>
      <x:c r="M313" s="39" t="str"/>
      <x:c r="N313" s="39" t="str">
        <x:v>نسخه پایه ۳۱۵۰</x:v>
      </x:c>
    </x:row>
    <x:row r="314" ht="34" customHeight="1">
      <x:c r="A314" s="34" t="str">
        <x:v>☐</x:v>
      </x:c>
      <x:c r="B314" s="34" t="str">
        <x:v>MI-0124</x:v>
      </x:c>
      <x:c r="C314" s="34" t="str">
        <x:v>M2 — تحصیل، مسیر شغلی و توانمندی حرفه‌ای</x:v>
      </x:c>
      <x:c r="D314" s="34" t="str">
        <x:v>H7</x:v>
      </x:c>
      <x:c r="E314" s="34" t="str">
        <x:v>داده، هوش مصنوعی، نرم‌افزار و اتوماسیون</x:v>
      </x:c>
      <x:c r="F314" s="34" t="str">
        <x:v>P1</x:v>
      </x:c>
      <x:c r="G314" s="34" t="str">
        <x:v>هدف/موضوع</x:v>
      </x:c>
      <x:c r="H314" s="39" t="str">
        <x:v>coreal video studio</x:v>
      </x:c>
      <x:c r="I314" s="39" t="str">
        <x:v>سه‌ماهه اول؛ فقط متصل به پروژه واقعی</x:v>
      </x:c>
      <x:c r="J314" s="39" t="str">
        <x:v>منتور داده/AI/اتوماسیون</x:v>
      </x:c>
      <x:c r="K314" s="39" t="str"/>
      <x:c r="L314" s="39" t="str">
        <x:v>PL:R126</x:v>
      </x:c>
      <x:c r="M314" s="39" t="str"/>
      <x:c r="N314" s="39" t="str">
        <x:v>نسخه پایه ۳۱۵۰</x:v>
      </x:c>
    </x:row>
    <x:row r="315" ht="34" customHeight="1">
      <x:c r="A315" s="34" t="str">
        <x:v>☐</x:v>
      </x:c>
      <x:c r="B315" s="34" t="str">
        <x:v>MI-0125</x:v>
      </x:c>
      <x:c r="C315" s="34" t="str">
        <x:v>M2 — تحصیل، مسیر شغلی و توانمندی حرفه‌ای</x:v>
      </x:c>
      <x:c r="D315" s="34" t="str">
        <x:v>H7</x:v>
      </x:c>
      <x:c r="E315" s="34" t="str">
        <x:v>داده، هوش مصنوعی، نرم‌افزار و اتوماسیون</x:v>
      </x:c>
      <x:c r="F315" s="34" t="str">
        <x:v>P1</x:v>
      </x:c>
      <x:c r="G315" s="34" t="str">
        <x:v>هدف/موضوع</x:v>
      </x:c>
      <x:c r="H315" s="39" t="str">
        <x:v>after effect</x:v>
      </x:c>
      <x:c r="I315" s="39" t="str">
        <x:v>سه‌ماهه اول؛ فقط متصل به پروژه واقعی</x:v>
      </x:c>
      <x:c r="J315" s="39" t="str">
        <x:v>منتور داده/AI/اتوماسیون</x:v>
      </x:c>
      <x:c r="K315" s="39" t="str"/>
      <x:c r="L315" s="39" t="str">
        <x:v>PL:R127</x:v>
      </x:c>
      <x:c r="M315" s="39" t="str"/>
      <x:c r="N315" s="39" t="str">
        <x:v>نسخه پایه ۳۱۵۰</x:v>
      </x:c>
    </x:row>
    <x:row r="316" ht="34" customHeight="1">
      <x:c r="A316" s="34" t="str">
        <x:v>☐</x:v>
      </x:c>
      <x:c r="B316" s="34" t="str">
        <x:v>MI-0128</x:v>
      </x:c>
      <x:c r="C316" s="34" t="str">
        <x:v>M2 — تحصیل، مسیر شغلی و توانمندی حرفه‌ای</x:v>
      </x:c>
      <x:c r="D316" s="34" t="str">
        <x:v>H7</x:v>
      </x:c>
      <x:c r="E316" s="34" t="str">
        <x:v>داده، هوش مصنوعی، نرم‌افزار و اتوماسیون</x:v>
      </x:c>
      <x:c r="F316" s="34" t="str">
        <x:v>P1</x:v>
      </x:c>
      <x:c r="G316" s="34" t="str">
        <x:v>هدف/موضوع</x:v>
      </x:c>
      <x:c r="H316" s="39" t="str">
        <x:v>yolo</x:v>
      </x:c>
      <x:c r="I316" s="39" t="str">
        <x:v>سه‌ماهه اول؛ فقط متصل به پروژه واقعی</x:v>
      </x:c>
      <x:c r="J316" s="39" t="str">
        <x:v>منتور داده/AI/اتوماسیون</x:v>
      </x:c>
      <x:c r="K316" s="39" t="str"/>
      <x:c r="L316" s="39" t="str">
        <x:v>PL:R130</x:v>
      </x:c>
      <x:c r="M316" s="39" t="str"/>
      <x:c r="N316" s="39" t="str">
        <x:v>نسخه پایه ۳۱۵۰</x:v>
      </x:c>
    </x:row>
    <x:row r="317" ht="34" customHeight="1">
      <x:c r="A317" s="34" t="str">
        <x:v>☐</x:v>
      </x:c>
      <x:c r="B317" s="34" t="str">
        <x:v>MI-0132</x:v>
      </x:c>
      <x:c r="C317" s="34" t="str">
        <x:v>M2 — تحصیل، مسیر شغلی و توانمندی حرفه‌ای</x:v>
      </x:c>
      <x:c r="D317" s="34" t="str">
        <x:v>H7</x:v>
      </x:c>
      <x:c r="E317" s="34" t="str">
        <x:v>داده، هوش مصنوعی، نرم‌افزار و اتوماسیون</x:v>
      </x:c>
      <x:c r="F317" s="34" t="str">
        <x:v>P1</x:v>
      </x:c>
      <x:c r="G317" s="34" t="str">
        <x:v>هدف/موضوع</x:v>
      </x:c>
      <x:c r="H317" s="39" t="str">
        <x:v>cvat</x:v>
      </x:c>
      <x:c r="I317" s="39" t="str">
        <x:v>سه‌ماهه اول؛ فقط متصل به پروژه واقعی</x:v>
      </x:c>
      <x:c r="J317" s="39" t="str">
        <x:v>منتور داده/AI/اتوماسیون</x:v>
      </x:c>
      <x:c r="K317" s="39" t="str"/>
      <x:c r="L317" s="39" t="str">
        <x:v>PL:R134</x:v>
      </x:c>
      <x:c r="M317" s="39" t="str"/>
      <x:c r="N317" s="39" t="str">
        <x:v>نسخه پایه ۳۱۵۰</x:v>
      </x:c>
    </x:row>
    <x:row r="318" ht="34" customHeight="1">
      <x:c r="A318" s="34" t="str">
        <x:v>☐</x:v>
      </x:c>
      <x:c r="B318" s="34" t="str">
        <x:v>MI-0133</x:v>
      </x:c>
      <x:c r="C318" s="34" t="str">
        <x:v>M2 — تحصیل، مسیر شغلی و توانمندی حرفه‌ای</x:v>
      </x:c>
      <x:c r="D318" s="34" t="str">
        <x:v>H7</x:v>
      </x:c>
      <x:c r="E318" s="34" t="str">
        <x:v>داده، هوش مصنوعی، نرم‌افزار و اتوماسیون</x:v>
      </x:c>
      <x:c r="F318" s="34" t="str">
        <x:v>P1</x:v>
      </x:c>
      <x:c r="G318" s="34" t="str">
        <x:v>هدف/موضوع</x:v>
      </x:c>
      <x:c r="H318" s="39" t="str">
        <x:v>jupyterlab</x:v>
      </x:c>
      <x:c r="I318" s="39" t="str">
        <x:v>سه‌ماهه اول؛ فقط متصل به پروژه واقعی</x:v>
      </x:c>
      <x:c r="J318" s="39" t="str">
        <x:v>منتور داده/AI/اتوماسیون</x:v>
      </x:c>
      <x:c r="K318" s="39" t="str"/>
      <x:c r="L318" s="39" t="str">
        <x:v>PL:R135</x:v>
      </x:c>
      <x:c r="M318" s="39" t="str"/>
      <x:c r="N318" s="39" t="str">
        <x:v>نسخه پایه ۳۱۵۰</x:v>
      </x:c>
    </x:row>
    <x:row r="319" ht="34" customHeight="1">
      <x:c r="A319" s="34" t="str">
        <x:v>☐</x:v>
      </x:c>
      <x:c r="B319" s="34" t="str">
        <x:v>MI-0140</x:v>
      </x:c>
      <x:c r="C319" s="34" t="str">
        <x:v>M2 — تحصیل، مسیر شغلی و توانمندی حرفه‌ای</x:v>
      </x:c>
      <x:c r="D319" s="34" t="str">
        <x:v>H7</x:v>
      </x:c>
      <x:c r="E319" s="34" t="str">
        <x:v>داده، هوش مصنوعی، نرم‌افزار و اتوماسیون</x:v>
      </x:c>
      <x:c r="F319" s="34" t="str">
        <x:v>P1</x:v>
      </x:c>
      <x:c r="G319" s="34" t="str">
        <x:v>هدف/موضوع</x:v>
      </x:c>
      <x:c r="H319" s="39" t="str">
        <x:v>انریل انجین</x:v>
      </x:c>
      <x:c r="I319" s="39" t="str">
        <x:v>سه‌ماهه اول؛ فقط متصل به پروژه واقعی</x:v>
      </x:c>
      <x:c r="J319" s="39" t="str">
        <x:v>منتور داده/AI/اتوماسیون</x:v>
      </x:c>
      <x:c r="K319" s="39" t="str"/>
      <x:c r="L319" s="39" t="str">
        <x:v>PL:R142</x:v>
      </x:c>
      <x:c r="M319" s="39" t="str"/>
      <x:c r="N319" s="39" t="str">
        <x:v>نسخه پایه ۳۱۵۰</x:v>
      </x:c>
    </x:row>
    <x:row r="320" ht="34" customHeight="1">
      <x:c r="A320" s="34" t="str">
        <x:v>☐</x:v>
      </x:c>
      <x:c r="B320" s="34" t="str">
        <x:v>MI-0144</x:v>
      </x:c>
      <x:c r="C320" s="34" t="str">
        <x:v>M2 — تحصیل، مسیر شغلی و توانمندی حرفه‌ای</x:v>
      </x:c>
      <x:c r="D320" s="34" t="str">
        <x:v>H7</x:v>
      </x:c>
      <x:c r="E320" s="34" t="str">
        <x:v>داده، هوش مصنوعی، نرم‌افزار و اتوماسیون</x:v>
      </x:c>
      <x:c r="F320" s="34" t="str">
        <x:v>P1</x:v>
      </x:c>
      <x:c r="G320" s="34" t="str">
        <x:v>هدف/موضوع</x:v>
      </x:c>
      <x:c r="H320" s="39" t="str">
        <x:v>gambit</x:v>
      </x:c>
      <x:c r="I320" s="39" t="str">
        <x:v>سه‌ماهه اول؛ فقط متصل به پروژه واقعی</x:v>
      </x:c>
      <x:c r="J320" s="39" t="str">
        <x:v>منتور داده/AI/اتوماسیون</x:v>
      </x:c>
      <x:c r="K320" s="39" t="str"/>
      <x:c r="L320" s="39" t="str">
        <x:v>PL:R147</x:v>
      </x:c>
      <x:c r="M320" s="39" t="str"/>
      <x:c r="N320" s="39" t="str">
        <x:v>نسخه پایه ۳۱۵۰</x:v>
      </x:c>
    </x:row>
    <x:row r="321" ht="34" customHeight="1">
      <x:c r="A321" s="34" t="str">
        <x:v>☐</x:v>
      </x:c>
      <x:c r="B321" s="34" t="str">
        <x:v>MI-0147</x:v>
      </x:c>
      <x:c r="C321" s="34" t="str">
        <x:v>M2 — تحصیل، مسیر شغلی و توانمندی حرفه‌ای</x:v>
      </x:c>
      <x:c r="D321" s="34" t="str">
        <x:v>H7</x:v>
      </x:c>
      <x:c r="E321" s="34" t="str">
        <x:v>داده، هوش مصنوعی، نرم‌افزار و اتوماسیون</x:v>
      </x:c>
      <x:c r="F321" s="34" t="str">
        <x:v>P1</x:v>
      </x:c>
      <x:c r="G321" s="34" t="str">
        <x:v>هدف/موضوع</x:v>
      </x:c>
      <x:c r="H321" s="39" t="str">
        <x:v>CNN</x:v>
      </x:c>
      <x:c r="I321" s="39" t="str">
        <x:v>سه‌ماهه اول؛ فقط متصل به پروژه واقعی</x:v>
      </x:c>
      <x:c r="J321" s="39" t="str">
        <x:v>منتور داده/AI/اتوماسیون</x:v>
      </x:c>
      <x:c r="K321" s="39" t="str"/>
      <x:c r="L321" s="39" t="str">
        <x:v>PL:R151</x:v>
      </x:c>
      <x:c r="M321" s="39" t="str"/>
      <x:c r="N321" s="39" t="str">
        <x:v>نسخه پایه ۳۱۵۰</x:v>
      </x:c>
    </x:row>
    <x:row r="322" ht="34" customHeight="1">
      <x:c r="A322" s="34" t="str">
        <x:v>☐</x:v>
      </x:c>
      <x:c r="B322" s="34" t="str">
        <x:v>MI-0158</x:v>
      </x:c>
      <x:c r="C322" s="34" t="str">
        <x:v>M2 — تحصیل، مسیر شغلی و توانمندی حرفه‌ای</x:v>
      </x:c>
      <x:c r="D322" s="34" t="str">
        <x:v>H7</x:v>
      </x:c>
      <x:c r="E322" s="34" t="str">
        <x:v>داده، هوش مصنوعی، نرم‌افزار و اتوماسیون</x:v>
      </x:c>
      <x:c r="F322" s="34" t="str">
        <x:v>P1</x:v>
      </x:c>
      <x:c r="G322" s="34" t="str">
        <x:v>هدف/موضوع</x:v>
      </x:c>
      <x:c r="H322" s="39" t="str">
        <x:v>GWT</x:v>
      </x:c>
      <x:c r="I322" s="39" t="str">
        <x:v>سه‌ماهه اول؛ فقط متصل به پروژه واقعی</x:v>
      </x:c>
      <x:c r="J322" s="39" t="str">
        <x:v>منتور داده/AI/اتوماسیون</x:v>
      </x:c>
      <x:c r="K322" s="39" t="str"/>
      <x:c r="L322" s="39" t="str">
        <x:v>PL:R162</x:v>
      </x:c>
      <x:c r="M322" s="39" t="str"/>
      <x:c r="N322" s="39" t="str">
        <x:v>نسخه پایه ۳۱۵۰</x:v>
      </x:c>
    </x:row>
    <x:row r="323" ht="34" customHeight="1">
      <x:c r="A323" s="34" t="str">
        <x:v>☐</x:v>
      </x:c>
      <x:c r="B323" s="34" t="str">
        <x:v>MI-0159</x:v>
      </x:c>
      <x:c r="C323" s="34" t="str">
        <x:v>M2 — تحصیل، مسیر شغلی و توانمندی حرفه‌ای</x:v>
      </x:c>
      <x:c r="D323" s="34" t="str">
        <x:v>H7</x:v>
      </x:c>
      <x:c r="E323" s="34" t="str">
        <x:v>داده، هوش مصنوعی، نرم‌افزار و اتوماسیون</x:v>
      </x:c>
      <x:c r="F323" s="34" t="str">
        <x:v>P1</x:v>
      </x:c>
      <x:c r="G323" s="34" t="str">
        <x:v>هدف/موضوع</x:v>
      </x:c>
      <x:c r="H323" s="39" t="str">
        <x:v>MVC</x:v>
      </x:c>
      <x:c r="I323" s="39" t="str">
        <x:v>سه‌ماهه اول؛ فقط متصل به پروژه واقعی</x:v>
      </x:c>
      <x:c r="J323" s="39" t="str">
        <x:v>منتور داده/AI/اتوماسیون</x:v>
      </x:c>
      <x:c r="K323" s="39" t="str"/>
      <x:c r="L323" s="39" t="str">
        <x:v>PL:R163</x:v>
      </x:c>
      <x:c r="M323" s="39" t="str"/>
      <x:c r="N323" s="39" t="str">
        <x:v>نسخه پایه ۳۱۵۰</x:v>
      </x:c>
    </x:row>
    <x:row r="324" ht="34" customHeight="1">
      <x:c r="A324" s="34" t="str">
        <x:v>☐</x:v>
      </x:c>
      <x:c r="B324" s="34" t="str">
        <x:v>MI-0160</x:v>
      </x:c>
      <x:c r="C324" s="34" t="str">
        <x:v>M2 — تحصیل، مسیر شغلی و توانمندی حرفه‌ای</x:v>
      </x:c>
      <x:c r="D324" s="34" t="str">
        <x:v>H7</x:v>
      </x:c>
      <x:c r="E324" s="34" t="str">
        <x:v>داده، هوش مصنوعی، نرم‌افزار و اتوماسیون</x:v>
      </x:c>
      <x:c r="F324" s="34" t="str">
        <x:v>P1</x:v>
      </x:c>
      <x:c r="G324" s="34" t="str">
        <x:v>هدف/موضوع</x:v>
      </x:c>
      <x:c r="H324" s="39" t="str">
        <x:v>ASP LIFE CYCLE</x:v>
      </x:c>
      <x:c r="I324" s="39" t="str">
        <x:v>سه‌ماهه اول؛ فقط متصل به پروژه واقعی</x:v>
      </x:c>
      <x:c r="J324" s="39" t="str">
        <x:v>منتور داده/AI/اتوماسیون</x:v>
      </x:c>
      <x:c r="K324" s="39" t="str"/>
      <x:c r="L324" s="39" t="str">
        <x:v>PL:R164</x:v>
      </x:c>
      <x:c r="M324" s="39" t="str"/>
      <x:c r="N324" s="39" t="str">
        <x:v>نسخه پایه ۳۱۵۰</x:v>
      </x:c>
    </x:row>
    <x:row r="325" ht="34" customHeight="1">
      <x:c r="A325" s="34" t="str">
        <x:v>☐</x:v>
      </x:c>
      <x:c r="B325" s="34" t="str">
        <x:v>MI-0169</x:v>
      </x:c>
      <x:c r="C325" s="34" t="str">
        <x:v>M2 — تحصیل، مسیر شغلی و توانمندی حرفه‌ای</x:v>
      </x:c>
      <x:c r="D325" s="34" t="str">
        <x:v>H7</x:v>
      </x:c>
      <x:c r="E325" s="34" t="str">
        <x:v>داده، هوش مصنوعی، نرم‌افزار و اتوماسیون</x:v>
      </x:c>
      <x:c r="F325" s="34" t="str">
        <x:v>P1</x:v>
      </x:c>
      <x:c r="G325" s="34" t="str">
        <x:v>هدف/موضوع</x:v>
      </x:c>
      <x:c r="H325" s="39" t="str">
        <x:v>ARDUINU</x:v>
      </x:c>
      <x:c r="I325" s="39" t="str">
        <x:v>سه‌ماهه اول؛ فقط متصل به پروژه واقعی</x:v>
      </x:c>
      <x:c r="J325" s="39" t="str">
        <x:v>منتور داده/AI/اتوماسیون</x:v>
      </x:c>
      <x:c r="K325" s="39" t="str"/>
      <x:c r="L325" s="39" t="str">
        <x:v>PL:R174</x:v>
      </x:c>
      <x:c r="M325" s="39" t="str"/>
      <x:c r="N325" s="39" t="str">
        <x:v>نسخه پایه ۳۱۵۰</x:v>
      </x:c>
    </x:row>
    <x:row r="326" ht="34" customHeight="1">
      <x:c r="A326" s="34" t="str">
        <x:v>☐</x:v>
      </x:c>
      <x:c r="B326" s="34" t="str">
        <x:v>MI-0170</x:v>
      </x:c>
      <x:c r="C326" s="34" t="str">
        <x:v>M2 — تحصیل، مسیر شغلی و توانمندی حرفه‌ای</x:v>
      </x:c>
      <x:c r="D326" s="34" t="str">
        <x:v>H7</x:v>
      </x:c>
      <x:c r="E326" s="34" t="str">
        <x:v>داده، هوش مصنوعی، نرم‌افزار و اتوماسیون</x:v>
      </x:c>
      <x:c r="F326" s="34" t="str">
        <x:v>P1</x:v>
      </x:c>
      <x:c r="G326" s="34" t="str">
        <x:v>هدف/موضوع</x:v>
      </x:c>
      <x:c r="H326" s="39" t="str">
        <x:v>PROTEUS</x:v>
      </x:c>
      <x:c r="I326" s="39" t="str">
        <x:v>سه‌ماهه اول؛ فقط متصل به پروژه واقعی</x:v>
      </x:c>
      <x:c r="J326" s="39" t="str">
        <x:v>منتور داده/AI/اتوماسیون</x:v>
      </x:c>
      <x:c r="K326" s="39" t="str"/>
      <x:c r="L326" s="39" t="str">
        <x:v>PL:R175</x:v>
      </x:c>
      <x:c r="M326" s="39" t="str"/>
      <x:c r="N326" s="39" t="str">
        <x:v>نسخه پایه ۳۱۵۰</x:v>
      </x:c>
    </x:row>
    <x:row r="327" ht="34" customHeight="1">
      <x:c r="A327" s="34" t="str">
        <x:v>☐</x:v>
      </x:c>
      <x:c r="B327" s="34" t="str">
        <x:v>MI-0181</x:v>
      </x:c>
      <x:c r="C327" s="34" t="str">
        <x:v>M2 — تحصیل، مسیر شغلی و توانمندی حرفه‌ای</x:v>
      </x:c>
      <x:c r="D327" s="34" t="str">
        <x:v>H7</x:v>
      </x:c>
      <x:c r="E327" s="34" t="str">
        <x:v>داده، هوش مصنوعی، نرم‌افزار و اتوماسیون</x:v>
      </x:c>
      <x:c r="F327" s="34" t="str">
        <x:v>P1</x:v>
      </x:c>
      <x:c r="G327" s="34" t="str">
        <x:v>هدف/موضوع</x:v>
      </x:c>
      <x:c r="H327" s="39" t="str">
        <x:v>SLAM</x:v>
      </x:c>
      <x:c r="I327" s="39" t="str">
        <x:v>سه‌ماهه اول؛ فقط متصل به پروژه واقعی</x:v>
      </x:c>
      <x:c r="J327" s="39" t="str">
        <x:v>منتور داده/AI/اتوماسیون</x:v>
      </x:c>
      <x:c r="K327" s="39" t="str"/>
      <x:c r="L327" s="39" t="str">
        <x:v>PL:R186</x:v>
      </x:c>
      <x:c r="M327" s="39" t="str"/>
      <x:c r="N327" s="39" t="str">
        <x:v>نسخه پایه ۳۱۵۰</x:v>
      </x:c>
    </x:row>
    <x:row r="328" ht="34" customHeight="1">
      <x:c r="A328" s="34" t="str">
        <x:v>☐</x:v>
      </x:c>
      <x:c r="B328" s="34" t="str">
        <x:v>MI-0207</x:v>
      </x:c>
      <x:c r="C328" s="34" t="str">
        <x:v>M2 — تحصیل، مسیر شغلی و توانمندی حرفه‌ای</x:v>
      </x:c>
      <x:c r="D328" s="34" t="str">
        <x:v>H7</x:v>
      </x:c>
      <x:c r="E328" s="34" t="str">
        <x:v>داده، هوش مصنوعی، نرم‌افزار و اتوماسیون</x:v>
      </x:c>
      <x:c r="F328" s="34" t="str">
        <x:v>P1</x:v>
      </x:c>
      <x:c r="G328" s="34" t="str">
        <x:v>هدف/موضوع</x:v>
      </x:c>
      <x:c r="H328" s="39" t="str">
        <x:v>تحلیل داده و BI</x:v>
      </x:c>
      <x:c r="I328" s="39" t="str">
        <x:v>سه‌ماهه اول؛ فقط متصل به پروژه واقعی</x:v>
      </x:c>
      <x:c r="J328" s="39" t="str">
        <x:v>منتور داده/AI/اتوماسیون</x:v>
      </x:c>
      <x:c r="K328" s="39" t="str"/>
      <x:c r="L328" s="39" t="str">
        <x:v>PL:R270</x:v>
      </x:c>
      <x:c r="M328" s="39" t="str"/>
      <x:c r="N328" s="39" t="str">
        <x:v>نسخه پایه ۳۱۵۰</x:v>
      </x:c>
    </x:row>
    <x:row r="329" ht="34" customHeight="1">
      <x:c r="A329" s="34" t="str">
        <x:v>☐</x:v>
      </x:c>
      <x:c r="B329" s="34" t="str">
        <x:v>MI-0218</x:v>
      </x:c>
      <x:c r="C329" s="34" t="str">
        <x:v>M2 — تحصیل، مسیر شغلی و توانمندی حرفه‌ای</x:v>
      </x:c>
      <x:c r="D329" s="34" t="str">
        <x:v>H7</x:v>
      </x:c>
      <x:c r="E329" s="34" t="str">
        <x:v>داده، هوش مصنوعی، نرم‌افزار و اتوماسیون</x:v>
      </x:c>
      <x:c r="F329" s="34" t="str">
        <x:v>P1</x:v>
      </x:c>
      <x:c r="G329" s="34" t="str">
        <x:v>هدف/موضوع</x:v>
      </x:c>
      <x:c r="H329" s="39" t="str">
        <x:v>طراحی وب و وردپرس</x:v>
      </x:c>
      <x:c r="I329" s="39" t="str">
        <x:v>سه‌ماهه اول؛ فقط متصل به پروژه واقعی</x:v>
      </x:c>
      <x:c r="J329" s="39" t="str">
        <x:v>منتور داده/AI/اتوماسیون</x:v>
      </x:c>
      <x:c r="K329" s="39" t="str"/>
      <x:c r="L329" s="39" t="str">
        <x:v>PL:R315</x:v>
      </x:c>
      <x:c r="M329" s="39" t="str"/>
      <x:c r="N329" s="39" t="str">
        <x:v>نسخه پایه ۳۱۵۰</x:v>
      </x:c>
    </x:row>
    <x:row r="330" ht="34" customHeight="1">
      <x:c r="A330" s="34" t="str">
        <x:v>☐</x:v>
      </x:c>
      <x:c r="B330" s="34" t="str">
        <x:v>MI-0608</x:v>
      </x:c>
      <x:c r="C330" s="34" t="str">
        <x:v>M2 — تحصیل، مسیر شغلی و توانمندی حرفه‌ای</x:v>
      </x:c>
      <x:c r="D330" s="34" t="str">
        <x:v>H7</x:v>
      </x:c>
      <x:c r="E330" s="34" t="str">
        <x:v>داده، هوش مصنوعی، نرم‌افزار و اتوماسیون</x:v>
      </x:c>
      <x:c r="F330" s="34" t="str">
        <x:v>P1</x:v>
      </x:c>
      <x:c r="G330" s="34" t="str">
        <x:v>هدف/موضوع</x:v>
      </x:c>
      <x:c r="H330" s="39" t="str">
        <x:v>رباتیک</x:v>
      </x:c>
      <x:c r="I330" s="39" t="str">
        <x:v>سه‌ماهه اول؛ فقط متصل به پروژه واقعی</x:v>
      </x:c>
      <x:c r="J330" s="39" t="str">
        <x:v>منتور داده/AI/اتوماسیون</x:v>
      </x:c>
      <x:c r="K330" s="39" t="str"/>
      <x:c r="L330" s="39" t="str">
        <x:v>AP:P394</x:v>
      </x:c>
      <x:c r="M330" s="39" t="str"/>
      <x:c r="N330" s="39" t="str">
        <x:v>نسخه پایه ۳۱۵۰</x:v>
      </x:c>
    </x:row>
    <x:row r="331" ht="34" customHeight="1">
      <x:c r="A331" s="34" t="str">
        <x:v>☐</x:v>
      </x:c>
      <x:c r="B331" s="34" t="str">
        <x:v>MI-2116</x:v>
      </x:c>
      <x:c r="C331" s="34" t="str">
        <x:v>M2 — تحصیل، مسیر شغلی و توانمندی حرفه‌ای</x:v>
      </x:c>
      <x:c r="D331" s="34" t="str">
        <x:v>H7</x:v>
      </x:c>
      <x:c r="E331" s="34" t="str">
        <x:v>داده، هوش مصنوعی، نرم‌افزار و اتوماسیون</x:v>
      </x:c>
      <x:c r="F331" s="34" t="str">
        <x:v>P1</x:v>
      </x:c>
      <x:c r="G331" s="34" t="str">
        <x:v>هدف/موضوع</x:v>
      </x:c>
      <x:c r="H331" s="39" t="str">
        <x:v>جامعه AI</x:v>
      </x:c>
      <x:c r="I331" s="39" t="str">
        <x:v>سه‌ماهه اول؛ فقط متصل به پروژه واقعی</x:v>
      </x:c>
      <x:c r="J331" s="39" t="str">
        <x:v>منتور داده/AI/اتوماسیون</x:v>
      </x:c>
      <x:c r="K331" s="39" t="str"/>
      <x:c r="L331" s="39" t="str">
        <x:v>E112:P864؛ E112:P1144</x:v>
      </x:c>
      <x:c r="M331" s="39" t="str"/>
      <x:c r="N331" s="39" t="str">
        <x:v>نسخه پایه ۳۱۵۰</x:v>
      </x:c>
    </x:row>
    <x:row r="332" ht="34" customHeight="1">
      <x:c r="A332" s="34" t="str">
        <x:v>☐</x:v>
      </x:c>
      <x:c r="B332" s="34" t="str">
        <x:v>MI-2263</x:v>
      </x:c>
      <x:c r="C332" s="34" t="str">
        <x:v>M2 — تحصیل، مسیر شغلی و توانمندی حرفه‌ای</x:v>
      </x:c>
      <x:c r="D332" s="34" t="str">
        <x:v>H7</x:v>
      </x:c>
      <x:c r="E332" s="34" t="str">
        <x:v>داده، هوش مصنوعی، نرم‌افزار و اتوماسیون</x:v>
      </x:c>
      <x:c r="F332" s="34" t="str">
        <x:v>P1</x:v>
      </x:c>
      <x:c r="G332" s="34" t="str">
        <x:v>هدف/موضوع</x:v>
      </x:c>
      <x:c r="H332" s="39" t="str">
        <x:v>AI</x:v>
      </x:c>
      <x:c r="I332" s="39" t="str">
        <x:v>سه‌ماهه اول؛ فقط متصل به پروژه واقعی</x:v>
      </x:c>
      <x:c r="J332" s="39" t="str">
        <x:v>منتور داده/AI/اتوماسیون</x:v>
      </x:c>
      <x:c r="K332" s="39" t="str"/>
      <x:c r="L332" s="39" t="str">
        <x:v>E112:P1189</x:v>
      </x:c>
      <x:c r="M332" s="39" t="str"/>
      <x:c r="N332" s="39" t="str">
        <x:v>نسخه پایه ۳۱۵۰</x:v>
      </x:c>
    </x:row>
    <x:row r="333" ht="34" customHeight="1">
      <x:c r="A333" s="34" t="str">
        <x:v>☐</x:v>
      </x:c>
      <x:c r="B333" s="34" t="str">
        <x:v>MI-2652</x:v>
      </x:c>
      <x:c r="C333" s="34" t="str">
        <x:v>M2 — تحصیل، مسیر شغلی و توانمندی حرفه‌ای</x:v>
      </x:c>
      <x:c r="D333" s="34" t="str">
        <x:v>H7</x:v>
      </x:c>
      <x:c r="E333" s="34" t="str">
        <x:v>داده، هوش مصنوعی، نرم‌افزار و اتوماسیون</x:v>
      </x:c>
      <x:c r="F333" s="34" t="str">
        <x:v>P1</x:v>
      </x:c>
      <x:c r="G333" s="34" t="str">
        <x:v>هدف/موضوع</x:v>
      </x:c>
      <x:c r="H333" s="39" t="str">
        <x:v>هوش مصنوعی</x:v>
      </x:c>
      <x:c r="I333" s="39" t="str">
        <x:v>سه‌ماهه اول؛ فقط متصل به پروژه واقعی</x:v>
      </x:c>
      <x:c r="J333" s="39" t="str">
        <x:v>منتور داده/AI/اتوماسیون</x:v>
      </x:c>
      <x:c r="K333" s="39" t="str"/>
      <x:c r="L333" s="39" t="str">
        <x:v>E112:P2557</x:v>
      </x:c>
      <x:c r="M333" s="39" t="str"/>
      <x:c r="N333" s="39" t="str">
        <x:v>نسخه پایه ۳۱۵۰</x:v>
      </x:c>
    </x:row>
    <x:row r="334" ht="34" customHeight="1">
      <x:c r="A334" s="34" t="str">
        <x:v>☐</x:v>
      </x:c>
      <x:c r="B334" s="34" t="str">
        <x:v>MI-3009</x:v>
      </x:c>
      <x:c r="C334" s="34" t="str">
        <x:v>M2 — تحصیل، مسیر شغلی و توانمندی حرفه‌ای</x:v>
      </x:c>
      <x:c r="D334" s="34" t="str">
        <x:v>H7</x:v>
      </x:c>
      <x:c r="E334" s="34" t="str">
        <x:v>داده، هوش مصنوعی، نرم‌افزار و اتوماسیون</x:v>
      </x:c>
      <x:c r="F334" s="34" t="str">
        <x:v>P1</x:v>
      </x:c>
      <x:c r="G334" s="34" t="str">
        <x:v>هدف/موضوع</x:v>
      </x:c>
      <x:c r="H334" s="39" t="str">
        <x:v>Training Programs</x:v>
      </x:c>
      <x:c r="I334" s="39" t="str">
        <x:v>سه‌ماهه اول؛ فقط متصل به پروژه واقعی</x:v>
      </x:c>
      <x:c r="J334" s="39" t="str">
        <x:v>منتور داده/AI/اتوماسیون</x:v>
      </x:c>
      <x:c r="K334" s="39" t="str"/>
      <x:c r="L334" s="39" t="str">
        <x:v>E112:P3525</x:v>
      </x:c>
      <x:c r="M334" s="39" t="str"/>
      <x:c r="N334" s="39" t="str">
        <x:v>نسخه پایه ۳۱۵۰</x:v>
      </x:c>
    </x:row>
    <x:row r="335" ht="34" customHeight="1">
      <x:c r="A335" s="34" t="str">
        <x:v>☐</x:v>
      </x:c>
      <x:c r="B335" s="34" t="str">
        <x:v>N115-0043</x:v>
      </x:c>
      <x:c r="C335" s="34" t="str">
        <x:v>M2 — تحصیل، مسیر شغلی و توانمندی حرفه‌ای</x:v>
      </x:c>
      <x:c r="D335" s="34" t="str">
        <x:v>H7</x:v>
      </x:c>
      <x:c r="E335" s="34" t="str">
        <x:v>داده، هوش مصنوعی، نرم‌افزار و اتوماسیون</x:v>
      </x:c>
      <x:c r="F335" s="34" t="str">
        <x:v>BANK</x:v>
      </x:c>
      <x:c r="G335" s="34" t="str">
        <x:v>مهارت/یادگیری</x:v>
      </x:c>
      <x:c r="H335" s="39" t="str">
        <x:v>فناوری‌های همگرا NBIC (نانو، زیست، اطلاعات، شناختی)</x:v>
      </x:c>
      <x:c r="I335" s="39" t="str">
        <x:v>بانک مهارت/رصد روند</x:v>
      </x:c>
      <x:c r="J335" s="39" t="str">
        <x:v>منتور داده/AI/اتوماسیون</x:v>
      </x:c>
      <x:c r="K335" s="39" t="str">
        <x:v>فناوری</x:v>
      </x:c>
      <x:c r="L335" s="39" t="str">
        <x:v>115:P1597</x:v>
      </x:c>
      <x:c r="M335" s="39" t="str"/>
      <x:c r="N335" s="39" t="str">
        <x:v>1154878548.docx / ممیزی جدید</x:v>
      </x:c>
    </x:row>
    <x:row r="336" ht="34" customHeight="1">
      <x:c r="A336" s="34" t="str">
        <x:v>☐</x:v>
      </x:c>
      <x:c r="B336" s="34" t="str">
        <x:v>MI-0370</x:v>
      </x:c>
      <x:c r="C336" s="34" t="str">
        <x:v>M2 — تحصیل، مسیر شغلی و توانمندی حرفه‌ای</x:v>
      </x:c>
      <x:c r="D336" s="34" t="str">
        <x:v>H7</x:v>
      </x:c>
      <x:c r="E336" s="34" t="str">
        <x:v>داده، هوش مصنوعی، نرم‌افزار و اتوماسیون</x:v>
      </x:c>
      <x:c r="F336" s="34" t="str">
        <x:v>BANK</x:v>
      </x:c>
      <x:c r="G336" s="34" t="str">
        <x:v>مطالعه/منبع</x:v>
      </x:c>
      <x:c r="H336" s="39" t="str">
        <x:v>دیجیتال تویین و بهینه سازی و هوش مصنوعی</x:v>
      </x:c>
      <x:c r="I336" s="39" t="str">
        <x:v>بانک مطالعه؛ سقف زمانی</x:v>
      </x:c>
      <x:c r="J336" s="39" t="str">
        <x:v>منتور داده/AI/اتوماسیون</x:v>
      </x:c>
      <x:c r="K336" s="39" t="str"/>
      <x:c r="L336" s="39" t="str">
        <x:v>AP:P152</x:v>
      </x:c>
      <x:c r="M336" s="39" t="str"/>
      <x:c r="N336" s="39" t="str">
        <x:v>نسخه پایه ۳۱۵۰</x:v>
      </x:c>
    </x:row>
    <x:row r="337" ht="34" customHeight="1">
      <x:c r="A337" s="34" t="str">
        <x:v>☐</x:v>
      </x:c>
      <x:c r="B337" s="34" t="str">
        <x:v>MI-0371</x:v>
      </x:c>
      <x:c r="C337" s="34" t="str">
        <x:v>M2 — تحصیل، مسیر شغلی و توانمندی حرفه‌ای</x:v>
      </x:c>
      <x:c r="D337" s="34" t="str">
        <x:v>H7</x:v>
      </x:c>
      <x:c r="E337" s="34" t="str">
        <x:v>داده، هوش مصنوعی، نرم‌افزار و اتوماسیون</x:v>
      </x:c>
      <x:c r="F337" s="34" t="str">
        <x:v>BANK</x:v>
      </x:c>
      <x:c r="G337" s="34" t="str">
        <x:v>مطالعه/منبع</x:v>
      </x:c>
      <x:c r="H337" s="39" t="str">
        <x:v>هوش مصنوعی و آر اند دی</x:v>
      </x:c>
      <x:c r="I337" s="39" t="str">
        <x:v>بانک مطالعه؛ سقف زمانی</x:v>
      </x:c>
      <x:c r="J337" s="39" t="str">
        <x:v>منتور داده/AI/اتوماسیون</x:v>
      </x:c>
      <x:c r="K337" s="39" t="str"/>
      <x:c r="L337" s="39" t="str">
        <x:v>AP:P153</x:v>
      </x:c>
      <x:c r="M337" s="39" t="str"/>
      <x:c r="N337" s="39" t="str">
        <x:v>نسخه پایه ۳۱۵۰</x:v>
      </x:c>
    </x:row>
    <x:row r="338" ht="34" customHeight="1">
      <x:c r="A338" s="34" t="str">
        <x:v>☐</x:v>
      </x:c>
      <x:c r="B338" s="34" t="str">
        <x:v>MI-0372</x:v>
      </x:c>
      <x:c r="C338" s="34" t="str">
        <x:v>M2 — تحصیل، مسیر شغلی و توانمندی حرفه‌ای</x:v>
      </x:c>
      <x:c r="D338" s="34" t="str">
        <x:v>H7</x:v>
      </x:c>
      <x:c r="E338" s="34" t="str">
        <x:v>داده، هوش مصنوعی، نرم‌افزار و اتوماسیون</x:v>
      </x:c>
      <x:c r="F338" s="34" t="str">
        <x:v>BANK</x:v>
      </x:c>
      <x:c r="G338" s="34" t="str">
        <x:v>مطالعه/منبع</x:v>
      </x:c>
      <x:c r="H338" s="39" t="str">
        <x:v>هوش مصنوعی و پایش وضعیت درسی افراد و انتخاب واحد</x:v>
      </x:c>
      <x:c r="I338" s="39" t="str">
        <x:v>بانک مطالعه؛ سقف زمانی</x:v>
      </x:c>
      <x:c r="J338" s="39" t="str">
        <x:v>منتور داده/AI/اتوماسیون</x:v>
      </x:c>
      <x:c r="K338" s="39" t="str"/>
      <x:c r="L338" s="39" t="str">
        <x:v>AP:P154؛ AP:P1010</x:v>
      </x:c>
      <x:c r="M338" s="39" t="str"/>
      <x:c r="N338" s="39" t="str">
        <x:v>نسخه پایه ۳۱۵۰</x:v>
      </x:c>
    </x:row>
    <x:row r="339" ht="34" customHeight="1">
      <x:c r="A339" s="34" t="str">
        <x:v>☐</x:v>
      </x:c>
      <x:c r="B339" s="34" t="str">
        <x:v>MI-0377</x:v>
      </x:c>
      <x:c r="C339" s="34" t="str">
        <x:v>M2 — تحصیل، مسیر شغلی و توانمندی حرفه‌ای</x:v>
      </x:c>
      <x:c r="D339" s="34" t="str">
        <x:v>H7</x:v>
      </x:c>
      <x:c r="E339" s="34" t="str">
        <x:v>داده، هوش مصنوعی، نرم‌افزار و اتوماسیون</x:v>
      </x:c>
      <x:c r="F339" s="34" t="str">
        <x:v>BANK</x:v>
      </x:c>
      <x:c r="G339" s="34" t="str">
        <x:v>مطالعه/منبع</x:v>
      </x:c>
      <x:c r="H339" s="39" t="str">
        <x:v>دیپ لرنینگ</x:v>
      </x:c>
      <x:c r="I339" s="39" t="str">
        <x:v>بانک مطالعه؛ سقف زمانی</x:v>
      </x:c>
      <x:c r="J339" s="39" t="str">
        <x:v>منتور داده/AI/اتوماسیون</x:v>
      </x:c>
      <x:c r="K339" s="39" t="str"/>
      <x:c r="L339" s="39" t="str">
        <x:v>AP:P159</x:v>
      </x:c>
      <x:c r="M339" s="39" t="str"/>
      <x:c r="N339" s="39" t="str">
        <x:v>نسخه پایه ۳۱۵۰</x:v>
      </x:c>
    </x:row>
    <x:row r="340" ht="34" customHeight="1">
      <x:c r="A340" s="34" t="str">
        <x:v>☐</x:v>
      </x:c>
      <x:c r="B340" s="34" t="str">
        <x:v>N115-0048</x:v>
      </x:c>
      <x:c r="C340" s="34" t="str">
        <x:v>M2 — تحصیل، مسیر شغلی و توانمندی حرفه‌ای</x:v>
      </x:c>
      <x:c r="D340" s="34" t="str">
        <x:v>H7</x:v>
      </x:c>
      <x:c r="E340" s="34" t="str">
        <x:v>داده، هوش مصنوعی، نرم‌افزار و اتوماسیون</x:v>
      </x:c>
      <x:c r="F340" s="34" t="str">
        <x:v>BANK</x:v>
      </x:c>
      <x:c r="G340" s="34" t="str">
        <x:v>مطالعه/منبع</x:v>
      </x:c>
      <x:c r="H340" s="39" t="str">
        <x:v>امنیت APT، استاکسنت و SCADA</x:v>
      </x:c>
      <x:c r="I340" s="39" t="str">
        <x:v>بانک مطالعه فنی</x:v>
      </x:c>
      <x:c r="J340" s="39" t="str">
        <x:v>منتور داده/AI/اتوماسیون</x:v>
      </x:c>
      <x:c r="K340" s="39" t="str">
        <x:v>امنیت سایبری</x:v>
      </x:c>
      <x:c r="L340" s="39" t="str">
        <x:v>115:P1688</x:v>
      </x:c>
      <x:c r="M340" s="39" t="str"/>
      <x:c r="N340" s="39" t="str">
        <x:v>1154878548.docx / ممیزی جدید</x:v>
      </x:c>
    </x:row>
    <x:row r="341" ht="34" customHeight="1">
      <x:c r="A341" s="34" t="str">
        <x:v>☐</x:v>
      </x:c>
      <x:c r="B341" s="34" t="str">
        <x:v>N115-0049</x:v>
      </x:c>
      <x:c r="C341" s="34" t="str">
        <x:v>M2 — تحصیل، مسیر شغلی و توانمندی حرفه‌ای</x:v>
      </x:c>
      <x:c r="D341" s="34" t="str">
        <x:v>H7</x:v>
      </x:c>
      <x:c r="E341" s="34" t="str">
        <x:v>داده، هوش مصنوعی، نرم‌افزار و اتوماسیون</x:v>
      </x:c>
      <x:c r="F341" s="34" t="str">
        <x:v>BANK</x:v>
      </x:c>
      <x:c r="G341" s="34" t="str">
        <x:v>مطالعه/منبع</x:v>
      </x:c>
      <x:c r="H341" s="39" t="str">
        <x:v>اینترانت ملی و حاکمیت داده</x:v>
      </x:c>
      <x:c r="I341" s="39" t="str">
        <x:v>بانک مطالعه</x:v>
      </x:c>
      <x:c r="J341" s="39" t="str">
        <x:v>منتور داده/AI/اتوماسیون</x:v>
      </x:c>
      <x:c r="K341" s="39" t="str">
        <x:v>حکمرانی فناوری</x:v>
      </x:c>
      <x:c r="L341" s="39" t="str">
        <x:v>115:P1694</x:v>
      </x:c>
      <x:c r="M341" s="39" t="str"/>
      <x:c r="N341" s="39" t="str">
        <x:v>1154878548.docx / ممیزی جدید</x:v>
      </x:c>
    </x:row>
    <x:row r="342" ht="34" customHeight="1">
      <x:c r="A342" s="34" t="str">
        <x:v>☐</x:v>
      </x:c>
      <x:c r="B342" s="34" t="str">
        <x:v>MI-0527</x:v>
      </x:c>
      <x:c r="C342" s="34" t="str">
        <x:v>M3 — کسب‌وکار، شبکه و زیست‌بوم نوآوری</x:v>
      </x:c>
      <x:c r="D342" s="34" t="str">
        <x:v>H8</x:v>
      </x:c>
      <x:c r="E342" s="34" t="str">
        <x:v>کسب‌وکار، فروش، بازاریابی و مالی</x:v>
      </x:c>
      <x:c r="F342" s="34" t="str">
        <x:v>P2</x:v>
      </x:c>
      <x:c r="G342" s="34" t="str">
        <x:v>اقدام اجرایی</x:v>
      </x:c>
      <x:c r="H342" s="39" t="str">
        <x:v>یکی از رایج ترین کارهایی که دراین زمینه می توانید انجام بدهید، این است که یک کارت عضویت برای مشتریان تان تهیهکنید و دفعاتی را که مشتری به رستوران تان می آید، ثبت کنید. زمانی که تعداد مراجعه های مشتری به حد مشخصی رسید، به انتخاب خودتاناو را از یک غذای رایگان بهره مند کنید. ارایه ینوشیدنی ها و دسرهای رایگان هم انتخاب های خوبی هستند، چون از غذاهای اصلیارزان ترند و در عین حال مشتریان احساس می کنند مورد احترام قرار گرفته اند.</x:v>
      </x:c>
      <x:c r="I342" s="39" t="str">
        <x:v>پس از تثبیت پایه‌ها؛ پروژه‌محور</x:v>
      </x:c>
      <x:c r="J342" s="39" t="str">
        <x:v>مشاور کسب‌وکار/بازار/مالی</x:v>
      </x:c>
      <x:c r="K342" s="39" t="str"/>
      <x:c r="L342" s="39" t="str">
        <x:v>AP:P313</x:v>
      </x:c>
      <x:c r="M342" s="39" t="str"/>
      <x:c r="N342" s="39" t="str">
        <x:v>نسخه پایه ۳۱۵۰</x:v>
      </x:c>
    </x:row>
    <x:row r="343" ht="34" customHeight="1">
      <x:c r="A343" s="34" t="str">
        <x:v>☐</x:v>
      </x:c>
      <x:c r="B343" s="34" t="str">
        <x:v>MI-1943</x:v>
      </x:c>
      <x:c r="C343" s="34" t="str">
        <x:v>M3 — کسب‌وکار، شبکه و زیست‌بوم نوآوری</x:v>
      </x:c>
      <x:c r="D343" s="34" t="str">
        <x:v>H8</x:v>
      </x:c>
      <x:c r="E343" s="34" t="str">
        <x:v>کسب‌وکار، فروش، بازاریابی و مالی</x:v>
      </x:c>
      <x:c r="F343" s="34" t="str">
        <x:v>P2</x:v>
      </x:c>
      <x:c r="G343" s="34" t="str">
        <x:v>اقدام اجرایی</x:v>
      </x:c>
      <x:c r="H343" s="39" t="str">
        <x:v>برنامه های توانمندسازی استارتاپ</x:v>
      </x:c>
      <x:c r="I343" s="39" t="str">
        <x:v>پس از تثبیت پایه‌ها؛ پروژه‌محور</x:v>
      </x:c>
      <x:c r="J343" s="39" t="str">
        <x:v>مشاور کسب‌وکار/بازار/مالی</x:v>
      </x:c>
      <x:c r="K343" s="39" t="str"/>
      <x:c r="L343" s="39" t="str">
        <x:v>E112:P554</x:v>
      </x:c>
      <x:c r="M343" s="39" t="str"/>
      <x:c r="N343" s="39" t="str">
        <x:v>نسخه پایه ۳۱۵۰</x:v>
      </x:c>
    </x:row>
    <x:row r="344" ht="34" customHeight="1">
      <x:c r="A344" s="34" t="str">
        <x:v>☐</x:v>
      </x:c>
      <x:c r="B344" s="34" t="str">
        <x:v>MI-2031</x:v>
      </x:c>
      <x:c r="C344" s="34" t="str">
        <x:v>M3 — کسب‌وکار، شبکه و زیست‌بوم نوآوری</x:v>
      </x:c>
      <x:c r="D344" s="34" t="str">
        <x:v>H8</x:v>
      </x:c>
      <x:c r="E344" s="34" t="str">
        <x:v>کسب‌وکار، فروش، بازاریابی و مالی</x:v>
      </x:c>
      <x:c r="F344" s="34" t="str">
        <x:v>P2</x:v>
      </x:c>
      <x:c r="G344" s="34" t="str">
        <x:v>اقدام اجرایی</x:v>
      </x:c>
      <x:c r="H344" s="39" t="str">
        <x:v>برند یا برنامه منطقه ای</x:v>
      </x:c>
      <x:c r="I344" s="39" t="str">
        <x:v>پس از تثبیت پایه‌ها؛ پروژه‌محور</x:v>
      </x:c>
      <x:c r="J344" s="39" t="str">
        <x:v>مشاور کسب‌وکار/بازار/مالی</x:v>
      </x:c>
      <x:c r="K344" s="39" t="str"/>
      <x:c r="L344" s="39" t="str">
        <x:v>E112:P712</x:v>
      </x:c>
      <x:c r="M344" s="39" t="str"/>
      <x:c r="N344" s="39" t="str">
        <x:v>نسخه پایه ۳۱۵۰</x:v>
      </x:c>
    </x:row>
    <x:row r="345" ht="34" customHeight="1">
      <x:c r="A345" s="34" t="str">
        <x:v>☐</x:v>
      </x:c>
      <x:c r="B345" s="34" t="str">
        <x:v>MI-2423</x:v>
      </x:c>
      <x:c r="C345" s="34" t="str">
        <x:v>M3 — کسب‌وکار، شبکه و زیست‌بوم نوآوری</x:v>
      </x:c>
      <x:c r="D345" s="34" t="str">
        <x:v>H8</x:v>
      </x:c>
      <x:c r="E345" s="34" t="str">
        <x:v>کسب‌وکار، فروش، بازاریابی و مالی</x:v>
      </x:c>
      <x:c r="F345" s="34" t="str">
        <x:v>P2</x:v>
      </x:c>
      <x:c r="G345" s="34" t="str">
        <x:v>اقدام اجرایی</x:v>
      </x:c>
      <x:c r="H345" s="39" t="str">
        <x:v>«برنامه جذب کارآفرین و سرمایه گذار خارجی برای مازندران»</x:v>
      </x:c>
      <x:c r="I345" s="39" t="str">
        <x:v>پس از تثبیت پایه‌ها؛ پروژه‌محور</x:v>
      </x:c>
      <x:c r="J345" s="39" t="str">
        <x:v>مشاور کسب‌وکار/بازار/مالی</x:v>
      </x:c>
      <x:c r="K345" s="39" t="str"/>
      <x:c r="L345" s="39" t="str">
        <x:v>E112:P1641</x:v>
      </x:c>
      <x:c r="M345" s="39" t="str"/>
      <x:c r="N345" s="39" t="str">
        <x:v>نسخه پایه ۳۱۵۰</x:v>
      </x:c>
    </x:row>
    <x:row r="346" ht="34" customHeight="1">
      <x:c r="A346" s="34" t="str">
        <x:v>☐</x:v>
      </x:c>
      <x:c r="B346" s="34" t="str">
        <x:v>MI-0127</x:v>
      </x:c>
      <x:c r="C346" s="34" t="str">
        <x:v>M3 — کسب‌وکار، شبکه و زیست‌بوم نوآوری</x:v>
      </x:c>
      <x:c r="D346" s="34" t="str">
        <x:v>H8</x:v>
      </x:c>
      <x:c r="E346" s="34" t="str">
        <x:v>کسب‌وکار، فروش، بازاریابی و مالی</x:v>
      </x:c>
      <x:c r="F346" s="34" t="str">
        <x:v>P2</x:v>
      </x:c>
      <x:c r="G346" s="34" t="str">
        <x:v>پروژه/طرح</x:v>
      </x:c>
      <x:c r="H346" s="39" t="str">
        <x:v>مدیریت هوشمند ترافیک</x:v>
      </x:c>
      <x:c r="I346" s="39" t="str">
        <x:v>پس از تثبیت پایه‌ها؛ پروژه‌محور</x:v>
      </x:c>
      <x:c r="J346" s="39" t="str">
        <x:v>مشاور کسب‌وکار/بازار/مالی</x:v>
      </x:c>
      <x:c r="K346" s="39" t="str"/>
      <x:c r="L346" s="39" t="str">
        <x:v>PL:R129؛ AP:P1492</x:v>
      </x:c>
      <x:c r="M346" s="39" t="str"/>
      <x:c r="N346" s="39" t="str">
        <x:v>نسخه پایه ۳۱۵۰</x:v>
      </x:c>
    </x:row>
    <x:row r="347" ht="34" customHeight="1">
      <x:c r="A347" s="34" t="str">
        <x:v>☐</x:v>
      </x:c>
      <x:c r="B347" s="34" t="str">
        <x:v>MI-1523</x:v>
      </x:c>
      <x:c r="C347" s="34" t="str">
        <x:v>M3 — کسب‌وکار، شبکه و زیست‌بوم نوآوری</x:v>
      </x:c>
      <x:c r="D347" s="34" t="str">
        <x:v>H8</x:v>
      </x:c>
      <x:c r="E347" s="34" t="str">
        <x:v>کسب‌وکار، فروش، بازاریابی و مالی</x:v>
      </x:c>
      <x:c r="F347" s="34" t="str">
        <x:v>P2</x:v>
      </x:c>
      <x:c r="G347" s="34" t="str">
        <x:v>پروژه/طرح</x:v>
      </x:c>
      <x:c r="H347" s="39" t="str">
        <x:v>طرح ها و ایده های کسب و کار:</x:v>
      </x:c>
      <x:c r="I347" s="39" t="str">
        <x:v>پس از تثبیت پایه‌ها؛ پروژه‌محور</x:v>
      </x:c>
      <x:c r="J347" s="39" t="str">
        <x:v>مشاور کسب‌وکار/بازار/مالی</x:v>
      </x:c>
      <x:c r="K347" s="39" t="str"/>
      <x:c r="L347" s="39" t="str">
        <x:v>AP:P1488</x:v>
      </x:c>
      <x:c r="M347" s="39" t="str"/>
      <x:c r="N347" s="39" t="str">
        <x:v>نسخه پایه ۳۱۵۰</x:v>
      </x:c>
    </x:row>
    <x:row r="348" ht="34" customHeight="1">
      <x:c r="A348" s="34" t="str">
        <x:v>☐</x:v>
      </x:c>
      <x:c r="B348" s="34" t="str">
        <x:v>MI-1704</x:v>
      </x:c>
      <x:c r="C348" s="34" t="str">
        <x:v>M3 — کسب‌وکار، شبکه و زیست‌بوم نوآوری</x:v>
      </x:c>
      <x:c r="D348" s="34" t="str">
        <x:v>H8</x:v>
      </x:c>
      <x:c r="E348" s="34" t="str">
        <x:v>کسب‌وکار، فروش، بازاریابی و مالی</x:v>
      </x:c>
      <x:c r="F348" s="34" t="str">
        <x:v>P2</x:v>
      </x:c>
      <x:c r="G348" s="34" t="str">
        <x:v>پروژه/طرح</x:v>
      </x:c>
      <x:c r="H348" s="39" t="str">
        <x:v>o انتقال تجربه ساخت استارتاپ</x:v>
      </x:c>
      <x:c r="I348" s="39" t="str">
        <x:v>پس از تثبیت پایه‌ها؛ پروژه‌محور</x:v>
      </x:c>
      <x:c r="J348" s="39" t="str">
        <x:v>مشاور کسب‌وکار/بازار/مالی</x:v>
      </x:c>
      <x:c r="K348" s="39" t="str"/>
      <x:c r="L348" s="39" t="str">
        <x:v>E112:P170؛ E112:P1687؛ E112:P1952؛ E112:P2418</x:v>
      </x:c>
      <x:c r="M348" s="39" t="str"/>
      <x:c r="N348" s="39" t="str">
        <x:v>نسخه پایه ۳۱۵۰</x:v>
      </x:c>
    </x:row>
    <x:row r="349" ht="34" customHeight="1">
      <x:c r="A349" s="34" t="str">
        <x:v>☐</x:v>
      </x:c>
      <x:c r="B349" s="34" t="str">
        <x:v>MI-1712</x:v>
      </x:c>
      <x:c r="C349" s="34" t="str">
        <x:v>M3 — کسب‌وکار، شبکه و زیست‌بوم نوآوری</x:v>
      </x:c>
      <x:c r="D349" s="34" t="str">
        <x:v>H8</x:v>
      </x:c>
      <x:c r="E349" s="34" t="str">
        <x:v>کسب‌وکار، فروش، بازاریابی و مالی</x:v>
      </x:c>
      <x:c r="F349" s="34" t="str">
        <x:v>P2</x:v>
      </x:c>
      <x:c r="G349" s="34" t="str">
        <x:v>پروژه/طرح</x:v>
      </x:c>
      <x:c r="H349" s="39" t="str">
        <x:v>o ماه 3–6: اجرای پایلوت + جذب شریک/سرمایه</x:v>
      </x:c>
      <x:c r="I349" s="39" t="str">
        <x:v>پس از تثبیت پایه‌ها؛ پروژه‌محور</x:v>
      </x:c>
      <x:c r="J349" s="39" t="str">
        <x:v>مشاور کسب‌وکار/بازار/مالی</x:v>
      </x:c>
      <x:c r="K349" s="39" t="str"/>
      <x:c r="L349" s="39" t="str">
        <x:v>E112:P178؛ E112:P1697؛ E112:P1960؛ E112:P2426</x:v>
      </x:c>
      <x:c r="M349" s="39" t="str"/>
      <x:c r="N349" s="39" t="str">
        <x:v>نسخه پایه ۳۱۵۰</x:v>
      </x:c>
    </x:row>
    <x:row r="350" ht="34" customHeight="1">
      <x:c r="A350" s="34" t="str">
        <x:v>☐</x:v>
      </x:c>
      <x:c r="B350" s="34" t="str">
        <x:v>MI-2038</x:v>
      </x:c>
      <x:c r="C350" s="34" t="str">
        <x:v>M3 — کسب‌وکار، شبکه و زیست‌بوم نوآوری</x:v>
      </x:c>
      <x:c r="D350" s="34" t="str">
        <x:v>H8</x:v>
      </x:c>
      <x:c r="E350" s="34" t="str">
        <x:v>کسب‌وکار، فروش، بازاریابی و مالی</x:v>
      </x:c>
      <x:c r="F350" s="34" t="str">
        <x:v>P2</x:v>
      </x:c>
      <x:c r="G350" s="34" t="str">
        <x:v>پروژه/طرح</x:v>
      </x:c>
      <x:c r="H350" s="39" t="str">
        <x:v>استودیو ساخت استارتاپ</x:v>
      </x:c>
      <x:c r="I350" s="39" t="str">
        <x:v>پس از تثبیت پایه‌ها؛ پروژه‌محور</x:v>
      </x:c>
      <x:c r="J350" s="39" t="str">
        <x:v>مشاور کسب‌وکار/بازار/مالی</x:v>
      </x:c>
      <x:c r="K350" s="39" t="str"/>
      <x:c r="L350" s="39" t="str">
        <x:v>E112:P723</x:v>
      </x:c>
      <x:c r="M350" s="39" t="str"/>
      <x:c r="N350" s="39" t="str">
        <x:v>نسخه پایه ۳۱۵۰</x:v>
      </x:c>
    </x:row>
    <x:row r="351" ht="34" customHeight="1">
      <x:c r="A351" s="34" t="str">
        <x:v>☐</x:v>
      </x:c>
      <x:c r="B351" s="34" t="str">
        <x:v>MI-2166</x:v>
      </x:c>
      <x:c r="C351" s="34" t="str">
        <x:v>M3 — کسب‌وکار، شبکه و زیست‌بوم نوآوری</x:v>
      </x:c>
      <x:c r="D351" s="34" t="str">
        <x:v>H8</x:v>
      </x:c>
      <x:c r="E351" s="34" t="str">
        <x:v>کسب‌وکار، فروش، بازاریابی و مالی</x:v>
      </x:c>
      <x:c r="F351" s="34" t="str">
        <x:v>P2</x:v>
      </x:c>
      <x:c r="G351" s="34" t="str">
        <x:v>پروژه/طرح</x:v>
      </x:c>
      <x:c r="H351" s="39" t="str">
        <x:v>آدم + پروژه + سرمایه</x:v>
      </x:c>
      <x:c r="I351" s="39" t="str">
        <x:v>پس از تثبیت پایه‌ها؛ پروژه‌محور</x:v>
      </x:c>
      <x:c r="J351" s="39" t="str">
        <x:v>مشاور کسب‌وکار/بازار/مالی</x:v>
      </x:c>
      <x:c r="K351" s="39" t="str"/>
      <x:c r="L351" s="39" t="str">
        <x:v>E112:P963</x:v>
      </x:c>
      <x:c r="M351" s="39" t="str"/>
      <x:c r="N351" s="39" t="str">
        <x:v>نسخه پایه ۳۱۵۰</x:v>
      </x:c>
    </x:row>
    <x:row r="352" ht="34" customHeight="1">
      <x:c r="A352" s="34" t="str">
        <x:v>☐</x:v>
      </x:c>
      <x:c r="B352" s="34" t="str">
        <x:v>MI-2342</x:v>
      </x:c>
      <x:c r="C352" s="34" t="str">
        <x:v>M3 — کسب‌وکار، شبکه و زیست‌بوم نوآوری</x:v>
      </x:c>
      <x:c r="D352" s="34" t="str">
        <x:v>H8</x:v>
      </x:c>
      <x:c r="E352" s="34" t="str">
        <x:v>کسب‌وکار، فروش، بازاریابی و مالی</x:v>
      </x:c>
      <x:c r="F352" s="34" t="str">
        <x:v>P2</x:v>
      </x:c>
      <x:c r="G352" s="34" t="str">
        <x:v>پروژه/طرح</x:v>
      </x:c>
      <x:c r="H352" s="39" t="str">
        <x:v>4. ساخت استارتاپ خارج از تهران</x:v>
      </x:c>
      <x:c r="I352" s="39" t="str">
        <x:v>پس از تثبیت پایه‌ها؛ پروژه‌محور</x:v>
      </x:c>
      <x:c r="J352" s="39" t="str">
        <x:v>مشاور کسب‌وکار/بازار/مالی</x:v>
      </x:c>
      <x:c r="K352" s="39" t="str"/>
      <x:c r="L352" s="39" t="str">
        <x:v>E112:P1351</x:v>
      </x:c>
      <x:c r="M352" s="39" t="str"/>
      <x:c r="N352" s="39" t="str">
        <x:v>نسخه پایه ۳۱۵۰</x:v>
      </x:c>
    </x:row>
    <x:row r="353" ht="34" customHeight="1">
      <x:c r="A353" s="34" t="str">
        <x:v>☐</x:v>
      </x:c>
      <x:c r="B353" s="34" t="str">
        <x:v>MI-2345</x:v>
      </x:c>
      <x:c r="C353" s="34" t="str">
        <x:v>M3 — کسب‌وکار، شبکه و زیست‌بوم نوآوری</x:v>
      </x:c>
      <x:c r="D353" s="34" t="str">
        <x:v>H8</x:v>
      </x:c>
      <x:c r="E353" s="34" t="str">
        <x:v>کسب‌وکار، فروش، بازاریابی و مالی</x:v>
      </x:c>
      <x:c r="F353" s="34" t="str">
        <x:v>P2</x:v>
      </x:c>
      <x:c r="G353" s="34" t="str">
        <x:v>پروژه/طرح</x:v>
      </x:c>
      <x:c r="H353" s="39" t="str">
        <x:v>چگونه از استان استارتاپ ساخت</x:v>
      </x:c>
      <x:c r="I353" s="39" t="str">
        <x:v>پس از تثبیت پایه‌ها؛ پروژه‌محور</x:v>
      </x:c>
      <x:c r="J353" s="39" t="str">
        <x:v>مشاور کسب‌وکار/بازار/مالی</x:v>
      </x:c>
      <x:c r="K353" s="39" t="str"/>
      <x:c r="L353" s="39" t="str">
        <x:v>E112:P1357</x:v>
      </x:c>
      <x:c r="M353" s="39" t="str"/>
      <x:c r="N353" s="39" t="str">
        <x:v>نسخه پایه ۳۱۵۰</x:v>
      </x:c>
    </x:row>
    <x:row r="354" ht="34" customHeight="1">
      <x:c r="A354" s="34" t="str">
        <x:v>☐</x:v>
      </x:c>
      <x:c r="B354" s="34" t="str">
        <x:v>MI-2383</x:v>
      </x:c>
      <x:c r="C354" s="34" t="str">
        <x:v>M3 — کسب‌وکار، شبکه و زیست‌بوم نوآوری</x:v>
      </x:c>
      <x:c r="D354" s="34" t="str">
        <x:v>H8</x:v>
      </x:c>
      <x:c r="E354" s="34" t="str">
        <x:v>کسب‌وکار، فروش، بازاریابی و مالی</x:v>
      </x:c>
      <x:c r="F354" s="34" t="str">
        <x:v>P2</x:v>
      </x:c>
      <x:c r="G354" s="34" t="str">
        <x:v>پروژه/طرح</x:v>
      </x:c>
      <x:c r="H354" s="39" t="str">
        <x:v>ساخت استارتاپ</x:v>
      </x:c>
      <x:c r="I354" s="39" t="str">
        <x:v>پس از تثبیت پایه‌ها؛ پروژه‌محور</x:v>
      </x:c>
      <x:c r="J354" s="39" t="str">
        <x:v>مشاور کسب‌وکار/بازار/مالی</x:v>
      </x:c>
      <x:c r="K354" s="39" t="str"/>
      <x:c r="L354" s="39" t="str">
        <x:v>E112:P1431</x:v>
      </x:c>
      <x:c r="M354" s="39" t="str"/>
      <x:c r="N354" s="39" t="str">
        <x:v>نسخه پایه ۳۱۵۰</x:v>
      </x:c>
    </x:row>
    <x:row r="355" ht="34" customHeight="1">
      <x:c r="A355" s="34" t="str">
        <x:v>☐</x:v>
      </x:c>
      <x:c r="B355" s="34" t="str">
        <x:v>MI-2575</x:v>
      </x:c>
      <x:c r="C355" s="34" t="str">
        <x:v>M3 — کسب‌وکار، شبکه و زیست‌بوم نوآوری</x:v>
      </x:c>
      <x:c r="D355" s="34" t="str">
        <x:v>H8</x:v>
      </x:c>
      <x:c r="E355" s="34" t="str">
        <x:v>کسب‌وکار، فروش، بازاریابی و مالی</x:v>
      </x:c>
      <x:c r="F355" s="34" t="str">
        <x:v>P2</x:v>
      </x:c>
      <x:c r="G355" s="34" t="str">
        <x:v>پروژه/طرح</x:v>
      </x:c>
      <x:c r="H355" s="39" t="str">
        <x:v>ایجاد استارتاپ</x:v>
      </x:c>
      <x:c r="I355" s="39" t="str">
        <x:v>پس از تثبیت پایه‌ها؛ پروژه‌محور</x:v>
      </x:c>
      <x:c r="J355" s="39" t="str">
        <x:v>مشاور کسب‌وکار/بازار/مالی</x:v>
      </x:c>
      <x:c r="K355" s="39" t="str"/>
      <x:c r="L355" s="39" t="str">
        <x:v>E112:P2159؛ E112:P3143</x:v>
      </x:c>
      <x:c r="M355" s="39" t="str"/>
      <x:c r="N355" s="39" t="str">
        <x:v>نسخه پایه ۳۱۵۰</x:v>
      </x:c>
    </x:row>
    <x:row r="356" ht="34" customHeight="1">
      <x:c r="A356" s="34" t="str">
        <x:v>☐</x:v>
      </x:c>
      <x:c r="B356" s="34" t="str">
        <x:v>MI-2763</x:v>
      </x:c>
      <x:c r="C356" s="34" t="str">
        <x:v>M3 — کسب‌وکار، شبکه و زیست‌بوم نوآوری</x:v>
      </x:c>
      <x:c r="D356" s="34" t="str">
        <x:v>H8</x:v>
      </x:c>
      <x:c r="E356" s="34" t="str">
        <x:v>کسب‌وکار، فروش، بازاریابی و مالی</x:v>
      </x:c>
      <x:c r="F356" s="34" t="str">
        <x:v>P2</x:v>
      </x:c>
      <x:c r="G356" s="34" t="str">
        <x:v>پروژه/طرح</x:v>
      </x:c>
      <x:c r="H356" s="39" t="str">
        <x:v>پروژه سرمایه گذاری مشترک</x:v>
      </x:c>
      <x:c r="I356" s="39" t="str">
        <x:v>پس از تثبیت پایه‌ها؛ پروژه‌محور</x:v>
      </x:c>
      <x:c r="J356" s="39" t="str">
        <x:v>مشاور کسب‌وکار/بازار/مالی</x:v>
      </x:c>
      <x:c r="K356" s="39" t="str"/>
      <x:c r="L356" s="39" t="str">
        <x:v>E112:P2850</x:v>
      </x:c>
      <x:c r="M356" s="39" t="str"/>
      <x:c r="N356" s="39" t="str">
        <x:v>نسخه پایه ۳۱۵۰</x:v>
      </x:c>
    </x:row>
    <x:row r="357" ht="34" customHeight="1">
      <x:c r="A357" s="34" t="str">
        <x:v>☐</x:v>
      </x:c>
      <x:c r="B357" s="34" t="str">
        <x:v>MI-0012</x:v>
      </x:c>
      <x:c r="C357" s="34" t="str">
        <x:v>M3 — کسب‌وکار، شبکه و زیست‌بوم نوآوری</x:v>
      </x:c>
      <x:c r="D357" s="34" t="str">
        <x:v>H8</x:v>
      </x:c>
      <x:c r="E357" s="34" t="str">
        <x:v>کسب‌وکار، فروش، بازاریابی و مالی</x:v>
      </x:c>
      <x:c r="F357" s="34" t="str">
        <x:v>P2</x:v>
      </x:c>
      <x:c r="G357" s="34" t="str">
        <x:v>مهارت/یادگیری</x:v>
      </x:c>
      <x:c r="H357" s="39" t="str">
        <x:v>آشنایی با گوگل ادز</x:v>
      </x:c>
      <x:c r="I357" s="39" t="str">
        <x:v>پس از تثبیت پایه‌ها؛ پروژه‌محور</x:v>
      </x:c>
      <x:c r="J357" s="39" t="str">
        <x:v>مشاور کسب‌وکار/بازار/مالی</x:v>
      </x:c>
      <x:c r="K357" s="39" t="str"/>
      <x:c r="L357" s="39" t="str">
        <x:v>PL:R13</x:v>
      </x:c>
      <x:c r="M357" s="39" t="str"/>
      <x:c r="N357" s="39" t="str">
        <x:v>نسخه پایه ۳۱۵۰</x:v>
      </x:c>
    </x:row>
    <x:row r="358" ht="34" customHeight="1">
      <x:c r="A358" s="34" t="str">
        <x:v>☐</x:v>
      </x:c>
      <x:c r="B358" s="34" t="str">
        <x:v>MI-0014</x:v>
      </x:c>
      <x:c r="C358" s="34" t="str">
        <x:v>M3 — کسب‌وکار، شبکه و زیست‌بوم نوآوری</x:v>
      </x:c>
      <x:c r="D358" s="34" t="str">
        <x:v>H8</x:v>
      </x:c>
      <x:c r="E358" s="34" t="str">
        <x:v>کسب‌وکار، فروش، بازاریابی و مالی</x:v>
      </x:c>
      <x:c r="F358" s="34" t="str">
        <x:v>P2</x:v>
      </x:c>
      <x:c r="G358" s="34" t="str">
        <x:v>مهارت/یادگیری</x:v>
      </x:c>
      <x:c r="H358" s="39" t="str">
        <x:v>آشنایی با گوگل آنالیتیک</x:v>
      </x:c>
      <x:c r="I358" s="39" t="str">
        <x:v>پس از تثبیت پایه‌ها؛ پروژه‌محور</x:v>
      </x:c>
      <x:c r="J358" s="39" t="str">
        <x:v>مشاور کسب‌وکار/بازار/مالی</x:v>
      </x:c>
      <x:c r="K358" s="39" t="str"/>
      <x:c r="L358" s="39" t="str">
        <x:v>PL:R15</x:v>
      </x:c>
      <x:c r="M358" s="39" t="str"/>
      <x:c r="N358" s="39" t="str">
        <x:v>نسخه پایه ۳۱۵۰</x:v>
      </x:c>
    </x:row>
    <x:row r="359" ht="34" customHeight="1">
      <x:c r="A359" s="34" t="str">
        <x:v>☐</x:v>
      </x:c>
      <x:c r="B359" s="34" t="str">
        <x:v>MI-0015</x:v>
      </x:c>
      <x:c r="C359" s="34" t="str">
        <x:v>M3 — کسب‌وکار، شبکه و زیست‌بوم نوآوری</x:v>
      </x:c>
      <x:c r="D359" s="34" t="str">
        <x:v>H8</x:v>
      </x:c>
      <x:c r="E359" s="34" t="str">
        <x:v>کسب‌وکار، فروش، بازاریابی و مالی</x:v>
      </x:c>
      <x:c r="F359" s="34" t="str">
        <x:v>P2</x:v>
      </x:c>
      <x:c r="G359" s="34" t="str">
        <x:v>مهارت/یادگیری</x:v>
      </x:c>
      <x:c r="H359" s="39" t="str">
        <x:v>آشنایی با گوگل ترند</x:v>
      </x:c>
      <x:c r="I359" s="39" t="str">
        <x:v>پس از تثبیت پایه‌ها؛ پروژه‌محور</x:v>
      </x:c>
      <x:c r="J359" s="39" t="str">
        <x:v>مشاور کسب‌وکار/بازار/مالی</x:v>
      </x:c>
      <x:c r="K359" s="39" t="str"/>
      <x:c r="L359" s="39" t="str">
        <x:v>PL:R16</x:v>
      </x:c>
      <x:c r="M359" s="39" t="str"/>
      <x:c r="N359" s="39" t="str">
        <x:v>نسخه پایه ۳۱۵۰</x:v>
      </x:c>
    </x:row>
    <x:row r="360" ht="34" customHeight="1">
      <x:c r="A360" s="34" t="str">
        <x:v>☐</x:v>
      </x:c>
      <x:c r="B360" s="34" t="str">
        <x:v>MI-0016</x:v>
      </x:c>
      <x:c r="C360" s="34" t="str">
        <x:v>M3 — کسب‌وکار، شبکه و زیست‌بوم نوآوری</x:v>
      </x:c>
      <x:c r="D360" s="34" t="str">
        <x:v>H8</x:v>
      </x:c>
      <x:c r="E360" s="34" t="str">
        <x:v>کسب‌وکار، فروش، بازاریابی و مالی</x:v>
      </x:c>
      <x:c r="F360" s="34" t="str">
        <x:v>P2</x:v>
      </x:c>
      <x:c r="G360" s="34" t="str">
        <x:v>مهارت/یادگیری</x:v>
      </x:c>
      <x:c r="H360" s="39" t="str">
        <x:v>آشنایی با گوگل سرچ کنسول</x:v>
      </x:c>
      <x:c r="I360" s="39" t="str">
        <x:v>پس از تثبیت پایه‌ها؛ پروژه‌محور</x:v>
      </x:c>
      <x:c r="J360" s="39" t="str">
        <x:v>مشاور کسب‌وکار/بازار/مالی</x:v>
      </x:c>
      <x:c r="K360" s="39" t="str"/>
      <x:c r="L360" s="39" t="str">
        <x:v>PL:R17</x:v>
      </x:c>
      <x:c r="M360" s="39" t="str"/>
      <x:c r="N360" s="39" t="str">
        <x:v>نسخه پایه ۳۱۵۰</x:v>
      </x:c>
    </x:row>
    <x:row r="361" ht="34" customHeight="1">
      <x:c r="A361" s="34" t="str">
        <x:v>☐</x:v>
      </x:c>
      <x:c r="B361" s="34" t="str">
        <x:v>MI-0018</x:v>
      </x:c>
      <x:c r="C361" s="34" t="str">
        <x:v>M3 — کسب‌وکار، شبکه و زیست‌بوم نوآوری</x:v>
      </x:c>
      <x:c r="D361" s="34" t="str">
        <x:v>H8</x:v>
      </x:c>
      <x:c r="E361" s="34" t="str">
        <x:v>کسب‌وکار، فروش، بازاریابی و مالی</x:v>
      </x:c>
      <x:c r="F361" s="34" t="str">
        <x:v>P2</x:v>
      </x:c>
      <x:c r="G361" s="34" t="str">
        <x:v>مهارت/یادگیری</x:v>
      </x:c>
      <x:c r="H361" s="39" t="str">
        <x:v>آشنایی با مفاهیم استارتاپی و کسب و کار و دیجیتال مارکتینگ</x:v>
      </x:c>
      <x:c r="I361" s="39" t="str">
        <x:v>پس از تثبیت پایه‌ها؛ پروژه‌محور</x:v>
      </x:c>
      <x:c r="J361" s="39" t="str">
        <x:v>مشاور کسب‌وکار/بازار/مالی</x:v>
      </x:c>
      <x:c r="K361" s="39" t="str"/>
      <x:c r="L361" s="39" t="str">
        <x:v>PL:R19؛ AP:P1481</x:v>
      </x:c>
      <x:c r="M361" s="39" t="str"/>
      <x:c r="N361" s="39" t="str">
        <x:v>نسخه پایه ۳۱۵۰</x:v>
      </x:c>
    </x:row>
    <x:row r="362" ht="34" customHeight="1">
      <x:c r="A362" s="34" t="str">
        <x:v>☐</x:v>
      </x:c>
      <x:c r="B362" s="34" t="str">
        <x:v>MI-0058</x:v>
      </x:c>
      <x:c r="C362" s="34" t="str">
        <x:v>M3 — کسب‌وکار، شبکه و زیست‌بوم نوآوری</x:v>
      </x:c>
      <x:c r="D362" s="34" t="str">
        <x:v>H8</x:v>
      </x:c>
      <x:c r="E362" s="34" t="str">
        <x:v>کسب‌وکار، فروش، بازاریابی و مالی</x:v>
      </x:c>
      <x:c r="F362" s="34" t="str">
        <x:v>P2</x:v>
      </x:c>
      <x:c r="G362" s="34" t="str">
        <x:v>مهارت/یادگیری</x:v>
      </x:c>
      <x:c r="H362" s="39" t="str">
        <x:v>نرم افزار محاسبان</x:v>
      </x:c>
      <x:c r="I362" s="39" t="str">
        <x:v>پس از تثبیت پایه‌ها؛ پروژه‌محور</x:v>
      </x:c>
      <x:c r="J362" s="39" t="str">
        <x:v>مشاور کسب‌وکار/بازار/مالی</x:v>
      </x:c>
      <x:c r="K362" s="39" t="str"/>
      <x:c r="L362" s="39" t="str">
        <x:v>PL:R59</x:v>
      </x:c>
      <x:c r="M362" s="39" t="str"/>
      <x:c r="N362" s="39" t="str">
        <x:v>نسخه پایه ۳۱۵۰</x:v>
      </x:c>
    </x:row>
    <x:row r="363" ht="34" customHeight="1">
      <x:c r="A363" s="34" t="str">
        <x:v>☐</x:v>
      </x:c>
      <x:c r="B363" s="34" t="str">
        <x:v>MI-0062</x:v>
      </x:c>
      <x:c r="C363" s="34" t="str">
        <x:v>M3 — کسب‌وکار، شبکه و زیست‌بوم نوآوری</x:v>
      </x:c>
      <x:c r="D363" s="34" t="str">
        <x:v>H8</x:v>
      </x:c>
      <x:c r="E363" s="34" t="str">
        <x:v>کسب‌وکار، فروش، بازاریابی و مالی</x:v>
      </x:c>
      <x:c r="F363" s="34" t="str">
        <x:v>P2</x:v>
      </x:c>
      <x:c r="G363" s="34" t="str">
        <x:v>مهارت/یادگیری</x:v>
      </x:c>
      <x:c r="H363" s="39" t="str">
        <x:v>یادگیری بازاریابی بین المللی و صادرات محور</x:v>
      </x:c>
      <x:c r="I363" s="39" t="str">
        <x:v>پس از تثبیت پایه‌ها؛ پروژه‌محور</x:v>
      </x:c>
      <x:c r="J363" s="39" t="str">
        <x:v>مشاور کسب‌وکار/بازار/مالی</x:v>
      </x:c>
      <x:c r="K363" s="39" t="str"/>
      <x:c r="L363" s="39" t="str">
        <x:v>PL:R63؛ AP:P1483</x:v>
      </x:c>
      <x:c r="M363" s="39" t="str"/>
      <x:c r="N363" s="39" t="str">
        <x:v>نسخه پایه ۳۱۵۰</x:v>
      </x:c>
    </x:row>
    <x:row r="364" ht="34" customHeight="1">
      <x:c r="A364" s="34" t="str">
        <x:v>☐</x:v>
      </x:c>
      <x:c r="B364" s="34" t="str">
        <x:v>MI-0066</x:v>
      </x:c>
      <x:c r="C364" s="34" t="str">
        <x:v>M3 — کسب‌وکار، شبکه و زیست‌بوم نوآوری</x:v>
      </x:c>
      <x:c r="D364" s="34" t="str">
        <x:v>H8</x:v>
      </x:c>
      <x:c r="E364" s="34" t="str">
        <x:v>کسب‌وکار، فروش، بازاریابی و مالی</x:v>
      </x:c>
      <x:c r="F364" s="34" t="str">
        <x:v>P2</x:v>
      </x:c>
      <x:c r="G364" s="34" t="str">
        <x:v>مهارت/یادگیری</x:v>
      </x:c>
      <x:c r="H364" s="39" t="str">
        <x:v>یادگیری روانشناسی مهارت فروش</x:v>
      </x:c>
      <x:c r="I364" s="39" t="str">
        <x:v>پس از تثبیت پایه‌ها؛ پروژه‌محور</x:v>
      </x:c>
      <x:c r="J364" s="39" t="str">
        <x:v>مشاور کسب‌وکار/بازار/مالی</x:v>
      </x:c>
      <x:c r="K364" s="39" t="str"/>
      <x:c r="L364" s="39" t="str">
        <x:v>PL:R67؛ AP:P1369؛ AP:P1485</x:v>
      </x:c>
      <x:c r="M364" s="39" t="str"/>
      <x:c r="N364" s="39" t="str">
        <x:v>نسخه پایه ۳۱۵۰</x:v>
      </x:c>
    </x:row>
    <x:row r="365" ht="34" customHeight="1">
      <x:c r="A365" s="34" t="str">
        <x:v>☐</x:v>
      </x:c>
      <x:c r="B365" s="34" t="str">
        <x:v>MI-0073</x:v>
      </x:c>
      <x:c r="C365" s="34" t="str">
        <x:v>M3 — کسب‌وکار، شبکه و زیست‌بوم نوآوری</x:v>
      </x:c>
      <x:c r="D365" s="34" t="str">
        <x:v>H8</x:v>
      </x:c>
      <x:c r="E365" s="34" t="str">
        <x:v>کسب‌وکار، فروش، بازاریابی و مالی</x:v>
      </x:c>
      <x:c r="F365" s="34" t="str">
        <x:v>P2</x:v>
      </x:c>
      <x:c r="G365" s="34" t="str">
        <x:v>مهارت/یادگیری</x:v>
      </x:c>
      <x:c r="H365" s="39" t="str">
        <x:v>یادگیری مدیریت بازاریابی و فروش در رکود بازار ایران</x:v>
      </x:c>
      <x:c r="I365" s="39" t="str">
        <x:v>پس از تثبیت پایه‌ها؛ پروژه‌محور</x:v>
      </x:c>
      <x:c r="J365" s="39" t="str">
        <x:v>مشاور کسب‌وکار/بازار/مالی</x:v>
      </x:c>
      <x:c r="K365" s="39" t="str"/>
      <x:c r="L365" s="39" t="str">
        <x:v>PL:R74؛ AP:P1486</x:v>
      </x:c>
      <x:c r="M365" s="39" t="str"/>
      <x:c r="N365" s="39" t="str">
        <x:v>نسخه پایه ۳۱۵۰</x:v>
      </x:c>
    </x:row>
    <x:row r="366" ht="34" customHeight="1">
      <x:c r="A366" s="34" t="str">
        <x:v>☐</x:v>
      </x:c>
      <x:c r="B366" s="34" t="str">
        <x:v>MI-0074</x:v>
      </x:c>
      <x:c r="C366" s="34" t="str">
        <x:v>M3 — کسب‌وکار، شبکه و زیست‌بوم نوآوری</x:v>
      </x:c>
      <x:c r="D366" s="34" t="str">
        <x:v>H8</x:v>
      </x:c>
      <x:c r="E366" s="34" t="str">
        <x:v>کسب‌وکار، فروش، بازاریابی و مالی</x:v>
      </x:c>
      <x:c r="F366" s="34" t="str">
        <x:v>P2</x:v>
      </x:c>
      <x:c r="G366" s="34" t="str">
        <x:v>مهارت/یادگیری</x:v>
      </x:c>
      <x:c r="H366" s="39" t="str">
        <x:v>یادگیری نرم افزار حسابداری هلو یا سپیدار</x:v>
      </x:c>
      <x:c r="I366" s="39" t="str">
        <x:v>پس از تثبیت پایه‌ها؛ پروژه‌محور</x:v>
      </x:c>
      <x:c r="J366" s="39" t="str">
        <x:v>مشاور کسب‌وکار/بازار/مالی</x:v>
      </x:c>
      <x:c r="K366" s="39" t="str"/>
      <x:c r="L366" s="39" t="str">
        <x:v>PL:R75</x:v>
      </x:c>
      <x:c r="M366" s="39" t="str"/>
      <x:c r="N366" s="39" t="str">
        <x:v>نسخه پایه ۳۱۵۰</x:v>
      </x:c>
    </x:row>
    <x:row r="367" ht="34" customHeight="1">
      <x:c r="A367" s="34" t="str">
        <x:v>☐</x:v>
      </x:c>
      <x:c r="B367" s="34" t="str">
        <x:v>MI-0201</x:v>
      </x:c>
      <x:c r="C367" s="34" t="str">
        <x:v>M3 — کسب‌وکار، شبکه و زیست‌بوم نوآوری</x:v>
      </x:c>
      <x:c r="D367" s="34" t="str">
        <x:v>H8</x:v>
      </x:c>
      <x:c r="E367" s="34" t="str">
        <x:v>کسب‌وکار، فروش، بازاریابی و مالی</x:v>
      </x:c>
      <x:c r="F367" s="34" t="str">
        <x:v>P2</x:v>
      </x:c>
      <x:c r="G367" s="34" t="str">
        <x:v>مهارت/یادگیری</x:v>
      </x:c>
      <x:c r="H367" s="39" t="str">
        <x:v>آموزش تخصصی کسبوکار و بازاریابی</x:v>
      </x:c>
      <x:c r="I367" s="39" t="str">
        <x:v>پس از تثبیت پایه‌ها؛ پروژه‌محور</x:v>
      </x:c>
      <x:c r="J367" s="39" t="str">
        <x:v>مشاور کسب‌وکار/بازار/مالی</x:v>
      </x:c>
      <x:c r="K367" s="39" t="str"/>
      <x:c r="L367" s="39" t="str">
        <x:v>PL:R208</x:v>
      </x:c>
      <x:c r="M367" s="39" t="str"/>
      <x:c r="N367" s="39" t="str">
        <x:v>نسخه پایه ۳۱۵۰</x:v>
      </x:c>
    </x:row>
    <x:row r="368" ht="34" customHeight="1">
      <x:c r="A368" s="34" t="str">
        <x:v>☐</x:v>
      </x:c>
      <x:c r="B368" s="34" t="str">
        <x:v>MI-0202</x:v>
      </x:c>
      <x:c r="C368" s="34" t="str">
        <x:v>M3 — کسب‌وکار، شبکه و زیست‌بوم نوآوری</x:v>
      </x:c>
      <x:c r="D368" s="34" t="str">
        <x:v>H8</x:v>
      </x:c>
      <x:c r="E368" s="34" t="str">
        <x:v>کسب‌وکار، فروش، بازاریابی و مالی</x:v>
      </x:c>
      <x:c r="F368" s="34" t="str">
        <x:v>P2</x:v>
      </x:c>
      <x:c r="G368" s="34" t="str">
        <x:v>مهارت/یادگیری</x:v>
      </x:c>
      <x:c r="H368" s="39" t="str">
        <x:v>آموزش حسابداری</x:v>
      </x:c>
      <x:c r="I368" s="39" t="str">
        <x:v>پس از تثبیت پایه‌ها؛ پروژه‌محور</x:v>
      </x:c>
      <x:c r="J368" s="39" t="str">
        <x:v>مشاور کسب‌وکار/بازار/مالی</x:v>
      </x:c>
      <x:c r="K368" s="39" t="str"/>
      <x:c r="L368" s="39" t="str">
        <x:v>PL:R213</x:v>
      </x:c>
      <x:c r="M368" s="39" t="str"/>
      <x:c r="N368" s="39" t="str">
        <x:v>نسخه پایه ۳۱۵۰</x:v>
      </x:c>
    </x:row>
    <x:row r="369" ht="34" customHeight="1">
      <x:c r="A369" s="34" t="str">
        <x:v>☐</x:v>
      </x:c>
      <x:c r="B369" s="34" t="str">
        <x:v>MI-1437</x:v>
      </x:c>
      <x:c r="C369" s="34" t="str">
        <x:v>M3 — کسب‌وکار، شبکه و زیست‌بوم نوآوری</x:v>
      </x:c>
      <x:c r="D369" s="34" t="str">
        <x:v>H8</x:v>
      </x:c>
      <x:c r="E369" s="34" t="str">
        <x:v>کسب‌وکار، فروش، بازاریابی و مالی</x:v>
      </x:c>
      <x:c r="F369" s="34" t="str">
        <x:v>P2</x:v>
      </x:c>
      <x:c r="G369" s="34" t="str">
        <x:v>مهارت/یادگیری</x:v>
      </x:c>
      <x:c r="H369" s="39" t="str">
        <x:v>دوره ها</x:v>
      </x:c>
      <x:c r="I369" s="39" t="str">
        <x:v>پس از تثبیت پایه‌ها؛ پروژه‌محور</x:v>
      </x:c>
      <x:c r="J369" s="39" t="str">
        <x:v>مشاور کسب‌وکار/بازار/مالی</x:v>
      </x:c>
      <x:c r="K369" s="39" t="str"/>
      <x:c r="L369" s="39" t="str">
        <x:v>AP:P1337؛ AP:P1359؛ AP:P1373؛ AP:P1404؛ AP:P1442؛ AP:P1466؛ AP:P1478؛ AP:P1494؛ AP:P1499؛ AP:P1520</x:v>
      </x:c>
      <x:c r="M369" s="39" t="str"/>
      <x:c r="N369" s="39" t="str">
        <x:v>نسخه پایه ۳۱۵۰</x:v>
      </x:c>
    </x:row>
    <x:row r="370" ht="34" customHeight="1">
      <x:c r="A370" s="34" t="str">
        <x:v>☐</x:v>
      </x:c>
      <x:c r="B370" s="34" t="str">
        <x:v>MI-1514</x:v>
      </x:c>
      <x:c r="C370" s="34" t="str">
        <x:v>M3 — کسب‌وکار، شبکه و زیست‌بوم نوآوری</x:v>
      </x:c>
      <x:c r="D370" s="34" t="str">
        <x:v>H8</x:v>
      </x:c>
      <x:c r="E370" s="34" t="str">
        <x:v>کسب‌وکار، فروش، بازاریابی و مالی</x:v>
      </x:c>
      <x:c r="F370" s="34" t="str">
        <x:v>P2</x:v>
      </x:c>
      <x:c r="G370" s="34" t="str">
        <x:v>مهارت/یادگیری</x:v>
      </x:c>
      <x:c r="H370" s="39" t="str">
        <x:v>آشنایی با مفهوم بورس</x:v>
      </x:c>
      <x:c r="I370" s="39" t="str">
        <x:v>پس از تثبیت پایه‌ها؛ پروژه‌محور</x:v>
      </x:c>
      <x:c r="J370" s="39" t="str">
        <x:v>مشاور کسب‌وکار/بازار/مالی</x:v>
      </x:c>
      <x:c r="K370" s="39" t="str"/>
      <x:c r="L370" s="39" t="str">
        <x:v>AP:P1472</x:v>
      </x:c>
      <x:c r="M370" s="39" t="str"/>
      <x:c r="N370" s="39" t="str">
        <x:v>نسخه پایه ۳۱۵۰</x:v>
      </x:c>
    </x:row>
    <x:row r="371" ht="34" customHeight="1">
      <x:c r="A371" s="34" t="str">
        <x:v>☐</x:v>
      </x:c>
      <x:c r="B371" s="34" t="str">
        <x:v>MI-1517</x:v>
      </x:c>
      <x:c r="C371" s="34" t="str">
        <x:v>M3 — کسب‌وکار، شبکه و زیست‌بوم نوآوری</x:v>
      </x:c>
      <x:c r="D371" s="34" t="str">
        <x:v>H8</x:v>
      </x:c>
      <x:c r="E371" s="34" t="str">
        <x:v>کسب‌وکار، فروش، بازاریابی و مالی</x:v>
      </x:c>
      <x:c r="F371" s="34" t="str">
        <x:v>P2</x:v>
      </x:c>
      <x:c r="G371" s="34" t="str">
        <x:v>مهارت/یادگیری</x:v>
      </x:c>
      <x:c r="H371" s="39" t="str">
        <x:v>بازاریابی، فروش، برندسازی.</x:v>
      </x:c>
      <x:c r="I371" s="39" t="str">
        <x:v>پس از تثبیت پایه‌ها؛ پروژه‌محور</x:v>
      </x:c>
      <x:c r="J371" s="39" t="str">
        <x:v>مشاور کسب‌وکار/بازار/مالی</x:v>
      </x:c>
      <x:c r="K371" s="39" t="str"/>
      <x:c r="L371" s="39" t="str">
        <x:v>AP:P1476</x:v>
      </x:c>
      <x:c r="M371" s="39" t="str"/>
      <x:c r="N371" s="39" t="str">
        <x:v>نسخه پایه ۳۱۵۰</x:v>
      </x:c>
    </x:row>
    <x:row r="372" ht="34" customHeight="1">
      <x:c r="A372" s="34" t="str">
        <x:v>☐</x:v>
      </x:c>
      <x:c r="B372" s="34" t="str">
        <x:v>MI-1518</x:v>
      </x:c>
      <x:c r="C372" s="34" t="str">
        <x:v>M3 — کسب‌وکار، شبکه و زیست‌بوم نوآوری</x:v>
      </x:c>
      <x:c r="D372" s="34" t="str">
        <x:v>H8</x:v>
      </x:c>
      <x:c r="E372" s="34" t="str">
        <x:v>کسب‌وکار، فروش، بازاریابی و مالی</x:v>
      </x:c>
      <x:c r="F372" s="34" t="str">
        <x:v>P2</x:v>
      </x:c>
      <x:c r="G372" s="34" t="str">
        <x:v>مهارت/یادگیری</x:v>
      </x:c>
      <x:c r="H372" s="39" t="str">
        <x:v>حسابداری، بودجه بندی، سرمایه گذاری، مدیریت ریسک.</x:v>
      </x:c>
      <x:c r="I372" s="39" t="str">
        <x:v>پس از تثبیت پایه‌ها؛ پروژه‌محور</x:v>
      </x:c>
      <x:c r="J372" s="39" t="str">
        <x:v>مشاور کسب‌وکار/بازار/مالی</x:v>
      </x:c>
      <x:c r="K372" s="39" t="str"/>
      <x:c r="L372" s="39" t="str">
        <x:v>AP:P1477</x:v>
      </x:c>
      <x:c r="M372" s="39" t="str"/>
      <x:c r="N372" s="39" t="str">
        <x:v>نسخه پایه ۳۱۵۰</x:v>
      </x:c>
    </x:row>
    <x:row r="373" ht="34" customHeight="1">
      <x:c r="A373" s="34" t="str">
        <x:v>☐</x:v>
      </x:c>
      <x:c r="B373" s="34" t="str">
        <x:v>MI-1522</x:v>
      </x:c>
      <x:c r="C373" s="34" t="str">
        <x:v>M3 — کسب‌وکار، شبکه و زیست‌بوم نوآوری</x:v>
      </x:c>
      <x:c r="D373" s="34" t="str">
        <x:v>H8</x:v>
      </x:c>
      <x:c r="E373" s="34" t="str">
        <x:v>کسب‌وکار، فروش، بازاریابی و مالی</x:v>
      </x:c>
      <x:c r="F373" s="34" t="str">
        <x:v>P2</x:v>
      </x:c>
      <x:c r="G373" s="34" t="str">
        <x:v>مهارت/یادگیری</x:v>
      </x:c>
      <x:c r="H373" s="39" t="str">
        <x:v>یادگیری تکنیک های فروش</x:v>
      </x:c>
      <x:c r="I373" s="39" t="str">
        <x:v>پس از تثبیت پایه‌ها؛ پروژه‌محور</x:v>
      </x:c>
      <x:c r="J373" s="39" t="str">
        <x:v>مشاور کسب‌وکار/بازار/مالی</x:v>
      </x:c>
      <x:c r="K373" s="39" t="str"/>
      <x:c r="L373" s="39" t="str">
        <x:v>AP:P1484</x:v>
      </x:c>
      <x:c r="M373" s="39" t="str"/>
      <x:c r="N373" s="39" t="str">
        <x:v>نسخه پایه ۳۱۵۰</x:v>
      </x:c>
    </x:row>
    <x:row r="374" ht="34" customHeight="1">
      <x:c r="A374" s="34" t="str">
        <x:v>☐</x:v>
      </x:c>
      <x:c r="B374" s="34" t="str">
        <x:v>MI-2136</x:v>
      </x:c>
      <x:c r="C374" s="34" t="str">
        <x:v>M3 — کسب‌وکار، شبکه و زیست‌بوم نوآوری</x:v>
      </x:c>
      <x:c r="D374" s="34" t="str">
        <x:v>H8</x:v>
      </x:c>
      <x:c r="E374" s="34" t="str">
        <x:v>کسب‌وکار، فروش، بازاریابی و مالی</x:v>
      </x:c>
      <x:c r="F374" s="34" t="str">
        <x:v>P2</x:v>
      </x:c>
      <x:c r="G374" s="34" t="str">
        <x:v>مهارت/یادگیری</x:v>
      </x:c>
      <x:c r="H374" s="39" t="str">
        <x:v>آموزش عملی ساخت استارتاپ.</x:v>
      </x:c>
      <x:c r="I374" s="39" t="str">
        <x:v>پس از تثبیت پایه‌ها؛ پروژه‌محور</x:v>
      </x:c>
      <x:c r="J374" s="39" t="str">
        <x:v>مشاور کسب‌وکار/بازار/مالی</x:v>
      </x:c>
      <x:c r="K374" s="39" t="str"/>
      <x:c r="L374" s="39" t="str">
        <x:v>E112:P897</x:v>
      </x:c>
      <x:c r="M374" s="39" t="str"/>
      <x:c r="N374" s="39" t="str">
        <x:v>نسخه پایه ۳۱۵۰</x:v>
      </x:c>
    </x:row>
    <x:row r="375" ht="34" customHeight="1">
      <x:c r="A375" s="34" t="str">
        <x:v>☐</x:v>
      </x:c>
      <x:c r="B375" s="34" t="str">
        <x:v>MI-3024</x:v>
      </x:c>
      <x:c r="C375" s="34" t="str">
        <x:v>M3 — کسب‌وکار، شبکه و زیست‌بوم نوآوری</x:v>
      </x:c>
      <x:c r="D375" s="34" t="str">
        <x:v>H8</x:v>
      </x:c>
      <x:c r="E375" s="34" t="str">
        <x:v>کسب‌وکار، فروش، بازاریابی و مالی</x:v>
      </x:c>
      <x:c r="F375" s="34" t="str">
        <x:v>P2</x:v>
      </x:c>
      <x:c r="G375" s="34" t="str">
        <x:v>مهارت/یادگیری</x:v>
      </x:c>
      <x:c r="H375" s="39" t="str">
        <x:v>آموزش بنیان گذاران استارتاپ.</x:v>
      </x:c>
      <x:c r="I375" s="39" t="str">
        <x:v>پس از تثبیت پایه‌ها؛ پروژه‌محور</x:v>
      </x:c>
      <x:c r="J375" s="39" t="str">
        <x:v>مشاور کسب‌وکار/بازار/مالی</x:v>
      </x:c>
      <x:c r="K375" s="39" t="str"/>
      <x:c r="L375" s="39" t="str">
        <x:v>E112:P3574</x:v>
      </x:c>
      <x:c r="M375" s="39" t="str"/>
      <x:c r="N375" s="39" t="str">
        <x:v>نسخه پایه ۳۱۵۰</x:v>
      </x:c>
    </x:row>
    <x:row r="376" ht="34" customHeight="1">
      <x:c r="A376" s="34" t="str">
        <x:v>☐</x:v>
      </x:c>
      <x:c r="B376" s="34" t="str">
        <x:v>N115-0035</x:v>
      </x:c>
      <x:c r="C376" s="34" t="str">
        <x:v>M3 — کسب‌وکار، شبکه و زیست‌بوم نوآوری</x:v>
      </x:c>
      <x:c r="D376" s="34" t="str">
        <x:v>H8</x:v>
      </x:c>
      <x:c r="E376" s="34" t="str">
        <x:v>کسب‌وکار، فروش، بازاریابی و مالی</x:v>
      </x:c>
      <x:c r="F376" s="34" t="str">
        <x:v>P2</x:v>
      </x:c>
      <x:c r="G376" s="34" t="str">
        <x:v>مهارت/یادگیری</x:v>
      </x:c>
      <x:c r="H376" s="39" t="str">
        <x:v>قوانین صادرات و واردات</x:v>
      </x:c>
      <x:c r="I376" s="39" t="str">
        <x:v>یادگیری در مسیر تجارت/کارت بازرگانی</x:v>
      </x:c>
      <x:c r="J376" s="39" t="str">
        <x:v>مشاور کسب‌وکار/بازار/مالی</x:v>
      </x:c>
      <x:c r="K376" s="39" t="str">
        <x:v>تجارت</x:v>
      </x:c>
      <x:c r="L376" s="39" t="str">
        <x:v>115:P1542</x:v>
      </x:c>
      <x:c r="M376" s="39" t="str"/>
      <x:c r="N376" s="39" t="str">
        <x:v>1154878548.docx / ممیزی جدید</x:v>
      </x:c>
    </x:row>
    <x:row r="377" ht="34" customHeight="1">
      <x:c r="A377" s="34" t="str">
        <x:v>☐</x:v>
      </x:c>
      <x:c r="B377" s="34" t="str">
        <x:v>N115-0036</x:v>
      </x:c>
      <x:c r="C377" s="34" t="str">
        <x:v>M3 — کسب‌وکار، شبکه و زیست‌بوم نوآوری</x:v>
      </x:c>
      <x:c r="D377" s="34" t="str">
        <x:v>H8</x:v>
      </x:c>
      <x:c r="E377" s="34" t="str">
        <x:v>کسب‌وکار، فروش، بازاریابی و مالی</x:v>
      </x:c>
      <x:c r="F377" s="34" t="str">
        <x:v>P2</x:v>
      </x:c>
      <x:c r="G377" s="34" t="str">
        <x:v>مهارت/یادگیری</x:v>
      </x:c>
      <x:c r="H377" s="39" t="str">
        <x:v>تنظیم قراردادهای تجاری و پیمانکاری</x:v>
      </x:c>
      <x:c r="I377" s="39" t="str">
        <x:v>یادگیری کاربردی</x:v>
      </x:c>
      <x:c r="J377" s="39" t="str">
        <x:v>مشاور کسب‌وکار/بازار/مالی</x:v>
      </x:c>
      <x:c r="K377" s="39" t="str">
        <x:v>تجارت</x:v>
      </x:c>
      <x:c r="L377" s="39" t="str">
        <x:v>115:P1543</x:v>
      </x:c>
      <x:c r="M377" s="39" t="str"/>
      <x:c r="N377" s="39" t="str">
        <x:v>1154878548.docx / ممیزی جدید</x:v>
      </x:c>
    </x:row>
    <x:row r="378" ht="34" customHeight="1">
      <x:c r="A378" s="34" t="str">
        <x:v>☐</x:v>
      </x:c>
      <x:c r="B378" s="34" t="str">
        <x:v>MI-0052</x:v>
      </x:c>
      <x:c r="C378" s="34" t="str">
        <x:v>M3 — کسب‌وکار، شبکه و زیست‌بوم نوآوری</x:v>
      </x:c>
      <x:c r="D378" s="34" t="str">
        <x:v>H8</x:v>
      </x:c>
      <x:c r="E378" s="34" t="str">
        <x:v>کسب‌وکار، فروش، بازاریابی و مالی</x:v>
      </x:c>
      <x:c r="F378" s="34" t="str">
        <x:v>P2</x:v>
      </x:c>
      <x:c r="G378" s="34" t="str">
        <x:v>مدرک/گواهی</x:v>
      </x:c>
      <x:c r="H378" s="39" t="str">
        <x:v>گرفتن مدرک MBA</x:v>
      </x:c>
      <x:c r="I378" s="39" t="str">
        <x:v>پس از تثبیت پایه‌ها؛ پروژه‌محور</x:v>
      </x:c>
      <x:c r="J378" s="39" t="str">
        <x:v>مشاور کسب‌وکار/بازار/مالی</x:v>
      </x:c>
      <x:c r="K378" s="39" t="str"/>
      <x:c r="L378" s="39" t="str">
        <x:v>PL:R53</x:v>
      </x:c>
      <x:c r="M378" s="39" t="str"/>
      <x:c r="N378" s="39" t="str">
        <x:v>نسخه پایه ۳۱۵۰</x:v>
      </x:c>
    </x:row>
    <x:row r="379" ht="34" customHeight="1">
      <x:c r="A379" s="34" t="str">
        <x:v>☐</x:v>
      </x:c>
      <x:c r="B379" s="34" t="str">
        <x:v>MI-0020</x:v>
      </x:c>
      <x:c r="C379" s="34" t="str">
        <x:v>M3 — کسب‌وکار، شبکه و زیست‌بوم نوآوری</x:v>
      </x:c>
      <x:c r="D379" s="34" t="str">
        <x:v>H8</x:v>
      </x:c>
      <x:c r="E379" s="34" t="str">
        <x:v>کسب‌وکار، فروش، بازاریابی و مالی</x:v>
      </x:c>
      <x:c r="F379" s="34" t="str">
        <x:v>P2</x:v>
      </x:c>
      <x:c r="G379" s="34" t="str">
        <x:v>هدف/موضوع</x:v>
      </x:c>
      <x:c r="H379" s="39" t="str">
        <x:v>بررسی عوامل موثر بر موفقیت در فروش و بازاریابی محصول در بازار رقابتی</x:v>
      </x:c>
      <x:c r="I379" s="39" t="str">
        <x:v>پس از تثبیت پایه‌ها؛ پروژه‌محور</x:v>
      </x:c>
      <x:c r="J379" s="39" t="str">
        <x:v>مشاور کسب‌وکار/بازار/مالی</x:v>
      </x:c>
      <x:c r="K379" s="39" t="str"/>
      <x:c r="L379" s="39" t="str">
        <x:v>PL:R21؛ AP:P1487</x:v>
      </x:c>
      <x:c r="M379" s="39" t="str"/>
      <x:c r="N379" s="39" t="str">
        <x:v>نسخه پایه ۳۱۵۰</x:v>
      </x:c>
    </x:row>
    <x:row r="380" ht="34" customHeight="1">
      <x:c r="A380" s="34" t="str">
        <x:v>☐</x:v>
      </x:c>
      <x:c r="B380" s="34" t="str">
        <x:v>MI-0037</x:v>
      </x:c>
      <x:c r="C380" s="34" t="str">
        <x:v>M3 — کسب‌وکار، شبکه و زیست‌بوم نوآوری</x:v>
      </x:c>
      <x:c r="D380" s="34" t="str">
        <x:v>H8</x:v>
      </x:c>
      <x:c r="E380" s="34" t="str">
        <x:v>کسب‌وکار، فروش، بازاریابی و مالی</x:v>
      </x:c>
      <x:c r="F380" s="34" t="str">
        <x:v>P2</x:v>
      </x:c>
      <x:c r="G380" s="34" t="str">
        <x:v>هدف/موضوع</x:v>
      </x:c>
      <x:c r="H380" s="39" t="str">
        <x:v>دریافت کارت بازرگانی</x:v>
      </x:c>
      <x:c r="I380" s="39" t="str">
        <x:v>پس از تثبیت پایه‌ها؛ پروژه‌محور</x:v>
      </x:c>
      <x:c r="J380" s="39" t="str">
        <x:v>مشاور کسب‌وکار/بازار/مالی</x:v>
      </x:c>
      <x:c r="K380" s="39" t="str"/>
      <x:c r="L380" s="39" t="str">
        <x:v>PL:R38؛ AP:P1473</x:v>
      </x:c>
      <x:c r="M380" s="39" t="str"/>
      <x:c r="N380" s="39" t="str">
        <x:v>نسخه پایه ۳۱۵۰</x:v>
      </x:c>
    </x:row>
    <x:row r="381" ht="34" customHeight="1">
      <x:c r="A381" s="34" t="str">
        <x:v>☐</x:v>
      </x:c>
      <x:c r="B381" s="34" t="str">
        <x:v>MI-0198</x:v>
      </x:c>
      <x:c r="C381" s="34" t="str">
        <x:v>M3 — کسب‌وکار، شبکه و زیست‌بوم نوآوری</x:v>
      </x:c>
      <x:c r="D381" s="34" t="str">
        <x:v>H8</x:v>
      </x:c>
      <x:c r="E381" s="34" t="str">
        <x:v>کسب‌وکار، فروش، بازاریابی و مالی</x:v>
      </x:c>
      <x:c r="F381" s="34" t="str">
        <x:v>P2</x:v>
      </x:c>
      <x:c r="G381" s="34" t="str">
        <x:v>هدف/موضوع</x:v>
      </x:c>
      <x:c r="H381" s="39" t="str">
        <x:v>مدیریت بازرگانی</x:v>
      </x:c>
      <x:c r="I381" s="39" t="str">
        <x:v>پس از تثبیت پایه‌ها؛ پروژه‌محور</x:v>
      </x:c>
      <x:c r="J381" s="39" t="str">
        <x:v>مشاور کسب‌وکار/بازار/مالی</x:v>
      </x:c>
      <x:c r="K381" s="39" t="str"/>
      <x:c r="L381" s="39" t="str">
        <x:v>PL:R204</x:v>
      </x:c>
      <x:c r="M381" s="39" t="str"/>
      <x:c r="N381" s="39" t="str">
        <x:v>نسخه پایه ۳۱۵۰</x:v>
      </x:c>
    </x:row>
    <x:row r="382" ht="34" customHeight="1">
      <x:c r="A382" s="34" t="str">
        <x:v>☐</x:v>
      </x:c>
      <x:c r="B382" s="34" t="str">
        <x:v>MI-0211</x:v>
      </x:c>
      <x:c r="C382" s="34" t="str">
        <x:v>M3 — کسب‌وکار، شبکه و زیست‌بوم نوآوری</x:v>
      </x:c>
      <x:c r="D382" s="34" t="str">
        <x:v>H8</x:v>
      </x:c>
      <x:c r="E382" s="34" t="str">
        <x:v>کسب‌وکار، فروش، بازاریابی و مالی</x:v>
      </x:c>
      <x:c r="F382" s="34" t="str">
        <x:v>P2</x:v>
      </x:c>
      <x:c r="G382" s="34" t="str">
        <x:v>هدف/موضوع</x:v>
      </x:c>
      <x:c r="H382" s="39" t="str">
        <x:v>دیجیتال مارکتینگ و ابزارهای تحلیلی</x:v>
      </x:c>
      <x:c r="I382" s="39" t="str">
        <x:v>پس از تثبیت پایه‌ها؛ پروژه‌محور</x:v>
      </x:c>
      <x:c r="J382" s="39" t="str">
        <x:v>مشاور کسب‌وکار/بازار/مالی</x:v>
      </x:c>
      <x:c r="K382" s="39" t="str"/>
      <x:c r="L382" s="39" t="str">
        <x:v>PL:R286</x:v>
      </x:c>
      <x:c r="M382" s="39" t="str"/>
      <x:c r="N382" s="39" t="str">
        <x:v>نسخه پایه ۳۱۵۰</x:v>
      </x:c>
    </x:row>
    <x:row r="383" ht="34" customHeight="1">
      <x:c r="A383" s="34" t="str">
        <x:v>☐</x:v>
      </x:c>
      <x:c r="B383" s="34" t="str">
        <x:v>MI-0212</x:v>
      </x:c>
      <x:c r="C383" s="34" t="str">
        <x:v>M3 — کسب‌وکار، شبکه و زیست‌بوم نوآوری</x:v>
      </x:c>
      <x:c r="D383" s="34" t="str">
        <x:v>H8</x:v>
      </x:c>
      <x:c r="E383" s="34" t="str">
        <x:v>کسب‌وکار، فروش، بازاریابی و مالی</x:v>
      </x:c>
      <x:c r="F383" s="34" t="str">
        <x:v>P2</x:v>
      </x:c>
      <x:c r="G383" s="34" t="str">
        <x:v>هدف/موضوع</x:v>
      </x:c>
      <x:c r="H383" s="39" t="str">
        <x:v>دیجیتال مارکتینگ و تبلیغات آنلاین</x:v>
      </x:c>
      <x:c r="I383" s="39" t="str">
        <x:v>پس از تثبیت پایه‌ها؛ پروژه‌محور</x:v>
      </x:c>
      <x:c r="J383" s="39" t="str">
        <x:v>مشاور کسب‌وکار/بازار/مالی</x:v>
      </x:c>
      <x:c r="K383" s="39" t="str"/>
      <x:c r="L383" s="39" t="str">
        <x:v>PL:R289</x:v>
      </x:c>
      <x:c r="M383" s="39" t="str"/>
      <x:c r="N383" s="39" t="str">
        <x:v>نسخه پایه ۳۱۵۰</x:v>
      </x:c>
    </x:row>
    <x:row r="384" ht="34" customHeight="1">
      <x:c r="A384" s="34" t="str">
        <x:v>☐</x:v>
      </x:c>
      <x:c r="B384" s="34" t="str">
        <x:v>MI-0213</x:v>
      </x:c>
      <x:c r="C384" s="34" t="str">
        <x:v>M3 — کسب‌وکار، شبکه و زیست‌بوم نوآوری</x:v>
      </x:c>
      <x:c r="D384" s="34" t="str">
        <x:v>H8</x:v>
      </x:c>
      <x:c r="E384" s="34" t="str">
        <x:v>کسب‌وکار، فروش، بازاریابی و مالی</x:v>
      </x:c>
      <x:c r="F384" s="34" t="str">
        <x:v>P2</x:v>
      </x:c>
      <x:c r="G384" s="34" t="str">
        <x:v>هدف/موضوع</x:v>
      </x:c>
      <x:c r="H384" s="39" t="str">
        <x:v>دیجیتال مارکتینگ و تحلیل بازار</x:v>
      </x:c>
      <x:c r="I384" s="39" t="str">
        <x:v>پس از تثبیت پایه‌ها؛ پروژه‌محور</x:v>
      </x:c>
      <x:c r="J384" s="39" t="str">
        <x:v>مشاور کسب‌وکار/بازار/مالی</x:v>
      </x:c>
      <x:c r="K384" s="39" t="str"/>
      <x:c r="L384" s="39" t="str">
        <x:v>PL:R294</x:v>
      </x:c>
      <x:c r="M384" s="39" t="str"/>
      <x:c r="N384" s="39" t="str">
        <x:v>نسخه پایه ۳۱۵۰</x:v>
      </x:c>
    </x:row>
    <x:row r="385" ht="34" customHeight="1">
      <x:c r="A385" s="34" t="str">
        <x:v>☐</x:v>
      </x:c>
      <x:c r="B385" s="34" t="str">
        <x:v>MI-0214</x:v>
      </x:c>
      <x:c r="C385" s="34" t="str">
        <x:v>M3 — کسب‌وکار، شبکه و زیست‌بوم نوآوری</x:v>
      </x:c>
      <x:c r="D385" s="34" t="str">
        <x:v>H8</x:v>
      </x:c>
      <x:c r="E385" s="34" t="str">
        <x:v>کسب‌وکار، فروش، بازاریابی و مالی</x:v>
      </x:c>
      <x:c r="F385" s="34" t="str">
        <x:v>P2</x:v>
      </x:c>
      <x:c r="G385" s="34" t="str">
        <x:v>هدف/موضوع</x:v>
      </x:c>
      <x:c r="H385" s="39" t="str">
        <x:v>دیجیتال مارکتینگ و سیو</x:v>
      </x:c>
      <x:c r="I385" s="39" t="str">
        <x:v>پس از تثبیت پایه‌ها؛ پروژه‌محور</x:v>
      </x:c>
      <x:c r="J385" s="39" t="str">
        <x:v>مشاور کسب‌وکار/بازار/مالی</x:v>
      </x:c>
      <x:c r="K385" s="39" t="str"/>
      <x:c r="L385" s="39" t="str">
        <x:v>PL:R297</x:v>
      </x:c>
      <x:c r="M385" s="39" t="str"/>
      <x:c r="N385" s="39" t="str">
        <x:v>نسخه پایه ۳۱۵۰</x:v>
      </x:c>
    </x:row>
    <x:row r="386" ht="34" customHeight="1">
      <x:c r="A386" s="34" t="str">
        <x:v>☐</x:v>
      </x:c>
      <x:c r="B386" s="34" t="str">
        <x:v>MI-0231</x:v>
      </x:c>
      <x:c r="C386" s="34" t="str">
        <x:v>M3 — کسب‌وکار، شبکه و زیست‌بوم نوآوری</x:v>
      </x:c>
      <x:c r="D386" s="34" t="str">
        <x:v>H8</x:v>
      </x:c>
      <x:c r="E386" s="34" t="str">
        <x:v>کسب‌وکار، فروش، بازاریابی و مالی</x:v>
      </x:c>
      <x:c r="F386" s="34" t="str">
        <x:v>P2</x:v>
      </x:c>
      <x:c r="G386" s="34" t="str">
        <x:v>هدف/موضوع</x:v>
      </x:c>
      <x:c r="H386" s="39" t="str">
        <x:v>کارآفرینی و بازاریابی</x:v>
      </x:c>
      <x:c r="I386" s="39" t="str">
        <x:v>پس از تثبیت پایه‌ها؛ پروژه‌محور</x:v>
      </x:c>
      <x:c r="J386" s="39" t="str">
        <x:v>مشاور کسب‌وکار/بازار/مالی</x:v>
      </x:c>
      <x:c r="K386" s="39" t="str"/>
      <x:c r="L386" s="39" t="str">
        <x:v>PL:R407</x:v>
      </x:c>
      <x:c r="M386" s="39" t="str"/>
      <x:c r="N386" s="39" t="str">
        <x:v>نسخه پایه ۳۱۵۰</x:v>
      </x:c>
    </x:row>
    <x:row r="387" ht="34" customHeight="1">
      <x:c r="A387" s="34" t="str">
        <x:v>☐</x:v>
      </x:c>
      <x:c r="B387" s="34" t="str">
        <x:v>MI-0524</x:v>
      </x:c>
      <x:c r="C387" s="34" t="str">
        <x:v>M3 — کسب‌وکار، شبکه و زیست‌بوم نوآوری</x:v>
      </x:c>
      <x:c r="D387" s="34" t="str">
        <x:v>H8</x:v>
      </x:c>
      <x:c r="E387" s="34" t="str">
        <x:v>کسب‌وکار، فروش، بازاریابی و مالی</x:v>
      </x:c>
      <x:c r="F387" s="34" t="str">
        <x:v>P2</x:v>
      </x:c>
      <x:c r="G387" s="34" t="str">
        <x:v>هدف/موضوع</x:v>
      </x:c>
      <x:c r="H387" s="39" t="str">
        <x:v>مناسب رستوران داری</x:v>
      </x:c>
      <x:c r="I387" s="39" t="str">
        <x:v>پس از تثبیت پایه‌ها؛ پروژه‌محور</x:v>
      </x:c>
      <x:c r="J387" s="39" t="str">
        <x:v>مشاور کسب‌وکار/بازار/مالی</x:v>
      </x:c>
      <x:c r="K387" s="39" t="str"/>
      <x:c r="L387" s="39" t="str">
        <x:v>AP:P310</x:v>
      </x:c>
      <x:c r="M387" s="39" t="str"/>
      <x:c r="N387" s="39" t="str">
        <x:v>نسخه پایه ۳۱۵۰</x:v>
      </x:c>
    </x:row>
    <x:row r="388" ht="34" customHeight="1">
      <x:c r="A388" s="34" t="str">
        <x:v>☐</x:v>
      </x:c>
      <x:c r="B388" s="34" t="str">
        <x:v>MI-0525</x:v>
      </x:c>
      <x:c r="C388" s="34" t="str">
        <x:v>M3 — کسب‌وکار، شبکه و زیست‌بوم نوآوری</x:v>
      </x:c>
      <x:c r="D388" s="34" t="str">
        <x:v>H8</x:v>
      </x:c>
      <x:c r="E388" s="34" t="str">
        <x:v>کسب‌وکار، فروش، بازاریابی و مالی</x:v>
      </x:c>
      <x:c r="F388" s="34" t="str">
        <x:v>P2</x:v>
      </x:c>
      <x:c r="G388" s="34" t="str">
        <x:v>هدف/موضوع</x:v>
      </x:c>
      <x:c r="H388" s="39" t="str">
        <x:v>به مشتریان جدیدتان همراه باغذایشان، یک پیش غذا، دسر یا نوشیدنی رایگان بدهید.</x:v>
      </x:c>
      <x:c r="I388" s="39" t="str">
        <x:v>پس از تثبیت پایه‌ها؛ پروژه‌محور</x:v>
      </x:c>
      <x:c r="J388" s="39" t="str">
        <x:v>مشاور کسب‌وکار/بازار/مالی</x:v>
      </x:c>
      <x:c r="K388" s="39" t="str"/>
      <x:c r="L388" s="39" t="str">
        <x:v>AP:P311</x:v>
      </x:c>
      <x:c r="M388" s="39" t="str"/>
      <x:c r="N388" s="39" t="str">
        <x:v>نسخه پایه ۳۱۵۰</x:v>
      </x:c>
    </x:row>
    <x:row r="389" ht="34" customHeight="1">
      <x:c r="A389" s="34" t="str">
        <x:v>☐</x:v>
      </x:c>
      <x:c r="B389" s="34" t="str">
        <x:v>MI-0530</x:v>
      </x:c>
      <x:c r="C389" s="34" t="str">
        <x:v>M3 — کسب‌وکار، شبکه و زیست‌بوم نوآوری</x:v>
      </x:c>
      <x:c r="D389" s="34" t="str">
        <x:v>H8</x:v>
      </x:c>
      <x:c r="E389" s="34" t="str">
        <x:v>کسب‌وکار، فروش، بازاریابی و مالی</x:v>
      </x:c>
      <x:c r="F389" s="34" t="str">
        <x:v>P2</x:v>
      </x:c>
      <x:c r="G389" s="34" t="str">
        <x:v>هدف/موضوع</x:v>
      </x:c>
      <x:c r="H389" s="39" t="str">
        <x:v>فروش اقلام صبحانه را نیز بهفعالیت هایتان اضافه کنید.</x:v>
      </x:c>
      <x:c r="I389" s="39" t="str">
        <x:v>پس از تثبیت پایه‌ها؛ پروژه‌محور</x:v>
      </x:c>
      <x:c r="J389" s="39" t="str">
        <x:v>مشاور کسب‌وکار/بازار/مالی</x:v>
      </x:c>
      <x:c r="K389" s="39" t="str"/>
      <x:c r="L389" s="39" t="str">
        <x:v>AP:P316</x:v>
      </x:c>
      <x:c r="M389" s="39" t="str"/>
      <x:c r="N389" s="39" t="str">
        <x:v>نسخه پایه ۳۱۵۰</x:v>
      </x:c>
    </x:row>
    <x:row r="390" ht="34" customHeight="1">
      <x:c r="A390" s="34" t="str">
        <x:v>☐</x:v>
      </x:c>
      <x:c r="B390" s="34" t="str">
        <x:v>MI-0531</x:v>
      </x:c>
      <x:c r="C390" s="34" t="str">
        <x:v>M3 — کسب‌وکار، شبکه و زیست‌بوم نوآوری</x:v>
      </x:c>
      <x:c r="D390" s="34" t="str">
        <x:v>H8</x:v>
      </x:c>
      <x:c r="E390" s="34" t="str">
        <x:v>کسب‌وکار، فروش، بازاریابی و مالی</x:v>
      </x:c>
      <x:c r="F390" s="34" t="str">
        <x:v>P2</x:v>
      </x:c>
      <x:c r="G390" s="34" t="str">
        <x:v>هدف/موضوع</x:v>
      </x:c>
      <x:c r="H390" s="39" t="str">
        <x:v>برای بعضی مشتریان، سفارش آنلاین اغلب راحت تر ازتماس تلفنی است</x:v>
      </x:c>
      <x:c r="I390" s="39" t="str">
        <x:v>پس از تثبیت پایه‌ها؛ پروژه‌محور</x:v>
      </x:c>
      <x:c r="J390" s="39" t="str">
        <x:v>مشاور کسب‌وکار/بازار/مالی</x:v>
      </x:c>
      <x:c r="K390" s="39" t="str"/>
      <x:c r="L390" s="39" t="str">
        <x:v>AP:P317</x:v>
      </x:c>
      <x:c r="M390" s="39" t="str"/>
      <x:c r="N390" s="39" t="str">
        <x:v>نسخه پایه ۳۱۵۰</x:v>
      </x:c>
    </x:row>
    <x:row r="391" ht="34" customHeight="1">
      <x:c r="A391" s="34" t="str">
        <x:v>☐</x:v>
      </x:c>
      <x:c r="B391" s="34" t="str">
        <x:v>MI-0536</x:v>
      </x:c>
      <x:c r="C391" s="34" t="str">
        <x:v>M3 — کسب‌وکار، شبکه و زیست‌بوم نوآوری</x:v>
      </x:c>
      <x:c r="D391" s="34" t="str">
        <x:v>H8</x:v>
      </x:c>
      <x:c r="E391" s="34" t="str">
        <x:v>کسب‌وکار، فروش، بازاریابی و مالی</x:v>
      </x:c>
      <x:c r="F391" s="34" t="str">
        <x:v>P2</x:v>
      </x:c>
      <x:c r="G391" s="34" t="str">
        <x:v>هدف/موضوع</x:v>
      </x:c>
      <x:c r="H391" s="39" t="str">
        <x:v>همچنین ارایه غذاهای جدید در منونیز باعث جذب مشتریان می شود. یک نام</x:v>
      </x:c>
      <x:c r="I391" s="39" t="str">
        <x:v>پس از تثبیت پایه‌ها؛ پروژه‌محور</x:v>
      </x:c>
      <x:c r="J391" s="39" t="str">
        <x:v>مشاور کسب‌وکار/بازار/مالی</x:v>
      </x:c>
      <x:c r="K391" s="39" t="str"/>
      <x:c r="L391" s="39" t="str">
        <x:v>AP:P322</x:v>
      </x:c>
      <x:c r="M391" s="39" t="str"/>
      <x:c r="N391" s="39" t="str">
        <x:v>نسخه پایه ۳۱۵۰</x:v>
      </x:c>
    </x:row>
    <x:row r="392" ht="34" customHeight="1">
      <x:c r="A392" s="34" t="str">
        <x:v>☐</x:v>
      </x:c>
      <x:c r="B392" s="34" t="str">
        <x:v>MI-1519</x:v>
      </x:c>
      <x:c r="C392" s="34" t="str">
        <x:v>M3 — کسب‌وکار، شبکه و زیست‌بوم نوآوری</x:v>
      </x:c>
      <x:c r="D392" s="34" t="str">
        <x:v>H8</x:v>
      </x:c>
      <x:c r="E392" s="34" t="str">
        <x:v>کسب‌وکار، فروش، بازاریابی و مالی</x:v>
      </x:c>
      <x:c r="F392" s="34" t="str">
        <x:v>P2</x:v>
      </x:c>
      <x:c r="G392" s="34" t="str">
        <x:v>هدف/موضوع</x:v>
      </x:c>
      <x:c r="H392" s="39" t="str">
        <x:v>کارآفرینی و کسب و کار</x:v>
      </x:c>
      <x:c r="I392" s="39" t="str">
        <x:v>پس از تثبیت پایه‌ها؛ پروژه‌محور</x:v>
      </x:c>
      <x:c r="J392" s="39" t="str">
        <x:v>مشاور کسب‌وکار/بازار/مالی</x:v>
      </x:c>
      <x:c r="K392" s="39" t="str"/>
      <x:c r="L392" s="39" t="str">
        <x:v>AP:P1479</x:v>
      </x:c>
      <x:c r="M392" s="39" t="str"/>
      <x:c r="N392" s="39" t="str">
        <x:v>نسخه پایه ۳۱۵۰</x:v>
      </x:c>
    </x:row>
    <x:row r="393" ht="34" customHeight="1">
      <x:c r="A393" s="34" t="str">
        <x:v>☐</x:v>
      </x:c>
      <x:c r="B393" s="34" t="str">
        <x:v>MI-1520</x:v>
      </x:c>
      <x:c r="C393" s="34" t="str">
        <x:v>M3 — کسب‌وکار، شبکه و زیست‌بوم نوآوری</x:v>
      </x:c>
      <x:c r="D393" s="34" t="str">
        <x:v>H8</x:v>
      </x:c>
      <x:c r="E393" s="34" t="str">
        <x:v>کسب‌وکار، فروش، بازاریابی و مالی</x:v>
      </x:c>
      <x:c r="F393" s="34" t="str">
        <x:v>P2</x:v>
      </x:c>
      <x:c r="G393" s="34" t="str">
        <x:v>هدف/موضوع</x:v>
      </x:c>
      <x:c r="H393" s="39" t="str">
        <x:v>مبانی کارآفرینی:</x:v>
      </x:c>
      <x:c r="I393" s="39" t="str">
        <x:v>پس از تثبیت پایه‌ها؛ پروژه‌محور</x:v>
      </x:c>
      <x:c r="J393" s="39" t="str">
        <x:v>مشاور کسب‌وکار/بازار/مالی</x:v>
      </x:c>
      <x:c r="K393" s="39" t="str"/>
      <x:c r="L393" s="39" t="str">
        <x:v>AP:P1480</x:v>
      </x:c>
      <x:c r="M393" s="39" t="str"/>
      <x:c r="N393" s="39" t="str">
        <x:v>نسخه پایه ۳۱۵۰</x:v>
      </x:c>
    </x:row>
    <x:row r="394" ht="34" customHeight="1">
      <x:c r="A394" s="34" t="str">
        <x:v>☐</x:v>
      </x:c>
      <x:c r="B394" s="34" t="str">
        <x:v>MI-1521</x:v>
      </x:c>
      <x:c r="C394" s="34" t="str">
        <x:v>M3 — کسب‌وکار، شبکه و زیست‌بوم نوآوری</x:v>
      </x:c>
      <x:c r="D394" s="34" t="str">
        <x:v>H8</x:v>
      </x:c>
      <x:c r="E394" s="34" t="str">
        <x:v>کسب‌وکار، فروش، بازاریابی و مالی</x:v>
      </x:c>
      <x:c r="F394" s="34" t="str">
        <x:v>P2</x:v>
      </x:c>
      <x:c r="G394" s="34" t="str">
        <x:v>هدف/موضوع</x:v>
      </x:c>
      <x:c r="H394" s="39" t="str">
        <x:v>بازاریابی و فروش:</x:v>
      </x:c>
      <x:c r="I394" s="39" t="str">
        <x:v>پس از تثبیت پایه‌ها؛ پروژه‌محور</x:v>
      </x:c>
      <x:c r="J394" s="39" t="str">
        <x:v>مشاور کسب‌وکار/بازار/مالی</x:v>
      </x:c>
      <x:c r="K394" s="39" t="str"/>
      <x:c r="L394" s="39" t="str">
        <x:v>AP:P1482</x:v>
      </x:c>
      <x:c r="M394" s="39" t="str"/>
      <x:c r="N394" s="39" t="str">
        <x:v>نسخه پایه ۳۱۵۰</x:v>
      </x:c>
    </x:row>
    <x:row r="395" ht="34" customHeight="1">
      <x:c r="A395" s="34" t="str">
        <x:v>☐</x:v>
      </x:c>
      <x:c r="B395" s="34" t="str">
        <x:v>MI-1608</x:v>
      </x:c>
      <x:c r="C395" s="34" t="str">
        <x:v>M3 — کسب‌وکار، شبکه و زیست‌بوم نوآوری</x:v>
      </x:c>
      <x:c r="D395" s="34" t="str">
        <x:v>H8</x:v>
      </x:c>
      <x:c r="E395" s="34" t="str">
        <x:v>کسب‌وکار، فروش، بازاریابی و مالی</x:v>
      </x:c>
      <x:c r="F395" s="34" t="str">
        <x:v>P2</x:v>
      </x:c>
      <x:c r="G395" s="34" t="str">
        <x:v>هدف/موضوع</x:v>
      </x:c>
      <x:c r="H395" s="39" t="str">
        <x:v>• اتصال استارتاپ ها به بازارهای خارجی</x:v>
      </x:c>
      <x:c r="I395" s="39" t="str">
        <x:v>پس از تثبیت پایه‌ها؛ پروژه‌محور</x:v>
      </x:c>
      <x:c r="J395" s="39" t="str">
        <x:v>مشاور کسب‌وکار/بازار/مالی</x:v>
      </x:c>
      <x:c r="K395" s="39" t="str"/>
      <x:c r="L395" s="39" t="str">
        <x:v>E112:P66؛ E112:P1529؛ E112:P1846؛ E112:P2312</x:v>
      </x:c>
      <x:c r="M395" s="39" t="str"/>
      <x:c r="N395" s="39" t="str">
        <x:v>نسخه پایه ۳۱۵۰</x:v>
      </x:c>
    </x:row>
    <x:row r="396" ht="34" customHeight="1">
      <x:c r="A396" s="34" t="str">
        <x:v>☐</x:v>
      </x:c>
      <x:c r="B396" s="34" t="str">
        <x:v>MI-1634</x:v>
      </x:c>
      <x:c r="C396" s="34" t="str">
        <x:v>M3 — کسب‌وکار، شبکه و زیست‌بوم نوآوری</x:v>
      </x:c>
      <x:c r="D396" s="34" t="str">
        <x:v>H8</x:v>
      </x:c>
      <x:c r="E396" s="34" t="str">
        <x:v>کسب‌وکار، فروش، بازاریابی و مالی</x:v>
      </x:c>
      <x:c r="F396" s="34" t="str">
        <x:v>P2</x:v>
      </x:c>
      <x:c r="G396" s="34" t="str">
        <x:v>هدف/موضوع</x:v>
      </x:c>
      <x:c r="H396" s="39" t="str">
        <x:v>• با استارتاپ ها و شرکت ها ارتباط بگیرد</x:v>
      </x:c>
      <x:c r="I396" s="39" t="str">
        <x:v>پس از تثبیت پایه‌ها؛ پروژه‌محور</x:v>
      </x:c>
      <x:c r="J396" s="39" t="str">
        <x:v>مشاور کسب‌وکار/بازار/مالی</x:v>
      </x:c>
      <x:c r="K396" s="39" t="str"/>
      <x:c r="L396" s="39" t="str">
        <x:v>E112:P95؛ E112:P1567؛ E112:P1875؛ E112:P2341</x:v>
      </x:c>
      <x:c r="M396" s="39" t="str"/>
      <x:c r="N396" s="39" t="str">
        <x:v>نسخه پایه ۳۱۵۰</x:v>
      </x:c>
    </x:row>
    <x:row r="397" ht="34" customHeight="1">
      <x:c r="A397" s="34" t="str">
        <x:v>☐</x:v>
      </x:c>
      <x:c r="B397" s="34" t="str">
        <x:v>MI-1635</x:v>
      </x:c>
      <x:c r="C397" s="34" t="str">
        <x:v>M3 — کسب‌وکار، شبکه و زیست‌بوم نوآوری</x:v>
      </x:c>
      <x:c r="D397" s="34" t="str">
        <x:v>H8</x:v>
      </x:c>
      <x:c r="E397" s="34" t="str">
        <x:v>کسب‌وکار، فروش، بازاریابی و مالی</x:v>
      </x:c>
      <x:c r="F397" s="34" t="str">
        <x:v>P2</x:v>
      </x:c>
      <x:c r="G397" s="34" t="str">
        <x:v>هدف/موضوع</x:v>
      </x:c>
      <x:c r="H397" s="39" t="str">
        <x:v>مرحله 2: معرفی فرصت های صادراتی</x:v>
      </x:c>
      <x:c r="I397" s="39" t="str">
        <x:v>پس از تثبیت پایه‌ها؛ پروژه‌محور</x:v>
      </x:c>
      <x:c r="J397" s="39" t="str">
        <x:v>مشاور کسب‌وکار/بازار/مالی</x:v>
      </x:c>
      <x:c r="K397" s="39" t="str"/>
      <x:c r="L397" s="39" t="str">
        <x:v>E112:P97؛ E112:P1569؛ E112:P1877؛ E112:P2343</x:v>
      </x:c>
      <x:c r="M397" s="39" t="str"/>
      <x:c r="N397" s="39" t="str">
        <x:v>نسخه پایه ۳۱۵۰</x:v>
      </x:c>
    </x:row>
    <x:row r="398" ht="34" customHeight="1">
      <x:c r="A398" s="34" t="str">
        <x:v>☐</x:v>
      </x:c>
      <x:c r="B398" s="34" t="str">
        <x:v>MI-1636</x:v>
      </x:c>
      <x:c r="C398" s="34" t="str">
        <x:v>M3 — کسب‌وکار، شبکه و زیست‌بوم نوآوری</x:v>
      </x:c>
      <x:c r="D398" s="34" t="str">
        <x:v>H8</x:v>
      </x:c>
      <x:c r="E398" s="34" t="str">
        <x:v>کسب‌وکار، فروش، بازاریابی و مالی</x:v>
      </x:c>
      <x:c r="F398" s="34" t="str">
        <x:v>P2</x:v>
      </x:c>
      <x:c r="G398" s="34" t="str">
        <x:v>هدف/موضوع</x:v>
      </x:c>
      <x:c r="H398" s="39" t="str">
        <x:v>در این مرحله فرصت های واقعی سرمایه گذاری معرفی می شود.</x:v>
      </x:c>
      <x:c r="I398" s="39" t="str">
        <x:v>پس از تثبیت پایه‌ها؛ پروژه‌محور</x:v>
      </x:c>
      <x:c r="J398" s="39" t="str">
        <x:v>مشاور کسب‌وکار/بازار/مالی</x:v>
      </x:c>
      <x:c r="K398" s="39" t="str"/>
      <x:c r="L398" s="39" t="str">
        <x:v>E112:P98؛ E112:P1571؛ E112:P1878؛ E112:P2344</x:v>
      </x:c>
      <x:c r="M398" s="39" t="str"/>
      <x:c r="N398" s="39" t="str">
        <x:v>نسخه پایه ۳۱۵۰</x:v>
      </x:c>
    </x:row>
    <x:row r="399" ht="34" customHeight="1">
      <x:c r="A399" s="34" t="str">
        <x:v>☐</x:v>
      </x:c>
      <x:c r="B399" s="34" t="str">
        <x:v>MI-1637</x:v>
      </x:c>
      <x:c r="C399" s="34" t="str">
        <x:v>M3 — کسب‌وکار، شبکه و زیست‌بوم نوآوری</x:v>
      </x:c>
      <x:c r="D399" s="34" t="str">
        <x:v>H8</x:v>
      </x:c>
      <x:c r="E399" s="34" t="str">
        <x:v>کسب‌وکار، فروش، بازاریابی و مالی</x:v>
      </x:c>
      <x:c r="F399" s="34" t="str">
        <x:v>P2</x:v>
      </x:c>
      <x:c r="G399" s="34" t="str">
        <x:v>هدف/موضوع</x:v>
      </x:c>
      <x:c r="H399" s="39" t="str">
        <x:v>در مازندران چند حوزه صادراتی قوی وجود دارد:</x:v>
      </x:c>
      <x:c r="I399" s="39" t="str">
        <x:v>پس از تثبیت پایه‌ها؛ پروژه‌محور</x:v>
      </x:c>
      <x:c r="J399" s="39" t="str">
        <x:v>مشاور کسب‌وکار/بازار/مالی</x:v>
      </x:c>
      <x:c r="K399" s="39" t="str"/>
      <x:c r="L399" s="39" t="str">
        <x:v>E112:P99؛ E112:P1573؛ E112:P1879؛ E112:P2345</x:v>
      </x:c>
      <x:c r="M399" s="39" t="str"/>
      <x:c r="N399" s="39" t="str">
        <x:v>نسخه پایه ۳۱۵۰</x:v>
      </x:c>
    </x:row>
    <x:row r="400" ht="34" customHeight="1">
      <x:c r="A400" s="34" t="str">
        <x:v>☐</x:v>
      </x:c>
      <x:c r="B400" s="34" t="str">
        <x:v>MI-1647</x:v>
      </x:c>
      <x:c r="C400" s="34" t="str">
        <x:v>M3 — کسب‌وکار، شبکه و زیست‌بوم نوآوری</x:v>
      </x:c>
      <x:c r="D400" s="34" t="str">
        <x:v>H8</x:v>
      </x:c>
      <x:c r="E400" s="34" t="str">
        <x:v>کسب‌وکار، فروش، بازاریابی و مالی</x:v>
      </x:c>
      <x:c r="F400" s="34" t="str">
        <x:v>P2</x:v>
      </x:c>
      <x:c r="G400" s="34" t="str">
        <x:v>هدف/موضوع</x:v>
      </x:c>
      <x:c r="H400" s="39" t="str">
        <x:v>• تسهیل صادرات</x:v>
      </x:c>
      <x:c r="I400" s="39" t="str">
        <x:v>پس از تثبیت پایه‌ها؛ پروژه‌محور</x:v>
      </x:c>
      <x:c r="J400" s="39" t="str">
        <x:v>مشاور کسب‌وکار/بازار/مالی</x:v>
      </x:c>
      <x:c r="K400" s="39" t="str"/>
      <x:c r="L400" s="39" t="str">
        <x:v>E112:P110؛ E112:P1587؛ E112:P1890؛ E112:P2356</x:v>
      </x:c>
      <x:c r="M400" s="39" t="str"/>
      <x:c r="N400" s="39" t="str">
        <x:v>نسخه پایه ۳۱۵۰</x:v>
      </x:c>
    </x:row>
    <x:row r="401" ht="34" customHeight="1">
      <x:c r="A401" s="34" t="str">
        <x:v>☐</x:v>
      </x:c>
      <x:c r="B401" s="34" t="str">
        <x:v>MI-1651</x:v>
      </x:c>
      <x:c r="C401" s="34" t="str">
        <x:v>M3 — کسب‌وکار، شبکه و زیست‌بوم نوآوری</x:v>
      </x:c>
      <x:c r="D401" s="34" t="str">
        <x:v>H8</x:v>
      </x:c>
      <x:c r="E401" s="34" t="str">
        <x:v>کسب‌وکار، فروش، بازاریابی و مالی</x:v>
      </x:c>
      <x:c r="F401" s="34" t="str">
        <x:v>P2</x:v>
      </x:c>
      <x:c r="G401" s="34" t="str">
        <x:v>هدف/موضوع</x:v>
      </x:c>
      <x:c r="H401" s="39" t="str">
        <x:v>این ها برای سرمایه گذار خارجی بسیار جذاب است.</x:v>
      </x:c>
      <x:c r="I401" s="39" t="str">
        <x:v>پس از تثبیت پایه‌ها؛ پروژه‌محور</x:v>
      </x:c>
      <x:c r="J401" s="39" t="str">
        <x:v>مشاور کسب‌وکار/بازار/مالی</x:v>
      </x:c>
      <x:c r="K401" s="39" t="str"/>
      <x:c r="L401" s="39" t="str">
        <x:v>E112:P114؛ E112:P1592؛ E112:P1894؛ E112:P2360</x:v>
      </x:c>
      <x:c r="M401" s="39" t="str"/>
      <x:c r="N401" s="39" t="str">
        <x:v>نسخه پایه ۳۱۵۰</x:v>
      </x:c>
    </x:row>
    <x:row r="402" ht="34" customHeight="1">
      <x:c r="A402" s="34" t="str">
        <x:v>☐</x:v>
      </x:c>
      <x:c r="B402" s="34" t="str">
        <x:v>MI-1654</x:v>
      </x:c>
      <x:c r="C402" s="34" t="str">
        <x:v>M3 — کسب‌وکار، شبکه و زیست‌بوم نوآوری</x:v>
      </x:c>
      <x:c r="D402" s="34" t="str">
        <x:v>H8</x:v>
      </x:c>
      <x:c r="E402" s="34" t="str">
        <x:v>کسب‌وکار، فروش، بازاریابی و مالی</x:v>
      </x:c>
      <x:c r="F402" s="34" t="str">
        <x:v>P2</x:v>
      </x:c>
      <x:c r="G402" s="34" t="str">
        <x:v>هدف/موضوع</x:v>
      </x:c>
      <x:c r="H402" s="39" t="str">
        <x:v>• سرمایه گذار خارجی</x:v>
      </x:c>
      <x:c r="I402" s="39" t="str">
        <x:v>پس از تثبیت پایه‌ها؛ پروژه‌محور</x:v>
      </x:c>
      <x:c r="J402" s="39" t="str">
        <x:v>مشاور کسب‌وکار/بازار/مالی</x:v>
      </x:c>
      <x:c r="K402" s="39" t="str"/>
      <x:c r="L402" s="39" t="str">
        <x:v>E112:P118؛ E112:P1597؛ E112:P1898؛ E112:P2364؛ E112:P3151</x:v>
      </x:c>
      <x:c r="M402" s="39" t="str"/>
      <x:c r="N402" s="39" t="str">
        <x:v>نسخه پایه ۳۱۵۰</x:v>
      </x:c>
    </x:row>
    <x:row r="403" ht="34" customHeight="1">
      <x:c r="A403" s="34" t="str">
        <x:v>☐</x:v>
      </x:c>
      <x:c r="B403" s="34" t="str">
        <x:v>MI-1656</x:v>
      </x:c>
      <x:c r="C403" s="34" t="str">
        <x:v>M3 — کسب‌وکار، شبکه و زیست‌بوم نوآوری</x:v>
      </x:c>
      <x:c r="D403" s="34" t="str">
        <x:v>H8</x:v>
      </x:c>
      <x:c r="E403" s="34" t="str">
        <x:v>کسب‌وکار، فروش، بازاریابی و مالی</x:v>
      </x:c>
      <x:c r="F403" s="34" t="str">
        <x:v>P2</x:v>
      </x:c>
      <x:c r="G403" s="34" t="str">
        <x:v>هدف/موضوع</x:v>
      </x:c>
      <x:c r="H403" s="39" t="str">
        <x:v>• تیم کارآفرین یا استارتاپ</x:v>
      </x:c>
      <x:c r="I403" s="39" t="str">
        <x:v>پس از تثبیت پایه‌ها؛ پروژه‌محور</x:v>
      </x:c>
      <x:c r="J403" s="39" t="str">
        <x:v>مشاور کسب‌وکار/بازار/مالی</x:v>
      </x:c>
      <x:c r="K403" s="39" t="str"/>
      <x:c r="L403" s="39" t="str">
        <x:v>E112:P120؛ E112:P1599؛ E112:P1900؛ E112:P2366</x:v>
      </x:c>
      <x:c r="M403" s="39" t="str"/>
      <x:c r="N403" s="39" t="str">
        <x:v>نسخه پایه ۳۱۵۰</x:v>
      </x:c>
    </x:row>
    <x:row r="404" ht="34" customHeight="1">
      <x:c r="A404" s="34" t="str">
        <x:v>☐</x:v>
      </x:c>
      <x:c r="B404" s="34" t="str">
        <x:v>MI-1658</x:v>
      </x:c>
      <x:c r="C404" s="34" t="str">
        <x:v>M3 — کسب‌وکار، شبکه و زیست‌بوم نوآوری</x:v>
      </x:c>
      <x:c r="D404" s="34" t="str">
        <x:v>H8</x:v>
      </x:c>
      <x:c r="E404" s="34" t="str">
        <x:v>کسب‌وکار، فروش، بازاریابی و مالی</x:v>
      </x:c>
      <x:c r="F404" s="34" t="str">
        <x:v>P2</x:v>
      </x:c>
      <x:c r="G404" s="34" t="str">
        <x:v>هدف/موضوع</x:v>
      </x:c>
      <x:c r="H404" s="39" t="str">
        <x:v>یک شرکت صادراتی یا فناوری محور.</x:v>
      </x:c>
      <x:c r="I404" s="39" t="str">
        <x:v>پس از تثبیت پایه‌ها؛ پروژه‌محور</x:v>
      </x:c>
      <x:c r="J404" s="39" t="str">
        <x:v>مشاور کسب‌وکار/بازار/مالی</x:v>
      </x:c>
      <x:c r="K404" s="39" t="str"/>
      <x:c r="L404" s="39" t="str">
        <x:v>E112:P122؛ E112:P1603؛ E112:P1902؛ E112:P2368</x:v>
      </x:c>
      <x:c r="M404" s="39" t="str"/>
      <x:c r="N404" s="39" t="str">
        <x:v>نسخه پایه ۳۱۵۰</x:v>
      </x:c>
    </x:row>
    <x:row r="405" ht="34" customHeight="1">
      <x:c r="A405" s="34" t="str">
        <x:v>☐</x:v>
      </x:c>
      <x:c r="B405" s="34" t="str">
        <x:v>MI-1663</x:v>
      </x:c>
      <x:c r="C405" s="34" t="str">
        <x:v>M3 — کسب‌وکار، شبکه و زیست‌بوم نوآوری</x:v>
      </x:c>
      <x:c r="D405" s="34" t="str">
        <x:v>H8</x:v>
      </x:c>
      <x:c r="E405" s="34" t="str">
        <x:v>کسب‌وکار، فروش، بازاریابی و مالی</x:v>
      </x:c>
      <x:c r="F405" s="34" t="str">
        <x:v>P2</x:v>
      </x:c>
      <x:c r="G405" s="34" t="str">
        <x:v>هدف/موضوع</x:v>
      </x:c>
      <x:c r="H405" s="39" t="str">
        <x:v>• سرمایه گذاری در AgriTech</x:v>
      </x:c>
      <x:c r="I405" s="39" t="str">
        <x:v>پس از تثبیت پایه‌ها؛ پروژه‌محور</x:v>
      </x:c>
      <x:c r="J405" s="39" t="str">
        <x:v>مشاور کسب‌وکار/بازار/مالی</x:v>
      </x:c>
      <x:c r="K405" s="39" t="str"/>
      <x:c r="L405" s="39" t="str">
        <x:v>E112:P128؛ E112:P1612؛ E112:P1908؛ E112:P2374</x:v>
      </x:c>
      <x:c r="M405" s="39" t="str"/>
      <x:c r="N405" s="39" t="str">
        <x:v>نسخه پایه ۳۱۵۰</x:v>
      </x:c>
    </x:row>
    <x:row r="406" ht="34" customHeight="1">
      <x:c r="A406" s="34" t="str">
        <x:v>☐</x:v>
      </x:c>
      <x:c r="B406" s="34" t="str">
        <x:v>MI-1666</x:v>
      </x:c>
      <x:c r="C406" s="34" t="str">
        <x:v>M3 — کسب‌وکار، شبکه و زیست‌بوم نوآوری</x:v>
      </x:c>
      <x:c r="D406" s="34" t="str">
        <x:v>H8</x:v>
      </x:c>
      <x:c r="E406" s="34" t="str">
        <x:v>کسب‌وکار، فروش، بازاریابی و مالی</x:v>
      </x:c>
      <x:c r="F406" s="34" t="str">
        <x:v>P2</x:v>
      </x:c>
      <x:c r="G406" s="34" t="str">
        <x:v>هدف/موضوع</x:v>
      </x:c>
      <x:c r="H406" s="39" t="str">
        <x:v>• لجستیک صادرات به روسیه</x:v>
      </x:c>
      <x:c r="I406" s="39" t="str">
        <x:v>پس از تثبیت پایه‌ها؛ پروژه‌محور</x:v>
      </x:c>
      <x:c r="J406" s="39" t="str">
        <x:v>مشاور کسب‌وکار/بازار/مالی</x:v>
      </x:c>
      <x:c r="K406" s="39" t="str"/>
      <x:c r="L406" s="39" t="str">
        <x:v>E112:P131؛ E112:P1615؛ E112:P1911؛ E112:P2377</x:v>
      </x:c>
      <x:c r="M406" s="39" t="str"/>
      <x:c r="N406" s="39" t="str">
        <x:v>نسخه پایه ۳۱۵۰</x:v>
      </x:c>
    </x:row>
    <x:row r="407" ht="34" customHeight="1">
      <x:c r="A407" s="34" t="str">
        <x:v>☐</x:v>
      </x:c>
      <x:c r="B407" s="34" t="str">
        <x:v>MI-1669</x:v>
      </x:c>
      <x:c r="C407" s="34" t="str">
        <x:v>M3 — کسب‌وکار، شبکه و زیست‌بوم نوآوری</x:v>
      </x:c>
      <x:c r="D407" s="34" t="str">
        <x:v>H8</x:v>
      </x:c>
      <x:c r="E407" s="34" t="str">
        <x:v>کسب‌وکار، فروش، بازاریابی و مالی</x:v>
      </x:c>
      <x:c r="F407" s="34" t="str">
        <x:v>P2</x:v>
      </x:c>
      <x:c r="G407" s="34" t="str">
        <x:v>هدف/موضوع</x:v>
      </x:c>
      <x:c r="H407" s="39" t="str">
        <x:v>• سرمایه گذار</x:v>
      </x:c>
      <x:c r="I407" s="39" t="str">
        <x:v>پس از تثبیت پایه‌ها؛ پروژه‌محور</x:v>
      </x:c>
      <x:c r="J407" s="39" t="str">
        <x:v>مشاور کسب‌وکار/بازار/مالی</x:v>
      </x:c>
      <x:c r="K407" s="39" t="str"/>
      <x:c r="L407" s="39" t="str">
        <x:v>E112:P134؛ E112:P1620؛ E112:P1914؛ E112:P2380</x:v>
      </x:c>
      <x:c r="M407" s="39" t="str"/>
      <x:c r="N407" s="39" t="str">
        <x:v>نسخه پایه ۳۱۵۰</x:v>
      </x:c>
    </x:row>
    <x:row r="408" ht="34" customHeight="1">
      <x:c r="A408" s="34" t="str">
        <x:v>☐</x:v>
      </x:c>
      <x:c r="B408" s="34" t="str">
        <x:v>MI-1671</x:v>
      </x:c>
      <x:c r="C408" s="34" t="str">
        <x:v>M3 — کسب‌وکار، شبکه و زیست‌بوم نوآوری</x:v>
      </x:c>
      <x:c r="D408" s="34" t="str">
        <x:v>H8</x:v>
      </x:c>
      <x:c r="E408" s="34" t="str">
        <x:v>کسب‌وکار، فروش، بازاریابی و مالی</x:v>
      </x:c>
      <x:c r="F408" s="34" t="str">
        <x:v>P2</x:v>
      </x:c>
      <x:c r="G408" s="34" t="str">
        <x:v>هدف/موضوع</x:v>
      </x:c>
      <x:c r="H408" s="39" t="str">
        <x:v>• استارتاپ ها</x:v>
      </x:c>
      <x:c r="I408" s="39" t="str">
        <x:v>پس از تثبیت پایه‌ها؛ پروژه‌محور</x:v>
      </x:c>
      <x:c r="J408" s="39" t="str">
        <x:v>مشاور کسب‌وکار/بازار/مالی</x:v>
      </x:c>
      <x:c r="K408" s="39" t="str"/>
      <x:c r="L408" s="39" t="str">
        <x:v>E112:P136؛ E112:P317؛ E112:P604؛ E112:P788؛ E112:P1622؛ E112:P1916؛ E112:P2382</x:v>
      </x:c>
      <x:c r="M408" s="39" t="str"/>
      <x:c r="N408" s="39" t="str">
        <x:v>نسخه پایه ۳۱۵۰</x:v>
      </x:c>
    </x:row>
    <x:row r="409" ht="34" customHeight="1">
      <x:c r="A409" s="34" t="str">
        <x:v>☐</x:v>
      </x:c>
      <x:c r="B409" s="34" t="str">
        <x:v>MI-1692</x:v>
      </x:c>
      <x:c r="C409" s="34" t="str">
        <x:v>M3 — کسب‌وکار، شبکه و زیست‌بوم نوآوری</x:v>
      </x:c>
      <x:c r="D409" s="34" t="str">
        <x:v>H8</x:v>
      </x:c>
      <x:c r="E409" s="34" t="str">
        <x:v>کسب‌وکار، فروش، بازاریابی و مالی</x:v>
      </x:c>
      <x:c r="F409" s="34" t="str">
        <x:v>P2</x:v>
      </x:c>
      <x:c r="G409" s="34" t="str">
        <x:v>هدف/موضوع</x:v>
      </x:c>
      <x:c r="H409" s="39" t="str">
        <x:v>• Food Processing و بسته بندی صادراتی</x:v>
      </x:c>
      <x:c r="I409" s="39" t="str">
        <x:v>پس از تثبیت پایه‌ها؛ پروژه‌محور</x:v>
      </x:c>
      <x:c r="J409" s="39" t="str">
        <x:v>مشاور کسب‌وکار/بازار/مالی</x:v>
      </x:c>
      <x:c r="K409" s="39" t="str"/>
      <x:c r="L409" s="39" t="str">
        <x:v>E112:P158؛ E112:P1671؛ E112:P1940؛ E112:P2406</x:v>
      </x:c>
      <x:c r="M409" s="39" t="str"/>
      <x:c r="N409" s="39" t="str">
        <x:v>نسخه پایه ۳۱۵۰</x:v>
      </x:c>
    </x:row>
    <x:row r="410" ht="34" customHeight="1">
      <x:c r="A410" s="34" t="str">
        <x:v>☐</x:v>
      </x:c>
      <x:c r="B410" s="34" t="str">
        <x:v>MI-1695</x:v>
      </x:c>
      <x:c r="C410" s="34" t="str">
        <x:v>M3 — کسب‌وکار، شبکه و زیست‌بوم نوآوری</x:v>
      </x:c>
      <x:c r="D410" s="34" t="str">
        <x:v>H8</x:v>
      </x:c>
      <x:c r="E410" s="34" t="str">
        <x:v>کسب‌وکار، فروش، بازاریابی و مالی</x:v>
      </x:c>
      <x:c r="F410" s="34" t="str">
        <x:v>P2</x:v>
      </x:c>
      <x:c r="G410" s="34" t="str">
        <x:v>هدف/موضوع</x:v>
      </x:c>
      <x:c r="H410" s="39" t="str">
        <x:v>• Cold-chain logistics برای صادرات محصولات تازه</x:v>
      </x:c>
      <x:c r="I410" s="39" t="str">
        <x:v>پس از تثبیت پایه‌ها؛ پروژه‌محور</x:v>
      </x:c>
      <x:c r="J410" s="39" t="str">
        <x:v>مشاور کسب‌وکار/بازار/مالی</x:v>
      </x:c>
      <x:c r="K410" s="39" t="str"/>
      <x:c r="L410" s="39" t="str">
        <x:v>E112:P161؛ E112:P1674؛ E112:P1943؛ E112:P2409</x:v>
      </x:c>
      <x:c r="M410" s="39" t="str"/>
      <x:c r="N410" s="39" t="str">
        <x:v>نسخه پایه ۳۱۵۰</x:v>
      </x:c>
    </x:row>
    <x:row r="411" ht="34" customHeight="1">
      <x:c r="A411" s="34" t="str">
        <x:v>☐</x:v>
      </x:c>
      <x:c r="B411" s="34" t="str">
        <x:v>MI-1706</x:v>
      </x:c>
      <x:c r="C411" s="34" t="str">
        <x:v>M3 — کسب‌وکار، شبکه و زیست‌بوم نوآوری</x:v>
      </x:c>
      <x:c r="D411" s="34" t="str">
        <x:v>H8</x:v>
      </x:c>
      <x:c r="E411" s="34" t="str">
        <x:v>کسب‌وکار، فروش، بازاریابی و مالی</x:v>
      </x:c>
      <x:c r="F411" s="34" t="str">
        <x:v>P2</x:v>
      </x:c>
      <x:c r="G411" s="34" t="str">
        <x:v>هدف/موضوع</x:v>
      </x:c>
      <x:c r="H411" s="39" t="str">
        <x:v>o اتصال به سرمایه و بازار</x:v>
      </x:c>
      <x:c r="I411" s="39" t="str">
        <x:v>پس از تثبیت پایه‌ها؛ پروژه‌محور</x:v>
      </x:c>
      <x:c r="J411" s="39" t="str">
        <x:v>مشاور کسب‌وکار/بازار/مالی</x:v>
      </x:c>
      <x:c r="K411" s="39" t="str"/>
      <x:c r="L411" s="39" t="str">
        <x:v>E112:P172؛ E112:P1689؛ E112:P1954؛ E112:P2420</x:v>
      </x:c>
      <x:c r="M411" s="39" t="str"/>
      <x:c r="N411" s="39" t="str">
        <x:v>نسخه پایه ۳۱۵۰</x:v>
      </x:c>
    </x:row>
    <x:row r="412" ht="34" customHeight="1">
      <x:c r="A412" s="34" t="str">
        <x:v>☐</x:v>
      </x:c>
      <x:c r="B412" s="34" t="str">
        <x:v>MI-1735</x:v>
      </x:c>
      <x:c r="C412" s="34" t="str">
        <x:v>M3 — کسب‌وکار، شبکه و زیست‌بوم نوآوری</x:v>
      </x:c>
      <x:c r="D412" s="34" t="str">
        <x:v>H8</x:v>
      </x:c>
      <x:c r="E412" s="34" t="str">
        <x:v>کسب‌وکار، فروش، بازاریابی و مالی</x:v>
      </x:c>
      <x:c r="F412" s="34" t="str">
        <x:v>P2</x:v>
      </x:c>
      <x:c r="G412" s="34" t="str">
        <x:v>هدف/موضوع</x:v>
      </x:c>
      <x:c r="H412" s="39" t="str">
        <x:v>سرمایه</x:v>
      </x:c>
      <x:c r="I412" s="39" t="str">
        <x:v>پس از تثبیت پایه‌ها؛ پروژه‌محور</x:v>
      </x:c>
      <x:c r="J412" s="39" t="str">
        <x:v>مشاور کسب‌وکار/بازار/مالی</x:v>
      </x:c>
      <x:c r="K412" s="39" t="str"/>
      <x:c r="L412" s="39" t="str">
        <x:v>E112:P210؛ E112:P448؛ E112:P810؛ E112:P1078؛ E112:P1452؛ E112:P2138؛ E112:P2232؛ E112:P2466؛ E112:P3184</x:v>
      </x:c>
      <x:c r="M412" s="39" t="str"/>
      <x:c r="N412" s="39" t="str">
        <x:v>نسخه پایه ۳۱۵۰</x:v>
      </x:c>
    </x:row>
    <x:row r="413" ht="34" customHeight="1">
      <x:c r="A413" s="34" t="str">
        <x:v>☐</x:v>
      </x:c>
      <x:c r="B413" s="34" t="str">
        <x:v>MI-1787</x:v>
      </x:c>
      <x:c r="C413" s="34" t="str">
        <x:v>M3 — کسب‌وکار، شبکه و زیست‌بوم نوآوری</x:v>
      </x:c>
      <x:c r="D413" s="34" t="str">
        <x:v>H8</x:v>
      </x:c>
      <x:c r="E413" s="34" t="str">
        <x:v>کسب‌وکار، فروش، بازاریابی و مالی</x:v>
      </x:c>
      <x:c r="F413" s="34" t="str">
        <x:v>P2</x:v>
      </x:c>
      <x:c r="G413" s="34" t="str">
        <x:v>هدف/موضوع</x:v>
      </x:c>
      <x:c r="H413" s="39" t="str">
        <x:v>برند شخصی</x:v>
      </x:c>
      <x:c r="I413" s="39" t="str">
        <x:v>پس از تثبیت پایه‌ها؛ پروژه‌محور</x:v>
      </x:c>
      <x:c r="J413" s="39" t="str">
        <x:v>مشاور کسب‌وکار/بازار/مالی</x:v>
      </x:c>
      <x:c r="K413" s="39" t="str"/>
      <x:c r="L413" s="39" t="str">
        <x:v>E112:P287</x:v>
      </x:c>
      <x:c r="M413" s="39" t="str"/>
      <x:c r="N413" s="39" t="str">
        <x:v>نسخه پایه ۳۱۵۰</x:v>
      </x:c>
    </x:row>
    <x:row r="414" ht="34" customHeight="1">
      <x:c r="A414" s="34" t="str">
        <x:v>☐</x:v>
      </x:c>
      <x:c r="B414" s="34" t="str">
        <x:v>MI-1807</x:v>
      </x:c>
      <x:c r="C414" s="34" t="str">
        <x:v>M3 — کسب‌وکار، شبکه و زیست‌بوم نوآوری</x:v>
      </x:c>
      <x:c r="D414" s="34" t="str">
        <x:v>H8</x:v>
      </x:c>
      <x:c r="E414" s="34" t="str">
        <x:v>کسب‌وکار، فروش، بازاریابی و مالی</x:v>
      </x:c>
      <x:c r="F414" s="34" t="str">
        <x:v>P2</x:v>
      </x:c>
      <x:c r="G414" s="34" t="str">
        <x:v>هدف/موضوع</x:v>
      </x:c>
      <x:c r="H414" s="39" t="str">
        <x:v>استودیوهای استارتاپ</x:v>
      </x:c>
      <x:c r="I414" s="39" t="str">
        <x:v>پس از تثبیت پایه‌ها؛ پروژه‌محور</x:v>
      </x:c>
      <x:c r="J414" s="39" t="str">
        <x:v>مشاور کسب‌وکار/بازار/مالی</x:v>
      </x:c>
      <x:c r="K414" s="39" t="str"/>
      <x:c r="L414" s="39" t="str">
        <x:v>E112:P325</x:v>
      </x:c>
      <x:c r="M414" s="39" t="str"/>
      <x:c r="N414" s="39" t="str">
        <x:v>نسخه پایه ۳۱۵۰</x:v>
      </x:c>
    </x:row>
    <x:row r="415" ht="34" customHeight="1">
      <x:c r="A415" s="34" t="str">
        <x:v>☐</x:v>
      </x:c>
      <x:c r="B415" s="34" t="str">
        <x:v>MI-1813</x:v>
      </x:c>
      <x:c r="C415" s="34" t="str">
        <x:v>M3 — کسب‌وکار، شبکه و زیست‌بوم نوآوری</x:v>
      </x:c>
      <x:c r="D415" s="34" t="str">
        <x:v>H8</x:v>
      </x:c>
      <x:c r="E415" s="34" t="str">
        <x:v>کسب‌وکار، فروش، بازاریابی و مالی</x:v>
      </x:c>
      <x:c r="F415" s="34" t="str">
        <x:v>P2</x:v>
      </x:c>
      <x:c r="G415" s="34" t="str">
        <x:v>هدف/موضوع</x:v>
      </x:c>
      <x:c r="H415" s="39" t="str">
        <x:v>5. سرمایه و منابع مالی</x:v>
      </x:c>
      <x:c r="I415" s="39" t="str">
        <x:v>پس از تثبیت پایه‌ها؛ پروژه‌محور</x:v>
      </x:c>
      <x:c r="J415" s="39" t="str">
        <x:v>مشاور کسب‌وکار/بازار/مالی</x:v>
      </x:c>
      <x:c r="K415" s="39" t="str"/>
      <x:c r="L415" s="39" t="str">
        <x:v>E112:P335؛ E112:P623</x:v>
      </x:c>
      <x:c r="M415" s="39" t="str"/>
      <x:c r="N415" s="39" t="str">
        <x:v>نسخه پایه ۳۱۵۰</x:v>
      </x:c>
    </x:row>
    <x:row r="416" ht="34" customHeight="1">
      <x:c r="A416" s="34" t="str">
        <x:v>☐</x:v>
      </x:c>
      <x:c r="B416" s="34" t="str">
        <x:v>MI-1814</x:v>
      </x:c>
      <x:c r="C416" s="34" t="str">
        <x:v>M3 — کسب‌وکار، شبکه و زیست‌بوم نوآوری</x:v>
      </x:c>
      <x:c r="D416" s="34" t="str">
        <x:v>H8</x:v>
      </x:c>
      <x:c r="E416" s="34" t="str">
        <x:v>کسب‌وکار، فروش، بازاریابی و مالی</x:v>
      </x:c>
      <x:c r="F416" s="34" t="str">
        <x:v>P2</x:v>
      </x:c>
      <x:c r="G416" s="34" t="str">
        <x:v>هدف/موضوع</x:v>
      </x:c>
      <x:c r="H416" s="39" t="str">
        <x:v>سرمایه گذاران</x:v>
      </x:c>
      <x:c r="I416" s="39" t="str">
        <x:v>پس از تثبیت پایه‌ها؛ پروژه‌محور</x:v>
      </x:c>
      <x:c r="J416" s="39" t="str">
        <x:v>مشاور کسب‌وکار/بازار/مالی</x:v>
      </x:c>
      <x:c r="K416" s="39" t="str"/>
      <x:c r="L416" s="39" t="str">
        <x:v>E112:P338؛ E112:P681؛ E112:P2044؛ E112:P2122؛ E112:P2611؛ E112:P3031؛ E112:P3498</x:v>
      </x:c>
      <x:c r="M416" s="39" t="str"/>
      <x:c r="N416" s="39" t="str">
        <x:v>نسخه پایه ۳۱۵۰</x:v>
      </x:c>
    </x:row>
    <x:row r="417" ht="34" customHeight="1">
      <x:c r="A417" s="34" t="str">
        <x:v>☐</x:v>
      </x:c>
      <x:c r="B417" s="34" t="str">
        <x:v>MI-1822</x:v>
      </x:c>
      <x:c r="C417" s="34" t="str">
        <x:v>M3 — کسب‌وکار، شبکه و زیست‌بوم نوآوری</x:v>
      </x:c>
      <x:c r="D417" s="34" t="str">
        <x:v>H8</x:v>
      </x:c>
      <x:c r="E417" s="34" t="str">
        <x:v>کسب‌وکار، فروش، بازاریابی و مالی</x:v>
      </x:c>
      <x:c r="F417" s="34" t="str">
        <x:v>P2</x:v>
      </x:c>
      <x:c r="G417" s="34" t="str">
        <x:v>هدف/موضوع</x:v>
      </x:c>
      <x:c r="H417" s="39" t="str">
        <x:v>تامین سرمایه</x:v>
      </x:c>
      <x:c r="I417" s="39" t="str">
        <x:v>پس از تثبیت پایه‌ها؛ پروژه‌محور</x:v>
      </x:c>
      <x:c r="J417" s="39" t="str">
        <x:v>مشاور کسب‌وکار/بازار/مالی</x:v>
      </x:c>
      <x:c r="K417" s="39" t="str"/>
      <x:c r="L417" s="39" t="str">
        <x:v>E112:P352</x:v>
      </x:c>
      <x:c r="M417" s="39" t="str"/>
      <x:c r="N417" s="39" t="str">
        <x:v>نسخه پایه ۳۱۵۰</x:v>
      </x:c>
    </x:row>
    <x:row r="418" ht="34" customHeight="1">
      <x:c r="A418" s="34" t="str">
        <x:v>☐</x:v>
      </x:c>
      <x:c r="B418" s="34" t="str">
        <x:v>MI-1845</x:v>
      </x:c>
      <x:c r="C418" s="34" t="str">
        <x:v>M3 — کسب‌وکار، شبکه و زیست‌بوم نوآوری</x:v>
      </x:c>
      <x:c r="D418" s="34" t="str">
        <x:v>H8</x:v>
      </x:c>
      <x:c r="E418" s="34" t="str">
        <x:v>کسب‌وکار، فروش، بازاریابی و مالی</x:v>
      </x:c>
      <x:c r="F418" s="34" t="str">
        <x:v>P2</x:v>
      </x:c>
      <x:c r="G418" s="34" t="str">
        <x:v>هدف/موضوع</x:v>
      </x:c>
      <x:c r="H418" s="39" t="str">
        <x:v>رویدادهای استارتاپی</x:v>
      </x:c>
      <x:c r="I418" s="39" t="str">
        <x:v>پس از تثبیت پایه‌ها؛ پروژه‌محور</x:v>
      </x:c>
      <x:c r="J418" s="39" t="str">
        <x:v>مشاور کسب‌وکار/بازار/مالی</x:v>
      </x:c>
      <x:c r="K418" s="39" t="str"/>
      <x:c r="L418" s="39" t="str">
        <x:v>E112:P400</x:v>
      </x:c>
      <x:c r="M418" s="39" t="str"/>
      <x:c r="N418" s="39" t="str">
        <x:v>نسخه پایه ۳۱۵۰</x:v>
      </x:c>
    </x:row>
    <x:row r="419" ht="34" customHeight="1">
      <x:c r="A419" s="34" t="str">
        <x:v>☐</x:v>
      </x:c>
      <x:c r="B419" s="34" t="str">
        <x:v>MI-1866</x:v>
      </x:c>
      <x:c r="C419" s="34" t="str">
        <x:v>M3 — کسب‌وکار، شبکه و زیست‌بوم نوآوری</x:v>
      </x:c>
      <x:c r="D419" s="34" t="str">
        <x:v>H8</x:v>
      </x:c>
      <x:c r="E419" s="34" t="str">
        <x:v>کسب‌وکار، فروش، بازاریابی و مالی</x:v>
      </x:c>
      <x:c r="F419" s="34" t="str">
        <x:v>P2</x:v>
      </x:c>
      <x:c r="G419" s="34" t="str">
        <x:v>هدف/موضوع</x:v>
      </x:c>
      <x:c r="H419" s="39" t="str">
        <x:v>Capital (سرمایه)</x:v>
      </x:c>
      <x:c r="I419" s="39" t="str">
        <x:v>پس از تثبیت پایه‌ها؛ پروژه‌محور</x:v>
      </x:c>
      <x:c r="J419" s="39" t="str">
        <x:v>مشاور کسب‌وکار/بازار/مالی</x:v>
      </x:c>
      <x:c r="K419" s="39" t="str"/>
      <x:c r="L419" s="39" t="str">
        <x:v>E112:P437</x:v>
      </x:c>
      <x:c r="M419" s="39" t="str"/>
      <x:c r="N419" s="39" t="str">
        <x:v>نسخه پایه ۳۱۵۰</x:v>
      </x:c>
    </x:row>
    <x:row r="420" ht="34" customHeight="1">
      <x:c r="A420" s="34" t="str">
        <x:v>☐</x:v>
      </x:c>
      <x:c r="B420" s="34" t="str">
        <x:v>MI-1923</x:v>
      </x:c>
      <x:c r="C420" s="34" t="str">
        <x:v>M3 — کسب‌وکار، شبکه و زیست‌بوم نوآوری</x:v>
      </x:c>
      <x:c r="D420" s="34" t="str">
        <x:v>H8</x:v>
      </x:c>
      <x:c r="E420" s="34" t="str">
        <x:v>کسب‌وکار، فروش، بازاریابی و مالی</x:v>
      </x:c>
      <x:c r="F420" s="34" t="str">
        <x:v>P2</x:v>
      </x:c>
      <x:c r="G420" s="34" t="str">
        <x:v>هدف/موضوع</x:v>
      </x:c>
      <x:c r="H420" s="39" t="str">
        <x:v>اردوهای استارتاپی</x:v>
      </x:c>
      <x:c r="I420" s="39" t="str">
        <x:v>پس از تثبیت پایه‌ها؛ پروژه‌محور</x:v>
      </x:c>
      <x:c r="J420" s="39" t="str">
        <x:v>مشاور کسب‌وکار/بازار/مالی</x:v>
      </x:c>
      <x:c r="K420" s="39" t="str"/>
      <x:c r="L420" s="39" t="str">
        <x:v>E112:P523</x:v>
      </x:c>
      <x:c r="M420" s="39" t="str"/>
      <x:c r="N420" s="39" t="str">
        <x:v>نسخه پایه ۳۱۵۰</x:v>
      </x:c>
    </x:row>
    <x:row r="421" ht="34" customHeight="1">
      <x:c r="A421" s="34" t="str">
        <x:v>☐</x:v>
      </x:c>
      <x:c r="B421" s="34" t="str">
        <x:v>MI-1930</x:v>
      </x:c>
      <x:c r="C421" s="34" t="str">
        <x:v>M3 — کسب‌وکار، شبکه و زیست‌بوم نوآوری</x:v>
      </x:c>
      <x:c r="D421" s="34" t="str">
        <x:v>H8</x:v>
      </x:c>
      <x:c r="E421" s="34" t="str">
        <x:v>کسب‌وکار، فروش، بازاریابی و مالی</x:v>
      </x:c>
      <x:c r="F421" s="34" t="str">
        <x:v>P2</x:v>
      </x:c>
      <x:c r="G421" s="34" t="str">
        <x:v>هدف/موضوع</x:v>
      </x:c>
      <x:c r="H421" s="39" t="str">
        <x:v>استودیو استارتاپ</x:v>
      </x:c>
      <x:c r="I421" s="39" t="str">
        <x:v>پس از تثبیت پایه‌ها؛ پروژه‌محور</x:v>
      </x:c>
      <x:c r="J421" s="39" t="str">
        <x:v>مشاور کسب‌وکار/بازار/مالی</x:v>
      </x:c>
      <x:c r="K421" s="39" t="str"/>
      <x:c r="L421" s="39" t="str">
        <x:v>E112:P536</x:v>
      </x:c>
      <x:c r="M421" s="39" t="str"/>
      <x:c r="N421" s="39" t="str">
        <x:v>نسخه پایه ۳۱۵۰</x:v>
      </x:c>
    </x:row>
    <x:row r="422" ht="34" customHeight="1">
      <x:c r="A422" s="34" t="str">
        <x:v>☐</x:v>
      </x:c>
      <x:c r="B422" s="34" t="str">
        <x:v>MI-1987</x:v>
      </x:c>
      <x:c r="C422" s="34" t="str">
        <x:v>M3 — کسب‌وکار، شبکه و زیست‌بوم نوآوری</x:v>
      </x:c>
      <x:c r="D422" s="34" t="str">
        <x:v>H8</x:v>
      </x:c>
      <x:c r="E422" s="34" t="str">
        <x:v>کسب‌وکار، فروش، بازاریابی و مالی</x:v>
      </x:c>
      <x:c r="F422" s="34" t="str">
        <x:v>P2</x:v>
      </x:c>
      <x:c r="G422" s="34" t="str">
        <x:v>هدف/موضوع</x:v>
      </x:c>
      <x:c r="H422" s="39" t="str">
        <x:v>صندوق های سرمایه گذاری</x:v>
      </x:c>
      <x:c r="I422" s="39" t="str">
        <x:v>پس از تثبیت پایه‌ها؛ پروژه‌محور</x:v>
      </x:c>
      <x:c r="J422" s="39" t="str">
        <x:v>مشاور کسب‌وکار/بازار/مالی</x:v>
      </x:c>
      <x:c r="K422" s="39" t="str"/>
      <x:c r="L422" s="39" t="str">
        <x:v>E112:P625؛ E112:P2781؛ E112:P3098؛ E112:P3453</x:v>
      </x:c>
      <x:c r="M422" s="39" t="str"/>
      <x:c r="N422" s="39" t="str">
        <x:v>نسخه پایه ۳۱۵۰</x:v>
      </x:c>
    </x:row>
    <x:row r="423" ht="34" customHeight="1">
      <x:c r="A423" s="34" t="str">
        <x:v>☐</x:v>
      </x:c>
      <x:c r="B423" s="34" t="str">
        <x:v>MI-1991</x:v>
      </x:c>
      <x:c r="C423" s="34" t="str">
        <x:v>M3 — کسب‌وکار، شبکه و زیست‌بوم نوآوری</x:v>
      </x:c>
      <x:c r="D423" s="34" t="str">
        <x:v>H8</x:v>
      </x:c>
      <x:c r="E423" s="34" t="str">
        <x:v>کسب‌وکار، فروش، بازاریابی و مالی</x:v>
      </x:c>
      <x:c r="F423" s="34" t="str">
        <x:v>P2</x:v>
      </x:c>
      <x:c r="G423" s="34" t="str">
        <x:v>هدف/موضوع</x:v>
      </x:c>
      <x:c r="H423" s="39" t="str">
        <x:v>سرمایه گذاران محلی</x:v>
      </x:c>
      <x:c r="I423" s="39" t="str">
        <x:v>پس از تثبیت پایه‌ها؛ پروژه‌محور</x:v>
      </x:c>
      <x:c r="J423" s="39" t="str">
        <x:v>مشاور کسب‌وکار/بازار/مالی</x:v>
      </x:c>
      <x:c r="K423" s="39" t="str"/>
      <x:c r="L423" s="39" t="str">
        <x:v>E112:P632</x:v>
      </x:c>
      <x:c r="M423" s="39" t="str"/>
      <x:c r="N423" s="39" t="str">
        <x:v>نسخه پایه ۳۱۵۰</x:v>
      </x:c>
    </x:row>
    <x:row r="424" ht="34" customHeight="1">
      <x:c r="A424" s="34" t="str">
        <x:v>☐</x:v>
      </x:c>
      <x:c r="B424" s="34" t="str">
        <x:v>MI-1992</x:v>
      </x:c>
      <x:c r="C424" s="34" t="str">
        <x:v>M3 — کسب‌وکار، شبکه و زیست‌بوم نوآوری</x:v>
      </x:c>
      <x:c r="D424" s="34" t="str">
        <x:v>H8</x:v>
      </x:c>
      <x:c r="E424" s="34" t="str">
        <x:v>کسب‌وکار، فروش، بازاریابی و مالی</x:v>
      </x:c>
      <x:c r="F424" s="34" t="str">
        <x:v>P2</x:v>
      </x:c>
      <x:c r="G424" s="34" t="str">
        <x:v>هدف/موضوع</x:v>
      </x:c>
      <x:c r="H424" s="39" t="str">
        <x:v>سرمایه جمعی (crowdfunding)</x:v>
      </x:c>
      <x:c r="I424" s="39" t="str">
        <x:v>پس از تثبیت پایه‌ها؛ پروژه‌محور</x:v>
      </x:c>
      <x:c r="J424" s="39" t="str">
        <x:v>مشاور کسب‌وکار/بازار/مالی</x:v>
      </x:c>
      <x:c r="K424" s="39" t="str"/>
      <x:c r="L424" s="39" t="str">
        <x:v>E112:P633</x:v>
      </x:c>
      <x:c r="M424" s="39" t="str"/>
      <x:c r="N424" s="39" t="str">
        <x:v>نسخه پایه ۳۱۵۰</x:v>
      </x:c>
    </x:row>
    <x:row r="425" ht="34" customHeight="1">
      <x:c r="A425" s="34" t="str">
        <x:v>☐</x:v>
      </x:c>
      <x:c r="B425" s="34" t="str">
        <x:v>MI-2013</x:v>
      </x:c>
      <x:c r="C425" s="34" t="str">
        <x:v>M3 — کسب‌وکار، شبکه و زیست‌بوم نوآوری</x:v>
      </x:c>
      <x:c r="D425" s="34" t="str">
        <x:v>H8</x:v>
      </x:c>
      <x:c r="E425" s="34" t="str">
        <x:v>کسب‌وکار، فروش، بازاریابی و مالی</x:v>
      </x:c>
      <x:c r="F425" s="34" t="str">
        <x:v>P2</x:v>
      </x:c>
      <x:c r="G425" s="34" t="str">
        <x:v>هدف/موضوع</x:v>
      </x:c>
      <x:c r="H425" s="39" t="str">
        <x:v>اتاق بازرگانی</x:v>
      </x:c>
      <x:c r="I425" s="39" t="str">
        <x:v>پس از تثبیت پایه‌ها؛ پروژه‌محور</x:v>
      </x:c>
      <x:c r="J425" s="39" t="str">
        <x:v>مشاور کسب‌وکار/بازار/مالی</x:v>
      </x:c>
      <x:c r="K425" s="39" t="str"/>
      <x:c r="L425" s="39" t="str">
        <x:v>E112:P669؛ E112:P819؛ E112:P1037؛ E112:P3591</x:v>
      </x:c>
      <x:c r="M425" s="39" t="str"/>
      <x:c r="N425" s="39" t="str">
        <x:v>نسخه پایه ۳۱۵۰</x:v>
      </x:c>
    </x:row>
    <x:row r="426" ht="34" customHeight="1">
      <x:c r="A426" s="34" t="str">
        <x:v>☐</x:v>
      </x:c>
      <x:c r="B426" s="34" t="str">
        <x:v>MI-2043</x:v>
      </x:c>
      <x:c r="C426" s="34" t="str">
        <x:v>M3 — کسب‌وکار، شبکه و زیست‌بوم نوآوری</x:v>
      </x:c>
      <x:c r="D426" s="34" t="str">
        <x:v>H8</x:v>
      </x:c>
      <x:c r="E426" s="34" t="str">
        <x:v>کسب‌وکار، فروش، بازاریابی و مالی</x:v>
      </x:c>
      <x:c r="F426" s="34" t="str">
        <x:v>P2</x:v>
      </x:c>
      <x:c r="G426" s="34" t="str">
        <x:v>هدف/موضوع</x:v>
      </x:c>
      <x:c r="H426" s="39" t="str">
        <x:v>باشگاه سرمایه گذاران محلی</x:v>
      </x:c>
      <x:c r="I426" s="39" t="str">
        <x:v>پس از تثبیت پایه‌ها؛ پروژه‌محور</x:v>
      </x:c>
      <x:c r="J426" s="39" t="str">
        <x:v>مشاور کسب‌وکار/بازار/مالی</x:v>
      </x:c>
      <x:c r="K426" s="39" t="str"/>
      <x:c r="L426" s="39" t="str">
        <x:v>E112:P728</x:v>
      </x:c>
      <x:c r="M426" s="39" t="str"/>
      <x:c r="N426" s="39" t="str">
        <x:v>نسخه پایه ۳۱۵۰</x:v>
      </x:c>
    </x:row>
    <x:row r="427" ht="34" customHeight="1">
      <x:c r="A427" s="34" t="str">
        <x:v>☐</x:v>
      </x:c>
      <x:c r="B427" s="34" t="str">
        <x:v>MI-2048</x:v>
      </x:c>
      <x:c r="C427" s="34" t="str">
        <x:v>M3 — کسب‌وکار، شبکه و زیست‌بوم نوآوری</x:v>
      </x:c>
      <x:c r="D427" s="34" t="str">
        <x:v>H8</x:v>
      </x:c>
      <x:c r="E427" s="34" t="str">
        <x:v>کسب‌وکار، فروش، بازاریابی و مالی</x:v>
      </x:c>
      <x:c r="F427" s="34" t="str">
        <x:v>P2</x:v>
      </x:c>
      <x:c r="G427" s="34" t="str">
        <x:v>هدف/موضوع</x:v>
      </x:c>
      <x:c r="H427" s="39" t="str">
        <x:v>جریان سرمایه</x:v>
      </x:c>
      <x:c r="I427" s="39" t="str">
        <x:v>پس از تثبیت پایه‌ها؛ پروژه‌محور</x:v>
      </x:c>
      <x:c r="J427" s="39" t="str">
        <x:v>مشاور کسب‌وکار/بازار/مالی</x:v>
      </x:c>
      <x:c r="K427" s="39" t="str"/>
      <x:c r="L427" s="39" t="str">
        <x:v>E112:P736</x:v>
      </x:c>
      <x:c r="M427" s="39" t="str"/>
      <x:c r="N427" s="39" t="str">
        <x:v>نسخه پایه ۳۱۵۰</x:v>
      </x:c>
    </x:row>
    <x:row r="428" ht="34" customHeight="1">
      <x:c r="A428" s="34" t="str">
        <x:v>☐</x:v>
      </x:c>
      <x:c r="B428" s="34" t="str">
        <x:v>MI-2099</x:v>
      </x:c>
      <x:c r="C428" s="34" t="str">
        <x:v>M3 — کسب‌وکار، شبکه و زیست‌بوم نوآوری</x:v>
      </x:c>
      <x:c r="D428" s="34" t="str">
        <x:v>H8</x:v>
      </x:c>
      <x:c r="E428" s="34" t="str">
        <x:v>کسب‌وکار، فروش، بازاریابی و مالی</x:v>
      </x:c>
      <x:c r="F428" s="34" t="str">
        <x:v>P2</x:v>
      </x:c>
      <x:c r="G428" s="34" t="str">
        <x:v>هدف/موضوع</x:v>
      </x:c>
      <x:c r="H428" s="39" t="str">
        <x:v>سرمایه گذار محلی</x:v>
      </x:c>
      <x:c r="I428" s="39" t="str">
        <x:v>پس از تثبیت پایه‌ها؛ پروژه‌محور</x:v>
      </x:c>
      <x:c r="J428" s="39" t="str">
        <x:v>مشاور کسب‌وکار/بازار/مالی</x:v>
      </x:c>
      <x:c r="K428" s="39" t="str"/>
      <x:c r="L428" s="39" t="str">
        <x:v>E112:P836؛ E112:P1148</x:v>
      </x:c>
      <x:c r="M428" s="39" t="str"/>
      <x:c r="N428" s="39" t="str">
        <x:v>نسخه پایه ۳۱۵۰</x:v>
      </x:c>
    </x:row>
    <x:row r="429" ht="34" customHeight="1">
      <x:c r="A429" s="34" t="str">
        <x:v>☐</x:v>
      </x:c>
      <x:c r="B429" s="34" t="str">
        <x:v>MI-2108</x:v>
      </x:c>
      <x:c r="C429" s="34" t="str">
        <x:v>M3 — کسب‌وکار، شبکه و زیست‌بوم نوآوری</x:v>
      </x:c>
      <x:c r="D429" s="34" t="str">
        <x:v>H8</x:v>
      </x:c>
      <x:c r="E429" s="34" t="str">
        <x:v>کسب‌وکار، فروش، بازاریابی و مالی</x:v>
      </x:c>
      <x:c r="F429" s="34" t="str">
        <x:v>P2</x:v>
      </x:c>
      <x:c r="G429" s="34" t="str">
        <x:v>هدف/موضوع</x:v>
      </x:c>
      <x:c r="H429" s="39" t="str">
        <x:v>2. کمبود سرمایه اولیه</x:v>
      </x:c>
      <x:c r="I429" s="39" t="str">
        <x:v>پس از تثبیت پایه‌ها؛ پروژه‌محور</x:v>
      </x:c>
      <x:c r="J429" s="39" t="str">
        <x:v>مشاور کسب‌وکار/بازار/مالی</x:v>
      </x:c>
      <x:c r="K429" s="39" t="str"/>
      <x:c r="L429" s="39" t="str">
        <x:v>E112:P850</x:v>
      </x:c>
      <x:c r="M429" s="39" t="str"/>
      <x:c r="N429" s="39" t="str">
        <x:v>نسخه پایه ۳۱۵۰</x:v>
      </x:c>
    </x:row>
    <x:row r="430" ht="34" customHeight="1">
      <x:c r="A430" s="34" t="str">
        <x:v>☐</x:v>
      </x:c>
      <x:c r="B430" s="34" t="str">
        <x:v>MI-2109</x:v>
      </x:c>
      <x:c r="C430" s="34" t="str">
        <x:v>M3 — کسب‌وکار، شبکه و زیست‌بوم نوآوری</x:v>
      </x:c>
      <x:c r="D430" s="34" t="str">
        <x:v>H8</x:v>
      </x:c>
      <x:c r="E430" s="34" t="str">
        <x:v>کسب‌وکار، فروش، بازاریابی و مالی</x:v>
      </x:c>
      <x:c r="F430" s="34" t="str">
        <x:v>P2</x:v>
      </x:c>
      <x:c r="G430" s="34" t="str">
        <x:v>هدف/موضوع</x:v>
      </x:c>
      <x:c r="H430" s="39" t="str">
        <x:v>بزرگ ترین مشکل استارتاپ ها در استان ها:</x:v>
      </x:c>
      <x:c r="I430" s="39" t="str">
        <x:v>پس از تثبیت پایه‌ها؛ پروژه‌محور</x:v>
      </x:c>
      <x:c r="J430" s="39" t="str">
        <x:v>مشاور کسب‌وکار/بازار/مالی</x:v>
      </x:c>
      <x:c r="K430" s="39" t="str"/>
      <x:c r="L430" s="39" t="str">
        <x:v>E112:P852</x:v>
      </x:c>
      <x:c r="M430" s="39" t="str"/>
      <x:c r="N430" s="39" t="str">
        <x:v>نسخه پایه ۳۱۵۰</x:v>
      </x:c>
    </x:row>
    <x:row r="431" ht="34" customHeight="1">
      <x:c r="A431" s="34" t="str">
        <x:v>☐</x:v>
      </x:c>
      <x:c r="B431" s="34" t="str">
        <x:v>MI-2118</x:v>
      </x:c>
      <x:c r="C431" s="34" t="str">
        <x:v>M3 — کسب‌وکار، شبکه و زیست‌بوم نوآوری</x:v>
      </x:c>
      <x:c r="D431" s="34" t="str">
        <x:v>H8</x:v>
      </x:c>
      <x:c r="E431" s="34" t="str">
        <x:v>کسب‌وکار، فروش، بازاریابی و مالی</x:v>
      </x:c>
      <x:c r="F431" s="34" t="str">
        <x:v>P2</x:v>
      </x:c>
      <x:c r="G431" s="34" t="str">
        <x:v>هدف/موضوع</x:v>
      </x:c>
      <x:c r="H431" s="39" t="str">
        <x:v>بدون این ها استارتاپ شکل نمی گیرد.</x:v>
      </x:c>
      <x:c r="I431" s="39" t="str">
        <x:v>پس از تثبیت پایه‌ها؛ پروژه‌محور</x:v>
      </x:c>
      <x:c r="J431" s="39" t="str">
        <x:v>مشاور کسب‌وکار/بازار/مالی</x:v>
      </x:c>
      <x:c r="K431" s="39" t="str"/>
      <x:c r="L431" s="39" t="str">
        <x:v>E112:P867</x:v>
      </x:c>
      <x:c r="M431" s="39" t="str"/>
      <x:c r="N431" s="39" t="str">
        <x:v>نسخه پایه ۳۱۵۰</x:v>
      </x:c>
    </x:row>
    <x:row r="432" ht="34" customHeight="1">
      <x:c r="A432" s="34" t="str">
        <x:v>☐</x:v>
      </x:c>
      <x:c r="B432" s="34" t="str">
        <x:v>MI-2121</x:v>
      </x:c>
      <x:c r="C432" s="34" t="str">
        <x:v>M3 — کسب‌وکار، شبکه و زیست‌بوم نوآوری</x:v>
      </x:c>
      <x:c r="D432" s="34" t="str">
        <x:v>H8</x:v>
      </x:c>
      <x:c r="E432" s="34" t="str">
        <x:v>کسب‌وکار، فروش، بازاریابی و مالی</x:v>
      </x:c>
      <x:c r="F432" s="34" t="str">
        <x:v>P2</x:v>
      </x:c>
      <x:c r="G432" s="34" t="str">
        <x:v>هدف/موضوع</x:v>
      </x:c>
      <x:c r="H432" s="39" t="str">
        <x:v>تجربه واقعی استارتاپ ندارند</x:v>
      </x:c>
      <x:c r="I432" s="39" t="str">
        <x:v>پس از تثبیت پایه‌ها؛ پروژه‌محور</x:v>
      </x:c>
      <x:c r="J432" s="39" t="str">
        <x:v>مشاور کسب‌وکار/بازار/مالی</x:v>
      </x:c>
      <x:c r="K432" s="39" t="str"/>
      <x:c r="L432" s="39" t="str">
        <x:v>E112:P872</x:v>
      </x:c>
      <x:c r="M432" s="39" t="str"/>
      <x:c r="N432" s="39" t="str">
        <x:v>نسخه پایه ۳۱۵۰</x:v>
      </x:c>
    </x:row>
    <x:row r="433" ht="34" customHeight="1">
      <x:c r="A433" s="34" t="str">
        <x:v>☐</x:v>
      </x:c>
      <x:c r="B433" s="34" t="str">
        <x:v>MI-2154</x:v>
      </x:c>
      <x:c r="C433" s="34" t="str">
        <x:v>M3 — کسب‌وکار، شبکه و زیست‌بوم نوآوری</x:v>
      </x:c>
      <x:c r="D433" s="34" t="str">
        <x:v>H8</x:v>
      </x:c>
      <x:c r="E433" s="34" t="str">
        <x:v>کسب‌وکار، فروش، بازاریابی و مالی</x:v>
      </x:c>
      <x:c r="F433" s="34" t="str">
        <x:v>P2</x:v>
      </x:c>
      <x:c r="G433" s="34" t="str">
        <x:v>هدف/موضوع</x:v>
      </x:c>
      <x:c r="H433" s="39" t="str">
        <x:v>استارتاپ ها ← صنایع استان</x:v>
      </x:c>
      <x:c r="I433" s="39" t="str">
        <x:v>پس از تثبیت پایه‌ها؛ پروژه‌محور</x:v>
      </x:c>
      <x:c r="J433" s="39" t="str">
        <x:v>مشاور کسب‌وکار/بازار/مالی</x:v>
      </x:c>
      <x:c r="K433" s="39" t="str"/>
      <x:c r="L433" s="39" t="str">
        <x:v>E112:P940</x:v>
      </x:c>
      <x:c r="M433" s="39" t="str"/>
      <x:c r="N433" s="39" t="str">
        <x:v>نسخه پایه ۳۱۵۰</x:v>
      </x:c>
    </x:row>
    <x:row r="434" ht="34" customHeight="1">
      <x:c r="A434" s="34" t="str">
        <x:v>☐</x:v>
      </x:c>
      <x:c r="B434" s="34" t="str">
        <x:v>MI-2156</x:v>
      </x:c>
      <x:c r="C434" s="34" t="str">
        <x:v>M3 — کسب‌وکار، شبکه و زیست‌بوم نوآوری</x:v>
      </x:c>
      <x:c r="D434" s="34" t="str">
        <x:v>H8</x:v>
      </x:c>
      <x:c r="E434" s="34" t="str">
        <x:v>کسب‌وکار، فروش، بازاریابی و مالی</x:v>
      </x:c>
      <x:c r="F434" s="34" t="str">
        <x:v>P2</x:v>
      </x:c>
      <x:c r="G434" s="34" t="str">
        <x:v>هدف/موضوع</x:v>
      </x:c>
      <x:c r="H434" s="39" t="str">
        <x:v>سرمایه گذاران ← استارتاپ ها</x:v>
      </x:c>
      <x:c r="I434" s="39" t="str">
        <x:v>پس از تثبیت پایه‌ها؛ پروژه‌محور</x:v>
      </x:c>
      <x:c r="J434" s="39" t="str">
        <x:v>مشاور کسب‌وکار/بازار/مالی</x:v>
      </x:c>
      <x:c r="K434" s="39" t="str"/>
      <x:c r="L434" s="39" t="str">
        <x:v>E112:P946</x:v>
      </x:c>
      <x:c r="M434" s="39" t="str"/>
      <x:c r="N434" s="39" t="str">
        <x:v>نسخه پایه ۳۱۵۰</x:v>
      </x:c>
    </x:row>
    <x:row r="435" ht="34" customHeight="1">
      <x:c r="A435" s="34" t="str">
        <x:v>☐</x:v>
      </x:c>
      <x:c r="B435" s="34" t="str">
        <x:v>MI-2198</x:v>
      </x:c>
      <x:c r="C435" s="34" t="str">
        <x:v>M3 — کسب‌وکار، شبکه و زیست‌بوم نوآوری</x:v>
      </x:c>
      <x:c r="D435" s="34" t="str">
        <x:v>H8</x:v>
      </x:c>
      <x:c r="E435" s="34" t="str">
        <x:v>کسب‌وکار، فروش، بازاریابی و مالی</x:v>
      </x:c>
      <x:c r="F435" s="34" t="str">
        <x:v>P2</x:v>
      </x:c>
      <x:c r="G435" s="34" t="str">
        <x:v>هدف/موضوع</x:v>
      </x:c>
      <x:c r="H435" s="39" t="str">
        <x:v>تبدیل ایده به استارتاپ</x:v>
      </x:c>
      <x:c r="I435" s="39" t="str">
        <x:v>پس از تثبیت پایه‌ها؛ پروژه‌محور</x:v>
      </x:c>
      <x:c r="J435" s="39" t="str">
        <x:v>مشاور کسب‌وکار/بازار/مالی</x:v>
      </x:c>
      <x:c r="K435" s="39" t="str"/>
      <x:c r="L435" s="39" t="str">
        <x:v>E112:P1019</x:v>
      </x:c>
      <x:c r="M435" s="39" t="str"/>
      <x:c r="N435" s="39" t="str">
        <x:v>نسخه پایه ۳۱۵۰</x:v>
      </x:c>
    </x:row>
    <x:row r="436" ht="34" customHeight="1">
      <x:c r="A436" s="34" t="str">
        <x:v>☐</x:v>
      </x:c>
      <x:c r="B436" s="34" t="str">
        <x:v>MI-2205</x:v>
      </x:c>
      <x:c r="C436" s="34" t="str">
        <x:v>M3 — کسب‌وکار، شبکه و زیست‌بوم نوآوری</x:v>
      </x:c>
      <x:c r="D436" s="34" t="str">
        <x:v>H8</x:v>
      </x:c>
      <x:c r="E436" s="34" t="str">
        <x:v>کسب‌وکار، فروش، بازاریابی و مالی</x:v>
      </x:c>
      <x:c r="F436" s="34" t="str">
        <x:v>P2</x:v>
      </x:c>
      <x:c r="G436" s="34" t="str">
        <x:v>هدف/موضوع</x:v>
      </x:c>
      <x:c r="H436" s="39" t="str">
        <x:v>این ها باید مشتری نوآوری باشند.</x:v>
      </x:c>
      <x:c r="I436" s="39" t="str">
        <x:v>پس از تثبیت پایه‌ها؛ پروژه‌محور</x:v>
      </x:c>
      <x:c r="J436" s="39" t="str">
        <x:v>مشاور کسب‌وکار/بازار/مالی</x:v>
      </x:c>
      <x:c r="K436" s="39" t="str"/>
      <x:c r="L436" s="39" t="str">
        <x:v>E112:P1033</x:v>
      </x:c>
      <x:c r="M436" s="39" t="str"/>
      <x:c r="N436" s="39" t="str">
        <x:v>نسخه پایه ۳۱۵۰</x:v>
      </x:c>
    </x:row>
    <x:row r="437" ht="34" customHeight="1">
      <x:c r="A437" s="34" t="str">
        <x:v>☐</x:v>
      </x:c>
      <x:c r="B437" s="34" t="str">
        <x:v>MI-2216</x:v>
      </x:c>
      <x:c r="C437" s="34" t="str">
        <x:v>M3 — کسب‌وکار، شبکه و زیست‌بوم نوآوری</x:v>
      </x:c>
      <x:c r="D437" s="34" t="str">
        <x:v>H8</x:v>
      </x:c>
      <x:c r="E437" s="34" t="str">
        <x:v>کسب‌وکار، فروش، بازاریابی و مالی</x:v>
      </x:c>
      <x:c r="F437" s="34" t="str">
        <x:v>P2</x:v>
      </x:c>
      <x:c r="G437" s="34" t="str">
        <x:v>هدف/موضوع</x:v>
      </x:c>
      <x:c r="H437" s="39" t="str">
        <x:v>استارتاپ های گردشگری</x:v>
      </x:c>
      <x:c r="I437" s="39" t="str">
        <x:v>پس از تثبیت پایه‌ها؛ پروژه‌محور</x:v>
      </x:c>
      <x:c r="J437" s="39" t="str">
        <x:v>مشاور کسب‌وکار/بازار/مالی</x:v>
      </x:c>
      <x:c r="K437" s="39" t="str"/>
      <x:c r="L437" s="39" t="str">
        <x:v>E112:P1057</x:v>
      </x:c>
      <x:c r="M437" s="39" t="str"/>
      <x:c r="N437" s="39" t="str">
        <x:v>نسخه پایه ۳۱۵۰</x:v>
      </x:c>
    </x:row>
    <x:row r="438" ht="34" customHeight="1">
      <x:c r="A438" s="34" t="str">
        <x:v>☐</x:v>
      </x:c>
      <x:c r="B438" s="34" t="str">
        <x:v>MI-2226</x:v>
      </x:c>
      <x:c r="C438" s="34" t="str">
        <x:v>M3 — کسب‌وکار، شبکه و زیست‌بوم نوآوری</x:v>
      </x:c>
      <x:c r="D438" s="34" t="str">
        <x:v>H8</x:v>
      </x:c>
      <x:c r="E438" s="34" t="str">
        <x:v>کسب‌وکار، فروش، بازاریابی و مالی</x:v>
      </x:c>
      <x:c r="F438" s="34" t="str">
        <x:v>P2</x:v>
      </x:c>
      <x:c r="G438" s="34" t="str">
        <x:v>هدف/موضوع</x:v>
      </x:c>
      <x:c r="H438" s="39" t="str">
        <x:v>تجربه استارتاپ</x:v>
      </x:c>
      <x:c r="I438" s="39" t="str">
        <x:v>پس از تثبیت پایه‌ها؛ پروژه‌محور</x:v>
      </x:c>
      <x:c r="J438" s="39" t="str">
        <x:v>مشاور کسب‌وکار/بازار/مالی</x:v>
      </x:c>
      <x:c r="K438" s="39" t="str"/>
      <x:c r="L438" s="39" t="str">
        <x:v>E112:P1080</x:v>
      </x:c>
      <x:c r="M438" s="39" t="str"/>
      <x:c r="N438" s="39" t="str">
        <x:v>نسخه پایه ۳۱۵۰</x:v>
      </x:c>
    </x:row>
    <x:row r="439" ht="34" customHeight="1">
      <x:c r="A439" s="34" t="str">
        <x:v>☐</x:v>
      </x:c>
      <x:c r="B439" s="34" t="str">
        <x:v>MI-2227</x:v>
      </x:c>
      <x:c r="C439" s="34" t="str">
        <x:v>M3 — کسب‌وکار، شبکه و زیست‌بوم نوآوری</x:v>
      </x:c>
      <x:c r="D439" s="34" t="str">
        <x:v>H8</x:v>
      </x:c>
      <x:c r="E439" s="34" t="str">
        <x:v>کسب‌وکار، فروش، بازاریابی و مالی</x:v>
      </x:c>
      <x:c r="F439" s="34" t="str">
        <x:v>P2</x:v>
      </x:c>
      <x:c r="G439" s="34" t="str">
        <x:v>هدف/موضوع</x:v>
      </x:c>
      <x:c r="H439" s="39" t="str">
        <x:v>جذب سرمایه</x:v>
      </x:c>
      <x:c r="I439" s="39" t="str">
        <x:v>پس از تثبیت پایه‌ها؛ پروژه‌محور</x:v>
      </x:c>
      <x:c r="J439" s="39" t="str">
        <x:v>مشاور کسب‌وکار/بازار/مالی</x:v>
      </x:c>
      <x:c r="K439" s="39" t="str"/>
      <x:c r="L439" s="39" t="str">
        <x:v>E112:P1084؛ E112:P2907؛ E112:P3088؛ E112:P3105؛ E112:P3459</x:v>
      </x:c>
      <x:c r="M439" s="39" t="str"/>
      <x:c r="N439" s="39" t="str">
        <x:v>نسخه پایه ۳۱۵۰</x:v>
      </x:c>
    </x:row>
    <x:row r="440" ht="34" customHeight="1">
      <x:c r="A440" s="34" t="str">
        <x:v>☐</x:v>
      </x:c>
      <x:c r="B440" s="34" t="str">
        <x:v>MI-2238</x:v>
      </x:c>
      <x:c r="C440" s="34" t="str">
        <x:v>M3 — کسب‌وکار، شبکه و زیست‌بوم نوآوری</x:v>
      </x:c>
      <x:c r="D440" s="34" t="str">
        <x:v>H8</x:v>
      </x:c>
      <x:c r="E440" s="34" t="str">
        <x:v>کسب‌وکار، فروش، بازاریابی و مالی</x:v>
      </x:c>
      <x:c r="F440" s="34" t="str">
        <x:v>P2</x:v>
      </x:c>
      <x:c r="G440" s="34" t="str">
        <x:v>هدف/موضوع</x:v>
      </x:c>
      <x:c r="H440" s="39" t="str">
        <x:v>انجمن های استارتاپی</x:v>
      </x:c>
      <x:c r="I440" s="39" t="str">
        <x:v>پس از تثبیت پایه‌ها؛ پروژه‌محور</x:v>
      </x:c>
      <x:c r="J440" s="39" t="str">
        <x:v>مشاور کسب‌وکار/بازار/مالی</x:v>
      </x:c>
      <x:c r="K440" s="39" t="str"/>
      <x:c r="L440" s="39" t="str">
        <x:v>E112:P1114</x:v>
      </x:c>
      <x:c r="M440" s="39" t="str"/>
      <x:c r="N440" s="39" t="str">
        <x:v>نسخه پایه ۳۱۵۰</x:v>
      </x:c>
    </x:row>
    <x:row r="441" ht="34" customHeight="1">
      <x:c r="A441" s="34" t="str">
        <x:v>☐</x:v>
      </x:c>
      <x:c r="B441" s="34" t="str">
        <x:v>MI-2242</x:v>
      </x:c>
      <x:c r="C441" s="34" t="str">
        <x:v>M3 — کسب‌وکار، شبکه و زیست‌بوم نوآوری</x:v>
      </x:c>
      <x:c r="D441" s="34" t="str">
        <x:v>H8</x:v>
      </x:c>
      <x:c r="E441" s="34" t="str">
        <x:v>کسب‌وکار، فروش، بازاریابی و مالی</x:v>
      </x:c>
      <x:c r="F441" s="34" t="str">
        <x:v>P2</x:v>
      </x:c>
      <x:c r="G441" s="34" t="str">
        <x:v>هدف/موضوع</x:v>
      </x:c>
      <x:c r="H441" s="39" t="str">
        <x:v>اتاق بازرگانی استان</x:v>
      </x:c>
      <x:c r="I441" s="39" t="str">
        <x:v>پس از تثبیت پایه‌ها؛ پروژه‌محور</x:v>
      </x:c>
      <x:c r="J441" s="39" t="str">
        <x:v>مشاور کسب‌وکار/بازار/مالی</x:v>
      </x:c>
      <x:c r="K441" s="39" t="str"/>
      <x:c r="L441" s="39" t="str">
        <x:v>E112:P1126</x:v>
      </x:c>
      <x:c r="M441" s="39" t="str"/>
      <x:c r="N441" s="39" t="str">
        <x:v>نسخه پایه ۳۱۵۰</x:v>
      </x:c>
    </x:row>
    <x:row r="442" ht="34" customHeight="1">
      <x:c r="A442" s="34" t="str">
        <x:v>☐</x:v>
      </x:c>
      <x:c r="B442" s="34" t="str">
        <x:v>MI-2253</x:v>
      </x:c>
      <x:c r="C442" s="34" t="str">
        <x:v>M3 — کسب‌وکار، شبکه و زیست‌بوم نوآوری</x:v>
      </x:c>
      <x:c r="D442" s="34" t="str">
        <x:v>H8</x:v>
      </x:c>
      <x:c r="E442" s="34" t="str">
        <x:v>کسب‌وکار، فروش، بازاریابی و مالی</x:v>
      </x:c>
      <x:c r="F442" s="34" t="str">
        <x:v>P2</x:v>
      </x:c>
      <x:c r="G442" s="34" t="str">
        <x:v>هدف/موضوع</x:v>
      </x:c>
      <x:c r="H442" s="39" t="str">
        <x:v>سرمایه گذاران بومی</x:v>
      </x:c>
      <x:c r="I442" s="39" t="str">
        <x:v>پس از تثبیت پایه‌ها؛ پروژه‌محور</x:v>
      </x:c>
      <x:c r="J442" s="39" t="str">
        <x:v>مشاور کسب‌وکار/بازار/مالی</x:v>
      </x:c>
      <x:c r="K442" s="39" t="str"/>
      <x:c r="L442" s="39" t="str">
        <x:v>E112:P1153</x:v>
      </x:c>
      <x:c r="M442" s="39" t="str"/>
      <x:c r="N442" s="39" t="str">
        <x:v>نسخه پایه ۳۱۵۰</x:v>
      </x:c>
    </x:row>
    <x:row r="443" ht="34" customHeight="1">
      <x:c r="A443" s="34" t="str">
        <x:v>☐</x:v>
      </x:c>
      <x:c r="B443" s="34" t="str">
        <x:v>MI-2258</x:v>
      </x:c>
      <x:c r="C443" s="34" t="str">
        <x:v>M3 — کسب‌وکار، شبکه و زیست‌بوم نوآوری</x:v>
      </x:c>
      <x:c r="D443" s="34" t="str">
        <x:v>H8</x:v>
      </x:c>
      <x:c r="E443" s="34" t="str">
        <x:v>کسب‌وکار، فروش، بازاریابی و مالی</x:v>
      </x:c>
      <x:c r="F443" s="34" t="str">
        <x:v>P2</x:v>
      </x:c>
      <x:c r="G443" s="34" t="str">
        <x:v>هدف/موضوع</x:v>
      </x:c>
      <x:c r="H443" s="39" t="str">
        <x:v>استارتاپ ها را معرفی کند</x:v>
      </x:c>
      <x:c r="I443" s="39" t="str">
        <x:v>پس از تثبیت پایه‌ها؛ پروژه‌محور</x:v>
      </x:c>
      <x:c r="J443" s="39" t="str">
        <x:v>مشاور کسب‌وکار/بازار/مالی</x:v>
      </x:c>
      <x:c r="K443" s="39" t="str"/>
      <x:c r="L443" s="39" t="str">
        <x:v>E112:P1169</x:v>
      </x:c>
      <x:c r="M443" s="39" t="str"/>
      <x:c r="N443" s="39" t="str">
        <x:v>نسخه پایه ۳۱۵۰</x:v>
      </x:c>
    </x:row>
    <x:row r="444" ht="34" customHeight="1">
      <x:c r="A444" s="34" t="str">
        <x:v>☐</x:v>
      </x:c>
      <x:c r="B444" s="34" t="str">
        <x:v>MI-2276</x:v>
      </x:c>
      <x:c r="C444" s="34" t="str">
        <x:v>M3 — کسب‌وکار، شبکه و زیست‌بوم نوآوری</x:v>
      </x:c>
      <x:c r="D444" s="34" t="str">
        <x:v>H8</x:v>
      </x:c>
      <x:c r="E444" s="34" t="str">
        <x:v>کسب‌وکار، فروش، بازاریابی و مالی</x:v>
      </x:c>
      <x:c r="F444" s="34" t="str">
        <x:v>P2</x:v>
      </x:c>
      <x:c r="G444" s="34" t="str">
        <x:v>هدف/موضوع</x:v>
      </x:c>
      <x:c r="H444" s="39" t="str">
        <x:v>سرمایه گذاران تهران → استارتاپ های مازندران</x:v>
      </x:c>
      <x:c r="I444" s="39" t="str">
        <x:v>پس از تثبیت پایه‌ها؛ پروژه‌محور</x:v>
      </x:c>
      <x:c r="J444" s="39" t="str">
        <x:v>مشاور کسب‌وکار/بازار/مالی</x:v>
      </x:c>
      <x:c r="K444" s="39" t="str"/>
      <x:c r="L444" s="39" t="str">
        <x:v>E112:P1216</x:v>
      </x:c>
      <x:c r="M444" s="39" t="str"/>
      <x:c r="N444" s="39" t="str">
        <x:v>نسخه پایه ۳۱۵۰</x:v>
      </x:c>
    </x:row>
    <x:row r="445" ht="34" customHeight="1">
      <x:c r="A445" s="34" t="str">
        <x:v>☐</x:v>
      </x:c>
      <x:c r="B445" s="34" t="str">
        <x:v>MI-2304</x:v>
      </x:c>
      <x:c r="C445" s="34" t="str">
        <x:v>M3 — کسب‌وکار، شبکه و زیست‌بوم نوآوری</x:v>
      </x:c>
      <x:c r="D445" s="34" t="str">
        <x:v>H8</x:v>
      </x:c>
      <x:c r="E445" s="34" t="str">
        <x:v>کسب‌وکار، فروش، بازاریابی و مالی</x:v>
      </x:c>
      <x:c r="F445" s="34" t="str">
        <x:v>P2</x:v>
      </x:c>
      <x:c r="G445" s="34" t="str">
        <x:v>هدف/موضوع</x:v>
      </x:c>
      <x:c r="H445" s="39" t="str">
        <x:v>فروش مستقیم کشاورز</x:v>
      </x:c>
      <x:c r="I445" s="39" t="str">
        <x:v>پس از تثبیت پایه‌ها؛ پروژه‌محور</x:v>
      </x:c>
      <x:c r="J445" s="39" t="str">
        <x:v>مشاور کسب‌وکار/بازار/مالی</x:v>
      </x:c>
      <x:c r="K445" s="39" t="str"/>
      <x:c r="L445" s="39" t="str">
        <x:v>E112:P1270</x:v>
      </x:c>
      <x:c r="M445" s="39" t="str"/>
      <x:c r="N445" s="39" t="str">
        <x:v>نسخه پایه ۳۱۵۰</x:v>
      </x:c>
    </x:row>
    <x:row r="446" ht="34" customHeight="1">
      <x:c r="A446" s="34" t="str">
        <x:v>☐</x:v>
      </x:c>
      <x:c r="B446" s="34" t="str">
        <x:v>MI-2322</x:v>
      </x:c>
      <x:c r="C446" s="34" t="str">
        <x:v>M3 — کسب‌وکار، شبکه و زیست‌بوم نوآوری</x:v>
      </x:c>
      <x:c r="D446" s="34" t="str">
        <x:v>H8</x:v>
      </x:c>
      <x:c r="E446" s="34" t="str">
        <x:v>کسب‌وکار، فروش، بازاریابی و مالی</x:v>
      </x:c>
      <x:c r="F446" s="34" t="str">
        <x:v>P2</x:v>
      </x:c>
      <x:c r="G446" s="34" t="str">
        <x:v>هدف/موضوع</x:v>
      </x:c>
      <x:c r="H446" s="39" t="str">
        <x:v>صادرات صنایع چوب</x:v>
      </x:c>
      <x:c r="I446" s="39" t="str">
        <x:v>پس از تثبیت پایه‌ها؛ پروژه‌محور</x:v>
      </x:c>
      <x:c r="J446" s="39" t="str">
        <x:v>مشاور کسب‌وکار/بازار/مالی</x:v>
      </x:c>
      <x:c r="K446" s="39" t="str"/>
      <x:c r="L446" s="39" t="str">
        <x:v>E112:P1305</x:v>
      </x:c>
      <x:c r="M446" s="39" t="str"/>
      <x:c r="N446" s="39" t="str">
        <x:v>نسخه پایه ۳۱۵۰</x:v>
      </x:c>
    </x:row>
    <x:row r="447" ht="34" customHeight="1">
      <x:c r="A447" s="34" t="str">
        <x:v>☐</x:v>
      </x:c>
      <x:c r="B447" s="34" t="str">
        <x:v>MI-2396</x:v>
      </x:c>
      <x:c r="C447" s="34" t="str">
        <x:v>M3 — کسب‌وکار، شبکه و زیست‌بوم نوآوری</x:v>
      </x:c>
      <x:c r="D447" s="34" t="str">
        <x:v>H8</x:v>
      </x:c>
      <x:c r="E447" s="34" t="str">
        <x:v>کسب‌وکار، فروش، بازاریابی و مالی</x:v>
      </x:c>
      <x:c r="F447" s="34" t="str">
        <x:v>P2</x:v>
      </x:c>
      <x:c r="G447" s="34" t="str">
        <x:v>هدف/موضوع</x:v>
      </x:c>
      <x:c r="H447" s="39" t="str">
        <x:v>و چگونه این رویدادها تبدیل به جریان دایمی استارتاپ در استان شوند.</x:v>
      </x:c>
      <x:c r="I447" s="39" t="str">
        <x:v>پس از تثبیت پایه‌ها؛ پروژه‌محور</x:v>
      </x:c>
      <x:c r="J447" s="39" t="str">
        <x:v>مشاور کسب‌وکار/بازار/مالی</x:v>
      </x:c>
      <x:c r="K447" s="39" t="str"/>
      <x:c r="L447" s="39" t="str">
        <x:v>E112:P1470</x:v>
      </x:c>
      <x:c r="M447" s="39" t="str"/>
      <x:c r="N447" s="39" t="str">
        <x:v>نسخه پایه ۳۱۵۰</x:v>
      </x:c>
    </x:row>
    <x:row r="448" ht="34" customHeight="1">
      <x:c r="A448" s="34" t="str">
        <x:v>☐</x:v>
      </x:c>
      <x:c r="B448" s="34" t="str">
        <x:v>MI-2408</x:v>
      </x:c>
      <x:c r="C448" s="34" t="str">
        <x:v>M3 — کسب‌وکار، شبکه و زیست‌بوم نوآوری</x:v>
      </x:c>
      <x:c r="D448" s="34" t="str">
        <x:v>H8</x:v>
      </x:c>
      <x:c r="E448" s="34" t="str">
        <x:v>کسب‌وکار، فروش، بازاریابی و مالی</x:v>
      </x:c>
      <x:c r="F448" s="34" t="str">
        <x:v>P2</x:v>
      </x:c>
      <x:c r="G448" s="34" t="str">
        <x:v>هدف/موضوع</x:v>
      </x:c>
      <x:c r="H448" s="39" t="str">
        <x:v>استارتاپ سازی خارج از تهران</x:v>
      </x:c>
      <x:c r="I448" s="39" t="str">
        <x:v>پس از تثبیت پایه‌ها؛ پروژه‌محور</x:v>
      </x:c>
      <x:c r="J448" s="39" t="str">
        <x:v>مشاور کسب‌وکار/بازار/مالی</x:v>
      </x:c>
      <x:c r="K448" s="39" t="str"/>
      <x:c r="L448" s="39" t="str">
        <x:v>E112:P1488</x:v>
      </x:c>
      <x:c r="M448" s="39" t="str"/>
      <x:c r="N448" s="39" t="str">
        <x:v>نسخه پایه ۳۱۵۰</x:v>
      </x:c>
    </x:row>
    <x:row r="449" ht="34" customHeight="1">
      <x:c r="A449" s="34" t="str">
        <x:v>☐</x:v>
      </x:c>
      <x:c r="B449" s="34" t="str">
        <x:v>MI-2429</x:v>
      </x:c>
      <x:c r="C449" s="34" t="str">
        <x:v>M3 — کسب‌وکار، شبکه و زیست‌بوم نوآوری</x:v>
      </x:c>
      <x:c r="D449" s="34" t="str">
        <x:v>H8</x:v>
      </x:c>
      <x:c r="E449" s="34" t="str">
        <x:v>کسب‌وکار، فروش، بازاریابی و مالی</x:v>
      </x:c>
      <x:c r="F449" s="34" t="str">
        <x:v>P2</x:v>
      </x:c>
      <x:c r="G449" s="34" t="str">
        <x:v>هدف/موضوع</x:v>
      </x:c>
      <x:c r="H449" s="39" t="str">
        <x:v>یا برای بخش خارجی سرمایه گذاری کرد</x:v>
      </x:c>
      <x:c r="I449" s="39" t="str">
        <x:v>پس از تثبیت پایه‌ها؛ پروژه‌محور</x:v>
      </x:c>
      <x:c r="J449" s="39" t="str">
        <x:v>مشاور کسب‌وکار/بازار/مالی</x:v>
      </x:c>
      <x:c r="K449" s="39" t="str"/>
      <x:c r="L449" s="39" t="str">
        <x:v>E112:P1650</x:v>
      </x:c>
      <x:c r="M449" s="39" t="str"/>
      <x:c r="N449" s="39" t="str">
        <x:v>نسخه پایه ۳۱۵۰</x:v>
      </x:c>
    </x:row>
    <x:row r="450" ht="34" customHeight="1">
      <x:c r="A450" s="34" t="str">
        <x:v>☐</x:v>
      </x:c>
      <x:c r="B450" s="34" t="str">
        <x:v>MI-2441</x:v>
      </x:c>
      <x:c r="C450" s="34" t="str">
        <x:v>M3 — کسب‌وکار، شبکه و زیست‌بوم نوآوری</x:v>
      </x:c>
      <x:c r="D450" s="34" t="str">
        <x:v>H8</x:v>
      </x:c>
      <x:c r="E450" s="34" t="str">
        <x:v>کسب‌وکار، فروش، بازاریابی و مالی</x:v>
      </x:c>
      <x:c r="F450" s="34" t="str">
        <x:v>P2</x:v>
      </x:c>
      <x:c r="G450" s="34" t="str">
        <x:v>هدف/موضوع</x:v>
      </x:c>
      <x:c r="H450" s="39" t="str">
        <x:v>بررسی سرمایه و سرمایه گذاران</x:v>
      </x:c>
      <x:c r="I450" s="39" t="str">
        <x:v>پس از تثبیت پایه‌ها؛ پروژه‌محور</x:v>
      </x:c>
      <x:c r="J450" s="39" t="str">
        <x:v>مشاور کسب‌وکار/بازار/مالی</x:v>
      </x:c>
      <x:c r="K450" s="39" t="str"/>
      <x:c r="L450" s="39" t="str">
        <x:v>E112:P1723</x:v>
      </x:c>
      <x:c r="M450" s="39" t="str"/>
      <x:c r="N450" s="39" t="str">
        <x:v>نسخه پایه ۳۱۵۰</x:v>
      </x:c>
    </x:row>
    <x:row r="451" ht="34" customHeight="1">
      <x:c r="A451" s="34" t="str">
        <x:v>☐</x:v>
      </x:c>
      <x:c r="B451" s="34" t="str">
        <x:v>MI-2456</x:v>
      </x:c>
      <x:c r="C451" s="34" t="str">
        <x:v>M3 — کسب‌وکار، شبکه و زیست‌بوم نوآوری</x:v>
      </x:c>
      <x:c r="D451" s="34" t="str">
        <x:v>H8</x:v>
      </x:c>
      <x:c r="E451" s="34" t="str">
        <x:v>کسب‌وکار، فروش، بازاریابی و مالی</x:v>
      </x:c>
      <x:c r="F451" s="34" t="str">
        <x:v>P2</x:v>
      </x:c>
      <x:c r="G451" s="34" t="str">
        <x:v>هدف/موضوع</x:v>
      </x:c>
      <x:c r="H451" s="39" t="str">
        <x:v>مدل صادرات کارآفرین</x:v>
      </x:c>
      <x:c r="I451" s="39" t="str">
        <x:v>پس از تثبیت پایه‌ها؛ پروژه‌محور</x:v>
      </x:c>
      <x:c r="J451" s="39" t="str">
        <x:v>مشاور کسب‌وکار/بازار/مالی</x:v>
      </x:c>
      <x:c r="K451" s="39" t="str"/>
      <x:c r="L451" s="39" t="str">
        <x:v>E112:P1750</x:v>
      </x:c>
      <x:c r="M451" s="39" t="str"/>
      <x:c r="N451" s="39" t="str">
        <x:v>نسخه پایه ۳۱۵۰</x:v>
      </x:c>
    </x:row>
    <x:row r="452" ht="34" customHeight="1">
      <x:c r="A452" s="34" t="str">
        <x:v>☐</x:v>
      </x:c>
      <x:c r="B452" s="34" t="str">
        <x:v>MI-2467</x:v>
      </x:c>
      <x:c r="C452" s="34" t="str">
        <x:v>M3 — کسب‌وکار، شبکه و زیست‌بوم نوآوری</x:v>
      </x:c>
      <x:c r="D452" s="34" t="str">
        <x:v>H8</x:v>
      </x:c>
      <x:c r="E452" s="34" t="str">
        <x:v>کسب‌وکار، فروش، بازاریابی و مالی</x:v>
      </x:c>
      <x:c r="F452" s="34" t="str">
        <x:v>P2</x:v>
      </x:c>
      <x:c r="G452" s="34" t="str">
        <x:v>هدف/موضوع</x:v>
      </x:c>
      <x:c r="H452" s="39" t="str">
        <x:v>جذب سرمایه گذار خارجی</x:v>
      </x:c>
      <x:c r="I452" s="39" t="str">
        <x:v>پس از تثبیت پایه‌ها؛ پروژه‌محور</x:v>
      </x:c>
      <x:c r="J452" s="39" t="str">
        <x:v>مشاور کسب‌وکار/بازار/مالی</x:v>
      </x:c>
      <x:c r="K452" s="39" t="str"/>
      <x:c r="L452" s="39" t="str">
        <x:v>E112:P1765</x:v>
      </x:c>
      <x:c r="M452" s="39" t="str"/>
      <x:c r="N452" s="39" t="str">
        <x:v>نسخه پایه ۳۱۵۰</x:v>
      </x:c>
    </x:row>
    <x:row r="453" ht="34" customHeight="1">
      <x:c r="A453" s="34" t="str">
        <x:v>☐</x:v>
      </x:c>
      <x:c r="B453" s="34" t="str">
        <x:v>MI-2469</x:v>
      </x:c>
      <x:c r="C453" s="34" t="str">
        <x:v>M3 — کسب‌وکار، شبکه و زیست‌بوم نوآوری</x:v>
      </x:c>
      <x:c r="D453" s="34" t="str">
        <x:v>H8</x:v>
      </x:c>
      <x:c r="E453" s="34" t="str">
        <x:v>کسب‌وکار، فروش، بازاریابی و مالی</x:v>
      </x:c>
      <x:c r="F453" s="34" t="str">
        <x:v>P2</x:v>
      </x:c>
      <x:c r="G453" s="34" t="str">
        <x:v>هدف/موضوع</x:v>
      </x:c>
      <x:c r="H453" s="39" t="str">
        <x:v>اتصال به بازارهای صادراتی</x:v>
      </x:c>
      <x:c r="I453" s="39" t="str">
        <x:v>پس از تثبیت پایه‌ها؛ پروژه‌محور</x:v>
      </x:c>
      <x:c r="J453" s="39" t="str">
        <x:v>مشاور کسب‌وکار/بازار/مالی</x:v>
      </x:c>
      <x:c r="K453" s="39" t="str"/>
      <x:c r="L453" s="39" t="str">
        <x:v>E112:P1767</x:v>
      </x:c>
      <x:c r="M453" s="39" t="str"/>
      <x:c r="N453" s="39" t="str">
        <x:v>نسخه پایه ۳۱۵۰</x:v>
      </x:c>
    </x:row>
    <x:row r="454" ht="34" customHeight="1">
      <x:c r="A454" s="34" t="str">
        <x:v>☐</x:v>
      </x:c>
      <x:c r="B454" s="34" t="str">
        <x:v>MI-2472</x:v>
      </x:c>
      <x:c r="C454" s="34" t="str">
        <x:v>M3 — کسب‌وکار، شبکه و زیست‌بوم نوآوری</x:v>
      </x:c>
      <x:c r="D454" s="34" t="str">
        <x:v>H8</x:v>
      </x:c>
      <x:c r="E454" s="34" t="str">
        <x:v>کسب‌وکار، فروش، بازاریابی و مالی</x:v>
      </x:c>
      <x:c r="F454" s="34" t="str">
        <x:v>P2</x:v>
      </x:c>
      <x:c r="G454" s="34" t="str">
        <x:v>هدف/موضوع</x:v>
      </x:c>
      <x:c r="H454" s="39" t="str">
        <x:v>توسعه صادرات از شمال کشور</x:v>
      </x:c>
      <x:c r="I454" s="39" t="str">
        <x:v>پس از تثبیت پایه‌ها؛ پروژه‌محور</x:v>
      </x:c>
      <x:c r="J454" s="39" t="str">
        <x:v>مشاور کسب‌وکار/بازار/مالی</x:v>
      </x:c>
      <x:c r="K454" s="39" t="str"/>
      <x:c r="L454" s="39" t="str">
        <x:v>E112:P1772</x:v>
      </x:c>
      <x:c r="M454" s="39" t="str"/>
      <x:c r="N454" s="39" t="str">
        <x:v>نسخه پایه ۳۱۵۰</x:v>
      </x:c>
    </x:row>
    <x:row r="455" ht="34" customHeight="1">
      <x:c r="A455" s="34" t="str">
        <x:v>☐</x:v>
      </x:c>
      <x:c r="B455" s="34" t="str">
        <x:v>MI-2520</x:v>
      </x:c>
      <x:c r="C455" s="34" t="str">
        <x:v>M3 — کسب‌وکار، شبکه و زیست‌بوم نوآوری</x:v>
      </x:c>
      <x:c r="D455" s="34" t="str">
        <x:v>H8</x:v>
      </x:c>
      <x:c r="E455" s="34" t="str">
        <x:v>کسب‌وکار، فروش، بازاریابی و مالی</x:v>
      </x:c>
      <x:c r="F455" s="34" t="str">
        <x:v>P2</x:v>
      </x:c>
      <x:c r="G455" s="34" t="str">
        <x:v>هدف/موضوع</x:v>
      </x:c>
      <x:c r="H455" s="39" t="str">
        <x:v>آماده سازی برای سرمایه گذاری</x:v>
      </x:c>
      <x:c r="I455" s="39" t="str">
        <x:v>پس از تثبیت پایه‌ها؛ پروژه‌محور</x:v>
      </x:c>
      <x:c r="J455" s="39" t="str">
        <x:v>مشاور کسب‌وکار/بازار/مالی</x:v>
      </x:c>
      <x:c r="K455" s="39" t="str"/>
      <x:c r="L455" s="39" t="str">
        <x:v>E112:P2037</x:v>
      </x:c>
      <x:c r="M455" s="39" t="str"/>
      <x:c r="N455" s="39" t="str">
        <x:v>نسخه پایه ۳۱۵۰</x:v>
      </x:c>
    </x:row>
    <x:row r="456" ht="34" customHeight="1">
      <x:c r="A456" s="34" t="str">
        <x:v>☐</x:v>
      </x:c>
      <x:c r="B456" s="34" t="str">
        <x:v>MI-2559</x:v>
      </x:c>
      <x:c r="C456" s="34" t="str">
        <x:v>M3 — کسب‌وکار، شبکه و زیست‌بوم نوآوری</x:v>
      </x:c>
      <x:c r="D456" s="34" t="str">
        <x:v>H8</x:v>
      </x:c>
      <x:c r="E456" s="34" t="str">
        <x:v>کسب‌وکار، فروش، بازاریابی و مالی</x:v>
      </x:c>
      <x:c r="F456" s="34" t="str">
        <x:v>P2</x:v>
      </x:c>
      <x:c r="G456" s="34" t="str">
        <x:v>هدف/موضوع</x:v>
      </x:c>
      <x:c r="H456" s="39" t="str">
        <x:v>10. اتصال به سرمایه</x:v>
      </x:c>
      <x:c r="I456" s="39" t="str">
        <x:v>پس از تثبیت پایه‌ها؛ پروژه‌محور</x:v>
      </x:c>
      <x:c r="J456" s="39" t="str">
        <x:v>مشاور کسب‌وکار/بازار/مالی</x:v>
      </x:c>
      <x:c r="K456" s="39" t="str"/>
      <x:c r="L456" s="39" t="str">
        <x:v>E112:P2117</x:v>
      </x:c>
      <x:c r="M456" s="39" t="str"/>
      <x:c r="N456" s="39" t="str">
        <x:v>نسخه پایه ۳۱۵۰</x:v>
      </x:c>
    </x:row>
    <x:row r="457" ht="34" customHeight="1">
      <x:c r="A457" s="34" t="str">
        <x:v>☐</x:v>
      </x:c>
      <x:c r="B457" s="34" t="str">
        <x:v>MI-2564</x:v>
      </x:c>
      <x:c r="C457" s="34" t="str">
        <x:v>M3 — کسب‌وکار، شبکه و زیست‌بوم نوآوری</x:v>
      </x:c>
      <x:c r="D457" s="34" t="str">
        <x:v>H8</x:v>
      </x:c>
      <x:c r="E457" s="34" t="str">
        <x:v>کسب‌وکار، فروش، بازاریابی و مالی</x:v>
      </x:c>
      <x:c r="F457" s="34" t="str">
        <x:v>P2</x:v>
      </x:c>
      <x:c r="G457" s="34" t="str">
        <x:v>هدف/موضوع</x:v>
      </x:c>
      <x:c r="H457" s="39" t="str">
        <x:v>سرمایه جذب می کنند</x:v>
      </x:c>
      <x:c r="I457" s="39" t="str">
        <x:v>پس از تثبیت پایه‌ها؛ پروژه‌محور</x:v>
      </x:c>
      <x:c r="J457" s="39" t="str">
        <x:v>مشاور کسب‌وکار/بازار/مالی</x:v>
      </x:c>
      <x:c r="K457" s="39" t="str"/>
      <x:c r="L457" s="39" t="str">
        <x:v>E112:P2130</x:v>
      </x:c>
      <x:c r="M457" s="39" t="str"/>
      <x:c r="N457" s="39" t="str">
        <x:v>نسخه پایه ۳۱۵۰</x:v>
      </x:c>
    </x:row>
    <x:row r="458" ht="34" customHeight="1">
      <x:c r="A458" s="34" t="str">
        <x:v>☐</x:v>
      </x:c>
      <x:c r="B458" s="34" t="str">
        <x:v>MI-2580</x:v>
      </x:c>
      <x:c r="C458" s="34" t="str">
        <x:v>M3 — کسب‌وکار، شبکه و زیست‌بوم نوآوری</x:v>
      </x:c>
      <x:c r="D458" s="34" t="str">
        <x:v>H8</x:v>
      </x:c>
      <x:c r="E458" s="34" t="str">
        <x:v>کسب‌وکار، فروش، بازاریابی و مالی</x:v>
      </x:c>
      <x:c r="F458" s="34" t="str">
        <x:v>P2</x:v>
      </x:c>
      <x:c r="G458" s="34" t="str">
        <x:v>هدف/موضوع</x:v>
      </x:c>
      <x:c r="H458" s="39" t="str">
        <x:v>مزیت صادراتی استان</x:v>
      </x:c>
      <x:c r="I458" s="39" t="str">
        <x:v>پس از تثبیت پایه‌ها؛ پروژه‌محور</x:v>
      </x:c>
      <x:c r="J458" s="39" t="str">
        <x:v>مشاور کسب‌وکار/بازار/مالی</x:v>
      </x:c>
      <x:c r="K458" s="39" t="str"/>
      <x:c r="L458" s="39" t="str">
        <x:v>E112:P2167</x:v>
      </x:c>
      <x:c r="M458" s="39" t="str"/>
      <x:c r="N458" s="39" t="str">
        <x:v>نسخه پایه ۳۱۵۰</x:v>
      </x:c>
    </x:row>
    <x:row r="459" ht="34" customHeight="1">
      <x:c r="A459" s="34" t="str">
        <x:v>☐</x:v>
      </x:c>
      <x:c r="B459" s="34" t="str">
        <x:v>MI-2584</x:v>
      </x:c>
      <x:c r="C459" s="34" t="str">
        <x:v>M3 — کسب‌وکار، شبکه و زیست‌بوم نوآوری</x:v>
      </x:c>
      <x:c r="D459" s="34" t="str">
        <x:v>H8</x:v>
      </x:c>
      <x:c r="E459" s="34" t="str">
        <x:v>کسب‌وکار، فروش، بازاریابی و مالی</x:v>
      </x:c>
      <x:c r="F459" s="34" t="str">
        <x:v>P2</x:v>
      </x:c>
      <x:c r="G459" s="34" t="str">
        <x:v>هدف/موضوع</x:v>
      </x:c>
      <x:c r="H459" s="79" t="str">
        <x:v>= شرکت صادراتی</x:v>
      </x:c>
      <x:c r="I459" s="39" t="str">
        <x:v>پس از تثبیت پایه‌ها؛ پروژه‌محور</x:v>
      </x:c>
      <x:c r="J459" s="39" t="str">
        <x:v>مشاور کسب‌وکار/بازار/مالی</x:v>
      </x:c>
      <x:c r="K459" s="39" t="str"/>
      <x:c r="L459" s="39" t="str">
        <x:v>E112:P2177</x:v>
      </x:c>
      <x:c r="M459" s="39" t="str"/>
      <x:c r="N459" s="39" t="str">
        <x:v>نسخه پایه ۳۱۵۰</x:v>
      </x:c>
    </x:row>
    <x:row r="460" ht="34" customHeight="1">
      <x:c r="A460" s="34" t="str">
        <x:v>☐</x:v>
      </x:c>
      <x:c r="B460" s="34" t="str">
        <x:v>MI-2603</x:v>
      </x:c>
      <x:c r="C460" s="34" t="str">
        <x:v>M3 — کسب‌وکار، شبکه و زیست‌بوم نوآوری</x:v>
      </x:c>
      <x:c r="D460" s="34" t="str">
        <x:v>H8</x:v>
      </x:c>
      <x:c r="E460" s="34" t="str">
        <x:v>کسب‌وکار، فروش، بازاریابی و مالی</x:v>
      </x:c>
      <x:c r="F460" s="34" t="str">
        <x:v>P2</x:v>
      </x:c>
      <x:c r="G460" s="34" t="str">
        <x:v>هدف/موضوع</x:v>
      </x:c>
      <x:c r="H460" s="39" t="str">
        <x:v>صادرات</x:v>
      </x:c>
      <x:c r="I460" s="39" t="str">
        <x:v>پس از تثبیت پایه‌ها؛ پروژه‌محور</x:v>
      </x:c>
      <x:c r="J460" s="39" t="str">
        <x:v>مشاور کسب‌وکار/بازار/مالی</x:v>
      </x:c>
      <x:c r="K460" s="39" t="str"/>
      <x:c r="L460" s="39" t="str">
        <x:v>E112:P2240؛ E112:P3192</x:v>
      </x:c>
      <x:c r="M460" s="39" t="str"/>
      <x:c r="N460" s="39" t="str">
        <x:v>نسخه پایه ۳۱۵۰</x:v>
      </x:c>
    </x:row>
    <x:row r="461" ht="34" customHeight="1">
      <x:c r="A461" s="34" t="str">
        <x:v>☐</x:v>
      </x:c>
      <x:c r="B461" s="34" t="str">
        <x:v>MI-2618</x:v>
      </x:c>
      <x:c r="C461" s="34" t="str">
        <x:v>M3 — کسب‌وکار، شبکه و زیست‌بوم نوآوری</x:v>
      </x:c>
      <x:c r="D461" s="34" t="str">
        <x:v>H8</x:v>
      </x:c>
      <x:c r="E461" s="34" t="str">
        <x:v>کسب‌وکار، فروش، بازاریابی و مالی</x:v>
      </x:c>
      <x:c r="F461" s="34" t="str">
        <x:v>P2</x:v>
      </x:c>
      <x:c r="G461" s="34" t="str">
        <x:v>هدف/موضوع</x:v>
      </x:c>
      <x:c r="H461" s="39" t="str">
        <x:v>سرمایه گذاری و صادرات توسعه یابد</x:v>
      </x:c>
      <x:c r="I461" s="39" t="str">
        <x:v>پس از تثبیت پایه‌ها؛ پروژه‌محور</x:v>
      </x:c>
      <x:c r="J461" s="39" t="str">
        <x:v>مشاور کسب‌وکار/بازار/مالی</x:v>
      </x:c>
      <x:c r="K461" s="39" t="str"/>
      <x:c r="L461" s="39" t="str">
        <x:v>E112:P2453</x:v>
      </x:c>
      <x:c r="M461" s="39" t="str"/>
      <x:c r="N461" s="39" t="str">
        <x:v>نسخه پایه ۳۱۵۰</x:v>
      </x:c>
    </x:row>
    <x:row r="462" ht="34" customHeight="1">
      <x:c r="A462" s="34" t="str">
        <x:v>☐</x:v>
      </x:c>
      <x:c r="B462" s="34" t="str">
        <x:v>MI-2664</x:v>
      </x:c>
      <x:c r="C462" s="34" t="str">
        <x:v>M3 — کسب‌وکار، شبکه و زیست‌بوم نوآوری</x:v>
      </x:c>
      <x:c r="D462" s="34" t="str">
        <x:v>H8</x:v>
      </x:c>
      <x:c r="E462" s="34" t="str">
        <x:v>کسب‌وکار، فروش، بازاریابی و مالی</x:v>
      </x:c>
      <x:c r="F462" s="34" t="str">
        <x:v>P2</x:v>
      </x:c>
      <x:c r="G462" s="34" t="str">
        <x:v>هدف/موضوع</x:v>
      </x:c>
      <x:c r="H462" s="39" t="str">
        <x:v>آماده سازی برای جذب سرمایه</x:v>
      </x:c>
      <x:c r="I462" s="39" t="str">
        <x:v>پس از تثبیت پایه‌ها؛ پروژه‌محور</x:v>
      </x:c>
      <x:c r="J462" s="39" t="str">
        <x:v>مشاور کسب‌وکار/بازار/مالی</x:v>
      </x:c>
      <x:c r="K462" s="39" t="str"/>
      <x:c r="L462" s="39" t="str">
        <x:v>E112:P2592</x:v>
      </x:c>
      <x:c r="M462" s="39" t="str"/>
      <x:c r="N462" s="39" t="str">
        <x:v>نسخه پایه ۳۱۵۰</x:v>
      </x:c>
    </x:row>
    <x:row r="463" ht="34" customHeight="1">
      <x:c r="A463" s="34" t="str">
        <x:v>☐</x:v>
      </x:c>
      <x:c r="B463" s="34" t="str">
        <x:v>MI-2673</x:v>
      </x:c>
      <x:c r="C463" s="34" t="str">
        <x:v>M3 — کسب‌وکار، شبکه و زیست‌بوم نوآوری</x:v>
      </x:c>
      <x:c r="D463" s="34" t="str">
        <x:v>H8</x:v>
      </x:c>
      <x:c r="E463" s="34" t="str">
        <x:v>کسب‌وکار، فروش، بازاریابی و مالی</x:v>
      </x:c>
      <x:c r="F463" s="34" t="str">
        <x:v>P2</x:v>
      </x:c>
      <x:c r="G463" s="34" t="str">
        <x:v>هدف/موضوع</x:v>
      </x:c>
      <x:c r="H463" s="39" t="str">
        <x:v>متخصصان بازاریابی</x:v>
      </x:c>
      <x:c r="I463" s="39" t="str">
        <x:v>پس از تثبیت پایه‌ها؛ پروژه‌محور</x:v>
      </x:c>
      <x:c r="J463" s="39" t="str">
        <x:v>مشاور کسب‌وکار/بازار/مالی</x:v>
      </x:c>
      <x:c r="K463" s="39" t="str"/>
      <x:c r="L463" s="39" t="str">
        <x:v>E112:P2617</x:v>
      </x:c>
      <x:c r="M463" s="39" t="str"/>
      <x:c r="N463" s="39" t="str">
        <x:v>نسخه پایه ۳۱۵۰</x:v>
      </x:c>
    </x:row>
    <x:row r="464" ht="34" customHeight="1">
      <x:c r="A464" s="34" t="str">
        <x:v>☐</x:v>
      </x:c>
      <x:c r="B464" s="34" t="str">
        <x:v>MI-2677</x:v>
      </x:c>
      <x:c r="C464" s="34" t="str">
        <x:v>M3 — کسب‌وکار، شبکه و زیست‌بوم نوآوری</x:v>
      </x:c>
      <x:c r="D464" s="34" t="str">
        <x:v>H8</x:v>
      </x:c>
      <x:c r="E464" s="34" t="str">
        <x:v>کسب‌وکار، فروش، بازاریابی و مالی</x:v>
      </x:c>
      <x:c r="F464" s="34" t="str">
        <x:v>P2</x:v>
      </x:c>
      <x:c r="G464" s="34" t="str">
        <x:v>هدف/موضوع</x:v>
      </x:c>
      <x:c r="H464" s="39" t="str">
        <x:v>افزایش احتمال موفقیت استارتاپ ها</x:v>
      </x:c>
      <x:c r="I464" s="39" t="str">
        <x:v>پس از تثبیت پایه‌ها؛ پروژه‌محور</x:v>
      </x:c>
      <x:c r="J464" s="39" t="str">
        <x:v>مشاور کسب‌وکار/بازار/مالی</x:v>
      </x:c>
      <x:c r="K464" s="39" t="str"/>
      <x:c r="L464" s="39" t="str">
        <x:v>E112:P2631</x:v>
      </x:c>
      <x:c r="M464" s="39" t="str"/>
      <x:c r="N464" s="39" t="str">
        <x:v>نسخه پایه ۳۱۵۰</x:v>
      </x:c>
    </x:row>
    <x:row r="465" ht="34" customHeight="1">
      <x:c r="A465" s="34" t="str">
        <x:v>☐</x:v>
      </x:c>
      <x:c r="B465" s="34" t="str">
        <x:v>MI-2735</x:v>
      </x:c>
      <x:c r="C465" s="34" t="str">
        <x:v>M3 — کسب‌وکار، شبکه و زیست‌بوم نوآوری</x:v>
      </x:c>
      <x:c r="D465" s="34" t="str">
        <x:v>H8</x:v>
      </x:c>
      <x:c r="E465" s="34" t="str">
        <x:v>کسب‌وکار، فروش، بازاریابی و مالی</x:v>
      </x:c>
      <x:c r="F465" s="34" t="str">
        <x:v>P2</x:v>
      </x:c>
      <x:c r="G465" s="34" t="str">
        <x:v>هدف/موضوع</x:v>
      </x:c>
      <x:c r="H465" s="39" t="str">
        <x:v>سرمایه گذاران خصوصی</x:v>
      </x:c>
      <x:c r="I465" s="39" t="str">
        <x:v>پس از تثبیت پایه‌ها؛ پروژه‌محور</x:v>
      </x:c>
      <x:c r="J465" s="39" t="str">
        <x:v>مشاور کسب‌وکار/بازار/مالی</x:v>
      </x:c>
      <x:c r="K465" s="39" t="str"/>
      <x:c r="L465" s="39" t="str">
        <x:v>E112:P2779؛ E112:P3099</x:v>
      </x:c>
      <x:c r="M465" s="39" t="str"/>
      <x:c r="N465" s="39" t="str">
        <x:v>نسخه پایه ۳۱۵۰</x:v>
      </x:c>
    </x:row>
    <x:row r="466" ht="34" customHeight="1">
      <x:c r="A466" s="34" t="str">
        <x:v>☐</x:v>
      </x:c>
      <x:c r="B466" s="34" t="str">
        <x:v>MI-2740</x:v>
      </x:c>
      <x:c r="C466" s="34" t="str">
        <x:v>M3 — کسب‌وکار، شبکه و زیست‌بوم نوآوری</x:v>
      </x:c>
      <x:c r="D466" s="34" t="str">
        <x:v>H8</x:v>
      </x:c>
      <x:c r="E466" s="34" t="str">
        <x:v>کسب‌وکار، فروش، بازاریابی و مالی</x:v>
      </x:c>
      <x:c r="F466" s="34" t="str">
        <x:v>P2</x:v>
      </x:c>
      <x:c r="G466" s="34" t="str">
        <x:v>هدف/موضوع</x:v>
      </x:c>
      <x:c r="H466" s="39" t="str">
        <x:v>سرمایه جذب کنند</x:v>
      </x:c>
      <x:c r="I466" s="39" t="str">
        <x:v>پس از تثبیت پایه‌ها؛ پروژه‌محور</x:v>
      </x:c>
      <x:c r="J466" s="39" t="str">
        <x:v>مشاور کسب‌وکار/بازار/مالی</x:v>
      </x:c>
      <x:c r="K466" s="39" t="str"/>
      <x:c r="L466" s="39" t="str">
        <x:v>E112:P2793</x:v>
      </x:c>
      <x:c r="M466" s="39" t="str"/>
      <x:c r="N466" s="39" t="str">
        <x:v>نسخه پایه ۳۱۵۰</x:v>
      </x:c>
    </x:row>
    <x:row r="467" ht="34" customHeight="1">
      <x:c r="A467" s="34" t="str">
        <x:v>☐</x:v>
      </x:c>
      <x:c r="B467" s="34" t="str">
        <x:v>MI-2776</x:v>
      </x:c>
      <x:c r="C467" s="34" t="str">
        <x:v>M3 — کسب‌وکار، شبکه و زیست‌بوم نوآوری</x:v>
      </x:c>
      <x:c r="D467" s="34" t="str">
        <x:v>H8</x:v>
      </x:c>
      <x:c r="E467" s="34" t="str">
        <x:v>کسب‌وکار، فروش، بازاریابی و مالی</x:v>
      </x:c>
      <x:c r="F467" s="34" t="str">
        <x:v>P2</x:v>
      </x:c>
      <x:c r="G467" s="34" t="str">
        <x:v>هدف/موضوع</x:v>
      </x:c>
      <x:c r="H467" s="39" t="str">
        <x:v>لجستیک صادراتی</x:v>
      </x:c>
      <x:c r="I467" s="39" t="str">
        <x:v>پس از تثبیت پایه‌ها؛ پروژه‌محور</x:v>
      </x:c>
      <x:c r="J467" s="39" t="str">
        <x:v>مشاور کسب‌وکار/بازار/مالی</x:v>
      </x:c>
      <x:c r="K467" s="39" t="str"/>
      <x:c r="L467" s="39" t="str">
        <x:v>E112:P2886؛ E112:P3120</x:v>
      </x:c>
      <x:c r="M467" s="39" t="str"/>
      <x:c r="N467" s="39" t="str">
        <x:v>نسخه پایه ۳۱۵۰</x:v>
      </x:c>
    </x:row>
    <x:row r="468" ht="34" customHeight="1">
      <x:c r="A468" s="34" t="str">
        <x:v>☐</x:v>
      </x:c>
      <x:c r="B468" s="34" t="str">
        <x:v>MI-2784</x:v>
      </x:c>
      <x:c r="C468" s="34" t="str">
        <x:v>M3 — کسب‌وکار، شبکه و زیست‌بوم نوآوری</x:v>
      </x:c>
      <x:c r="D468" s="34" t="str">
        <x:v>H8</x:v>
      </x:c>
      <x:c r="E468" s="34" t="str">
        <x:v>کسب‌وکار، فروش، بازاریابی و مالی</x:v>
      </x:c>
      <x:c r="F468" s="34" t="str">
        <x:v>P2</x:v>
      </x:c>
      <x:c r="G468" s="34" t="str">
        <x:v>هدف/موضوع</x:v>
      </x:c>
      <x:c r="H468" s="39" t="str">
        <x:v>توسعه صادرات</x:v>
      </x:c>
      <x:c r="I468" s="39" t="str">
        <x:v>پس از تثبیت پایه‌ها؛ پروژه‌محور</x:v>
      </x:c>
      <x:c r="J468" s="39" t="str">
        <x:v>مشاور کسب‌وکار/بازار/مالی</x:v>
      </x:c>
      <x:c r="K468" s="39" t="str"/>
      <x:c r="L468" s="39" t="str">
        <x:v>E112:P2911</x:v>
      </x:c>
      <x:c r="M468" s="39" t="str"/>
      <x:c r="N468" s="39" t="str">
        <x:v>نسخه پایه ۳۱۵۰</x:v>
      </x:c>
    </x:row>
    <x:row r="469" ht="34" customHeight="1">
      <x:c r="A469" s="34" t="str">
        <x:v>☐</x:v>
      </x:c>
      <x:c r="B469" s="34" t="str">
        <x:v>MI-2847</x:v>
      </x:c>
      <x:c r="C469" s="34" t="str">
        <x:v>M3 — کسب‌وکار، شبکه و زیست‌بوم نوآوری</x:v>
      </x:c>
      <x:c r="D469" s="34" t="str">
        <x:v>H8</x:v>
      </x:c>
      <x:c r="E469" s="34" t="str">
        <x:v>کسب‌وکار، فروش، بازاریابی و مالی</x:v>
      </x:c>
      <x:c r="F469" s="34" t="str">
        <x:v>P2</x:v>
      </x:c>
      <x:c r="G469" s="34" t="str">
        <x:v>هدف/موضوع</x:v>
      </x:c>
      <x:c r="H469" s="39" t="str">
        <x:v>همایش سرمایه گذاری</x:v>
      </x:c>
      <x:c r="I469" s="39" t="str">
        <x:v>پس از تثبیت پایه‌ها؛ پروژه‌محور</x:v>
      </x:c>
      <x:c r="J469" s="39" t="str">
        <x:v>مشاور کسب‌وکار/بازار/مالی</x:v>
      </x:c>
      <x:c r="K469" s="39" t="str"/>
      <x:c r="L469" s="39" t="str">
        <x:v>E112:P3082</x:v>
      </x:c>
      <x:c r="M469" s="39" t="str"/>
      <x:c r="N469" s="39" t="str">
        <x:v>نسخه پایه ۳۱۵۰</x:v>
      </x:c>
    </x:row>
    <x:row r="470" ht="34" customHeight="1">
      <x:c r="A470" s="34" t="str">
        <x:v>☐</x:v>
      </x:c>
      <x:c r="B470" s="34" t="str">
        <x:v>MI-2850</x:v>
      </x:c>
      <x:c r="C470" s="34" t="str">
        <x:v>M3 — کسب‌وکار، شبکه و زیست‌بوم نوآوری</x:v>
      </x:c>
      <x:c r="D470" s="34" t="str">
        <x:v>H8</x:v>
      </x:c>
      <x:c r="E470" s="34" t="str">
        <x:v>کسب‌وکار، فروش، بازاریابی و مالی</x:v>
      </x:c>
      <x:c r="F470" s="34" t="str">
        <x:v>P2</x:v>
      </x:c>
      <x:c r="G470" s="34" t="str">
        <x:v>هدف/موضوع</x:v>
      </x:c>
      <x:c r="H470" s="39" t="str">
        <x:v>لایه 9 — سرمایه و تجاری سازی</x:v>
      </x:c>
      <x:c r="I470" s="39" t="str">
        <x:v>پس از تثبیت پایه‌ها؛ پروژه‌محور</x:v>
      </x:c>
      <x:c r="J470" s="39" t="str">
        <x:v>مشاور کسب‌وکار/بازار/مالی</x:v>
      </x:c>
      <x:c r="K470" s="39" t="str"/>
      <x:c r="L470" s="39" t="str">
        <x:v>E112:P3091</x:v>
      </x:c>
      <x:c r="M470" s="39" t="str"/>
      <x:c r="N470" s="39" t="str">
        <x:v>نسخه پایه ۳۱۵۰</x:v>
      </x:c>
    </x:row>
    <x:row r="471" ht="34" customHeight="1">
      <x:c r="A471" s="34" t="str">
        <x:v>☐</x:v>
      </x:c>
      <x:c r="B471" s="34" t="str">
        <x:v>MI-2855</x:v>
      </x:c>
      <x:c r="C471" s="34" t="str">
        <x:v>M3 — کسب‌وکار، شبکه و زیست‌بوم نوآوری</x:v>
      </x:c>
      <x:c r="D471" s="34" t="str">
        <x:v>H8</x:v>
      </x:c>
      <x:c r="E471" s="34" t="str">
        <x:v>کسب‌وکار، فروش، بازاریابی و مالی</x:v>
      </x:c>
      <x:c r="F471" s="34" t="str">
        <x:v>P2</x:v>
      </x:c>
      <x:c r="G471" s="34" t="str">
        <x:v>هدف/موضوع</x:v>
      </x:c>
      <x:c r="H471" s="39" t="str">
        <x:v>لایه 10 — بازار و صادرات</x:v>
      </x:c>
      <x:c r="I471" s="39" t="str">
        <x:v>پس از تثبیت پایه‌ها؛ پروژه‌محور</x:v>
      </x:c>
      <x:c r="J471" s="39" t="str">
        <x:v>مشاور کسب‌وکار/بازار/مالی</x:v>
      </x:c>
      <x:c r="K471" s="39" t="str"/>
      <x:c r="L471" s="39" t="str">
        <x:v>E112:P3109</x:v>
      </x:c>
      <x:c r="M471" s="39" t="str"/>
      <x:c r="N471" s="39" t="str">
        <x:v>نسخه پایه ۳۱۵۰</x:v>
      </x:c>
    </x:row>
    <x:row r="472" ht="34" customHeight="1">
      <x:c r="A472" s="34" t="str">
        <x:v>☐</x:v>
      </x:c>
      <x:c r="B472" s="34" t="str">
        <x:v>MI-2866</x:v>
      </x:c>
      <x:c r="C472" s="34" t="str">
        <x:v>M3 — کسب‌وکار، شبکه و زیست‌بوم نوآوری</x:v>
      </x:c>
      <x:c r="D472" s="34" t="str">
        <x:v>H8</x:v>
      </x:c>
      <x:c r="E472" s="34" t="str">
        <x:v>کسب‌وکار، فروش، بازاریابی و مالی</x:v>
      </x:c>
      <x:c r="F472" s="34" t="str">
        <x:v>P2</x:v>
      </x:c>
      <x:c r="G472" s="34" t="str">
        <x:v>هدف/موضوع</x:v>
      </x:c>
      <x:c r="H472" s="39" t="str">
        <x:v>جذب سرمایه خارجی</x:v>
      </x:c>
      <x:c r="I472" s="39" t="str">
        <x:v>پس از تثبیت پایه‌ها؛ پروژه‌محور</x:v>
      </x:c>
      <x:c r="J472" s="39" t="str">
        <x:v>مشاور کسب‌وکار/بازار/مالی</x:v>
      </x:c>
      <x:c r="K472" s="39" t="str"/>
      <x:c r="L472" s="39" t="str">
        <x:v>E112:P3145؛ E112:P3480</x:v>
      </x:c>
      <x:c r="M472" s="39" t="str"/>
      <x:c r="N472" s="39" t="str">
        <x:v>نسخه پایه ۳۱۵۰</x:v>
      </x:c>
    </x:row>
    <x:row r="473" ht="34" customHeight="1">
      <x:c r="A473" s="34" t="str">
        <x:v>☐</x:v>
      </x:c>
      <x:c r="B473" s="34" t="str">
        <x:v>MI-2867</x:v>
      </x:c>
      <x:c r="C473" s="34" t="str">
        <x:v>M3 — کسب‌وکار، شبکه و زیست‌بوم نوآوری</x:v>
      </x:c>
      <x:c r="D473" s="34" t="str">
        <x:v>H8</x:v>
      </x:c>
      <x:c r="E473" s="34" t="str">
        <x:v>کسب‌وکار، فروش، بازاریابی و مالی</x:v>
      </x:c>
      <x:c r="F473" s="34" t="str">
        <x:v>P2</x:v>
      </x:c>
      <x:c r="G473" s="34" t="str">
        <x:v>هدف/موضوع</x:v>
      </x:c>
      <x:c r="H473" s="39" t="str">
        <x:v>لایه 12 — جذب سرمایه خارجی</x:v>
      </x:c>
      <x:c r="I473" s="39" t="str">
        <x:v>پس از تثبیت پایه‌ها؛ پروژه‌محور</x:v>
      </x:c>
      <x:c r="J473" s="39" t="str">
        <x:v>مشاور کسب‌وکار/بازار/مالی</x:v>
      </x:c>
      <x:c r="K473" s="39" t="str"/>
      <x:c r="L473" s="39" t="str">
        <x:v>E112:P3147</x:v>
      </x:c>
      <x:c r="M473" s="39" t="str"/>
      <x:c r="N473" s="39" t="str">
        <x:v>نسخه پایه ۳۱۵۰</x:v>
      </x:c>
    </x:row>
    <x:row r="474" ht="34" customHeight="1">
      <x:c r="A474" s="34" t="str">
        <x:v>☐</x:v>
      </x:c>
      <x:c r="B474" s="34" t="str">
        <x:v>MI-2871</x:v>
      </x:c>
      <x:c r="C474" s="34" t="str">
        <x:v>M3 — کسب‌وکار، شبکه و زیست‌بوم نوآوری</x:v>
      </x:c>
      <x:c r="D474" s="34" t="str">
        <x:v>H8</x:v>
      </x:c>
      <x:c r="E474" s="34" t="str">
        <x:v>کسب‌وکار، فروش، بازاریابی و مالی</x:v>
      </x:c>
      <x:c r="F474" s="34" t="str">
        <x:v>P2</x:v>
      </x:c>
      <x:c r="G474" s="34" t="str">
        <x:v>هدف/موضوع</x:v>
      </x:c>
      <x:c r="H474" s="39" t="str">
        <x:v>شرکت مشترک صادراتی.</x:v>
      </x:c>
      <x:c r="I474" s="39" t="str">
        <x:v>پس از تثبیت پایه‌ها؛ پروژه‌محور</x:v>
      </x:c>
      <x:c r="J474" s="39" t="str">
        <x:v>مشاور کسب‌وکار/بازار/مالی</x:v>
      </x:c>
      <x:c r="K474" s="39" t="str"/>
      <x:c r="L474" s="39" t="str">
        <x:v>E112:P3159</x:v>
      </x:c>
      <x:c r="M474" s="39" t="str"/>
      <x:c r="N474" s="39" t="str">
        <x:v>نسخه پایه ۳۱۵۰</x:v>
      </x:c>
    </x:row>
    <x:row r="475" ht="34" customHeight="1">
      <x:c r="A475" s="34" t="str">
        <x:v>☐</x:v>
      </x:c>
      <x:c r="B475" s="34" t="str">
        <x:v>MI-2881</x:v>
      </x:c>
      <x:c r="C475" s="34" t="str">
        <x:v>M3 — کسب‌وکار، شبکه و زیست‌بوم نوآوری</x:v>
      </x:c>
      <x:c r="D475" s="34" t="str">
        <x:v>H8</x:v>
      </x:c>
      <x:c r="E475" s="34" t="str">
        <x:v>کسب‌وکار، فروش، بازاریابی و مالی</x:v>
      </x:c>
      <x:c r="F475" s="34" t="str">
        <x:v>P2</x:v>
      </x:c>
      <x:c r="G475" s="34" t="str">
        <x:v>هدف/موضوع</x:v>
      </x:c>
      <x:c r="H475" s="39" t="str">
        <x:v>شرکت ها و استارتاپ ها</x:v>
      </x:c>
      <x:c r="I475" s="39" t="str">
        <x:v>پس از تثبیت پایه‌ها؛ پروژه‌محور</x:v>
      </x:c>
      <x:c r="J475" s="39" t="str">
        <x:v>مشاور کسب‌وکار/بازار/مالی</x:v>
      </x:c>
      <x:c r="K475" s="39" t="str"/>
      <x:c r="L475" s="39" t="str">
        <x:v>E112:P3213</x:v>
      </x:c>
      <x:c r="M475" s="39" t="str"/>
      <x:c r="N475" s="39" t="str">
        <x:v>نسخه پایه ۳۱۵۰</x:v>
      </x:c>
    </x:row>
    <x:row r="476" ht="34" customHeight="1">
      <x:c r="A476" s="34" t="str">
        <x:v>☐</x:v>
      </x:c>
      <x:c r="B476" s="34" t="str">
        <x:v>MI-2882</x:v>
      </x:c>
      <x:c r="C476" s="34" t="str">
        <x:v>M3 — کسب‌وکار، شبکه و زیست‌بوم نوآوری</x:v>
      </x:c>
      <x:c r="D476" s="34" t="str">
        <x:v>H8</x:v>
      </x:c>
      <x:c r="E476" s="34" t="str">
        <x:v>کسب‌وکار، فروش، بازاریابی و مالی</x:v>
      </x:c>
      <x:c r="F476" s="34" t="str">
        <x:v>P2</x:v>
      </x:c>
      <x:c r="G476" s="34" t="str">
        <x:v>هدف/موضوع</x:v>
      </x:c>
      <x:c r="H476" s="39" t="str">
        <x:v>بازار و صادرات</x:v>
      </x:c>
      <x:c r="I476" s="39" t="str">
        <x:v>پس از تثبیت پایه‌ها؛ پروژه‌محور</x:v>
      </x:c>
      <x:c r="J476" s="39" t="str">
        <x:v>مشاور کسب‌وکار/بازار/مالی</x:v>
      </x:c>
      <x:c r="K476" s="39" t="str"/>
      <x:c r="L476" s="39" t="str">
        <x:v>E112:P3215</x:v>
      </x:c>
      <x:c r="M476" s="39" t="str"/>
      <x:c r="N476" s="39" t="str">
        <x:v>نسخه پایه ۳۱۵۰</x:v>
      </x:c>
    </x:row>
    <x:row r="477" ht="34" customHeight="1">
      <x:c r="A477" s="34" t="str">
        <x:v>☐</x:v>
      </x:c>
      <x:c r="B477" s="34" t="str">
        <x:v>MI-2913</x:v>
      </x:c>
      <x:c r="C477" s="34" t="str">
        <x:v>M3 — کسب‌وکار، شبکه و زیست‌بوم نوآوری</x:v>
      </x:c>
      <x:c r="D477" s="34" t="str">
        <x:v>H8</x:v>
      </x:c>
      <x:c r="E477" s="34" t="str">
        <x:v>کسب‌وکار، فروش، بازاریابی و مالی</x:v>
      </x:c>
      <x:c r="F477" s="34" t="str">
        <x:v>P2</x:v>
      </x:c>
      <x:c r="G477" s="34" t="str">
        <x:v>هدف/موضوع</x:v>
      </x:c>
      <x:c r="H477" s="39" t="str">
        <x:v>واحد سرمایه و توسعه کسب وکار</x:v>
      </x:c>
      <x:c r="I477" s="39" t="str">
        <x:v>پس از تثبیت پایه‌ها؛ پروژه‌محور</x:v>
      </x:c>
      <x:c r="J477" s="39" t="str">
        <x:v>مشاور کسب‌وکار/بازار/مالی</x:v>
      </x:c>
      <x:c r="K477" s="39" t="str"/>
      <x:c r="L477" s="39" t="str">
        <x:v>E112:P3264</x:v>
      </x:c>
      <x:c r="M477" s="39" t="str"/>
      <x:c r="N477" s="39" t="str">
        <x:v>نسخه پایه ۳۱۵۰</x:v>
      </x:c>
    </x:row>
    <x:row r="478" ht="34" customHeight="1">
      <x:c r="A478" s="34" t="str">
        <x:v>☐</x:v>
      </x:c>
      <x:c r="B478" s="34" t="str">
        <x:v>MI-2941</x:v>
      </x:c>
      <x:c r="C478" s="34" t="str">
        <x:v>M3 — کسب‌وکار، شبکه و زیست‌بوم نوآوری</x:v>
      </x:c>
      <x:c r="D478" s="34" t="str">
        <x:v>H8</x:v>
      </x:c>
      <x:c r="E478" s="34" t="str">
        <x:v>کسب‌وکار، فروش، بازاریابی و مالی</x:v>
      </x:c>
      <x:c r="F478" s="34" t="str">
        <x:v>P2</x:v>
      </x:c>
      <x:c r="G478" s="34" t="str">
        <x:v>هدف/موضوع</x:v>
      </x:c>
      <x:c r="H478" s="39" t="str">
        <x:v>مدیر سرمایه و توسعه کسب وکار (Investment &amp; Venture)</x:v>
      </x:c>
      <x:c r="I478" s="39" t="str">
        <x:v>پس از تثبیت پایه‌ها؛ پروژه‌محور</x:v>
      </x:c>
      <x:c r="J478" s="39" t="str">
        <x:v>مشاور کسب‌وکار/بازار/مالی</x:v>
      </x:c>
      <x:c r="K478" s="39" t="str"/>
      <x:c r="L478" s="39" t="str">
        <x:v>E112:P3309</x:v>
      </x:c>
      <x:c r="M478" s="39" t="str"/>
      <x:c r="N478" s="39" t="str">
        <x:v>نسخه پایه ۳۱۵۰</x:v>
      </x:c>
    </x:row>
    <x:row r="479" ht="34" customHeight="1">
      <x:c r="A479" s="34" t="str">
        <x:v>☐</x:v>
      </x:c>
      <x:c r="B479" s="34" t="str">
        <x:v>MI-2983</x:v>
      </x:c>
      <x:c r="C479" s="34" t="str">
        <x:v>M3 — کسب‌وکار، شبکه و زیست‌بوم نوآوری</x:v>
      </x:c>
      <x:c r="D479" s="34" t="str">
        <x:v>H8</x:v>
      </x:c>
      <x:c r="E479" s="34" t="str">
        <x:v>کسب‌وکار، فروش، بازاریابی و مالی</x:v>
      </x:c>
      <x:c r="F479" s="34" t="str">
        <x:v>P2</x:v>
      </x:c>
      <x:c r="G479" s="34" t="str">
        <x:v>هدف/موضوع</x:v>
      </x:c>
      <x:c r="H479" s="39" t="str">
        <x:v>واحد 5 — سیستم سرمایه و توسعه کسب وکار</x:v>
      </x:c>
      <x:c r="I479" s="39" t="str">
        <x:v>پس از تثبیت پایه‌ها؛ پروژه‌محور</x:v>
      </x:c>
      <x:c r="J479" s="39" t="str">
        <x:v>مشاور کسب‌وکار/بازار/مالی</x:v>
      </x:c>
      <x:c r="K479" s="39" t="str"/>
      <x:c r="L479" s="39" t="str">
        <x:v>E112:P3443</x:v>
      </x:c>
      <x:c r="M479" s="39" t="str"/>
      <x:c r="N479" s="39" t="str">
        <x:v>نسخه پایه ۳۱۵۰</x:v>
      </x:c>
    </x:row>
    <x:row r="480" ht="34" customHeight="1">
      <x:c r="A480" s="34" t="str">
        <x:v>☐</x:v>
      </x:c>
      <x:c r="B480" s="34" t="str">
        <x:v>MI-2986</x:v>
      </x:c>
      <x:c r="C480" s="34" t="str">
        <x:v>M3 — کسب‌وکار، شبکه و زیست‌بوم نوآوری</x:v>
      </x:c>
      <x:c r="D480" s="34" t="str">
        <x:v>H8</x:v>
      </x:c>
      <x:c r="E480" s="34" t="str">
        <x:v>کسب‌وکار، فروش، بازاریابی و مالی</x:v>
      </x:c>
      <x:c r="F480" s="34" t="str">
        <x:v>P2</x:v>
      </x:c>
      <x:c r="G480" s="34" t="str">
        <x:v>هدف/موضوع</x:v>
      </x:c>
      <x:c r="H480" s="39" t="str">
        <x:v>سرمایه گذار فرشته</x:v>
      </x:c>
      <x:c r="I480" s="39" t="str">
        <x:v>پس از تثبیت پایه‌ها؛ پروژه‌محور</x:v>
      </x:c>
      <x:c r="J480" s="39" t="str">
        <x:v>مشاور کسب‌وکار/بازار/مالی</x:v>
      </x:c>
      <x:c r="K480" s="39" t="str"/>
      <x:c r="L480" s="39" t="str">
        <x:v>E112:P3452</x:v>
      </x:c>
      <x:c r="M480" s="39" t="str"/>
      <x:c r="N480" s="39" t="str">
        <x:v>نسخه پایه ۳۱۵۰</x:v>
      </x:c>
    </x:row>
    <x:row r="481" ht="34" customHeight="1">
      <x:c r="A481" s="34" t="str">
        <x:v>☐</x:v>
      </x:c>
      <x:c r="B481" s="34" t="str">
        <x:v>MI-3002</x:v>
      </x:c>
      <x:c r="C481" s="34" t="str">
        <x:v>M3 — کسب‌وکار، شبکه و زیست‌بوم نوآوری</x:v>
      </x:c>
      <x:c r="D481" s="34" t="str">
        <x:v>H8</x:v>
      </x:c>
      <x:c r="E481" s="34" t="str">
        <x:v>کسب‌وکار، فروش، بازاریابی و مالی</x:v>
      </x:c>
      <x:c r="F481" s="34" t="str">
        <x:v>P2</x:v>
      </x:c>
      <x:c r="G481" s="34" t="str">
        <x:v>هدف/موضوع</x:v>
      </x:c>
      <x:c r="H481" s="39" t="str">
        <x:v>تعداد استارتاپ ها</x:v>
      </x:c>
      <x:c r="I481" s="39" t="str">
        <x:v>پس از تثبیت پایه‌ها؛ پروژه‌محور</x:v>
      </x:c>
      <x:c r="J481" s="39" t="str">
        <x:v>مشاور کسب‌وکار/بازار/مالی</x:v>
      </x:c>
      <x:c r="K481" s="39" t="str"/>
      <x:c r="L481" s="39" t="str">
        <x:v>E112:P3507</x:v>
      </x:c>
      <x:c r="M481" s="39" t="str"/>
      <x:c r="N481" s="39" t="str">
        <x:v>نسخه پایه ۳۱۵۰</x:v>
      </x:c>
    </x:row>
    <x:row r="482" ht="34" customHeight="1">
      <x:c r="A482" s="34" t="str">
        <x:v>☐</x:v>
      </x:c>
      <x:c r="B482" s="34" t="str">
        <x:v>MI-3003</x:v>
      </x:c>
      <x:c r="C482" s="34" t="str">
        <x:v>M3 — کسب‌وکار، شبکه و زیست‌بوم نوآوری</x:v>
      </x:c>
      <x:c r="D482" s="34" t="str">
        <x:v>H8</x:v>
      </x:c>
      <x:c r="E482" s="34" t="str">
        <x:v>کسب‌وکار، فروش، بازاریابی و مالی</x:v>
      </x:c>
      <x:c r="F482" s="34" t="str">
        <x:v>P2</x:v>
      </x:c>
      <x:c r="G482" s="34" t="str">
        <x:v>هدف/موضوع</x:v>
      </x:c>
      <x:c r="H482" s="39" t="str">
        <x:v>میزان سرمایه جذب شده</x:v>
      </x:c>
      <x:c r="I482" s="39" t="str">
        <x:v>پس از تثبیت پایه‌ها؛ پروژه‌محور</x:v>
      </x:c>
      <x:c r="J482" s="39" t="str">
        <x:v>مشاور کسب‌وکار/بازار/مالی</x:v>
      </x:c>
      <x:c r="K482" s="39" t="str"/>
      <x:c r="L482" s="39" t="str">
        <x:v>E112:P3508</x:v>
      </x:c>
      <x:c r="M482" s="39" t="str"/>
      <x:c r="N482" s="39" t="str">
        <x:v>نسخه پایه ۳۱۵۰</x:v>
      </x:c>
    </x:row>
    <x:row r="483" ht="34" customHeight="1">
      <x:c r="A483" s="34" t="str">
        <x:v>☐</x:v>
      </x:c>
      <x:c r="B483" s="34" t="str">
        <x:v>MI-3050</x:v>
      </x:c>
      <x:c r="C483" s="34" t="str">
        <x:v>M3 — کسب‌وکار، شبکه و زیست‌بوم نوآوری</x:v>
      </x:c>
      <x:c r="D483" s="34" t="str">
        <x:v>H8</x:v>
      </x:c>
      <x:c r="E483" s="34" t="str">
        <x:v>کسب‌وکار، فروش، بازاریابی و مالی</x:v>
      </x:c>
      <x:c r="F483" s="34" t="str">
        <x:v>P2</x:v>
      </x:c>
      <x:c r="G483" s="34" t="str">
        <x:v>هدف/موضوع</x:v>
      </x:c>
      <x:c r="H483" s="39" t="str">
        <x:v>بعد کم کم سرمایه و استارتاپ ها اضافه شدند.</x:v>
      </x:c>
      <x:c r="I483" s="39" t="str">
        <x:v>پس از تثبیت پایه‌ها؛ پروژه‌محور</x:v>
      </x:c>
      <x:c r="J483" s="39" t="str">
        <x:v>مشاور کسب‌وکار/بازار/مالی</x:v>
      </x:c>
      <x:c r="K483" s="39" t="str"/>
      <x:c r="L483" s="39" t="str">
        <x:v>E112:P3640</x:v>
      </x:c>
      <x:c r="M483" s="39" t="str"/>
      <x:c r="N483" s="39" t="str">
        <x:v>نسخه پایه ۳۱۵۰</x:v>
      </x:c>
    </x:row>
    <x:row r="484" ht="34" customHeight="1">
      <x:c r="A484" s="34" t="str">
        <x:v>☐</x:v>
      </x:c>
      <x:c r="B484" s="34" t="str">
        <x:v>MI-3117</x:v>
      </x:c>
      <x:c r="C484" s="34" t="str">
        <x:v>M3 — کسب‌وکار، شبکه و زیست‌بوم نوآوری</x:v>
      </x:c>
      <x:c r="D484" s="34" t="str">
        <x:v>H8</x:v>
      </x:c>
      <x:c r="E484" s="34" t="str">
        <x:v>کسب‌وکار، فروش، بازاریابی و مالی</x:v>
      </x:c>
      <x:c r="F484" s="34" t="str">
        <x:v>P2</x:v>
      </x:c>
      <x:c r="G484" s="34" t="str">
        <x:v>هدف/موضوع</x:v>
      </x:c>
      <x:c r="H484" s="39" t="str">
        <x:v>در حال حاضر چه میزان پس انداز و سرمایه گذاری کرده اید؟ دارایی های خود را نام ببرید؟</x:v>
      </x:c>
      <x:c r="I484" s="39" t="str">
        <x:v>پس از تثبیت پایه‌ها؛ پروژه‌محور</x:v>
      </x:c>
      <x:c r="J484" s="39" t="str">
        <x:v>مشاور کسب‌وکار/بازار/مالی</x:v>
      </x:c>
      <x:c r="K484" s="39" t="str"/>
      <x:c r="L484" s="39" t="str">
        <x:v>INT:T40 R1</x:v>
      </x:c>
      <x:c r="M484" s="39" t="str"/>
      <x:c r="N484" s="39" t="str">
        <x:v>نسخه پایه ۳۱۵۰</x:v>
      </x:c>
    </x:row>
    <x:row r="485" ht="34" customHeight="1">
      <x:c r="A485" s="34" t="str">
        <x:v>☐</x:v>
      </x:c>
      <x:c r="B485" s="34" t="str">
        <x:v>MI-0526</x:v>
      </x:c>
      <x:c r="C485" s="34" t="str">
        <x:v>M3 — کسب‌وکار، شبکه و زیست‌بوم نوآوری</x:v>
      </x:c>
      <x:c r="D485" s="34" t="str">
        <x:v>H8</x:v>
      </x:c>
      <x:c r="E485" s="34" t="str">
        <x:v>کسب‌وکار، فروش، بازاریابی و مالی</x:v>
      </x:c>
      <x:c r="F485" s="34" t="str">
        <x:v>P2</x:v>
      </x:c>
      <x:c r="G485" s="34" t="str">
        <x:v>یادداشت/تحلیل</x:v>
      </x:c>
      <x:c r="H485" s="39" t="str">
        <x:v>. بازاریابی دهان به دهانیکی از بهترین راه هایی است که به هر کسب وکاری کمک می کند بر سرزبان ها بیفتد. مردم معمولا به تبلیغات پولی اعتمادنمی کنند، اما به پیشنهاد دوست شان درمورد خوب بودنِ یک رستوران اعتماد دارند.</x:v>
      </x:c>
      <x:c r="I485" s="39" t="str">
        <x:v>پس از تثبیت پایه‌ها؛ پروژه‌محور</x:v>
      </x:c>
      <x:c r="J485" s="39" t="str">
        <x:v>مشاور کسب‌وکار/بازار/مالی</x:v>
      </x:c>
      <x:c r="K485" s="39" t="str"/>
      <x:c r="L485" s="39" t="str">
        <x:v>AP:P312</x:v>
      </x:c>
      <x:c r="M485" s="39" t="str"/>
      <x:c r="N485" s="39" t="str">
        <x:v>نسخه پایه ۳۱۵۰</x:v>
      </x:c>
    </x:row>
    <x:row r="486" ht="34" customHeight="1">
      <x:c r="A486" s="34" t="str">
        <x:v>☐</x:v>
      </x:c>
      <x:c r="B486" s="34" t="str">
        <x:v>MI-0528</x:v>
      </x:c>
      <x:c r="C486" s="34" t="str">
        <x:v>M3 — کسب‌وکار، شبکه و زیست‌بوم نوآوری</x:v>
      </x:c>
      <x:c r="D486" s="34" t="str">
        <x:v>H8</x:v>
      </x:c>
      <x:c r="E486" s="34" t="str">
        <x:v>کسب‌وکار، فروش، بازاریابی و مالی</x:v>
      </x:c>
      <x:c r="F486" s="34" t="str">
        <x:v>P2</x:v>
      </x:c>
      <x:c r="G486" s="34" t="str">
        <x:v>یادداشت/تحلیل</x:v>
      </x:c>
      <x:c r="H486" s="39" t="str">
        <x:v>میزبانی از یک مراسم خیریه، راهفوق العاده ای برای حضور در اجتماع است. برای مثال، یکروز را انتخاب کنید و 10 درصد از درآمد آن روزتان را به یک موسسه ی خیریه ببخشید. می توانید از قبل برای این مراسم تبلیغ کنید تا افرادی که دوست دارنددر این کار خیر شریک شوند، در رستوران تان غذا بخورند</x:v>
      </x:c>
      <x:c r="I486" s="39" t="str">
        <x:v>پس از تثبیت پایه‌ها؛ پروژه‌محور</x:v>
      </x:c>
      <x:c r="J486" s="39" t="str">
        <x:v>مشاور کسب‌وکار/بازار/مالی</x:v>
      </x:c>
      <x:c r="K486" s="39" t="str"/>
      <x:c r="L486" s="39" t="str">
        <x:v>AP:P314</x:v>
      </x:c>
      <x:c r="M486" s="39" t="str"/>
      <x:c r="N486" s="39" t="str">
        <x:v>نسخه پایه ۳۱۵۰</x:v>
      </x:c>
    </x:row>
    <x:row r="487" ht="34" customHeight="1">
      <x:c r="A487" s="34" t="str">
        <x:v>☐</x:v>
      </x:c>
      <x:c r="B487" s="34" t="str">
        <x:v>MI-0532</x:v>
      </x:c>
      <x:c r="C487" s="34" t="str">
        <x:v>M3 — کسب‌وکار، شبکه و زیست‌بوم نوآوری</x:v>
      </x:c>
      <x:c r="D487" s="34" t="str">
        <x:v>H8</x:v>
      </x:c>
      <x:c r="E487" s="34" t="str">
        <x:v>کسب‌وکار، فروش، بازاریابی و مالی</x:v>
      </x:c>
      <x:c r="F487" s="34" t="str">
        <x:v>P2</x:v>
      </x:c>
      <x:c r="G487" s="34" t="str">
        <x:v>یادداشت/تحلیل</x:v>
      </x:c>
      <x:c r="H487" s="39" t="str">
        <x:v>مزیت دیگرِ داشتنِ حساب کاربریِحرفه ای در رسانه های اجتماعی این است که می توانید درباره ی مراسم ها و جشن هاییکه برگزار می کنید، اطلاع رسانی کنید. همچنین از اینطریق می توانید خبر تعطیلی ناگهانی رستوران را به اطلاع مشتریان تان برسانید. یکی از سریعترین و آسانترین راه برای بازاریابی رستوران ، استفاده ازشبکه های اجتماعی مختلف است.</x:v>
      </x:c>
      <x:c r="I487" s="39" t="str">
        <x:v>پس از تثبیت پایه‌ها؛ پروژه‌محور</x:v>
      </x:c>
      <x:c r="J487" s="39" t="str">
        <x:v>مشاور کسب‌وکار/بازار/مالی</x:v>
      </x:c>
      <x:c r="K487" s="39" t="str"/>
      <x:c r="L487" s="39" t="str">
        <x:v>AP:P318</x:v>
      </x:c>
      <x:c r="M487" s="39" t="str"/>
      <x:c r="N487" s="39" t="str">
        <x:v>نسخه پایه ۳۱۵۰</x:v>
      </x:c>
    </x:row>
    <x:row r="488" ht="34" customHeight="1">
      <x:c r="A488" s="34" t="str">
        <x:v>☐</x:v>
      </x:c>
      <x:c r="B488" s="34" t="str">
        <x:v>MI-0535</x:v>
      </x:c>
      <x:c r="C488" s="34" t="str">
        <x:v>M3 — کسب‌وکار، شبکه و زیست‌بوم نوآوری</x:v>
      </x:c>
      <x:c r="D488" s="34" t="str">
        <x:v>H8</x:v>
      </x:c>
      <x:c r="E488" s="34" t="str">
        <x:v>کسب‌وکار، فروش، بازاریابی و مالی</x:v>
      </x:c>
      <x:c r="F488" s="34" t="str">
        <x:v>P2</x:v>
      </x:c>
      <x:c r="G488" s="34" t="str">
        <x:v>یادداشت/تحلیل</x:v>
      </x:c>
      <x:c r="H488" s="39" t="str">
        <x:v>وجود یک صندوق انتقادات و پیشنهاداتو بررسی مرتب آن، باعث حفظ مشتریان و تبدیل آن ها به مشتریان ثابت می شود. این نظرات می تواند به شکل یک انتقاد از طعم و مزه یک وعده غذایی یامحیط و دکوراتیو رستوان باشد. همچنین برخی از مشتریان پیشنهاداتخود را نیز به شما برای افزودن غذا به منو غذایی رستوران خود یا تغییر و بهبوددکوراسیون رستوران می دهند. توجه به این نظرات و سعی در رفعکاستی ها باعث حفظ مشتریان شما می شود.</x:v>
      </x:c>
      <x:c r="I488" s="39" t="str">
        <x:v>پس از تثبیت پایه‌ها؛ پروژه‌محور</x:v>
      </x:c>
      <x:c r="J488" s="39" t="str">
        <x:v>مشاور کسب‌وکار/بازار/مالی</x:v>
      </x:c>
      <x:c r="K488" s="39" t="str"/>
      <x:c r="L488" s="39" t="str">
        <x:v>AP:P321</x:v>
      </x:c>
      <x:c r="M488" s="39" t="str"/>
      <x:c r="N488" s="39" t="str">
        <x:v>نسخه پایه ۳۱۵۰</x:v>
      </x:c>
    </x:row>
    <x:row r="489" ht="34" customHeight="1">
      <x:c r="A489" s="34" t="str">
        <x:v>☐</x:v>
      </x:c>
      <x:c r="B489" s="34" t="str">
        <x:v>MI-1625</x:v>
      </x:c>
      <x:c r="C489" s="34" t="str">
        <x:v>M3 — کسب‌وکار، شبکه و زیست‌بوم نوآوری</x:v>
      </x:c>
      <x:c r="D489" s="34" t="str">
        <x:v>H8</x:v>
      </x:c>
      <x:c r="E489" s="34" t="str">
        <x:v>کسب‌وکار، فروش، بازاریابی و مالی</x:v>
      </x:c>
      <x:c r="F489" s="34" t="str">
        <x:v>P2</x:v>
      </x:c>
      <x:c r="G489" s="34" t="str">
        <x:v>یادداشت/تحلیل</x:v>
      </x:c>
      <x:c r="H489" s="39" t="str">
        <x:v>میشه ارتباطش بدیم با اینکه یه کار آفرین خارجی پیدا کنیم صنایع خوب و مهم برای صادرات در مازندران نیاز به سرمایه گذاری بود بشه از طریق امتیازاتی چون اینکه کار افرین خارجی بیاد وسرمایه گذاری کنه و اینکه بشه از این امتیاز منطقه ازاد شدن مازندران استفاده کرد</x:v>
      </x:c>
      <x:c r="I489" s="39" t="str">
        <x:v>پس از تثبیت پایه‌ها؛ پروژه‌محور</x:v>
      </x:c>
      <x:c r="J489" s="39" t="str">
        <x:v>مشاور کسب‌وکار/بازار/مالی</x:v>
      </x:c>
      <x:c r="K489" s="39" t="str"/>
      <x:c r="L489" s="39" t="str">
        <x:v>E112:P85؛ E112:P1553؛ E112:P1865؛ E112:P2331</x:v>
      </x:c>
      <x:c r="M489" s="39" t="str"/>
      <x:c r="N489" s="39" t="str">
        <x:v>نسخه پایه ۳۱۵۰</x:v>
      </x:c>
    </x:row>
    <x:row r="490" ht="34" customHeight="1">
      <x:c r="A490" s="34" t="str">
        <x:v>☐</x:v>
      </x:c>
      <x:c r="B490" s="34" t="str">
        <x:v>MI-1626</x:v>
      </x:c>
      <x:c r="C490" s="34" t="str">
        <x:v>M3 — کسب‌وکار، شبکه و زیست‌بوم نوآوری</x:v>
      </x:c>
      <x:c r="D490" s="34" t="str">
        <x:v>H8</x:v>
      </x:c>
      <x:c r="E490" s="34" t="str">
        <x:v>کسب‌وکار، فروش، بازاریابی و مالی</x:v>
      </x:c>
      <x:c r="F490" s="34" t="str">
        <x:v>P2</x:v>
      </x:c>
      <x:c r="G490" s="34" t="str">
        <x:v>یادداشت/تحلیل</x:v>
      </x:c>
      <x:c r="H490" s="39" t="str">
        <x:v>بله، کاملاً می شود EiR را به جذب کارآفرین و سرمایه گذار خارجی وصل کرد. در واقع می توان آن را به یک مدل تبدیل کرد که هم انتقال تجربه کارآفرینی داشته باشد و هم سرمایه گذاری برای صادرات جذب کند. ایده اصلی این است:</x:v>
      </x:c>
      <x:c r="I490" s="39" t="str">
        <x:v>پس از تثبیت پایه‌ها؛ پروژه‌محور</x:v>
      </x:c>
      <x:c r="J490" s="39" t="str">
        <x:v>مشاور کسب‌وکار/بازار/مالی</x:v>
      </x:c>
      <x:c r="K490" s="39" t="str"/>
      <x:c r="L490" s="39" t="str">
        <x:v>E112:P86؛ E112:P1555؛ E112:P1866؛ E112:P2332</x:v>
      </x:c>
      <x:c r="M490" s="39" t="str"/>
      <x:c r="N490" s="39" t="str">
        <x:v>نسخه پایه ۳۱۵۰</x:v>
      </x:c>
    </x:row>
    <x:row r="491" ht="34" customHeight="1">
      <x:c r="A491" s="34" t="str">
        <x:v>☐</x:v>
      </x:c>
      <x:c r="B491" s="34" t="str">
        <x:v>MI-1751</x:v>
      </x:c>
      <x:c r="C491" s="34" t="str">
        <x:v>M3 — کسب‌وکار، شبکه و زیست‌بوم نوآوری</x:v>
      </x:c>
      <x:c r="D491" s="34" t="str">
        <x:v>H8</x:v>
      </x:c>
      <x:c r="E491" s="34" t="str">
        <x:v>کسب‌وکار، فروش، بازاریابی و مالی</x:v>
      </x:c>
      <x:c r="F491" s="34" t="str">
        <x:v>P2</x:v>
      </x:c>
      <x:c r="G491" s="34" t="str">
        <x:v>یادداشت/تحلیل</x:v>
      </x:c>
      <x:c r="H491" s="39" t="str">
        <x:v>تو اولین آیتم اکوسیستم را بگو (مثلاً: دانشگاه، جامعه آنلاین، استارتاپ، گروه دوستان، انجمن تخصصی، لینکدین، رویدادها، سرمایه گذارها و ...) و من همان را با این مدل تحلیل اکوسیستمی منابع انسانی باز می کنم و در آخر یک جمع بندی عملی می دهم.</x:v>
      </x:c>
      <x:c r="I491" s="39" t="str">
        <x:v>پس از تثبیت پایه‌ها؛ پروژه‌محور</x:v>
      </x:c>
      <x:c r="J491" s="39" t="str">
        <x:v>مشاور کسب‌وکار/بازار/مالی</x:v>
      </x:c>
      <x:c r="K491" s="39" t="str"/>
      <x:c r="L491" s="39" t="str">
        <x:v>E112:P232</x:v>
      </x:c>
      <x:c r="M491" s="39" t="str"/>
      <x:c r="N491" s="39" t="str">
        <x:v>نسخه پایه ۳۱۵۰</x:v>
      </x:c>
    </x:row>
    <x:row r="492" ht="34" customHeight="1">
      <x:c r="A492" s="34" t="str">
        <x:v>☐</x:v>
      </x:c>
      <x:c r="B492" s="34" t="str">
        <x:v>MI-0538</x:v>
      </x:c>
      <x:c r="C492" s="34" t="str">
        <x:v>M3 — کسب‌وکار، شبکه و زیست‌بوم نوآوری</x:v>
      </x:c>
      <x:c r="D492" s="34" t="str">
        <x:v>H8</x:v>
      </x:c>
      <x:c r="E492" s="34" t="str">
        <x:v>کسب‌وکار، فروش، بازاریابی و مالی</x:v>
      </x:c>
      <x:c r="F492" s="34" t="str">
        <x:v>BANK</x:v>
      </x:c>
      <x:c r="G492" s="34" t="str">
        <x:v>مطالعه/منبع</x:v>
      </x:c>
      <x:c r="H492" s="39" t="str">
        <x:v>در چندین سال اخیر سایت های مختلفیبرای سفارش آنلاین غذا تاسیس شده اند که برخی از آن ها در این راه بسیار موفقعمل کرده اند. همکاری با این سایت ها یااپلیکیشن ها باعث بیشتر دیده شدن می شود و همچنین میزان فروش شما را افزایشمی دهید. همچنین از این طریق موفق به جذب مشتری می شوید. اسنپ فود نمونه ای از این سایت های است که در بین افراد مختلف مجوبیتزیادی دارد.</x:v>
      </x:c>
      <x:c r="I492" s="39" t="str">
        <x:v>بانک مطالعه؛ سقف زمانی</x:v>
      </x:c>
      <x:c r="J492" s="39" t="str">
        <x:v>مشاور کسب‌وکار/بازار/مالی</x:v>
      </x:c>
      <x:c r="K492" s="39" t="str"/>
      <x:c r="L492" s="39" t="str">
        <x:v>AP:P324</x:v>
      </x:c>
      <x:c r="M492" s="39" t="str"/>
      <x:c r="N492" s="39" t="str">
        <x:v>نسخه پایه ۳۱۵۰</x:v>
      </x:c>
    </x:row>
    <x:row r="493" ht="34" customHeight="1">
      <x:c r="A493" s="34" t="str">
        <x:v>☐</x:v>
      </x:c>
      <x:c r="B493" s="34" t="str">
        <x:v>MI-0219</x:v>
      </x:c>
      <x:c r="C493" s="34" t="str">
        <x:v>M2 — تحصیل، مسیر شغلی و توانمندی حرفه‌ای</x:v>
      </x:c>
      <x:c r="D493" s="34" t="str">
        <x:v>H9</x:v>
      </x:c>
      <x:c r="E493" s="34" t="str">
        <x:v>پژوهش، نوآوری و دانش فنی</x:v>
      </x:c>
      <x:c r="F493" s="34" t="str">
        <x:v>P2</x:v>
      </x:c>
      <x:c r="G493" s="34" t="str">
        <x:v>پروژه/طرح</x:v>
      </x:c>
      <x:c r="H493" s="39" t="str">
        <x:v>طرحها و پروژههای علمی/کاربردی</x:v>
      </x:c>
      <x:c r="I493" s="39" t="str">
        <x:v>پس از تثبیت پایه‌ها؛ پروژه‌محور</x:v>
      </x:c>
      <x:c r="J493" s="39" t="str">
        <x:v>منتور پژوهش/R&amp;D</x:v>
      </x:c>
      <x:c r="K493" s="39" t="str"/>
      <x:c r="L493" s="39" t="str">
        <x:v>PL:R318</x:v>
      </x:c>
      <x:c r="M493" s="39" t="str"/>
      <x:c r="N493" s="39" t="str">
        <x:v>نسخه پایه ۳۱۵۰</x:v>
      </x:c>
    </x:row>
    <x:row r="494" ht="34" customHeight="1">
      <x:c r="A494" s="34" t="str">
        <x:v>☐</x:v>
      </x:c>
      <x:c r="B494" s="34" t="str">
        <x:v>MI-1212</x:v>
      </x:c>
      <x:c r="C494" s="34" t="str">
        <x:v>M2 — تحصیل، مسیر شغلی و توانمندی حرفه‌ای</x:v>
      </x:c>
      <x:c r="D494" s="34" t="str">
        <x:v>H9</x:v>
      </x:c>
      <x:c r="E494" s="34" t="str">
        <x:v>پژوهش، نوآوری و دانش فنی</x:v>
      </x:c>
      <x:c r="F494" s="34" t="str">
        <x:v>P2</x:v>
      </x:c>
      <x:c r="G494" s="34" t="str">
        <x:v>پروژه/طرح</x:v>
      </x:c>
      <x:c r="H494" s="39" t="str">
        <x:v>پروپوزال ها</x:v>
      </x:c>
      <x:c r="I494" s="39" t="str">
        <x:v>پس از تثبیت پایه‌ها؛ پروژه‌محور</x:v>
      </x:c>
      <x:c r="J494" s="39" t="str">
        <x:v>منتور پژوهش/R&amp;D</x:v>
      </x:c>
      <x:c r="K494" s="39" t="str"/>
      <x:c r="L494" s="39" t="str">
        <x:v>AP:P1075</x:v>
      </x:c>
      <x:c r="M494" s="39" t="str"/>
      <x:c r="N494" s="39" t="str">
        <x:v>نسخه پایه ۳۱۵۰</x:v>
      </x:c>
    </x:row>
    <x:row r="495" ht="34" customHeight="1">
      <x:c r="A495" s="34" t="str">
        <x:v>☐</x:v>
      </x:c>
      <x:c r="B495" s="34" t="str">
        <x:v>MI-1214</x:v>
      </x:c>
      <x:c r="C495" s="34" t="str">
        <x:v>M2 — تحصیل، مسیر شغلی و توانمندی حرفه‌ای</x:v>
      </x:c>
      <x:c r="D495" s="34" t="str">
        <x:v>H9</x:v>
      </x:c>
      <x:c r="E495" s="34" t="str">
        <x:v>پژوهش، نوآوری و دانش فنی</x:v>
      </x:c>
      <x:c r="F495" s="34" t="str">
        <x:v>P2</x:v>
      </x:c>
      <x:c r="G495" s="34" t="str">
        <x:v>پروژه/طرح</x:v>
      </x:c>
      <x:c r="H495" s="39" t="str">
        <x:v>پروپوزال حیدری برای جام هوایی</x:v>
      </x:c>
      <x:c r="I495" s="39" t="str">
        <x:v>پس از تثبیت پایه‌ها؛ پروژه‌محور</x:v>
      </x:c>
      <x:c r="J495" s="39" t="str">
        <x:v>منتور پژوهش/R&amp;D</x:v>
      </x:c>
      <x:c r="K495" s="39" t="str"/>
      <x:c r="L495" s="39" t="str">
        <x:v>AP:P1077</x:v>
      </x:c>
      <x:c r="M495" s="39" t="str"/>
      <x:c r="N495" s="39" t="str">
        <x:v>نسخه پایه ۳۱۵۰</x:v>
      </x:c>
    </x:row>
    <x:row r="496" ht="34" customHeight="1">
      <x:c r="A496" s="34" t="str">
        <x:v>☐</x:v>
      </x:c>
      <x:c r="B496" s="34" t="str">
        <x:v>MI-1966</x:v>
      </x:c>
      <x:c r="C496" s="34" t="str">
        <x:v>M2 — تحصیل، مسیر شغلی و توانمندی حرفه‌ای</x:v>
      </x:c>
      <x:c r="D496" s="34" t="str">
        <x:v>H9</x:v>
      </x:c>
      <x:c r="E496" s="34" t="str">
        <x:v>پژوهش، نوآوری و دانش فنی</x:v>
      </x:c>
      <x:c r="F496" s="34" t="str">
        <x:v>P2</x:v>
      </x:c>
      <x:c r="G496" s="34" t="str">
        <x:v>پروژه/طرح</x:v>
      </x:c>
      <x:c r="H496" s="39" t="str">
        <x:v>پروژه های تحقیقاتی</x:v>
      </x:c>
      <x:c r="I496" s="39" t="str">
        <x:v>پس از تثبیت پایه‌ها؛ پروژه‌محور</x:v>
      </x:c>
      <x:c r="J496" s="39" t="str">
        <x:v>منتور پژوهش/R&amp;D</x:v>
      </x:c>
      <x:c r="K496" s="39" t="str"/>
      <x:c r="L496" s="39" t="str">
        <x:v>E112:P591؛ E112:P778</x:v>
      </x:c>
      <x:c r="M496" s="39" t="str"/>
      <x:c r="N496" s="39" t="str">
        <x:v>نسخه پایه ۳۱۵۰</x:v>
      </x:c>
    </x:row>
    <x:row r="497" ht="34" customHeight="1">
      <x:c r="A497" s="34" t="str">
        <x:v>☐</x:v>
      </x:c>
      <x:c r="B497" s="34" t="str">
        <x:v>MI-2695</x:v>
      </x:c>
      <x:c r="C497" s="34" t="str">
        <x:v>M2 — تحصیل، مسیر شغلی و توانمندی حرفه‌ای</x:v>
      </x:c>
      <x:c r="D497" s="34" t="str">
        <x:v>H9</x:v>
      </x:c>
      <x:c r="E497" s="34" t="str">
        <x:v>پژوهش، نوآوری و دانش فنی</x:v>
      </x:c>
      <x:c r="F497" s="34" t="str">
        <x:v>P2</x:v>
      </x:c>
      <x:c r="G497" s="34" t="str">
        <x:v>پروژه/طرح</x:v>
      </x:c>
      <x:c r="H497" s="39" t="str">
        <x:v>پروژه های علمی</x:v>
      </x:c>
      <x:c r="I497" s="39" t="str">
        <x:v>پس از تثبیت پایه‌ها؛ پروژه‌محور</x:v>
      </x:c>
      <x:c r="J497" s="39" t="str">
        <x:v>منتور پژوهش/R&amp;D</x:v>
      </x:c>
      <x:c r="K497" s="39" t="str"/>
      <x:c r="L497" s="39" t="str">
        <x:v>E112:P2667</x:v>
      </x:c>
      <x:c r="M497" s="39" t="str"/>
      <x:c r="N497" s="39" t="str">
        <x:v>نسخه پایه ۳۱۵۰</x:v>
      </x:c>
    </x:row>
    <x:row r="498" ht="34" customHeight="1">
      <x:c r="A498" s="34" t="str">
        <x:v>☐</x:v>
      </x:c>
      <x:c r="B498" s="34" t="str">
        <x:v>MI-0659</x:v>
      </x:c>
      <x:c r="C498" s="34" t="str">
        <x:v>M2 — تحصیل، مسیر شغلی و توانمندی حرفه‌ای</x:v>
      </x:c>
      <x:c r="D498" s="34" t="str">
        <x:v>H9</x:v>
      </x:c>
      <x:c r="E498" s="34" t="str">
        <x:v>پژوهش، نوآوری و دانش فنی</x:v>
      </x:c>
      <x:c r="F498" s="34" t="str">
        <x:v>P2</x:v>
      </x:c>
      <x:c r="G498" s="34" t="str">
        <x:v>مهارت/یادگیری</x:v>
      </x:c>
      <x:c r="H498" s="39" t="str">
        <x:v>تدوین و آموزش فنی و فیلم ها و کارگاه ها متناسب با rfp</x:v>
      </x:c>
      <x:c r="I498" s="39" t="str">
        <x:v>پس از تثبیت پایه‌ها؛ پروژه‌محور</x:v>
      </x:c>
      <x:c r="J498" s="39" t="str">
        <x:v>منتور پژوهش/R&amp;D</x:v>
      </x:c>
      <x:c r="K498" s="39" t="str"/>
      <x:c r="L498" s="39" t="str">
        <x:v>AP:P448</x:v>
      </x:c>
      <x:c r="M498" s="39" t="str"/>
      <x:c r="N498" s="39" t="str">
        <x:v>نسخه پایه ۳۱۵۰</x:v>
      </x:c>
    </x:row>
    <x:row r="499" ht="34" customHeight="1">
      <x:c r="A499" s="34" t="str">
        <x:v>☐</x:v>
      </x:c>
      <x:c r="B499" s="34" t="str">
        <x:v>MI-1040</x:v>
      </x:c>
      <x:c r="C499" s="34" t="str">
        <x:v>M2 — تحصیل، مسیر شغلی و توانمندی حرفه‌ای</x:v>
      </x:c>
      <x:c r="D499" s="34" t="str">
        <x:v>H9</x:v>
      </x:c>
      <x:c r="E499" s="34" t="str">
        <x:v>پژوهش، نوآوری و دانش فنی</x:v>
      </x:c>
      <x:c r="F499" s="34" t="str">
        <x:v>P2</x:v>
      </x:c>
      <x:c r="G499" s="34" t="str">
        <x:v>مهارت/یادگیری</x:v>
      </x:c>
      <x:c r="H499" s="39" t="str">
        <x:v>بازدید علمی تخصصی جهت ایجاد بستر مناسب آشنایی بیشتر صنعتی با محیط در در صورت صلاحدید جذب پروژه</x:v>
      </x:c>
      <x:c r="I499" s="39" t="str">
        <x:v>پس از تثبیت پایه‌ها؛ پروژه‌محور</x:v>
      </x:c>
      <x:c r="J499" s="39" t="str">
        <x:v>منتور پژوهش/R&amp;D</x:v>
      </x:c>
      <x:c r="K499" s="39" t="str"/>
      <x:c r="L499" s="39" t="str">
        <x:v>AP:P881</x:v>
      </x:c>
      <x:c r="M499" s="39" t="str"/>
      <x:c r="N499" s="39" t="str">
        <x:v>نسخه پایه ۳۱۵۰</x:v>
      </x:c>
    </x:row>
    <x:row r="500" ht="34" customHeight="1">
      <x:c r="A500" s="34" t="str">
        <x:v>☐</x:v>
      </x:c>
      <x:c r="B500" s="34" t="str">
        <x:v>MI-1471</x:v>
      </x:c>
      <x:c r="C500" s="34" t="str">
        <x:v>M2 — تحصیل، مسیر شغلی و توانمندی حرفه‌ای</x:v>
      </x:c>
      <x:c r="D500" s="34" t="str">
        <x:v>H9</x:v>
      </x:c>
      <x:c r="E500" s="34" t="str">
        <x:v>پژوهش، نوآوری و دانش فنی</x:v>
      </x:c>
      <x:c r="F500" s="34" t="str">
        <x:v>P2</x:v>
      </x:c>
      <x:c r="G500" s="34" t="str">
        <x:v>مهارت/یادگیری</x:v>
      </x:c>
      <x:c r="H500" s="39" t="str">
        <x:v>تحقیق و پژوهش</x:v>
      </x:c>
      <x:c r="I500" s="39" t="str">
        <x:v>پس از تثبیت پایه‌ها؛ پروژه‌محور</x:v>
      </x:c>
      <x:c r="J500" s="39" t="str">
        <x:v>منتور پژوهش/R&amp;D</x:v>
      </x:c>
      <x:c r="K500" s="39" t="str"/>
      <x:c r="L500" s="39" t="str">
        <x:v>AP:P1400</x:v>
      </x:c>
      <x:c r="M500" s="39" t="str"/>
      <x:c r="N500" s="39" t="str">
        <x:v>نسخه پایه ۳۱۵۰</x:v>
      </x:c>
    </x:row>
    <x:row r="501" ht="34" customHeight="1">
      <x:c r="A501" s="34" t="str">
        <x:v>☐</x:v>
      </x:c>
      <x:c r="B501" s="34" t="str">
        <x:v>MI-1579</x:v>
      </x:c>
      <x:c r="C501" s="34" t="str">
        <x:v>M2 — تحصیل، مسیر شغلی و توانمندی حرفه‌ای</x:v>
      </x:c>
      <x:c r="D501" s="34" t="str">
        <x:v>H9</x:v>
      </x:c>
      <x:c r="E501" s="34" t="str">
        <x:v>پژوهش، نوآوری و دانش فنی</x:v>
      </x:c>
      <x:c r="F501" s="34" t="str">
        <x:v>P2</x:v>
      </x:c>
      <x:c r="G501" s="34" t="str">
        <x:v>مهارت/یادگیری</x:v>
      </x:c>
      <x:c r="H501" s="39" t="str">
        <x:v>کمپ ها یا اردوگاه های علم و فناوری میتونه مناسبتی باشه یعنی جایی رو برای یک دوره یادگیری مهارت یا علمی یا حتی انجام پروژه هایی که به صورت میدانی باید در جایی انجام بشن یا نیاز به تحقیقات میدانی و جمع اوری اون ها هست یا کمپ های آموزشی و... رو میشه در این بستر مهیا کرد مخصوصا که مازندران در این زمینه پتانسیل زیادی داره برای این بستر ها</x:v>
      </x:c>
      <x:c r="I501" s="39" t="str">
        <x:v>پس از تثبیت پایه‌ها؛ پروژه‌محور</x:v>
      </x:c>
      <x:c r="J501" s="39" t="str">
        <x:v>منتور پژوهش/R&amp;D</x:v>
      </x:c>
      <x:c r="K501" s="39" t="str"/>
      <x:c r="L501" s="39" t="str">
        <x:v>E112:P15؛ E112:P1795؛ E112:P2261</x:v>
      </x:c>
      <x:c r="M501" s="39" t="str"/>
      <x:c r="N501" s="39" t="str">
        <x:v>نسخه پایه ۳۱۵۰</x:v>
      </x:c>
    </x:row>
    <x:row r="502" ht="34" customHeight="1">
      <x:c r="A502" s="34" t="str">
        <x:v>☐</x:v>
      </x:c>
      <x:c r="B502" s="34" t="str">
        <x:v>MI-0150</x:v>
      </x:c>
      <x:c r="C502" s="34" t="str">
        <x:v>M2 — تحصیل، مسیر شغلی و توانمندی حرفه‌ای</x:v>
      </x:c>
      <x:c r="D502" s="34" t="str">
        <x:v>H9</x:v>
      </x:c>
      <x:c r="E502" s="34" t="str">
        <x:v>پژوهش، نوآوری و دانش فنی</x:v>
      </x:c>
      <x:c r="F502" s="34" t="str">
        <x:v>P2</x:v>
      </x:c>
      <x:c r="G502" s="34" t="str">
        <x:v>هدف/موضوع</x:v>
      </x:c>
      <x:c r="H502" s="39" t="str">
        <x:v>نحقیق و پژوهش</x:v>
      </x:c>
      <x:c r="I502" s="39" t="str">
        <x:v>پس از تثبیت پایه‌ها؛ پروژه‌محور</x:v>
      </x:c>
      <x:c r="J502" s="39" t="str">
        <x:v>منتور پژوهش/R&amp;D</x:v>
      </x:c>
      <x:c r="K502" s="39" t="str"/>
      <x:c r="L502" s="39" t="str">
        <x:v>PL:R154</x:v>
      </x:c>
      <x:c r="M502" s="39" t="str"/>
      <x:c r="N502" s="39" t="str">
        <x:v>نسخه پایه ۳۱۵۰</x:v>
      </x:c>
    </x:row>
    <x:row r="503" ht="34" customHeight="1">
      <x:c r="A503" s="34" t="str">
        <x:v>☐</x:v>
      </x:c>
      <x:c r="B503" s="34" t="str">
        <x:v>MI-0188</x:v>
      </x:c>
      <x:c r="C503" s="34" t="str">
        <x:v>M2 — تحصیل، مسیر شغلی و توانمندی حرفه‌ای</x:v>
      </x:c>
      <x:c r="D503" s="34" t="str">
        <x:v>H9</x:v>
      </x:c>
      <x:c r="E503" s="34" t="str">
        <x:v>پژوهش، نوآوری و دانش فنی</x:v>
      </x:c>
      <x:c r="F503" s="34" t="str">
        <x:v>P2</x:v>
      </x:c>
      <x:c r="G503" s="34" t="str">
        <x:v>هدف/موضوع</x:v>
      </x:c>
      <x:c r="H503" s="39" t="str">
        <x:v>ریسرچری مبتنی بر PUBMED / گوگل اسکولار / ساینس دایرکت / SCOPUS</x:v>
      </x:c>
      <x:c r="I503" s="39" t="str">
        <x:v>پس از تثبیت پایه‌ها؛ پروژه‌محور</x:v>
      </x:c>
      <x:c r="J503" s="39" t="str">
        <x:v>منتور پژوهش/R&amp;D</x:v>
      </x:c>
      <x:c r="K503" s="39" t="str"/>
      <x:c r="L503" s="39" t="str">
        <x:v>PL:R193</x:v>
      </x:c>
      <x:c r="M503" s="39" t="str"/>
      <x:c r="N503" s="39" t="str">
        <x:v>نسخه پایه ۳۱۵۰</x:v>
      </x:c>
    </x:row>
    <x:row r="504" ht="34" customHeight="1">
      <x:c r="A504" s="34" t="str">
        <x:v>☐</x:v>
      </x:c>
      <x:c r="B504" s="34" t="str">
        <x:v>MI-0658</x:v>
      </x:c>
      <x:c r="C504" s="34" t="str">
        <x:v>M2 — تحصیل، مسیر شغلی و توانمندی حرفه‌ای</x:v>
      </x:c>
      <x:c r="D504" s="34" t="str">
        <x:v>H9</x:v>
      </x:c>
      <x:c r="E504" s="34" t="str">
        <x:v>پژوهش، نوآوری و دانش فنی</x:v>
      </x:c>
      <x:c r="F504" s="34" t="str">
        <x:v>P2</x:v>
      </x:c>
      <x:c r="G504" s="34" t="str">
        <x:v>هدف/موضوع</x:v>
      </x:c>
      <x:c r="H504" s="39" t="str">
        <x:v>اساتیدی که بشه کاری باشن و باهاشون کار کرد و لینک کردن فرد برای اینکه بتونه rfp بزنه</x:v>
      </x:c>
      <x:c r="I504" s="39" t="str">
        <x:v>پس از تثبیت پایه‌ها؛ پروژه‌محور</x:v>
      </x:c>
      <x:c r="J504" s="39" t="str">
        <x:v>منتور پژوهش/R&amp;D</x:v>
      </x:c>
      <x:c r="K504" s="39" t="str"/>
      <x:c r="L504" s="39" t="str">
        <x:v>AP:P447</x:v>
      </x:c>
      <x:c r="M504" s="39" t="str"/>
      <x:c r="N504" s="39" t="str">
        <x:v>نسخه پایه ۳۱۵۰</x:v>
      </x:c>
    </x:row>
    <x:row r="505" ht="34" customHeight="1">
      <x:c r="A505" s="34" t="str">
        <x:v>☐</x:v>
      </x:c>
      <x:c r="B505" s="34" t="str">
        <x:v>MI-0660</x:v>
      </x:c>
      <x:c r="C505" s="34" t="str">
        <x:v>M2 — تحصیل، مسیر شغلی و توانمندی حرفه‌ای</x:v>
      </x:c>
      <x:c r="D505" s="34" t="str">
        <x:v>H9</x:v>
      </x:c>
      <x:c r="E505" s="34" t="str">
        <x:v>پژوهش، نوآوری و دانش فنی</x:v>
      </x:c>
      <x:c r="F505" s="34" t="str">
        <x:v>P2</x:v>
      </x:c>
      <x:c r="G505" s="34" t="str">
        <x:v>هدف/موضوع</x:v>
      </x:c>
      <x:c r="H505" s="39" t="str">
        <x:v>باگ rfp ها</x:v>
      </x:c>
      <x:c r="I505" s="39" t="str">
        <x:v>پس از تثبیت پایه‌ها؛ پروژه‌محور</x:v>
      </x:c>
      <x:c r="J505" s="39" t="str">
        <x:v>منتور پژوهش/R&amp;D</x:v>
      </x:c>
      <x:c r="K505" s="39" t="str"/>
      <x:c r="L505" s="39" t="str">
        <x:v>AP:P449</x:v>
      </x:c>
      <x:c r="M505" s="39" t="str"/>
      <x:c r="N505" s="39" t="str">
        <x:v>نسخه پایه ۳۱۵۰</x:v>
      </x:c>
    </x:row>
    <x:row r="506" ht="34" customHeight="1">
      <x:c r="A506" s="34" t="str">
        <x:v>☐</x:v>
      </x:c>
      <x:c r="B506" s="34" t="str">
        <x:v>MI-1039</x:v>
      </x:c>
      <x:c r="C506" s="34" t="str">
        <x:v>M2 — تحصیل، مسیر شغلی و توانمندی حرفه‌ای</x:v>
      </x:c>
      <x:c r="D506" s="34" t="str">
        <x:v>H9</x:v>
      </x:c>
      <x:c r="E506" s="34" t="str">
        <x:v>پژوهش، نوآوری و دانش فنی</x:v>
      </x:c>
      <x:c r="F506" s="34" t="str">
        <x:v>P2</x:v>
      </x:c>
      <x:c r="G506" s="34" t="str">
        <x:v>هدف/موضوع</x:v>
      </x:c>
      <x:c r="H506" s="39" t="str">
        <x:v>جذب سهمیه کارآموزی در اثنای بازدید علمی</x:v>
      </x:c>
      <x:c r="I506" s="39" t="str">
        <x:v>پس از تثبیت پایه‌ها؛ پروژه‌محور</x:v>
      </x:c>
      <x:c r="J506" s="39" t="str">
        <x:v>منتور پژوهش/R&amp;D</x:v>
      </x:c>
      <x:c r="K506" s="39" t="str"/>
      <x:c r="L506" s="39" t="str">
        <x:v>AP:P880</x:v>
      </x:c>
      <x:c r="M506" s="39" t="str"/>
      <x:c r="N506" s="39" t="str">
        <x:v>نسخه پایه ۳۱۵۰</x:v>
      </x:c>
    </x:row>
    <x:row r="507" ht="34" customHeight="1">
      <x:c r="A507" s="34" t="str">
        <x:v>☐</x:v>
      </x:c>
      <x:c r="B507" s="34" t="str">
        <x:v>MI-1042</x:v>
      </x:c>
      <x:c r="C507" s="34" t="str">
        <x:v>M2 — تحصیل، مسیر شغلی و توانمندی حرفه‌ای</x:v>
      </x:c>
      <x:c r="D507" s="34" t="str">
        <x:v>H9</x:v>
      </x:c>
      <x:c r="E507" s="34" t="str">
        <x:v>پژوهش، نوآوری و دانش فنی</x:v>
      </x:c>
      <x:c r="F507" s="34" t="str">
        <x:v>P2</x:v>
      </x:c>
      <x:c r="G507" s="34" t="str">
        <x:v>هدف/موضوع</x:v>
      </x:c>
      <x:c r="H507" s="39" t="str">
        <x:v>ترغیب حضور اساتید در بازدید علمی</x:v>
      </x:c>
      <x:c r="I507" s="39" t="str">
        <x:v>پس از تثبیت پایه‌ها؛ پروژه‌محور</x:v>
      </x:c>
      <x:c r="J507" s="39" t="str">
        <x:v>منتور پژوهش/R&amp;D</x:v>
      </x:c>
      <x:c r="K507" s="39" t="str"/>
      <x:c r="L507" s="39" t="str">
        <x:v>AP:P883</x:v>
      </x:c>
      <x:c r="M507" s="39" t="str"/>
      <x:c r="N507" s="39" t="str">
        <x:v>نسخه پایه ۳۱۵۰</x:v>
      </x:c>
    </x:row>
    <x:row r="508" ht="34" customHeight="1">
      <x:c r="A508" s="34" t="str">
        <x:v>☐</x:v>
      </x:c>
      <x:c r="B508" s="34" t="str">
        <x:v>MI-1547</x:v>
      </x:c>
      <x:c r="C508" s="34" t="str">
        <x:v>M2 — تحصیل، مسیر شغلی و توانمندی حرفه‌ای</x:v>
      </x:c>
      <x:c r="D508" s="34" t="str">
        <x:v>H9</x:v>
      </x:c>
      <x:c r="E508" s="34" t="str">
        <x:v>پژوهش، نوآوری و دانش فنی</x:v>
      </x:c>
      <x:c r="F508" s="34" t="str">
        <x:v>P2</x:v>
      </x:c>
      <x:c r="G508" s="34" t="str">
        <x:v>هدف/موضوع</x:v>
      </x:c>
      <x:c r="H508" s="39" t="str">
        <x:v>جهادی علمی و تربیتی</x:v>
      </x:c>
      <x:c r="I508" s="39" t="str">
        <x:v>پس از تثبیت پایه‌ها؛ پروژه‌محور</x:v>
      </x:c>
      <x:c r="J508" s="39" t="str">
        <x:v>منتور پژوهش/R&amp;D</x:v>
      </x:c>
      <x:c r="K508" s="39" t="str"/>
      <x:c r="L508" s="39" t="str">
        <x:v>AP:P1531</x:v>
      </x:c>
      <x:c r="M508" s="39" t="str"/>
      <x:c r="N508" s="39" t="str">
        <x:v>نسخه پایه ۳۱۵۰</x:v>
      </x:c>
    </x:row>
    <x:row r="509" ht="34" customHeight="1">
      <x:c r="A509" s="34" t="str">
        <x:v>☐</x:v>
      </x:c>
      <x:c r="B509" s="34" t="str">
        <x:v>MI-1563</x:v>
      </x:c>
      <x:c r="C509" s="34" t="str">
        <x:v>M2 — تحصیل، مسیر شغلی و توانمندی حرفه‌ای</x:v>
      </x:c>
      <x:c r="D509" s="34" t="str">
        <x:v>H9</x:v>
      </x:c>
      <x:c r="E509" s="34" t="str">
        <x:v>پژوهش، نوآوری و دانش فنی</x:v>
      </x:c>
      <x:c r="F509" s="34" t="str">
        <x:v>P2</x:v>
      </x:c>
      <x:c r="G509" s="34" t="str">
        <x:v>هدف/موضوع</x:v>
      </x:c>
      <x:c r="H509" s="39" t="str">
        <x:v>جهاد علمی</x:v>
      </x:c>
      <x:c r="I509" s="39" t="str">
        <x:v>پس از تثبیت پایه‌ها؛ پروژه‌محور</x:v>
      </x:c>
      <x:c r="J509" s="39" t="str">
        <x:v>منتور پژوهش/R&amp;D</x:v>
      </x:c>
      <x:c r="K509" s="39" t="str"/>
      <x:c r="L509" s="39" t="str">
        <x:v>AP:P1551</x:v>
      </x:c>
      <x:c r="M509" s="39" t="str"/>
      <x:c r="N509" s="39" t="str">
        <x:v>نسخه پایه ۳۱۵۰</x:v>
      </x:c>
    </x:row>
    <x:row r="510" ht="34" customHeight="1">
      <x:c r="A510" s="34" t="str">
        <x:v>☐</x:v>
      </x:c>
      <x:c r="B510" s="34" t="str">
        <x:v>MI-1792</x:v>
      </x:c>
      <x:c r="C510" s="34" t="str">
        <x:v>M2 — تحصیل، مسیر شغلی و توانمندی حرفه‌ای</x:v>
      </x:c>
      <x:c r="D510" s="34" t="str">
        <x:v>H9</x:v>
      </x:c>
      <x:c r="E510" s="34" t="str">
        <x:v>پژوهش، نوآوری و دانش فنی</x:v>
      </x:c>
      <x:c r="F510" s="34" t="str">
        <x:v>P2</x:v>
      </x:c>
      <x:c r="G510" s="34" t="str">
        <x:v>هدف/موضوع</x:v>
      </x:c>
      <x:c r="H510" s="39" t="str">
        <x:v>آزمایشگاه ها</x:v>
      </x:c>
      <x:c r="I510" s="39" t="str">
        <x:v>پس از تثبیت پایه‌ها؛ پروژه‌محور</x:v>
      </x:c>
      <x:c r="J510" s="39" t="str">
        <x:v>منتور پژوهش/R&amp;D</x:v>
      </x:c>
      <x:c r="K510" s="39" t="str"/>
      <x:c r="L510" s="39" t="str">
        <x:v>E112:P297؛ E112:P780</x:v>
      </x:c>
      <x:c r="M510" s="39" t="str"/>
      <x:c r="N510" s="39" t="str">
        <x:v>نسخه پایه ۳۱۵۰</x:v>
      </x:c>
    </x:row>
    <x:row r="511" ht="34" customHeight="1">
      <x:c r="A511" s="34" t="str">
        <x:v>☐</x:v>
      </x:c>
      <x:c r="B511" s="34" t="str">
        <x:v>MI-1793</x:v>
      </x:c>
      <x:c r="C511" s="34" t="str">
        <x:v>M2 — تحصیل، مسیر شغلی و توانمندی حرفه‌ای</x:v>
      </x:c>
      <x:c r="D511" s="34" t="str">
        <x:v>H9</x:v>
      </x:c>
      <x:c r="E511" s="34" t="str">
        <x:v>پژوهش، نوآوری و دانش فنی</x:v>
      </x:c>
      <x:c r="F511" s="34" t="str">
        <x:v>P2</x:v>
      </x:c>
      <x:c r="G511" s="34" t="str">
        <x:v>هدف/موضوع</x:v>
      </x:c>
      <x:c r="H511" s="39" t="str">
        <x:v>مراکز تحقیقاتی</x:v>
      </x:c>
      <x:c r="I511" s="39" t="str">
        <x:v>پس از تثبیت پایه‌ها؛ پروژه‌محور</x:v>
      </x:c>
      <x:c r="J511" s="39" t="str">
        <x:v>منتور پژوهش/R&amp;D</x:v>
      </x:c>
      <x:c r="K511" s="39" t="str"/>
      <x:c r="L511" s="39" t="str">
        <x:v>E112:P298</x:v>
      </x:c>
      <x:c r="M511" s="39" t="str"/>
      <x:c r="N511" s="39" t="str">
        <x:v>نسخه پایه ۳۱۵۰</x:v>
      </x:c>
    </x:row>
    <x:row r="512" ht="34" customHeight="1">
      <x:c r="A512" s="34" t="str">
        <x:v>☐</x:v>
      </x:c>
      <x:c r="B512" s="34" t="str">
        <x:v>MI-1795</x:v>
      </x:c>
      <x:c r="C512" s="34" t="str">
        <x:v>M2 — تحصیل، مسیر شغلی و توانمندی حرفه‌ای</x:v>
      </x:c>
      <x:c r="D512" s="34" t="str">
        <x:v>H9</x:v>
      </x:c>
      <x:c r="E512" s="34" t="str">
        <x:v>پژوهش، نوآوری و دانش فنی</x:v>
      </x:c>
      <x:c r="F512" s="34" t="str">
        <x:v>P2</x:v>
      </x:c>
      <x:c r="G512" s="34" t="str">
        <x:v>هدف/موضوع</x:v>
      </x:c>
      <x:c r="H512" s="39" t="str">
        <x:v>گروه های پژوهشی</x:v>
      </x:c>
      <x:c r="I512" s="39" t="str">
        <x:v>پس از تثبیت پایه‌ها؛ پروژه‌محور</x:v>
      </x:c>
      <x:c r="J512" s="39" t="str">
        <x:v>منتور پژوهش/R&amp;D</x:v>
      </x:c>
      <x:c r="K512" s="39" t="str"/>
      <x:c r="L512" s="39" t="str">
        <x:v>E112:P303</x:v>
      </x:c>
      <x:c r="M512" s="39" t="str"/>
      <x:c r="N512" s="39" t="str">
        <x:v>نسخه پایه ۳۱۵۰</x:v>
      </x:c>
    </x:row>
    <x:row r="513" ht="34" customHeight="1">
      <x:c r="A513" s="34" t="str">
        <x:v>☐</x:v>
      </x:c>
      <x:c r="B513" s="34" t="str">
        <x:v>MI-1797</x:v>
      </x:c>
      <x:c r="C513" s="34" t="str">
        <x:v>M2 — تحصیل، مسیر شغلی و توانمندی حرفه‌ای</x:v>
      </x:c>
      <x:c r="D513" s="34" t="str">
        <x:v>H9</x:v>
      </x:c>
      <x:c r="E513" s="34" t="str">
        <x:v>پژوهش، نوآوری و دانش فنی</x:v>
      </x:c>
      <x:c r="F513" s="34" t="str">
        <x:v>P2</x:v>
      </x:c>
      <x:c r="G513" s="34" t="str">
        <x:v>هدف/موضوع</x:v>
      </x:c>
      <x:c r="H513" s="39" t="str">
        <x:v>هاب های تحقیقاتی</x:v>
      </x:c>
      <x:c r="I513" s="39" t="str">
        <x:v>پس از تثبیت پایه‌ها؛ پروژه‌محور</x:v>
      </x:c>
      <x:c r="J513" s="39" t="str">
        <x:v>منتور پژوهش/R&amp;D</x:v>
      </x:c>
      <x:c r="K513" s="39" t="str"/>
      <x:c r="L513" s="39" t="str">
        <x:v>E112:P305</x:v>
      </x:c>
      <x:c r="M513" s="39" t="str"/>
      <x:c r="N513" s="39" t="str">
        <x:v>نسخه پایه ۳۱۵۰</x:v>
      </x:c>
    </x:row>
    <x:row r="514" ht="34" customHeight="1">
      <x:c r="A514" s="34" t="str">
        <x:v>☐</x:v>
      </x:c>
      <x:c r="B514" s="34" t="str">
        <x:v>MI-1820</x:v>
      </x:c>
      <x:c r="C514" s="34" t="str">
        <x:v>M2 — تحصیل، مسیر شغلی و توانمندی حرفه‌ای</x:v>
      </x:c>
      <x:c r="D514" s="34" t="str">
        <x:v>H9</x:v>
      </x:c>
      <x:c r="E514" s="34" t="str">
        <x:v>پژوهش، نوآوری و دانش فنی</x:v>
      </x:c>
      <x:c r="F514" s="34" t="str">
        <x:v>P2</x:v>
      </x:c>
      <x:c r="G514" s="34" t="str">
        <x:v>هدف/موضوع</x:v>
      </x:c>
      <x:c r="H514" s="39" t="str">
        <x:v>گرنت های تحقیقاتی</x:v>
      </x:c>
      <x:c r="I514" s="39" t="str">
        <x:v>پس از تثبیت پایه‌ها؛ پروژه‌محور</x:v>
      </x:c>
      <x:c r="J514" s="39" t="str">
        <x:v>منتور پژوهش/R&amp;D</x:v>
      </x:c>
      <x:c r="K514" s="39" t="str"/>
      <x:c r="L514" s="39" t="str">
        <x:v>E112:P347</x:v>
      </x:c>
      <x:c r="M514" s="39" t="str"/>
      <x:c r="N514" s="39" t="str">
        <x:v>نسخه پایه ۳۱۵۰</x:v>
      </x:c>
    </x:row>
    <x:row r="515" ht="34" customHeight="1">
      <x:c r="A515" s="34" t="str">
        <x:v>☐</x:v>
      </x:c>
      <x:c r="B515" s="34" t="str">
        <x:v>MI-1907</x:v>
      </x:c>
      <x:c r="C515" s="34" t="str">
        <x:v>M2 — تحصیل، مسیر شغلی و توانمندی حرفه‌ای</x:v>
      </x:c>
      <x:c r="D515" s="34" t="str">
        <x:v>H9</x:v>
      </x:c>
      <x:c r="E515" s="34" t="str">
        <x:v>پژوهش، نوآوری و دانش فنی</x:v>
      </x:c>
      <x:c r="F515" s="34" t="str">
        <x:v>P2</x:v>
      </x:c>
      <x:c r="G515" s="34" t="str">
        <x:v>هدف/موضوع</x:v>
      </x:c>
      <x:c r="H515" s="39" t="str">
        <x:v>مراکز علمی کاربردی</x:v>
      </x:c>
      <x:c r="I515" s="39" t="str">
        <x:v>پس از تثبیت پایه‌ها؛ پروژه‌محور</x:v>
      </x:c>
      <x:c r="J515" s="39" t="str">
        <x:v>منتور پژوهش/R&amp;D</x:v>
      </x:c>
      <x:c r="K515" s="39" t="str"/>
      <x:c r="L515" s="39" t="str">
        <x:v>E112:P500</x:v>
      </x:c>
      <x:c r="M515" s="39" t="str"/>
      <x:c r="N515" s="39" t="str">
        <x:v>نسخه پایه ۳۱۵۰</x:v>
      </x:c>
    </x:row>
    <x:row r="516" ht="34" customHeight="1">
      <x:c r="A516" s="34" t="str">
        <x:v>☐</x:v>
      </x:c>
      <x:c r="B516" s="34" t="str">
        <x:v>MI-1911</x:v>
      </x:c>
      <x:c r="C516" s="34" t="str">
        <x:v>M2 — تحصیل، مسیر شغلی و توانمندی حرفه‌ای</x:v>
      </x:c>
      <x:c r="D516" s="34" t="str">
        <x:v>H9</x:v>
      </x:c>
      <x:c r="E516" s="34" t="str">
        <x:v>پژوهش، نوآوری و دانش فنی</x:v>
      </x:c>
      <x:c r="F516" s="34" t="str">
        <x:v>P2</x:v>
      </x:c>
      <x:c r="G516" s="34" t="str">
        <x:v>هدف/موضوع</x:v>
      </x:c>
      <x:c r="H516" s="39" t="str">
        <x:v>المپیادهای علمی</x:v>
      </x:c>
      <x:c r="I516" s="39" t="str">
        <x:v>پس از تثبیت پایه‌ها؛ پروژه‌محور</x:v>
      </x:c>
      <x:c r="J516" s="39" t="str">
        <x:v>منتور پژوهش/R&amp;D</x:v>
      </x:c>
      <x:c r="K516" s="39" t="str"/>
      <x:c r="L516" s="39" t="str">
        <x:v>E112:P504</x:v>
      </x:c>
      <x:c r="M516" s="39" t="str"/>
      <x:c r="N516" s="39" t="str">
        <x:v>نسخه پایه ۳۱۵۰</x:v>
      </x:c>
    </x:row>
    <x:row r="517" ht="34" customHeight="1">
      <x:c r="A517" s="34" t="str">
        <x:v>☐</x:v>
      </x:c>
      <x:c r="B517" s="34" t="str">
        <x:v>MI-1922</x:v>
      </x:c>
      <x:c r="C517" s="34" t="str">
        <x:v>M2 — تحصیل، مسیر شغلی و توانمندی حرفه‌ای</x:v>
      </x:c>
      <x:c r="D517" s="34" t="str">
        <x:v>H9</x:v>
      </x:c>
      <x:c r="E517" s="34" t="str">
        <x:v>پژوهش، نوآوری و دانش فنی</x:v>
      </x:c>
      <x:c r="F517" s="34" t="str">
        <x:v>P2</x:v>
      </x:c>
      <x:c r="G517" s="34" t="str">
        <x:v>هدف/موضوع</x:v>
      </x:c>
      <x:c r="H517" s="39" t="str">
        <x:v>اردوهای علمی</x:v>
      </x:c>
      <x:c r="I517" s="39" t="str">
        <x:v>پس از تثبیت پایه‌ها؛ پروژه‌محور</x:v>
      </x:c>
      <x:c r="J517" s="39" t="str">
        <x:v>منتور پژوهش/R&amp;D</x:v>
      </x:c>
      <x:c r="K517" s="39" t="str"/>
      <x:c r="L517" s="39" t="str">
        <x:v>E112:P522</x:v>
      </x:c>
      <x:c r="M517" s="39" t="str"/>
      <x:c r="N517" s="39" t="str">
        <x:v>نسخه پایه ۳۱۵۰</x:v>
      </x:c>
    </x:row>
    <x:row r="518" ht="34" customHeight="1">
      <x:c r="A518" s="34" t="str">
        <x:v>☐</x:v>
      </x:c>
      <x:c r="B518" s="34" t="str">
        <x:v>MI-1937</x:v>
      </x:c>
      <x:c r="C518" s="34" t="str">
        <x:v>M2 — تحصیل، مسیر شغلی و توانمندی حرفه‌ای</x:v>
      </x:c>
      <x:c r="D518" s="34" t="str">
        <x:v>H9</x:v>
      </x:c>
      <x:c r="E518" s="34" t="str">
        <x:v>پژوهش، نوآوری و دانش فنی</x:v>
      </x:c>
      <x:c r="F518" s="34" t="str">
        <x:v>P2</x:v>
      </x:c>
      <x:c r="G518" s="34" t="str">
        <x:v>هدف/موضوع</x:v>
      </x:c>
      <x:c r="H518" s="39" t="str">
        <x:v>معاونت علمی</x:v>
      </x:c>
      <x:c r="I518" s="39" t="str">
        <x:v>پس از تثبیت پایه‌ها؛ پروژه‌محور</x:v>
      </x:c>
      <x:c r="J518" s="39" t="str">
        <x:v>منتور پژوهش/R&amp;D</x:v>
      </x:c>
      <x:c r="K518" s="39" t="str"/>
      <x:c r="L518" s="39" t="str">
        <x:v>E112:P546؛ E112:P668؛ E112:P1105</x:v>
      </x:c>
      <x:c r="M518" s="39" t="str"/>
      <x:c r="N518" s="39" t="str">
        <x:v>نسخه پایه ۳۱۵۰</x:v>
      </x:c>
    </x:row>
    <x:row r="519" ht="34" customHeight="1">
      <x:c r="A519" s="34" t="str">
        <x:v>☐</x:v>
      </x:c>
      <x:c r="B519" s="34" t="str">
        <x:v>MI-1964</x:v>
      </x:c>
      <x:c r="C519" s="34" t="str">
        <x:v>M2 — تحصیل، مسیر شغلی و توانمندی حرفه‌ای</x:v>
      </x:c>
      <x:c r="D519" s="34" t="str">
        <x:v>H9</x:v>
      </x:c>
      <x:c r="E519" s="34" t="str">
        <x:v>پژوهش، نوآوری و دانش فنی</x:v>
      </x:c>
      <x:c r="F519" s="34" t="str">
        <x:v>P2</x:v>
      </x:c>
      <x:c r="G519" s="34" t="str">
        <x:v>هدف/موضوع</x:v>
      </x:c>
      <x:c r="H519" s="39" t="str">
        <x:v>آزمایشگاه های تحقیقاتی</x:v>
      </x:c>
      <x:c r="I519" s="39" t="str">
        <x:v>پس از تثبیت پایه‌ها؛ پروژه‌محور</x:v>
      </x:c>
      <x:c r="J519" s="39" t="str">
        <x:v>منتور پژوهش/R&amp;D</x:v>
      </x:c>
      <x:c r="K519" s="39" t="str"/>
      <x:c r="L519" s="39" t="str">
        <x:v>E112:P588</x:v>
      </x:c>
      <x:c r="M519" s="39" t="str"/>
      <x:c r="N519" s="39" t="str">
        <x:v>نسخه پایه ۳۱۵۰</x:v>
      </x:c>
    </x:row>
    <x:row r="520" ht="34" customHeight="1">
      <x:c r="A520" s="34" t="str">
        <x:v>☐</x:v>
      </x:c>
      <x:c r="B520" s="34" t="str">
        <x:v>MI-1967</x:v>
      </x:c>
      <x:c r="C520" s="34" t="str">
        <x:v>M2 — تحصیل، مسیر شغلی و توانمندی حرفه‌ای</x:v>
      </x:c>
      <x:c r="D520" s="34" t="str">
        <x:v>H9</x:v>
      </x:c>
      <x:c r="E520" s="34" t="str">
        <x:v>پژوهش، نوآوری و دانش فنی</x:v>
      </x:c>
      <x:c r="F520" s="34" t="str">
        <x:v>P2</x:v>
      </x:c>
      <x:c r="G520" s="34" t="str">
        <x:v>هدف/موضوع</x:v>
      </x:c>
      <x:c r="H520" s="39" t="str">
        <x:v>مجلات علمی</x:v>
      </x:c>
      <x:c r="I520" s="39" t="str">
        <x:v>پس از تثبیت پایه‌ها؛ پروژه‌محور</x:v>
      </x:c>
      <x:c r="J520" s="39" t="str">
        <x:v>منتور پژوهش/R&amp;D</x:v>
      </x:c>
      <x:c r="K520" s="39" t="str"/>
      <x:c r="L520" s="39" t="str">
        <x:v>E112:P592</x:v>
      </x:c>
      <x:c r="M520" s="39" t="str"/>
      <x:c r="N520" s="39" t="str">
        <x:v>نسخه پایه ۳۱۵۰</x:v>
      </x:c>
    </x:row>
    <x:row r="521" ht="34" customHeight="1">
      <x:c r="A521" s="34" t="str">
        <x:v>☐</x:v>
      </x:c>
      <x:c r="B521" s="34" t="str">
        <x:v>MI-1968</x:v>
      </x:c>
      <x:c r="C521" s="34" t="str">
        <x:v>M2 — تحصیل، مسیر شغلی و توانمندی حرفه‌ای</x:v>
      </x:c>
      <x:c r="D521" s="34" t="str">
        <x:v>H9</x:v>
      </x:c>
      <x:c r="E521" s="34" t="str">
        <x:v>پژوهش، نوآوری و دانش فنی</x:v>
      </x:c>
      <x:c r="F521" s="34" t="str">
        <x:v>P2</x:v>
      </x:c>
      <x:c r="G521" s="34" t="str">
        <x:v>هدف/موضوع</x:v>
      </x:c>
      <x:c r="H521" s="39" t="str">
        <x:v>کنفرانس های علمی</x:v>
      </x:c>
      <x:c r="I521" s="39" t="str">
        <x:v>پس از تثبیت پایه‌ها؛ پروژه‌محور</x:v>
      </x:c>
      <x:c r="J521" s="39" t="str">
        <x:v>منتور پژوهش/R&amp;D</x:v>
      </x:c>
      <x:c r="K521" s="39" t="str"/>
      <x:c r="L521" s="39" t="str">
        <x:v>E112:P593</x:v>
      </x:c>
      <x:c r="M521" s="39" t="str"/>
      <x:c r="N521" s="39" t="str">
        <x:v>نسخه پایه ۳۱۵۰</x:v>
      </x:c>
    </x:row>
    <x:row r="522" ht="34" customHeight="1">
      <x:c r="A522" s="34" t="str">
        <x:v>☐</x:v>
      </x:c>
      <x:c r="B522" s="34" t="str">
        <x:v>MI-1969</x:v>
      </x:c>
      <x:c r="C522" s="34" t="str">
        <x:v>M2 — تحصیل، مسیر شغلی و توانمندی حرفه‌ای</x:v>
      </x:c>
      <x:c r="D522" s="34" t="str">
        <x:v>H9</x:v>
      </x:c>
      <x:c r="E522" s="34" t="str">
        <x:v>پژوهش، نوآوری و دانش فنی</x:v>
      </x:c>
      <x:c r="F522" s="34" t="str">
        <x:v>P2</x:v>
      </x:c>
      <x:c r="G522" s="34" t="str">
        <x:v>هدف/موضوع</x:v>
      </x:c>
      <x:c r="H522" s="39" t="str">
        <x:v>پژوهشکده ها</x:v>
      </x:c>
      <x:c r="I522" s="39" t="str">
        <x:v>پس از تثبیت پایه‌ها؛ پروژه‌محور</x:v>
      </x:c>
      <x:c r="J522" s="39" t="str">
        <x:v>منتور پژوهش/R&amp;D</x:v>
      </x:c>
      <x:c r="K522" s="39" t="str"/>
      <x:c r="L522" s="39" t="str">
        <x:v>E112:P594</x:v>
      </x:c>
      <x:c r="M522" s="39" t="str"/>
      <x:c r="N522" s="39" t="str">
        <x:v>نسخه پایه ۳۱۵۰</x:v>
      </x:c>
    </x:row>
    <x:row r="523" ht="34" customHeight="1">
      <x:c r="A523" s="34" t="str">
        <x:v>☐</x:v>
      </x:c>
      <x:c r="B523" s="34" t="str">
        <x:v>MI-1970</x:v>
      </x:c>
      <x:c r="C523" s="34" t="str">
        <x:v>M2 — تحصیل، مسیر شغلی و توانمندی حرفه‌ای</x:v>
      </x:c>
      <x:c r="D523" s="34" t="str">
        <x:v>H9</x:v>
      </x:c>
      <x:c r="E523" s="34" t="str">
        <x:v>پژوهش، نوآوری و دانش فنی</x:v>
      </x:c>
      <x:c r="F523" s="34" t="str">
        <x:v>P2</x:v>
      </x:c>
      <x:c r="G523" s="34" t="str">
        <x:v>هدف/موضوع</x:v>
      </x:c>
      <x:c r="H523" s="39" t="str">
        <x:v>موسسات تحقیقاتی</x:v>
      </x:c>
      <x:c r="I523" s="39" t="str">
        <x:v>پس از تثبیت پایه‌ها؛ پروژه‌محور</x:v>
      </x:c>
      <x:c r="J523" s="39" t="str">
        <x:v>منتور پژوهش/R&amp;D</x:v>
      </x:c>
      <x:c r="K523" s="39" t="str"/>
      <x:c r="L523" s="39" t="str">
        <x:v>E112:P595</x:v>
      </x:c>
      <x:c r="M523" s="39" t="str"/>
      <x:c r="N523" s="39" t="str">
        <x:v>نسخه پایه ۳۱۵۰</x:v>
      </x:c>
    </x:row>
    <x:row r="524" ht="34" customHeight="1">
      <x:c r="A524" s="34" t="str">
        <x:v>☐</x:v>
      </x:c>
      <x:c r="B524" s="34" t="str">
        <x:v>MI-1988</x:v>
      </x:c>
      <x:c r="C524" s="34" t="str">
        <x:v>M2 — تحصیل، مسیر شغلی و توانمندی حرفه‌ای</x:v>
      </x:c>
      <x:c r="D524" s="34" t="str">
        <x:v>H9</x:v>
      </x:c>
      <x:c r="E524" s="34" t="str">
        <x:v>پژوهش، نوآوری و دانش فنی</x:v>
      </x:c>
      <x:c r="F524" s="34" t="str">
        <x:v>P2</x:v>
      </x:c>
      <x:c r="G524" s="34" t="str">
        <x:v>هدف/موضوع</x:v>
      </x:c>
      <x:c r="H524" s="39" t="str">
        <x:v>گرنت های پژوهشی</x:v>
      </x:c>
      <x:c r="I524" s="39" t="str">
        <x:v>پس از تثبیت پایه‌ها؛ پروژه‌محور</x:v>
      </x:c>
      <x:c r="J524" s="39" t="str">
        <x:v>منتور پژوهش/R&amp;D</x:v>
      </x:c>
      <x:c r="K524" s="39" t="str"/>
      <x:c r="L524" s="39" t="str">
        <x:v>E112:P629</x:v>
      </x:c>
      <x:c r="M524" s="39" t="str"/>
      <x:c r="N524" s="39" t="str">
        <x:v>نسخه پایه ۳۱۵۰</x:v>
      </x:c>
    </x:row>
    <x:row r="525" ht="34" customHeight="1">
      <x:c r="A525" s="34" t="str">
        <x:v>☐</x:v>
      </x:c>
      <x:c r="B525" s="34" t="str">
        <x:v>MI-2192</x:v>
      </x:c>
      <x:c r="C525" s="34" t="str">
        <x:v>M2 — تحصیل، مسیر شغلی و توانمندی حرفه‌ای</x:v>
      </x:c>
      <x:c r="D525" s="34" t="str">
        <x:v>H9</x:v>
      </x:c>
      <x:c r="E525" s="34" t="str">
        <x:v>پژوهش، نوآوری و دانش فنی</x:v>
      </x:c>
      <x:c r="F525" s="34" t="str">
        <x:v>P2</x:v>
      </x:c>
      <x:c r="G525" s="34" t="str">
        <x:v>هدف/موضوع</x:v>
      </x:c>
      <x:c r="H525" s="39" t="str">
        <x:v>پژوهش</x:v>
      </x:c>
      <x:c r="I525" s="39" t="str">
        <x:v>پس از تثبیت پایه‌ها؛ پروژه‌محور</x:v>
      </x:c>
      <x:c r="J525" s="39" t="str">
        <x:v>منتور پژوهش/R&amp;D</x:v>
      </x:c>
      <x:c r="K525" s="39" t="str"/>
      <x:c r="L525" s="39" t="str">
        <x:v>E112:P1006</x:v>
      </x:c>
      <x:c r="M525" s="39" t="str"/>
      <x:c r="N525" s="39" t="str">
        <x:v>نسخه پایه ۳۱۵۰</x:v>
      </x:c>
    </x:row>
    <x:row r="526" ht="34" customHeight="1">
      <x:c r="A526" s="34" t="str">
        <x:v>☐</x:v>
      </x:c>
      <x:c r="B526" s="34" t="str">
        <x:v>MI-2674</x:v>
      </x:c>
      <x:c r="C526" s="34" t="str">
        <x:v>M2 — تحصیل، مسیر شغلی و توانمندی حرفه‌ای</x:v>
      </x:c>
      <x:c r="D526" s="34" t="str">
        <x:v>H9</x:v>
      </x:c>
      <x:c r="E526" s="34" t="str">
        <x:v>پژوهش، نوآوری و دانش فنی</x:v>
      </x:c>
      <x:c r="F526" s="34" t="str">
        <x:v>P2</x:v>
      </x:c>
      <x:c r="G526" s="34" t="str">
        <x:v>هدف/موضوع</x:v>
      </x:c>
      <x:c r="H526" s="39" t="str">
        <x:v>متخصصان تحقیقات بازار</x:v>
      </x:c>
      <x:c r="I526" s="39" t="str">
        <x:v>پس از تثبیت پایه‌ها؛ پروژه‌محور</x:v>
      </x:c>
      <x:c r="J526" s="39" t="str">
        <x:v>منتور پژوهش/R&amp;D</x:v>
      </x:c>
      <x:c r="K526" s="39" t="str"/>
      <x:c r="L526" s="39" t="str">
        <x:v>E112:P2619</x:v>
      </x:c>
      <x:c r="M526" s="39" t="str"/>
      <x:c r="N526" s="39" t="str">
        <x:v>نسخه پایه ۳۱۵۰</x:v>
      </x:c>
    </x:row>
    <x:row r="527" ht="34" customHeight="1">
      <x:c r="A527" s="34" t="str">
        <x:v>☐</x:v>
      </x:c>
      <x:c r="B527" s="34" t="str">
        <x:v>MI-0441</x:v>
      </x:c>
      <x:c r="C527" s="34" t="str">
        <x:v>M2 — تحصیل، مسیر شغلی و توانمندی حرفه‌ای</x:v>
      </x:c>
      <x:c r="D527" s="34" t="str">
        <x:v>H9</x:v>
      </x:c>
      <x:c r="E527" s="34" t="str">
        <x:v>پژوهش، نوآوری و دانش فنی</x:v>
      </x:c>
      <x:c r="F527" s="34" t="str">
        <x:v>BANK</x:v>
      </x:c>
      <x:c r="G527" s="34" t="str">
        <x:v>مطالعه/منبع</x:v>
      </x:c>
      <x:c r="H527" s="39" t="str">
        <x:v>دوره علمی صنعتی افرا</x:v>
      </x:c>
      <x:c r="I527" s="39" t="str">
        <x:v>بانک مطالعه؛ سقف زمانی</x:v>
      </x:c>
      <x:c r="J527" s="39" t="str">
        <x:v>منتور پژوهش/R&amp;D</x:v>
      </x:c>
      <x:c r="K527" s="39" t="str"/>
      <x:c r="L527" s="39" t="str">
        <x:v>AP:P225</x:v>
      </x:c>
      <x:c r="M527" s="39" t="str"/>
      <x:c r="N527" s="39" t="str">
        <x:v>نسخه پایه ۳۱۵۰</x:v>
      </x:c>
    </x:row>
    <x:row r="528" ht="34" customHeight="1">
      <x:c r="A528" s="34" t="str">
        <x:v>☐</x:v>
      </x:c>
      <x:c r="B528" s="34" t="str">
        <x:v>MI-0541</x:v>
      </x:c>
      <x:c r="C528" s="34" t="str">
        <x:v>M2 — تحصیل، مسیر شغلی و توانمندی حرفه‌ای</x:v>
      </x:c>
      <x:c r="D528" s="34" t="str">
        <x:v>H9</x:v>
      </x:c>
      <x:c r="E528" s="34" t="str">
        <x:v>پژوهش، نوآوری و دانش فنی</x:v>
      </x:c>
      <x:c r="F528" s="34" t="str">
        <x:v>BANK</x:v>
      </x:c>
      <x:c r="G528" s="34" t="str">
        <x:v>مطالعه/منبع</x:v>
      </x:c>
      <x:c r="H528" s="39" t="str">
        <x:v>ieee</x:v>
      </x:c>
      <x:c r="I528" s="39" t="str">
        <x:v>بانک مطالعه؛ سقف زمانی</x:v>
      </x:c>
      <x:c r="J528" s="39" t="str">
        <x:v>منتور پژوهش/R&amp;D</x:v>
      </x:c>
      <x:c r="K528" s="39" t="str"/>
      <x:c r="L528" s="39" t="str">
        <x:v>AP:P327</x:v>
      </x:c>
      <x:c r="M528" s="39" t="str"/>
      <x:c r="N528" s="39" t="str">
        <x:v>نسخه پایه ۳۱۵۰</x:v>
      </x:c>
    </x:row>
    <x:row r="529" ht="34" customHeight="1">
      <x:c r="A529" s="34" t="str">
        <x:v>☐</x:v>
      </x:c>
      <x:c r="B529" s="34" t="str">
        <x:v>MI-0542</x:v>
      </x:c>
      <x:c r="C529" s="34" t="str">
        <x:v>M2 — تحصیل، مسیر شغلی و توانمندی حرفه‌ای</x:v>
      </x:c>
      <x:c r="D529" s="34" t="str">
        <x:v>H9</x:v>
      </x:c>
      <x:c r="E529" s="34" t="str">
        <x:v>پژوهش، نوآوری و دانش فنی</x:v>
      </x:c>
      <x:c r="F529" s="34" t="str">
        <x:v>BANK</x:v>
      </x:c>
      <x:c r="G529" s="34" t="str">
        <x:v>مطالعه/منبع</x:v>
      </x:c>
      <x:c r="H529" s="39" t="str">
        <x:v>springer</x:v>
      </x:c>
      <x:c r="I529" s="39" t="str">
        <x:v>بانک مطالعه؛ سقف زمانی</x:v>
      </x:c>
      <x:c r="J529" s="39" t="str">
        <x:v>منتور پژوهش/R&amp;D</x:v>
      </x:c>
      <x:c r="K529" s="39" t="str"/>
      <x:c r="L529" s="39" t="str">
        <x:v>AP:P328</x:v>
      </x:c>
      <x:c r="M529" s="39" t="str"/>
      <x:c r="N529" s="39" t="str">
        <x:v>نسخه پایه ۳۱۵۰</x:v>
      </x:c>
    </x:row>
    <x:row r="530" ht="34" customHeight="1">
      <x:c r="A530" s="34" t="str">
        <x:v>☐</x:v>
      </x:c>
      <x:c r="B530" s="34" t="str">
        <x:v>MI-0543</x:v>
      </x:c>
      <x:c r="C530" s="34" t="str">
        <x:v>M2 — تحصیل، مسیر شغلی و توانمندی حرفه‌ای</x:v>
      </x:c>
      <x:c r="D530" s="34" t="str">
        <x:v>H9</x:v>
      </x:c>
      <x:c r="E530" s="34" t="str">
        <x:v>پژوهش، نوآوری و دانش فنی</x:v>
      </x:c>
      <x:c r="F530" s="34" t="str">
        <x:v>BANK</x:v>
      </x:c>
      <x:c r="G530" s="34" t="str">
        <x:v>مطالعه/منبع</x:v>
      </x:c>
      <x:c r="H530" s="39" t="str">
        <x:v>google scholar</x:v>
      </x:c>
      <x:c r="I530" s="39" t="str">
        <x:v>بانک مطالعه؛ سقف زمانی</x:v>
      </x:c>
      <x:c r="J530" s="39" t="str">
        <x:v>منتور پژوهش/R&amp;D</x:v>
      </x:c>
      <x:c r="K530" s="39" t="str"/>
      <x:c r="L530" s="39" t="str">
        <x:v>AP:P329</x:v>
      </x:c>
      <x:c r="M530" s="39" t="str"/>
      <x:c r="N530" s="39" t="str">
        <x:v>نسخه پایه ۳۱۵۰</x:v>
      </x:c>
    </x:row>
    <x:row r="531" ht="34" customHeight="1">
      <x:c r="A531" s="34" t="str">
        <x:v>☐</x:v>
      </x:c>
      <x:c r="B531" s="34" t="str">
        <x:v>MI-0544</x:v>
      </x:c>
      <x:c r="C531" s="34" t="str">
        <x:v>M2 — تحصیل، مسیر شغلی و توانمندی حرفه‌ای</x:v>
      </x:c>
      <x:c r="D531" s="34" t="str">
        <x:v>H9</x:v>
      </x:c>
      <x:c r="E531" s="34" t="str">
        <x:v>پژوهش، نوآوری و دانش فنی</x:v>
      </x:c>
      <x:c r="F531" s="34" t="str">
        <x:v>BANK</x:v>
      </x:c>
      <x:c r="G531" s="34" t="str">
        <x:v>مطالعه/منبع</x:v>
      </x:c>
      <x:c r="H531" s="39" t="str">
        <x:v>researchgate</x:v>
      </x:c>
      <x:c r="I531" s="39" t="str">
        <x:v>بانک مطالعه؛ سقف زمانی</x:v>
      </x:c>
      <x:c r="J531" s="39" t="str">
        <x:v>منتور پژوهش/R&amp;D</x:v>
      </x:c>
      <x:c r="K531" s="39" t="str"/>
      <x:c r="L531" s="39" t="str">
        <x:v>AP:P330</x:v>
      </x:c>
      <x:c r="M531" s="39" t="str"/>
      <x:c r="N531" s="39" t="str">
        <x:v>نسخه پایه ۳۱۵۰</x:v>
      </x:c>
    </x:row>
    <x:row r="532" ht="34" customHeight="1">
      <x:c r="A532" s="34" t="str">
        <x:v>☐</x:v>
      </x:c>
      <x:c r="B532" s="34" t="str">
        <x:v>MI-1043</x:v>
      </x:c>
      <x:c r="C532" s="34" t="str">
        <x:v>M2 — تحصیل، مسیر شغلی و توانمندی حرفه‌ای</x:v>
      </x:c>
      <x:c r="D532" s="34" t="str">
        <x:v>H9</x:v>
      </x:c>
      <x:c r="E532" s="34" t="str">
        <x:v>پژوهش، نوآوری و دانش فنی</x:v>
      </x:c>
      <x:c r="F532" s="34" t="str">
        <x:v>BANK</x:v>
      </x:c>
      <x:c r="G532" s="34" t="str">
        <x:v>مطالعه/منبع</x:v>
      </x:c>
      <x:c r="H532" s="39" t="str">
        <x:v>ابگرم در کتابخانه مرکزی</x:v>
      </x:c>
      <x:c r="I532" s="39" t="str">
        <x:v>بانک مطالعه؛ سقف زمانی</x:v>
      </x:c>
      <x:c r="J532" s="39" t="str">
        <x:v>منتور پژوهش/R&amp;D</x:v>
      </x:c>
      <x:c r="K532" s="39" t="str"/>
      <x:c r="L532" s="39" t="str">
        <x:v>AP:P885</x:v>
      </x:c>
      <x:c r="M532" s="39" t="str"/>
      <x:c r="N532" s="39" t="str">
        <x:v>نسخه پایه ۳۱۵۰</x:v>
      </x:c>
    </x:row>
    <x:row r="533" ht="34" customHeight="1">
      <x:c r="A533" s="34" t="str">
        <x:v>☐</x:v>
      </x:c>
      <x:c r="B533" s="34" t="str">
        <x:v>MI-1409</x:v>
      </x:c>
      <x:c r="C533" s="34" t="str">
        <x:v>M2 — تحصیل، مسیر شغلی و توانمندی حرفه‌ای</x:v>
      </x:c>
      <x:c r="D533" s="34" t="str">
        <x:v>H9</x:v>
      </x:c>
      <x:c r="E533" s="34" t="str">
        <x:v>پژوهش، نوآوری و دانش فنی</x:v>
      </x:c>
      <x:c r="F533" s="34" t="str">
        <x:v>BANK</x:v>
      </x:c>
      <x:c r="G533" s="34" t="str">
        <x:v>مطالعه/منبع</x:v>
      </x:c>
      <x:c r="H533" s="39" t="str">
        <x:v>بررسی پروپوزال طرح بحث و مناظره در داخل کلاس جهت ایجاد گفتگو و انتقال محتویات</x:v>
      </x:c>
      <x:c r="I533" s="39" t="str">
        <x:v>بانک مطالعه؛ سقف زمانی</x:v>
      </x:c>
      <x:c r="J533" s="39" t="str">
        <x:v>منتور پژوهش/R&amp;D</x:v>
      </x:c>
      <x:c r="K533" s="39" t="str"/>
      <x:c r="L533" s="39" t="str">
        <x:v>AP:P1303</x:v>
      </x:c>
      <x:c r="M533" s="39" t="str"/>
      <x:c r="N533" s="39" t="str">
        <x:v>نسخه پایه ۳۱۵۰</x:v>
      </x:c>
    </x:row>
    <x:row r="534" ht="34" customHeight="1">
      <x:c r="A534" s="34" t="str">
        <x:v>☐</x:v>
      </x:c>
      <x:c r="B534" s="34" t="str">
        <x:v>N115-0045</x:v>
      </x:c>
      <x:c r="C534" s="34" t="str">
        <x:v>M2 — تحصیل، مسیر شغلی و توانمندی حرفه‌ای</x:v>
      </x:c>
      <x:c r="D534" s="34" t="str">
        <x:v>H9</x:v>
      </x:c>
      <x:c r="E534" s="34" t="str">
        <x:v>پژوهش، نوآوری و دانش فنی</x:v>
      </x:c>
      <x:c r="F534" s="34" t="str">
        <x:v>REFERENCE</x:v>
      </x:c>
      <x:c r="G534" s="34" t="str">
        <x:v>مطالعه/منبع</x:v>
      </x:c>
      <x:c r="H534" s="39" t="str">
        <x:v>CPDI به‌عنوان منبع مطالعات بین‌الملل</x:v>
      </x:c>
      <x:c r="I534" s="39" t="str">
        <x:v>مرجع پژوهشی</x:v>
      </x:c>
      <x:c r="J534" s="39" t="str">
        <x:v>منتور پژوهش/R&amp;D</x:v>
      </x:c>
      <x:c r="K534" s="39" t="str">
        <x:v>پژوهش</x:v>
      </x:c>
      <x:c r="L534" s="39" t="str">
        <x:v>115:P1632</x:v>
      </x:c>
      <x:c r="M534" s="39" t="str"/>
      <x:c r="N534" s="39" t="str">
        <x:v>1154878548.docx / ممیزی جدید</x:v>
      </x:c>
    </x:row>
    <x:row r="535" ht="34" customHeight="1">
      <x:c r="A535" s="34" t="str">
        <x:v>☐</x:v>
      </x:c>
      <x:c r="B535" s="34" t="str">
        <x:v>MI-1630</x:v>
      </x:c>
      <x:c r="C535" s="34" t="str">
        <x:v>M3 — کسب‌وکار، شبکه و زیست‌بوم نوآوری</x:v>
      </x:c>
      <x:c r="D535" s="34" t="str">
        <x:v>H10</x:v>
      </x:c>
      <x:c r="E535" s="34" t="str">
        <x:v>زیست‌بوم نوآوری، استعداد و تیم‌سازی</x:v>
      </x:c>
      <x:c r="F535" s="34" t="str">
        <x:v>P2</x:v>
      </x:c>
      <x:c r="G535" s="34" t="str">
        <x:v>اقدام اجرایی</x:v>
      </x:c>
      <x:c r="H535" s="39" t="str">
        <x:v>مرحله 1: دعوت به عنوان EiR</x:v>
      </x:c>
      <x:c r="I535" s="39" t="str">
        <x:v>پس از تثبیت پایه‌ها؛ پروژه‌محور</x:v>
      </x:c>
      <x:c r="J535" s="39" t="str">
        <x:v>سازنده زیست‌بوم + مدیر پورتفو</x:v>
      </x:c>
      <x:c r="K535" s="39" t="str"/>
      <x:c r="L535" s="39" t="str">
        <x:v>E112:P91؛ E112:P1561؛ E112:P1871؛ E112:P2337</x:v>
      </x:c>
      <x:c r="M535" s="39" t="str"/>
      <x:c r="N535" s="39" t="str">
        <x:v>نسخه پایه ۳۱۵۰</x:v>
      </x:c>
    </x:row>
    <x:row r="536" ht="34" customHeight="1">
      <x:c r="A536" s="34" t="str">
        <x:v>☐</x:v>
      </x:c>
      <x:c r="B536" s="34" t="str">
        <x:v>MI-1680</x:v>
      </x:c>
      <x:c r="C536" s="34" t="str">
        <x:v>M3 — کسب‌وکار، شبکه و زیست‌بوم نوآوری</x:v>
      </x:c>
      <x:c r="D536" s="34" t="str">
        <x:v>H10</x:v>
      </x:c>
      <x:c r="E536" s="34" t="str">
        <x:v>زیست‌بوم نوآوری، استعداد و تیم‌سازی</x:v>
      </x:c>
      <x:c r="F536" s="34" t="str">
        <x:v>P2</x:v>
      </x:c>
      <x:c r="G536" s="34" t="str">
        <x:v>اقدام اجرایی</x:v>
      </x:c>
      <x:c r="H536" s="39" t="str">
        <x:v>و برنامه EiR می تواند نقش دروازه ورود کارآفرین و سرمایه خارجی را بازی کند.</x:v>
      </x:c>
      <x:c r="I536" s="39" t="str">
        <x:v>پس از تثبیت پایه‌ها؛ پروژه‌محور</x:v>
      </x:c>
      <x:c r="J536" s="39" t="str">
        <x:v>سازنده زیست‌بوم + مدیر پورتفو</x:v>
      </x:c>
      <x:c r="K536" s="39" t="str"/>
      <x:c r="L536" s="39" t="str">
        <x:v>E112:P146؛ E112:P1637؛ E112:P1926؛ E112:P2392</x:v>
      </x:c>
      <x:c r="M536" s="39" t="str"/>
      <x:c r="N536" s="39" t="str">
        <x:v>نسخه پایه ۳۱۵۰</x:v>
      </x:c>
    </x:row>
    <x:row r="537" ht="34" customHeight="1">
      <x:c r="A537" s="34" t="str">
        <x:v>☐</x:v>
      </x:c>
      <x:c r="B537" s="34" t="str">
        <x:v>MI-1702</x:v>
      </x:c>
      <x:c r="C537" s="34" t="str">
        <x:v>M3 — کسب‌وکار، شبکه و زیست‌بوم نوآوری</x:v>
      </x:c>
      <x:c r="D537" s="34" t="str">
        <x:v>H10</x:v>
      </x:c>
      <x:c r="E537" s="34" t="str">
        <x:v>زیست‌بوم نوآوری، استعداد و تیم‌سازی</x:v>
      </x:c>
      <x:c r="F537" s="34" t="str">
        <x:v>P2</x:v>
      </x:c>
      <x:c r="G537" s="34" t="str">
        <x:v>اقدام اجرایی</x:v>
      </x:c>
      <x:c r="H537" s="39" t="str">
        <x:v>• دعوت از کارآفرینان موفق تهران، اصفهان، شیراز، تبریز به عنوان EiR.</x:v>
      </x:c>
      <x:c r="I537" s="39" t="str">
        <x:v>پس از تثبیت پایه‌ها؛ پروژه‌محور</x:v>
      </x:c>
      <x:c r="J537" s="39" t="str">
        <x:v>سازنده زیست‌بوم + مدیر پورتفو</x:v>
      </x:c>
      <x:c r="K537" s="39" t="str"/>
      <x:c r="L537" s="39" t="str">
        <x:v>E112:P168؛ E112:P1685؛ E112:P1950؛ E112:P2416</x:v>
      </x:c>
      <x:c r="M537" s="39" t="str"/>
      <x:c r="N537" s="39" t="str">
        <x:v>نسخه پایه ۳۱۵۰</x:v>
      </x:c>
    </x:row>
    <x:row r="538" ht="34" customHeight="1">
      <x:c r="A538" s="34" t="str">
        <x:v>☐</x:v>
      </x:c>
      <x:c r="B538" s="34" t="str">
        <x:v>MI-1755</x:v>
      </x:c>
      <x:c r="C538" s="34" t="str">
        <x:v>M3 — کسب‌وکار، شبکه و زیست‌بوم نوآوری</x:v>
      </x:c>
      <x:c r="D538" s="34" t="str">
        <x:v>H10</x:v>
      </x:c>
      <x:c r="E538" s="34" t="str">
        <x:v>زیست‌بوم نوآوری، استعداد و تیم‌سازی</x:v>
      </x:c>
      <x:c r="F538" s="34" t="str">
        <x:v>P2</x:v>
      </x:c>
      <x:c r="G538" s="34" t="str">
        <x:v>اقدام اجرایی</x:v>
      </x:c>
      <x:c r="H538" s="39" t="str">
        <x:v>من معمولاً اکوسیستم را به چند دسته کلان اهرم ها (Levers) تقسیم می کنم. زیر هر کدام هم آیتم های جزیی قرار می گیرند که می توانند زمین بازی تو باشند.</x:v>
      </x:c>
      <x:c r="I538" s="39" t="str">
        <x:v>پس از تثبیت پایه‌ها؛ پروژه‌محور</x:v>
      </x:c>
      <x:c r="J538" s="39" t="str">
        <x:v>سازنده زیست‌بوم + مدیر پورتفو</x:v>
      </x:c>
      <x:c r="K538" s="39" t="str"/>
      <x:c r="L538" s="39" t="str">
        <x:v>E112:P238</x:v>
      </x:c>
      <x:c r="M538" s="39" t="str"/>
      <x:c r="N538" s="39" t="str">
        <x:v>نسخه پایه ۳۱۵۰</x:v>
      </x:c>
    </x:row>
    <x:row r="539" ht="34" customHeight="1">
      <x:c r="A539" s="34" t="str">
        <x:v>☐</x:v>
      </x:c>
      <x:c r="B539" s="34" t="str">
        <x:v>MI-1919</x:v>
      </x:c>
      <x:c r="C539" s="34" t="str">
        <x:v>M3 — کسب‌وکار، شبکه و زیست‌بوم نوآوری</x:v>
      </x:c>
      <x:c r="D539" s="34" t="str">
        <x:v>H10</x:v>
      </x:c>
      <x:c r="E539" s="34" t="str">
        <x:v>زیست‌بوم نوآوری، استعداد و تیم‌سازی</x:v>
      </x:c>
      <x:c r="F539" s="34" t="str">
        <x:v>P2</x:v>
      </x:c>
      <x:c r="G539" s="34" t="str">
        <x:v>اقدام اجرایی</x:v>
      </x:c>
      <x:c r="H539" s="39" t="str">
        <x:v>برنامه های پرورش استعداد</x:v>
      </x:c>
      <x:c r="I539" s="39" t="str">
        <x:v>پس از تثبیت پایه‌ها؛ پروژه‌محور</x:v>
      </x:c>
      <x:c r="J539" s="39" t="str">
        <x:v>سازنده زیست‌بوم + مدیر پورتفو</x:v>
      </x:c>
      <x:c r="K539" s="39" t="str"/>
      <x:c r="L539" s="39" t="str">
        <x:v>E112:P518؛ E112:P707</x:v>
      </x:c>
      <x:c r="M539" s="39" t="str"/>
      <x:c r="N539" s="39" t="str">
        <x:v>نسخه پایه ۳۱۵۰</x:v>
      </x:c>
    </x:row>
    <x:row r="540" ht="34" customHeight="1">
      <x:c r="A540" s="34" t="str">
        <x:v>☐</x:v>
      </x:c>
      <x:c r="B540" s="34" t="str">
        <x:v>MI-2042</x:v>
      </x:c>
      <x:c r="C540" s="34" t="str">
        <x:v>M3 — کسب‌وکار، شبکه و زیست‌بوم نوآوری</x:v>
      </x:c>
      <x:c r="D540" s="34" t="str">
        <x:v>H10</x:v>
      </x:c>
      <x:c r="E540" s="34" t="str">
        <x:v>زیست‌بوم نوآوری، استعداد و تیم‌سازی</x:v>
      </x:c>
      <x:c r="F540" s="34" t="str">
        <x:v>P2</x:v>
      </x:c>
      <x:c r="G540" s="34" t="str">
        <x:v>اقدام اجرایی</x:v>
      </x:c>
      <x:c r="H540" s="39" t="str">
        <x:v>community برنامه نویسان</x:v>
      </x:c>
      <x:c r="I540" s="39" t="str">
        <x:v>پس از تثبیت پایه‌ها؛ پروژه‌محور</x:v>
      </x:c>
      <x:c r="J540" s="39" t="str">
        <x:v>سازنده زیست‌بوم + مدیر پورتفو</x:v>
      </x:c>
      <x:c r="K540" s="39" t="str"/>
      <x:c r="L540" s="39" t="str">
        <x:v>E112:P727</x:v>
      </x:c>
      <x:c r="M540" s="39" t="str"/>
      <x:c r="N540" s="39" t="str">
        <x:v>نسخه پایه ۳۱۵۰</x:v>
      </x:c>
    </x:row>
    <x:row r="541" ht="34" customHeight="1">
      <x:c r="A541" s="34" t="str">
        <x:v>☐</x:v>
      </x:c>
      <x:c r="B541" s="34" t="str">
        <x:v>MI-2458</x:v>
      </x:c>
      <x:c r="C541" s="34" t="str">
        <x:v>M3 — کسب‌وکار، شبکه و زیست‌بوم نوآوری</x:v>
      </x:c>
      <x:c r="D541" s="34" t="str">
        <x:v>H10</x:v>
      </x:c>
      <x:c r="E541" s="34" t="str">
        <x:v>زیست‌بوم نوآوری، استعداد و تیم‌سازی</x:v>
      </x:c>
      <x:c r="F541" s="34" t="str">
        <x:v>P2</x:v>
      </x:c>
      <x:c r="G541" s="34" t="str">
        <x:v>اقدام اجرایی</x:v>
      </x:c>
      <x:c r="H541" s="39" t="str">
        <x:v>12. برنامه EiR</x:v>
      </x:c>
      <x:c r="I541" s="39" t="str">
        <x:v>پس از تثبیت پایه‌ها؛ پروژه‌محور</x:v>
      </x:c>
      <x:c r="J541" s="39" t="str">
        <x:v>سازنده زیست‌بوم + مدیر پورتفو</x:v>
      </x:c>
      <x:c r="K541" s="39" t="str"/>
      <x:c r="L541" s="39" t="str">
        <x:v>E112:P1753؛ E112:P2145</x:v>
      </x:c>
      <x:c r="M541" s="39" t="str"/>
      <x:c r="N541" s="39" t="str">
        <x:v>نسخه پایه ۳۱۵۰</x:v>
      </x:c>
    </x:row>
    <x:row r="542" ht="34" customHeight="1">
      <x:c r="A542" s="34" t="str">
        <x:v>☐</x:v>
      </x:c>
      <x:c r="B542" s="34" t="str">
        <x:v>MI-2485</x:v>
      </x:c>
      <x:c r="C542" s="34" t="str">
        <x:v>M3 — کسب‌وکار، شبکه و زیست‌بوم نوآوری</x:v>
      </x:c>
      <x:c r="D542" s="34" t="str">
        <x:v>H10</x:v>
      </x:c>
      <x:c r="E542" s="34" t="str">
        <x:v>زیست‌بوم نوآوری، استعداد و تیم‌سازی</x:v>
      </x:c>
      <x:c r="F542" s="34" t="str">
        <x:v>P2</x:v>
      </x:c>
      <x:c r="G542" s="34" t="str">
        <x:v>اقدام اجرایی</x:v>
      </x:c>
      <x:c r="H542" s="39" t="str">
        <x:v>ثبت تیم ها</x:v>
      </x:c>
      <x:c r="I542" s="39" t="str">
        <x:v>پس از تثبیت پایه‌ها؛ پروژه‌محور</x:v>
      </x:c>
      <x:c r="J542" s="39" t="str">
        <x:v>سازنده زیست‌بوم + مدیر پورتفو</x:v>
      </x:c>
      <x:c r="K542" s="39" t="str"/>
      <x:c r="L542" s="39" t="str">
        <x:v>E112:P1978؛ E112:P2495؛ E112:P2959</x:v>
      </x:c>
      <x:c r="M542" s="39" t="str"/>
      <x:c r="N542" s="39" t="str">
        <x:v>نسخه پایه ۳۱۵۰</x:v>
      </x:c>
    </x:row>
    <x:row r="543" ht="34" customHeight="1">
      <x:c r="A543" s="34" t="str">
        <x:v>☐</x:v>
      </x:c>
      <x:c r="B543" s="34" t="str">
        <x:v>MI-2588</x:v>
      </x:c>
      <x:c r="C543" s="34" t="str">
        <x:v>M3 — کسب‌وکار، شبکه و زیست‌بوم نوآوری</x:v>
      </x:c>
      <x:c r="D543" s="34" t="str">
        <x:v>H10</x:v>
      </x:c>
      <x:c r="E543" s="34" t="str">
        <x:v>زیست‌بوم نوآوری، استعداد و تیم‌سازی</x:v>
      </x:c>
      <x:c r="F543" s="34" t="str">
        <x:v>P2</x:v>
      </x:c>
      <x:c r="G543" s="34" t="str">
        <x:v>اقدام اجرایی</x:v>
      </x:c>
      <x:c r="H543" s="39" t="str">
        <x:v>برنامه استعدادسنجی</x:v>
      </x:c>
      <x:c r="I543" s="39" t="str">
        <x:v>پس از تثبیت پایه‌ها؛ پروژه‌محور</x:v>
      </x:c>
      <x:c r="J543" s="39" t="str">
        <x:v>سازنده زیست‌بوم + مدیر پورتفو</x:v>
      </x:c>
      <x:c r="K543" s="39" t="str"/>
      <x:c r="L543" s="39" t="str">
        <x:v>E112:P2183</x:v>
      </x:c>
      <x:c r="M543" s="39" t="str"/>
      <x:c r="N543" s="39" t="str">
        <x:v>نسخه پایه ۳۱۵۰</x:v>
      </x:c>
    </x:row>
    <x:row r="544" ht="34" customHeight="1">
      <x:c r="A544" s="34" t="str">
        <x:v>☐</x:v>
      </x:c>
      <x:c r="B544" s="34" t="str">
        <x:v>MI-2628</x:v>
      </x:c>
      <x:c r="C544" s="34" t="str">
        <x:v>M3 — کسب‌وکار، شبکه و زیست‌بوم نوآوری</x:v>
      </x:c>
      <x:c r="D544" s="34" t="str">
        <x:v>H10</x:v>
      </x:c>
      <x:c r="E544" s="34" t="str">
        <x:v>زیست‌بوم نوآوری، استعداد و تیم‌سازی</x:v>
      </x:c>
      <x:c r="F544" s="34" t="str">
        <x:v>P2</x:v>
      </x:c>
      <x:c r="G544" s="34" t="str">
        <x:v>اقدام اجرایی</x:v>
      </x:c>
      <x:c r="H544" s="39" t="str">
        <x:v>برنامه های جذب کارآفرین (EiR)</x:v>
      </x:c>
      <x:c r="I544" s="39" t="str">
        <x:v>پس از تثبیت پایه‌ها؛ پروژه‌محور</x:v>
      </x:c>
      <x:c r="J544" s="39" t="str">
        <x:v>سازنده زیست‌بوم + مدیر پورتفو</x:v>
      </x:c>
      <x:c r="K544" s="39" t="str"/>
      <x:c r="L544" s="39" t="str">
        <x:v>E112:P2481</x:v>
      </x:c>
      <x:c r="M544" s="39" t="str"/>
      <x:c r="N544" s="39" t="str">
        <x:v>نسخه پایه ۳۱۵۰</x:v>
      </x:c>
    </x:row>
    <x:row r="545" ht="34" customHeight="1">
      <x:c r="A545" s="34" t="str">
        <x:v>☐</x:v>
      </x:c>
      <x:c r="B545" s="34" t="str">
        <x:v>MI-2700</x:v>
      </x:c>
      <x:c r="C545" s="34" t="str">
        <x:v>M3 — کسب‌وکار، شبکه و زیست‌بوم نوآوری</x:v>
      </x:c>
      <x:c r="D545" s="34" t="str">
        <x:v>H10</x:v>
      </x:c>
      <x:c r="E545" s="34" t="str">
        <x:v>زیست‌بوم نوآوری، استعداد و تیم‌سازی</x:v>
      </x:c>
      <x:c r="F545" s="34" t="str">
        <x:v>P2</x:v>
      </x:c>
      <x:c r="G545" s="34" t="str">
        <x:v>اقدام اجرایی</x:v>
      </x:c>
      <x:c r="H545" s="39" t="str">
        <x:v>استان مازندران ظرفیت بسیار خوبی برای برگزاری کمپ ها و اردوگاه های علمی و کارآفرینی دارد.</x:v>
      </x:c>
      <x:c r="I545" s="39" t="str">
        <x:v>پس از تثبیت پایه‌ها؛ پروژه‌محور</x:v>
      </x:c>
      <x:c r="J545" s="39" t="str">
        <x:v>سازنده زیست‌بوم + مدیر پورتفو</x:v>
      </x:c>
      <x:c r="K545" s="39" t="str"/>
      <x:c r="L545" s="39" t="str">
        <x:v>E112:P2678</x:v>
      </x:c>
      <x:c r="M545" s="39" t="str"/>
      <x:c r="N545" s="39" t="str">
        <x:v>نسخه پایه ۳۱۵۰</x:v>
      </x:c>
    </x:row>
    <x:row r="546" ht="34" customHeight="1">
      <x:c r="A546" s="34" t="str">
        <x:v>☐</x:v>
      </x:c>
      <x:c r="B546" s="34" t="str">
        <x:v>MI-2742</x:v>
      </x:c>
      <x:c r="C546" s="34" t="str">
        <x:v>M3 — کسب‌وکار، شبکه و زیست‌بوم نوآوری</x:v>
      </x:c>
      <x:c r="D546" s="34" t="str">
        <x:v>H10</x:v>
      </x:c>
      <x:c r="E546" s="34" t="str">
        <x:v>زیست‌بوم نوآوری، استعداد و تیم‌سازی</x:v>
      </x:c>
      <x:c r="F546" s="34" t="str">
        <x:v>P2</x:v>
      </x:c>
      <x:c r="G546" s="34" t="str">
        <x:v>اقدام اجرایی</x:v>
      </x:c>
      <x:c r="H546" s="39" t="str">
        <x:v>14. برنامه Entrepreneur in Residence (EiR)</x:v>
      </x:c>
      <x:c r="I546" s="39" t="str">
        <x:v>پس از تثبیت پایه‌ها؛ پروژه‌محور</x:v>
      </x:c>
      <x:c r="J546" s="39" t="str">
        <x:v>سازنده زیست‌بوم + مدیر پورتفو</x:v>
      </x:c>
      <x:c r="K546" s="39" t="str"/>
      <x:c r="L546" s="39" t="str">
        <x:v>E112:P2796</x:v>
      </x:c>
      <x:c r="M546" s="39" t="str"/>
      <x:c r="N546" s="39" t="str">
        <x:v>نسخه پایه ۳۱۵۰</x:v>
      </x:c>
    </x:row>
    <x:row r="547" ht="34" customHeight="1">
      <x:c r="A547" s="34" t="str">
        <x:v>☐</x:v>
      </x:c>
      <x:c r="B547" s="34" t="str">
        <x:v>MI-2743</x:v>
      </x:c>
      <x:c r="C547" s="34" t="str">
        <x:v>M3 — کسب‌وکار، شبکه و زیست‌بوم نوآوری</x:v>
      </x:c>
      <x:c r="D547" s="34" t="str">
        <x:v>H10</x:v>
      </x:c>
      <x:c r="E547" s="34" t="str">
        <x:v>زیست‌بوم نوآوری، استعداد و تیم‌سازی</x:v>
      </x:c>
      <x:c r="F547" s="34" t="str">
        <x:v>P2</x:v>
      </x:c>
      <x:c r="G547" s="34" t="str">
        <x:v>اقدام اجرایی</x:v>
      </x:c>
      <x:c r="H547" s="39" t="str">
        <x:v>یکی از ابزارهای مهم توسعه اکوسیستم برنامه Entrepreneur in Residence (EiR) است.</x:v>
      </x:c>
      <x:c r="I547" s="39" t="str">
        <x:v>پس از تثبیت پایه‌ها؛ پروژه‌محور</x:v>
      </x:c>
      <x:c r="J547" s="39" t="str">
        <x:v>سازنده زیست‌بوم + مدیر پورتفو</x:v>
      </x:c>
      <x:c r="K547" s="39" t="str"/>
      <x:c r="L547" s="39" t="str">
        <x:v>E112:P2798</x:v>
      </x:c>
      <x:c r="M547" s="39" t="str"/>
      <x:c r="N547" s="39" t="str">
        <x:v>نسخه پایه ۳۱۵۰</x:v>
      </x:c>
    </x:row>
    <x:row r="548" ht="34" customHeight="1">
      <x:c r="A548" s="34" t="str">
        <x:v>☐</x:v>
      </x:c>
      <x:c r="B548" s="34" t="str">
        <x:v>MI-2744</x:v>
      </x:c>
      <x:c r="C548" s="34" t="str">
        <x:v>M3 — کسب‌وکار، شبکه و زیست‌بوم نوآوری</x:v>
      </x:c>
      <x:c r="D548" s="34" t="str">
        <x:v>H10</x:v>
      </x:c>
      <x:c r="E548" s="34" t="str">
        <x:v>زیست‌بوم نوآوری، استعداد و تیم‌سازی</x:v>
      </x:c>
      <x:c r="F548" s="34" t="str">
        <x:v>P2</x:v>
      </x:c>
      <x:c r="G548" s="34" t="str">
        <x:v>اقدام اجرایی</x:v>
      </x:c>
      <x:c r="H548" s="39" t="str">
        <x:v>در این برنامه کارآفرینان باتجربه برای مدت مشخصی در اکوسیستم حضور پیدا می کنند.</x:v>
      </x:c>
      <x:c r="I548" s="39" t="str">
        <x:v>پس از تثبیت پایه‌ها؛ پروژه‌محور</x:v>
      </x:c>
      <x:c r="J548" s="39" t="str">
        <x:v>سازنده زیست‌بوم + مدیر پورتفو</x:v>
      </x:c>
      <x:c r="K548" s="39" t="str"/>
      <x:c r="L548" s="39" t="str">
        <x:v>E112:P2800</x:v>
      </x:c>
      <x:c r="M548" s="39" t="str"/>
      <x:c r="N548" s="39" t="str">
        <x:v>نسخه پایه ۳۱۵۰</x:v>
      </x:c>
    </x:row>
    <x:row r="549" ht="34" customHeight="1">
      <x:c r="A549" s="34" t="str">
        <x:v>☐</x:v>
      </x:c>
      <x:c r="B549" s="34" t="str">
        <x:v>MI-2760</x:v>
      </x:c>
      <x:c r="C549" s="34" t="str">
        <x:v>M3 — کسب‌وکار، شبکه و زیست‌بوم نوآوری</x:v>
      </x:c>
      <x:c r="D549" s="34" t="str">
        <x:v>H10</x:v>
      </x:c>
      <x:c r="E549" s="34" t="str">
        <x:v>زیست‌بوم نوآوری، استعداد و تیم‌سازی</x:v>
      </x:c>
      <x:c r="F549" s="34" t="str">
        <x:v>P2</x:v>
      </x:c>
      <x:c r="G549" s="34" t="str">
        <x:v>اقدام اجرایی</x:v>
      </x:c>
      <x:c r="H549" s="39" t="str">
        <x:v>برنامه EiR می تواند به جذب سرمایه خارجی نیز متصل شود.</x:v>
      </x:c>
      <x:c r="I549" s="39" t="str">
        <x:v>پس از تثبیت پایه‌ها؛ پروژه‌محور</x:v>
      </x:c>
      <x:c r="J549" s="39" t="str">
        <x:v>سازنده زیست‌بوم + مدیر پورتفو</x:v>
      </x:c>
      <x:c r="K549" s="39" t="str"/>
      <x:c r="L549" s="39" t="str">
        <x:v>E112:P2841</x:v>
      </x:c>
      <x:c r="M549" s="39" t="str"/>
      <x:c r="N549" s="39" t="str">
        <x:v>نسخه پایه ۳۱۵۰</x:v>
      </x:c>
    </x:row>
    <x:row r="550" ht="34" customHeight="1">
      <x:c r="A550" s="34" t="str">
        <x:v>☐</x:v>
      </x:c>
      <x:c r="B550" s="34" t="str">
        <x:v>MI-2862</x:v>
      </x:c>
      <x:c r="C550" s="34" t="str">
        <x:v>M3 — کسب‌وکار، شبکه و زیست‌بوم نوآوری</x:v>
      </x:c>
      <x:c r="D550" s="34" t="str">
        <x:v>H10</x:v>
      </x:c>
      <x:c r="E550" s="34" t="str">
        <x:v>زیست‌بوم نوآوری، استعداد و تیم‌سازی</x:v>
      </x:c>
      <x:c r="F550" s="34" t="str">
        <x:v>P2</x:v>
      </x:c>
      <x:c r="G550" s="34" t="str">
        <x:v>اقدام اجرایی</x:v>
      </x:c>
      <x:c r="H550" s="39" t="str">
        <x:v>لایه 11 — برنامه EiR</x:v>
      </x:c>
      <x:c r="I550" s="39" t="str">
        <x:v>پس از تثبیت پایه‌ها؛ پروژه‌محور</x:v>
      </x:c>
      <x:c r="J550" s="39" t="str">
        <x:v>سازنده زیست‌بوم + مدیر پورتفو</x:v>
      </x:c>
      <x:c r="K550" s="39" t="str"/>
      <x:c r="L550" s="39" t="str">
        <x:v>E112:P3128</x:v>
      </x:c>
      <x:c r="M550" s="39" t="str"/>
      <x:c r="N550" s="39" t="str">
        <x:v>نسخه پایه ۳۱۵۰</x:v>
      </x:c>
    </x:row>
    <x:row r="551" ht="34" customHeight="1">
      <x:c r="A551" s="34" t="str">
        <x:v>☐</x:v>
      </x:c>
      <x:c r="B551" s="34" t="str">
        <x:v>MI-2999</x:v>
      </x:c>
      <x:c r="C551" s="34" t="str">
        <x:v>M3 — کسب‌وکار، شبکه و زیست‌بوم نوآوری</x:v>
      </x:c>
      <x:c r="D551" s="34" t="str">
        <x:v>H10</x:v>
      </x:c>
      <x:c r="E551" s="34" t="str">
        <x:v>زیست‌بوم نوآوری، استعداد و تیم‌سازی</x:v>
      </x:c>
      <x:c r="F551" s="34" t="str">
        <x:v>P2</x:v>
      </x:c>
      <x:c r="G551" s="34" t="str">
        <x:v>اقدام اجرایی</x:v>
      </x:c>
      <x:c r="H551" s="39" t="str">
        <x:v>تعداد استعدادهای ثبت شده</x:v>
      </x:c>
      <x:c r="I551" s="39" t="str">
        <x:v>پس از تثبیت پایه‌ها؛ پروژه‌محور</x:v>
      </x:c>
      <x:c r="J551" s="39" t="str">
        <x:v>سازنده زیست‌بوم + مدیر پورتفو</x:v>
      </x:c>
      <x:c r="K551" s="39" t="str"/>
      <x:c r="L551" s="39" t="str">
        <x:v>E112:P3504</x:v>
      </x:c>
      <x:c r="M551" s="39" t="str"/>
      <x:c r="N551" s="39" t="str">
        <x:v>نسخه پایه ۳۱۵۰</x:v>
      </x:c>
    </x:row>
    <x:row r="552" ht="34" customHeight="1">
      <x:c r="A552" s="34" t="str">
        <x:v>☐</x:v>
      </x:c>
      <x:c r="B552" s="34" t="str">
        <x:v>MI-3016</x:v>
      </x:c>
      <x:c r="C552" s="34" t="str">
        <x:v>M3 — کسب‌وکار، شبکه و زیست‌بوم نوآوری</x:v>
      </x:c>
      <x:c r="D552" s="34" t="str">
        <x:v>H10</x:v>
      </x:c>
      <x:c r="E552" s="34" t="str">
        <x:v>زیست‌بوم نوآوری، استعداد و تیم‌سازی</x:v>
      </x:c>
      <x:c r="F552" s="34" t="str">
        <x:v>P2</x:v>
      </x:c>
      <x:c r="G552" s="34" t="str">
        <x:v>اقدام اجرایی</x:v>
      </x:c>
      <x:c r="H552" s="39" t="str">
        <x:v>برای راه افتادن اکوسیستم چند برنامه باید فعال شود.</x:v>
      </x:c>
      <x:c r="I552" s="39" t="str">
        <x:v>پس از تثبیت پایه‌ها؛ پروژه‌محور</x:v>
      </x:c>
      <x:c r="J552" s="39" t="str">
        <x:v>سازنده زیست‌بوم + مدیر پورتفو</x:v>
      </x:c>
      <x:c r="K552" s="39" t="str"/>
      <x:c r="L552" s="39" t="str">
        <x:v>E112:P3548</x:v>
      </x:c>
      <x:c r="M552" s="39" t="str"/>
      <x:c r="N552" s="39" t="str">
        <x:v>نسخه پایه ۳۱۵۰</x:v>
      </x:c>
    </x:row>
    <x:row r="553" ht="34" customHeight="1">
      <x:c r="A553" s="34" t="str">
        <x:v>☐</x:v>
      </x:c>
      <x:c r="B553" s="34" t="str">
        <x:v>MI-1422</x:v>
      </x:c>
      <x:c r="C553" s="34" t="str">
        <x:v>M3 — کسب‌وکار، شبکه و زیست‌بوم نوآوری</x:v>
      </x:c>
      <x:c r="D553" s="34" t="str">
        <x:v>H10</x:v>
      </x:c>
      <x:c r="E553" s="34" t="str">
        <x:v>زیست‌بوم نوآوری، استعداد و تیم‌سازی</x:v>
      </x:c>
      <x:c r="F553" s="34" t="str">
        <x:v>P2</x:v>
      </x:c>
      <x:c r="G553" s="34" t="str">
        <x:v>پروژه/طرح</x:v>
      </x:c>
      <x:c r="H553" s="39" t="str">
        <x:v>مرکز رشد</x:v>
      </x:c>
      <x:c r="I553" s="39" t="str">
        <x:v>پس از تثبیت پایه‌ها؛ پروژه‌محور</x:v>
      </x:c>
      <x:c r="J553" s="39" t="str">
        <x:v>سازنده زیست‌بوم + مدیر پورتفو</x:v>
      </x:c>
      <x:c r="K553" s="39" t="str"/>
      <x:c r="L553" s="39" t="str">
        <x:v>AP:P1320؛ E112:P535</x:v>
      </x:c>
      <x:c r="M553" s="39" t="str"/>
      <x:c r="N553" s="39" t="str">
        <x:v>نسخه پایه ۳۱۵۰</x:v>
      </x:c>
    </x:row>
    <x:row r="554" ht="34" customHeight="1">
      <x:c r="A554" s="34" t="str">
        <x:v>☐</x:v>
      </x:c>
      <x:c r="B554" s="34" t="str">
        <x:v>MI-1572</x:v>
      </x:c>
      <x:c r="C554" s="34" t="str">
        <x:v>M3 — کسب‌وکار، شبکه و زیست‌بوم نوآوری</x:v>
      </x:c>
      <x:c r="D554" s="34" t="str">
        <x:v>H10</x:v>
      </x:c>
      <x:c r="E554" s="34" t="str">
        <x:v>زیست‌بوم نوآوری، استعداد و تیم‌سازی</x:v>
      </x:c>
      <x:c r="F554" s="34" t="str">
        <x:v>P2</x:v>
      </x:c>
      <x:c r="G554" s="34" t="str">
        <x:v>پروژه/طرح</x:v>
      </x:c>
      <x:c r="H554" s="39" t="str">
        <x:v>مرکز نوآوری شروع و امثالش میتونن تیم سازی کنن تیم ها رو حمایت کنن بستری مهیا کنن که از شبکه منتور های استان بتونن روی تیم ها سوار بشن یا عارضه یابی هایی حوزه های مختلف استان رو تبدیل به پروژه های قابل انجام کنن، همچنین باید در این میان تیم سازی شکل بگیره ، و افراد بتونن روی تیم هاشون کار کنن نتیجه بگیرن ،</x:v>
      </x:c>
      <x:c r="I554" s="39" t="str">
        <x:v>پس از تثبیت پایه‌ها؛ پروژه‌محور</x:v>
      </x:c>
      <x:c r="J554" s="39" t="str">
        <x:v>سازنده زیست‌بوم + مدیر پورتفو</x:v>
      </x:c>
      <x:c r="K554" s="39" t="str"/>
      <x:c r="L554" s="39" t="str">
        <x:v>E112:P1؛ E112:P1781؛ E112:P2247</x:v>
      </x:c>
      <x:c r="M554" s="39" t="str"/>
      <x:c r="N554" s="39" t="str">
        <x:v>نسخه پایه ۳۱۵۰</x:v>
      </x:c>
    </x:row>
    <x:row r="555" ht="34" customHeight="1">
      <x:c r="A555" s="34" t="str">
        <x:v>☐</x:v>
      </x:c>
      <x:c r="B555" s="34" t="str">
        <x:v>MI-1573</x:v>
      </x:c>
      <x:c r="C555" s="34" t="str">
        <x:v>M3 — کسب‌وکار، شبکه و زیست‌بوم نوآوری</x:v>
      </x:c>
      <x:c r="D555" s="34" t="str">
        <x:v>H10</x:v>
      </x:c>
      <x:c r="E555" s="34" t="str">
        <x:v>زیست‌بوم نوآوری، استعداد و تیم‌سازی</x:v>
      </x:c>
      <x:c r="F555" s="34" t="str">
        <x:v>P2</x:v>
      </x:c>
      <x:c r="G555" s="34" t="str">
        <x:v>پروژه/طرح</x:v>
      </x:c>
      <x:c r="H555" s="39" t="str">
        <x:v>البته یه سامانه نیازه که این عملکرد تیم ها رو ثبت کنه و به صورت بر خط بشه اتوماسیون تشکیل یه تیم با افراد یا هماهنگ شده باشن از قبل یا نه ما معرفی کنیم در یه حوزه کار کنن ، یه استاد یا یه نفر از شبکه منتور های استان هم میتونیم بزاریم روی این پروژه ها</x:v>
      </x:c>
      <x:c r="I555" s="39" t="str">
        <x:v>پس از تثبیت پایه‌ها؛ پروژه‌محور</x:v>
      </x:c>
      <x:c r="J555" s="39" t="str">
        <x:v>سازنده زیست‌بوم + مدیر پورتفو</x:v>
      </x:c>
      <x:c r="K555" s="39" t="str"/>
      <x:c r="L555" s="39" t="str">
        <x:v>E112:P3؛ E112:P1783؛ E112:P2249</x:v>
      </x:c>
      <x:c r="M555" s="39" t="str"/>
      <x:c r="N555" s="39" t="str">
        <x:v>نسخه پایه ۳۱۵۰</x:v>
      </x:c>
    </x:row>
    <x:row r="556" ht="34" customHeight="1">
      <x:c r="A556" s="34" t="str">
        <x:v>☐</x:v>
      </x:c>
      <x:c r="B556" s="34" t="str">
        <x:v>MI-1581</x:v>
      </x:c>
      <x:c r="C556" s="34" t="str">
        <x:v>M3 — کسب‌وکار، شبکه و زیست‌بوم نوآوری</x:v>
      </x:c>
      <x:c r="D556" s="34" t="str">
        <x:v>H10</x:v>
      </x:c>
      <x:c r="E556" s="34" t="str">
        <x:v>زیست‌بوم نوآوری، استعداد و تیم‌سازی</x:v>
      </x:c>
      <x:c r="F556" s="34" t="str">
        <x:v>P2</x:v>
      </x:c>
      <x:c r="G556" s="34" t="str">
        <x:v>پروژه/طرح</x:v>
      </x:c>
      <x:c r="H556" s="39" t="str">
        <x:v>مثلا تیم کاشف میاد یه اردوگاه یا اقامتگاه تفریحی براش مهیا میشه چند روزی نشست تخصصی و فهم مسیله و عارضه حالا تیم ها هم میتونن در مدت زمانی خاص بعد پیشروی در پروژه به فراخور اون در صنعت مورد نظر با تیم متخصص دیدار هایی در جلساتی داشته باشند</x:v>
      </x:c>
      <x:c r="I556" s="39" t="str">
        <x:v>پس از تثبیت پایه‌ها؛ پروژه‌محور</x:v>
      </x:c>
      <x:c r="J556" s="39" t="str">
        <x:v>سازنده زیست‌بوم + مدیر پورتفو</x:v>
      </x:c>
      <x:c r="K556" s="39" t="str"/>
      <x:c r="L556" s="39" t="str">
        <x:v>E112:P20؛ E112:P1800؛ E112:P2266</x:v>
      </x:c>
      <x:c r="M556" s="39" t="str"/>
      <x:c r="N556" s="39" t="str">
        <x:v>نسخه پایه ۳۱۵۰</x:v>
      </x:c>
    </x:row>
    <x:row r="557" ht="34" customHeight="1">
      <x:c r="A557" s="34" t="str">
        <x:v>☐</x:v>
      </x:c>
      <x:c r="B557" s="34" t="str">
        <x:v>MI-1597</x:v>
      </x:c>
      <x:c r="C557" s="34" t="str">
        <x:v>M3 — کسب‌وکار، شبکه و زیست‌بوم نوآوری</x:v>
      </x:c>
      <x:c r="D557" s="34" t="str">
        <x:v>H10</x:v>
      </x:c>
      <x:c r="E557" s="34" t="str">
        <x:v>زیست‌بوم نوآوری، استعداد و تیم‌سازی</x:v>
      </x:c>
      <x:c r="F557" s="34" t="str">
        <x:v>P2</x:v>
      </x:c>
      <x:c r="G557" s="34" t="str">
        <x:v>پروژه/طرح</x:v>
      </x:c>
      <x:c r="H557" s="39" t="str">
        <x:v>طرح Entrepreneur in Residence (EiR) محدود به داخل کشور نیست؛ کاملاً می تواند بین المللی هم باشد. در واقع در بسیاری از اکوسیستم های دنیا دو مدل اجرا می شود:</x:v>
      </x:c>
      <x:c r="I557" s="39" t="str">
        <x:v>پس از تثبیت پایه‌ها؛ پروژه‌محور</x:v>
      </x:c>
      <x:c r="J557" s="39" t="str">
        <x:v>سازنده زیست‌بوم + مدیر پورتفو</x:v>
      </x:c>
      <x:c r="K557" s="39" t="str"/>
      <x:c r="L557" s="39" t="str">
        <x:v>E112:P54؛ E112:P1512؛ E112:P1834؛ E112:P2300</x:v>
      </x:c>
      <x:c r="M557" s="39" t="str"/>
      <x:c r="N557" s="39" t="str">
        <x:v>نسخه پایه ۳۱۵۰</x:v>
      </x:c>
    </x:row>
    <x:row r="558" ht="34" customHeight="1">
      <x:c r="A558" s="34" t="str">
        <x:v>☐</x:v>
      </x:c>
      <x:c r="B558" s="34" t="str">
        <x:v>MI-1611</x:v>
      </x:c>
      <x:c r="C558" s="34" t="str">
        <x:v>M3 — کسب‌وکار، شبکه و زیست‌بوم نوآوری</x:v>
      </x:c>
      <x:c r="D558" s="34" t="str">
        <x:v>H10</x:v>
      </x:c>
      <x:c r="E558" s="34" t="str">
        <x:v>زیست‌بوم نوآوری، استعداد و تیم‌سازی</x:v>
      </x:c>
      <x:c r="F558" s="34" t="str">
        <x:v>P2</x:v>
      </x:c>
      <x:c r="G558" s="34" t="str">
        <x:v>پروژه/طرح</x:v>
      </x:c>
      <x:c r="H558" s="39" t="str">
        <x:v>برای مازندران این مدل بسیار ارزشمند است چون می تواند پل بین اکوسیستم محلی و جهانی ایجاد کند.</x:v>
      </x:c>
      <x:c r="I558" s="39" t="str">
        <x:v>پس از تثبیت پایه‌ها؛ پروژه‌محور</x:v>
      </x:c>
      <x:c r="J558" s="39" t="str">
        <x:v>سازنده زیست‌بوم + مدیر پورتفو</x:v>
      </x:c>
      <x:c r="K558" s="39" t="str"/>
      <x:c r="L558" s="39" t="str">
        <x:v>E112:P69؛ E112:P1533؛ E112:P1849؛ E112:P2315</x:v>
      </x:c>
      <x:c r="M558" s="39" t="str"/>
      <x:c r="N558" s="39" t="str">
        <x:v>نسخه پایه ۳۱۵۰</x:v>
      </x:c>
    </x:row>
    <x:row r="559" ht="34" customHeight="1">
      <x:c r="A559" s="34" t="str">
        <x:v>☐</x:v>
      </x:c>
      <x:c r="B559" s="34" t="str">
        <x:v>MI-1623</x:v>
      </x:c>
      <x:c r="C559" s="34" t="str">
        <x:v>M3 — کسب‌وکار، شبکه و زیست‌بوم نوآوری</x:v>
      </x:c>
      <x:c r="D559" s="34" t="str">
        <x:v>H10</x:v>
      </x:c>
      <x:c r="E559" s="34" t="str">
        <x:v>زیست‌بوم نوآوری، استعداد و تیم‌سازی</x:v>
      </x:c>
      <x:c r="F559" s="34" t="str">
        <x:v>P2</x:v>
      </x:c>
      <x:c r="G559" s="34" t="str">
        <x:v>پروژه/طرح</x:v>
      </x:c>
      <x:c r="H559" s="39" t="str">
        <x:v>EiR می تواند داخلی، بین المللی یا ترکیبی باشد؛ و اگر هدف توسعه زیست بوم مازندران است، مدل بین المللی یا diaspora (ایرانیان خارج از کشور) بیشترین ارزش را ایجاد می کند.</x:v>
      </x:c>
      <x:c r="I559" s="39" t="str">
        <x:v>پس از تثبیت پایه‌ها؛ پروژه‌محور</x:v>
      </x:c>
      <x:c r="J559" s="39" t="str">
        <x:v>سازنده زیست‌بوم + مدیر پورتفو</x:v>
      </x:c>
      <x:c r="K559" s="39" t="str"/>
      <x:c r="L559" s="39" t="str">
        <x:v>E112:P83؛ E112:P1552؛ E112:P1863؛ E112:P2329</x:v>
      </x:c>
      <x:c r="M559" s="39" t="str"/>
      <x:c r="N559" s="39" t="str">
        <x:v>نسخه پایه ۳۱۵۰</x:v>
      </x:c>
    </x:row>
    <x:row r="560" ht="34" customHeight="1">
      <x:c r="A560" s="34" t="str">
        <x:v>☐</x:v>
      </x:c>
      <x:c r="B560" s="34" t="str">
        <x:v>MI-1682</x:v>
      </x:c>
      <x:c r="C560" s="34" t="str">
        <x:v>M3 — کسب‌وکار، شبکه و زیست‌بوم نوآوری</x:v>
      </x:c>
      <x:c r="D560" s="34" t="str">
        <x:v>H10</x:v>
      </x:c>
      <x:c r="E560" s="34" t="str">
        <x:v>زیست‌بوم نوآوری، استعداد و تیم‌سازی</x:v>
      </x:c>
      <x:c r="F560" s="34" t="str">
        <x:v>P2</x:v>
      </x:c>
      <x:c r="G560" s="34" t="str">
        <x:v>پروژه/طرح</x:v>
      </x:c>
      <x:c r="H560" s="39" t="str">
        <x:v>بله؛ می توان EiR را به یک ابزار عملی برای انتقال مدل های موفق، جذب سرمایه، و اجرای پروژه در مازندران تبدیل کرد. سه مسیر مکمل:</x:v>
      </x:c>
      <x:c r="I560" s="39" t="str">
        <x:v>پس از تثبیت پایه‌ها؛ پروژه‌محور</x:v>
      </x:c>
      <x:c r="J560" s="39" t="str">
        <x:v>سازنده زیست‌بوم + مدیر پورتفو</x:v>
      </x:c>
      <x:c r="K560" s="39" t="str"/>
      <x:c r="L560" s="39" t="str">
        <x:v>E112:P148؛ E112:P1658؛ E112:P1930؛ E112:P2396</x:v>
      </x:c>
      <x:c r="M560" s="39" t="str"/>
      <x:c r="N560" s="39" t="str">
        <x:v>نسخه پایه ۳۱۵۰</x:v>
      </x:c>
    </x:row>
    <x:row r="561" ht="34" customHeight="1">
      <x:c r="A561" s="34" t="str">
        <x:v>☐</x:v>
      </x:c>
      <x:c r="B561" s="34" t="str">
        <x:v>MI-1705</x:v>
      </x:c>
      <x:c r="C561" s="34" t="str">
        <x:v>M3 — کسب‌وکار، شبکه و زیست‌بوم نوآوری</x:v>
      </x:c>
      <x:c r="D561" s="34" t="str">
        <x:v>H10</x:v>
      </x:c>
      <x:c r="E561" s="34" t="str">
        <x:v>زیست‌بوم نوآوری، استعداد و تیم‌سازی</x:v>
      </x:c>
      <x:c r="F561" s="34" t="str">
        <x:v>P2</x:v>
      </x:c>
      <x:c r="G561" s="34" t="str">
        <x:v>پروژه/طرح</x:v>
      </x:c>
      <x:c r="H561" s="39" t="str">
        <x:v>o راه اندازی تیم های محلی</x:v>
      </x:c>
      <x:c r="I561" s="39" t="str">
        <x:v>پس از تثبیت پایه‌ها؛ پروژه‌محور</x:v>
      </x:c>
      <x:c r="J561" s="39" t="str">
        <x:v>سازنده زیست‌بوم + مدیر پورتفو</x:v>
      </x:c>
      <x:c r="K561" s="39" t="str"/>
      <x:c r="L561" s="39" t="str">
        <x:v>E112:P171؛ E112:P1688؛ E112:P1953؛ E112:P2419</x:v>
      </x:c>
      <x:c r="M561" s="39" t="str"/>
      <x:c r="N561" s="39" t="str">
        <x:v>نسخه پایه ۳۱۵۰</x:v>
      </x:c>
    </x:row>
    <x:row r="562" ht="34" customHeight="1">
      <x:c r="A562" s="34" t="str">
        <x:v>☐</x:v>
      </x:c>
      <x:c r="B562" s="34" t="str">
        <x:v>MI-1716</x:v>
      </x:c>
      <x:c r="C562" s="34" t="str">
        <x:v>M3 — کسب‌وکار، شبکه و زیست‌بوم نوآوری</x:v>
      </x:c>
      <x:c r="D562" s="34" t="str">
        <x:v>H10</x:v>
      </x:c>
      <x:c r="E562" s="34" t="str">
        <x:v>زیست‌بوم نوآوری، استعداد و تیم‌سازی</x:v>
      </x:c>
      <x:c r="F562" s="34" t="str">
        <x:v>P2</x:v>
      </x:c>
      <x:c r="G562" s="34" t="str">
        <x:v>پروژه/طرح</x:v>
      </x:c>
      <x:c r="H562" s="39" t="str">
        <x:v>خروجی: امضای تفاهم نامه ها، تعریف پایلوت ها، تشکیل تیم ها.</x:v>
      </x:c>
      <x:c r="I562" s="39" t="str">
        <x:v>پس از تثبیت پایه‌ها؛ پروژه‌محور</x:v>
      </x:c>
      <x:c r="J562" s="39" t="str">
        <x:v>سازنده زیست‌بوم + مدیر پورتفو</x:v>
      </x:c>
      <x:c r="K562" s="39" t="str"/>
      <x:c r="L562" s="39" t="str">
        <x:v>E112:P182؛ E112:P1705؛ E112:P1964؛ E112:P2430</x:v>
      </x:c>
      <x:c r="M562" s="39" t="str"/>
      <x:c r="N562" s="39" t="str">
        <x:v>نسخه پایه ۳۱۵۰</x:v>
      </x:c>
    </x:row>
    <x:row r="563" ht="34" customHeight="1">
      <x:c r="A563" s="34" t="str">
        <x:v>☐</x:v>
      </x:c>
      <x:c r="B563" s="34" t="str">
        <x:v>MI-1980</x:v>
      </x:c>
      <x:c r="C563" s="34" t="str">
        <x:v>M3 — کسب‌وکار، شبکه و زیست‌بوم نوآوری</x:v>
      </x:c>
      <x:c r="D563" s="34" t="str">
        <x:v>H10</x:v>
      </x:c>
      <x:c r="E563" s="34" t="str">
        <x:v>زیست‌بوم نوآوری، استعداد و تیم‌سازی</x:v>
      </x:c>
      <x:c r="F563" s="34" t="str">
        <x:v>P2</x:v>
      </x:c>
      <x:c r="G563" s="34" t="str">
        <x:v>پروژه/طرح</x:v>
      </x:c>
      <x:c r="H563" s="39" t="str">
        <x:v>تیم های پروژه ای</x:v>
      </x:c>
      <x:c r="I563" s="39" t="str">
        <x:v>پس از تثبیت پایه‌ها؛ پروژه‌محور</x:v>
      </x:c>
      <x:c r="J563" s="39" t="str">
        <x:v>سازنده زیست‌بوم + مدیر پورتفو</x:v>
      </x:c>
      <x:c r="K563" s="39" t="str"/>
      <x:c r="L563" s="39" t="str">
        <x:v>E112:P613</x:v>
      </x:c>
      <x:c r="M563" s="39" t="str"/>
      <x:c r="N563" s="39" t="str">
        <x:v>نسخه پایه ۳۱۵۰</x:v>
      </x:c>
    </x:row>
    <x:row r="564" ht="34" customHeight="1">
      <x:c r="A564" s="34" t="str">
        <x:v>☐</x:v>
      </x:c>
      <x:c r="B564" s="34" t="str">
        <x:v>MI-2386</x:v>
      </x:c>
      <x:c r="C564" s="34" t="str">
        <x:v>M3 — کسب‌وکار، شبکه و زیست‌بوم نوآوری</x:v>
      </x:c>
      <x:c r="D564" s="34" t="str">
        <x:v>H10</x:v>
      </x:c>
      <x:c r="E564" s="34" t="str">
        <x:v>زیست‌بوم نوآوری، استعداد و تیم‌سازی</x:v>
      </x:c>
      <x:c r="F564" s="34" t="str">
        <x:v>P2</x:v>
      </x:c>
      <x:c r="G564" s="34" t="str">
        <x:v>پروژه/طرح</x:v>
      </x:c>
      <x:c r="H564" s="39" t="str">
        <x:v>اگر فقط رویداد برگزار شود، اکوسیستم ساخته نمی شود.</x:v>
      </x:c>
      <x:c r="I564" s="39" t="str">
        <x:v>پس از تثبیت پایه‌ها؛ پروژه‌محور</x:v>
      </x:c>
      <x:c r="J564" s="39" t="str">
        <x:v>سازنده زیست‌بوم + مدیر پورتفو</x:v>
      </x:c>
      <x:c r="K564" s="39" t="str"/>
      <x:c r="L564" s="39" t="str">
        <x:v>E112:P1436</x:v>
      </x:c>
      <x:c r="M564" s="39" t="str"/>
      <x:c r="N564" s="39" t="str">
        <x:v>نسخه پایه ۳۱۵۰</x:v>
      </x:c>
    </x:row>
    <x:row r="565" ht="34" customHeight="1">
      <x:c r="A565" s="34" t="str">
        <x:v>☐</x:v>
      </x:c>
      <x:c r="B565" s="34" t="str">
        <x:v>MI-2387</x:v>
      </x:c>
      <x:c r="C565" s="34" t="str">
        <x:v>M3 — کسب‌وکار، شبکه و زیست‌بوم نوآوری</x:v>
      </x:c>
      <x:c r="D565" s="34" t="str">
        <x:v>H10</x:v>
      </x:c>
      <x:c r="E565" s="34" t="str">
        <x:v>زیست‌بوم نوآوری، استعداد و تیم‌سازی</x:v>
      </x:c>
      <x:c r="F565" s="34" t="str">
        <x:v>P2</x:v>
      </x:c>
      <x:c r="G565" s="34" t="str">
        <x:v>پروژه/طرح</x:v>
      </x:c>
      <x:c r="H565" s="39" t="str">
        <x:v>اکوسیستم وقتی ساخته می شود که این چرخه شکل بگیرد:</x:v>
      </x:c>
      <x:c r="I565" s="39" t="str">
        <x:v>پس از تثبیت پایه‌ها؛ پروژه‌محور</x:v>
      </x:c>
      <x:c r="J565" s="39" t="str">
        <x:v>سازنده زیست‌بوم + مدیر پورتفو</x:v>
      </x:c>
      <x:c r="K565" s="39" t="str"/>
      <x:c r="L565" s="39" t="str">
        <x:v>E112:P1438</x:v>
      </x:c>
      <x:c r="M565" s="39" t="str"/>
      <x:c r="N565" s="39" t="str">
        <x:v>نسخه پایه ۳۱۵۰</x:v>
      </x:c>
    </x:row>
    <x:row r="566" ht="34" customHeight="1">
      <x:c r="A566" s="34" t="str">
        <x:v>☐</x:v>
      </x:c>
      <x:c r="B566" s="34" t="str">
        <x:v>MI-2480</x:v>
      </x:c>
      <x:c r="C566" s="34" t="str">
        <x:v>M3 — کسب‌وکار، شبکه و زیست‌بوم نوآوری</x:v>
      </x:c>
      <x:c r="D566" s="34" t="str">
        <x:v>H10</x:v>
      </x:c>
      <x:c r="E566" s="34" t="str">
        <x:v>زیست‌بوم نوآوری، استعداد و تیم‌سازی</x:v>
      </x:c>
      <x:c r="F566" s="34" t="str">
        <x:v>P2</x:v>
      </x:c>
      <x:c r="G566" s="34" t="str">
        <x:v>پروژه/طرح</x:v>
      </x:c>
      <x:c r="H566" s="39" t="str">
        <x:v>یک سامانه مرکزی اکوسیستم که کارش این است:</x:v>
      </x:c>
      <x:c r="I566" s="39" t="str">
        <x:v>پس از تثبیت پایه‌ها؛ پروژه‌محور</x:v>
      </x:c>
      <x:c r="J566" s="39" t="str">
        <x:v>سازنده زیست‌بوم + مدیر پورتفو</x:v>
      </x:c>
      <x:c r="K566" s="39" t="str"/>
      <x:c r="L566" s="39" t="str">
        <x:v>E112:P1972</x:v>
      </x:c>
      <x:c r="M566" s="39" t="str"/>
      <x:c r="N566" s="39" t="str">
        <x:v>نسخه پایه ۳۱۵۰</x:v>
      </x:c>
    </x:row>
    <x:row r="567" ht="34" customHeight="1">
      <x:c r="A567" s="34" t="str">
        <x:v>☐</x:v>
      </x:c>
      <x:c r="B567" s="34" t="str">
        <x:v>MI-2543</x:v>
      </x:c>
      <x:c r="C567" s="34" t="str">
        <x:v>M3 — کسب‌وکار، شبکه و زیست‌بوم نوآوری</x:v>
      </x:c>
      <x:c r="D567" s="34" t="str">
        <x:v>H10</x:v>
      </x:c>
      <x:c r="E567" s="34" t="str">
        <x:v>زیست‌بوم نوآوری، استعداد و تیم‌سازی</x:v>
      </x:c>
      <x:c r="F567" s="34" t="str">
        <x:v>P2</x:v>
      </x:c>
      <x:c r="G567" s="34" t="str">
        <x:v>پروژه/طرح</x:v>
      </x:c>
      <x:c r="H567" s="39" t="str">
        <x:v>مسیله → تیم → منتور → پروژه → محصول</x:v>
      </x:c>
      <x:c r="I567" s="39" t="str">
        <x:v>پس از تثبیت پایه‌ها؛ پروژه‌محور</x:v>
      </x:c>
      <x:c r="J567" s="39" t="str">
        <x:v>سازنده زیست‌بوم + مدیر پورتفو</x:v>
      </x:c>
      <x:c r="K567" s="39" t="str"/>
      <x:c r="L567" s="39" t="str">
        <x:v>E112:P2083</x:v>
      </x:c>
      <x:c r="M567" s="39" t="str"/>
      <x:c r="N567" s="39" t="str">
        <x:v>نسخه پایه ۳۱۵۰</x:v>
      </x:c>
    </x:row>
    <x:row r="568" ht="34" customHeight="1">
      <x:c r="A568" s="34" t="str">
        <x:v>☐</x:v>
      </x:c>
      <x:c r="B568" s="34" t="str">
        <x:v>MI-2547</x:v>
      </x:c>
      <x:c r="C568" s="34" t="str">
        <x:v>M3 — کسب‌وکار، شبکه و زیست‌بوم نوآوری</x:v>
      </x:c>
      <x:c r="D568" s="34" t="str">
        <x:v>H10</x:v>
      </x:c>
      <x:c r="E568" s="34" t="str">
        <x:v>زیست‌بوم نوآوری، استعداد و تیم‌سازی</x:v>
      </x:c>
      <x:c r="F568" s="34" t="str">
        <x:v>P2</x:v>
      </x:c>
      <x:c r="G568" s="34" t="str">
        <x:v>پروژه/طرح</x:v>
      </x:c>
      <x:c r="H568" s="39" t="str">
        <x:v>تعریف پروژه برای تیم ها</x:v>
      </x:c>
      <x:c r="I568" s="39" t="str">
        <x:v>پس از تثبیت پایه‌ها؛ پروژه‌محور</x:v>
      </x:c>
      <x:c r="J568" s="39" t="str">
        <x:v>سازنده زیست‌بوم + مدیر پورتفو</x:v>
      </x:c>
      <x:c r="K568" s="39" t="str"/>
      <x:c r="L568" s="39" t="str">
        <x:v>E112:P2097</x:v>
      </x:c>
      <x:c r="M568" s="39" t="str"/>
      <x:c r="N568" s="39" t="str">
        <x:v>نسخه پایه ۳۱۵۰</x:v>
      </x:c>
    </x:row>
    <x:row r="569" ht="34" customHeight="1">
      <x:c r="A569" s="34" t="str">
        <x:v>☐</x:v>
      </x:c>
      <x:c r="B569" s="34" t="str">
        <x:v>MI-2591</x:v>
      </x:c>
      <x:c r="C569" s="34" t="str">
        <x:v>M3 — کسب‌وکار، شبکه و زیست‌بوم نوآوری</x:v>
      </x:c>
      <x:c r="D569" s="34" t="str">
        <x:v>H10</x:v>
      </x:c>
      <x:c r="E569" s="34" t="str">
        <x:v>زیست‌بوم نوآوری، استعداد و تیم‌سازی</x:v>
      </x:c>
      <x:c r="F569" s="34" t="str">
        <x:v>P2</x:v>
      </x:c>
      <x:c r="G569" s="34" t="str">
        <x:v>پروژه/طرح</x:v>
      </x:c>
      <x:c r="H569" s="39" t="str">
        <x:v>ساخت نسل آینده اکوسیستم.</x:v>
      </x:c>
      <x:c r="I569" s="39" t="str">
        <x:v>پس از تثبیت پایه‌ها؛ پروژه‌محور</x:v>
      </x:c>
      <x:c r="J569" s="39" t="str">
        <x:v>سازنده زیست‌بوم + مدیر پورتفو</x:v>
      </x:c>
      <x:c r="K569" s="39" t="str"/>
      <x:c r="L569" s="39" t="str">
        <x:v>E112:P2189</x:v>
      </x:c>
      <x:c r="M569" s="39" t="str"/>
      <x:c r="N569" s="39" t="str">
        <x:v>نسخه پایه ۳۱۵۰</x:v>
      </x:c>
    </x:row>
    <x:row r="570" ht="34" customHeight="1">
      <x:c r="A570" s="34" t="str">
        <x:v>☐</x:v>
      </x:c>
      <x:c r="B570" s="34" t="str">
        <x:v>MI-2610</x:v>
      </x:c>
      <x:c r="C570" s="34" t="str">
        <x:v>M3 — کسب‌وکار، شبکه و زیست‌بوم نوآوری</x:v>
      </x:c>
      <x:c r="D570" s="34" t="str">
        <x:v>H10</x:v>
      </x:c>
      <x:c r="E570" s="34" t="str">
        <x:v>زیست‌بوم نوآوری، استعداد و تیم‌سازی</x:v>
      </x:c>
      <x:c r="F570" s="34" t="str">
        <x:v>P2</x:v>
      </x:c>
      <x:c r="G570" s="34" t="str">
        <x:v>پروژه/طرح</x:v>
      </x:c>
      <x:c r="H570" s="39" t="str">
        <x:v>من متن شما را بازسازی کردم تا تبدیل شود به یک سند منسجم طراحی زیست بوم نوآوری، کارآفرینی و هدایت استعداد در استان مازندران. سعی کردم همه چیزهایی که در کل گفتگو مطرح شده داخل یک چارچوب منطقی قرار بگیرد: از پایش استعداد تا تشکیل شرکت و حتی جذب سرمایه خارجی.</x:v>
      </x:c>
      <x:c r="I570" s="39" t="str">
        <x:v>پس از تثبیت پایه‌ها؛ پروژه‌محور</x:v>
      </x:c>
      <x:c r="J570" s="39" t="str">
        <x:v>سازنده زیست‌بوم + مدیر پورتفو</x:v>
      </x:c>
      <x:c r="K570" s="39" t="str"/>
      <x:c r="L570" s="39" t="str">
        <x:v>E112:P2443</x:v>
      </x:c>
      <x:c r="M570" s="39" t="str"/>
      <x:c r="N570" s="39" t="str">
        <x:v>نسخه پایه ۳۱۵۰</x:v>
      </x:c>
    </x:row>
    <x:row r="571" ht="34" customHeight="1">
      <x:c r="A571" s="34" t="str">
        <x:v>☐</x:v>
      </x:c>
      <x:c r="B571" s="34" t="str">
        <x:v>MI-2624</x:v>
      </x:c>
      <x:c r="C571" s="34" t="str">
        <x:v>M3 — کسب‌وکار، شبکه و زیست‌بوم نوآوری</x:v>
      </x:c>
      <x:c r="D571" s="34" t="str">
        <x:v>H10</x:v>
      </x:c>
      <x:c r="E571" s="34" t="str">
        <x:v>زیست‌بوم نوآوری، استعداد و تیم‌سازی</x:v>
      </x:c>
      <x:c r="F571" s="34" t="str">
        <x:v>P2</x:v>
      </x:c>
      <x:c r="G571" s="34" t="str">
        <x:v>پروژه/طرح</x:v>
      </x:c>
      <x:c r="H571" s="39" t="str">
        <x:v>سامانه پایش استعداد</x:v>
      </x:c>
      <x:c r="I571" s="39" t="str">
        <x:v>پس از تثبیت پایه‌ها؛ پروژه‌محور</x:v>
      </x:c>
      <x:c r="J571" s="39" t="str">
        <x:v>سازنده زیست‌بوم + مدیر پورتفو</x:v>
      </x:c>
      <x:c r="K571" s="39" t="str"/>
      <x:c r="L571" s="39" t="str">
        <x:v>E112:P2474؛ E112:P3199؛ E112:P3333</x:v>
      </x:c>
      <x:c r="M571" s="39" t="str"/>
      <x:c r="N571" s="39" t="str">
        <x:v>نسخه پایه ۳۱۵۰</x:v>
      </x:c>
    </x:row>
    <x:row r="572" ht="34" customHeight="1">
      <x:c r="A572" s="34" t="str">
        <x:v>☐</x:v>
      </x:c>
      <x:c r="B572" s="34" t="str">
        <x:v>MI-2629</x:v>
      </x:c>
      <x:c r="C572" s="34" t="str">
        <x:v>M3 — کسب‌وکار، شبکه و زیست‌بوم نوآوری</x:v>
      </x:c>
      <x:c r="D572" s="34" t="str">
        <x:v>H10</x:v>
      </x:c>
      <x:c r="E572" s="34" t="str">
        <x:v>زیست‌بوم نوآوری، استعداد و تیم‌سازی</x:v>
      </x:c>
      <x:c r="F572" s="34" t="str">
        <x:v>P2</x:v>
      </x:c>
      <x:c r="G572" s="34" t="str">
        <x:v>پروژه/طرح</x:v>
      </x:c>
      <x:c r="H572" s="39" t="str">
        <x:v>3. سامانه هوشمند پایش و هدایت استعداد</x:v>
      </x:c>
      <x:c r="I572" s="39" t="str">
        <x:v>پس از تثبیت پایه‌ها؛ پروژه‌محور</x:v>
      </x:c>
      <x:c r="J572" s="39" t="str">
        <x:v>سازنده زیست‌بوم + مدیر پورتفو</x:v>
      </x:c>
      <x:c r="K572" s="39" t="str"/>
      <x:c r="L572" s="39" t="str">
        <x:v>E112:P2483</x:v>
      </x:c>
      <x:c r="M572" s="39" t="str"/>
      <x:c r="N572" s="39" t="str">
        <x:v>نسخه پایه ۳۱۵۰</x:v>
      </x:c>
    </x:row>
    <x:row r="573" ht="34" customHeight="1">
      <x:c r="A573" s="34" t="str">
        <x:v>☐</x:v>
      </x:c>
      <x:c r="B573" s="34" t="str">
        <x:v>MI-2630</x:v>
      </x:c>
      <x:c r="C573" s="34" t="str">
        <x:v>M3 — کسب‌وکار، شبکه و زیست‌بوم نوآوری</x:v>
      </x:c>
      <x:c r="D573" s="34" t="str">
        <x:v>H10</x:v>
      </x:c>
      <x:c r="E573" s="34" t="str">
        <x:v>زیست‌بوم نوآوری، استعداد و تیم‌سازی</x:v>
      </x:c>
      <x:c r="F573" s="34" t="str">
        <x:v>P2</x:v>
      </x:c>
      <x:c r="G573" s="34" t="str">
        <x:v>پروژه/طرح</x:v>
      </x:c>
      <x:c r="H573" s="39" t="str">
        <x:v>در قلب این زیست بوم یک سامانه هوشمند مدیریت استعداد و پروژه قرار دارد.</x:v>
      </x:c>
      <x:c r="I573" s="39" t="str">
        <x:v>پس از تثبیت پایه‌ها؛ پروژه‌محور</x:v>
      </x:c>
      <x:c r="J573" s="39" t="str">
        <x:v>سازنده زیست‌بوم + مدیر پورتفو</x:v>
      </x:c>
      <x:c r="K573" s="39" t="str"/>
      <x:c r="L573" s="39" t="str">
        <x:v>E112:P2485</x:v>
      </x:c>
      <x:c r="M573" s="39" t="str"/>
      <x:c r="N573" s="39" t="str">
        <x:v>نسخه پایه ۳۱۵۰</x:v>
      </x:c>
    </x:row>
    <x:row r="574" ht="34" customHeight="1">
      <x:c r="A574" s="34" t="str">
        <x:v>☐</x:v>
      </x:c>
      <x:c r="B574" s="34" t="str">
        <x:v>MI-2716</x:v>
      </x:c>
      <x:c r="C574" s="34" t="str">
        <x:v>M3 — کسب‌وکار، شبکه و زیست‌بوم نوآوری</x:v>
      </x:c>
      <x:c r="D574" s="34" t="str">
        <x:v>H10</x:v>
      </x:c>
      <x:c r="E574" s="34" t="str">
        <x:v>زیست‌بوم نوآوری، استعداد و تیم‌سازی</x:v>
      </x:c>
      <x:c r="F574" s="34" t="str">
        <x:v>P2</x:v>
      </x:c>
      <x:c r="G574" s="34" t="str">
        <x:v>پروژه/طرح</x:v>
      </x:c>
      <x:c r="H574" s="39" t="str">
        <x:v>یکی از مهم ترین اهداف این اکوسیستم تبدیل مسایل واقعی استان به پروژه های قابل اجرا است.</x:v>
      </x:c>
      <x:c r="I574" s="39" t="str">
        <x:v>پس از تثبیت پایه‌ها؛ پروژه‌محور</x:v>
      </x:c>
      <x:c r="J574" s="39" t="str">
        <x:v>سازنده زیست‌بوم + مدیر پورتفو</x:v>
      </x:c>
      <x:c r="K574" s="39" t="str"/>
      <x:c r="L574" s="39" t="str">
        <x:v>E112:P2719</x:v>
      </x:c>
      <x:c r="M574" s="39" t="str"/>
      <x:c r="N574" s="39" t="str">
        <x:v>نسخه پایه ۳۱۵۰</x:v>
      </x:c>
    </x:row>
    <x:row r="575" ht="34" customHeight="1">
      <x:c r="A575" s="34" t="str">
        <x:v>☐</x:v>
      </x:c>
      <x:c r="B575" s="34" t="str">
        <x:v>MI-2805</x:v>
      </x:c>
      <x:c r="C575" s="34" t="str">
        <x:v>M3 — کسب‌وکار، شبکه و زیست‌بوم نوآوری</x:v>
      </x:c>
      <x:c r="D575" s="34" t="str">
        <x:v>H10</x:v>
      </x:c>
      <x:c r="E575" s="34" t="str">
        <x:v>زیست‌بوم نوآوری، استعداد و تیم‌سازی</x:v>
      </x:c>
      <x:c r="F575" s="34" t="str">
        <x:v>P2</x:v>
      </x:c>
      <x:c r="G575" s="34" t="str">
        <x:v>پروژه/طرح</x:v>
      </x:c>
      <x:c r="H575" s="39" t="str">
        <x:v>لایه 2 — سامانه پایش و هدایت استعداد</x:v>
      </x:c>
      <x:c r="I575" s="39" t="str">
        <x:v>پس از تثبیت پایه‌ها؛ پروژه‌محور</x:v>
      </x:c>
      <x:c r="J575" s="39" t="str">
        <x:v>سازنده زیست‌بوم + مدیر پورتفو</x:v>
      </x:c>
      <x:c r="K575" s="39" t="str"/>
      <x:c r="L575" s="39" t="str">
        <x:v>E112:P2949</x:v>
      </x:c>
      <x:c r="M575" s="39" t="str"/>
      <x:c r="N575" s="39" t="str">
        <x:v>نسخه پایه ۳۱۵۰</x:v>
      </x:c>
    </x:row>
    <x:row r="576" ht="34" customHeight="1">
      <x:c r="A576" s="34" t="str">
        <x:v>☐</x:v>
      </x:c>
      <x:c r="B576" s="34" t="str">
        <x:v>MI-2838</x:v>
      </x:c>
      <x:c r="C576" s="34" t="str">
        <x:v>M3 — کسب‌وکار، شبکه و زیست‌بوم نوآوری</x:v>
      </x:c>
      <x:c r="D576" s="34" t="str">
        <x:v>H10</x:v>
      </x:c>
      <x:c r="E576" s="34" t="str">
        <x:v>زیست‌بوم نوآوری، استعداد و تیم‌سازی</x:v>
      </x:c>
      <x:c r="F576" s="34" t="str">
        <x:v>P2</x:v>
      </x:c>
      <x:c r="G576" s="34" t="str">
        <x:v>پروژه/طرح</x:v>
      </x:c>
      <x:c r="H576" s="39" t="str">
        <x:v>یک ابزار قدرتمند برای شکل گیری تیم ها و پروژه ها.</x:v>
      </x:c>
      <x:c r="I576" s="39" t="str">
        <x:v>پس از تثبیت پایه‌ها؛ پروژه‌محور</x:v>
      </x:c>
      <x:c r="J576" s="39" t="str">
        <x:v>سازنده زیست‌بوم + مدیر پورتفو</x:v>
      </x:c>
      <x:c r="K576" s="39" t="str"/>
      <x:c r="L576" s="39" t="str">
        <x:v>E112:P3059</x:v>
      </x:c>
      <x:c r="M576" s="39" t="str"/>
      <x:c r="N576" s="39" t="str">
        <x:v>نسخه پایه ۳۱۵۰</x:v>
      </x:c>
    </x:row>
    <x:row r="577" ht="34" customHeight="1">
      <x:c r="A577" s="34" t="str">
        <x:v>☐</x:v>
      </x:c>
      <x:c r="B577" s="34" t="str">
        <x:v>MI-2928</x:v>
      </x:c>
      <x:c r="C577" s="34" t="str">
        <x:v>M3 — کسب‌وکار، شبکه و زیست‌بوم نوآوری</x:v>
      </x:c>
      <x:c r="D577" s="34" t="str">
        <x:v>H10</x:v>
      </x:c>
      <x:c r="E577" s="34" t="str">
        <x:v>زیست‌بوم نوآوری، استعداد و تیم‌سازی</x:v>
      </x:c>
      <x:c r="F577" s="34" t="str">
        <x:v>P2</x:v>
      </x:c>
      <x:c r="G577" s="34" t="str">
        <x:v>پروژه/طرح</x:v>
      </x:c>
      <x:c r="H577" s="39" t="str">
        <x:v>می توانم برایت یک ساختار 7 لایه مدیریتی واقعی برای این اکوسیستم طراحی کنم که دقیقاً مثل یک سازمان بزرگ اداره شود (چیزی شبیه Operating System برای کل زیست بوم). این مرحله معمولاً جایی است که طرح از «ایده» تبدیل به «سیستم قابل اجرا» می شود.</x:v>
      </x:c>
      <x:c r="I577" s="39" t="str">
        <x:v>پس از تثبیت پایه‌ها؛ پروژه‌محور</x:v>
      </x:c>
      <x:c r="J577" s="39" t="str">
        <x:v>سازنده زیست‌بوم + مدیر پورتفو</x:v>
      </x:c>
      <x:c r="K577" s="39" t="str"/>
      <x:c r="L577" s="39" t="str">
        <x:v>E112:P3288</x:v>
      </x:c>
      <x:c r="M577" s="39" t="str"/>
      <x:c r="N577" s="39" t="str">
        <x:v>نسخه پایه ۳۱۵۰</x:v>
      </x:c>
    </x:row>
    <x:row r="578" ht="34" customHeight="1">
      <x:c r="A578" s="34" t="str">
        <x:v>☐</x:v>
      </x:c>
      <x:c r="B578" s="34" t="str">
        <x:v>MI-2975</x:v>
      </x:c>
      <x:c r="C578" s="34" t="str">
        <x:v>M3 — کسب‌وکار، شبکه و زیست‌بوم نوآوری</x:v>
      </x:c>
      <x:c r="D578" s="34" t="str">
        <x:v>H10</x:v>
      </x:c>
      <x:c r="E578" s="34" t="str">
        <x:v>زیست‌بوم نوآوری، استعداد و تیم‌سازی</x:v>
      </x:c>
      <x:c r="F578" s="34" t="str">
        <x:v>P2</x:v>
      </x:c>
      <x:c r="G578" s="34" t="str">
        <x:v>پروژه/طرح</x:v>
      </x:c>
      <x:c r="H578" s="39" t="str">
        <x:v>تیم های استارتاپی یا تیم های پروژه ای.</x:v>
      </x:c>
      <x:c r="I578" s="39" t="str">
        <x:v>پس از تثبیت پایه‌ها؛ پروژه‌محور</x:v>
      </x:c>
      <x:c r="J578" s="39" t="str">
        <x:v>سازنده زیست‌بوم + مدیر پورتفو</x:v>
      </x:c>
      <x:c r="K578" s="39" t="str"/>
      <x:c r="L578" s="39" t="str">
        <x:v>E112:P3408</x:v>
      </x:c>
      <x:c r="M578" s="39" t="str"/>
      <x:c r="N578" s="39" t="str">
        <x:v>نسخه پایه ۳۱۵۰</x:v>
      </x:c>
    </x:row>
    <x:row r="579" ht="34" customHeight="1">
      <x:c r="A579" s="34" t="str">
        <x:v>☐</x:v>
      </x:c>
      <x:c r="B579" s="34" t="str">
        <x:v>MI-3043</x:v>
      </x:c>
      <x:c r="C579" s="34" t="str">
        <x:v>M3 — کسب‌وکار، شبکه و زیست‌بوم نوآوری</x:v>
      </x:c>
      <x:c r="D579" s="34" t="str">
        <x:v>H10</x:v>
      </x:c>
      <x:c r="E579" s="34" t="str">
        <x:v>زیست‌بوم نوآوری، استعداد و تیم‌سازی</x:v>
      </x:c>
      <x:c r="F579" s="34" t="str">
        <x:v>P2</x:v>
      </x:c>
      <x:c r="G579" s="34" t="str">
        <x:v>پروژه/طرح</x:v>
      </x:c>
      <x:c r="H579" s="39" t="str">
        <x:v>ساخت Builder Community</x:v>
      </x:c>
      <x:c r="I579" s="39" t="str">
        <x:v>پس از تثبیت پایه‌ها؛ پروژه‌محور</x:v>
      </x:c>
      <x:c r="J579" s="39" t="str">
        <x:v>سازنده زیست‌بوم + مدیر پورتفو</x:v>
      </x:c>
      <x:c r="K579" s="39" t="str"/>
      <x:c r="L579" s="39" t="str">
        <x:v>E112:P3623</x:v>
      </x:c>
      <x:c r="M579" s="39" t="str"/>
      <x:c r="N579" s="39" t="str">
        <x:v>نسخه پایه ۳۱۵۰</x:v>
      </x:c>
    </x:row>
    <x:row r="580" ht="34" customHeight="1">
      <x:c r="A580" s="34" t="str">
        <x:v>☐</x:v>
      </x:c>
      <x:c r="B580" s="34" t="str">
        <x:v>N115-0053</x:v>
      </x:c>
      <x:c r="C580" s="34" t="str">
        <x:v>M3 — کسب‌وکار، شبکه و زیست‌بوم نوآوری</x:v>
      </x:c>
      <x:c r="D580" s="34" t="str">
        <x:v>H10</x:v>
      </x:c>
      <x:c r="E580" s="34" t="str">
        <x:v>زیست‌بوم نوآوری، استعداد و تیم‌سازی</x:v>
      </x:c>
      <x:c r="F580" s="34" t="str">
        <x:v>P2</x:v>
      </x:c>
      <x:c r="G580" s="34" t="str">
        <x:v>پروژه/طرح</x:v>
      </x:c>
      <x:c r="H580" s="39" t="str">
        <x:v>ثبت رزومه، یادداشت مصاحبه، تاریخچه تعامل و سوابق نقش در پرونده هر فرد</x:v>
      </x:c>
      <x:c r="I580" s="39" t="str">
        <x:v>طراحی در معماری زیست‌بوم؛ اجرا مرحله‌ای</x:v>
      </x:c>
      <x:c r="J580" s="39" t="str">
        <x:v>سازنده زیست‌بوم + مدیر پورتفو</x:v>
      </x:c>
      <x:c r="K580" s="39" t="str">
        <x:v>TalentOS/پرونده 360 درجه</x:v>
      </x:c>
      <x:c r="L580" s="39" t="str">
        <x:v>115:P7750-8046</x:v>
      </x:c>
      <x:c r="M580" s="39" t="str"/>
      <x:c r="N580" s="39" t="str">
        <x:v>1154878548.docx / ممیزی جدید</x:v>
      </x:c>
    </x:row>
    <x:row r="581" ht="34" customHeight="1">
      <x:c r="A581" s="34" t="str">
        <x:v>☐</x:v>
      </x:c>
      <x:c r="B581" s="34" t="str">
        <x:v>N115-0054</x:v>
      </x:c>
      <x:c r="C581" s="34" t="str">
        <x:v>M3 — کسب‌وکار، شبکه و زیست‌بوم نوآوری</x:v>
      </x:c>
      <x:c r="D581" s="34" t="str">
        <x:v>H10</x:v>
      </x:c>
      <x:c r="E581" s="34" t="str">
        <x:v>زیست‌بوم نوآوری، استعداد و تیم‌سازی</x:v>
      </x:c>
      <x:c r="F581" s="34" t="str">
        <x:v>P2</x:v>
      </x:c>
      <x:c r="G581" s="34" t="str">
        <x:v>پروژه/طرح</x:v>
      </x:c>
      <x:c r="H581" s="39" t="str">
        <x:v>ثبت شاخص‌های استعداد، اخلاق، توانایی‌ها و وضعیت شغلی در پروفایل</x:v>
      </x:c>
      <x:c r="I581" s="39" t="str">
        <x:v>طراحی در معماری زیست‌بوم؛ اجرا مرحله‌ای</x:v>
      </x:c>
      <x:c r="J581" s="39" t="str">
        <x:v>سازنده زیست‌بوم + مدیر پورتفو</x:v>
      </x:c>
      <x:c r="K581" s="39" t="str">
        <x:v>TalentOS/پروفایل استعداد</x:v>
      </x:c>
      <x:c r="L581" s="39" t="str">
        <x:v>115:P7750-8046</x:v>
      </x:c>
      <x:c r="M581" s="39" t="str"/>
      <x:c r="N581" s="39" t="str">
        <x:v>1154878548.docx / ممیزی جدید</x:v>
      </x:c>
    </x:row>
    <x:row r="582" ht="34" customHeight="1">
      <x:c r="A582" s="34" t="str">
        <x:v>☐</x:v>
      </x:c>
      <x:c r="B582" s="34" t="str">
        <x:v>N115-0055</x:v>
      </x:c>
      <x:c r="C582" s="34" t="str">
        <x:v>M3 — کسب‌وکار، شبکه و زیست‌بوم نوآوری</x:v>
      </x:c>
      <x:c r="D582" s="34" t="str">
        <x:v>H10</x:v>
      </x:c>
      <x:c r="E582" s="34" t="str">
        <x:v>زیست‌بوم نوآوری، استعداد و تیم‌سازی</x:v>
      </x:c>
      <x:c r="F582" s="34" t="str">
        <x:v>P2</x:v>
      </x:c>
      <x:c r="G582" s="34" t="str">
        <x:v>پروژه/طرح</x:v>
      </x:c>
      <x:c r="H582" s="39" t="str">
        <x:v>ثبت شکاف مهارتی، آموزش لازم و مسیر توسعه فردی IDP</x:v>
      </x:c>
      <x:c r="I582" s="39" t="str">
        <x:v>طراحی در معماری زیست‌بوم؛ اجرا مرحله‌ای</x:v>
      </x:c>
      <x:c r="J582" s="39" t="str">
        <x:v>سازنده زیست‌بوم + مدیر پورتفو</x:v>
      </x:c>
      <x:c r="K582" s="39" t="str">
        <x:v>TalentOS/توسعه فردی</x:v>
      </x:c>
      <x:c r="L582" s="39" t="str">
        <x:v>115:P7750-8046</x:v>
      </x:c>
      <x:c r="M582" s="39" t="str"/>
      <x:c r="N582" s="39" t="str">
        <x:v>1154878548.docx / ممیزی جدید</x:v>
      </x:c>
    </x:row>
    <x:row r="583" ht="34" customHeight="1">
      <x:c r="A583" s="34" t="str">
        <x:v>☐</x:v>
      </x:c>
      <x:c r="B583" s="34" t="str">
        <x:v>N115-0056</x:v>
      </x:c>
      <x:c r="C583" s="34" t="str">
        <x:v>M3 — کسب‌وکار، شبکه و زیست‌بوم نوآوری</x:v>
      </x:c>
      <x:c r="D583" s="34" t="str">
        <x:v>H10</x:v>
      </x:c>
      <x:c r="E583" s="34" t="str">
        <x:v>زیست‌بوم نوآوری، استعداد و تیم‌سازی</x:v>
      </x:c>
      <x:c r="F583" s="34" t="str">
        <x:v>P2</x:v>
      </x:c>
      <x:c r="G583" s="34" t="str">
        <x:v>پروژه/طرح</x:v>
      </x:c>
      <x:c r="H583" s="39" t="str">
        <x:v>نمایش سطح توانمندی و آمادگی هر عضو/تیم</x:v>
      </x:c>
      <x:c r="I583" s="39" t="str">
        <x:v>طراحی در معماری زیست‌بوم؛ اجرا مرحله‌ای</x:v>
      </x:c>
      <x:c r="J583" s="39" t="str">
        <x:v>سازنده زیست‌بوم + مدیر پورتفو</x:v>
      </x:c>
      <x:c r="K583" s="39" t="str">
        <x:v>TalentOS/تحلیل قابلیت</x:v>
      </x:c>
      <x:c r="L583" s="39" t="str">
        <x:v>115:P7750-8046</x:v>
      </x:c>
      <x:c r="M583" s="39" t="str"/>
      <x:c r="N583" s="39" t="str">
        <x:v>1154878548.docx / ممیزی جدید</x:v>
      </x:c>
    </x:row>
    <x:row r="584" ht="34" customHeight="1">
      <x:c r="A584" s="34" t="str">
        <x:v>☐</x:v>
      </x:c>
      <x:c r="B584" s="34" t="str">
        <x:v>N115-0057</x:v>
      </x:c>
      <x:c r="C584" s="34" t="str">
        <x:v>M3 — کسب‌وکار، شبکه و زیست‌بوم نوآوری</x:v>
      </x:c>
      <x:c r="D584" s="34" t="str">
        <x:v>H10</x:v>
      </x:c>
      <x:c r="E584" s="34" t="str">
        <x:v>زیست‌بوم نوآوری، استعداد و تیم‌سازی</x:v>
      </x:c>
      <x:c r="F584" s="34" t="str">
        <x:v>P2</x:v>
      </x:c>
      <x:c r="G584" s="34" t="str">
        <x:v>پروژه/طرح</x:v>
      </x:c>
      <x:c r="H584" s="39" t="str">
        <x:v>پایش روزانه فرصت‌های شغلی و استخراج مهارت‌های موردتقاضای بازار</x:v>
      </x:c>
      <x:c r="I584" s="39" t="str">
        <x:v>طراحی در معماری زیست‌بوم؛ اجرا مرحله‌ای</x:v>
      </x:c>
      <x:c r="J584" s="39" t="str">
        <x:v>سازنده زیست‌بوم + مدیر پورتفو</x:v>
      </x:c>
      <x:c r="K584" s="39" t="str">
        <x:v>TalentOS/هوش بازار کار</x:v>
      </x:c>
      <x:c r="L584" s="39" t="str">
        <x:v>115:P7750-8046</x:v>
      </x:c>
      <x:c r="M584" s="39" t="str"/>
      <x:c r="N584" s="39" t="str">
        <x:v>1154878548.docx / ممیزی جدید</x:v>
      </x:c>
    </x:row>
    <x:row r="585" ht="34" customHeight="1">
      <x:c r="A585" s="34" t="str">
        <x:v>☐</x:v>
      </x:c>
      <x:c r="B585" s="34" t="str">
        <x:v>N115-0058</x:v>
      </x:c>
      <x:c r="C585" s="34" t="str">
        <x:v>M3 — کسب‌وکار، شبکه و زیست‌بوم نوآوری</x:v>
      </x:c>
      <x:c r="D585" s="34" t="str">
        <x:v>H10</x:v>
      </x:c>
      <x:c r="E585" s="34" t="str">
        <x:v>زیست‌بوم نوآوری، استعداد و تیم‌سازی</x:v>
      </x:c>
      <x:c r="F585" s="34" t="str">
        <x:v>P2</x:v>
      </x:c>
      <x:c r="G585" s="34" t="str">
        <x:v>پروژه/طرح</x:v>
      </x:c>
      <x:c r="H585" s="39" t="str">
        <x:v>تطبیق خودکار فرد با شغل، پروژه، منتور و دوره آموزشی</x:v>
      </x:c>
      <x:c r="I585" s="39" t="str">
        <x:v>طراحی در معماری زیست‌بوم؛ اجرا مرحله‌ای</x:v>
      </x:c>
      <x:c r="J585" s="39" t="str">
        <x:v>سازنده زیست‌بوم + مدیر پورتفو</x:v>
      </x:c>
      <x:c r="K585" s="39" t="str">
        <x:v>TalentOS/موتور تطبیق</x:v>
      </x:c>
      <x:c r="L585" s="39" t="str">
        <x:v>115:P7750-8046</x:v>
      </x:c>
      <x:c r="M585" s="39" t="str"/>
      <x:c r="N585" s="39" t="str">
        <x:v>1154878548.docx / ممیزی جدید</x:v>
      </x:c>
    </x:row>
    <x:row r="586" ht="34" customHeight="1">
      <x:c r="A586" s="34" t="str">
        <x:v>☐</x:v>
      </x:c>
      <x:c r="B586" s="34" t="str">
        <x:v>N115-0059</x:v>
      </x:c>
      <x:c r="C586" s="34" t="str">
        <x:v>M3 — کسب‌وکار، شبکه و زیست‌بوم نوآوری</x:v>
      </x:c>
      <x:c r="D586" s="34" t="str">
        <x:v>H10</x:v>
      </x:c>
      <x:c r="E586" s="34" t="str">
        <x:v>زیست‌بوم نوآوری، استعداد و تیم‌سازی</x:v>
      </x:c>
      <x:c r="F586" s="34" t="str">
        <x:v>P2</x:v>
      </x:c>
      <x:c r="G586" s="34" t="str">
        <x:v>پروژه/طرح</x:v>
      </x:c>
      <x:c r="H586" s="39" t="str">
        <x:v>تعریف مدل تِیر/لایه برای بخش‌بندی افراد براساس ارزش و نیاز پیگیری</x:v>
      </x:c>
      <x:c r="I586" s="39" t="str">
        <x:v>طراحی در معماری زیست‌بوم؛ اجرا مرحله‌ای</x:v>
      </x:c>
      <x:c r="J586" s="39" t="str">
        <x:v>سازنده زیست‌بوم + مدیر پورتفو</x:v>
      </x:c>
      <x:c r="K586" s="39" t="str">
        <x:v>TalentOS/بخش‌بندی</x:v>
      </x:c>
      <x:c r="L586" s="39" t="str">
        <x:v>115:P7750-8046</x:v>
      </x:c>
      <x:c r="M586" s="39" t="str"/>
      <x:c r="N586" s="39" t="str">
        <x:v>1154878548.docx / ممیزی جدید</x:v>
      </x:c>
    </x:row>
    <x:row r="587" ht="34" customHeight="1">
      <x:c r="A587" s="34" t="str">
        <x:v>☐</x:v>
      </x:c>
      <x:c r="B587" s="34" t="str">
        <x:v>N115-0060</x:v>
      </x:c>
      <x:c r="C587" s="34" t="str">
        <x:v>M3 — کسب‌وکار، شبکه و زیست‌بوم نوآوری</x:v>
      </x:c>
      <x:c r="D587" s="34" t="str">
        <x:v>H10</x:v>
      </x:c>
      <x:c r="E587" s="34" t="str">
        <x:v>زیست‌بوم نوآوری، استعداد و تیم‌سازی</x:v>
      </x:c>
      <x:c r="F587" s="34" t="str">
        <x:v>P2</x:v>
      </x:c>
      <x:c r="G587" s="34" t="str">
        <x:v>پروژه/طرح</x:v>
      </x:c>
      <x:c r="H587" s="39" t="str">
        <x:v>امتیازدهی وزن‌دار فعالیت، استعداد، وفاداری و ریسک</x:v>
      </x:c>
      <x:c r="I587" s="39" t="str">
        <x:v>طراحی در معماری زیست‌بوم؛ اجرا مرحله‌ای</x:v>
      </x:c>
      <x:c r="J587" s="39" t="str">
        <x:v>سازنده زیست‌بوم + مدیر پورتفو</x:v>
      </x:c>
      <x:c r="K587" s="39" t="str">
        <x:v>TalentOS/امتیازدهی</x:v>
      </x:c>
      <x:c r="L587" s="39" t="str">
        <x:v>115:P7750-8046</x:v>
      </x:c>
      <x:c r="M587" s="39" t="str"/>
      <x:c r="N587" s="39" t="str">
        <x:v>1154878548.docx / ممیزی جدید</x:v>
      </x:c>
    </x:row>
    <x:row r="588" ht="34" customHeight="1">
      <x:c r="A588" s="34" t="str">
        <x:v>☐</x:v>
      </x:c>
      <x:c r="B588" s="34" t="str">
        <x:v>N115-0061</x:v>
      </x:c>
      <x:c r="C588" s="34" t="str">
        <x:v>M3 — کسب‌وکار، شبکه و زیست‌بوم نوآوری</x:v>
      </x:c>
      <x:c r="D588" s="34" t="str">
        <x:v>H10</x:v>
      </x:c>
      <x:c r="E588" s="34" t="str">
        <x:v>زیست‌بوم نوآوری، استعداد و تیم‌سازی</x:v>
      </x:c>
      <x:c r="F588" s="34" t="str">
        <x:v>P2</x:v>
      </x:c>
      <x:c r="G588" s="34" t="str">
        <x:v>پروژه/طرح</x:v>
      </x:c>
      <x:c r="H588" s="39" t="str">
        <x:v>قابل‌تنظیم بودن وزن‌های مدل امتیازدهی با تغییر اولویت‌های سازمان</x:v>
      </x:c>
      <x:c r="I588" s="39" t="str">
        <x:v>طراحی در معماری زیست‌بوم؛ اجرا مرحله‌ای</x:v>
      </x:c>
      <x:c r="J588" s="39" t="str">
        <x:v>سازنده زیست‌بوم + مدیر پورتفو</x:v>
      </x:c>
      <x:c r="K588" s="39" t="str">
        <x:v>TalentOS/امتیازدهی</x:v>
      </x:c>
      <x:c r="L588" s="39" t="str">
        <x:v>115:P7750-8046</x:v>
      </x:c>
      <x:c r="M588" s="39" t="str"/>
      <x:c r="N588" s="39" t="str">
        <x:v>1154878548.docx / ممیزی جدید</x:v>
      </x:c>
    </x:row>
    <x:row r="589" ht="34" customHeight="1">
      <x:c r="A589" s="34" t="str">
        <x:v>☐</x:v>
      </x:c>
      <x:c r="B589" s="34" t="str">
        <x:v>N115-0062</x:v>
      </x:c>
      <x:c r="C589" s="34" t="str">
        <x:v>M3 — کسب‌وکار، شبکه و زیست‌بوم نوآوری</x:v>
      </x:c>
      <x:c r="D589" s="34" t="str">
        <x:v>H10</x:v>
      </x:c>
      <x:c r="E589" s="34" t="str">
        <x:v>زیست‌بوم نوآوری، استعداد و تیم‌سازی</x:v>
      </x:c>
      <x:c r="F589" s="34" t="str">
        <x:v>P2</x:v>
      </x:c>
      <x:c r="G589" s="34" t="str">
        <x:v>پروژه/طرح</x:v>
      </x:c>
      <x:c r="H589" s="39" t="str">
        <x:v>ارزیابی تیم به‌عنوان واحد: پیشرفت، رکود یا نیاز به تقویت</x:v>
      </x:c>
      <x:c r="I589" s="39" t="str">
        <x:v>طراحی در معماری زیست‌بوم؛ اجرا مرحله‌ای</x:v>
      </x:c>
      <x:c r="J589" s="39" t="str">
        <x:v>سازنده زیست‌بوم + مدیر پورتفو</x:v>
      </x:c>
      <x:c r="K589" s="39" t="str">
        <x:v>TalentOS/ارزیابی تیم</x:v>
      </x:c>
      <x:c r="L589" s="39" t="str">
        <x:v>115:P7750-8046</x:v>
      </x:c>
      <x:c r="M589" s="39" t="str"/>
      <x:c r="N589" s="39" t="str">
        <x:v>1154878548.docx / ممیزی جدید</x:v>
      </x:c>
    </x:row>
    <x:row r="590" ht="34" customHeight="1">
      <x:c r="A590" s="34" t="str">
        <x:v>☐</x:v>
      </x:c>
      <x:c r="B590" s="34" t="str">
        <x:v>N115-0063</x:v>
      </x:c>
      <x:c r="C590" s="34" t="str">
        <x:v>M3 — کسب‌وکار، شبکه و زیست‌بوم نوآوری</x:v>
      </x:c>
      <x:c r="D590" s="34" t="str">
        <x:v>H10</x:v>
      </x:c>
      <x:c r="E590" s="34" t="str">
        <x:v>زیست‌بوم نوآوری، استعداد و تیم‌سازی</x:v>
      </x:c>
      <x:c r="F590" s="34" t="str">
        <x:v>P2</x:v>
      </x:c>
      <x:c r="G590" s="34" t="str">
        <x:v>پروژه/طرح</x:v>
      </x:c>
      <x:c r="H590" s="39" t="str">
        <x:v>علامت‌گذاری خودکار اقدامات ناتمام مثل رزومه ارسال‌نشده یا پیگیری بی‌پاسخ</x:v>
      </x:c>
      <x:c r="I590" s="39" t="str">
        <x:v>طراحی در معماری زیست‌بوم؛ اجرا مرحله‌ای</x:v>
      </x:c>
      <x:c r="J590" s="39" t="str">
        <x:v>سازنده زیست‌بوم + مدیر پورتفو</x:v>
      </x:c>
      <x:c r="K590" s="39" t="str">
        <x:v>TalentOS/پیگیری</x:v>
      </x:c>
      <x:c r="L590" s="39" t="str">
        <x:v>115:P7750-8046</x:v>
      </x:c>
      <x:c r="M590" s="39" t="str"/>
      <x:c r="N590" s="39" t="str">
        <x:v>1154878548.docx / ممیزی جدید</x:v>
      </x:c>
    </x:row>
    <x:row r="591" ht="34" customHeight="1">
      <x:c r="A591" s="34" t="str">
        <x:v>☐</x:v>
      </x:c>
      <x:c r="B591" s="34" t="str">
        <x:v>N115-0064</x:v>
      </x:c>
      <x:c r="C591" s="34" t="str">
        <x:v>M3 — کسب‌وکار، شبکه و زیست‌بوم نوآوری</x:v>
      </x:c>
      <x:c r="D591" s="34" t="str">
        <x:v>H10</x:v>
      </x:c>
      <x:c r="E591" s="34" t="str">
        <x:v>زیست‌بوم نوآوری، استعداد و تیم‌سازی</x:v>
      </x:c>
      <x:c r="F591" s="34" t="str">
        <x:v>P2</x:v>
      </x:c>
      <x:c r="G591" s="34" t="str">
        <x:v>پروژه/طرح</x:v>
      </x:c>
      <x:c r="H591" s="39" t="str">
        <x:v>دعوت هدفمند به رویداد، مصاحبه و مسابقه براساس تگ و تناسب نقش</x:v>
      </x:c>
      <x:c r="I591" s="39" t="str">
        <x:v>طراحی در معماری زیست‌بوم؛ اجرا مرحله‌ای</x:v>
      </x:c>
      <x:c r="J591" s="39" t="str">
        <x:v>سازنده زیست‌بوم + مدیر پورتفو</x:v>
      </x:c>
      <x:c r="K591" s="39" t="str">
        <x:v>TalentOS/فعال‌سازی</x:v>
      </x:c>
      <x:c r="L591" s="39" t="str">
        <x:v>115:P7750-8046</x:v>
      </x:c>
      <x:c r="M591" s="39" t="str"/>
      <x:c r="N591" s="39" t="str">
        <x:v>1154878548.docx / ممیزی جدید</x:v>
      </x:c>
    </x:row>
    <x:row r="592" ht="34" customHeight="1">
      <x:c r="A592" s="34" t="str">
        <x:v>☐</x:v>
      </x:c>
      <x:c r="B592" s="34" t="str">
        <x:v>N115-0065</x:v>
      </x:c>
      <x:c r="C592" s="34" t="str">
        <x:v>M3 — کسب‌وکار، شبکه و زیست‌بوم نوآوری</x:v>
      </x:c>
      <x:c r="D592" s="34" t="str">
        <x:v>H10</x:v>
      </x:c>
      <x:c r="E592" s="34" t="str">
        <x:v>زیست‌بوم نوآوری، استعداد و تیم‌سازی</x:v>
      </x:c>
      <x:c r="F592" s="34" t="str">
        <x:v>P2</x:v>
      </x:c>
      <x:c r="G592" s="34" t="str">
        <x:v>پروژه/طرح</x:v>
      </x:c>
      <x:c r="H592" s="39" t="str">
        <x:v>یادآوری خودکار تولد، سالگرد ازدواج و رویدادهای مهم خانوادگی</x:v>
      </x:c>
      <x:c r="I592" s="39" t="str">
        <x:v>طراحی در معماری زیست‌بوم؛ اجرا مرحله‌ای</x:v>
      </x:c>
      <x:c r="J592" s="39" t="str">
        <x:v>سازنده زیست‌بوم + مدیر پورتفو</x:v>
      </x:c>
      <x:c r="K592" s="39" t="str">
        <x:v>TalentOS/نگهداشت</x:v>
      </x:c>
      <x:c r="L592" s="39" t="str">
        <x:v>115:P7750-8046</x:v>
      </x:c>
      <x:c r="M592" s="39" t="str"/>
      <x:c r="N592" s="39" t="str">
        <x:v>1154878548.docx / ممیزی جدید</x:v>
      </x:c>
    </x:row>
    <x:row r="593" ht="34" customHeight="1">
      <x:c r="A593" s="34" t="str">
        <x:v>☐</x:v>
      </x:c>
      <x:c r="B593" s="34" t="str">
        <x:v>N115-0066</x:v>
      </x:c>
      <x:c r="C593" s="34" t="str">
        <x:v>M3 — کسب‌وکار، شبکه و زیست‌بوم نوآوری</x:v>
      </x:c>
      <x:c r="D593" s="34" t="str">
        <x:v>H10</x:v>
      </x:c>
      <x:c r="E593" s="34" t="str">
        <x:v>زیست‌بوم نوآوری، استعداد و تیم‌سازی</x:v>
      </x:c>
      <x:c r="F593" s="34" t="str">
        <x:v>P2</x:v>
      </x:c>
      <x:c r="G593" s="34" t="str">
        <x:v>پروژه/طرح</x:v>
      </x:c>
      <x:c r="H593" s="39" t="str">
        <x:v>تعریف سطوح خدمت متفاوت: پیام، هدیه، کیک، کدتخفیف یا حمایت ویژه</x:v>
      </x:c>
      <x:c r="I593" s="39" t="str">
        <x:v>طراحی در معماری زیست‌بوم؛ اجرا مرحله‌ای</x:v>
      </x:c>
      <x:c r="J593" s="39" t="str">
        <x:v>سازنده زیست‌بوم + مدیر پورتفو</x:v>
      </x:c>
      <x:c r="K593" s="39" t="str">
        <x:v>TalentOS/نگهداشت</x:v>
      </x:c>
      <x:c r="L593" s="39" t="str">
        <x:v>115:P7750-8046</x:v>
      </x:c>
      <x:c r="M593" s="39" t="str"/>
      <x:c r="N593" s="39" t="str">
        <x:v>1154878548.docx / ممیزی جدید</x:v>
      </x:c>
    </x:row>
    <x:row r="594" ht="34" customHeight="1">
      <x:c r="A594" s="34" t="str">
        <x:v>☐</x:v>
      </x:c>
      <x:c r="B594" s="34" t="str">
        <x:v>N115-0067</x:v>
      </x:c>
      <x:c r="C594" s="34" t="str">
        <x:v>M3 — کسب‌وکار، شبکه و زیست‌بوم نوآوری</x:v>
      </x:c>
      <x:c r="D594" s="34" t="str">
        <x:v>H10</x:v>
      </x:c>
      <x:c r="E594" s="34" t="str">
        <x:v>زیست‌بوم نوآوری، استعداد و تیم‌سازی</x:v>
      </x:c>
      <x:c r="F594" s="34" t="str">
        <x:v>P2</x:v>
      </x:c>
      <x:c r="G594" s="34" t="str">
        <x:v>پروژه/طرح</x:v>
      </x:c>
      <x:c r="H594" s="39" t="str">
        <x:v>راه‌اندازی باشگاه جامعه/هواداران برای محتوای هدفمند و خدمات ویژه</x:v>
      </x:c>
      <x:c r="I594" s="39" t="str">
        <x:v>طراحی در معماری زیست‌بوم؛ اجرا مرحله‌ای</x:v>
      </x:c>
      <x:c r="J594" s="39" t="str">
        <x:v>سازنده زیست‌بوم + مدیر پورتفو</x:v>
      </x:c>
      <x:c r="K594" s="39" t="str">
        <x:v>TalentOS/جامعه‌سازی</x:v>
      </x:c>
      <x:c r="L594" s="39" t="str">
        <x:v>115:P7750-8046</x:v>
      </x:c>
      <x:c r="M594" s="39" t="str"/>
      <x:c r="N594" s="39" t="str">
        <x:v>1154878548.docx / ممیزی جدید</x:v>
      </x:c>
    </x:row>
    <x:row r="595" ht="34" customHeight="1">
      <x:c r="A595" s="34" t="str">
        <x:v>☐</x:v>
      </x:c>
      <x:c r="B595" s="34" t="str">
        <x:v>N115-0068</x:v>
      </x:c>
      <x:c r="C595" s="34" t="str">
        <x:v>M3 — کسب‌وکار، شبکه و زیست‌بوم نوآوری</x:v>
      </x:c>
      <x:c r="D595" s="34" t="str">
        <x:v>H10</x:v>
      </x:c>
      <x:c r="E595" s="34" t="str">
        <x:v>زیست‌بوم نوآوری، استعداد و تیم‌سازی</x:v>
      </x:c>
      <x:c r="F595" s="34" t="str">
        <x:v>P2</x:v>
      </x:c>
      <x:c r="G595" s="34" t="str">
        <x:v>پروژه/طرح</x:v>
      </x:c>
      <x:c r="H595" s="39" t="str">
        <x:v>برگزاری دورهمی و رویدادهای کوچک با منتور برای انسجام تیم</x:v>
      </x:c>
      <x:c r="I595" s="39" t="str">
        <x:v>طراحی در معماری زیست‌بوم؛ اجرا مرحله‌ای</x:v>
      </x:c>
      <x:c r="J595" s="39" t="str">
        <x:v>سازنده زیست‌بوم + مدیر پورتفو</x:v>
      </x:c>
      <x:c r="K595" s="39" t="str">
        <x:v>TalentOS/جامعه‌سازی</x:v>
      </x:c>
      <x:c r="L595" s="39" t="str">
        <x:v>115:P7750-8046</x:v>
      </x:c>
      <x:c r="M595" s="39" t="str"/>
      <x:c r="N595" s="39" t="str">
        <x:v>1154878548.docx / ممیزی جدید</x:v>
      </x:c>
    </x:row>
    <x:row r="596" ht="34" customHeight="1">
      <x:c r="A596" s="34" t="str">
        <x:v>☐</x:v>
      </x:c>
      <x:c r="B596" s="34" t="str">
        <x:v>N115-0069</x:v>
      </x:c>
      <x:c r="C596" s="34" t="str">
        <x:v>M3 — کسب‌وکار، شبکه و زیست‌بوم نوآوری</x:v>
      </x:c>
      <x:c r="D596" s="34" t="str">
        <x:v>H10</x:v>
      </x:c>
      <x:c r="E596" s="34" t="str">
        <x:v>زیست‌بوم نوآوری، استعداد و تیم‌سازی</x:v>
      </x:c>
      <x:c r="F596" s="34" t="str">
        <x:v>P2</x:v>
      </x:c>
      <x:c r="G596" s="34" t="str">
        <x:v>پروژه/طرح</x:v>
      </x:c>
      <x:c r="H596" s="39" t="str">
        <x:v>حمایت اولویت‌دار در رویدادهای زندگی مثل ازدواج، بیماری و زایمان</x:v>
      </x:c>
      <x:c r="I596" s="39" t="str">
        <x:v>طراحی در معماری زیست‌بوم؛ اجرا مرحله‌ای</x:v>
      </x:c>
      <x:c r="J596" s="39" t="str">
        <x:v>سازنده زیست‌بوم + مدیر پورتفو</x:v>
      </x:c>
      <x:c r="K596" s="39" t="str">
        <x:v>TalentOS/رفاه</x:v>
      </x:c>
      <x:c r="L596" s="39" t="str">
        <x:v>115:P7750-8046</x:v>
      </x:c>
      <x:c r="M596" s="39" t="str"/>
      <x:c r="N596" s="39" t="str">
        <x:v>1154878548.docx / ممیزی جدید</x:v>
      </x:c>
    </x:row>
    <x:row r="597" ht="34" customHeight="1">
      <x:c r="A597" s="34" t="str">
        <x:v>☐</x:v>
      </x:c>
      <x:c r="B597" s="34" t="str">
        <x:v>N115-0070</x:v>
      </x:c>
      <x:c r="C597" s="34" t="str">
        <x:v>M3 — کسب‌وکار، شبکه و زیست‌بوم نوآوری</x:v>
      </x:c>
      <x:c r="D597" s="34" t="str">
        <x:v>H10</x:v>
      </x:c>
      <x:c r="E597" s="34" t="str">
        <x:v>زیست‌بوم نوآوری، استعداد و تیم‌سازی</x:v>
      </x:c>
      <x:c r="F597" s="34" t="str">
        <x:v>P2</x:v>
      </x:c>
      <x:c r="G597" s="34" t="str">
        <x:v>پروژه/طرح</x:v>
      </x:c>
      <x:c r="H597" s="39" t="str">
        <x:v>الگوریتم اولویت‌بندی عادلانه برای تخصیص وام و مزایای محدود</x:v>
      </x:c>
      <x:c r="I597" s="39" t="str">
        <x:v>طراحی در معماری زیست‌بوم؛ اجرا مرحله‌ای</x:v>
      </x:c>
      <x:c r="J597" s="39" t="str">
        <x:v>سازنده زیست‌بوم + مدیر پورتفو</x:v>
      </x:c>
      <x:c r="K597" s="39" t="str">
        <x:v>TalentOS/رفاه</x:v>
      </x:c>
      <x:c r="L597" s="39" t="str">
        <x:v>115:P7750-8046</x:v>
      </x:c>
      <x:c r="M597" s="39" t="str"/>
      <x:c r="N597" s="39" t="str">
        <x:v>1154878548.docx / ممیزی جدید</x:v>
      </x:c>
    </x:row>
    <x:row r="598" ht="34" customHeight="1">
      <x:c r="A598" s="34" t="str">
        <x:v>☐</x:v>
      </x:c>
      <x:c r="B598" s="34" t="str">
        <x:v>N115-0071</x:v>
      </x:c>
      <x:c r="C598" s="34" t="str">
        <x:v>M3 — کسب‌وکار، شبکه و زیست‌بوم نوآوری</x:v>
      </x:c>
      <x:c r="D598" s="34" t="str">
        <x:v>H10</x:v>
      </x:c>
      <x:c r="E598" s="34" t="str">
        <x:v>زیست‌بوم نوآوری، استعداد و تیم‌سازی</x:v>
      </x:c>
      <x:c r="F598" s="34" t="str">
        <x:v>P2</x:v>
      </x:c>
      <x:c r="G598" s="34" t="str">
        <x:v>پروژه/طرح</x:v>
      </x:c>
      <x:c r="H598" s="39" t="str">
        <x:v>طراحی صندوق تعاونی به‌عنوان موتور خلق ارزش و نه صرفاً خیریه</x:v>
      </x:c>
      <x:c r="I598" s="39" t="str">
        <x:v>طراحی در معماری زیست‌بوم؛ اجرا مرحله‌ای</x:v>
      </x:c>
      <x:c r="J598" s="39" t="str">
        <x:v>سازنده زیست‌بوم + مدیر پورتفو</x:v>
      </x:c>
      <x:c r="K598" s="39" t="str">
        <x:v>TalentOS/تعاونی</x:v>
      </x:c>
      <x:c r="L598" s="39" t="str">
        <x:v>115:P7750-8046</x:v>
      </x:c>
      <x:c r="M598" s="39" t="str"/>
      <x:c r="N598" s="39" t="str">
        <x:v>1154878548.docx / ممیزی جدید</x:v>
      </x:c>
    </x:row>
    <x:row r="599" ht="34" customHeight="1">
      <x:c r="A599" s="34" t="str">
        <x:v>☐</x:v>
      </x:c>
      <x:c r="B599" s="34" t="str">
        <x:v>N115-0072</x:v>
      </x:c>
      <x:c r="C599" s="34" t="str">
        <x:v>M3 — کسب‌وکار، شبکه و زیست‌بوم نوآوری</x:v>
      </x:c>
      <x:c r="D599" s="34" t="str">
        <x:v>H10</x:v>
      </x:c>
      <x:c r="E599" s="34" t="str">
        <x:v>زیست‌بوم نوآوری، استعداد و تیم‌سازی</x:v>
      </x:c>
      <x:c r="F599" s="34" t="str">
        <x:v>P2</x:v>
      </x:c>
      <x:c r="G599" s="34" t="str">
        <x:v>پروژه/طرح</x:v>
      </x:c>
      <x:c r="H599" s="39" t="str">
        <x:v>مدل اشتراک ماهانه کوچک برای فعال نگه‌داشتن پروفایل و خدمات</x:v>
      </x:c>
      <x:c r="I599" s="39" t="str">
        <x:v>طراحی در معماری زیست‌بوم؛ اجرا مرحله‌ای</x:v>
      </x:c>
      <x:c r="J599" s="39" t="str">
        <x:v>سازنده زیست‌بوم + مدیر پورتفو</x:v>
      </x:c>
      <x:c r="K599" s="39" t="str">
        <x:v>TalentOS/مدل درآمد</x:v>
      </x:c>
      <x:c r="L599" s="39" t="str">
        <x:v>115:P7750-8046</x:v>
      </x:c>
      <x:c r="M599" s="39" t="str"/>
      <x:c r="N599" s="39" t="str">
        <x:v>1154878548.docx / ممیزی جدید</x:v>
      </x:c>
    </x:row>
    <x:row r="600" ht="34" customHeight="1">
      <x:c r="A600" s="34" t="str">
        <x:v>☐</x:v>
      </x:c>
      <x:c r="B600" s="34" t="str">
        <x:v>N115-0073</x:v>
      </x:c>
      <x:c r="C600" s="34" t="str">
        <x:v>M3 — کسب‌وکار، شبکه و زیست‌بوم نوآوری</x:v>
      </x:c>
      <x:c r="D600" s="34" t="str">
        <x:v>H10</x:v>
      </x:c>
      <x:c r="E600" s="34" t="str">
        <x:v>زیست‌بوم نوآوری، استعداد و تیم‌سازی</x:v>
      </x:c>
      <x:c r="F600" s="34" t="str">
        <x:v>P2</x:v>
      </x:c>
      <x:c r="G600" s="34" t="str">
        <x:v>پروژه/طرح</x:v>
      </x:c>
      <x:c r="H600" s="39" t="str">
        <x:v>درآمد از خدمات جذب نیرو و کارمزد ارجاع کاندیدای فیلترشده</x:v>
      </x:c>
      <x:c r="I600" s="39" t="str">
        <x:v>طراحی در معماری زیست‌بوم؛ اجرا مرحله‌ای</x:v>
      </x:c>
      <x:c r="J600" s="39" t="str">
        <x:v>سازنده زیست‌بوم + مدیر پورتفو</x:v>
      </x:c>
      <x:c r="K600" s="39" t="str">
        <x:v>TalentOS/مدل درآمد</x:v>
      </x:c>
      <x:c r="L600" s="39" t="str">
        <x:v>115:P7750-8046</x:v>
      </x:c>
      <x:c r="M600" s="39" t="str"/>
      <x:c r="N600" s="39" t="str">
        <x:v>1154878548.docx / ممیزی جدید</x:v>
      </x:c>
    </x:row>
    <x:row r="601" ht="34" customHeight="1">
      <x:c r="A601" s="34" t="str">
        <x:v>☐</x:v>
      </x:c>
      <x:c r="B601" s="34" t="str">
        <x:v>N115-0074</x:v>
      </x:c>
      <x:c r="C601" s="34" t="str">
        <x:v>M3 — کسب‌وکار، شبکه و زیست‌بوم نوآوری</x:v>
      </x:c>
      <x:c r="D601" s="34" t="str">
        <x:v>H10</x:v>
      </x:c>
      <x:c r="E601" s="34" t="str">
        <x:v>زیست‌بوم نوآوری، استعداد و تیم‌سازی</x:v>
      </x:c>
      <x:c r="F601" s="34" t="str">
        <x:v>P2</x:v>
      </x:c>
      <x:c r="G601" s="34" t="str">
        <x:v>پروژه/طرح</x:v>
      </x:c>
      <x:c r="H601" s="39" t="str">
        <x:v>درآمد از کارگاه‌های مهارتی و توسعه حرفه‌ای</x:v>
      </x:c>
      <x:c r="I601" s="39" t="str">
        <x:v>طراحی در معماری زیست‌بوم؛ اجرا مرحله‌ای</x:v>
      </x:c>
      <x:c r="J601" s="39" t="str">
        <x:v>سازنده زیست‌بوم + مدیر پورتفو</x:v>
      </x:c>
      <x:c r="K601" s="39" t="str">
        <x:v>TalentOS/مدل درآمد</x:v>
      </x:c>
      <x:c r="L601" s="39" t="str">
        <x:v>115:P7750-8046</x:v>
      </x:c>
      <x:c r="M601" s="39" t="str"/>
      <x:c r="N601" s="39" t="str">
        <x:v>1154878548.docx / ممیزی جدید</x:v>
      </x:c>
    </x:row>
    <x:row r="602" ht="34" customHeight="1">
      <x:c r="A602" s="34" t="str">
        <x:v>☐</x:v>
      </x:c>
      <x:c r="B602" s="34" t="str">
        <x:v>N115-0075</x:v>
      </x:c>
      <x:c r="C602" s="34" t="str">
        <x:v>M3 — کسب‌وکار، شبکه و زیست‌بوم نوآوری</x:v>
      </x:c>
      <x:c r="D602" s="34" t="str">
        <x:v>H10</x:v>
      </x:c>
      <x:c r="E602" s="34" t="str">
        <x:v>زیست‌بوم نوآوری، استعداد و تیم‌سازی</x:v>
      </x:c>
      <x:c r="F602" s="34" t="str">
        <x:v>P2</x:v>
      </x:c>
      <x:c r="G602" s="34" t="str">
        <x:v>پروژه/طرح</x:v>
      </x:c>
      <x:c r="H602" s="39" t="str">
        <x:v>اسپانسرشیپ، بارتر و همکاری B2B برای تأمین منابع شبکه</x:v>
      </x:c>
      <x:c r="I602" s="39" t="str">
        <x:v>طراحی در معماری زیست‌بوم؛ اجرا مرحله‌ای</x:v>
      </x:c>
      <x:c r="J602" s="39" t="str">
        <x:v>سازنده زیست‌بوم + مدیر پورتفو</x:v>
      </x:c>
      <x:c r="K602" s="39" t="str">
        <x:v>TalentOS/مدل درآمد</x:v>
      </x:c>
      <x:c r="L602" s="39" t="str">
        <x:v>115:P7750-8046</x:v>
      </x:c>
      <x:c r="M602" s="39" t="str"/>
      <x:c r="N602" s="39" t="str">
        <x:v>1154878548.docx / ممیزی جدید</x:v>
      </x:c>
    </x:row>
    <x:row r="603" ht="34" customHeight="1">
      <x:c r="A603" s="34" t="str">
        <x:v>☐</x:v>
      </x:c>
      <x:c r="B603" s="34" t="str">
        <x:v>N115-0076</x:v>
      </x:c>
      <x:c r="C603" s="34" t="str">
        <x:v>M3 — کسب‌وکار، شبکه و زیست‌بوم نوآوری</x:v>
      </x:c>
      <x:c r="D603" s="34" t="str">
        <x:v>H10</x:v>
      </x:c>
      <x:c r="E603" s="34" t="str">
        <x:v>زیست‌بوم نوآوری، استعداد و تیم‌سازی</x:v>
      </x:c>
      <x:c r="F603" s="34" t="str">
        <x:v>P2</x:v>
      </x:c>
      <x:c r="G603" s="34" t="str">
        <x:v>پروژه/طرح</x:v>
      </x:c>
      <x:c r="H603" s="39" t="str">
        <x:v>بانک اسپانسرها، NGOها، کسب‌وکارها، تخفیف‌ها و شرکای اکوسیستم</x:v>
      </x:c>
      <x:c r="I603" s="39" t="str">
        <x:v>طراحی در معماری زیست‌بوم؛ اجرا مرحله‌ای</x:v>
      </x:c>
      <x:c r="J603" s="39" t="str">
        <x:v>سازنده زیست‌بوم + مدیر پورتفو</x:v>
      </x:c>
      <x:c r="K603" s="39" t="str">
        <x:v>TalentOS/بانک شریک</x:v>
      </x:c>
      <x:c r="L603" s="39" t="str">
        <x:v>115:P7750-8046</x:v>
      </x:c>
      <x:c r="M603" s="39" t="str"/>
      <x:c r="N603" s="39" t="str">
        <x:v>1154878548.docx / ممیزی جدید</x:v>
      </x:c>
    </x:row>
    <x:row r="604" ht="34" customHeight="1">
      <x:c r="A604" s="34" t="str">
        <x:v>☐</x:v>
      </x:c>
      <x:c r="B604" s="34" t="str">
        <x:v>N115-0077</x:v>
      </x:c>
      <x:c r="C604" s="34" t="str">
        <x:v>M3 — کسب‌وکار، شبکه و زیست‌بوم نوآوری</x:v>
      </x:c>
      <x:c r="D604" s="34" t="str">
        <x:v>H10</x:v>
      </x:c>
      <x:c r="E604" s="34" t="str">
        <x:v>زیست‌بوم نوآوری، استعداد و تیم‌سازی</x:v>
      </x:c>
      <x:c r="F604" s="34" t="str">
        <x:v>P2</x:v>
      </x:c>
      <x:c r="G604" s="34" t="str">
        <x:v>پروژه/طرح</x:v>
      </x:c>
      <x:c r="H604" s="39" t="str">
        <x:v>اتصال بانک پروفایل، مهارت/شغل، فرصت و شریک در CRM واحد</x:v>
      </x:c>
      <x:c r="I604" s="39" t="str">
        <x:v>طراحی در معماری زیست‌بوم؛ اجرا مرحله‌ای</x:v>
      </x:c>
      <x:c r="J604" s="39" t="str">
        <x:v>سازنده زیست‌بوم + مدیر پورتفو</x:v>
      </x:c>
      <x:c r="K604" s="39" t="str">
        <x:v>TalentOS/معماری داده</x:v>
      </x:c>
      <x:c r="L604" s="39" t="str">
        <x:v>115:P7750-8046</x:v>
      </x:c>
      <x:c r="M604" s="39" t="str"/>
      <x:c r="N604" s="39" t="str">
        <x:v>1154878548.docx / ممیزی جدید</x:v>
      </x:c>
    </x:row>
    <x:row r="605" ht="34" customHeight="1">
      <x:c r="A605" s="34" t="str">
        <x:v>☐</x:v>
      </x:c>
      <x:c r="B605" s="34" t="str">
        <x:v>N115-0078</x:v>
      </x:c>
      <x:c r="C605" s="34" t="str">
        <x:v>M3 — کسب‌وکار، شبکه و زیست‌بوم نوآوری</x:v>
      </x:c>
      <x:c r="D605" s="34" t="str">
        <x:v>H10</x:v>
      </x:c>
      <x:c r="E605" s="34" t="str">
        <x:v>زیست‌بوم نوآوری، استعداد و تیم‌سازی</x:v>
      </x:c>
      <x:c r="F605" s="34" t="str">
        <x:v>P2</x:v>
      </x:c>
      <x:c r="G605" s="34" t="str">
        <x:v>پروژه/طرح</x:v>
      </x:c>
      <x:c r="H605" s="39" t="str">
        <x:v>جمع‌آوری غیرفعال داده از API، سوابق داخلی، پروژه‌ها و پروفایل‌های خارجی</x:v>
      </x:c>
      <x:c r="I605" s="39" t="str">
        <x:v>طراحی در معماری زیست‌بوم؛ اجرا مرحله‌ای</x:v>
      </x:c>
      <x:c r="J605" s="39" t="str">
        <x:v>سازنده زیست‌بوم + مدیر پورتفو</x:v>
      </x:c>
      <x:c r="K605" s="39" t="str">
        <x:v>TalentOS/معماری داده</x:v>
      </x:c>
      <x:c r="L605" s="39" t="str">
        <x:v>115:P7750-8046</x:v>
      </x:c>
      <x:c r="M605" s="39" t="str"/>
      <x:c r="N605" s="39" t="str">
        <x:v>1154878548.docx / ممیزی جدید</x:v>
      </x:c>
    </x:row>
    <x:row r="606" ht="34" customHeight="1">
      <x:c r="A606" s="34" t="str">
        <x:v>☐</x:v>
      </x:c>
      <x:c r="B606" s="34" t="str">
        <x:v>N115-0079</x:v>
      </x:c>
      <x:c r="C606" s="34" t="str">
        <x:v>M3 — کسب‌وکار، شبکه و زیست‌بوم نوآوری</x:v>
      </x:c>
      <x:c r="D606" s="34" t="str">
        <x:v>H10</x:v>
      </x:c>
      <x:c r="E606" s="34" t="str">
        <x:v>زیست‌بوم نوآوری، استعداد و تیم‌سازی</x:v>
      </x:c>
      <x:c r="F606" s="34" t="str">
        <x:v>P2</x:v>
      </x:c>
      <x:c r="G606" s="34" t="str">
        <x:v>پروژه/طرح</x:v>
      </x:c>
      <x:c r="H606" s="39" t="str">
        <x:v>بازی‌وارسازی مسیر شغلی با امتیاز، سطح، توکن و شرط ارتقا</x:v>
      </x:c>
      <x:c r="I606" s="39" t="str">
        <x:v>طراحی در معماری زیست‌بوم؛ اجرا مرحله‌ای</x:v>
      </x:c>
      <x:c r="J606" s="39" t="str">
        <x:v>سازنده زیست‌بوم + مدیر پورتفو</x:v>
      </x:c>
      <x:c r="K606" s="39" t="str">
        <x:v>TalentOS/Gamification</x:v>
      </x:c>
      <x:c r="L606" s="39" t="str">
        <x:v>115:P7750-8046</x:v>
      </x:c>
      <x:c r="M606" s="39" t="str"/>
      <x:c r="N606" s="39" t="str">
        <x:v>1154878548.docx / ممیزی جدید</x:v>
      </x:c>
    </x:row>
    <x:row r="607" ht="34" customHeight="1">
      <x:c r="A607" s="34" t="str">
        <x:v>☐</x:v>
      </x:c>
      <x:c r="B607" s="34" t="str">
        <x:v>N115-0080</x:v>
      </x:c>
      <x:c r="C607" s="34" t="str">
        <x:v>M3 — کسب‌وکار، شبکه و زیست‌بوم نوآوری</x:v>
      </x:c>
      <x:c r="D607" s="34" t="str">
        <x:v>H10</x:v>
      </x:c>
      <x:c r="E607" s="34" t="str">
        <x:v>زیست‌بوم نوآوری، استعداد و تیم‌سازی</x:v>
      </x:c>
      <x:c r="F607" s="34" t="str">
        <x:v>P2</x:v>
      </x:c>
      <x:c r="G607" s="34" t="str">
        <x:v>پروژه/طرح</x:v>
      </x:c>
      <x:c r="H607" s="39" t="str">
        <x:v>پیش‌بینی بی‌تعهدی و ریسک خروج براساس سیگنال‌های رفتاری</x:v>
      </x:c>
      <x:c r="I607" s="39" t="str">
        <x:v>طراحی در معماری زیست‌بوم؛ اجرا مرحله‌ای</x:v>
      </x:c>
      <x:c r="J607" s="39" t="str">
        <x:v>سازنده زیست‌بوم + مدیر پورتفو</x:v>
      </x:c>
      <x:c r="K607" s="39" t="str">
        <x:v>TalentOS/تحلیل پیش‌بین</x:v>
      </x:c>
      <x:c r="L607" s="39" t="str">
        <x:v>115:P7750-8046</x:v>
      </x:c>
      <x:c r="M607" s="39" t="str"/>
      <x:c r="N607" s="39" t="str">
        <x:v>1154878548.docx / ممیزی جدید</x:v>
      </x:c>
    </x:row>
    <x:row r="608" ht="34" customHeight="1">
      <x:c r="A608" s="34" t="str">
        <x:v>☐</x:v>
      </x:c>
      <x:c r="B608" s="34" t="str">
        <x:v>N115-0081</x:v>
      </x:c>
      <x:c r="C608" s="34" t="str">
        <x:v>M3 — کسب‌وکار، شبکه و زیست‌بوم نوآوری</x:v>
      </x:c>
      <x:c r="D608" s="34" t="str">
        <x:v>H10</x:v>
      </x:c>
      <x:c r="E608" s="34" t="str">
        <x:v>زیست‌بوم نوآوری، استعداد و تیم‌سازی</x:v>
      </x:c>
      <x:c r="F608" s="34" t="str">
        <x:v>P2</x:v>
      </x:c>
      <x:c r="G608" s="34" t="str">
        <x:v>پروژه/طرح</x:v>
      </x:c>
      <x:c r="H608" s="39" t="str">
        <x:v>تولید پیشنهاد مداخله زودهنگام مثل منتورینگ، ارتقا یا حمایت هدفمند</x:v>
      </x:c>
      <x:c r="I608" s="39" t="str">
        <x:v>طراحی در معماری زیست‌بوم؛ اجرا مرحله‌ای</x:v>
      </x:c>
      <x:c r="J608" s="39" t="str">
        <x:v>سازنده زیست‌بوم + مدیر پورتفو</x:v>
      </x:c>
      <x:c r="K608" s="39" t="str">
        <x:v>TalentOS/تحلیل پیش‌بین</x:v>
      </x:c>
      <x:c r="L608" s="39" t="str">
        <x:v>115:P7750-8046</x:v>
      </x:c>
      <x:c r="M608" s="39" t="str"/>
      <x:c r="N608" s="39" t="str">
        <x:v>1154878548.docx / ممیزی جدید</x:v>
      </x:c>
    </x:row>
    <x:row r="609" ht="34" customHeight="1">
      <x:c r="A609" s="34" t="str">
        <x:v>☐</x:v>
      </x:c>
      <x:c r="B609" s="34" t="str">
        <x:v>N115-0082</x:v>
      </x:c>
      <x:c r="C609" s="34" t="str">
        <x:v>M3 — کسب‌وکار، شبکه و زیست‌بوم نوآوری</x:v>
      </x:c>
      <x:c r="D609" s="34" t="str">
        <x:v>H10</x:v>
      </x:c>
      <x:c r="E609" s="34" t="str">
        <x:v>زیست‌بوم نوآوری، استعداد و تیم‌سازی</x:v>
      </x:c>
      <x:c r="F609" s="34" t="str">
        <x:v>P2</x:v>
      </x:c>
      <x:c r="G609" s="34" t="str">
        <x:v>پروژه/طرح</x:v>
      </x:c>
      <x:c r="H609" s="39" t="str">
        <x:v>ساخت گراف مهارت برای جابه‌جایی داخلی و اقتصاد باز استعداد</x:v>
      </x:c>
      <x:c r="I609" s="39" t="str">
        <x:v>طراحی در معماری زیست‌بوم؛ اجرا مرحله‌ای</x:v>
      </x:c>
      <x:c r="J609" s="39" t="str">
        <x:v>سازنده زیست‌بوم + مدیر پورتفو</x:v>
      </x:c>
      <x:c r="K609" s="39" t="str">
        <x:v>TalentOS/اقتصاد استعداد</x:v>
      </x:c>
      <x:c r="L609" s="39" t="str">
        <x:v>115:P7750-8046</x:v>
      </x:c>
      <x:c r="M609" s="39" t="str"/>
      <x:c r="N609" s="39" t="str">
        <x:v>1154878548.docx / ممیزی جدید</x:v>
      </x:c>
    </x:row>
    <x:row r="610" ht="34" customHeight="1">
      <x:c r="A610" s="34" t="str">
        <x:v>☐</x:v>
      </x:c>
      <x:c r="B610" s="34" t="str">
        <x:v>N115-0083</x:v>
      </x:c>
      <x:c r="C610" s="34" t="str">
        <x:v>M3 — کسب‌وکار، شبکه و زیست‌بوم نوآوری</x:v>
      </x:c>
      <x:c r="D610" s="34" t="str">
        <x:v>H10</x:v>
      </x:c>
      <x:c r="E610" s="34" t="str">
        <x:v>زیست‌بوم نوآوری، استعداد و تیم‌سازی</x:v>
      </x:c>
      <x:c r="F610" s="34" t="str">
        <x:v>P2</x:v>
      </x:c>
      <x:c r="G610" s="34" t="str">
        <x:v>پروژه/طرح</x:v>
      </x:c>
      <x:c r="H610" s="39" t="str">
        <x:v>MVP صد نفر اول با پروفایل پایه، دسته‌بندی مهارت و پیامک مناسبت‌ها</x:v>
      </x:c>
      <x:c r="I610" s="39" t="str">
        <x:v>طراحی در معماری زیست‌بوم؛ اجرا مرحله‌ای</x:v>
      </x:c>
      <x:c r="J610" s="39" t="str">
        <x:v>سازنده زیست‌بوم + مدیر پورتفو</x:v>
      </x:c>
      <x:c r="K610" s="39" t="str">
        <x:v>TalentOS/نقشه راه</x:v>
      </x:c>
      <x:c r="L610" s="39" t="str">
        <x:v>115:P7750-8046</x:v>
      </x:c>
      <x:c r="M610" s="39" t="str"/>
      <x:c r="N610" s="39" t="str">
        <x:v>1154878548.docx / ممیزی جدید</x:v>
      </x:c>
    </x:row>
    <x:row r="611" ht="34" customHeight="1">
      <x:c r="A611" s="34" t="str">
        <x:v>☐</x:v>
      </x:c>
      <x:c r="B611" s="34" t="str">
        <x:v>N115-0084</x:v>
      </x:c>
      <x:c r="C611" s="34" t="str">
        <x:v>M3 — کسب‌وکار، شبکه و زیست‌بوم نوآوری</x:v>
      </x:c>
      <x:c r="D611" s="34" t="str">
        <x:v>H10</x:v>
      </x:c>
      <x:c r="E611" s="34" t="str">
        <x:v>زیست‌بوم نوآوری، استعداد و تیم‌سازی</x:v>
      </x:c>
      <x:c r="F611" s="34" t="str">
        <x:v>P2</x:v>
      </x:c>
      <x:c r="G611" s="34" t="str">
        <x:v>پروژه/طرح</x:v>
      </x:c>
      <x:c r="H611" s="39" t="str">
        <x:v>فاز دوم: اتصال پایگاه‌ها، صندوق تعاونی و خودکارسازی جریان‌های کاری</x:v>
      </x:c>
      <x:c r="I611" s="39" t="str">
        <x:v>طراحی در معماری زیست‌بوم؛ اجرا مرحله‌ای</x:v>
      </x:c>
      <x:c r="J611" s="39" t="str">
        <x:v>سازنده زیست‌بوم + مدیر پورتفو</x:v>
      </x:c>
      <x:c r="K611" s="39" t="str">
        <x:v>TalentOS/نقشه راه</x:v>
      </x:c>
      <x:c r="L611" s="39" t="str">
        <x:v>115:P7750-8046</x:v>
      </x:c>
      <x:c r="M611" s="39" t="str"/>
      <x:c r="N611" s="39" t="str">
        <x:v>1154878548.docx / ممیزی جدید</x:v>
      </x:c>
    </x:row>
    <x:row r="612" ht="34" customHeight="1">
      <x:c r="A612" s="34" t="str">
        <x:v>☐</x:v>
      </x:c>
      <x:c r="B612" s="34" t="str">
        <x:v>N115-0085</x:v>
      </x:c>
      <x:c r="C612" s="34" t="str">
        <x:v>M3 — کسب‌وکار، شبکه و زیست‌بوم نوآوری</x:v>
      </x:c>
      <x:c r="D612" s="34" t="str">
        <x:v>H10</x:v>
      </x:c>
      <x:c r="E612" s="34" t="str">
        <x:v>زیست‌بوم نوآوری، استعداد و تیم‌سازی</x:v>
      </x:c>
      <x:c r="F612" s="34" t="str">
        <x:v>P2</x:v>
      </x:c>
      <x:c r="G612" s="34" t="str">
        <x:v>پروژه/طرح</x:v>
      </x:c>
      <x:c r="H612" s="39" t="str">
        <x:v>فاز سوم: تحلیل‌های AI، پیشنهاد شغلی هوشمند و درآمدزایی ارجاع نیرو</x:v>
      </x:c>
      <x:c r="I612" s="39" t="str">
        <x:v>طراحی در معماری زیست‌بوم؛ اجرا مرحله‌ای</x:v>
      </x:c>
      <x:c r="J612" s="39" t="str">
        <x:v>سازنده زیست‌بوم + مدیر پورتفو</x:v>
      </x:c>
      <x:c r="K612" s="39" t="str">
        <x:v>TalentOS/نقشه راه</x:v>
      </x:c>
      <x:c r="L612" s="39" t="str">
        <x:v>115:P7750-8046</x:v>
      </x:c>
      <x:c r="M612" s="39" t="str"/>
      <x:c r="N612" s="39" t="str">
        <x:v>1154878548.docx / ممیزی جدید</x:v>
      </x:c>
    </x:row>
    <x:row r="613" ht="34" customHeight="1">
      <x:c r="A613" s="34" t="str">
        <x:v>☐</x:v>
      </x:c>
      <x:c r="B613" s="34" t="str">
        <x:v>N115-0086</x:v>
      </x:c>
      <x:c r="C613" s="34" t="str">
        <x:v>M3 — کسب‌وکار، شبکه و زیست‌بوم نوآوری</x:v>
      </x:c>
      <x:c r="D613" s="34" t="str">
        <x:v>H10</x:v>
      </x:c>
      <x:c r="E613" s="34" t="str">
        <x:v>زیست‌بوم نوآوری، استعداد و تیم‌سازی</x:v>
      </x:c>
      <x:c r="F613" s="34" t="str">
        <x:v>P2</x:v>
      </x:c>
      <x:c r="G613" s="34" t="str">
        <x:v>پروژه/طرح</x:v>
      </x:c>
      <x:c r="H613" s="39" t="str">
        <x:v>جمع‌آوری بازخورد علت غیبت از رویداد، دوره یا مسابقه</x:v>
      </x:c>
      <x:c r="I613" s="39" t="str">
        <x:v>طراحی در معماری زیست‌بوم؛ اجرا مرحله‌ای</x:v>
      </x:c>
      <x:c r="J613" s="39" t="str">
        <x:v>سازنده زیست‌بوم + مدیر پورتفو</x:v>
      </x:c>
      <x:c r="K613" s="39" t="str">
        <x:v>TalentOS/بازخورد</x:v>
      </x:c>
      <x:c r="L613" s="39" t="str">
        <x:v>115:P7750-8046</x:v>
      </x:c>
      <x:c r="M613" s="39" t="str"/>
      <x:c r="N613" s="39" t="str">
        <x:v>1154878548.docx / ممیزی جدید</x:v>
      </x:c>
    </x:row>
    <x:row r="614" ht="34" customHeight="1">
      <x:c r="A614" s="34" t="str">
        <x:v>☐</x:v>
      </x:c>
      <x:c r="B614" s="34" t="str">
        <x:v>N115-0087</x:v>
      </x:c>
      <x:c r="C614" s="34" t="str">
        <x:v>M3 — کسب‌وکار، شبکه و زیست‌بوم نوآوری</x:v>
      </x:c>
      <x:c r="D614" s="34" t="str">
        <x:v>H10</x:v>
      </x:c>
      <x:c r="E614" s="34" t="str">
        <x:v>زیست‌بوم نوآوری، استعداد و تیم‌سازی</x:v>
      </x:c>
      <x:c r="F614" s="34" t="str">
        <x:v>P2</x:v>
      </x:c>
      <x:c r="G614" s="34" t="str">
        <x:v>پروژه/طرح</x:v>
      </x:c>
      <x:c r="H614" s="39" t="str">
        <x:v>کارگاه‌های CV، LinkedIn و توسعه حرفه‌ای مبتنی بر نیاز واقعی</x:v>
      </x:c>
      <x:c r="I614" s="39" t="str">
        <x:v>طراحی در معماری زیست‌بوم؛ اجرا مرحله‌ای</x:v>
      </x:c>
      <x:c r="J614" s="39" t="str">
        <x:v>سازنده زیست‌بوم + مدیر پورتفو</x:v>
      </x:c>
      <x:c r="K614" s="39" t="str">
        <x:v>TalentOS/توانمندسازی</x:v>
      </x:c>
      <x:c r="L614" s="39" t="str">
        <x:v>115:P7750-8046</x:v>
      </x:c>
      <x:c r="M614" s="39" t="str"/>
      <x:c r="N614" s="39" t="str">
        <x:v>1154878548.docx / ممیزی جدید</x:v>
      </x:c>
    </x:row>
    <x:row r="615" ht="34" customHeight="1">
      <x:c r="A615" s="34" t="str">
        <x:v>☐</x:v>
      </x:c>
      <x:c r="B615" s="34" t="str">
        <x:v>N115-0088</x:v>
      </x:c>
      <x:c r="C615" s="34" t="str">
        <x:v>M3 — کسب‌وکار، شبکه و زیست‌بوم نوآوری</x:v>
      </x:c>
      <x:c r="D615" s="34" t="str">
        <x:v>H10</x:v>
      </x:c>
      <x:c r="E615" s="34" t="str">
        <x:v>زیست‌بوم نوآوری، استعداد و تیم‌سازی</x:v>
      </x:c>
      <x:c r="F615" s="34" t="str">
        <x:v>P2</x:v>
      </x:c>
      <x:c r="G615" s="34" t="str">
        <x:v>پروژه/طرح</x:v>
      </x:c>
      <x:c r="H615" s="39" t="str">
        <x:v>اتصال فارغ‌التحصیلان، اساتید، افراد موفق و صاحبان کسب‌وکار به شبکه</x:v>
      </x:c>
      <x:c r="I615" s="39" t="str">
        <x:v>طراحی در معماری زیست‌بوم؛ اجرا مرحله‌ای</x:v>
      </x:c>
      <x:c r="J615" s="39" t="str">
        <x:v>سازنده زیست‌بوم + مدیر پورتفو</x:v>
      </x:c>
      <x:c r="K615" s="39" t="str">
        <x:v>TalentOS/شبکه‌سازی</x:v>
      </x:c>
      <x:c r="L615" s="39" t="str">
        <x:v>115:P7750-8046</x:v>
      </x:c>
      <x:c r="M615" s="39" t="str"/>
      <x:c r="N615" s="39" t="str">
        <x:v>1154878548.docx / ممیزی جدید</x:v>
      </x:c>
    </x:row>
    <x:row r="616" ht="34" customHeight="1">
      <x:c r="A616" s="34" t="str">
        <x:v>☐</x:v>
      </x:c>
      <x:c r="B616" s="34" t="str">
        <x:v>N115-0089</x:v>
      </x:c>
      <x:c r="C616" s="34" t="str">
        <x:v>M3 — کسب‌وکار، شبکه و زیست‌بوم نوآوری</x:v>
      </x:c>
      <x:c r="D616" s="34" t="str">
        <x:v>H10</x:v>
      </x:c>
      <x:c r="E616" s="34" t="str">
        <x:v>زیست‌بوم نوآوری، استعداد و تیم‌سازی</x:v>
      </x:c>
      <x:c r="F616" s="34" t="str">
        <x:v>P2</x:v>
      </x:c>
      <x:c r="G616" s="34" t="str">
        <x:v>پروژه/طرح</x:v>
      </x:c>
      <x:c r="H616" s="39" t="str">
        <x:v>تعریف پرونده فردی با وضعیت عضویت تیم، نقش، مرحله تیم، استعداد و رزومه</x:v>
      </x:c>
      <x:c r="I616" s="39" t="str">
        <x:v>طراحی در معماری زیست‌بوم؛ اجرا مرحله‌ای</x:v>
      </x:c>
      <x:c r="J616" s="39" t="str">
        <x:v>سازنده زیست‌بوم + مدیر پورتفو</x:v>
      </x:c>
      <x:c r="K616" s="39" t="str">
        <x:v>TalentOS/پرونده 360 درجه</x:v>
      </x:c>
      <x:c r="L616" s="39" t="str">
        <x:v>115:P7750-8046</x:v>
      </x:c>
      <x:c r="M616" s="39" t="str"/>
      <x:c r="N616" s="39" t="str">
        <x:v>1154878548.docx / ممیزی جدید</x:v>
      </x:c>
    </x:row>
    <x:row r="617" ht="34" customHeight="1">
      <x:c r="A617" s="34" t="str">
        <x:v>☐</x:v>
      </x:c>
      <x:c r="B617" s="34" t="str">
        <x:v>N115-0090</x:v>
      </x:c>
      <x:c r="C617" s="34" t="str">
        <x:v>M3 — کسب‌وکار، شبکه و زیست‌بوم نوآوری</x:v>
      </x:c>
      <x:c r="D617" s="34" t="str">
        <x:v>H10</x:v>
      </x:c>
      <x:c r="E617" s="34" t="str">
        <x:v>زیست‌بوم نوآوری، استعداد و تیم‌سازی</x:v>
      </x:c>
      <x:c r="F617" s="34" t="str">
        <x:v>P2</x:v>
      </x:c>
      <x:c r="G617" s="34" t="str">
        <x:v>پروژه/طرح</x:v>
      </x:c>
      <x:c r="H617" s="39" t="str">
        <x:v>تعریف بسامد پیگیری هر فرد (هفتگی/ماهانه/دوره‌ای) براساس لایه اهمیت</x:v>
      </x:c>
      <x:c r="I617" s="39" t="str">
        <x:v>طراحی در معماری زیست‌بوم؛ اجرا مرحله‌ای</x:v>
      </x:c>
      <x:c r="J617" s="39" t="str">
        <x:v>سازنده زیست‌بوم + مدیر پورتفو</x:v>
      </x:c>
      <x:c r="K617" s="39" t="str">
        <x:v>TalentOS/پیگیری</x:v>
      </x:c>
      <x:c r="L617" s="39" t="str">
        <x:v>115:P7750-8046</x:v>
      </x:c>
      <x:c r="M617" s="39" t="str"/>
      <x:c r="N617" s="39" t="str">
        <x:v>1154878548.docx / ممیزی جدید</x:v>
      </x:c>
    </x:row>
    <x:row r="618" ht="34" customHeight="1">
      <x:c r="A618" s="34" t="str">
        <x:v>☐</x:v>
      </x:c>
      <x:c r="B618" s="34" t="str">
        <x:v>N115-0091</x:v>
      </x:c>
      <x:c r="C618" s="34" t="str">
        <x:v>M3 — کسب‌وکار، شبکه و زیست‌بوم نوآوری</x:v>
      </x:c>
      <x:c r="D618" s="34" t="str">
        <x:v>H10</x:v>
      </x:c>
      <x:c r="E618" s="34" t="str">
        <x:v>زیست‌بوم نوآوری، استعداد و تیم‌سازی</x:v>
      </x:c>
      <x:c r="F618" s="34" t="str">
        <x:v>P2</x:v>
      </x:c>
      <x:c r="G618" s="34" t="str">
        <x:v>پروژه/طرح</x:v>
      </x:c>
      <x:c r="H618" s="39" t="str">
        <x:v>سامانه پیامکی/کانالی برای اطلاعیه، فرصت، رویداد، وام و دوره</x:v>
      </x:c>
      <x:c r="I618" s="39" t="str">
        <x:v>طراحی در معماری زیست‌بوم؛ اجرا مرحله‌ای</x:v>
      </x:c>
      <x:c r="J618" s="39" t="str">
        <x:v>سازنده زیست‌بوم + مدیر پورتفو</x:v>
      </x:c>
      <x:c r="K618" s="39" t="str">
        <x:v>TalentOS/ارتباطات</x:v>
      </x:c>
      <x:c r="L618" s="39" t="str">
        <x:v>115:P7750-8046</x:v>
      </x:c>
      <x:c r="M618" s="39" t="str"/>
      <x:c r="N618" s="39" t="str">
        <x:v>1154878548.docx / ممیزی جدید</x:v>
      </x:c>
    </x:row>
    <x:row r="619" ht="34" customHeight="1">
      <x:c r="A619" s="34" t="str">
        <x:v>☐</x:v>
      </x:c>
      <x:c r="B619" s="34" t="str">
        <x:v>N115-0092</x:v>
      </x:c>
      <x:c r="C619" s="34" t="str">
        <x:v>M3 — کسب‌وکار، شبکه و زیست‌بوم نوآوری</x:v>
      </x:c>
      <x:c r="D619" s="34" t="str">
        <x:v>H10</x:v>
      </x:c>
      <x:c r="E619" s="34" t="str">
        <x:v>زیست‌بوم نوآوری، استعداد و تیم‌سازی</x:v>
      </x:c>
      <x:c r="F619" s="34" t="str">
        <x:v>P2</x:v>
      </x:c>
      <x:c r="G619" s="34" t="str">
        <x:v>پروژه/طرح</x:v>
      </x:c>
      <x:c r="H619" s="39" t="str">
        <x:v>مدیریت سریع ورودی‌های انبوه رویداد و دسته‌بندی آن‌ها براساس استعداد و علاقه</x:v>
      </x:c>
      <x:c r="I619" s="39" t="str">
        <x:v>طراحی در معماری زیست‌بوم؛ اجرا مرحله‌ای</x:v>
      </x:c>
      <x:c r="J619" s="39" t="str">
        <x:v>سازنده زیست‌بوم + مدیر پورتفو</x:v>
      </x:c>
      <x:c r="K619" s="39" t="str">
        <x:v>TalentOS/جذب</x:v>
      </x:c>
      <x:c r="L619" s="39" t="str">
        <x:v>115:P7750-8046</x:v>
      </x:c>
      <x:c r="M619" s="39" t="str"/>
      <x:c r="N619" s="39" t="str">
        <x:v>1154878548.docx / ممیزی جدید</x:v>
      </x:c>
    </x:row>
    <x:row r="620" ht="34" customHeight="1">
      <x:c r="A620" s="34" t="str">
        <x:v>☐</x:v>
      </x:c>
      <x:c r="B620" s="34" t="str">
        <x:v>N115-0093</x:v>
      </x:c>
      <x:c r="C620" s="34" t="str">
        <x:v>M3 — کسب‌وکار، شبکه و زیست‌بوم نوآوری</x:v>
      </x:c>
      <x:c r="D620" s="34" t="str">
        <x:v>H10</x:v>
      </x:c>
      <x:c r="E620" s="34" t="str">
        <x:v>زیست‌بوم نوآوری، استعداد و تیم‌سازی</x:v>
      </x:c>
      <x:c r="F620" s="34" t="str">
        <x:v>P2</x:v>
      </x:c>
      <x:c r="G620" s="34" t="str">
        <x:v>پروژه/طرح</x:v>
      </x:c>
      <x:c r="H620" s="39" t="str">
        <x:v>دبیرخانه شبکه برای پیگیری افراد، تیم‌ها و منابع انسانی</x:v>
      </x:c>
      <x:c r="I620" s="39" t="str">
        <x:v>طراحی در معماری زیست‌بوم؛ اجرا مرحله‌ای</x:v>
      </x:c>
      <x:c r="J620" s="39" t="str">
        <x:v>سازنده زیست‌بوم + مدیر پورتفو</x:v>
      </x:c>
      <x:c r="K620" s="39" t="str">
        <x:v>TalentOS/عملیات شبکه</x:v>
      </x:c>
      <x:c r="L620" s="39" t="str">
        <x:v>115:P7750-8046</x:v>
      </x:c>
      <x:c r="M620" s="39" t="str"/>
      <x:c r="N620" s="39" t="str">
        <x:v>1154878548.docx / ممیزی جدید</x:v>
      </x:c>
    </x:row>
    <x:row r="621" ht="34" customHeight="1">
      <x:c r="A621" s="34" t="str">
        <x:v>☐</x:v>
      </x:c>
      <x:c r="B621" s="34" t="str">
        <x:v>MI-2494</x:v>
      </x:c>
      <x:c r="C621" s="34" t="str">
        <x:v>M3 — کسب‌وکار، شبکه و زیست‌بوم نوآوری</x:v>
      </x:c>
      <x:c r="D621" s="34" t="str">
        <x:v>H10</x:v>
      </x:c>
      <x:c r="E621" s="34" t="str">
        <x:v>زیست‌بوم نوآوری، استعداد و تیم‌سازی</x:v>
      </x:c>
      <x:c r="F621" s="34" t="str">
        <x:v>P2</x:v>
      </x:c>
      <x:c r="G621" s="34" t="str">
        <x:v>مهارت/یادگیری</x:v>
      </x:c>
      <x:c r="H621" s="39" t="str">
        <x:v>2. آکادمی مهارت های نرم</x:v>
      </x:c>
      <x:c r="I621" s="39" t="str">
        <x:v>پس از تثبیت پایه‌ها؛ پروژه‌محور</x:v>
      </x:c>
      <x:c r="J621" s="39" t="str">
        <x:v>سازنده زیست‌بوم + مدیر پورتفو</x:v>
      </x:c>
      <x:c r="K621" s="39" t="str"/>
      <x:c r="L621" s="39" t="str">
        <x:v>E112:P1990؛ E112:P2514؛ E112:P2972؛ E112:P3352</x:v>
      </x:c>
      <x:c r="M621" s="39" t="str"/>
      <x:c r="N621" s="39" t="str">
        <x:v>نسخه پایه ۳۱۵۰</x:v>
      </x:c>
    </x:row>
    <x:row r="622" ht="34" customHeight="1">
      <x:c r="A622" s="34" t="str">
        <x:v>☐</x:v>
      </x:c>
      <x:c r="B622" s="34" t="str">
        <x:v>MI-2504</x:v>
      </x:c>
      <x:c r="C622" s="34" t="str">
        <x:v>M3 — کسب‌وکار، شبکه و زیست‌بوم نوآوری</x:v>
      </x:c>
      <x:c r="D622" s="34" t="str">
        <x:v>H10</x:v>
      </x:c>
      <x:c r="E622" s="34" t="str">
        <x:v>زیست‌بوم نوآوری، استعداد و تیم‌سازی</x:v>
      </x:c>
      <x:c r="F622" s="34" t="str">
        <x:v>P2</x:v>
      </x:c>
      <x:c r="G622" s="34" t="str">
        <x:v>مهارت/یادگیری</x:v>
      </x:c>
      <x:c r="H622" s="39" t="str">
        <x:v>3. آکادمی مهارت های سخت</x:v>
      </x:c>
      <x:c r="I622" s="39" t="str">
        <x:v>پس از تثبیت پایه‌ها؛ پروژه‌محور</x:v>
      </x:c>
      <x:c r="J622" s="39" t="str">
        <x:v>سازنده زیست‌بوم + مدیر پورتفو</x:v>
      </x:c>
      <x:c r="K622" s="39" t="str"/>
      <x:c r="L622" s="39" t="str">
        <x:v>E112:P2008؛ E112:P2547؛ E112:P2986؛ E112:P3354</x:v>
      </x:c>
      <x:c r="M622" s="39" t="str"/>
      <x:c r="N622" s="39" t="str">
        <x:v>نسخه پایه ۳۱۵۰</x:v>
      </x:c>
    </x:row>
    <x:row r="623" ht="34" customHeight="1">
      <x:c r="A623" s="34" t="str">
        <x:v>☐</x:v>
      </x:c>
      <x:c r="B623" s="34" t="str">
        <x:v>MI-2625</x:v>
      </x:c>
      <x:c r="C623" s="34" t="str">
        <x:v>M3 — کسب‌وکار، شبکه و زیست‌بوم نوآوری</x:v>
      </x:c>
      <x:c r="D623" s="34" t="str">
        <x:v>H10</x:v>
      </x:c>
      <x:c r="E623" s="34" t="str">
        <x:v>زیست‌بوم نوآوری، استعداد و تیم‌سازی</x:v>
      </x:c>
      <x:c r="F623" s="34" t="str">
        <x:v>P2</x:v>
      </x:c>
      <x:c r="G623" s="34" t="str">
        <x:v>مهارت/یادگیری</x:v>
      </x:c>
      <x:c r="H623" s="39" t="str">
        <x:v>آکادمی های مهارتی</x:v>
      </x:c>
      <x:c r="I623" s="39" t="str">
        <x:v>پس از تثبیت پایه‌ها؛ پروژه‌محور</x:v>
      </x:c>
      <x:c r="J623" s="39" t="str">
        <x:v>سازنده زیست‌بوم + مدیر پورتفو</x:v>
      </x:c>
      <x:c r="K623" s="39" t="str"/>
      <x:c r="L623" s="39" t="str">
        <x:v>E112:P2475</x:v>
      </x:c>
      <x:c r="M623" s="39" t="str"/>
      <x:c r="N623" s="39" t="str">
        <x:v>نسخه پایه ۳۱۵۰</x:v>
      </x:c>
    </x:row>
    <x:row r="624" ht="34" customHeight="1">
      <x:c r="A624" s="34" t="str">
        <x:v>☐</x:v>
      </x:c>
      <x:c r="B624" s="34" t="str">
        <x:v>MI-2641</x:v>
      </x:c>
      <x:c r="C624" s="34" t="str">
        <x:v>M3 — کسب‌وکار، شبکه و زیست‌بوم نوآوری</x:v>
      </x:c>
      <x:c r="D624" s="34" t="str">
        <x:v>H10</x:v>
      </x:c>
      <x:c r="E624" s="34" t="str">
        <x:v>زیست‌بوم نوآوری، استعداد و تیم‌سازی</x:v>
      </x:c>
      <x:c r="F624" s="34" t="str">
        <x:v>P2</x:v>
      </x:c>
      <x:c r="G624" s="34" t="str">
        <x:v>مهارت/یادگیری</x:v>
      </x:c>
      <x:c r="H624" s="39" t="str">
        <x:v>یکی از خلاهای اصلی در حوزه اشتغال، ضعف در مهارت های نرم است. برای رفع این موضوع باید یک آکادمی مهارت های نرم شکل بگیرد.</x:v>
      </x:c>
      <x:c r="I624" s="39" t="str">
        <x:v>پس از تثبیت پایه‌ها؛ پروژه‌محور</x:v>
      </x:c>
      <x:c r="J624" s="39" t="str">
        <x:v>سازنده زیست‌بوم + مدیر پورتفو</x:v>
      </x:c>
      <x:c r="K624" s="39" t="str"/>
      <x:c r="L624" s="39" t="str">
        <x:v>E112:P2516</x:v>
      </x:c>
      <x:c r="M624" s="39" t="str"/>
      <x:c r="N624" s="39" t="str">
        <x:v>نسخه پایه ۳۱۵۰</x:v>
      </x:c>
    </x:row>
    <x:row r="625" ht="34" customHeight="1">
      <x:c r="A625" s="34" t="str">
        <x:v>☐</x:v>
      </x:c>
      <x:c r="B625" s="34" t="str">
        <x:v>MI-2651</x:v>
      </x:c>
      <x:c r="C625" s="34" t="str">
        <x:v>M3 — کسب‌وکار، شبکه و زیست‌بوم نوآوری</x:v>
      </x:c>
      <x:c r="D625" s="34" t="str">
        <x:v>H10</x:v>
      </x:c>
      <x:c r="E625" s="34" t="str">
        <x:v>زیست‌بوم نوآوری، استعداد و تیم‌سازی</x:v>
      </x:c>
      <x:c r="F625" s="34" t="str">
        <x:v>P2</x:v>
      </x:c>
      <x:c r="G625" s="34" t="str">
        <x:v>مهارت/یادگیری</x:v>
      </x:c>
      <x:c r="H625" s="39" t="str">
        <x:v>این آکادمی ها می توانند شامل آموزش در حوزه هایی مانند:</x:v>
      </x:c>
      <x:c r="I625" s="39" t="str">
        <x:v>پس از تثبیت پایه‌ها؛ پروژه‌محور</x:v>
      </x:c>
      <x:c r="J625" s="39" t="str">
        <x:v>سازنده زیست‌بوم + مدیر پورتفو</x:v>
      </x:c>
      <x:c r="K625" s="39" t="str"/>
      <x:c r="L625" s="39" t="str">
        <x:v>E112:P2551</x:v>
      </x:c>
      <x:c r="M625" s="39" t="str"/>
      <x:c r="N625" s="39" t="str">
        <x:v>نسخه پایه ۳۱۵۰</x:v>
      </x:c>
    </x:row>
    <x:row r="626" ht="34" customHeight="1">
      <x:c r="A626" s="34" t="str">
        <x:v>☐</x:v>
      </x:c>
      <x:c r="B626" s="34" t="str">
        <x:v>MI-2696</x:v>
      </x:c>
      <x:c r="C626" s="34" t="str">
        <x:v>M3 — کسب‌وکار، شبکه و زیست‌بوم نوآوری</x:v>
      </x:c>
      <x:c r="D626" s="34" t="str">
        <x:v>H10</x:v>
      </x:c>
      <x:c r="E626" s="34" t="str">
        <x:v>زیست‌بوم نوآوری، استعداد و تیم‌سازی</x:v>
      </x:c>
      <x:c r="F626" s="34" t="str">
        <x:v>P2</x:v>
      </x:c>
      <x:c r="G626" s="34" t="str">
        <x:v>مهارت/یادگیری</x:v>
      </x:c>
      <x:c r="H626" s="39" t="str">
        <x:v>کمپ های آموزشی</x:v>
      </x:c>
      <x:c r="I626" s="39" t="str">
        <x:v>پس از تثبیت پایه‌ها؛ پروژه‌محور</x:v>
      </x:c>
      <x:c r="J626" s="39" t="str">
        <x:v>سازنده زیست‌بوم + مدیر پورتفو</x:v>
      </x:c>
      <x:c r="K626" s="39" t="str"/>
      <x:c r="L626" s="39" t="str">
        <x:v>E112:P2669</x:v>
      </x:c>
      <x:c r="M626" s="39" t="str"/>
      <x:c r="N626" s="39" t="str">
        <x:v>نسخه پایه ۳۱۵۰</x:v>
      </x:c>
    </x:row>
    <x:row r="627" ht="34" customHeight="1">
      <x:c r="A627" s="34" t="str">
        <x:v>☐</x:v>
      </x:c>
      <x:c r="B627" s="34" t="str">
        <x:v>MI-2702</x:v>
      </x:c>
      <x:c r="C627" s="34" t="str">
        <x:v>M3 — کسب‌وکار، شبکه و زیست‌بوم نوآوری</x:v>
      </x:c>
      <x:c r="D627" s="34" t="str">
        <x:v>H10</x:v>
      </x:c>
      <x:c r="E627" s="34" t="str">
        <x:v>زیست‌بوم نوآوری، استعداد و تیم‌سازی</x:v>
      </x:c>
      <x:c r="F627" s="34" t="str">
        <x:v>P2</x:v>
      </x:c>
      <x:c r="G627" s="34" t="str">
        <x:v>مهارت/یادگیری</x:v>
      </x:c>
      <x:c r="H627" s="39" t="str">
        <x:v>بوتکمپ های آموزشی</x:v>
      </x:c>
      <x:c r="I627" s="39" t="str">
        <x:v>پس از تثبیت پایه‌ها؛ پروژه‌محور</x:v>
      </x:c>
      <x:c r="J627" s="39" t="str">
        <x:v>سازنده زیست‌بوم + مدیر پورتفو</x:v>
      </x:c>
      <x:c r="K627" s="39" t="str"/>
      <x:c r="L627" s="39" t="str">
        <x:v>E112:P2682</x:v>
      </x:c>
      <x:c r="M627" s="39" t="str"/>
      <x:c r="N627" s="39" t="str">
        <x:v>نسخه پایه ۳۱۵۰</x:v>
      </x:c>
    </x:row>
    <x:row r="628" ht="34" customHeight="1">
      <x:c r="A628" s="34" t="str">
        <x:v>☐</x:v>
      </x:c>
      <x:c r="B628" s="34" t="str">
        <x:v>MI-2878</x:v>
      </x:c>
      <x:c r="C628" s="34" t="str">
        <x:v>M3 — کسب‌وکار، شبکه و زیست‌بوم نوآوری</x:v>
      </x:c>
      <x:c r="D628" s="34" t="str">
        <x:v>H10</x:v>
      </x:c>
      <x:c r="E628" s="34" t="str">
        <x:v>زیست‌بوم نوآوری، استعداد و تیم‌سازی</x:v>
      </x:c>
      <x:c r="F628" s="34" t="str">
        <x:v>P2</x:v>
      </x:c>
      <x:c r="G628" s="34" t="str">
        <x:v>مهارت/یادگیری</x:v>
      </x:c>
      <x:c r="H628" s="39" t="str">
        <x:v>آکادمی مهارت نرم + مهارت سخت</x:v>
      </x:c>
      <x:c r="I628" s="39" t="str">
        <x:v>پس از تثبیت پایه‌ها؛ پروژه‌محور</x:v>
      </x:c>
      <x:c r="J628" s="39" t="str">
        <x:v>سازنده زیست‌بوم + مدیر پورتفو</x:v>
      </x:c>
      <x:c r="K628" s="39" t="str"/>
      <x:c r="L628" s="39" t="str">
        <x:v>E112:P3201</x:v>
      </x:c>
      <x:c r="M628" s="39" t="str"/>
      <x:c r="N628" s="39" t="str">
        <x:v>نسخه پایه ۳۱۵۰</x:v>
      </x:c>
    </x:row>
    <x:row r="629" ht="34" customHeight="1">
      <x:c r="A629" s="34" t="str">
        <x:v>☐</x:v>
      </x:c>
      <x:c r="B629" s="34" t="str">
        <x:v>MI-2895</x:v>
      </x:c>
      <x:c r="C629" s="34" t="str">
        <x:v>M3 — کسب‌وکار، شبکه و زیست‌بوم نوآوری</x:v>
      </x:c>
      <x:c r="D629" s="34" t="str">
        <x:v>H10</x:v>
      </x:c>
      <x:c r="E629" s="34" t="str">
        <x:v>زیست‌بوم نوآوری، استعداد و تیم‌سازی</x:v>
      </x:c>
      <x:c r="F629" s="34" t="str">
        <x:v>P2</x:v>
      </x:c>
      <x:c r="G629" s="34" t="str">
        <x:v>مهارت/یادگیری</x:v>
      </x:c>
      <x:c r="H629" s="39" t="str">
        <x:v>استعداد، آموزش، تیم سازی، سامانه پایش، آکادمی مهارت ها، مراکز نوآوری، شبکه منتورها، کمپ ها، رویدادها، پروژه های صنعتی، سرمایه، پارک علم و فناوری، برنامه EiR و توسعه صادرات.</x:v>
      </x:c>
      <x:c r="I629" s="39" t="str">
        <x:v>پس از تثبیت پایه‌ها؛ پروژه‌محور</x:v>
      </x:c>
      <x:c r="J629" s="39" t="str">
        <x:v>سازنده زیست‌بوم + مدیر پورتفو</x:v>
      </x:c>
      <x:c r="K629" s="39" t="str"/>
      <x:c r="L629" s="39" t="str">
        <x:v>E112:P3239</x:v>
      </x:c>
      <x:c r="M629" s="39" t="str"/>
      <x:c r="N629" s="39" t="str">
        <x:v>نسخه پایه ۳۱۵۰</x:v>
      </x:c>
    </x:row>
    <x:row r="630" ht="34" customHeight="1">
      <x:c r="A630" s="34" t="str">
        <x:v>☐</x:v>
      </x:c>
      <x:c r="B630" s="34" t="str">
        <x:v>MI-2910</x:v>
      </x:c>
      <x:c r="C630" s="34" t="str">
        <x:v>M3 — کسب‌وکار، شبکه و زیست‌بوم نوآوری</x:v>
      </x:c>
      <x:c r="D630" s="34" t="str">
        <x:v>H10</x:v>
      </x:c>
      <x:c r="E630" s="34" t="str">
        <x:v>زیست‌بوم نوآوری، استعداد و تیم‌سازی</x:v>
      </x:c>
      <x:c r="F630" s="34" t="str">
        <x:v>P2</x:v>
      </x:c>
      <x:c r="G630" s="34" t="str">
        <x:v>مهارت/یادگیری</x:v>
      </x:c>
      <x:c r="H630" s="39" t="str">
        <x:v>واحد آموزش و آکادمی</x:v>
      </x:c>
      <x:c r="I630" s="39" t="str">
        <x:v>پس از تثبیت پایه‌ها؛ پروژه‌محور</x:v>
      </x:c>
      <x:c r="J630" s="39" t="str">
        <x:v>سازنده زیست‌بوم + مدیر پورتفو</x:v>
      </x:c>
      <x:c r="K630" s="39" t="str"/>
      <x:c r="L630" s="39" t="str">
        <x:v>E112:P3261</x:v>
      </x:c>
      <x:c r="M630" s="39" t="str"/>
      <x:c r="N630" s="39" t="str">
        <x:v>نسخه پایه ۳۱۵۰</x:v>
      </x:c>
    </x:row>
    <x:row r="631" ht="34" customHeight="1">
      <x:c r="A631" s="34" t="str">
        <x:v>☐</x:v>
      </x:c>
      <x:c r="B631" s="34" t="str">
        <x:v>MI-0006</x:v>
      </x:c>
      <x:c r="C631" s="34" t="str">
        <x:v>M3 — کسب‌وکار، شبکه و زیست‌بوم نوآوری</x:v>
      </x:c>
      <x:c r="D631" s="34" t="str">
        <x:v>H10</x:v>
      </x:c>
      <x:c r="E631" s="34" t="str">
        <x:v>زیست‌بوم نوآوری، استعداد و تیم‌سازی</x:v>
      </x:c>
      <x:c r="F631" s="34" t="str">
        <x:v>P2</x:v>
      </x:c>
      <x:c r="G631" s="34" t="str">
        <x:v>هدف/موضوع</x:v>
      </x:c>
      <x:c r="H631" s="39" t="str">
        <x:v>المنتور پرو</x:v>
      </x:c>
      <x:c r="I631" s="39" t="str">
        <x:v>پس از تثبیت پایه‌ها؛ پروژه‌محور</x:v>
      </x:c>
      <x:c r="J631" s="39" t="str">
        <x:v>سازنده زیست‌بوم + مدیر پورتفو</x:v>
      </x:c>
      <x:c r="K631" s="39" t="str"/>
      <x:c r="L631" s="39" t="str">
        <x:v>PL:R7</x:v>
      </x:c>
      <x:c r="M631" s="39" t="str"/>
      <x:c r="N631" s="39" t="str">
        <x:v>نسخه پایه ۳۱۵۰</x:v>
      </x:c>
    </x:row>
    <x:row r="632" ht="34" customHeight="1">
      <x:c r="A632" s="34" t="str">
        <x:v>☐</x:v>
      </x:c>
      <x:c r="B632" s="34" t="str">
        <x:v>MI-0271</x:v>
      </x:c>
      <x:c r="C632" s="34" t="str">
        <x:v>M3 — کسب‌وکار، شبکه و زیست‌بوم نوآوری</x:v>
      </x:c>
      <x:c r="D632" s="34" t="str">
        <x:v>H10</x:v>
      </x:c>
      <x:c r="E632" s="34" t="str">
        <x:v>زیست‌بوم نوآوری، استعداد و تیم‌سازی</x:v>
      </x:c>
      <x:c r="F632" s="34" t="str">
        <x:v>P2</x:v>
      </x:c>
      <x:c r="G632" s="34" t="str">
        <x:v>هدف/موضوع</x:v>
      </x:c>
      <x:c r="H632" s="39" t="str">
        <x:v>بوتکمپ</x:v>
      </x:c>
      <x:c r="I632" s="39" t="str">
        <x:v>پس از تثبیت پایه‌ها؛ پروژه‌محور</x:v>
      </x:c>
      <x:c r="J632" s="39" t="str">
        <x:v>سازنده زیست‌بوم + مدیر پورتفو</x:v>
      </x:c>
      <x:c r="K632" s="39" t="str"/>
      <x:c r="L632" s="39" t="str">
        <x:v>AP:P42؛ E112:P2061</x:v>
      </x:c>
      <x:c r="M632" s="39" t="str"/>
      <x:c r="N632" s="39" t="str">
        <x:v>نسخه پایه ۳۱۵۰</x:v>
      </x:c>
    </x:row>
    <x:row r="633" ht="34" customHeight="1">
      <x:c r="A633" s="34" t="str">
        <x:v>☐</x:v>
      </x:c>
      <x:c r="B633" s="34" t="str">
        <x:v>MI-0277</x:v>
      </x:c>
      <x:c r="C633" s="34" t="str">
        <x:v>M3 — کسب‌وکار، شبکه و زیست‌بوم نوآوری</x:v>
      </x:c>
      <x:c r="D633" s="34" t="str">
        <x:v>H10</x:v>
      </x:c>
      <x:c r="E633" s="34" t="str">
        <x:v>زیست‌بوم نوآوری، استعداد و تیم‌سازی</x:v>
      </x:c>
      <x:c r="F633" s="34" t="str">
        <x:v>P2</x:v>
      </x:c>
      <x:c r="G633" s="34" t="str">
        <x:v>هدف/موضوع</x:v>
      </x:c>
      <x:c r="H633" s="39" t="str">
        <x:v>ایپاک رییسش در نوشیروانی فارغ التحصیل شد</x:v>
      </x:c>
      <x:c r="I633" s="39" t="str">
        <x:v>پس از تثبیت پایه‌ها؛ پروژه‌محور</x:v>
      </x:c>
      <x:c r="J633" s="39" t="str">
        <x:v>سازنده زیست‌بوم + مدیر پورتفو</x:v>
      </x:c>
      <x:c r="K633" s="39" t="str"/>
      <x:c r="L633" s="39" t="str">
        <x:v>AP:P48</x:v>
      </x:c>
      <x:c r="M633" s="39" t="str"/>
      <x:c r="N633" s="39" t="str">
        <x:v>نسخه پایه ۳۱۵۰</x:v>
      </x:c>
    </x:row>
    <x:row r="634" ht="34" customHeight="1">
      <x:c r="A634" s="34" t="str">
        <x:v>☐</x:v>
      </x:c>
      <x:c r="B634" s="34" t="str">
        <x:v>MI-0280</x:v>
      </x:c>
      <x:c r="C634" s="34" t="str">
        <x:v>M3 — کسب‌وکار، شبکه و زیست‌بوم نوآوری</x:v>
      </x:c>
      <x:c r="D634" s="34" t="str">
        <x:v>H10</x:v>
      </x:c>
      <x:c r="E634" s="34" t="str">
        <x:v>زیست‌بوم نوآوری، استعداد و تیم‌سازی</x:v>
      </x:c>
      <x:c r="F634" s="34" t="str">
        <x:v>P2</x:v>
      </x:c>
      <x:c r="G634" s="34" t="str">
        <x:v>هدف/موضوع</x:v>
      </x:c>
      <x:c r="H634" s="39" t="str">
        <x:v>درگیری فن جو</x:v>
      </x:c>
      <x:c r="I634" s="39" t="str">
        <x:v>پس از تثبیت پایه‌ها؛ پروژه‌محور</x:v>
      </x:c>
      <x:c r="J634" s="39" t="str">
        <x:v>سازنده زیست‌بوم + مدیر پورتفو</x:v>
      </x:c>
      <x:c r="K634" s="39" t="str"/>
      <x:c r="L634" s="39" t="str">
        <x:v>AP:P51</x:v>
      </x:c>
      <x:c r="M634" s="39" t="str"/>
      <x:c r="N634" s="39" t="str">
        <x:v>نسخه پایه ۳۱۵۰</x:v>
      </x:c>
    </x:row>
    <x:row r="635" ht="34" customHeight="1">
      <x:c r="A635" s="34" t="str">
        <x:v>☐</x:v>
      </x:c>
      <x:c r="B635" s="34" t="str">
        <x:v>MI-0649</x:v>
      </x:c>
      <x:c r="C635" s="34" t="str">
        <x:v>M3 — کسب‌وکار، شبکه و زیست‌بوم نوآوری</x:v>
      </x:c>
      <x:c r="D635" s="34" t="str">
        <x:v>H10</x:v>
      </x:c>
      <x:c r="E635" s="34" t="str">
        <x:v>زیست‌بوم نوآوری، استعداد و تیم‌سازی</x:v>
      </x:c>
      <x:c r="F635" s="34" t="str">
        <x:v>P2</x:v>
      </x:c>
      <x:c r="G635" s="34" t="str">
        <x:v>هدف/موضوع</x:v>
      </x:c>
      <x:c r="H635" s="39" t="str">
        <x:v>راهبری تیم ها</x:v>
      </x:c>
      <x:c r="I635" s="39" t="str">
        <x:v>پس از تثبیت پایه‌ها؛ پروژه‌محور</x:v>
      </x:c>
      <x:c r="J635" s="39" t="str">
        <x:v>سازنده زیست‌بوم + مدیر پورتفو</x:v>
      </x:c>
      <x:c r="K635" s="39" t="str"/>
      <x:c r="L635" s="39" t="str">
        <x:v>AP:P436</x:v>
      </x:c>
      <x:c r="M635" s="39" t="str"/>
      <x:c r="N635" s="39" t="str">
        <x:v>نسخه پایه ۳۱۵۰</x:v>
      </x:c>
    </x:row>
    <x:row r="636" ht="34" customHeight="1">
      <x:c r="A636" s="34" t="str">
        <x:v>☐</x:v>
      </x:c>
      <x:c r="B636" s="34" t="str">
        <x:v>MI-1594</x:v>
      </x:c>
      <x:c r="C636" s="34" t="str">
        <x:v>M3 — کسب‌وکار، شبکه و زیست‌بوم نوآوری</x:v>
      </x:c>
      <x:c r="D636" s="34" t="str">
        <x:v>H10</x:v>
      </x:c>
      <x:c r="E636" s="34" t="str">
        <x:v>زیست‌بوم نوآوری، استعداد و تیم‌سازی</x:v>
      </x:c>
      <x:c r="F636" s="34" t="str">
        <x:v>P2</x:v>
      </x:c>
      <x:c r="G636" s="34" t="str">
        <x:v>هدف/موضوع</x:v>
      </x:c>
      <x:c r="H636" s="39" t="str">
        <x:v>در بعضی موارد تیم ها قوی میشن ، میتونن شرکت بشن ، یا دفتر بگیرن</x:v>
      </x:c>
      <x:c r="I636" s="39" t="str">
        <x:v>پس از تثبیت پایه‌ها؛ پروژه‌محور</x:v>
      </x:c>
      <x:c r="J636" s="39" t="str">
        <x:v>سازنده زیست‌بوم + مدیر پورتفو</x:v>
      </x:c>
      <x:c r="K636" s="39" t="str"/>
      <x:c r="L636" s="39" t="str">
        <x:v>E112:P47؛ E112:P1827؛ E112:P2293</x:v>
      </x:c>
      <x:c r="M636" s="39" t="str"/>
      <x:c r="N636" s="39" t="str">
        <x:v>نسخه پایه ۳۱۵۰</x:v>
      </x:c>
    </x:row>
    <x:row r="637" ht="34" customHeight="1">
      <x:c r="A637" s="34" t="str">
        <x:v>☐</x:v>
      </x:c>
      <x:c r="B637" s="34" t="str">
        <x:v>MI-1598</x:v>
      </x:c>
      <x:c r="C637" s="34" t="str">
        <x:v>M3 — کسب‌وکار، شبکه و زیست‌بوم نوآوری</x:v>
      </x:c>
      <x:c r="D637" s="34" t="str">
        <x:v>H10</x:v>
      </x:c>
      <x:c r="E637" s="34" t="str">
        <x:v>زیست‌بوم نوآوری، استعداد و تیم‌سازی</x:v>
      </x:c>
      <x:c r="F637" s="34" t="str">
        <x:v>P2</x:v>
      </x:c>
      <x:c r="G637" s="34" t="str">
        <x:v>هدف/موضوع</x:v>
      </x:c>
      <x:c r="H637" s="39" t="str">
        <x:v>1. EiR داخلی</x:v>
      </x:c>
      <x:c r="I637" s="39" t="str">
        <x:v>پس از تثبیت پایه‌ها؛ پروژه‌محور</x:v>
      </x:c>
      <x:c r="J637" s="39" t="str">
        <x:v>سازنده زیست‌بوم + مدیر پورتفو</x:v>
      </x:c>
      <x:c r="K637" s="39" t="str"/>
      <x:c r="L637" s="39" t="str">
        <x:v>E112:P55؛ E112:P1513؛ E112:P1835؛ E112:P2301؛ E112:P2812؛ E112:P3134</x:v>
      </x:c>
      <x:c r="M637" s="39" t="str"/>
      <x:c r="N637" s="39" t="str">
        <x:v>نسخه پایه ۳۱۵۰</x:v>
      </x:c>
    </x:row>
    <x:row r="638" ht="34" customHeight="1">
      <x:c r="A638" s="34" t="str">
        <x:v>☐</x:v>
      </x:c>
      <x:c r="B638" s="34" t="str">
        <x:v>MI-1599</x:v>
      </x:c>
      <x:c r="C638" s="34" t="str">
        <x:v>M3 — کسب‌وکار، شبکه و زیست‌بوم نوآوری</x:v>
      </x:c>
      <x:c r="D638" s="34" t="str">
        <x:v>H10</x:v>
      </x:c>
      <x:c r="E638" s="34" t="str">
        <x:v>زیست‌بوم نوآوری، استعداد و تیم‌سازی</x:v>
      </x:c>
      <x:c r="F638" s="34" t="str">
        <x:v>P2</x:v>
      </x:c>
      <x:c r="G638" s="34" t="str">
        <x:v>هدف/موضوع</x:v>
      </x:c>
      <x:c r="H638" s="39" t="str">
        <x:v>کارآفرینان باتجربه داخل کشور برای مدتی (مثلاً 3–6 ماه) در یک مرکز نوآوری، پارک علم و فناوری یا دانشگاه مستقر می شوند و:</x:v>
      </x:c>
      <x:c r="I638" s="39" t="str">
        <x:v>پس از تثبیت پایه‌ها؛ پروژه‌محور</x:v>
      </x:c>
      <x:c r="J638" s="39" t="str">
        <x:v>سازنده زیست‌بوم + مدیر پورتفو</x:v>
      </x:c>
      <x:c r="K638" s="39" t="str"/>
      <x:c r="L638" s="39" t="str">
        <x:v>E112:P56؛ E112:P1515؛ E112:P1836؛ E112:P2302</x:v>
      </x:c>
      <x:c r="M638" s="39" t="str"/>
      <x:c r="N638" s="39" t="str">
        <x:v>نسخه پایه ۳۱۵۰</x:v>
      </x:c>
    </x:row>
    <x:row r="639" ht="34" customHeight="1">
      <x:c r="A639" s="34" t="str">
        <x:v>☐</x:v>
      </x:c>
      <x:c r="B639" s="34" t="str">
        <x:v>MI-1600</x:v>
      </x:c>
      <x:c r="C639" s="34" t="str">
        <x:v>M3 — کسب‌وکار، شبکه و زیست‌بوم نوآوری</x:v>
      </x:c>
      <x:c r="D639" s="34" t="str">
        <x:v>H10</x:v>
      </x:c>
      <x:c r="E639" s="34" t="str">
        <x:v>زیست‌بوم نوآوری، استعداد و تیم‌سازی</x:v>
      </x:c>
      <x:c r="F639" s="34" t="str">
        <x:v>P2</x:v>
      </x:c>
      <x:c r="G639" s="34" t="str">
        <x:v>هدف/موضوع</x:v>
      </x:c>
      <x:c r="H639" s="39" t="str">
        <x:v>• به تیم ها منتور می دهند</x:v>
      </x:c>
      <x:c r="I639" s="39" t="str">
        <x:v>پس از تثبیت پایه‌ها؛ پروژه‌محور</x:v>
      </x:c>
      <x:c r="J639" s="39" t="str">
        <x:v>سازنده زیست‌بوم + مدیر پورتفو</x:v>
      </x:c>
      <x:c r="K639" s="39" t="str"/>
      <x:c r="L639" s="39" t="str">
        <x:v>E112:P57؛ E112:P1517؛ E112:P1837؛ E112:P2303</x:v>
      </x:c>
      <x:c r="M639" s="39" t="str"/>
      <x:c r="N639" s="39" t="str">
        <x:v>نسخه پایه ۳۱۵۰</x:v>
      </x:c>
    </x:row>
    <x:row r="640" ht="34" customHeight="1">
      <x:c r="A640" s="34" t="str">
        <x:v>☐</x:v>
      </x:c>
      <x:c r="B640" s="34" t="str">
        <x:v>MI-1604</x:v>
      </x:c>
      <x:c r="C640" s="34" t="str">
        <x:v>M3 — کسب‌وکار، شبکه و زیست‌بوم نوآوری</x:v>
      </x:c>
      <x:c r="D640" s="34" t="str">
        <x:v>H10</x:v>
      </x:c>
      <x:c r="E640" s="34" t="str">
        <x:v>زیست‌بوم نوآوری، استعداد و تیم‌سازی</x:v>
      </x:c>
      <x:c r="F640" s="34" t="str">
        <x:v>P2</x:v>
      </x:c>
      <x:c r="G640" s="34" t="str">
        <x:v>هدف/موضوع</x:v>
      </x:c>
      <x:c r="H640" s="39" t="str">
        <x:v>2. EiR بین المللی</x:v>
      </x:c>
      <x:c r="I640" s="39" t="str">
        <x:v>پس از تثبیت پایه‌ها؛ پروژه‌محور</x:v>
      </x:c>
      <x:c r="J640" s="39" t="str">
        <x:v>سازنده زیست‌بوم + مدیر پورتفو</x:v>
      </x:c>
      <x:c r="K640" s="39" t="str"/>
      <x:c r="L640" s="39" t="str">
        <x:v>E112:P62؛ E112:P1522؛ E112:P1842؛ E112:P2153؛ E112:P2308؛ E112:P2825؛ E112:P3136</x:v>
      </x:c>
      <x:c r="M640" s="39" t="str"/>
      <x:c r="N640" s="39" t="str">
        <x:v>نسخه پایه ۳۱۵۰</x:v>
      </x:c>
    </x:row>
    <x:row r="641" ht="34" customHeight="1">
      <x:c r="A641" s="34" t="str">
        <x:v>☐</x:v>
      </x:c>
      <x:c r="B641" s="34" t="str">
        <x:v>MI-1607</x:v>
      </x:c>
      <x:c r="C641" s="34" t="str">
        <x:v>M3 — کسب‌وکار، شبکه و زیست‌بوم نوآوری</x:v>
      </x:c>
      <x:c r="D641" s="34" t="str">
        <x:v>H10</x:v>
      </x:c>
      <x:c r="E641" s="34" t="str">
        <x:v>زیست‌بوم نوآوری، استعداد و تیم‌سازی</x:v>
      </x:c>
      <x:c r="F641" s="34" t="str">
        <x:v>P2</x:v>
      </x:c>
      <x:c r="G641" s="34" t="str">
        <x:v>هدف/موضوع</x:v>
      </x:c>
      <x:c r="H641" s="39" t="str">
        <x:v>برای انتقال تجربه از اکوسیستم های پیشرفته.</x:v>
      </x:c>
      <x:c r="I641" s="39" t="str">
        <x:v>پس از تثبیت پایه‌ها؛ پروژه‌محور</x:v>
      </x:c>
      <x:c r="J641" s="39" t="str">
        <x:v>سازنده زیست‌بوم + مدیر پورتفو</x:v>
      </x:c>
      <x:c r="K641" s="39" t="str"/>
      <x:c r="L641" s="39" t="str">
        <x:v>E112:P65؛ E112:P1528؛ E112:P1845؛ E112:P2311؛ E112:P2833</x:v>
      </x:c>
      <x:c r="M641" s="39" t="str"/>
      <x:c r="N641" s="39" t="str">
        <x:v>نسخه پایه ۳۱۵۰</x:v>
      </x:c>
    </x:row>
    <x:row r="642" ht="34" customHeight="1">
      <x:c r="A642" s="34" t="str">
        <x:v>☐</x:v>
      </x:c>
      <x:c r="B642" s="34" t="str">
        <x:v>MI-1613</x:v>
      </x:c>
      <x:c r="C642" s="34" t="str">
        <x:v>M3 — کسب‌وکار، شبکه و زیست‌بوم نوآوری</x:v>
      </x:c>
      <x:c r="D642" s="34" t="str">
        <x:v>H10</x:v>
      </x:c>
      <x:c r="E642" s="34" t="str">
        <x:v>زیست‌بوم نوآوری، استعداد و تیم‌سازی</x:v>
      </x:c>
      <x:c r="F642" s="34" t="str">
        <x:v>P2</x:v>
      </x:c>
      <x:c r="G642" s="34" t="str">
        <x:v>هدف/موضوع</x:v>
      </x:c>
      <x:c r="H642" s="39" t="str">
        <x:v>Global EiR – North Innovation</x:v>
      </x:c>
      <x:c r="I642" s="39" t="str">
        <x:v>پس از تثبیت پایه‌ها؛ پروژه‌محور</x:v>
      </x:c>
      <x:c r="J642" s="39" t="str">
        <x:v>سازنده زیست‌بوم + مدیر پورتفو</x:v>
      </x:c>
      <x:c r="K642" s="39" t="str"/>
      <x:c r="L642" s="39" t="str">
        <x:v>E112:P72؛ E112:P1536؛ E112:P1852؛ E112:P2318؛ E112:P2836</x:v>
      </x:c>
      <x:c r="M642" s="39" t="str"/>
      <x:c r="N642" s="39" t="str">
        <x:v>نسخه پایه ۳۱۵۰</x:v>
      </x:c>
    </x:row>
    <x:row r="643" ht="34" customHeight="1">
      <x:c r="A643" s="34" t="str">
        <x:v>☐</x:v>
      </x:c>
      <x:c r="B643" s="34" t="str">
        <x:v>MI-1697</x:v>
      </x:c>
      <x:c r="C643" s="34" t="str">
        <x:v>M3 — کسب‌وکار، شبکه و زیست‌بوم نوآوری</x:v>
      </x:c>
      <x:c r="D643" s="34" t="str">
        <x:v>H10</x:v>
      </x:c>
      <x:c r="E643" s="34" t="str">
        <x:v>زیست‌بوم نوآوری، استعداد و تیم‌سازی</x:v>
      </x:c>
      <x:c r="F643" s="34" t="str">
        <x:v>P2</x:v>
      </x:c>
      <x:c r="G643" s="34" t="str">
        <x:v>هدف/موضوع</x:v>
      </x:c>
      <x:c r="H643" s="39" t="str">
        <x:v>• کارآفرین/سرمایه گذار خارجی ابتدا به عنوان EiR وارد می شود، بازار را می سنجد.</x:v>
      </x:c>
      <x:c r="I643" s="39" t="str">
        <x:v>پس از تثبیت پایه‌ها؛ پروژه‌محور</x:v>
      </x:c>
      <x:c r="J643" s="39" t="str">
        <x:v>سازنده زیست‌بوم + مدیر پورتفو</x:v>
      </x:c>
      <x:c r="K643" s="39" t="str"/>
      <x:c r="L643" s="39" t="str">
        <x:v>E112:P163؛ E112:P1678؛ E112:P1945؛ E112:P2411</x:v>
      </x:c>
      <x:c r="M643" s="39" t="str"/>
      <x:c r="N643" s="39" t="str">
        <x:v>نسخه پایه ۳۱۵۰</x:v>
      </x:c>
    </x:row>
    <x:row r="644" ht="34" customHeight="1">
      <x:c r="A644" s="34" t="str">
        <x:v>☐</x:v>
      </x:c>
      <x:c r="B644" s="34" t="str">
        <x:v>MI-1701</x:v>
      </x:c>
      <x:c r="C644" s="34" t="str">
        <x:v>M3 — کسب‌وکار، شبکه و زیست‌بوم نوآوری</x:v>
      </x:c>
      <x:c r="D644" s="34" t="str">
        <x:v>H10</x:v>
      </x:c>
      <x:c r="E644" s="34" t="str">
        <x:v>زیست‌بوم نوآوری، استعداد و تیم‌سازی</x:v>
      </x:c>
      <x:c r="F644" s="34" t="str">
        <x:v>P2</x:v>
      </x:c>
      <x:c r="G644" s="34" t="str">
        <x:v>هدف/موضوع</x:v>
      </x:c>
      <x:c r="H644" s="39" t="str">
        <x:v>3) EiR داخلی (از استان های دیگر ایران)</x:v>
      </x:c>
      <x:c r="I644" s="39" t="str">
        <x:v>پس از تثبیت پایه‌ها؛ پروژه‌محور</x:v>
      </x:c>
      <x:c r="J644" s="39" t="str">
        <x:v>سازنده زیست‌بوم + مدیر پورتفو</x:v>
      </x:c>
      <x:c r="K644" s="39" t="str"/>
      <x:c r="L644" s="39" t="str">
        <x:v>E112:P167؛ E112:P1683؛ E112:P1949؛ E112:P2415</x:v>
      </x:c>
      <x:c r="M644" s="39" t="str"/>
      <x:c r="N644" s="39" t="str">
        <x:v>نسخه پایه ۳۱۵۰</x:v>
      </x:c>
    </x:row>
    <x:row r="645" ht="34" customHeight="1">
      <x:c r="A645" s="34" t="str">
        <x:v>☐</x:v>
      </x:c>
      <x:c r="B645" s="34" t="str">
        <x:v>MI-1709</x:v>
      </x:c>
      <x:c r="C645" s="34" t="str">
        <x:v>M3 — کسب‌وکار، شبکه و زیست‌بوم نوآوری</x:v>
      </x:c>
      <x:c r="D645" s="34" t="str">
        <x:v>H10</x:v>
      </x:c>
      <x:c r="E645" s="34" t="str">
        <x:v>زیست‌بوم نوآوری، استعداد و تیم‌سازی</x:v>
      </x:c>
      <x:c r="F645" s="34" t="str">
        <x:v>P2</x:v>
      </x:c>
      <x:c r="G645" s="34" t="str">
        <x:v>هدف/موضوع</x:v>
      </x:c>
      <x:c r="H645" s="39" t="str">
        <x:v>• EiR Program (3–6 ماه)</x:v>
      </x:c>
      <x:c r="I645" s="39" t="str">
        <x:v>پس از تثبیت پایه‌ها؛ پروژه‌محور</x:v>
      </x:c>
      <x:c r="J645" s="39" t="str">
        <x:v>سازنده زیست‌بوم + مدیر پورتفو</x:v>
      </x:c>
      <x:c r="K645" s="39" t="str"/>
      <x:c r="L645" s="39" t="str">
        <x:v>E112:P175؛ E112:P1694؛ E112:P1957؛ E112:P2423</x:v>
      </x:c>
      <x:c r="M645" s="39" t="str"/>
      <x:c r="N645" s="39" t="str">
        <x:v>نسخه پایه ۳۱۵۰</x:v>
      </x:c>
    </x:row>
    <x:row r="646" ht="34" customHeight="1">
      <x:c r="A646" s="34" t="str">
        <x:v>☐</x:v>
      </x:c>
      <x:c r="B646" s="34" t="str">
        <x:v>MI-1730</x:v>
      </x:c>
      <x:c r="C646" s="34" t="str">
        <x:v>M3 — کسب‌وکار، شبکه و زیست‌بوم نوآوری</x:v>
      </x:c>
      <x:c r="D646" s="34" t="str">
        <x:v>H10</x:v>
      </x:c>
      <x:c r="E646" s="34" t="str">
        <x:v>زیست‌بوم نوآوری، استعداد و تیم‌سازی</x:v>
      </x:c>
      <x:c r="F646" s="34" t="str">
        <x:v>P2</x:v>
      </x:c>
      <x:c r="G646" s="34" t="str">
        <x:v>هدف/موضوع</x:v>
      </x:c>
      <x:c r="H646" s="39" t="str">
        <x:v>ارزش اکوسیستمی آن</x:v>
      </x:c>
      <x:c r="I646" s="39" t="str">
        <x:v>پس از تثبیت پایه‌ها؛ پروژه‌محور</x:v>
      </x:c>
      <x:c r="J646" s="39" t="str">
        <x:v>سازنده زیست‌بوم + مدیر پورتفو</x:v>
      </x:c>
      <x:c r="K646" s="39" t="str"/>
      <x:c r="L646" s="39" t="str">
        <x:v>E112:P204</x:v>
      </x:c>
      <x:c r="M646" s="39" t="str"/>
      <x:c r="N646" s="39" t="str">
        <x:v>نسخه پایه ۳۱۵۰</x:v>
      </x:c>
    </x:row>
    <x:row r="647" ht="34" customHeight="1">
      <x:c r="A647" s="34" t="str">
        <x:v>☐</x:v>
      </x:c>
      <x:c r="B647" s="34" t="str">
        <x:v>MI-1732</x:v>
      </x:c>
      <x:c r="C647" s="34" t="str">
        <x:v>M3 — کسب‌وکار، شبکه و زیست‌بوم نوآوری</x:v>
      </x:c>
      <x:c r="D647" s="34" t="str">
        <x:v>H10</x:v>
      </x:c>
      <x:c r="E647" s="34" t="str">
        <x:v>زیست‌بوم نوآوری، استعداد و تیم‌سازی</x:v>
      </x:c>
      <x:c r="F647" s="34" t="str">
        <x:v>P2</x:v>
      </x:c>
      <x:c r="G647" s="34" t="str">
        <x:v>هدف/موضوع</x:v>
      </x:c>
      <x:c r="H647" s="39" t="str">
        <x:v>استعداد</x:v>
      </x:c>
      <x:c r="I647" s="39" t="str">
        <x:v>پس از تثبیت پایه‌ها؛ پروژه‌محور</x:v>
      </x:c>
      <x:c r="J647" s="39" t="str">
        <x:v>سازنده زیست‌بوم + مدیر پورتفو</x:v>
      </x:c>
      <x:c r="K647" s="39" t="str"/>
      <x:c r="L647" s="39" t="str">
        <x:v>E112:P207؛ E112:P447؛ E112:P2208؛ E112:P2460؛ E112:P3164؛ E112:P3392</x:v>
      </x:c>
      <x:c r="M647" s="39" t="str"/>
      <x:c r="N647" s="39" t="str">
        <x:v>نسخه پایه ۳۱۵۰</x:v>
      </x:c>
    </x:row>
    <x:row r="648" ht="34" customHeight="1">
      <x:c r="A648" s="34" t="str">
        <x:v>☐</x:v>
      </x:c>
      <x:c r="B648" s="34" t="str">
        <x:v>MI-1757</x:v>
      </x:c>
      <x:c r="C648" s="34" t="str">
        <x:v>M3 — کسب‌وکار، شبکه و زیست‌بوم نوآوری</x:v>
      </x:c>
      <x:c r="D648" s="34" t="str">
        <x:v>H10</x:v>
      </x:c>
      <x:c r="E648" s="34" t="str">
        <x:v>زیست‌بوم نوآوری، استعداد و تیم‌سازی</x:v>
      </x:c>
      <x:c r="F648" s="34" t="str">
        <x:v>P2</x:v>
      </x:c>
      <x:c r="G648" s="34" t="str">
        <x:v>هدف/موضوع</x:v>
      </x:c>
      <x:c r="H648" s="39" t="str">
        <x:v>اصلی ترین دارایی اکوسیستم.</x:v>
      </x:c>
      <x:c r="I648" s="39" t="str">
        <x:v>پس از تثبیت پایه‌ها؛ پروژه‌محور</x:v>
      </x:c>
      <x:c r="J648" s="39" t="str">
        <x:v>سازنده زیست‌بوم + مدیر پورتفو</x:v>
      </x:c>
      <x:c r="K648" s="39" t="str"/>
      <x:c r="L648" s="39" t="str">
        <x:v>E112:P241</x:v>
      </x:c>
      <x:c r="M648" s="39" t="str"/>
      <x:c r="N648" s="39" t="str">
        <x:v>نسخه پایه ۳۱۵۰</x:v>
      </x:c>
    </x:row>
    <x:row r="649" ht="34" customHeight="1">
      <x:c r="A649" s="34" t="str">
        <x:v>☐</x:v>
      </x:c>
      <x:c r="B649" s="34" t="str">
        <x:v>MI-1763</x:v>
      </x:c>
      <x:c r="C649" s="34" t="str">
        <x:v>M3 — کسب‌وکار، شبکه و زیست‌بوم نوآوری</x:v>
      </x:c>
      <x:c r="D649" s="34" t="str">
        <x:v>H10</x:v>
      </x:c>
      <x:c r="E649" s="34" t="str">
        <x:v>زیست‌بوم نوآوری، استعداد و تیم‌سازی</x:v>
      </x:c>
      <x:c r="F649" s="34" t="str">
        <x:v>P2</x:v>
      </x:c>
      <x:c r="G649" s="34" t="str">
        <x:v>هدف/موضوع</x:v>
      </x:c>
      <x:c r="H649" s="39" t="str">
        <x:v>منتورها</x:v>
      </x:c>
      <x:c r="I649" s="39" t="str">
        <x:v>پس از تثبیت پایه‌ها؛ پروژه‌محور</x:v>
      </x:c>
      <x:c r="J649" s="39" t="str">
        <x:v>سازنده زیست‌بوم + مدیر پورتفو</x:v>
      </x:c>
      <x:c r="K649" s="39" t="str"/>
      <x:c r="L649" s="39" t="str">
        <x:v>E112:P248؛ E112:P3496</x:v>
      </x:c>
      <x:c r="M649" s="39" t="str"/>
      <x:c r="N649" s="39" t="str">
        <x:v>نسخه پایه ۳۱۵۰</x:v>
      </x:c>
    </x:row>
    <x:row r="650" ht="34" customHeight="1">
      <x:c r="A650" s="34" t="str">
        <x:v>☐</x:v>
      </x:c>
      <x:c r="B650" s="34" t="str">
        <x:v>MI-1768</x:v>
      </x:c>
      <x:c r="C650" s="34" t="str">
        <x:v>M3 — کسب‌وکار، شبکه و زیست‌بوم نوآوری</x:v>
      </x:c>
      <x:c r="D650" s="34" t="str">
        <x:v>H10</x:v>
      </x:c>
      <x:c r="E650" s="34" t="str">
        <x:v>زیست‌بوم نوآوری، استعداد و تیم‌سازی</x:v>
      </x:c>
      <x:c r="F650" s="34" t="str">
        <x:v>P2</x:v>
      </x:c>
      <x:c r="G650" s="34" t="str">
        <x:v>هدف/موضوع</x:v>
      </x:c>
      <x:c r="H650" s="39" t="str">
        <x:v>بوت کمپ ها</x:v>
      </x:c>
      <x:c r="I650" s="39" t="str">
        <x:v>پس از تثبیت پایه‌ها؛ پروژه‌محور</x:v>
      </x:c>
      <x:c r="J650" s="39" t="str">
        <x:v>سازنده زیست‌بوم + مدیر پورتفو</x:v>
      </x:c>
      <x:c r="K650" s="39" t="str"/>
      <x:c r="L650" s="39" t="str">
        <x:v>E112:P256؛ E112:P509</x:v>
      </x:c>
      <x:c r="M650" s="39" t="str"/>
      <x:c r="N650" s="39" t="str">
        <x:v>نسخه پایه ۳۱۵۰</x:v>
      </x:c>
    </x:row>
    <x:row r="651" ht="34" customHeight="1">
      <x:c r="A651" s="34" t="str">
        <x:v>☐</x:v>
      </x:c>
      <x:c r="B651" s="34" t="str">
        <x:v>MI-1773</x:v>
      </x:c>
      <x:c r="C651" s="34" t="str">
        <x:v>M3 — کسب‌وکار، شبکه و زیست‌بوم نوآوری</x:v>
      </x:c>
      <x:c r="D651" s="34" t="str">
        <x:v>H10</x:v>
      </x:c>
      <x:c r="E651" s="34" t="str">
        <x:v>زیست‌بوم نوآوری، استعداد و تیم‌سازی</x:v>
      </x:c>
      <x:c r="F651" s="34" t="str">
        <x:v>P2</x:v>
      </x:c>
      <x:c r="G651" s="34" t="str">
        <x:v>هدف/موضوع</x:v>
      </x:c>
      <x:c r="H651" s="39" t="str">
        <x:v>کشف استعداد</x:v>
      </x:c>
      <x:c r="I651" s="39" t="str">
        <x:v>پس از تثبیت پایه‌ها؛ پروژه‌محور</x:v>
      </x:c>
      <x:c r="J651" s="39" t="str">
        <x:v>سازنده زیست‌بوم + مدیر پورتفو</x:v>
      </x:c>
      <x:c r="K651" s="39" t="str"/>
      <x:c r="L651" s="39" t="str">
        <x:v>E112:P263؛ E112:P371؛ E112:P2113؛ E112:P2762؛ E112:P3086</x:v>
      </x:c>
      <x:c r="M651" s="39" t="str"/>
      <x:c r="N651" s="39" t="str">
        <x:v>نسخه پایه ۳۱۵۰</x:v>
      </x:c>
    </x:row>
    <x:row r="652" ht="34" customHeight="1">
      <x:c r="A652" s="34" t="str">
        <x:v>☐</x:v>
      </x:c>
      <x:c r="B652" s="34" t="str">
        <x:v>MI-1799</x:v>
      </x:c>
      <x:c r="C652" s="34" t="str">
        <x:v>M3 — کسب‌وکار، شبکه و زیست‌بوم نوآوری</x:v>
      </x:c>
      <x:c r="D652" s="34" t="str">
        <x:v>H10</x:v>
      </x:c>
      <x:c r="E652" s="34" t="str">
        <x:v>زیست‌بوم نوآوری، استعداد و تیم‌سازی</x:v>
      </x:c>
      <x:c r="F652" s="34" t="str">
        <x:v>P2</x:v>
      </x:c>
      <x:c r="G652" s="34" t="str">
        <x:v>هدف/موضوع</x:v>
      </x:c>
      <x:c r="H652" s="39" t="str">
        <x:v>جذب استعداد نخبه</x:v>
      </x:c>
      <x:c r="I652" s="39" t="str">
        <x:v>پس از تثبیت پایه‌ها؛ پروژه‌محور</x:v>
      </x:c>
      <x:c r="J652" s="39" t="str">
        <x:v>سازنده زیست‌بوم + مدیر پورتفو</x:v>
      </x:c>
      <x:c r="K652" s="39" t="str"/>
      <x:c r="L652" s="39" t="str">
        <x:v>E112:P310</x:v>
      </x:c>
      <x:c r="M652" s="39" t="str"/>
      <x:c r="N652" s="39" t="str">
        <x:v>نسخه پایه ۳۱۵۰</x:v>
      </x:c>
    </x:row>
    <x:row r="653" ht="34" customHeight="1">
      <x:c r="A653" s="34" t="str">
        <x:v>☐</x:v>
      </x:c>
      <x:c r="B653" s="34" t="str">
        <x:v>MI-1804</x:v>
      </x:c>
      <x:c r="C653" s="34" t="str">
        <x:v>M3 — کسب‌وکار، شبکه و زیست‌بوم نوآوری</x:v>
      </x:c>
      <x:c r="D653" s="34" t="str">
        <x:v>H10</x:v>
      </x:c>
      <x:c r="E653" s="34" t="str">
        <x:v>زیست‌بوم نوآوری، استعداد و تیم‌سازی</x:v>
      </x:c>
      <x:c r="F653" s="34" t="str">
        <x:v>P2</x:v>
      </x:c>
      <x:c r="G653" s="34" t="str">
        <x:v>هدف/موضوع</x:v>
      </x:c>
      <x:c r="H653" s="39" t="str">
        <x:v>تیم های محصول</x:v>
      </x:c>
      <x:c r="I653" s="39" t="str">
        <x:v>پس از تثبیت پایه‌ها؛ پروژه‌محور</x:v>
      </x:c>
      <x:c r="J653" s="39" t="str">
        <x:v>سازنده زیست‌بوم + مدیر پورتفو</x:v>
      </x:c>
      <x:c r="K653" s="39" t="str"/>
      <x:c r="L653" s="39" t="str">
        <x:v>E112:P319</x:v>
      </x:c>
      <x:c r="M653" s="39" t="str"/>
      <x:c r="N653" s="39" t="str">
        <x:v>نسخه پایه ۳۱۵۰</x:v>
      </x:c>
    </x:row>
    <x:row r="654" ht="34" customHeight="1">
      <x:c r="A654" s="34" t="str">
        <x:v>☐</x:v>
      </x:c>
      <x:c r="B654" s="34" t="str">
        <x:v>MI-1805</x:v>
      </x:c>
      <x:c r="C654" s="34" t="str">
        <x:v>M3 — کسب‌وکار، شبکه و زیست‌بوم نوآوری</x:v>
      </x:c>
      <x:c r="D654" s="34" t="str">
        <x:v>H10</x:v>
      </x:c>
      <x:c r="E654" s="34" t="str">
        <x:v>زیست‌بوم نوآوری، استعداد و تیم‌سازی</x:v>
      </x:c>
      <x:c r="F654" s="34" t="str">
        <x:v>P2</x:v>
      </x:c>
      <x:c r="G654" s="34" t="str">
        <x:v>هدف/موضوع</x:v>
      </x:c>
      <x:c r="H654" s="39" t="str">
        <x:v>تیم های کوچک محصول</x:v>
      </x:c>
      <x:c r="I654" s="39" t="str">
        <x:v>پس از تثبیت پایه‌ها؛ پروژه‌محور</x:v>
      </x:c>
      <x:c r="J654" s="39" t="str">
        <x:v>سازنده زیست‌بوم + مدیر پورتفو</x:v>
      </x:c>
      <x:c r="K654" s="39" t="str"/>
      <x:c r="L654" s="39" t="str">
        <x:v>E112:P323</x:v>
      </x:c>
      <x:c r="M654" s="39" t="str"/>
      <x:c r="N654" s="39" t="str">
        <x:v>نسخه پایه ۳۱۵۰</x:v>
      </x:c>
    </x:row>
    <x:row r="655" ht="34" customHeight="1">
      <x:c r="A655" s="34" t="str">
        <x:v>☐</x:v>
      </x:c>
      <x:c r="B655" s="34" t="str">
        <x:v>MI-1809</x:v>
      </x:c>
      <x:c r="C655" s="34" t="str">
        <x:v>M3 — کسب‌وکار، شبکه و زیست‌بوم نوآوری</x:v>
      </x:c>
      <x:c r="D655" s="34" t="str">
        <x:v>H10</x:v>
      </x:c>
      <x:c r="E655" s="34" t="str">
        <x:v>زیست‌بوم نوآوری، استعداد و تیم‌سازی</x:v>
      </x:c>
      <x:c r="F655" s="34" t="str">
        <x:v>P2</x:v>
      </x:c>
      <x:c r="G655" s="34" t="str">
        <x:v>هدف/موضوع</x:v>
      </x:c>
      <x:c r="H655" s="39" t="str">
        <x:v>تیم های فریلنسری</x:v>
      </x:c>
      <x:c r="I655" s="39" t="str">
        <x:v>پس از تثبیت پایه‌ها؛ پروژه‌محور</x:v>
      </x:c>
      <x:c r="J655" s="39" t="str">
        <x:v>سازنده زیست‌بوم + مدیر پورتفو</x:v>
      </x:c>
      <x:c r="K655" s="39" t="str"/>
      <x:c r="L655" s="39" t="str">
        <x:v>E112:P327</x:v>
      </x:c>
      <x:c r="M655" s="39" t="str"/>
      <x:c r="N655" s="39" t="str">
        <x:v>نسخه پایه ۳۱۵۰</x:v>
      </x:c>
    </x:row>
    <x:row r="656" ht="34" customHeight="1">
      <x:c r="A656" s="34" t="str">
        <x:v>☐</x:v>
      </x:c>
      <x:c r="B656" s="34" t="str">
        <x:v>MI-1819</x:v>
      </x:c>
      <x:c r="C656" s="34" t="str">
        <x:v>M3 — کسب‌وکار، شبکه و زیست‌بوم نوآوری</x:v>
      </x:c>
      <x:c r="D656" s="34" t="str">
        <x:v>H10</x:v>
      </x:c>
      <x:c r="E656" s="34" t="str">
        <x:v>زیست‌بوم نوآوری، استعداد و تیم‌سازی</x:v>
      </x:c>
      <x:c r="F656" s="34" t="str">
        <x:v>P2</x:v>
      </x:c>
      <x:c r="G656" s="34" t="str">
        <x:v>هدف/موضوع</x:v>
      </x:c>
      <x:c r="H656" s="39" t="str">
        <x:v>شتاب دهنده ها</x:v>
      </x:c>
      <x:c r="I656" s="39" t="str">
        <x:v>پس از تثبیت پایه‌ها؛ پروژه‌محور</x:v>
      </x:c>
      <x:c r="J656" s="39" t="str">
        <x:v>سازنده زیست‌بوم + مدیر پورتفو</x:v>
      </x:c>
      <x:c r="K656" s="39" t="str"/>
      <x:c r="L656" s="39" t="str">
        <x:v>E112:P346؛ E112:P533؛ E112:P628؛ E112:P1014؛ E112:P1086؛ E112:P3007</x:v>
      </x:c>
      <x:c r="M656" s="39" t="str"/>
      <x:c r="N656" s="39" t="str">
        <x:v>نسخه پایه ۳۱۵۰</x:v>
      </x:c>
    </x:row>
    <x:row r="657" ht="34" customHeight="1">
      <x:c r="A657" s="34" t="str">
        <x:v>☐</x:v>
      </x:c>
      <x:c r="B657" s="34" t="str">
        <x:v>MI-1823</x:v>
      </x:c>
      <x:c r="C657" s="34" t="str">
        <x:v>M3 — کسب‌وکار، شبکه و زیست‌بوم نوآوری</x:v>
      </x:c>
      <x:c r="D657" s="34" t="str">
        <x:v>H10</x:v>
      </x:c>
      <x:c r="E657" s="34" t="str">
        <x:v>زیست‌بوم نوآوری، استعداد و تیم‌سازی</x:v>
      </x:c>
      <x:c r="F657" s="34" t="str">
        <x:v>P2</x:v>
      </x:c>
      <x:c r="G657" s="34" t="str">
        <x:v>هدف/موضوع</x:v>
      </x:c>
      <x:c r="H657" s="39" t="str">
        <x:v>اتصال تیم ها به سرمایه</x:v>
      </x:c>
      <x:c r="I657" s="39" t="str">
        <x:v>پس از تثبیت پایه‌ها؛ پروژه‌محور</x:v>
      </x:c>
      <x:c r="J657" s="39" t="str">
        <x:v>سازنده زیست‌بوم + مدیر پورتفو</x:v>
      </x:c>
      <x:c r="K657" s="39" t="str"/>
      <x:c r="L657" s="39" t="str">
        <x:v>E112:P353</x:v>
      </x:c>
      <x:c r="M657" s="39" t="str"/>
      <x:c r="N657" s="39" t="str">
        <x:v>نسخه پایه ۳۱۵۰</x:v>
      </x:c>
    </x:row>
    <x:row r="658" ht="34" customHeight="1">
      <x:c r="A658" s="34" t="str">
        <x:v>☐</x:v>
      </x:c>
      <x:c r="B658" s="34" t="str">
        <x:v>MI-1853</x:v>
      </x:c>
      <x:c r="C658" s="34" t="str">
        <x:v>M3 — کسب‌وکار، شبکه و زیست‌بوم نوآوری</x:v>
      </x:c>
      <x:c r="D658" s="34" t="str">
        <x:v>H10</x:v>
      </x:c>
      <x:c r="E658" s="34" t="str">
        <x:v>زیست‌بوم نوآوری، استعداد و تیم‌سازی</x:v>
      </x:c>
      <x:c r="F658" s="34" t="str">
        <x:v>P2</x:v>
      </x:c>
      <x:c r="G658" s="34" t="str">
        <x:v>هدف/موضوع</x:v>
      </x:c>
      <x:c r="H658" s="39" t="str">
        <x:v>شکار استعداد از:</x:v>
      </x:c>
      <x:c r="I658" s="39" t="str">
        <x:v>پس از تثبیت پایه‌ها؛ پروژه‌محور</x:v>
      </x:c>
      <x:c r="J658" s="39" t="str">
        <x:v>سازنده زیست‌بوم + مدیر پورتفو</x:v>
      </x:c>
      <x:c r="K658" s="39" t="str"/>
      <x:c r="L658" s="39" t="str">
        <x:v>E112:P415؛ E112:P901؛ E112:P1177</x:v>
      </x:c>
      <x:c r="M658" s="39" t="str"/>
      <x:c r="N658" s="39" t="str">
        <x:v>نسخه پایه ۳۱۵۰</x:v>
      </x:c>
    </x:row>
    <x:row r="659" ht="34" customHeight="1">
      <x:c r="A659" s="34" t="str">
        <x:v>☐</x:v>
      </x:c>
      <x:c r="B659" s="34" t="str">
        <x:v>MI-1854</x:v>
      </x:c>
      <x:c r="C659" s="34" t="str">
        <x:v>M3 — کسب‌وکار، شبکه و زیست‌بوم نوآوری</x:v>
      </x:c>
      <x:c r="D659" s="34" t="str">
        <x:v>H10</x:v>
      </x:c>
      <x:c r="E659" s="34" t="str">
        <x:v>زیست‌بوم نوآوری، استعداد و تیم‌سازی</x:v>
      </x:c>
      <x:c r="F659" s="34" t="str">
        <x:v>P2</x:v>
      </x:c>
      <x:c r="G659" s="34" t="str">
        <x:v>هدف/موضوع</x:v>
      </x:c>
      <x:c r="H659" s="39" t="str">
        <x:v>9. گره های قدرت در اکوسیستم (Power Nodes)</x:v>
      </x:c>
      <x:c r="I659" s="39" t="str">
        <x:v>پس از تثبیت پایه‌ها؛ پروژه‌محور</x:v>
      </x:c>
      <x:c r="J659" s="39" t="str">
        <x:v>سازنده زیست‌بوم + مدیر پورتفو</x:v>
      </x:c>
      <x:c r="K659" s="39" t="str"/>
      <x:c r="L659" s="39" t="str">
        <x:v>E112:P417؛ E112:P759</x:v>
      </x:c>
      <x:c r="M659" s="39" t="str"/>
      <x:c r="N659" s="39" t="str">
        <x:v>نسخه پایه ۳۱۵۰</x:v>
      </x:c>
    </x:row>
    <x:row r="660" ht="34" customHeight="1">
      <x:c r="A660" s="34" t="str">
        <x:v>☐</x:v>
      </x:c>
      <x:c r="B660" s="34" t="str">
        <x:v>MI-1869</x:v>
      </x:c>
      <x:c r="C660" s="34" t="str">
        <x:v>M3 — کسب‌وکار، شبکه و زیست‌بوم نوآوری</x:v>
      </x:c>
      <x:c r="D660" s="34" t="str">
        <x:v>H10</x:v>
      </x:c>
      <x:c r="E660" s="34" t="str">
        <x:v>زیست‌بوم نوآوری، استعداد و تیم‌سازی</x:v>
      </x:c>
      <x:c r="F660" s="34" t="str">
        <x:v>P2</x:v>
      </x:c>
      <x:c r="G660" s="34" t="str">
        <x:v>هدف/موضوع</x:v>
      </x:c>
      <x:c r="H660" s="39" t="str">
        <x:v>یک نکته مهم که معمولاً مدیران اکوسیستم دیر می فهمند:</x:v>
      </x:c>
      <x:c r="I660" s="39" t="str">
        <x:v>پس از تثبیت پایه‌ها؛ پروژه‌محور</x:v>
      </x:c>
      <x:c r="J660" s="39" t="str">
        <x:v>سازنده زیست‌بوم + مدیر پورتفو</x:v>
      </x:c>
      <x:c r="K660" s="39" t="str"/>
      <x:c r="L660" s="39" t="str">
        <x:v>E112:P441</x:v>
      </x:c>
      <x:c r="M660" s="39" t="str"/>
      <x:c r="N660" s="39" t="str">
        <x:v>نسخه پایه ۳۱۵۰</x:v>
      </x:c>
    </x:row>
    <x:row r="661" ht="34" customHeight="1">
      <x:c r="A661" s="34" t="str">
        <x:v>☐</x:v>
      </x:c>
      <x:c r="B661" s="34" t="str">
        <x:v>MI-1873</x:v>
      </x:c>
      <x:c r="C661" s="34" t="str">
        <x:v>M3 — کسب‌وکار، شبکه و زیست‌بوم نوآوری</x:v>
      </x:c>
      <x:c r="D661" s="34" t="str">
        <x:v>H10</x:v>
      </x:c>
      <x:c r="E661" s="34" t="str">
        <x:v>زیست‌بوم نوآوری، استعداد و تیم‌سازی</x:v>
      </x:c>
      <x:c r="F661" s="34" t="str">
        <x:v>P2</x:v>
      </x:c>
      <x:c r="G661" s="34" t="str">
        <x:v>هدف/موضوع</x:v>
      </x:c>
      <x:c r="H661" s="39" t="str">
        <x:v>را به هم وصل کند، عملاً مرکز اکوسیستم می شود.</x:v>
      </x:c>
      <x:c r="I661" s="39" t="str">
        <x:v>پس از تثبیت پایه‌ها؛ پروژه‌محور</x:v>
      </x:c>
      <x:c r="J661" s="39" t="str">
        <x:v>سازنده زیست‌بوم + مدیر پورتفو</x:v>
      </x:c>
      <x:c r="K661" s="39" t="str"/>
      <x:c r="L661" s="39" t="str">
        <x:v>E112:P452</x:v>
      </x:c>
      <x:c r="M661" s="39" t="str"/>
      <x:c r="N661" s="39" t="str">
        <x:v>نسخه پایه ۳۱۵۰</x:v>
      </x:c>
    </x:row>
    <x:row r="662" ht="34" customHeight="1">
      <x:c r="A662" s="34" t="str">
        <x:v>☐</x:v>
      </x:c>
      <x:c r="B662" s="34" t="str">
        <x:v>MI-1875</x:v>
      </x:c>
      <x:c r="C662" s="34" t="str">
        <x:v>M3 — کسب‌وکار، شبکه و زیست‌بوم نوآوری</x:v>
      </x:c>
      <x:c r="D662" s="34" t="str">
        <x:v>H10</x:v>
      </x:c>
      <x:c r="E662" s="34" t="str">
        <x:v>زیست‌بوم نوآوری، استعداد و تیم‌سازی</x:v>
      </x:c>
      <x:c r="F662" s="34" t="str">
        <x:v>P2</x:v>
      </x:c>
      <x:c r="G662" s="34" t="str">
        <x:v>هدف/موضوع</x:v>
      </x:c>
      <x:c r="H662" s="39" t="str">
        <x:v>نقشه کامل اکوسیستم منابع انسانی (HR Ecosystem Map)</x:v>
      </x:c>
      <x:c r="I662" s="39" t="str">
        <x:v>پس از تثبیت پایه‌ها؛ پروژه‌محور</x:v>
      </x:c>
      <x:c r="J662" s="39" t="str">
        <x:v>سازنده زیست‌بوم + مدیر پورتفو</x:v>
      </x:c>
      <x:c r="K662" s="39" t="str"/>
      <x:c r="L662" s="39" t="str">
        <x:v>E112:P456</x:v>
      </x:c>
      <x:c r="M662" s="39" t="str"/>
      <x:c r="N662" s="39" t="str">
        <x:v>نسخه پایه ۳۱۵۰</x:v>
      </x:c>
    </x:row>
    <x:row r="663" ht="34" customHeight="1">
      <x:c r="A663" s="34" t="str">
        <x:v>☐</x:v>
      </x:c>
      <x:c r="B663" s="34" t="str">
        <x:v>MI-1876</x:v>
      </x:c>
      <x:c r="C663" s="34" t="str">
        <x:v>M3 — کسب‌وکار، شبکه و زیست‌بوم نوآوری</x:v>
      </x:c>
      <x:c r="D663" s="34" t="str">
        <x:v>H10</x:v>
      </x:c>
      <x:c r="E663" s="34" t="str">
        <x:v>زیست‌بوم نوآوری، استعداد و تیم‌سازی</x:v>
      </x:c>
      <x:c r="F663" s="34" t="str">
        <x:v>P2</x:v>
      </x:c>
      <x:c r="G663" s="34" t="str">
        <x:v>هدف/موضوع</x:v>
      </x:c>
      <x:c r="H663" s="39" t="str">
        <x:v>که معمولاً فقط VCها و سازندگان اکوسیستم می سازند.</x:v>
      </x:c>
      <x:c r="I663" s="39" t="str">
        <x:v>پس از تثبیت پایه‌ها؛ پروژه‌محور</x:v>
      </x:c>
      <x:c r="J663" s="39" t="str">
        <x:v>سازنده زیست‌بوم + مدیر پورتفو</x:v>
      </x:c>
      <x:c r="K663" s="39" t="str"/>
      <x:c r="L663" s="39" t="str">
        <x:v>E112:P458</x:v>
      </x:c>
      <x:c r="M663" s="39" t="str"/>
      <x:c r="N663" s="39" t="str">
        <x:v>نسخه پایه ۳۱۵۰</x:v>
      </x:c>
    </x:row>
    <x:row r="664" ht="34" customHeight="1">
      <x:c r="A664" s="34" t="str">
        <x:v>☐</x:v>
      </x:c>
      <x:c r="B664" s="34" t="str">
        <x:v>MI-1881</x:v>
      </x:c>
      <x:c r="C664" s="34" t="str">
        <x:v>M3 — کسب‌وکار، شبکه و زیست‌بوم نوآوری</x:v>
      </x:c>
      <x:c r="D664" s="34" t="str">
        <x:v>H10</x:v>
      </x:c>
      <x:c r="E664" s="34" t="str">
        <x:v>زیست‌بوم نوآوری، استعداد و تیم‌سازی</x:v>
      </x:c>
      <x:c r="F664" s="34" t="str">
        <x:v>P2</x:v>
      </x:c>
      <x:c r="G664" s="34" t="str">
        <x:v>هدف/موضوع</x:v>
      </x:c>
      <x:c r="H664" s="39" t="str">
        <x:v>مرکز نوآوری</x:v>
      </x:c>
      <x:c r="I664" s="39" t="str">
        <x:v>پس از تثبیت پایه‌ها؛ پروژه‌محور</x:v>
      </x:c>
      <x:c r="J664" s="39" t="str">
        <x:v>سازنده زیست‌بوم + مدیر پورتفو</x:v>
      </x:c>
      <x:c r="K664" s="39" t="str"/>
      <x:c r="L664" s="39" t="str">
        <x:v>E112:P466؛ E112:P532؛ E112:P692؛ E112:P3385</x:v>
      </x:c>
      <x:c r="M664" s="39" t="str"/>
      <x:c r="N664" s="39" t="str">
        <x:v>نسخه پایه ۳۱۵۰</x:v>
      </x:c>
    </x:row>
    <x:row r="665" ht="34" customHeight="1">
      <x:c r="A665" s="34" t="str">
        <x:v>☐</x:v>
      </x:c>
      <x:c r="B665" s="34" t="str">
        <x:v>MI-1883</x:v>
      </x:c>
      <x:c r="C665" s="34" t="str">
        <x:v>M3 — کسب‌وکار، شبکه و زیست‌بوم نوآوری</x:v>
      </x:c>
      <x:c r="D665" s="34" t="str">
        <x:v>H10</x:v>
      </x:c>
      <x:c r="E665" s="34" t="str">
        <x:v>زیست‌بوم نوآوری، استعداد و تیم‌سازی</x:v>
      </x:c>
      <x:c r="F665" s="34" t="str">
        <x:v>P2</x:v>
      </x:c>
      <x:c r="G665" s="34" t="str">
        <x:v>هدف/موضوع</x:v>
      </x:c>
      <x:c r="H665" s="39" t="str">
        <x:v>آکادمی ها</x:v>
      </x:c>
      <x:c r="I665" s="39" t="str">
        <x:v>پس از تثبیت پایه‌ها؛ پروژه‌محور</x:v>
      </x:c>
      <x:c r="J665" s="39" t="str">
        <x:v>سازنده زیست‌بوم + مدیر پورتفو</x:v>
      </x:c>
      <x:c r="K665" s="39" t="str"/>
      <x:c r="L665" s="39" t="str">
        <x:v>E112:P468؛ E112:P508</x:v>
      </x:c>
      <x:c r="M665" s="39" t="str"/>
      <x:c r="N665" s="39" t="str">
        <x:v>نسخه پایه ۳۱۵۰</x:v>
      </x:c>
    </x:row>
    <x:row r="666" ht="34" customHeight="1">
      <x:c r="A666" s="34" t="str">
        <x:v>☐</x:v>
      </x:c>
      <x:c r="B666" s="34" t="str">
        <x:v>MI-1888</x:v>
      </x:c>
      <x:c r="C666" s="34" t="str">
        <x:v>M3 — کسب‌وکار، شبکه و زیست‌بوم نوآوری</x:v>
      </x:c>
      <x:c r="D666" s="34" t="str">
        <x:v>H10</x:v>
      </x:c>
      <x:c r="E666" s="34" t="str">
        <x:v>زیست‌بوم نوآوری، استعداد و تیم‌سازی</x:v>
      </x:c>
      <x:c r="F666" s="34" t="str">
        <x:v>P2</x:v>
      </x:c>
      <x:c r="G666" s="34" t="str">
        <x:v>هدف/موضوع</x:v>
      </x:c>
      <x:c r="H666" s="39" t="str">
        <x:v>کمپ / اردوگاه</x:v>
      </x:c>
      <x:c r="I666" s="39" t="str">
        <x:v>پس از تثبیت پایه‌ها؛ پروژه‌محور</x:v>
      </x:c>
      <x:c r="J666" s="39" t="str">
        <x:v>سازنده زیست‌بوم + مدیر پورتفو</x:v>
      </x:c>
      <x:c r="K666" s="39" t="str"/>
      <x:c r="L666" s="39" t="str">
        <x:v>E112:P474؛ E112:P710</x:v>
      </x:c>
      <x:c r="M666" s="39" t="str"/>
      <x:c r="N666" s="39" t="str">
        <x:v>نسخه پایه ۳۱۵۰</x:v>
      </x:c>
    </x:row>
    <x:row r="667" ht="34" customHeight="1">
      <x:c r="A667" s="34" t="str">
        <x:v>☐</x:v>
      </x:c>
      <x:c r="B667" s="34" t="str">
        <x:v>MI-1889</x:v>
      </x:c>
      <x:c r="C667" s="34" t="str">
        <x:v>M3 — کسب‌وکار، شبکه و زیست‌بوم نوآوری</x:v>
      </x:c>
      <x:c r="D667" s="34" t="str">
        <x:v>H10</x:v>
      </x:c>
      <x:c r="E667" s="34" t="str">
        <x:v>زیست‌بوم نوآوری، استعداد و تیم‌سازی</x:v>
      </x:c>
      <x:c r="F667" s="34" t="str">
        <x:v>P2</x:v>
      </x:c>
      <x:c r="G667" s="34" t="str">
        <x:v>هدف/موضوع</x:v>
      </x:c>
      <x:c r="H667" s="39" t="str">
        <x:v>پارک علم و</x:v>
      </x:c>
      <x:c r="I667" s="39" t="str">
        <x:v>پس از تثبیت پایه‌ها؛ پروژه‌محور</x:v>
      </x:c>
      <x:c r="J667" s="39" t="str">
        <x:v>سازنده زیست‌بوم + مدیر پورتفو</x:v>
      </x:c>
      <x:c r="K667" s="39" t="str"/>
      <x:c r="L667" s="39" t="str">
        <x:v>E112:P476</x:v>
      </x:c>
      <x:c r="M667" s="39" t="str"/>
      <x:c r="N667" s="39" t="str">
        <x:v>نسخه پایه ۳۱۵۰</x:v>
      </x:c>
    </x:row>
    <x:row r="668" ht="34" customHeight="1">
      <x:c r="A668" s="34" t="str">
        <x:v>☐</x:v>
      </x:c>
      <x:c r="B668" s="34" t="str">
        <x:v>MI-1894</x:v>
      </x:c>
      <x:c r="C668" s="34" t="str">
        <x:v>M3 — کسب‌وکار، شبکه و زیست‌بوم نوآوری</x:v>
      </x:c>
      <x:c r="D668" s="34" t="str">
        <x:v>H10</x:v>
      </x:c>
      <x:c r="E668" s="34" t="str">
        <x:v>زیست‌بوم نوآوری، استعداد و تیم‌سازی</x:v>
      </x:c>
      <x:c r="F668" s="34" t="str">
        <x:v>P2</x:v>
      </x:c>
      <x:c r="G668" s="34" t="str">
        <x:v>هدف/موضوع</x:v>
      </x:c>
      <x:c r="H668" s="39" t="str">
        <x:v>اقامت (EiR)</x:v>
      </x:c>
      <x:c r="I668" s="39" t="str">
        <x:v>پس از تثبیت پایه‌ها؛ پروژه‌محور</x:v>
      </x:c>
      <x:c r="J668" s="39" t="str">
        <x:v>سازنده زیست‌بوم + مدیر پورتفو</x:v>
      </x:c>
      <x:c r="K668" s="39" t="str"/>
      <x:c r="L668" s="39" t="str">
        <x:v>E112:P481؛ E112:P1509</x:v>
      </x:c>
      <x:c r="M668" s="39" t="str"/>
      <x:c r="N668" s="39" t="str">
        <x:v>نسخه پایه ۳۱۵۰</x:v>
      </x:c>
    </x:row>
    <x:row r="669" ht="34" customHeight="1">
      <x:c r="A669" s="34" t="str">
        <x:v>☐</x:v>
      </x:c>
      <x:c r="B669" s="34" t="str">
        <x:v>MI-1921</x:v>
      </x:c>
      <x:c r="C669" s="34" t="str">
        <x:v>M3 — کسب‌وکار، شبکه و زیست‌بوم نوآوری</x:v>
      </x:c>
      <x:c r="D669" s="34" t="str">
        <x:v>H10</x:v>
      </x:c>
      <x:c r="E669" s="34" t="str">
        <x:v>زیست‌بوم نوآوری، استعداد و تیم‌سازی</x:v>
      </x:c>
      <x:c r="F669" s="34" t="str">
        <x:v>P2</x:v>
      </x:c>
      <x:c r="G669" s="34" t="str">
        <x:v>هدف/موضوع</x:v>
      </x:c>
      <x:c r="H669" s="39" t="str">
        <x:v>کمپ های کارآفرینی</x:v>
      </x:c>
      <x:c r="I669" s="39" t="str">
        <x:v>پس از تثبیت پایه‌ها؛ پروژه‌محور</x:v>
      </x:c>
      <x:c r="J669" s="39" t="str">
        <x:v>سازنده زیست‌بوم + مدیر پورتفو</x:v>
      </x:c>
      <x:c r="K669" s="39" t="str"/>
      <x:c r="L669" s="39" t="str">
        <x:v>E112:P521؛ E112:P2062؛ E112:P2684؛ E112:P3064</x:v>
      </x:c>
      <x:c r="M669" s="39" t="str"/>
      <x:c r="N669" s="39" t="str">
        <x:v>نسخه پایه ۳۱۵۰</x:v>
      </x:c>
    </x:row>
    <x:row r="670" ht="34" customHeight="1">
      <x:c r="A670" s="34" t="str">
        <x:v>☐</x:v>
      </x:c>
      <x:c r="B670" s="34" t="str">
        <x:v>MI-1925</x:v>
      </x:c>
      <x:c r="C670" s="34" t="str">
        <x:v>M3 — کسب‌وکار، شبکه و زیست‌بوم نوآوری</x:v>
      </x:c>
      <x:c r="D670" s="34" t="str">
        <x:v>H10</x:v>
      </x:c>
      <x:c r="E670" s="34" t="str">
        <x:v>زیست‌بوم نوآوری، استعداد و تیم‌سازی</x:v>
      </x:c>
      <x:c r="F670" s="34" t="str">
        <x:v>P2</x:v>
      </x:c>
      <x:c r="G670" s="34" t="str">
        <x:v>هدف/موضوع</x:v>
      </x:c>
      <x:c r="H670" s="39" t="str">
        <x:v>شتاب دهنده دانش آموزی</x:v>
      </x:c>
      <x:c r="I670" s="39" t="str">
        <x:v>پس از تثبیت پایه‌ها؛ پروژه‌محور</x:v>
      </x:c>
      <x:c r="J670" s="39" t="str">
        <x:v>سازنده زیست‌بوم + مدیر پورتفو</x:v>
      </x:c>
      <x:c r="K670" s="39" t="str"/>
      <x:c r="L670" s="39" t="str">
        <x:v>E112:P525</x:v>
      </x:c>
      <x:c r="M670" s="39" t="str"/>
      <x:c r="N670" s="39" t="str">
        <x:v>نسخه پایه ۳۱۵۰</x:v>
      </x:c>
    </x:row>
    <x:row r="671" ht="34" customHeight="1">
      <x:c r="A671" s="34" t="str">
        <x:v>☐</x:v>
      </x:c>
      <x:c r="B671" s="34" t="str">
        <x:v>MI-1940</x:v>
      </x:c>
      <x:c r="C671" s="34" t="str">
        <x:v>M3 — کسب‌وکار، شبکه و زیست‌بوم نوآوری</x:v>
      </x:c>
      <x:c r="D671" s="34" t="str">
        <x:v>H10</x:v>
      </x:c>
      <x:c r="E671" s="34" t="str">
        <x:v>زیست‌بوم نوآوری، استعداد و تیم‌سازی</x:v>
      </x:c>
      <x:c r="F671" s="34" t="str">
        <x:v>P2</x:v>
      </x:c>
      <x:c r="G671" s="34" t="str">
        <x:v>هدف/موضوع</x:v>
      </x:c>
      <x:c r="H671" s="39" t="str">
        <x:v>EiR (کارآفرین در اقامت)</x:v>
      </x:c>
      <x:c r="I671" s="39" t="str">
        <x:v>پس از تثبیت پایه‌ها؛ پروژه‌محور</x:v>
      </x:c>
      <x:c r="J671" s="39" t="str">
        <x:v>سازنده زیست‌بوم + مدیر پورتفو</x:v>
      </x:c>
      <x:c r="K671" s="39" t="str"/>
      <x:c r="L671" s="39" t="str">
        <x:v>E112:P551</x:v>
      </x:c>
      <x:c r="M671" s="39" t="str"/>
      <x:c r="N671" s="39" t="str">
        <x:v>نسخه پایه ۳۱۵۰</x:v>
      </x:c>
    </x:row>
    <x:row r="672" ht="34" customHeight="1">
      <x:c r="A672" s="34" t="str">
        <x:v>☐</x:v>
      </x:c>
      <x:c r="B672" s="34" t="str">
        <x:v>MI-1973</x:v>
      </x:c>
      <x:c r="C672" s="34" t="str">
        <x:v>M3 — کسب‌وکار، شبکه و زیست‌بوم نوآوری</x:v>
      </x:c>
      <x:c r="D672" s="34" t="str">
        <x:v>H10</x:v>
      </x:c>
      <x:c r="E672" s="34" t="str">
        <x:v>زیست‌بوم نوآوری، استعداد و تیم‌سازی</x:v>
      </x:c>
      <x:c r="F672" s="34" t="str">
        <x:v>P2</x:v>
      </x:c>
      <x:c r="G672" s="34" t="str">
        <x:v>هدف/موضوع</x:v>
      </x:c>
      <x:c r="H672" s="39" t="str">
        <x:v>اینجا محل مصرف استعداد است.</x:v>
      </x:c>
      <x:c r="I672" s="39" t="str">
        <x:v>پس از تثبیت پایه‌ها؛ پروژه‌محور</x:v>
      </x:c>
      <x:c r="J672" s="39" t="str">
        <x:v>سازنده زیست‌بوم + مدیر پورتفو</x:v>
      </x:c>
      <x:c r="K672" s="39" t="str"/>
      <x:c r="L672" s="39" t="str">
        <x:v>E112:P600</x:v>
      </x:c>
      <x:c r="M672" s="39" t="str"/>
      <x:c r="N672" s="39" t="str">
        <x:v>نسخه پایه ۳۱۵۰</x:v>
      </x:c>
    </x:row>
    <x:row r="673" ht="34" customHeight="1">
      <x:c r="A673" s="34" t="str">
        <x:v>☐</x:v>
      </x:c>
      <x:c r="B673" s="34" t="str">
        <x:v>MI-2017</x:v>
      </x:c>
      <x:c r="C673" s="34" t="str">
        <x:v>M3 — کسب‌وکار، شبکه و زیست‌بوم نوآوری</x:v>
      </x:c>
      <x:c r="D673" s="34" t="str">
        <x:v>H10</x:v>
      </x:c>
      <x:c r="E673" s="34" t="str">
        <x:v>زیست‌بوم نوآوری، استعداد و تیم‌سازی</x:v>
      </x:c>
      <x:c r="F673" s="34" t="str">
        <x:v>P2</x:v>
      </x:c>
      <x:c r="G673" s="34" t="str">
        <x:v>هدف/موضوع</x:v>
      </x:c>
      <x:c r="H673" s="39" t="str">
        <x:v>10. گره های کلیدی اکوسیستم (Key Individuals)</x:v>
      </x:c>
      <x:c r="I673" s="39" t="str">
        <x:v>پس از تثبیت پایه‌ها؛ پروژه‌محور</x:v>
      </x:c>
      <x:c r="J673" s="39" t="str">
        <x:v>سازنده زیست‌بوم + مدیر پورتفو</x:v>
      </x:c>
      <x:c r="K673" s="39" t="str"/>
      <x:c r="L673" s="39" t="str">
        <x:v>E112:P674</x:v>
      </x:c>
      <x:c r="M673" s="39" t="str"/>
      <x:c r="N673" s="39" t="str">
        <x:v>نسخه پایه ۳۱۵۰</x:v>
      </x:c>
    </x:row>
    <x:row r="674" ht="34" customHeight="1">
      <x:c r="A674" s="34" t="str">
        <x:v>☐</x:v>
      </x:c>
      <x:c r="B674" s="34" t="str">
        <x:v>MI-2023</x:v>
      </x:c>
      <x:c r="C674" s="34" t="str">
        <x:v>M3 — کسب‌وکار، شبکه و زیست‌بوم نوآوری</x:v>
      </x:c>
      <x:c r="D674" s="34" t="str">
        <x:v>H10</x:v>
      </x:c>
      <x:c r="E674" s="34" t="str">
        <x:v>زیست‌بوم نوآوری، استعداد و تیم‌سازی</x:v>
      </x:c>
      <x:c r="F674" s="34" t="str">
        <x:v>P2</x:v>
      </x:c>
      <x:c r="G674" s="34" t="str">
        <x:v>هدف/موضوع</x:v>
      </x:c>
      <x:c r="H674" s="39" t="str">
        <x:v>در اکوسیستم:</x:v>
      </x:c>
      <x:c r="I674" s="39" t="str">
        <x:v>پس از تثبیت پایه‌ها؛ پروژه‌محور</x:v>
      </x:c>
      <x:c r="J674" s="39" t="str">
        <x:v>سازنده زیست‌بوم + مدیر پورتفو</x:v>
      </x:c>
      <x:c r="K674" s="39" t="str"/>
      <x:c r="L674" s="39" t="str">
        <x:v>E112:P688</x:v>
      </x:c>
      <x:c r="M674" s="39" t="str"/>
      <x:c r="N674" s="39" t="str">
        <x:v>نسخه پایه ۳۱۵۰</x:v>
      </x:c>
    </x:row>
    <x:row r="675" ht="34" customHeight="1">
      <x:c r="A675" s="34" t="str">
        <x:v>☐</x:v>
      </x:c>
      <x:c r="B675" s="34" t="str">
        <x:v>MI-2026</x:v>
      </x:c>
      <x:c r="C675" s="34" t="str">
        <x:v>M3 — کسب‌وکار، شبکه و زیست‌بوم نوآوری</x:v>
      </x:c>
      <x:c r="D675" s="34" t="str">
        <x:v>H10</x:v>
      </x:c>
      <x:c r="E675" s="34" t="str">
        <x:v>زیست‌بوم نوآوری، استعداد و تیم‌سازی</x:v>
      </x:c>
      <x:c r="F675" s="34" t="str">
        <x:v>P2</x:v>
      </x:c>
      <x:c r="G675" s="34" t="str">
        <x:v>هدف/موضوع</x:v>
      </x:c>
      <x:c r="H675" s="39" t="str">
        <x:v>EiR</x:v>
      </x:c>
      <x:c r="I675" s="39" t="str">
        <x:v>پس از تثبیت پایه‌ها؛ پروژه‌محور</x:v>
      </x:c>
      <x:c r="J675" s="39" t="str">
        <x:v>سازنده زیست‌بوم + مدیر پورتفو</x:v>
      </x:c>
      <x:c r="K675" s="39" t="str"/>
      <x:c r="L675" s="39" t="str">
        <x:v>E112:P699</x:v>
      </x:c>
      <x:c r="M675" s="39" t="str"/>
      <x:c r="N675" s="39" t="str">
        <x:v>نسخه پایه ۳۱۵۰</x:v>
      </x:c>
    </x:row>
    <x:row r="676" ht="34" customHeight="1">
      <x:c r="A676" s="34" t="str">
        <x:v>☐</x:v>
      </x:c>
      <x:c r="B676" s="34" t="str">
        <x:v>MI-2032</x:v>
      </x:c>
      <x:c r="C676" s="34" t="str">
        <x:v>M3 — کسب‌وکار، شبکه و زیست‌بوم نوآوری</x:v>
      </x:c>
      <x:c r="D676" s="34" t="str">
        <x:v>H10</x:v>
      </x:c>
      <x:c r="E676" s="34" t="str">
        <x:v>زیست‌بوم نوآوری، استعداد و تیم‌سازی</x:v>
      </x:c>
      <x:c r="F676" s="34" t="str">
        <x:v>P2</x:v>
      </x:c>
      <x:c r="G676" s="34" t="str">
        <x:v>هدف/موضوع</x:v>
      </x:c>
      <x:c r="H676" s="39" t="str">
        <x:v>اما اگر بخواهیم اکوسیستم را حرفه ای بسازیم، چند آیتم خیلی مهم دیگر باید اضافه شود:</x:v>
      </x:c>
      <x:c r="I676" s="39" t="str">
        <x:v>پس از تثبیت پایه‌ها؛ پروژه‌محور</x:v>
      </x:c>
      <x:c r="J676" s="39" t="str">
        <x:v>سازنده زیست‌بوم + مدیر پورتفو</x:v>
      </x:c>
      <x:c r="K676" s="39" t="str"/>
      <x:c r="L676" s="39" t="str">
        <x:v>E112:P716</x:v>
      </x:c>
      <x:c r="M676" s="39" t="str"/>
      <x:c r="N676" s="39" t="str">
        <x:v>نسخه پایه ۳۱۵۰</x:v>
      </x:c>
    </x:row>
    <x:row r="677" ht="34" customHeight="1">
      <x:c r="A677" s="34" t="str">
        <x:v>☐</x:v>
      </x:c>
      <x:c r="B677" s="34" t="str">
        <x:v>MI-2033</x:v>
      </x:c>
      <x:c r="C677" s="34" t="str">
        <x:v>M3 — کسب‌وکار، شبکه و زیست‌بوم نوآوری</x:v>
      </x:c>
      <x:c r="D677" s="34" t="str">
        <x:v>H10</x:v>
      </x:c>
      <x:c r="E677" s="34" t="str">
        <x:v>زیست‌بوم نوآوری، استعداد و تیم‌سازی</x:v>
      </x:c>
      <x:c r="F677" s="34" t="str">
        <x:v>P2</x:v>
      </x:c>
      <x:c r="G677" s="34" t="str">
        <x:v>هدف/موضوع</x:v>
      </x:c>
      <x:c r="H677" s="39" t="str">
        <x:v>باشگاه استعدادها</x:v>
      </x:c>
      <x:c r="I677" s="39" t="str">
        <x:v>پس از تثبیت پایه‌ها؛ پروژه‌محور</x:v>
      </x:c>
      <x:c r="J677" s="39" t="str">
        <x:v>سازنده زیست‌بوم + مدیر پورتفو</x:v>
      </x:c>
      <x:c r="K677" s="39" t="str"/>
      <x:c r="L677" s="39" t="str">
        <x:v>E112:P718</x:v>
      </x:c>
      <x:c r="M677" s="39" t="str"/>
      <x:c r="N677" s="39" t="str">
        <x:v>نسخه پایه ۳۱۵۰</x:v>
      </x:c>
    </x:row>
    <x:row r="678" ht="34" customHeight="1">
      <x:c r="A678" s="34" t="str">
        <x:v>☐</x:v>
      </x:c>
      <x:c r="B678" s="34" t="str">
        <x:v>MI-2037</x:v>
      </x:c>
      <x:c r="C678" s="34" t="str">
        <x:v>M3 — کسب‌وکار، شبکه و زیست‌بوم نوآوری</x:v>
      </x:c>
      <x:c r="D678" s="34" t="str">
        <x:v>H10</x:v>
      </x:c>
      <x:c r="E678" s="34" t="str">
        <x:v>زیست‌بوم نوآوری، استعداد و تیم‌سازی</x:v>
      </x:c>
      <x:c r="F678" s="34" t="str">
        <x:v>P2</x:v>
      </x:c>
      <x:c r="G678" s="34" t="str">
        <x:v>هدف/موضوع</x:v>
      </x:c>
      <x:c r="H678" s="39" t="str">
        <x:v>community builders</x:v>
      </x:c>
      <x:c r="I678" s="39" t="str">
        <x:v>پس از تثبیت پایه‌ها؛ پروژه‌محور</x:v>
      </x:c>
      <x:c r="J678" s="39" t="str">
        <x:v>سازنده زیست‌بوم + مدیر پورتفو</x:v>
      </x:c>
      <x:c r="K678" s="39" t="str"/>
      <x:c r="L678" s="39" t="str">
        <x:v>E112:P722</x:v>
      </x:c>
      <x:c r="M678" s="39" t="str"/>
      <x:c r="N678" s="39" t="str">
        <x:v>نسخه پایه ۳۱۵۰</x:v>
      </x:c>
    </x:row>
    <x:row r="679" ht="34" customHeight="1">
      <x:c r="A679" s="34" t="str">
        <x:v>☐</x:v>
      </x:c>
      <x:c r="B679" s="34" t="str">
        <x:v>MI-2039</x:v>
      </x:c>
      <x:c r="C679" s="34" t="str">
        <x:v>M3 — کسب‌وکار، شبکه و زیست‌بوم نوآوری</x:v>
      </x:c>
      <x:c r="D679" s="34" t="str">
        <x:v>H10</x:v>
      </x:c>
      <x:c r="E679" s="34" t="str">
        <x:v>زیست‌بوم نوآوری، استعداد و تیم‌سازی</x:v>
      </x:c>
      <x:c r="F679" s="34" t="str">
        <x:v>P2</x:v>
      </x:c>
      <x:c r="G679" s="34" t="str">
        <x:v>هدف/موضوع</x:v>
      </x:c>
      <x:c r="H679" s="39" t="str">
        <x:v>مرکز matchmaking تیم ها</x:v>
      </x:c>
      <x:c r="I679" s="39" t="str">
        <x:v>پس از تثبیت پایه‌ها؛ پروژه‌محور</x:v>
      </x:c>
      <x:c r="J679" s="39" t="str">
        <x:v>سازنده زیست‌بوم + مدیر پورتفو</x:v>
      </x:c>
      <x:c r="K679" s="39" t="str"/>
      <x:c r="L679" s="39" t="str">
        <x:v>E112:P724</x:v>
      </x:c>
      <x:c r="M679" s="39" t="str"/>
      <x:c r="N679" s="39" t="str">
        <x:v>نسخه پایه ۳۱۵۰</x:v>
      </x:c>
    </x:row>
    <x:row r="680" ht="34" customHeight="1">
      <x:c r="A680" s="34" t="str">
        <x:v>☐</x:v>
      </x:c>
      <x:c r="B680" s="34" t="str">
        <x:v>MI-2041</x:v>
      </x:c>
      <x:c r="C680" s="34" t="str">
        <x:v>M3 — کسب‌وکار، شبکه و زیست‌بوم نوآوری</x:v>
      </x:c>
      <x:c r="D680" s="34" t="str">
        <x:v>H10</x:v>
      </x:c>
      <x:c r="E680" s="34" t="str">
        <x:v>زیست‌بوم نوآوری، استعداد و تیم‌سازی</x:v>
      </x:c>
      <x:c r="F680" s="34" t="str">
        <x:v>P2</x:v>
      </x:c>
      <x:c r="G680" s="34" t="str">
        <x:v>هدف/موضوع</x:v>
      </x:c>
      <x:c r="H680" s="39" t="str">
        <x:v>community مدیران محصول</x:v>
      </x:c>
      <x:c r="I680" s="39" t="str">
        <x:v>پس از تثبیت پایه‌ها؛ پروژه‌محور</x:v>
      </x:c>
      <x:c r="J680" s="39" t="str">
        <x:v>سازنده زیست‌بوم + مدیر پورتفو</x:v>
      </x:c>
      <x:c r="K680" s="39" t="str"/>
      <x:c r="L680" s="39" t="str">
        <x:v>E112:P726</x:v>
      </x:c>
      <x:c r="M680" s="39" t="str"/>
      <x:c r="N680" s="39" t="str">
        <x:v>نسخه پایه ۳۱۵۰</x:v>
      </x:c>
    </x:row>
    <x:row r="681" ht="34" customHeight="1">
      <x:c r="A681" s="34" t="str">
        <x:v>☐</x:v>
      </x:c>
      <x:c r="B681" s="34" t="str">
        <x:v>MI-2044</x:v>
      </x:c>
      <x:c r="C681" s="34" t="str">
        <x:v>M3 — کسب‌وکار، شبکه و زیست‌بوم نوآوری</x:v>
      </x:c>
      <x:c r="D681" s="34" t="str">
        <x:v>H10</x:v>
      </x:c>
      <x:c r="E681" s="34" t="str">
        <x:v>زیست‌بوم نوآوری، استعداد و تیم‌سازی</x:v>
      </x:c>
      <x:c r="F681" s="34" t="str">
        <x:v>P2</x:v>
      </x:c>
      <x:c r="G681" s="34" t="str">
        <x:v>هدف/موضوع</x:v>
      </x:c>
      <x:c r="H681" s="39" t="str">
        <x:v>یک نکته مهم که دید اکوسیستمی را کامل می کند:</x:v>
      </x:c>
      <x:c r="I681" s="39" t="str">
        <x:v>پس از تثبیت پایه‌ها؛ پروژه‌محور</x:v>
      </x:c>
      <x:c r="J681" s="39" t="str">
        <x:v>سازنده زیست‌بوم + مدیر پورتفو</x:v>
      </x:c>
      <x:c r="K681" s="39" t="str"/>
      <x:c r="L681" s="39" t="str">
        <x:v>E112:P730</x:v>
      </x:c>
      <x:c r="M681" s="39" t="str"/>
      <x:c r="N681" s="39" t="str">
        <x:v>نسخه پایه ۳۱۵۰</x:v>
      </x:c>
    </x:row>
    <x:row r="682" ht="34" customHeight="1">
      <x:c r="A682" s="34" t="str">
        <x:v>☐</x:v>
      </x:c>
      <x:c r="B682" s="34" t="str">
        <x:v>MI-2045</x:v>
      </x:c>
      <x:c r="C682" s="34" t="str">
        <x:v>M3 — کسب‌وکار، شبکه و زیست‌بوم نوآوری</x:v>
      </x:c>
      <x:c r="D682" s="34" t="str">
        <x:v>H10</x:v>
      </x:c>
      <x:c r="E682" s="34" t="str">
        <x:v>زیست‌بوم نوآوری، استعداد و تیم‌سازی</x:v>
      </x:c>
      <x:c r="F682" s="34" t="str">
        <x:v>P2</x:v>
      </x:c>
      <x:c r="G682" s="34" t="str">
        <x:v>هدف/موضوع</x:v>
      </x:c>
      <x:c r="H682" s="39" t="str">
        <x:v>اکوسیستم واقعی معمولاً از 5 جریان اصلی تشکیل می شود:</x:v>
      </x:c>
      <x:c r="I682" s="39" t="str">
        <x:v>پس از تثبیت پایه‌ها؛ پروژه‌محور</x:v>
      </x:c>
      <x:c r="J682" s="39" t="str">
        <x:v>سازنده زیست‌بوم + مدیر پورتفو</x:v>
      </x:c>
      <x:c r="K682" s="39" t="str"/>
      <x:c r="L682" s="39" t="str">
        <x:v>E112:P732</x:v>
      </x:c>
      <x:c r="M682" s="39" t="str"/>
      <x:c r="N682" s="39" t="str">
        <x:v>نسخه پایه ۳۱۵۰</x:v>
      </x:c>
    </x:row>
    <x:row r="683" ht="34" customHeight="1">
      <x:c r="A683" s="34" t="str">
        <x:v>☐</x:v>
      </x:c>
      <x:c r="B683" s="34" t="str">
        <x:v>MI-2046</x:v>
      </x:c>
      <x:c r="C683" s="34" t="str">
        <x:v>M3 — کسب‌وکار، شبکه و زیست‌بوم نوآوری</x:v>
      </x:c>
      <x:c r="D683" s="34" t="str">
        <x:v>H10</x:v>
      </x:c>
      <x:c r="E683" s="34" t="str">
        <x:v>زیست‌بوم نوآوری، استعداد و تیم‌سازی</x:v>
      </x:c>
      <x:c r="F683" s="34" t="str">
        <x:v>P2</x:v>
      </x:c>
      <x:c r="G683" s="34" t="str">
        <x:v>هدف/موضوع</x:v>
      </x:c>
      <x:c r="H683" s="39" t="str">
        <x:v>جریان استعداد</x:v>
      </x:c>
      <x:c r="I683" s="39" t="str">
        <x:v>پس از تثبیت پایه‌ها؛ پروژه‌محور</x:v>
      </x:c>
      <x:c r="J683" s="39" t="str">
        <x:v>سازنده زیست‌بوم + مدیر پورتفو</x:v>
      </x:c>
      <x:c r="K683" s="39" t="str"/>
      <x:c r="L683" s="39" t="str">
        <x:v>E112:P734</x:v>
      </x:c>
      <x:c r="M683" s="39" t="str"/>
      <x:c r="N683" s="39" t="str">
        <x:v>نسخه پایه ۳۱۵۰</x:v>
      </x:c>
    </x:row>
    <x:row r="684" ht="34" customHeight="1">
      <x:c r="A684" s="34" t="str">
        <x:v>☐</x:v>
      </x:c>
      <x:c r="B684" s="34" t="str">
        <x:v>MI-2051</x:v>
      </x:c>
      <x:c r="C684" s="34" t="str">
        <x:v>M3 — کسب‌وکار، شبکه و زیست‌بوم نوآوری</x:v>
      </x:c>
      <x:c r="D684" s="34" t="str">
        <x:v>H10</x:v>
      </x:c>
      <x:c r="E684" s="34" t="str">
        <x:v>زیست‌بوم نوآوری، استعداد و تیم‌سازی</x:v>
      </x:c>
      <x:c r="F684" s="34" t="str">
        <x:v>P2</x:v>
      </x:c>
      <x:c r="G684" s="34" t="str">
        <x:v>هدف/موضوع</x:v>
      </x:c>
      <x:c r="H684" s="39" t="str">
        <x:v>مدیر منابع انسانی اکوسیستم کسی است که این 5 جریان را به هم متصل می کند.</x:v>
      </x:c>
      <x:c r="I684" s="39" t="str">
        <x:v>پس از تثبیت پایه‌ها؛ پروژه‌محور</x:v>
      </x:c>
      <x:c r="J684" s="39" t="str">
        <x:v>سازنده زیست‌بوم + مدیر پورتفو</x:v>
      </x:c>
      <x:c r="K684" s="39" t="str"/>
      <x:c r="L684" s="39" t="str">
        <x:v>E112:P740</x:v>
      </x:c>
      <x:c r="M684" s="39" t="str"/>
      <x:c r="N684" s="39" t="str">
        <x:v>نسخه پایه ۳۱۵۰</x:v>
      </x:c>
    </x:row>
    <x:row r="685" ht="34" customHeight="1">
      <x:c r="A685" s="34" t="str">
        <x:v>☐</x:v>
      </x:c>
      <x:c r="B685" s="34" t="str">
        <x:v>MI-2053</x:v>
      </x:c>
      <x:c r="C685" s="34" t="str">
        <x:v>M3 — کسب‌وکار، شبکه و زیست‌بوم نوآوری</x:v>
      </x:c>
      <x:c r="D685" s="34" t="str">
        <x:v>H10</x:v>
      </x:c>
      <x:c r="E685" s="34" t="str">
        <x:v>زیست‌بوم نوآوری، استعداد و تیم‌سازی</x:v>
      </x:c>
      <x:c r="F685" s="34" t="str">
        <x:v>P2</x:v>
      </x:c>
      <x:c r="G685" s="34" t="str">
        <x:v>هدف/موضوع</x:v>
      </x:c>
      <x:c r="H685" s="39" t="str">
        <x:v>نقشه کامل اکوسیستم مازندران را طراحی کنیم</x:v>
      </x:c>
      <x:c r="I685" s="39" t="str">
        <x:v>پس از تثبیت پایه‌ها؛ پروژه‌محور</x:v>
      </x:c>
      <x:c r="J685" s="39" t="str">
        <x:v>سازنده زیست‌بوم + مدیر پورتفو</x:v>
      </x:c>
      <x:c r="K685" s="39" t="str"/>
      <x:c r="L685" s="39" t="str">
        <x:v>E112:P744</x:v>
      </x:c>
      <x:c r="M685" s="39" t="str"/>
      <x:c r="N685" s="39" t="str">
        <x:v>نسخه پایه ۳۱۵۰</x:v>
      </x:c>
    </x:row>
    <x:row r="686" ht="34" customHeight="1">
      <x:c r="A686" s="34" t="str">
        <x:v>☐</x:v>
      </x:c>
      <x:c r="B686" s="34" t="str">
        <x:v>MI-2056</x:v>
      </x:c>
      <x:c r="C686" s="34" t="str">
        <x:v>M3 — کسب‌وکار، شبکه و زیست‌بوم نوآوری</x:v>
      </x:c>
      <x:c r="D686" s="34" t="str">
        <x:v>H10</x:v>
      </x:c>
      <x:c r="E686" s="34" t="str">
        <x:v>زیست‌بوم نوآوری، استعداد و تیم‌سازی</x:v>
      </x:c>
      <x:c r="F686" s="34" t="str">
        <x:v>P2</x:v>
      </x:c>
      <x:c r="G686" s="34" t="str">
        <x:v>هدف/موضوع</x:v>
      </x:c>
      <x:c r="H686" s="39" t="str">
        <x:v>خلاهای اکوسیستم کجاست</x:v>
      </x:c>
      <x:c r="I686" s="39" t="str">
        <x:v>پس از تثبیت پایه‌ها؛ پروژه‌محور</x:v>
      </x:c>
      <x:c r="J686" s="39" t="str">
        <x:v>سازنده زیست‌بوم + مدیر پورتفو</x:v>
      </x:c>
      <x:c r="K686" s="39" t="str"/>
      <x:c r="L686" s="39" t="str">
        <x:v>E112:P749؛ E112:P754</x:v>
      </x:c>
      <x:c r="M686" s="39" t="str"/>
      <x:c r="N686" s="39" t="str">
        <x:v>نسخه پایه ۳۱۵۰</x:v>
      </x:c>
    </x:row>
    <x:row r="687" ht="34" customHeight="1">
      <x:c r="A687" s="34" t="str">
        <x:v>☐</x:v>
      </x:c>
      <x:c r="B687" s="34" t="str">
        <x:v>MI-2062</x:v>
      </x:c>
      <x:c r="C687" s="34" t="str">
        <x:v>M3 — کسب‌وکار، شبکه و زیست‌بوم نوآوری</x:v>
      </x:c>
      <x:c r="D687" s="34" t="str">
        <x:v>H10</x:v>
      </x:c>
      <x:c r="E687" s="34" t="str">
        <x:v>زیست‌بوم نوآوری، استعداد و تیم‌سازی</x:v>
      </x:c>
      <x:c r="F687" s="34" t="str">
        <x:v>P2</x:v>
      </x:c>
      <x:c r="G687" s="34" t="str">
        <x:v>هدف/موضوع</x:v>
      </x:c>
      <x:c r="H687" s="39" t="str">
        <x:v>در اکوسیستم های منطقه ای معمولاً این نقاط بیشترین نفوذ را دارند:</x:v>
      </x:c>
      <x:c r="I687" s="39" t="str">
        <x:v>پس از تثبیت پایه‌ها؛ پروژه‌محور</x:v>
      </x:c>
      <x:c r="J687" s="39" t="str">
        <x:v>سازنده زیست‌بوم + مدیر پورتفو</x:v>
      </x:c>
      <x:c r="K687" s="39" t="str"/>
      <x:c r="L687" s="39" t="str">
        <x:v>E112:P763</x:v>
      </x:c>
      <x:c r="M687" s="39" t="str"/>
      <x:c r="N687" s="39" t="str">
        <x:v>نسخه پایه ۳۱۵۰</x:v>
      </x:c>
    </x:row>
    <x:row r="688" ht="34" customHeight="1">
      <x:c r="A688" s="34" t="str">
        <x:v>☐</x:v>
      </x:c>
      <x:c r="B688" s="34" t="str">
        <x:v>MI-2064</x:v>
      </x:c>
      <x:c r="C688" s="34" t="str">
        <x:v>M3 — کسب‌وکار، شبکه و زیست‌بوم نوآوری</x:v>
      </x:c>
      <x:c r="D688" s="34" t="str">
        <x:v>H10</x:v>
      </x:c>
      <x:c r="E688" s="34" t="str">
        <x:v>زیست‌بوم نوآوری، استعداد و تیم‌سازی</x:v>
      </x:c>
      <x:c r="F688" s="34" t="str">
        <x:v>P2</x:v>
      </x:c>
      <x:c r="G688" s="34" t="str">
        <x:v>هدف/موضوع</x:v>
      </x:c>
      <x:c r="H688" s="39" t="str">
        <x:v>تقریباً همیشه بزرگ ترین مخزن استعداد هستند.</x:v>
      </x:c>
      <x:c r="I688" s="39" t="str">
        <x:v>پس از تثبیت پایه‌ها؛ پروژه‌محور</x:v>
      </x:c>
      <x:c r="J688" s="39" t="str">
        <x:v>سازنده زیست‌بوم + مدیر پورتفو</x:v>
      </x:c>
      <x:c r="K688" s="39" t="str"/>
      <x:c r="L688" s="39" t="str">
        <x:v>E112:P766</x:v>
      </x:c>
      <x:c r="M688" s="39" t="str"/>
      <x:c r="N688" s="39" t="str">
        <x:v>نسخه پایه ۳۱۵۰</x:v>
      </x:c>
    </x:row>
    <x:row r="689" ht="34" customHeight="1">
      <x:c r="A689" s="34" t="str">
        <x:v>☐</x:v>
      </x:c>
      <x:c r="B689" s="34" t="str">
        <x:v>MI-2091</x:v>
      </x:c>
      <x:c r="C689" s="34" t="str">
        <x:v>M3 — کسب‌وکار، شبکه و زیست‌بوم نوآوری</x:v>
      </x:c>
      <x:c r="D689" s="34" t="str">
        <x:v>H10</x:v>
      </x:c>
      <x:c r="E689" s="34" t="str">
        <x:v>زیست‌بوم نوآوری، استعداد و تیم‌سازی</x:v>
      </x:c>
      <x:c r="F689" s="34" t="str">
        <x:v>P2</x:v>
      </x:c>
      <x:c r="G689" s="34" t="str">
        <x:v>هدف/موضوع</x:v>
      </x:c>
      <x:c r="H689" s="39" t="str">
        <x:v>در هر اکوسیستم 10 تا 30 نفر وجود دارند که:</x:v>
      </x:c>
      <x:c r="I689" s="39" t="str">
        <x:v>پس از تثبیت پایه‌ها؛ پروژه‌محور</x:v>
      </x:c>
      <x:c r="J689" s="39" t="str">
        <x:v>سازنده زیست‌بوم + مدیر پورتفو</x:v>
      </x:c>
      <x:c r="K689" s="39" t="str"/>
      <x:c r="L689" s="39" t="str">
        <x:v>E112:P825</x:v>
      </x:c>
      <x:c r="M689" s="39" t="str"/>
      <x:c r="N689" s="39" t="str">
        <x:v>نسخه پایه ۳۱۵۰</x:v>
      </x:c>
    </x:row>
    <x:row r="690" ht="34" customHeight="1">
      <x:c r="A690" s="34" t="str">
        <x:v>☐</x:v>
      </x:c>
      <x:c r="B690" s="34" t="str">
        <x:v>MI-2101</x:v>
      </x:c>
      <x:c r="C690" s="34" t="str">
        <x:v>M3 — کسب‌وکار، شبکه و زیست‌بوم نوآوری</x:v>
      </x:c>
      <x:c r="D690" s="34" t="str">
        <x:v>H10</x:v>
      </x:c>
      <x:c r="E690" s="34" t="str">
        <x:v>زیست‌بوم نوآوری، استعداد و تیم‌سازی</x:v>
      </x:c>
      <x:c r="F690" s="34" t="str">
        <x:v>P2</x:v>
      </x:c>
      <x:c r="G690" s="34" t="str">
        <x:v>هدف/موضوع</x:v>
      </x:c>
      <x:c r="H690" s="39" t="str">
        <x:v>2. خلاهای رایج اکوسیستم (Ecosystem Gaps)</x:v>
      </x:c>
      <x:c r="I690" s="39" t="str">
        <x:v>پس از تثبیت پایه‌ها؛ پروژه‌محور</x:v>
      </x:c>
      <x:c r="J690" s="39" t="str">
        <x:v>سازنده زیست‌بوم + مدیر پورتفو</x:v>
      </x:c>
      <x:c r="K690" s="39" t="str"/>
      <x:c r="L690" s="39" t="str">
        <x:v>E112:P839</x:v>
      </x:c>
      <x:c r="M690" s="39" t="str"/>
      <x:c r="N690" s="39" t="str">
        <x:v>نسخه پایه ۳۱۵۰</x:v>
      </x:c>
    </x:row>
    <x:row r="691" ht="34" customHeight="1">
      <x:c r="A691" s="34" t="str">
        <x:v>☐</x:v>
      </x:c>
      <x:c r="B691" s="34" t="str">
        <x:v>MI-2112</x:v>
      </x:c>
      <x:c r="C691" s="34" t="str">
        <x:v>M3 — کسب‌وکار، شبکه و زیست‌بوم نوآوری</x:v>
      </x:c>
      <x:c r="D691" s="34" t="str">
        <x:v>H10</x:v>
      </x:c>
      <x:c r="E691" s="34" t="str">
        <x:v>زیست‌بوم نوآوری، استعداد و تیم‌سازی</x:v>
      </x:c>
      <x:c r="F691" s="34" t="str">
        <x:v>P2</x:v>
      </x:c>
      <x:c r="G691" s="34" t="str">
        <x:v>هدف/موضوع</x:v>
      </x:c>
      <x:c r="H691" s="39" t="str">
        <x:v>3. نبود جامعه سازندگان (Builder Community)</x:v>
      </x:c>
      <x:c r="I691" s="39" t="str">
        <x:v>پس از تثبیت پایه‌ها؛ پروژه‌محور</x:v>
      </x:c>
      <x:c r="J691" s="39" t="str">
        <x:v>سازنده زیست‌بوم + مدیر پورتفو</x:v>
      </x:c>
      <x:c r="K691" s="39" t="str"/>
      <x:c r="L691" s="39" t="str">
        <x:v>E112:P858</x:v>
      </x:c>
      <x:c r="M691" s="39" t="str"/>
      <x:c r="N691" s="39" t="str">
        <x:v>نسخه پایه ۳۱۵۰</x:v>
      </x:c>
    </x:row>
    <x:row r="692" ht="34" customHeight="1">
      <x:c r="A692" s="34" t="str">
        <x:v>☐</x:v>
      </x:c>
      <x:c r="B692" s="34" t="str">
        <x:v>MI-2119</x:v>
      </x:c>
      <x:c r="C692" s="34" t="str">
        <x:v>M3 — کسب‌وکار، شبکه و زیست‌بوم نوآوری</x:v>
      </x:c>
      <x:c r="D692" s="34" t="str">
        <x:v>H10</x:v>
      </x:c>
      <x:c r="E692" s="34" t="str">
        <x:v>زیست‌بوم نوآوری، استعداد و تیم‌سازی</x:v>
      </x:c>
      <x:c r="F692" s="34" t="str">
        <x:v>P2</x:v>
      </x:c>
      <x:c r="G692" s="34" t="str">
        <x:v>هدف/موضوع</x:v>
      </x:c>
      <x:c r="H692" s="39" t="str">
        <x:v>4. کمبود منتورهای واقعی</x:v>
      </x:c>
      <x:c r="I692" s="39" t="str">
        <x:v>پس از تثبیت پایه‌ها؛ پروژه‌محور</x:v>
      </x:c>
      <x:c r="J692" s="39" t="str">
        <x:v>سازنده زیست‌بوم + مدیر پورتفو</x:v>
      </x:c>
      <x:c r="K692" s="39" t="str"/>
      <x:c r="L692" s="39" t="str">
        <x:v>E112:P868</x:v>
      </x:c>
      <x:c r="M692" s="39" t="str"/>
      <x:c r="N692" s="39" t="str">
        <x:v>نسخه پایه ۳۱۵۰</x:v>
      </x:c>
    </x:row>
    <x:row r="693" ht="34" customHeight="1">
      <x:c r="A693" s="34" t="str">
        <x:v>☐</x:v>
      </x:c>
      <x:c r="B693" s="34" t="str">
        <x:v>MI-2123</x:v>
      </x:c>
      <x:c r="C693" s="34" t="str">
        <x:v>M3 — کسب‌وکار، شبکه و زیست‌بوم نوآوری</x:v>
      </x:c>
      <x:c r="D693" s="34" t="str">
        <x:v>H10</x:v>
      </x:c>
      <x:c r="E693" s="34" t="str">
        <x:v>زیست‌بوم نوآوری، استعداد و تیم‌سازی</x:v>
      </x:c>
      <x:c r="F693" s="34" t="str">
        <x:v>P2</x:v>
      </x:c>
      <x:c r="G693" s="34" t="str">
        <x:v>هدف/موضوع</x:v>
      </x:c>
      <x:c r="H693" s="39" t="str">
        <x:v>اکوسیستم نیاز دارد به:</x:v>
      </x:c>
      <x:c r="I693" s="39" t="str">
        <x:v>پس از تثبیت پایه‌ها؛ پروژه‌محور</x:v>
      </x:c>
      <x:c r="J693" s="39" t="str">
        <x:v>سازنده زیست‌بوم + مدیر پورتفو</x:v>
      </x:c>
      <x:c r="K693" s="39" t="str"/>
      <x:c r="L693" s="39" t="str">
        <x:v>E112:P875</x:v>
      </x:c>
      <x:c r="M693" s="39" t="str"/>
      <x:c r="N693" s="39" t="str">
        <x:v>نسخه پایه ۳۱۵۰</x:v>
      </x:c>
    </x:row>
    <x:row r="694" ht="34" customHeight="1">
      <x:c r="A694" s="34" t="str">
        <x:v>☐</x:v>
      </x:c>
      <x:c r="B694" s="34" t="str">
        <x:v>MI-2127</x:v>
      </x:c>
      <x:c r="C694" s="34" t="str">
        <x:v>M3 — کسب‌وکار، شبکه و زیست‌بوم نوآوری</x:v>
      </x:c>
      <x:c r="D694" s="34" t="str">
        <x:v>H10</x:v>
      </x:c>
      <x:c r="E694" s="34" t="str">
        <x:v>زیست‌بوم نوآوری، استعداد و تیم‌سازی</x:v>
      </x:c>
      <x:c r="F694" s="34" t="str">
        <x:v>P2</x:v>
      </x:c>
      <x:c r="G694" s="34" t="str">
        <x:v>هدف/موضوع</x:v>
      </x:c>
      <x:c r="H694" s="39" t="str">
        <x:v>اکوسیستم ها وقتی رشد می کنند که:</x:v>
      </x:c>
      <x:c r="I694" s="39" t="str">
        <x:v>پس از تثبیت پایه‌ها؛ پروژه‌محور</x:v>
      </x:c>
      <x:c r="J694" s="39" t="str">
        <x:v>سازنده زیست‌بوم + مدیر پورتفو</x:v>
      </x:c>
      <x:c r="K694" s="39" t="str"/>
      <x:c r="L694" s="39" t="str">
        <x:v>E112:P882</x:v>
      </x:c>
      <x:c r="M694" s="39" t="str"/>
      <x:c r="N694" s="39" t="str">
        <x:v>نسخه پایه ۳۱۵۰</x:v>
      </x:c>
    </x:row>
    <x:row r="695" ht="34" customHeight="1">
      <x:c r="A695" s="34" t="str">
        <x:v>☐</x:v>
      </x:c>
      <x:c r="B695" s="34" t="str">
        <x:v>MI-2138</x:v>
      </x:c>
      <x:c r="C695" s="34" t="str">
        <x:v>M3 — کسب‌وکار، شبکه و زیست‌بوم نوآوری</x:v>
      </x:c>
      <x:c r="D695" s="34" t="str">
        <x:v>H10</x:v>
      </x:c>
      <x:c r="E695" s="34" t="str">
        <x:v>زیست‌بوم نوآوری، استعداد و تیم‌سازی</x:v>
      </x:c>
      <x:c r="F695" s="34" t="str">
        <x:v>P2</x:v>
      </x:c>
      <x:c r="G695" s="34" t="str">
        <x:v>هدف/موضوع</x:v>
      </x:c>
      <x:c r="H695" s="39" t="str">
        <x:v>3. Builder Community</x:v>
      </x:c>
      <x:c r="I695" s="39" t="str">
        <x:v>پس از تثبیت پایه‌ها؛ پروژه‌محور</x:v>
      </x:c>
      <x:c r="J695" s="39" t="str">
        <x:v>سازنده زیست‌بوم + مدیر پورتفو</x:v>
      </x:c>
      <x:c r="K695" s="39" t="str"/>
      <x:c r="L695" s="39" t="str">
        <x:v>E112:P907؛ E112:P1183؛ E112:P3558</x:v>
      </x:c>
      <x:c r="M695" s="39" t="str"/>
      <x:c r="N695" s="39" t="str">
        <x:v>نسخه پایه ۳۱۵۰</x:v>
      </x:c>
    </x:row>
    <x:row r="696" ht="34" customHeight="1">
      <x:c r="A696" s="34" t="str">
        <x:v>☐</x:v>
      </x:c>
      <x:c r="B696" s="34" t="str">
        <x:v>MI-2153</x:v>
      </x:c>
      <x:c r="C696" s="34" t="str">
        <x:v>M3 — کسب‌وکار، شبکه و زیست‌بوم نوآوری</x:v>
      </x:c>
      <x:c r="D696" s="34" t="str">
        <x:v>H10</x:v>
      </x:c>
      <x:c r="E696" s="34" t="str">
        <x:v>زیست‌بوم نوآوری، استعداد و تیم‌سازی</x:v>
      </x:c>
      <x:c r="F696" s="34" t="str">
        <x:v>P2</x:v>
      </x:c>
      <x:c r="G696" s="34" t="str">
        <x:v>هدف/موضوع</x:v>
      </x:c>
      <x:c r="H696" s="39" t="str">
        <x:v>دانشگاه ها → پارک علم و فناوری</x:v>
      </x:c>
      <x:c r="I696" s="39" t="str">
        <x:v>پس از تثبیت پایه‌ها؛ پروژه‌محور</x:v>
      </x:c>
      <x:c r="J696" s="39" t="str">
        <x:v>سازنده زیست‌بوم + مدیر پورتفو</x:v>
      </x:c>
      <x:c r="K696" s="39" t="str"/>
      <x:c r="L696" s="39" t="str">
        <x:v>E112:P937؛ E112:P1212</x:v>
      </x:c>
      <x:c r="M696" s="39" t="str"/>
      <x:c r="N696" s="39" t="str">
        <x:v>نسخه پایه ۳۱۵۰</x:v>
      </x:c>
    </x:row>
    <x:row r="697" ht="34" customHeight="1">
      <x:c r="A697" s="34" t="str">
        <x:v>☐</x:v>
      </x:c>
      <x:c r="B697" s="34" t="str">
        <x:v>MI-2155</x:v>
      </x:c>
      <x:c r="C697" s="34" t="str">
        <x:v>M3 — کسب‌وکار، شبکه و زیست‌بوم نوآوری</x:v>
      </x:c>
      <x:c r="D697" s="34" t="str">
        <x:v>H10</x:v>
      </x:c>
      <x:c r="E697" s="34" t="str">
        <x:v>زیست‌بوم نوآوری، استعداد و تیم‌سازی</x:v>
      </x:c>
      <x:c r="F697" s="34" t="str">
        <x:v>P2</x:v>
      </x:c>
      <x:c r="G697" s="34" t="str">
        <x:v>هدف/موضوع</x:v>
      </x:c>
      <x:c r="H697" s="39" t="str">
        <x:v>منتورها ← تیم های دانشجویی</x:v>
      </x:c>
      <x:c r="I697" s="39" t="str">
        <x:v>پس از تثبیت پایه‌ها؛ پروژه‌محور</x:v>
      </x:c>
      <x:c r="J697" s="39" t="str">
        <x:v>سازنده زیست‌بوم + مدیر پورتفو</x:v>
      </x:c>
      <x:c r="K697" s="39" t="str"/>
      <x:c r="L697" s="39" t="str">
        <x:v>E112:P943؛ E112:P1218</x:v>
      </x:c>
      <x:c r="M697" s="39" t="str"/>
      <x:c r="N697" s="39" t="str">
        <x:v>نسخه پایه ۳۱۵۰</x:v>
      </x:c>
    </x:row>
    <x:row r="698" ht="34" customHeight="1">
      <x:c r="A698" s="34" t="str">
        <x:v>☐</x:v>
      </x:c>
      <x:c r="B698" s="34" t="str">
        <x:v>MI-2157</x:v>
      </x:c>
      <x:c r="C698" s="34" t="str">
        <x:v>M3 — کسب‌وکار، شبکه و زیست‌بوم نوآوری</x:v>
      </x:c>
      <x:c r="D698" s="34" t="str">
        <x:v>H10</x:v>
      </x:c>
      <x:c r="E698" s="34" t="str">
        <x:v>زیست‌بوم نوآوری، استعداد و تیم‌سازی</x:v>
      </x:c>
      <x:c r="F698" s="34" t="str">
        <x:v>P2</x:v>
      </x:c>
      <x:c r="G698" s="34" t="str">
        <x:v>هدف/موضوع</x:v>
      </x:c>
      <x:c r="H698" s="39" t="str">
        <x:v>رسانه ها → اکوسیستم</x:v>
      </x:c>
      <x:c r="I698" s="39" t="str">
        <x:v>پس از تثبیت پایه‌ها؛ پروژه‌محور</x:v>
      </x:c>
      <x:c r="J698" s="39" t="str">
        <x:v>سازنده زیست‌بوم + مدیر پورتفو</x:v>
      </x:c>
      <x:c r="K698" s="39" t="str"/>
      <x:c r="L698" s="39" t="str">
        <x:v>E112:P949؛ E112:P1165؛ E112:P1220</x:v>
      </x:c>
      <x:c r="M698" s="39" t="str"/>
      <x:c r="N698" s="39" t="str">
        <x:v>نسخه پایه ۳۱۵۰</x:v>
      </x:c>
    </x:row>
    <x:row r="699" ht="34" customHeight="1">
      <x:c r="A699" s="34" t="str">
        <x:v>☐</x:v>
      </x:c>
      <x:c r="B699" s="34" t="str">
        <x:v>MI-2161</x:v>
      </x:c>
      <x:c r="C699" s="34" t="str">
        <x:v>M3 — کسب‌وکار، شبکه و زیست‌بوم نوآوری</x:v>
      </x:c>
      <x:c r="D699" s="34" t="str">
        <x:v>H10</x:v>
      </x:c>
      <x:c r="E699" s="34" t="str">
        <x:v>زیست‌بوم نوآوری، استعداد و تیم‌سازی</x:v>
      </x:c>
      <x:c r="F699" s="34" t="str">
        <x:v>P2</x:v>
      </x:c>
      <x:c r="G699" s="34" t="str">
        <x:v>هدف/موضوع</x:v>
      </x:c>
      <x:c r="H699" s="39" t="str">
        <x:v>نقشه استعداد استان</x:v>
      </x:c>
      <x:c r="I699" s="39" t="str">
        <x:v>پس از تثبیت پایه‌ها؛ پروژه‌محور</x:v>
      </x:c>
      <x:c r="J699" s="39" t="str">
        <x:v>سازنده زیست‌بوم + مدیر پورتفو</x:v>
      </x:c>
      <x:c r="K699" s="39" t="str"/>
      <x:c r="L699" s="39" t="str">
        <x:v>E112:P955</x:v>
      </x:c>
      <x:c r="M699" s="39" t="str"/>
      <x:c r="N699" s="39" t="str">
        <x:v>نسخه پایه ۳۱۵۰</x:v>
      </x:c>
    </x:row>
    <x:row r="700" ht="34" customHeight="1">
      <x:c r="A700" s="34" t="str">
        <x:v>☐</x:v>
      </x:c>
      <x:c r="B700" s="34" t="str">
        <x:v>MI-2167</x:v>
      </x:c>
      <x:c r="C700" s="34" t="str">
        <x:v>M3 — کسب‌وکار، شبکه و زیست‌بوم نوآوری</x:v>
      </x:c>
      <x:c r="D700" s="34" t="str">
        <x:v>H10</x:v>
      </x:c>
      <x:c r="E700" s="34" t="str">
        <x:v>زیست‌بوم نوآوری، استعداد و تیم‌سازی</x:v>
      </x:c>
      <x:c r="F700" s="34" t="str">
        <x:v>P2</x:v>
      </x:c>
      <x:c r="G700" s="34" t="str">
        <x:v>هدف/موضوع</x:v>
      </x:c>
      <x:c r="H700" s="39" t="str">
        <x:v>یک نکته جالب که در اکوسیستم ها دیده می شود:</x:v>
      </x:c>
      <x:c r="I700" s="39" t="str">
        <x:v>پس از تثبیت پایه‌ها؛ پروژه‌محور</x:v>
      </x:c>
      <x:c r="J700" s="39" t="str">
        <x:v>سازنده زیست‌بوم + مدیر پورتفو</x:v>
      </x:c>
      <x:c r="K700" s="39" t="str"/>
      <x:c r="L700" s="39" t="str">
        <x:v>E112:P965</x:v>
      </x:c>
      <x:c r="M700" s="39" t="str"/>
      <x:c r="N700" s="39" t="str">
        <x:v>نسخه پایه ۳۱۵۰</x:v>
      </x:c>
    </x:row>
    <x:row r="701" ht="34" customHeight="1">
      <x:c r="A701" s="34" t="str">
        <x:v>☐</x:v>
      </x:c>
      <x:c r="B701" s="34" t="str">
        <x:v>MI-2172</x:v>
      </x:c>
      <x:c r="C701" s="34" t="str">
        <x:v>M3 — کسب‌وکار، شبکه و زیست‌بوم نوآوری</x:v>
      </x:c>
      <x:c r="D701" s="34" t="str">
        <x:v>H10</x:v>
      </x:c>
      <x:c r="E701" s="34" t="str">
        <x:v>زیست‌بوم نوآوری، استعداد و تیم‌سازی</x:v>
      </x:c>
      <x:c r="F701" s="34" t="str">
        <x:v>P2</x:v>
      </x:c>
      <x:c r="G701" s="34" t="str">
        <x:v>هدف/موضوع</x:v>
      </x:c>
      <x:c r="H701" s="39" t="str">
        <x:v>نقشه کامل اکوسیستم نوآوری مازندران (Ecosystem Map)</x:v>
      </x:c>
      <x:c r="I701" s="39" t="str">
        <x:v>پس از تثبیت پایه‌ها؛ پروژه‌محور</x:v>
      </x:c>
      <x:c r="J701" s="39" t="str">
        <x:v>سازنده زیست‌بوم + مدیر پورتفو</x:v>
      </x:c>
      <x:c r="K701" s="39" t="str"/>
      <x:c r="L701" s="39" t="str">
        <x:v>E112:P975</x:v>
      </x:c>
      <x:c r="M701" s="39" t="str"/>
      <x:c r="N701" s="39" t="str">
        <x:v>نسخه پایه ۳۱۵۰</x:v>
      </x:c>
    </x:row>
    <x:row r="702" ht="34" customHeight="1">
      <x:c r="A702" s="34" t="str">
        <x:v>☐</x:v>
      </x:c>
      <x:c r="B702" s="34" t="str">
        <x:v>MI-2174</x:v>
      </x:c>
      <x:c r="C702" s="34" t="str">
        <x:v>M3 — کسب‌وکار، شبکه و زیست‌بوم نوآوری</x:v>
      </x:c>
      <x:c r="D702" s="34" t="str">
        <x:v>H10</x:v>
      </x:c>
      <x:c r="E702" s="34" t="str">
        <x:v>زیست‌بوم نوآوری، استعداد و تیم‌سازی</x:v>
      </x:c>
      <x:c r="F702" s="34" t="str">
        <x:v>P2</x:v>
      </x:c>
      <x:c r="G702" s="34" t="str">
        <x:v>هدف/موضوع</x:v>
      </x:c>
      <x:c r="H702" s="39" t="str">
        <x:v>50 گره اصلی اکوسیستم کجا هستند</x:v>
      </x:c>
      <x:c r="I702" s="39" t="str">
        <x:v>پس از تثبیت پایه‌ها؛ پروژه‌محور</x:v>
      </x:c>
      <x:c r="J702" s="39" t="str">
        <x:v>سازنده زیست‌بوم + مدیر پورتفو</x:v>
      </x:c>
      <x:c r="K702" s="39" t="str"/>
      <x:c r="L702" s="39" t="str">
        <x:v>E112:P979</x:v>
      </x:c>
      <x:c r="M702" s="39" t="str"/>
      <x:c r="N702" s="39" t="str">
        <x:v>نسخه پایه ۳۱۵۰</x:v>
      </x:c>
    </x:row>
    <x:row r="703" ht="34" customHeight="1">
      <x:c r="A703" s="34" t="str">
        <x:v>☐</x:v>
      </x:c>
      <x:c r="B703" s="34" t="str">
        <x:v>MI-2181</x:v>
      </x:c>
      <x:c r="C703" s="34" t="str">
        <x:v>M3 — کسب‌وکار، شبکه و زیست‌بوم نوآوری</x:v>
      </x:c>
      <x:c r="D703" s="34" t="str">
        <x:v>H10</x:v>
      </x:c>
      <x:c r="E703" s="34" t="str">
        <x:v>زیست‌بوم نوآوری، استعداد و تیم‌سازی</x:v>
      </x:c>
      <x:c r="F703" s="34" t="str">
        <x:v>P2</x:v>
      </x:c>
      <x:c r="G703" s="34" t="str">
        <x:v>هدف/موضوع</x:v>
      </x:c>
      <x:c r="H703" s="39" t="str">
        <x:v>هسته اکوسیستم: خود مازندران</x:v>
      </x:c>
      <x:c r="I703" s="39" t="str">
        <x:v>پس از تثبیت پایه‌ها؛ پروژه‌محور</x:v>
      </x:c>
      <x:c r="J703" s="39" t="str">
        <x:v>سازنده زیست‌بوم + مدیر پورتفو</x:v>
      </x:c>
      <x:c r="K703" s="39" t="str"/>
      <x:c r="L703" s="39" t="str">
        <x:v>E112:P989</x:v>
      </x:c>
      <x:c r="M703" s="39" t="str"/>
      <x:c r="N703" s="39" t="str">
        <x:v>نسخه پایه ۳۱۵۰</x:v>
      </x:c>
    </x:row>
    <x:row r="704" ht="34" customHeight="1">
      <x:c r="A704" s="34" t="str">
        <x:v>☐</x:v>
      </x:c>
      <x:c r="B704" s="34" t="str">
        <x:v>MI-2184</x:v>
      </x:c>
      <x:c r="C704" s="34" t="str">
        <x:v>M3 — کسب‌وکار، شبکه و زیست‌بوم نوآوری</x:v>
      </x:c>
      <x:c r="D704" s="34" t="str">
        <x:v>H10</x:v>
      </x:c>
      <x:c r="E704" s="34" t="str">
        <x:v>زیست‌بوم نوآوری، استعداد و تیم‌سازی</x:v>
      </x:c>
      <x:c r="F704" s="34" t="str">
        <x:v>P2</x:v>
      </x:c>
      <x:c r="G704" s="34" t="str">
        <x:v>هدف/موضوع</x:v>
      </x:c>
      <x:c r="H704" s="39" t="str">
        <x:v>این ها گره هایی هستند که باید مرکز نقشه اکوسیستم باشند.</x:v>
      </x:c>
      <x:c r="I704" s="39" t="str">
        <x:v>پس از تثبیت پایه‌ها؛ پروژه‌محور</x:v>
      </x:c>
      <x:c r="J704" s="39" t="str">
        <x:v>سازنده زیست‌بوم + مدیر پورتفو</x:v>
      </x:c>
      <x:c r="K704" s="39" t="str"/>
      <x:c r="L704" s="39" t="str">
        <x:v>E112:P994</x:v>
      </x:c>
      <x:c r="M704" s="39" t="str"/>
      <x:c r="N704" s="39" t="str">
        <x:v>نسخه پایه ۳۱۵۰</x:v>
      </x:c>
    </x:row>
    <x:row r="705" ht="34" customHeight="1">
      <x:c r="A705" s="34" t="str">
        <x:v>☐</x:v>
      </x:c>
      <x:c r="B705" s="34" t="str">
        <x:v>MI-2193</x:v>
      </x:c>
      <x:c r="C705" s="34" t="str">
        <x:v>M3 — کسب‌وکار، شبکه و زیست‌بوم نوآوری</x:v>
      </x:c>
      <x:c r="D705" s="34" t="str">
        <x:v>H10</x:v>
      </x:c>
      <x:c r="E705" s="34" t="str">
        <x:v>زیست‌بوم نوآوری، استعداد و تیم‌سازی</x:v>
      </x:c>
      <x:c r="F705" s="34" t="str">
        <x:v>P2</x:v>
      </x:c>
      <x:c r="G705" s="34" t="str">
        <x:v>هدف/موضوع</x:v>
      </x:c>
      <x:c r="H705" s="39" t="str">
        <x:v>تیم های دانشجویی</x:v>
      </x:c>
      <x:c r="I705" s="39" t="str">
        <x:v>پس از تثبیت پایه‌ها؛ پروژه‌محور</x:v>
      </x:c>
      <x:c r="J705" s="39" t="str">
        <x:v>سازنده زیست‌بوم + مدیر پورتفو</x:v>
      </x:c>
      <x:c r="K705" s="39" t="str"/>
      <x:c r="L705" s="39" t="str">
        <x:v>E112:P1007</x:v>
      </x:c>
      <x:c r="M705" s="39" t="str"/>
      <x:c r="N705" s="39" t="str">
        <x:v>نسخه پایه ۳۱۵۰</x:v>
      </x:c>
    </x:row>
    <x:row r="706" ht="34" customHeight="1">
      <x:c r="A706" s="34" t="str">
        <x:v>☐</x:v>
      </x:c>
      <x:c r="B706" s="34" t="str">
        <x:v>MI-2195</x:v>
      </x:c>
      <x:c r="C706" s="34" t="str">
        <x:v>M3 — کسب‌وکار، شبکه و زیست‌بوم نوآوری</x:v>
      </x:c>
      <x:c r="D706" s="34" t="str">
        <x:v>H10</x:v>
      </x:c>
      <x:c r="E706" s="34" t="str">
        <x:v>زیست‌بوم نوآوری، استعداد و تیم‌سازی</x:v>
      </x:c>
      <x:c r="F706" s="34" t="str">
        <x:v>P2</x:v>
      </x:c>
      <x:c r="G706" s="34" t="str">
        <x:v>هدف/موضوع</x:v>
      </x:c>
      <x:c r="H706" s="39" t="str">
        <x:v>پارک علم و فناوری مازندران</x:v>
      </x:c>
      <x:c r="I706" s="39" t="str">
        <x:v>پس از تثبیت پایه‌ها؛ پروژه‌محور</x:v>
      </x:c>
      <x:c r="J706" s="39" t="str">
        <x:v>سازنده زیست‌بوم + مدیر پورتفو</x:v>
      </x:c>
      <x:c r="K706" s="39" t="str"/>
      <x:c r="L706" s="39" t="str">
        <x:v>E112:P1011؛ E112:P1124</x:v>
      </x:c>
      <x:c r="M706" s="39" t="str"/>
      <x:c r="N706" s="39" t="str">
        <x:v>نسخه پایه ۳۱۵۰</x:v>
      </x:c>
    </x:row>
    <x:row r="707" ht="34" customHeight="1">
      <x:c r="A707" s="34" t="str">
        <x:v>☐</x:v>
      </x:c>
      <x:c r="B707" s="34" t="str">
        <x:v>MI-2220</x:v>
      </x:c>
      <x:c r="C707" s="34" t="str">
        <x:v>M3 — کسب‌وکار، شبکه و زیست‌بوم نوآوری</x:v>
      </x:c>
      <x:c r="D707" s="34" t="str">
        <x:v>H10</x:v>
      </x:c>
      <x:c r="E707" s="34" t="str">
        <x:v>زیست‌بوم نوآوری، استعداد و تیم‌سازی</x:v>
      </x:c>
      <x:c r="F707" s="34" t="str">
        <x:v>P2</x:v>
      </x:c>
      <x:c r="G707" s="34" t="str">
        <x:v>هدف/موضوع</x:v>
      </x:c>
      <x:c r="H707" s="39" t="str">
        <x:v>اکوسیستم استارتاپی در حال رشد</x:v>
      </x:c>
      <x:c r="I707" s="39" t="str">
        <x:v>پس از تثبیت پایه‌ها؛ پروژه‌محور</x:v>
      </x:c>
      <x:c r="J707" s="39" t="str">
        <x:v>سازنده زیست‌بوم + مدیر پورتفو</x:v>
      </x:c>
      <x:c r="K707" s="39" t="str"/>
      <x:c r="L707" s="39" t="str">
        <x:v>E112:P1066</x:v>
      </x:c>
      <x:c r="M707" s="39" t="str"/>
      <x:c r="N707" s="39" t="str">
        <x:v>نسخه پایه ۳۱۵۰</x:v>
      </x:c>
    </x:row>
    <x:row r="708" ht="34" customHeight="1">
      <x:c r="A708" s="34" t="str">
        <x:v>☐</x:v>
      </x:c>
      <x:c r="B708" s="34" t="str">
        <x:v>MI-2225</x:v>
      </x:c>
      <x:c r="C708" s="34" t="str">
        <x:v>M3 — کسب‌وکار، شبکه و زیست‌بوم نوآوری</x:v>
      </x:c>
      <x:c r="D708" s="34" t="str">
        <x:v>H10</x:v>
      </x:c>
      <x:c r="E708" s="34" t="str">
        <x:v>زیست‌بوم نوآوری، استعداد و تیم‌سازی</x:v>
      </x:c>
      <x:c r="F708" s="34" t="str">
        <x:v>P2</x:v>
      </x:c>
      <x:c r="G708" s="34" t="str">
        <x:v>هدف/موضوع</x:v>
      </x:c>
      <x:c r="H708" s="39" t="str">
        <x:v>منتور</x:v>
      </x:c>
      <x:c r="I708" s="39" t="str">
        <x:v>پس از تثبیت پایه‌ها؛ پروژه‌محور</x:v>
      </x:c>
      <x:c r="J708" s="39" t="str">
        <x:v>سازنده زیست‌بوم + مدیر پورتفو</x:v>
      </x:c>
      <x:c r="K708" s="39" t="str"/>
      <x:c r="L708" s="39" t="str">
        <x:v>E112:P1079؛ E112:P2224</x:v>
      </x:c>
      <x:c r="M708" s="39" t="str"/>
      <x:c r="N708" s="39" t="str">
        <x:v>نسخه پایه ۳۱۵۰</x:v>
      </x:c>
    </x:row>
    <x:row r="709" ht="34" customHeight="1">
      <x:c r="A709" s="34" t="str">
        <x:v>☐</x:v>
      </x:c>
      <x:c r="B709" s="34" t="str">
        <x:v>MI-2232</x:v>
      </x:c>
      <x:c r="C709" s="34" t="str">
        <x:v>M3 — کسب‌وکار، شبکه و زیست‌بوم نوآوری</x:v>
      </x:c>
      <x:c r="D709" s="34" t="str">
        <x:v>H10</x:v>
      </x:c>
      <x:c r="E709" s="34" t="str">
        <x:v>زیست‌بوم نوآوری، استعداد و تیم‌سازی</x:v>
      </x:c>
      <x:c r="F709" s="34" t="str">
        <x:v>P2</x:v>
      </x:c>
      <x:c r="G709" s="34" t="str">
        <x:v>هدف/موضوع</x:v>
      </x:c>
      <x:c r="H709" s="39" t="str">
        <x:v>تیم های فنی</x:v>
      </x:c>
      <x:c r="I709" s="39" t="str">
        <x:v>پس از تثبیت پایه‌ها؛ پروژه‌محور</x:v>
      </x:c>
      <x:c r="J709" s="39" t="str">
        <x:v>سازنده زیست‌بوم + مدیر پورتفو</x:v>
      </x:c>
      <x:c r="K709" s="39" t="str"/>
      <x:c r="L709" s="39" t="str">
        <x:v>E112:P1098</x:v>
      </x:c>
      <x:c r="M709" s="39" t="str"/>
      <x:c r="N709" s="39" t="str">
        <x:v>نسخه پایه ۳۱۵۰</x:v>
      </x:c>
    </x:row>
    <x:row r="710" ht="34" customHeight="1">
      <x:c r="A710" s="34" t="str">
        <x:v>☐</x:v>
      </x:c>
      <x:c r="B710" s="34" t="str">
        <x:v>MI-2234</x:v>
      </x:c>
      <x:c r="C710" s="34" t="str">
        <x:v>M3 — کسب‌وکار، شبکه و زیست‌بوم نوآوری</x:v>
      </x:c>
      <x:c r="D710" s="34" t="str">
        <x:v>H10</x:v>
      </x:c>
      <x:c r="E710" s="34" t="str">
        <x:v>زیست‌بوم نوآوری، استعداد و تیم‌سازی</x:v>
      </x:c>
      <x:c r="F710" s="34" t="str">
        <x:v>P2</x:v>
      </x:c>
      <x:c r="G710" s="34" t="str">
        <x:v>هدف/موضوع</x:v>
      </x:c>
      <x:c r="H710" s="39" t="str">
        <x:v>این حلقه برای تقویت اکوسیستم استفاده می شود.</x:v>
      </x:c>
      <x:c r="I710" s="39" t="str">
        <x:v>پس از تثبیت پایه‌ها؛ پروژه‌محور</x:v>
      </x:c>
      <x:c r="J710" s="39" t="str">
        <x:v>سازنده زیست‌بوم + مدیر پورتفو</x:v>
      </x:c>
      <x:c r="K710" s="39" t="str"/>
      <x:c r="L710" s="39" t="str">
        <x:v>E112:P1102</x:v>
      </x:c>
      <x:c r="M710" s="39" t="str"/>
      <x:c r="N710" s="39" t="str">
        <x:v>نسخه پایه ۳۱۵۰</x:v>
      </x:c>
    </x:row>
    <x:row r="711" ht="34" customHeight="1">
      <x:c r="A711" s="34" t="str">
        <x:v>☐</x:v>
      </x:c>
      <x:c r="B711" s="34" t="str">
        <x:v>MI-2240</x:v>
      </x:c>
      <x:c r="C711" s="34" t="str">
        <x:v>M3 — کسب‌وکار، شبکه و زیست‌بوم نوآوری</x:v>
      </x:c>
      <x:c r="D711" s="34" t="str">
        <x:v>H10</x:v>
      </x:c>
      <x:c r="E711" s="34" t="str">
        <x:v>زیست‌بوم نوآوری، استعداد و تیم‌سازی</x:v>
      </x:c>
      <x:c r="F711" s="34" t="str">
        <x:v>P2</x:v>
      </x:c>
      <x:c r="G711" s="34" t="str">
        <x:v>هدف/موضوع</x:v>
      </x:c>
      <x:c r="H711" s="39" t="str">
        <x:v>در تجربه اکوسیستم ها، گره های قدرت معمولاً این ها هستند:</x:v>
      </x:c>
      <x:c r="I711" s="39" t="str">
        <x:v>پس از تثبیت پایه‌ها؛ پروژه‌محور</x:v>
      </x:c>
      <x:c r="J711" s="39" t="str">
        <x:v>سازنده زیست‌بوم + مدیر پورتفو</x:v>
      </x:c>
      <x:c r="K711" s="39" t="str"/>
      <x:c r="L711" s="39" t="str">
        <x:v>E112:P1118</x:v>
      </x:c>
      <x:c r="M711" s="39" t="str"/>
      <x:c r="N711" s="39" t="str">
        <x:v>نسخه پایه ۳۱۵۰</x:v>
      </x:c>
    </x:row>
    <x:row r="712" ht="34" customHeight="1">
      <x:c r="A712" s="34" t="str">
        <x:v>☐</x:v>
      </x:c>
      <x:c r="B712" s="34" t="str">
        <x:v>MI-2245</x:v>
      </x:c>
      <x:c r="C712" s="34" t="str">
        <x:v>M3 — کسب‌وکار، شبکه و زیست‌بوم نوآوری</x:v>
      </x:c>
      <x:c r="D712" s="34" t="str">
        <x:v>H10</x:v>
      </x:c>
      <x:c r="E712" s="34" t="str">
        <x:v>زیست‌بوم نوآوری، استعداد و تیم‌سازی</x:v>
      </x:c>
      <x:c r="F712" s="34" t="str">
        <x:v>P2</x:v>
      </x:c>
      <x:c r="G712" s="34" t="str">
        <x:v>هدف/موضوع</x:v>
      </x:c>
      <x:c r="H712" s="39" t="str">
        <x:v>اگر این 5 گره همسو شوند، اکوسیستم سریع رشد می کند.</x:v>
      </x:c>
      <x:c r="I712" s="39" t="str">
        <x:v>پس از تثبیت پایه‌ها؛ پروژه‌محور</x:v>
      </x:c>
      <x:c r="J712" s="39" t="str">
        <x:v>سازنده زیست‌بوم + مدیر پورتفو</x:v>
      </x:c>
      <x:c r="K712" s="39" t="str"/>
      <x:c r="L712" s="39" t="str">
        <x:v>E112:P1132</x:v>
      </x:c>
      <x:c r="M712" s="39" t="str"/>
      <x:c r="N712" s="39" t="str">
        <x:v>نسخه پایه ۳۱۵۰</x:v>
      </x:c>
    </x:row>
    <x:row r="713" ht="34" customHeight="1">
      <x:c r="A713" s="34" t="str">
        <x:v>☐</x:v>
      </x:c>
      <x:c r="B713" s="34" t="str">
        <x:v>MI-2246</x:v>
      </x:c>
      <x:c r="C713" s="34" t="str">
        <x:v>M3 — کسب‌وکار، شبکه و زیست‌بوم نوآوری</x:v>
      </x:c>
      <x:c r="D713" s="34" t="str">
        <x:v>H10</x:v>
      </x:c>
      <x:c r="E713" s="34" t="str">
        <x:v>زیست‌بوم نوآوری، استعداد و تیم‌سازی</x:v>
      </x:c>
      <x:c r="F713" s="34" t="str">
        <x:v>P2</x:v>
      </x:c>
      <x:c r="G713" s="34" t="str">
        <x:v>هدف/موضوع</x:v>
      </x:c>
      <x:c r="H713" s="39" t="str">
        <x:v>5. خلاهای مهم اکوسیستم مازندران</x:v>
      </x:c>
      <x:c r="I713" s="39" t="str">
        <x:v>پس از تثبیت پایه‌ها؛ پروژه‌محور</x:v>
      </x:c>
      <x:c r="J713" s="39" t="str">
        <x:v>سازنده زیست‌بوم + مدیر پورتفو</x:v>
      </x:c>
      <x:c r="K713" s="39" t="str"/>
      <x:c r="L713" s="39" t="str">
        <x:v>E112:P1133</x:v>
      </x:c>
      <x:c r="M713" s="39" t="str"/>
      <x:c r="N713" s="39" t="str">
        <x:v>نسخه پایه ۳۱۵۰</x:v>
      </x:c>
    </x:row>
    <x:row r="714" ht="34" customHeight="1">
      <x:c r="A714" s="34" t="str">
        <x:v>☐</x:v>
      </x:c>
      <x:c r="B714" s="34" t="str">
        <x:v>MI-2278</x:v>
      </x:c>
      <x:c r="C714" s="34" t="str">
        <x:v>M3 — کسب‌وکار، شبکه و زیست‌بوم نوآوری</x:v>
      </x:c>
      <x:c r="D714" s="34" t="str">
        <x:v>H10</x:v>
      </x:c>
      <x:c r="E714" s="34" t="str">
        <x:v>زیست‌بوم نوآوری، استعداد و تیم‌سازی</x:v>
      </x:c>
      <x:c r="F714" s="34" t="str">
        <x:v>P2</x:v>
      </x:c>
      <x:c r="G714" s="34" t="str">
        <x:v>هدف/موضوع</x:v>
      </x:c>
      <x:c r="H714" s="39" t="str">
        <x:v>مازندران اگر بخواهد اکوسیستم قوی بسازد، نباید با تهران رقابت کند.</x:v>
      </x:c>
      <x:c r="I714" s="39" t="str">
        <x:v>پس از تثبیت پایه‌ها؛ پروژه‌محور</x:v>
      </x:c>
      <x:c r="J714" s="39" t="str">
        <x:v>سازنده زیست‌بوم + مدیر پورتفو</x:v>
      </x:c>
      <x:c r="K714" s="39" t="str"/>
      <x:c r="L714" s="39" t="str">
        <x:v>E112:P1223</x:v>
      </x:c>
      <x:c r="M714" s="39" t="str"/>
      <x:c r="N714" s="39" t="str">
        <x:v>نسخه پایه ۳۱۵۰</x:v>
      </x:c>
    </x:row>
    <x:row r="715" ht="34" customHeight="1">
      <x:c r="A715" s="34" t="str">
        <x:v>☐</x:v>
      </x:c>
      <x:c r="B715" s="34" t="str">
        <x:v>MI-2281</x:v>
      </x:c>
      <x:c r="C715" s="34" t="str">
        <x:v>M3 — کسب‌وکار، شبکه و زیست‌بوم نوآوری</x:v>
      </x:c>
      <x:c r="D715" s="34" t="str">
        <x:v>H10</x:v>
      </x:c>
      <x:c r="E715" s="34" t="str">
        <x:v>زیست‌بوم نوآوری، استعداد و تیم‌سازی</x:v>
      </x:c>
      <x:c r="F715" s="34" t="str">
        <x:v>P2</x:v>
      </x:c>
      <x:c r="G715" s="34" t="str">
        <x:v>هدف/موضوع</x:v>
      </x:c>
      <x:c r="H715" s="39" t="str">
        <x:v>اگر اکوسیستم روی این سه حوزه تمرکز کند، می تواند تبدیل شود به:</x:v>
      </x:c>
      <x:c r="I715" s="39" t="str">
        <x:v>پس از تثبیت پایه‌ها؛ پروژه‌محور</x:v>
      </x:c>
      <x:c r="J715" s="39" t="str">
        <x:v>سازنده زیست‌بوم + مدیر پورتفو</x:v>
      </x:c>
      <x:c r="K715" s="39" t="str"/>
      <x:c r="L715" s="39" t="str">
        <x:v>E112:P1233</x:v>
      </x:c>
      <x:c r="M715" s="39" t="str"/>
      <x:c r="N715" s="39" t="str">
        <x:v>نسخه پایه ۳۱۵۰</x:v>
      </x:c>
    </x:row>
    <x:row r="716" ht="34" customHeight="1">
      <x:c r="A716" s="34" t="str">
        <x:v>☐</x:v>
      </x:c>
      <x:c r="B716" s="34" t="str">
        <x:v>MI-2284</x:v>
      </x:c>
      <x:c r="C716" s="34" t="str">
        <x:v>M3 — کسب‌وکار، شبکه و زیست‌بوم نوآوری</x:v>
      </x:c>
      <x:c r="D716" s="34" t="str">
        <x:v>H10</x:v>
      </x:c>
      <x:c r="E716" s="34" t="str">
        <x:v>زیست‌بوم نوآوری، استعداد و تیم‌سازی</x:v>
      </x:c>
      <x:c r="F716" s="34" t="str">
        <x:v>P2</x:v>
      </x:c>
      <x:c r="G716" s="34" t="str">
        <x:v>هدف/موضوع</x:v>
      </x:c>
      <x:c r="H716" s="39" t="str">
        <x:v>نقشه واقعی بازیگران اکوسیستم مازندران (حدود 100 گره)</x:v>
      </x:c>
      <x:c r="I716" s="39" t="str">
        <x:v>پس از تثبیت پایه‌ها؛ پروژه‌محور</x:v>
      </x:c>
      <x:c r="J716" s="39" t="str">
        <x:v>سازنده زیست‌بوم + مدیر پورتفو</x:v>
      </x:c>
      <x:c r="K716" s="39" t="str"/>
      <x:c r="L716" s="39" t="str">
        <x:v>E112:P1239</x:v>
      </x:c>
      <x:c r="M716" s="39" t="str"/>
      <x:c r="N716" s="39" t="str">
        <x:v>نسخه پایه ۳۱۵۰</x:v>
      </x:c>
    </x:row>
    <x:row r="717" ht="34" customHeight="1">
      <x:c r="A717" s="34" t="str">
        <x:v>☐</x:v>
      </x:c>
      <x:c r="B717" s="34" t="str">
        <x:v>MI-2356</x:v>
      </x:c>
      <x:c r="C717" s="34" t="str">
        <x:v>M3 — کسب‌وکار، شبکه و زیست‌بوم نوآوری</x:v>
      </x:c>
      <x:c r="D717" s="34" t="str">
        <x:v>H10</x:v>
      </x:c>
      <x:c r="E717" s="34" t="str">
        <x:v>زیست‌بوم نوآوری، استعداد و تیم‌سازی</x:v>
      </x:c>
      <x:c r="F717" s="34" t="str">
        <x:v>P2</x:v>
      </x:c>
      <x:c r="G717" s="34" t="str">
        <x:v>هدف/موضوع</x:v>
      </x:c>
      <x:c r="H717" s="39" t="str">
        <x:v>منتورینگ استارتاپ</x:v>
      </x:c>
      <x:c r="I717" s="39" t="str">
        <x:v>پس از تثبیت پایه‌ها؛ پروژه‌محور</x:v>
      </x:c>
      <x:c r="J717" s="39" t="str">
        <x:v>سازنده زیست‌بوم + مدیر پورتفو</x:v>
      </x:c>
      <x:c r="K717" s="39" t="str"/>
      <x:c r="L717" s="39" t="str">
        <x:v>E112:P1377</x:v>
      </x:c>
      <x:c r="M717" s="39" t="str"/>
      <x:c r="N717" s="39" t="str">
        <x:v>نسخه پایه ۳۱۵۰</x:v>
      </x:c>
    </x:row>
    <x:row r="718" ht="34" customHeight="1">
      <x:c r="A718" s="34" t="str">
        <x:v>☐</x:v>
      </x:c>
      <x:c r="B718" s="34" t="str">
        <x:v>MI-2360</x:v>
      </x:c>
      <x:c r="C718" s="34" t="str">
        <x:v>M3 — کسب‌وکار، شبکه و زیست‌بوم نوآوری</x:v>
      </x:c>
      <x:c r="D718" s="34" t="str">
        <x:v>H10</x:v>
      </x:c>
      <x:c r="E718" s="34" t="str">
        <x:v>زیست‌بوم نوآوری، استعداد و تیم‌سازی</x:v>
      </x:c>
      <x:c r="F718" s="34" t="str">
        <x:v>P2</x:v>
      </x:c>
      <x:c r="G718" s="34" t="str">
        <x:v>هدف/موضوع</x:v>
      </x:c>
      <x:c r="H718" s="39" t="str">
        <x:v>این اتفاق بسیار مهم است. یعنی اکوسیستم آنقدر قوی شود که کارآفرینان از اینجا به جاهای دیگر بروند.</x:v>
      </x:c>
      <x:c r="I718" s="39" t="str">
        <x:v>پس از تثبیت پایه‌ها؛ پروژه‌محور</x:v>
      </x:c>
      <x:c r="J718" s="39" t="str">
        <x:v>سازنده زیست‌بوم + مدیر پورتفو</x:v>
      </x:c>
      <x:c r="K718" s="39" t="str"/>
      <x:c r="L718" s="39" t="str">
        <x:v>E112:P1383</x:v>
      </x:c>
      <x:c r="M718" s="39" t="str"/>
      <x:c r="N718" s="39" t="str">
        <x:v>نسخه پایه ۳۱۵۰</x:v>
      </x:c>
    </x:row>
    <x:row r="719" ht="34" customHeight="1">
      <x:c r="A719" s="34" t="str">
        <x:v>☐</x:v>
      </x:c>
      <x:c r="B719" s="34" t="str">
        <x:v>MI-2365</x:v>
      </x:c>
      <x:c r="C719" s="34" t="str">
        <x:v>M3 — کسب‌وکار، شبکه و زیست‌بوم نوآوری</x:v>
      </x:c>
      <x:c r="D719" s="34" t="str">
        <x:v>H10</x:v>
      </x:c>
      <x:c r="E719" s="34" t="str">
        <x:v>زیست‌بوم نوآوری، استعداد و تیم‌سازی</x:v>
      </x:c>
      <x:c r="F719" s="34" t="str">
        <x:v>P2</x:v>
      </x:c>
      <x:c r="G719" s="34" t="str">
        <x:v>هدف/موضوع</x:v>
      </x:c>
      <x:c r="H719" s="39" t="str">
        <x:v>همکاری با اکوسیستم های دیگر</x:v>
      </x:c>
      <x:c r="I719" s="39" t="str">
        <x:v>پس از تثبیت پایه‌ها؛ پروژه‌محور</x:v>
      </x:c>
      <x:c r="J719" s="39" t="str">
        <x:v>سازنده زیست‌بوم + مدیر پورتفو</x:v>
      </x:c>
      <x:c r="K719" s="39" t="str"/>
      <x:c r="L719" s="39" t="str">
        <x:v>E112:P1392</x:v>
      </x:c>
      <x:c r="M719" s="39" t="str"/>
      <x:c r="N719" s="39" t="str">
        <x:v>نسخه پایه ۳۱۵۰</x:v>
      </x:c>
    </x:row>
    <x:row r="720" ht="34" customHeight="1">
      <x:c r="A720" s="34" t="str">
        <x:v>☐</x:v>
      </x:c>
      <x:c r="B720" s="34" t="str">
        <x:v>MI-2368</x:v>
      </x:c>
      <x:c r="C720" s="34" t="str">
        <x:v>M3 — کسب‌وکار، شبکه و زیست‌بوم نوآوری</x:v>
      </x:c>
      <x:c r="D720" s="34" t="str">
        <x:v>H10</x:v>
      </x:c>
      <x:c r="E720" s="34" t="str">
        <x:v>زیست‌بوم نوآوری، استعداد و تیم‌سازی</x:v>
      </x:c>
      <x:c r="F720" s="34" t="str">
        <x:v>P2</x:v>
      </x:c>
      <x:c r="G720" s="34" t="str">
        <x:v>هدف/موضوع</x:v>
      </x:c>
      <x:c r="H720" s="39" t="str">
        <x:v>مدتی در اکوسیستم حضور دارد</x:v>
      </x:c>
      <x:c r="I720" s="39" t="str">
        <x:v>پس از تثبیت پایه‌ها؛ پروژه‌محور</x:v>
      </x:c>
      <x:c r="J720" s="39" t="str">
        <x:v>سازنده زیست‌بوم + مدیر پورتفو</x:v>
      </x:c>
      <x:c r="K720" s="39" t="str"/>
      <x:c r="L720" s="39" t="str">
        <x:v>E112:P1399</x:v>
      </x:c>
      <x:c r="M720" s="39" t="str"/>
      <x:c r="N720" s="39" t="str">
        <x:v>نسخه پایه ۳۱۵۰</x:v>
      </x:c>
    </x:row>
    <x:row r="721" ht="34" customHeight="1">
      <x:c r="A721" s="34" t="str">
        <x:v>☐</x:v>
      </x:c>
      <x:c r="B721" s="34" t="str">
        <x:v>MI-2369</x:v>
      </x:c>
      <x:c r="C721" s="34" t="str">
        <x:v>M3 — کسب‌وکار، شبکه و زیست‌بوم نوآوری</x:v>
      </x:c>
      <x:c r="D721" s="34" t="str">
        <x:v>H10</x:v>
      </x:c>
      <x:c r="E721" s="34" t="str">
        <x:v>زیست‌بوم نوآوری، استعداد و تیم‌سازی</x:v>
      </x:c>
      <x:c r="F721" s="34" t="str">
        <x:v>P2</x:v>
      </x:c>
      <x:c r="G721" s="34" t="str">
        <x:v>هدف/موضوع</x:v>
      </x:c>
      <x:c r="H721" s="39" t="str">
        <x:v>تیم ها را راهنمایی می کند</x:v>
      </x:c>
      <x:c r="I721" s="39" t="str">
        <x:v>پس از تثبیت پایه‌ها؛ پروژه‌محور</x:v>
      </x:c>
      <x:c r="J721" s="39" t="str">
        <x:v>سازنده زیست‌بوم + مدیر پورتفو</x:v>
      </x:c>
      <x:c r="K721" s="39" t="str"/>
      <x:c r="L721" s="39" t="str">
        <x:v>E112:P1400</x:v>
      </x:c>
      <x:c r="M721" s="39" t="str"/>
      <x:c r="N721" s="39" t="str">
        <x:v>نسخه پایه ۳۱۵۰</x:v>
      </x:c>
    </x:row>
    <x:row r="722" ht="34" customHeight="1">
      <x:c r="A722" s="34" t="str">
        <x:v>☐</x:v>
      </x:c>
      <x:c r="B722" s="34" t="str">
        <x:v>MI-2371</x:v>
      </x:c>
      <x:c r="C722" s="34" t="str">
        <x:v>M3 — کسب‌وکار، شبکه و زیست‌بوم نوآوری</x:v>
      </x:c>
      <x:c r="D722" s="34" t="str">
        <x:v>H10</x:v>
      </x:c>
      <x:c r="E722" s="34" t="str">
        <x:v>زیست‌بوم نوآوری، استعداد و تیم‌سازی</x:v>
      </x:c>
      <x:c r="F722" s="34" t="str">
        <x:v>P2</x:v>
      </x:c>
      <x:c r="G722" s="34" t="str">
        <x:v>هدف/موضوع</x:v>
      </x:c>
      <x:c r="H722" s="39" t="str">
        <x:v>بعد می تواند به اکوسیستم دیگر منتقل شود.</x:v>
      </x:c>
      <x:c r="I722" s="39" t="str">
        <x:v>پس از تثبیت پایه‌ها؛ پروژه‌محور</x:v>
      </x:c>
      <x:c r="J722" s="39" t="str">
        <x:v>سازنده زیست‌بوم + مدیر پورتفو</x:v>
      </x:c>
      <x:c r="K722" s="39" t="str"/>
      <x:c r="L722" s="39" t="str">
        <x:v>E112:P1403</x:v>
      </x:c>
      <x:c r="M722" s="39" t="str"/>
      <x:c r="N722" s="39" t="str">
        <x:v>نسخه پایه ۳۱۵۰</x:v>
      </x:c>
    </x:row>
    <x:row r="723" ht="34" customHeight="1">
      <x:c r="A723" s="34" t="str">
        <x:v>☐</x:v>
      </x:c>
      <x:c r="B723" s="34" t="str">
        <x:v>MI-2384</x:v>
      </x:c>
      <x:c r="C723" s="34" t="str">
        <x:v>M3 — کسب‌وکار، شبکه و زیست‌بوم نوآوری</x:v>
      </x:c>
      <x:c r="D723" s="34" t="str">
        <x:v>H10</x:v>
      </x:c>
      <x:c r="E723" s="34" t="str">
        <x:v>زیست‌بوم نوآوری، استعداد و تیم‌سازی</x:v>
      </x:c>
      <x:c r="F723" s="34" t="str">
        <x:v>P2</x:v>
      </x:c>
      <x:c r="G723" s="34" t="str">
        <x:v>هدف/موضوع</x:v>
      </x:c>
      <x:c r="H723" s="39" t="str">
        <x:v>صادرات تیم ها</x:v>
      </x:c>
      <x:c r="I723" s="39" t="str">
        <x:v>پس از تثبیت پایه‌ها؛ پروژه‌محور</x:v>
      </x:c>
      <x:c r="J723" s="39" t="str">
        <x:v>سازنده زیست‌بوم + مدیر پورتفو</x:v>
      </x:c>
      <x:c r="K723" s="39" t="str"/>
      <x:c r="L723" s="39" t="str">
        <x:v>E112:P1432</x:v>
      </x:c>
      <x:c r="M723" s="39" t="str"/>
      <x:c r="N723" s="39" t="str">
        <x:v>نسخه پایه ۳۱۵۰</x:v>
      </x:c>
    </x:row>
    <x:row r="724" ht="34" customHeight="1">
      <x:c r="A724" s="34" t="str">
        <x:v>☐</x:v>
      </x:c>
      <x:c r="B724" s="34" t="str">
        <x:v>MI-2385</x:v>
      </x:c>
      <x:c r="C724" s="34" t="str">
        <x:v>M3 — کسب‌وکار، شبکه و زیست‌بوم نوآوری</x:v>
      </x:c>
      <x:c r="D724" s="34" t="str">
        <x:v>H10</x:v>
      </x:c>
      <x:c r="E724" s="34" t="str">
        <x:v>زیست‌بوم نوآوری، استعداد و تیم‌سازی</x:v>
      </x:c>
      <x:c r="F724" s="34" t="str">
        <x:v>P2</x:v>
      </x:c>
      <x:c r="G724" s="34" t="str">
        <x:v>هدف/موضوع</x:v>
      </x:c>
      <x:c r="H724" s="39" t="str">
        <x:v>یک نکته مهم درباره اکوسیستم</x:v>
      </x:c>
      <x:c r="I724" s="39" t="str">
        <x:v>پس از تثبیت پایه‌ها؛ پروژه‌محور</x:v>
      </x:c>
      <x:c r="J724" s="39" t="str">
        <x:v>سازنده زیست‌بوم + مدیر پورتفو</x:v>
      </x:c>
      <x:c r="K724" s="39" t="str"/>
      <x:c r="L724" s="39" t="str">
        <x:v>E112:P1434</x:v>
      </x:c>
      <x:c r="M724" s="39" t="str"/>
      <x:c r="N724" s="39" t="str">
        <x:v>نسخه پایه ۳۱۵۰</x:v>
      </x:c>
    </x:row>
    <x:row r="725" ht="34" customHeight="1">
      <x:c r="A725" s="34" t="str">
        <x:v>☐</x:v>
      </x:c>
      <x:c r="B725" s="34" t="str">
        <x:v>MI-2389</x:v>
      </x:c>
      <x:c r="C725" s="34" t="str">
        <x:v>M3 — کسب‌وکار، شبکه و زیست‌بوم نوآوری</x:v>
      </x:c>
      <x:c r="D725" s="34" t="str">
        <x:v>H10</x:v>
      </x:c>
      <x:c r="E725" s="34" t="str">
        <x:v>زیست‌بوم نوآوری، استعداد و تیم‌سازی</x:v>
      </x:c>
      <x:c r="F725" s="34" t="str">
        <x:v>P2</x:v>
      </x:c>
      <x:c r="G725" s="34" t="str">
        <x:v>هدف/موضوع</x:v>
      </x:c>
      <x:c r="H725" s="39" t="str">
        <x:v>تیم ها</x:v>
      </x:c>
      <x:c r="I725" s="39" t="str">
        <x:v>پس از تثبیت پایه‌ها؛ پروژه‌محور</x:v>
      </x:c>
      <x:c r="J725" s="39" t="str">
        <x:v>سازنده زیست‌بوم + مدیر پورتفو</x:v>
      </x:c>
      <x:c r="K725" s="39" t="str"/>
      <x:c r="L725" s="39" t="str">
        <x:v>E112:P1448؛ E112:P3396؛ E112:P3492</x:v>
      </x:c>
      <x:c r="M725" s="39" t="str"/>
      <x:c r="N725" s="39" t="str">
        <x:v>نسخه پایه ۳۱۵۰</x:v>
      </x:c>
    </x:row>
    <x:row r="726" ht="34" customHeight="1">
      <x:c r="A726" s="34" t="str">
        <x:v>☐</x:v>
      </x:c>
      <x:c r="B726" s="34" t="str">
        <x:v>MI-2416</x:v>
      </x:c>
      <x:c r="C726" s="34" t="str">
        <x:v>M3 — کسب‌وکار، شبکه و زیست‌بوم نوآوری</x:v>
      </x:c>
      <x:c r="D726" s="34" t="str">
        <x:v>H10</x:v>
      </x:c>
      <x:c r="E726" s="34" t="str">
        <x:v>زیست‌بوم نوآوری، استعداد و تیم‌سازی</x:v>
      </x:c>
      <x:c r="F726" s="34" t="str">
        <x:v>P2</x:v>
      </x:c>
      <x:c r="G726" s="34" t="str">
        <x:v>هدف/موضوع</x:v>
      </x:c>
      <x:c r="H726" s="39" t="str">
        <x:v>تبادل استارتاپ با اکوسیستم های دیگر (تهران، اصفهان، شیراز)</x:v>
      </x:c>
      <x:c r="I726" s="39" t="str">
        <x:v>پس از تثبیت پایه‌ها؛ پروژه‌محور</x:v>
      </x:c>
      <x:c r="J726" s="39" t="str">
        <x:v>سازنده زیست‌بوم + مدیر پورتفو</x:v>
      </x:c>
      <x:c r="K726" s="39" t="str"/>
      <x:c r="L726" s="39" t="str">
        <x:v>E112:P1499</x:v>
      </x:c>
      <x:c r="M726" s="39" t="str"/>
      <x:c r="N726" s="39" t="str">
        <x:v>نسخه پایه ۳۱۵۰</x:v>
      </x:c>
    </x:row>
    <x:row r="727" ht="34" customHeight="1">
      <x:c r="A727" s="34" t="str">
        <x:v>☐</x:v>
      </x:c>
      <x:c r="B727" s="34" t="str">
        <x:v>MI-2420</x:v>
      </x:c>
      <x:c r="C727" s="34" t="str">
        <x:v>M3 — کسب‌وکار، شبکه و زیست‌بوم نوآوری</x:v>
      </x:c>
      <x:c r="D727" s="34" t="str">
        <x:v>H10</x:v>
      </x:c>
      <x:c r="E727" s="34" t="str">
        <x:v>زیست‌بوم نوآوری، استعداد و تیم‌سازی</x:v>
      </x:c>
      <x:c r="F727" s="34" t="str">
        <x:v>P2</x:v>
      </x:c>
      <x:c r="G727" s="34" t="str">
        <x:v>هدف/موضوع</x:v>
      </x:c>
      <x:c r="H727" s="39" t="str">
        <x:v>اگر این اتصال شکل بگیرد، اکوسیستم به طور طبیعی رشد می کند.</x:v>
      </x:c>
      <x:c r="I727" s="39" t="str">
        <x:v>پس از تثبیت پایه‌ها؛ پروژه‌محور</x:v>
      </x:c>
      <x:c r="J727" s="39" t="str">
        <x:v>سازنده زیست‌بوم + مدیر پورتفو</x:v>
      </x:c>
      <x:c r="K727" s="39" t="str"/>
      <x:c r="L727" s="39" t="str">
        <x:v>E112:P1507</x:v>
      </x:c>
      <x:c r="M727" s="39" t="str"/>
      <x:c r="N727" s="39" t="str">
        <x:v>نسخه پایه ۳۱۵۰</x:v>
      </x:c>
    </x:row>
    <x:row r="728" ht="34" customHeight="1">
      <x:c r="A728" s="34" t="str">
        <x:v>☐</x:v>
      </x:c>
      <x:c r="B728" s="34" t="str">
        <x:v>MI-2431</x:v>
      </x:c>
      <x:c r="C728" s="34" t="str">
        <x:v>M3 — کسب‌وکار، شبکه و زیست‌بوم نوآوری</x:v>
      </x:c>
      <x:c r="D728" s="34" t="str">
        <x:v>H10</x:v>
      </x:c>
      <x:c r="E728" s="34" t="str">
        <x:v>زیست‌بوم نوآوری، استعداد و تیم‌سازی</x:v>
      </x:c>
      <x:c r="F728" s="34" t="str">
        <x:v>P2</x:v>
      </x:c>
      <x:c r="G728" s="34" t="str">
        <x:v>هدف/موضوع</x:v>
      </x:c>
      <x:c r="H728" s="39" t="str">
        <x:v>همچنین بحث کارافرینان به عنوان EiR میشه از استان های دیگه به مازندران دعونت کرد و این عملیات ها انجام بشه</x:v>
      </x:c>
      <x:c r="I728" s="39" t="str">
        <x:v>پس از تثبیت پایه‌ها؛ پروژه‌محور</x:v>
      </x:c>
      <x:c r="J728" s="39" t="str">
        <x:v>سازنده زیست‌بوم + مدیر پورتفو</x:v>
      </x:c>
      <x:c r="K728" s="39" t="str"/>
      <x:c r="L728" s="39" t="str">
        <x:v>E112:P1656</x:v>
      </x:c>
      <x:c r="M728" s="39" t="str"/>
      <x:c r="N728" s="39" t="str">
        <x:v>نسخه پایه ۳۱۵۰</x:v>
      </x:c>
    </x:row>
    <x:row r="729" ht="34" customHeight="1">
      <x:c r="A729" s="34" t="str">
        <x:v>☐</x:v>
      </x:c>
      <x:c r="B729" s="34" t="str">
        <x:v>MI-2436</x:v>
      </x:c>
      <x:c r="C729" s="34" t="str">
        <x:v>M3 — کسب‌وکار، شبکه و زیست‌بوم نوآوری</x:v>
      </x:c>
      <x:c r="D729" s="34" t="str">
        <x:v>H10</x:v>
      </x:c>
      <x:c r="E729" s="34" t="str">
        <x:v>زیست‌بوم نوآوری، استعداد و تیم‌سازی</x:v>
      </x:c>
      <x:c r="F729" s="34" t="str">
        <x:v>P2</x:v>
      </x:c>
      <x:c r="G729" s="34" t="str">
        <x:v>هدف/موضوع</x:v>
      </x:c>
      <x:c r="H729" s="39" t="str">
        <x:v>شناسایی اجزای اکوسیستم نوآوری (استعداد، دانش، سرمایه، شبکه، توجه)</x:v>
      </x:c>
      <x:c r="I729" s="39" t="str">
        <x:v>پس از تثبیت پایه‌ها؛ پروژه‌محور</x:v>
      </x:c>
      <x:c r="J729" s="39" t="str">
        <x:v>سازنده زیست‌بوم + مدیر پورتفو</x:v>
      </x:c>
      <x:c r="K729" s="39" t="str"/>
      <x:c r="L729" s="39" t="str">
        <x:v>E112:P1717</x:v>
      </x:c>
      <x:c r="M729" s="39" t="str"/>
      <x:c r="N729" s="39" t="str">
        <x:v>نسخه پایه ۳۱۵۰</x:v>
      </x:c>
    </x:row>
    <x:row r="730" ht="34" customHeight="1">
      <x:c r="A730" s="34" t="str">
        <x:v>☐</x:v>
      </x:c>
      <x:c r="B730" s="34" t="str">
        <x:v>MI-2437</x:v>
      </x:c>
      <x:c r="C730" s="34" t="str">
        <x:v>M3 — کسب‌وکار، شبکه و زیست‌بوم نوآوری</x:v>
      </x:c>
      <x:c r="D730" s="34" t="str">
        <x:v>H10</x:v>
      </x:c>
      <x:c r="E730" s="34" t="str">
        <x:v>زیست‌بوم نوآوری، استعداد و تیم‌سازی</x:v>
      </x:c>
      <x:c r="F730" s="34" t="str">
        <x:v>P2</x:v>
      </x:c>
      <x:c r="G730" s="34" t="str">
        <x:v>هدف/موضوع</x:v>
      </x:c>
      <x:c r="H730" s="39" t="str">
        <x:v>دسته بندی کامل بازیگران اکوسیستم</x:v>
      </x:c>
      <x:c r="I730" s="39" t="str">
        <x:v>پس از تثبیت پایه‌ها؛ پروژه‌محور</x:v>
      </x:c>
      <x:c r="J730" s="39" t="str">
        <x:v>سازنده زیست‌بوم + مدیر پورتفو</x:v>
      </x:c>
      <x:c r="K730" s="39" t="str"/>
      <x:c r="L730" s="39" t="str">
        <x:v>E112:P1718</x:v>
      </x:c>
      <x:c r="M730" s="39" t="str"/>
      <x:c r="N730" s="39" t="str">
        <x:v>نسخه پایه ۳۱۵۰</x:v>
      </x:c>
    </x:row>
    <x:row r="731" ht="34" customHeight="1">
      <x:c r="A731" s="34" t="str">
        <x:v>☐</x:v>
      </x:c>
      <x:c r="B731" s="34" t="str">
        <x:v>MI-2438</x:v>
      </x:c>
      <x:c r="C731" s="34" t="str">
        <x:v>M3 — کسب‌وکار، شبکه و زیست‌بوم نوآوری</x:v>
      </x:c>
      <x:c r="D731" s="34" t="str">
        <x:v>H10</x:v>
      </x:c>
      <x:c r="E731" s="34" t="str">
        <x:v>زیست‌بوم نوآوری، استعداد و تیم‌سازی</x:v>
      </x:c>
      <x:c r="F731" s="34" t="str">
        <x:v>P2</x:v>
      </x:c>
      <x:c r="G731" s="34" t="str">
        <x:v>هدف/موضوع</x:v>
      </x:c>
      <x:c r="H731" s="39" t="str">
        <x:v>شناسایی منابع تولید استعداد (مدارس، دانشگاه ها، آکادمی ها، بوت کمپ ها)</x:v>
      </x:c>
      <x:c r="I731" s="39" t="str">
        <x:v>پس از تثبیت پایه‌ها؛ پروژه‌محور</x:v>
      </x:c>
      <x:c r="J731" s="39" t="str">
        <x:v>سازنده زیست‌بوم + مدیر پورتفو</x:v>
      </x:c>
      <x:c r="K731" s="39" t="str"/>
      <x:c r="L731" s="39" t="str">
        <x:v>E112:P1719</x:v>
      </x:c>
      <x:c r="M731" s="39" t="str"/>
      <x:c r="N731" s="39" t="str">
        <x:v>نسخه پایه ۳۱۵۰</x:v>
      </x:c>
    </x:row>
    <x:row r="732" ht="34" customHeight="1">
      <x:c r="A732" s="34" t="str">
        <x:v>☐</x:v>
      </x:c>
      <x:c r="B732" s="34" t="str">
        <x:v>MI-2439</x:v>
      </x:c>
      <x:c r="C732" s="34" t="str">
        <x:v>M3 — کسب‌وکار، شبکه و زیست‌بوم نوآوری</x:v>
      </x:c>
      <x:c r="D732" s="34" t="str">
        <x:v>H10</x:v>
      </x:c>
      <x:c r="E732" s="34" t="str">
        <x:v>زیست‌بوم نوآوری، استعداد و تیم‌سازی</x:v>
      </x:c>
      <x:c r="F732" s="34" t="str">
        <x:v>P2</x:v>
      </x:c>
      <x:c r="G732" s="34" t="str">
        <x:v>هدف/موضوع</x:v>
      </x:c>
      <x:c r="H732" s="39" t="str">
        <x:v>بررسی نهادهای نوآوری (پارک علم و فناوری، مراکز نوآوری، شتاب دهنده ها)</x:v>
      </x:c>
      <x:c r="I732" s="39" t="str">
        <x:v>پس از تثبیت پایه‌ها؛ پروژه‌محور</x:v>
      </x:c>
      <x:c r="J732" s="39" t="str">
        <x:v>سازنده زیست‌بوم + مدیر پورتفو</x:v>
      </x:c>
      <x:c r="K732" s="39" t="str"/>
      <x:c r="L732" s="39" t="str">
        <x:v>E112:P1720</x:v>
      </x:c>
      <x:c r="M732" s="39" t="str"/>
      <x:c r="N732" s="39" t="str">
        <x:v>نسخه پایه ۳۱۵۰</x:v>
      </x:c>
    </x:row>
    <x:row r="733" ht="34" customHeight="1">
      <x:c r="A733" s="34" t="str">
        <x:v>☐</x:v>
      </x:c>
      <x:c r="B733" s="34" t="str">
        <x:v>MI-2442</x:v>
      </x:c>
      <x:c r="C733" s="34" t="str">
        <x:v>M3 — کسب‌وکار، شبکه و زیست‌بوم نوآوری</x:v>
      </x:c>
      <x:c r="D733" s="34" t="str">
        <x:v>H10</x:v>
      </x:c>
      <x:c r="E733" s="34" t="str">
        <x:v>زیست‌بوم نوآوری، استعداد و تیم‌سازی</x:v>
      </x:c>
      <x:c r="F733" s="34" t="str">
        <x:v>P2</x:v>
      </x:c>
      <x:c r="G733" s="34" t="str">
        <x:v>هدف/موضوع</x:v>
      </x:c>
      <x:c r="H733" s="39" t="str">
        <x:v>بررسی رویدادها و تجمعات اکوسیستم</x:v>
      </x:c>
      <x:c r="I733" s="39" t="str">
        <x:v>پس از تثبیت پایه‌ها؛ پروژه‌محور</x:v>
      </x:c>
      <x:c r="J733" s="39" t="str">
        <x:v>سازنده زیست‌بوم + مدیر پورتفو</x:v>
      </x:c>
      <x:c r="K733" s="39" t="str"/>
      <x:c r="L733" s="39" t="str">
        <x:v>E112:P1724</x:v>
      </x:c>
      <x:c r="M733" s="39" t="str"/>
      <x:c r="N733" s="39" t="str">
        <x:v>نسخه پایه ۳۱۵۰</x:v>
      </x:c>
    </x:row>
    <x:row r="734" ht="34" customHeight="1">
      <x:c r="A734" s="34" t="str">
        <x:v>☐</x:v>
      </x:c>
      <x:c r="B734" s="34" t="str">
        <x:v>MI-2443</x:v>
      </x:c>
      <x:c r="C734" s="34" t="str">
        <x:v>M3 — کسب‌وکار، شبکه و زیست‌بوم نوآوری</x:v>
      </x:c>
      <x:c r="D734" s="34" t="str">
        <x:v>H10</x:v>
      </x:c>
      <x:c r="E734" s="34" t="str">
        <x:v>زیست‌بوم نوآوری، استعداد و تیم‌سازی</x:v>
      </x:c>
      <x:c r="F734" s="34" t="str">
        <x:v>P2</x:v>
      </x:c>
      <x:c r="G734" s="34" t="str">
        <x:v>هدف/موضوع</x:v>
      </x:c>
      <x:c r="H734" s="39" t="str">
        <x:v>بررسی رسانه و جریان توجه در اکوسیستم</x:v>
      </x:c>
      <x:c r="I734" s="39" t="str">
        <x:v>پس از تثبیت پایه‌ها؛ پروژه‌محور</x:v>
      </x:c>
      <x:c r="J734" s="39" t="str">
        <x:v>سازنده زیست‌بوم + مدیر پورتفو</x:v>
      </x:c>
      <x:c r="K734" s="39" t="str"/>
      <x:c r="L734" s="39" t="str">
        <x:v>E112:P1725</x:v>
      </x:c>
      <x:c r="M734" s="39" t="str"/>
      <x:c r="N734" s="39" t="str">
        <x:v>نسخه پایه ۳۱۵۰</x:v>
      </x:c>
    </x:row>
    <x:row r="735" ht="34" customHeight="1">
      <x:c r="A735" s="34" t="str">
        <x:v>☐</x:v>
      </x:c>
      <x:c r="B735" s="34" t="str">
        <x:v>MI-2445</x:v>
      </x:c>
      <x:c r="C735" s="34" t="str">
        <x:v>M3 — کسب‌وکار، شبکه و زیست‌بوم نوآوری</x:v>
      </x:c>
      <x:c r="D735" s="34" t="str">
        <x:v>H10</x:v>
      </x:c>
      <x:c r="E735" s="34" t="str">
        <x:v>زیست‌بوم نوآوری، استعداد و تیم‌سازی</x:v>
      </x:c>
      <x:c r="F735" s="34" t="str">
        <x:v>P2</x:v>
      </x:c>
      <x:c r="G735" s="34" t="str">
        <x:v>هدف/موضوع</x:v>
      </x:c>
      <x:c r="H735" s="39" t="str">
        <x:v>مفهوم گره های قدرت اکوسیستم</x:v>
      </x:c>
      <x:c r="I735" s="39" t="str">
        <x:v>پس از تثبیت پایه‌ها؛ پروژه‌محور</x:v>
      </x:c>
      <x:c r="J735" s="39" t="str">
        <x:v>سازنده زیست‌بوم + مدیر پورتفو</x:v>
      </x:c>
      <x:c r="K735" s="39" t="str"/>
      <x:c r="L735" s="39" t="str">
        <x:v>E112:P1727</x:v>
      </x:c>
      <x:c r="M735" s="39" t="str"/>
      <x:c r="N735" s="39" t="str">
        <x:v>نسخه پایه ۳۱۵۰</x:v>
      </x:c>
    </x:row>
    <x:row r="736" ht="34" customHeight="1">
      <x:c r="A736" s="34" t="str">
        <x:v>☐</x:v>
      </x:c>
      <x:c r="B736" s="34" t="str">
        <x:v>MI-2449</x:v>
      </x:c>
      <x:c r="C736" s="34" t="str">
        <x:v>M3 — کسب‌وکار، شبکه و زیست‌بوم نوآوری</x:v>
      </x:c>
      <x:c r="D736" s="34" t="str">
        <x:v>H10</x:v>
      </x:c>
      <x:c r="E736" s="34" t="str">
        <x:v>زیست‌بوم نوآوری، استعداد و تیم‌سازی</x:v>
      </x:c>
      <x:c r="F736" s="34" t="str">
        <x:v>P2</x:v>
      </x:c>
      <x:c r="G736" s="34" t="str">
        <x:v>هدف/موضوع</x:v>
      </x:c>
      <x:c r="H736" s="39" t="str">
        <x:v>بررسی خلاهای اکوسیستم مازندران</x:v>
      </x:c>
      <x:c r="I736" s="39" t="str">
        <x:v>پس از تثبیت پایه‌ها؛ پروژه‌محور</x:v>
      </x:c>
      <x:c r="J736" s="39" t="str">
        <x:v>سازنده زیست‌بوم + مدیر پورتفو</x:v>
      </x:c>
      <x:c r="K736" s="39" t="str"/>
      <x:c r="L736" s="39" t="str">
        <x:v>E112:P1733</x:v>
      </x:c>
      <x:c r="M736" s="39" t="str"/>
      <x:c r="N736" s="39" t="str">
        <x:v>نسخه پایه ۳۱۵۰</x:v>
      </x:c>
    </x:row>
    <x:row r="737" ht="34" customHeight="1">
      <x:c r="A737" s="34" t="str">
        <x:v>☐</x:v>
      </x:c>
      <x:c r="B737" s="34" t="str">
        <x:v>MI-2450</x:v>
      </x:c>
      <x:c r="C737" s="34" t="str">
        <x:v>M3 — کسب‌وکار، شبکه و زیست‌بوم نوآوری</x:v>
      </x:c>
      <x:c r="D737" s="34" t="str">
        <x:v>H10</x:v>
      </x:c>
      <x:c r="E737" s="34" t="str">
        <x:v>زیست‌بوم نوآوری، استعداد و تیم‌سازی</x:v>
      </x:c>
      <x:c r="F737" s="34" t="str">
        <x:v>P2</x:v>
      </x:c>
      <x:c r="G737" s="34" t="str">
        <x:v>هدف/موضوع</x:v>
      </x:c>
      <x:c r="H737" s="39" t="str">
        <x:v>اتصال مازندران به استان های همسایه و اکوسیستم ملی</x:v>
      </x:c>
      <x:c r="I737" s="39" t="str">
        <x:v>پس از تثبیت پایه‌ها؛ پروژه‌محور</x:v>
      </x:c>
      <x:c r="J737" s="39" t="str">
        <x:v>سازنده زیست‌بوم + مدیر پورتفو</x:v>
      </x:c>
      <x:c r="K737" s="39" t="str"/>
      <x:c r="L737" s="39" t="str">
        <x:v>E112:P1734</x:v>
      </x:c>
      <x:c r="M737" s="39" t="str"/>
      <x:c r="N737" s="39" t="str">
        <x:v>نسخه پایه ۳۱۵۰</x:v>
      </x:c>
    </x:row>
    <x:row r="738" ht="34" customHeight="1">
      <x:c r="A738" s="34" t="str">
        <x:v>☐</x:v>
      </x:c>
      <x:c r="B738" s="34" t="str">
        <x:v>MI-2453</x:v>
      </x:c>
      <x:c r="C738" s="34" t="str">
        <x:v>M3 — کسب‌وکار، شبکه و زیست‌بوم نوآوری</x:v>
      </x:c>
      <x:c r="D738" s="34" t="str">
        <x:v>H10</x:v>
      </x:c>
      <x:c r="E738" s="34" t="str">
        <x:v>زیست‌بوم نوآوری، استعداد و تیم‌سازی</x:v>
      </x:c>
      <x:c r="F738" s="34" t="str">
        <x:v>P2</x:v>
      </x:c>
      <x:c r="G738" s="34" t="str">
        <x:v>هدف/موضوع</x:v>
      </x:c>
      <x:c r="H738" s="39" t="str">
        <x:v>طراحی رویدادهای تخصصی اکوسیستم</x:v>
      </x:c>
      <x:c r="I738" s="39" t="str">
        <x:v>پس از تثبیت پایه‌ها؛ پروژه‌محور</x:v>
      </x:c>
      <x:c r="J738" s="39" t="str">
        <x:v>سازنده زیست‌بوم + مدیر پورتفو</x:v>
      </x:c>
      <x:c r="K738" s="39" t="str"/>
      <x:c r="L738" s="39" t="str">
        <x:v>E112:P1747</x:v>
      </x:c>
      <x:c r="M738" s="39" t="str"/>
      <x:c r="N738" s="39" t="str">
        <x:v>نسخه پایه ۳۱۵۰</x:v>
      </x:c>
    </x:row>
    <x:row r="739" ht="34" customHeight="1">
      <x:c r="A739" s="34" t="str">
        <x:v>☐</x:v>
      </x:c>
      <x:c r="B739" s="34" t="str">
        <x:v>MI-2460</x:v>
      </x:c>
      <x:c r="C739" s="34" t="str">
        <x:v>M3 — کسب‌وکار، شبکه و زیست‌بوم نوآوری</x:v>
      </x:c>
      <x:c r="D739" s="34" t="str">
        <x:v>H10</x:v>
      </x:c>
      <x:c r="E739" s="34" t="str">
        <x:v>زیست‌بوم نوآوری، استعداد و تیم‌سازی</x:v>
      </x:c>
      <x:c r="F739" s="34" t="str">
        <x:v>P2</x:v>
      </x:c>
      <x:c r="G739" s="34" t="str">
        <x:v>هدف/موضوع</x:v>
      </x:c>
      <x:c r="H739" s="39" t="str">
        <x:v>اجرای EiR داخلی</x:v>
      </x:c>
      <x:c r="I739" s="39" t="str">
        <x:v>پس از تثبیت پایه‌ها؛ پروژه‌محور</x:v>
      </x:c>
      <x:c r="J739" s="39" t="str">
        <x:v>سازنده زیست‌بوم + مدیر پورتفو</x:v>
      </x:c>
      <x:c r="K739" s="39" t="str"/>
      <x:c r="L739" s="39" t="str">
        <x:v>E112:P1756</x:v>
      </x:c>
      <x:c r="M739" s="39" t="str"/>
      <x:c r="N739" s="39" t="str">
        <x:v>نسخه پایه ۳۱۵۰</x:v>
      </x:c>
    </x:row>
    <x:row r="740" ht="34" customHeight="1">
      <x:c r="A740" s="34" t="str">
        <x:v>☐</x:v>
      </x:c>
      <x:c r="B740" s="34" t="str">
        <x:v>MI-2461</x:v>
      </x:c>
      <x:c r="C740" s="34" t="str">
        <x:v>M3 — کسب‌وکار، شبکه و زیست‌بوم نوآوری</x:v>
      </x:c>
      <x:c r="D740" s="34" t="str">
        <x:v>H10</x:v>
      </x:c>
      <x:c r="E740" s="34" t="str">
        <x:v>زیست‌بوم نوآوری، استعداد و تیم‌سازی</x:v>
      </x:c>
      <x:c r="F740" s="34" t="str">
        <x:v>P2</x:v>
      </x:c>
      <x:c r="G740" s="34" t="str">
        <x:v>هدف/موضوع</x:v>
      </x:c>
      <x:c r="H740" s="39" t="str">
        <x:v>اجرای EiR بین المللی</x:v>
      </x:c>
      <x:c r="I740" s="39" t="str">
        <x:v>پس از تثبیت پایه‌ها؛ پروژه‌محور</x:v>
      </x:c>
      <x:c r="J740" s="39" t="str">
        <x:v>سازنده زیست‌بوم + مدیر پورتفو</x:v>
      </x:c>
      <x:c r="K740" s="39" t="str"/>
      <x:c r="L740" s="39" t="str">
        <x:v>E112:P1757</x:v>
      </x:c>
      <x:c r="M740" s="39" t="str"/>
      <x:c r="N740" s="39" t="str">
        <x:v>نسخه پایه ۳۱۵۰</x:v>
      </x:c>
    </x:row>
    <x:row r="741" ht="34" customHeight="1">
      <x:c r="A741" s="34" t="str">
        <x:v>☐</x:v>
      </x:c>
      <x:c r="B741" s="34" t="str">
        <x:v>MI-2464</x:v>
      </x:c>
      <x:c r="C741" s="34" t="str">
        <x:v>M3 — کسب‌وکار، شبکه و زیست‌بوم نوآوری</x:v>
      </x:c>
      <x:c r="D741" s="34" t="str">
        <x:v>H10</x:v>
      </x:c>
      <x:c r="E741" s="34" t="str">
        <x:v>زیست‌بوم نوآوری، استعداد و تیم‌سازی</x:v>
      </x:c>
      <x:c r="F741" s="34" t="str">
        <x:v>P2</x:v>
      </x:c>
      <x:c r="G741" s="34" t="str">
        <x:v>هدف/موضوع</x:v>
      </x:c>
      <x:c r="H741" s="39" t="str">
        <x:v>کاربرد EiR در توسعه استان:</x:v>
      </x:c>
      <x:c r="I741" s="39" t="str">
        <x:v>پس از تثبیت پایه‌ها؛ پروژه‌محور</x:v>
      </x:c>
      <x:c r="J741" s="39" t="str">
        <x:v>سازنده زیست‌بوم + مدیر پورتفو</x:v>
      </x:c>
      <x:c r="K741" s="39" t="str"/>
      <x:c r="L741" s="39" t="str">
        <x:v>E112:P1761</x:v>
      </x:c>
      <x:c r="M741" s="39" t="str"/>
      <x:c r="N741" s="39" t="str">
        <x:v>نسخه پایه ۳۱۵۰</x:v>
      </x:c>
    </x:row>
    <x:row r="742" ht="34" customHeight="1">
      <x:c r="A742" s="34" t="str">
        <x:v>☐</x:v>
      </x:c>
      <x:c r="B742" s="34" t="str">
        <x:v>MI-2474</x:v>
      </x:c>
      <x:c r="C742" s="34" t="str">
        <x:v>M3 — کسب‌وکار، شبکه و زیست‌بوم نوآوری</x:v>
      </x:c>
      <x:c r="D742" s="34" t="str">
        <x:v>H10</x:v>
      </x:c>
      <x:c r="E742" s="34" t="str">
        <x:v>زیست‌بوم نوآوری، استعداد و تیم‌سازی</x:v>
      </x:c>
      <x:c r="F742" s="34" t="str">
        <x:v>P2</x:v>
      </x:c>
      <x:c r="G742" s="34" t="str">
        <x:v>هدف/موضوع</x:v>
      </x:c>
      <x:c r="H742" s="39" t="str">
        <x:v>مدل اجرایی اکوسیستم:</x:v>
      </x:c>
      <x:c r="I742" s="39" t="str">
        <x:v>پس از تثبیت پایه‌ها؛ پروژه‌محور</x:v>
      </x:c>
      <x:c r="J742" s="39" t="str">
        <x:v>سازنده زیست‌بوم + مدیر پورتفو</x:v>
      </x:c>
      <x:c r="K742" s="39" t="str"/>
      <x:c r="L742" s="39" t="str">
        <x:v>E112:P1775</x:v>
      </x:c>
      <x:c r="M742" s="39" t="str"/>
      <x:c r="N742" s="39" t="str">
        <x:v>نسخه پایه ۳۱۵۰</x:v>
      </x:c>
    </x:row>
    <x:row r="743" ht="34" customHeight="1">
      <x:c r="A743" s="34" t="str">
        <x:v>☐</x:v>
      </x:c>
      <x:c r="B743" s="34" t="str">
        <x:v>MI-2492</x:v>
      </x:c>
      <x:c r="C743" s="34" t="str">
        <x:v>M3 — کسب‌وکار، شبکه و زیست‌بوم نوآوری</x:v>
      </x:c>
      <x:c r="D743" s="34" t="str">
        <x:v>H10</x:v>
      </x:c>
      <x:c r="E743" s="34" t="str">
        <x:v>زیست‌بوم نوآوری، استعداد و تیم‌سازی</x:v>
      </x:c>
      <x:c r="F743" s="34" t="str">
        <x:v>P2</x:v>
      </x:c>
      <x:c r="G743" s="34" t="str">
        <x:v>هدف/موضوع</x:v>
      </x:c>
      <x:c r="H743" s="39" t="str">
        <x:v>پیشنهاد منتور</x:v>
      </x:c>
      <x:c r="I743" s="39" t="str">
        <x:v>پس از تثبیت پایه‌ها؛ پروژه‌محور</x:v>
      </x:c>
      <x:c r="J743" s="39" t="str">
        <x:v>سازنده زیست‌بوم + مدیر پورتفو</x:v>
      </x:c>
      <x:c r="K743" s="39" t="str"/>
      <x:c r="L743" s="39" t="str">
        <x:v>E112:P1987</x:v>
      </x:c>
      <x:c r="M743" s="39" t="str"/>
      <x:c r="N743" s="39" t="str">
        <x:v>نسخه پایه ۳۱۵۰</x:v>
      </x:c>
    </x:row>
    <x:row r="744" ht="34" customHeight="1">
      <x:c r="A744" s="34" t="str">
        <x:v>☐</x:v>
      </x:c>
      <x:c r="B744" s="34" t="str">
        <x:v>MI-2514</x:v>
      </x:c>
      <x:c r="C744" s="34" t="str">
        <x:v>M3 — کسب‌وکار، شبکه و زیست‌بوم نوآوری</x:v>
      </x:c>
      <x:c r="D744" s="34" t="str">
        <x:v>H10</x:v>
      </x:c>
      <x:c r="E744" s="34" t="str">
        <x:v>زیست‌بوم نوآوری، استعداد و تیم‌سازی</x:v>
      </x:c>
      <x:c r="F744" s="34" t="str">
        <x:v>P2</x:v>
      </x:c>
      <x:c r="G744" s="34" t="str">
        <x:v>هدف/موضوع</x:v>
      </x:c>
      <x:c r="H744" s="39" t="str">
        <x:v>مرکز نوآوری شروع</x:v>
      </x:c>
      <x:c r="I744" s="39" t="str">
        <x:v>پس از تثبیت پایه‌ها؛ پروژه‌محور</x:v>
      </x:c>
      <x:c r="J744" s="39" t="str">
        <x:v>سازنده زیست‌بوم + مدیر پورتفو</x:v>
      </x:c>
      <x:c r="K744" s="39" t="str"/>
      <x:c r="L744" s="39" t="str">
        <x:v>E112:P2027؛ E112:P3013</x:v>
      </x:c>
      <x:c r="M744" s="39" t="str"/>
      <x:c r="N744" s="39" t="str">
        <x:v>نسخه پایه ۳۱۵۰</x:v>
      </x:c>
    </x:row>
    <x:row r="745" ht="34" customHeight="1">
      <x:c r="A745" s="34" t="str">
        <x:v>☐</x:v>
      </x:c>
      <x:c r="B745" s="34" t="str">
        <x:v>MI-2518</x:v>
      </x:c>
      <x:c r="C745" s="34" t="str">
        <x:v>M3 — کسب‌وکار، شبکه و زیست‌بوم نوآوری</x:v>
      </x:c>
      <x:c r="D745" s="34" t="str">
        <x:v>H10</x:v>
      </x:c>
      <x:c r="E745" s="34" t="str">
        <x:v>زیست‌بوم نوآوری، استعداد و تیم‌سازی</x:v>
      </x:c>
      <x:c r="F745" s="34" t="str">
        <x:v>P2</x:v>
      </x:c>
      <x:c r="G745" s="34" t="str">
        <x:v>هدف/موضوع</x:v>
      </x:c>
      <x:c r="H745" s="39" t="str">
        <x:v>اتصال تیم ها به منتورها</x:v>
      </x:c>
      <x:c r="I745" s="39" t="str">
        <x:v>پس از تثبیت پایه‌ها؛ پروژه‌محور</x:v>
      </x:c>
      <x:c r="J745" s="39" t="str">
        <x:v>سازنده زیست‌بوم + مدیر پورتفو</x:v>
      </x:c>
      <x:c r="K745" s="39" t="str"/>
      <x:c r="L745" s="39" t="str">
        <x:v>E112:P2035</x:v>
      </x:c>
      <x:c r="M745" s="39" t="str"/>
      <x:c r="N745" s="39" t="str">
        <x:v>نسخه پایه ۳۱۵۰</x:v>
      </x:c>
    </x:row>
    <x:row r="746" ht="34" customHeight="1">
      <x:c r="A746" s="34" t="str">
        <x:v>☐</x:v>
      </x:c>
      <x:c r="B746" s="34" t="str">
        <x:v>MI-2519</x:v>
      </x:c>
      <x:c r="C746" s="34" t="str">
        <x:v>M3 — کسب‌وکار، شبکه و زیست‌بوم نوآوری</x:v>
      </x:c>
      <x:c r="D746" s="34" t="str">
        <x:v>H10</x:v>
      </x:c>
      <x:c r="E746" s="34" t="str">
        <x:v>زیست‌بوم نوآوری، استعداد و تیم‌سازی</x:v>
      </x:c>
      <x:c r="F746" s="34" t="str">
        <x:v>P2</x:v>
      </x:c>
      <x:c r="G746" s="34" t="str">
        <x:v>هدف/موضوع</x:v>
      </x:c>
      <x:c r="H746" s="39" t="str">
        <x:v>حمایت از تیم ها</x:v>
      </x:c>
      <x:c r="I746" s="39" t="str">
        <x:v>پس از تثبیت پایه‌ها؛ پروژه‌محور</x:v>
      </x:c>
      <x:c r="J746" s="39" t="str">
        <x:v>سازنده زیست‌بوم + مدیر پورتفو</x:v>
      </x:c>
      <x:c r="K746" s="39" t="str"/>
      <x:c r="L746" s="39" t="str">
        <x:v>E112:P2036؛ E112:P2586</x:v>
      </x:c>
      <x:c r="M746" s="39" t="str"/>
      <x:c r="N746" s="39" t="str">
        <x:v>نسخه پایه ۳۱۵۰</x:v>
      </x:c>
    </x:row>
    <x:row r="747" ht="34" customHeight="1">
      <x:c r="A747" s="34" t="str">
        <x:v>☐</x:v>
      </x:c>
      <x:c r="B747" s="34" t="str">
        <x:v>MI-2527</x:v>
      </x:c>
      <x:c r="C747" s="34" t="str">
        <x:v>M3 — کسب‌وکار، شبکه و زیست‌بوم نوآوری</x:v>
      </x:c>
      <x:c r="D747" s="34" t="str">
        <x:v>H10</x:v>
      </x:c>
      <x:c r="E747" s="34" t="str">
        <x:v>زیست‌بوم نوآوری، استعداد و تیم‌سازی</x:v>
      </x:c>
      <x:c r="F747" s="34" t="str">
        <x:v>P2</x:v>
      </x:c>
      <x:c r="G747" s="34" t="str">
        <x:v>هدف/موضوع</x:v>
      </x:c>
      <x:c r="H747" s="39" t="str">
        <x:v>راهنمایی تیم ها</x:v>
      </x:c>
      <x:c r="I747" s="39" t="str">
        <x:v>پس از تثبیت پایه‌ها؛ پروژه‌محور</x:v>
      </x:c>
      <x:c r="J747" s="39" t="str">
        <x:v>سازنده زیست‌بوم + مدیر پورتفو</x:v>
      </x:c>
      <x:c r="K747" s="39" t="str"/>
      <x:c r="L747" s="39" t="str">
        <x:v>E112:P2051؛ E112:P2625؛ E112:P3036</x:v>
      </x:c>
      <x:c r="M747" s="39" t="str"/>
      <x:c r="N747" s="39" t="str">
        <x:v>نسخه پایه ۳۱۵۰</x:v>
      </x:c>
    </x:row>
    <x:row r="748" ht="34" customHeight="1">
      <x:c r="A748" s="34" t="str">
        <x:v>☐</x:v>
      </x:c>
      <x:c r="B748" s="34" t="str">
        <x:v>MI-2530</x:v>
      </x:c>
      <x:c r="C748" s="34" t="str">
        <x:v>M3 — کسب‌وکار، شبکه و زیست‌بوم نوآوری</x:v>
      </x:c>
      <x:c r="D748" s="34" t="str">
        <x:v>H10</x:v>
      </x:c>
      <x:c r="E748" s="34" t="str">
        <x:v>زیست‌بوم نوآوری، استعداد و تیم‌سازی</x:v>
      </x:c>
      <x:c r="F748" s="34" t="str">
        <x:v>P2</x:v>
      </x:c>
      <x:c r="G748" s="34" t="str">
        <x:v>هدف/موضوع</x:v>
      </x:c>
      <x:c r="H748" s="39" t="str">
        <x:v>10. کمپ ها و اردوگاه های علم و فناوری</x:v>
      </x:c>
      <x:c r="I748" s="39" t="str">
        <x:v>پس از تثبیت پایه‌ها؛ پروژه‌محور</x:v>
      </x:c>
      <x:c r="J748" s="39" t="str">
        <x:v>سازنده زیست‌بوم + مدیر پورتفو</x:v>
      </x:c>
      <x:c r="K748" s="39" t="str"/>
      <x:c r="L748" s="39" t="str">
        <x:v>E112:P2055؛ E112:P2676</x:v>
      </x:c>
      <x:c r="M748" s="39" t="str"/>
      <x:c r="N748" s="39" t="str">
        <x:v>نسخه پایه ۳۱۵۰</x:v>
      </x:c>
    </x:row>
    <x:row r="749" ht="34" customHeight="1">
      <x:c r="A749" s="34" t="str">
        <x:v>☐</x:v>
      </x:c>
      <x:c r="B749" s="34" t="str">
        <x:v>MI-2538</x:v>
      </x:c>
      <x:c r="C749" s="34" t="str">
        <x:v>M3 — کسب‌وکار، شبکه و زیست‌بوم نوآوری</x:v>
      </x:c>
      <x:c r="D749" s="34" t="str">
        <x:v>H10</x:v>
      </x:c>
      <x:c r="E749" s="34" t="str">
        <x:v>زیست‌بوم نوآوری، استعداد و تیم‌سازی</x:v>
      </x:c>
      <x:c r="F749" s="34" t="str">
        <x:v>P2</x:v>
      </x:c>
      <x:c r="G749" s="34" t="str">
        <x:v>هدف/موضوع</x:v>
      </x:c>
      <x:c r="H749" s="39" t="str">
        <x:v>تیم ها روی مسیله های واقعی کار می کنند.</x:v>
      </x:c>
      <x:c r="I749" s="39" t="str">
        <x:v>پس از تثبیت پایه‌ها؛ پروژه‌محور</x:v>
      </x:c>
      <x:c r="J749" s="39" t="str">
        <x:v>سازنده زیست‌بوم + مدیر پورتفو</x:v>
      </x:c>
      <x:c r="K749" s="39" t="str"/>
      <x:c r="L749" s="39" t="str">
        <x:v>E112:P2072</x:v>
      </x:c>
      <x:c r="M749" s="39" t="str"/>
      <x:c r="N749" s="39" t="str">
        <x:v>نسخه پایه ۳۱۵۰</x:v>
      </x:c>
    </x:row>
    <x:row r="750" ht="34" customHeight="1">
      <x:c r="A750" s="34" t="str">
        <x:v>☐</x:v>
      </x:c>
      <x:c r="B750" s="34" t="str">
        <x:v>MI-2549</x:v>
      </x:c>
      <x:c r="C750" s="34" t="str">
        <x:v>M3 — کسب‌وکار، شبکه و زیست‌بوم نوآوری</x:v>
      </x:c>
      <x:c r="D750" s="34" t="str">
        <x:v>H10</x:v>
      </x:c>
      <x:c r="E750" s="34" t="str">
        <x:v>زیست‌بوم نوآوری، استعداد و تیم‌سازی</x:v>
      </x:c>
      <x:c r="F750" s="34" t="str">
        <x:v>P2</x:v>
      </x:c>
      <x:c r="G750" s="34" t="str">
        <x:v>هدف/موضوع</x:v>
      </x:c>
      <x:c r="H750" s="39" t="str">
        <x:v>9. رویدادها و بوتکمپ ها</x:v>
      </x:c>
      <x:c r="I750" s="39" t="str">
        <x:v>پس از تثبیت پایه‌ها؛ پروژه‌محور</x:v>
      </x:c>
      <x:c r="J750" s="39" t="str">
        <x:v>سازنده زیست‌بوم + مدیر پورتفو</x:v>
      </x:c>
      <x:c r="K750" s="39" t="str"/>
      <x:c r="L750" s="39" t="str">
        <x:v>E112:P2100؛ E112:P3209</x:v>
      </x:c>
      <x:c r="M750" s="39" t="str"/>
      <x:c r="N750" s="39" t="str">
        <x:v>نسخه پایه ۳۱۵۰</x:v>
      </x:c>
    </x:row>
    <x:row r="751" ht="34" customHeight="1">
      <x:c r="A751" s="34" t="str">
        <x:v>☐</x:v>
      </x:c>
      <x:c r="B751" s="34" t="str">
        <x:v>MI-2551</x:v>
      </x:c>
      <x:c r="C751" s="34" t="str">
        <x:v>M3 — کسب‌وکار، شبکه و زیست‌بوم نوآوری</x:v>
      </x:c>
      <x:c r="D751" s="34" t="str">
        <x:v>H10</x:v>
      </x:c>
      <x:c r="E751" s="34" t="str">
        <x:v>زیست‌بوم نوآوری، استعداد و تیم‌سازی</x:v>
      </x:c>
      <x:c r="F751" s="34" t="str">
        <x:v>P2</x:v>
      </x:c>
      <x:c r="G751" s="34" t="str">
        <x:v>هدف/موضوع</x:v>
      </x:c>
      <x:c r="H751" s="39" t="str">
        <x:v>بوتکمپ تخصصی</x:v>
      </x:c>
      <x:c r="I751" s="39" t="str">
        <x:v>پس از تثبیت پایه‌ها؛ پروژه‌محور</x:v>
      </x:c>
      <x:c r="J751" s="39" t="str">
        <x:v>سازنده زیست‌بوم + مدیر پورتفو</x:v>
      </x:c>
      <x:c r="K751" s="39" t="str"/>
      <x:c r="L751" s="39" t="str">
        <x:v>E112:P2104؛ E112:P2748؛ E112:P3063</x:v>
      </x:c>
      <x:c r="M751" s="39" t="str"/>
      <x:c r="N751" s="39" t="str">
        <x:v>نسخه پایه ۳۱۵۰</x:v>
      </x:c>
    </x:row>
    <x:row r="752" ht="34" customHeight="1">
      <x:c r="A752" s="34" t="str">
        <x:v>☐</x:v>
      </x:c>
      <x:c r="B752" s="34" t="str">
        <x:v>MI-2561</x:v>
      </x:c>
      <x:c r="C752" s="34" t="str">
        <x:v>M3 — کسب‌وکار، شبکه و زیست‌بوم نوآوری</x:v>
      </x:c>
      <x:c r="D752" s="34" t="str">
        <x:v>H10</x:v>
      </x:c>
      <x:c r="E752" s="34" t="str">
        <x:v>زیست‌بوم نوآوری، استعداد و تیم‌سازی</x:v>
      </x:c>
      <x:c r="F752" s="34" t="str">
        <x:v>P2</x:v>
      </x:c>
      <x:c r="G752" s="34" t="str">
        <x:v>هدف/موضوع</x:v>
      </x:c>
      <x:c r="H752" s="39" t="str">
        <x:v>تیم های قوی:</x:v>
      </x:c>
      <x:c r="I752" s="39" t="str">
        <x:v>پس از تثبیت پایه‌ها؛ پروژه‌محور</x:v>
      </x:c>
      <x:c r="J752" s="39" t="str">
        <x:v>سازنده زیست‌بوم + مدیر پورتفو</x:v>
      </x:c>
      <x:c r="K752" s="39" t="str"/>
      <x:c r="L752" s="39" t="str">
        <x:v>E112:P2126</x:v>
      </x:c>
      <x:c r="M752" s="39" t="str"/>
      <x:c r="N752" s="39" t="str">
        <x:v>نسخه پایه ۳۱۵۰</x:v>
      </x:c>
    </x:row>
    <x:row r="753" ht="34" customHeight="1">
      <x:c r="A753" s="34" t="str">
        <x:v>☐</x:v>
      </x:c>
      <x:c r="B753" s="34" t="str">
        <x:v>MI-2566</x:v>
      </x:c>
      <x:c r="C753" s="34" t="str">
        <x:v>M3 — کسب‌وکار، شبکه و زیست‌بوم نوآوری</x:v>
      </x:c>
      <x:c r="D753" s="34" t="str">
        <x:v>H10</x:v>
      </x:c>
      <x:c r="E753" s="34" t="str">
        <x:v>زیست‌بوم نوآوری، استعداد و تیم‌سازی</x:v>
      </x:c>
      <x:c r="F753" s="34" t="str">
        <x:v>P2</x:v>
      </x:c>
      <x:c r="G753" s="34" t="str">
        <x:v>هدف/موضوع</x:v>
      </x:c>
      <x:c r="H753" s="39" t="str">
        <x:v>وقتی اکوسیستم به بلوغ برسد:</x:v>
      </x:c>
      <x:c r="I753" s="39" t="str">
        <x:v>پس از تثبیت پایه‌ها؛ پروژه‌محور</x:v>
      </x:c>
      <x:c r="J753" s="39" t="str">
        <x:v>سازنده زیست‌بوم + مدیر پورتفو</x:v>
      </x:c>
      <x:c r="K753" s="39" t="str"/>
      <x:c r="L753" s="39" t="str">
        <x:v>E112:P2134</x:v>
      </x:c>
      <x:c r="M753" s="39" t="str"/>
      <x:c r="N753" s="39" t="str">
        <x:v>نسخه پایه ۳۱۵۰</x:v>
      </x:c>
    </x:row>
    <x:row r="754" ht="34" customHeight="1">
      <x:c r="A754" s="34" t="str">
        <x:v>☐</x:v>
      </x:c>
      <x:c r="B754" s="34" t="str">
        <x:v>MI-2567</x:v>
      </x:c>
      <x:c r="C754" s="34" t="str">
        <x:v>M3 — کسب‌وکار، شبکه و زیست‌بوم نوآوری</x:v>
      </x:c>
      <x:c r="D754" s="34" t="str">
        <x:v>H10</x:v>
      </x:c>
      <x:c r="E754" s="34" t="str">
        <x:v>زیست‌بوم نوآوری، استعداد و تیم‌سازی</x:v>
      </x:c>
      <x:c r="F754" s="34" t="str">
        <x:v>P2</x:v>
      </x:c>
      <x:c r="G754" s="34" t="str">
        <x:v>هدف/موضوع</x:v>
      </x:c>
      <x:c r="H754" s="39" t="str">
        <x:v>شبکه تیم ها</x:v>
      </x:c>
      <x:c r="I754" s="39" t="str">
        <x:v>پس از تثبیت پایه‌ها؛ پروژه‌محور</x:v>
      </x:c>
      <x:c r="J754" s="39" t="str">
        <x:v>سازنده زیست‌بوم + مدیر پورتفو</x:v>
      </x:c>
      <x:c r="K754" s="39" t="str"/>
      <x:c r="L754" s="39" t="str">
        <x:v>E112:P2136</x:v>
      </x:c>
      <x:c r="M754" s="39" t="str"/>
      <x:c r="N754" s="39" t="str">
        <x:v>نسخه پایه ۳۱۵۰</x:v>
      </x:c>
    </x:row>
    <x:row r="755" ht="34" customHeight="1">
      <x:c r="A755" s="34" t="str">
        <x:v>☐</x:v>
      </x:c>
      <x:c r="B755" s="34" t="str">
        <x:v>MI-2571</x:v>
      </x:c>
      <x:c r="C755" s="34" t="str">
        <x:v>M3 — کسب‌وکار، شبکه و زیست‌بوم نوآوری</x:v>
      </x:c>
      <x:c r="D755" s="34" t="str">
        <x:v>H10</x:v>
      </x:c>
      <x:c r="E755" s="34" t="str">
        <x:v>زیست‌بوم نوآوری، استعداد و تیم‌سازی</x:v>
      </x:c>
      <x:c r="F755" s="34" t="str">
        <x:v>P2</x:v>
      </x:c>
      <x:c r="G755" s="34" t="str">
        <x:v>هدف/موضوع</x:v>
      </x:c>
      <x:c r="H755" s="39" t="str">
        <x:v>کارآفرینان باتجربه وارد اکوسیستم می شوند.</x:v>
      </x:c>
      <x:c r="I755" s="39" t="str">
        <x:v>پس از تثبیت پایه‌ها؛ پروژه‌محور</x:v>
      </x:c>
      <x:c r="J755" s="39" t="str">
        <x:v>سازنده زیست‌بوم + مدیر پورتفو</x:v>
      </x:c>
      <x:c r="K755" s="39" t="str"/>
      <x:c r="L755" s="39" t="str">
        <x:v>E112:P2147</x:v>
      </x:c>
      <x:c r="M755" s="39" t="str"/>
      <x:c r="N755" s="39" t="str">
        <x:v>نسخه پایه ۳۱۵۰</x:v>
      </x:c>
    </x:row>
    <x:row r="756" ht="34" customHeight="1">
      <x:c r="A756" s="34" t="str">
        <x:v>☐</x:v>
      </x:c>
      <x:c r="B756" s="34" t="str">
        <x:v>MI-2573</x:v>
      </x:c>
      <x:c r="C756" s="34" t="str">
        <x:v>M3 — کسب‌وکار، شبکه و زیست‌بوم نوآوری</x:v>
      </x:c>
      <x:c r="D756" s="34" t="str">
        <x:v>H10</x:v>
      </x:c>
      <x:c r="E756" s="34" t="str">
        <x:v>زیست‌بوم نوآوری، استعداد و تیم‌سازی</x:v>
      </x:c>
      <x:c r="F756" s="34" t="str">
        <x:v>P2</x:v>
      </x:c>
      <x:c r="G756" s="34" t="str">
        <x:v>هدف/موضوع</x:v>
      </x:c>
      <x:c r="H756" s="39" t="str">
        <x:v>EiR داخلی (استان های دیگر)</x:v>
      </x:c>
      <x:c r="I756" s="39" t="str">
        <x:v>پس از تثبیت پایه‌ها؛ پروژه‌محور</x:v>
      </x:c>
      <x:c r="J756" s="39" t="str">
        <x:v>سازنده زیست‌بوم + مدیر پورتفو</x:v>
      </x:c>
      <x:c r="K756" s="39" t="str"/>
      <x:c r="L756" s="39" t="str">
        <x:v>E112:P2151</x:v>
      </x:c>
      <x:c r="M756" s="39" t="str"/>
      <x:c r="N756" s="39" t="str">
        <x:v>نسخه پایه ۳۱۵۰</x:v>
      </x:c>
    </x:row>
    <x:row r="757" ht="34" customHeight="1">
      <x:c r="A757" s="34" t="str">
        <x:v>☐</x:v>
      </x:c>
      <x:c r="B757" s="34" t="str">
        <x:v>MI-2574</x:v>
      </x:c>
      <x:c r="C757" s="34" t="str">
        <x:v>M3 — کسب‌وکار، شبکه و زیست‌بوم نوآوری</x:v>
      </x:c>
      <x:c r="D757" s="34" t="str">
        <x:v>H10</x:v>
      </x:c>
      <x:c r="E757" s="34" t="str">
        <x:v>زیست‌بوم نوآوری، استعداد و تیم‌سازی</x:v>
      </x:c>
      <x:c r="F757" s="34" t="str">
        <x:v>P2</x:v>
      </x:c>
      <x:c r="G757" s="34" t="str">
        <x:v>هدف/موضوع</x:v>
      </x:c>
      <x:c r="H757" s="39" t="str">
        <x:v>EiR ملی</x:v>
      </x:c>
      <x:c r="I757" s="39" t="str">
        <x:v>پس از تثبیت پایه‌ها؛ پروژه‌محور</x:v>
      </x:c>
      <x:c r="J757" s="39" t="str">
        <x:v>سازنده زیست‌بوم + مدیر پورتفو</x:v>
      </x:c>
      <x:c r="K757" s="39" t="str"/>
      <x:c r="L757" s="39" t="str">
        <x:v>E112:P2152</x:v>
      </x:c>
      <x:c r="M757" s="39" t="str"/>
      <x:c r="N757" s="39" t="str">
        <x:v>نسخه پایه ۳۱۵۰</x:v>
      </x:c>
    </x:row>
    <x:row r="758" ht="34" customHeight="1">
      <x:c r="A758" s="34" t="str">
        <x:v>☐</x:v>
      </x:c>
      <x:c r="B758" s="34" t="str">
        <x:v>MI-2589</x:v>
      </x:c>
      <x:c r="C758" s="34" t="str">
        <x:v>M3 — کسب‌وکار، شبکه و زیست‌بوم نوآوری</x:v>
      </x:c>
      <x:c r="D758" s="34" t="str">
        <x:v>H10</x:v>
      </x:c>
      <x:c r="E758" s="34" t="str">
        <x:v>زیست‌بوم نوآوری، استعداد و تیم‌سازی</x:v>
      </x:c>
      <x:c r="F758" s="34" t="str">
        <x:v>P2</x:v>
      </x:c>
      <x:c r="G758" s="34" t="str">
        <x:v>هدف/موضوع</x:v>
      </x:c>
      <x:c r="H758" s="39" t="str">
        <x:v>کمپ های علمی</x:v>
      </x:c>
      <x:c r="I758" s="39" t="str">
        <x:v>پس از تثبیت پایه‌ها؛ پروژه‌محور</x:v>
      </x:c>
      <x:c r="J758" s="39" t="str">
        <x:v>سازنده زیست‌بوم + مدیر پورتفو</x:v>
      </x:c>
      <x:c r="K758" s="39" t="str"/>
      <x:c r="L758" s="39" t="str">
        <x:v>E112:P2184</x:v>
      </x:c>
      <x:c r="M758" s="39" t="str"/>
      <x:c r="N758" s="39" t="str">
        <x:v>نسخه پایه ۳۱۵۰</x:v>
      </x:c>
    </x:row>
    <x:row r="759" ht="34" customHeight="1">
      <x:c r="A759" s="34" t="str">
        <x:v>☐</x:v>
      </x:c>
      <x:c r="B759" s="34" t="str">
        <x:v>MI-2600</x:v>
      </x:c>
      <x:c r="C759" s="34" t="str">
        <x:v>M3 — کسب‌وکار، شبکه و زیست‌بوم نوآوری</x:v>
      </x:c>
      <x:c r="D759" s="34" t="str">
        <x:v>H10</x:v>
      </x:c>
      <x:c r="E759" s="34" t="str">
        <x:v>زیست‌بوم نوآوری، استعداد و تیم‌سازی</x:v>
      </x:c>
      <x:c r="F759" s="34" t="str">
        <x:v>P2</x:v>
      </x:c>
      <x:c r="G759" s="34" t="str">
        <x:v>هدف/موضوع</x:v>
      </x:c>
      <x:c r="H759" s="39" t="str">
        <x:v>این یک سیستم چرخه ای توسعه استعداد و کارآفرینی در استان است:</x:v>
      </x:c>
      <x:c r="I759" s="39" t="str">
        <x:v>پس از تثبیت پایه‌ها؛ پروژه‌محور</x:v>
      </x:c>
      <x:c r="J759" s="39" t="str">
        <x:v>سازنده زیست‌بوم + مدیر پورتفو</x:v>
      </x:c>
      <x:c r="K759" s="39" t="str"/>
      <x:c r="L759" s="39" t="str">
        <x:v>E112:P2206</x:v>
      </x:c>
      <x:c r="M759" s="39" t="str"/>
      <x:c r="N759" s="39" t="str">
        <x:v>نسخه پایه ۳۱۵۰</x:v>
      </x:c>
    </x:row>
    <x:row r="760" ht="34" customHeight="1">
      <x:c r="A760" s="34" t="str">
        <x:v>☐</x:v>
      </x:c>
      <x:c r="B760" s="34" t="str">
        <x:v>MI-2611</x:v>
      </x:c>
      <x:c r="C760" s="34" t="str">
        <x:v>M3 — کسب‌وکار، شبکه و زیست‌بوم نوآوری</x:v>
      </x:c>
      <x:c r="D760" s="34" t="str">
        <x:v>H10</x:v>
      </x:c>
      <x:c r="E760" s="34" t="str">
        <x:v>زیست‌بوم نوآوری، استعداد و تیم‌سازی</x:v>
      </x:c>
      <x:c r="F760" s="34" t="str">
        <x:v>P2</x:v>
      </x:c>
      <x:c r="G760" s="34" t="str">
        <x:v>هدف/موضوع</x:v>
      </x:c>
      <x:c r="H760" s="39" t="str">
        <x:v>سند جامع طراحی زیست بوم نوآوری، کارآفرینی و هدایت استعداد در استان مازندران</x:v>
      </x:c>
      <x:c r="I760" s="39" t="str">
        <x:v>پس از تثبیت پایه‌ها؛ پروژه‌محور</x:v>
      </x:c>
      <x:c r="J760" s="39" t="str">
        <x:v>سازنده زیست‌بوم + مدیر پورتفو</x:v>
      </x:c>
      <x:c r="K760" s="39" t="str"/>
      <x:c r="L760" s="39" t="str">
        <x:v>E112:P2444</x:v>
      </x:c>
      <x:c r="M760" s="39" t="str"/>
      <x:c r="N760" s="39" t="str">
        <x:v>نسخه پایه ۳۱۵۰</x:v>
      </x:c>
    </x:row>
    <x:row r="761" ht="34" customHeight="1">
      <x:c r="A761" s="34" t="str">
        <x:v>☐</x:v>
      </x:c>
      <x:c r="B761" s="34" t="str">
        <x:v>MI-2616</x:v>
      </x:c>
      <x:c r="C761" s="34" t="str">
        <x:v>M3 — کسب‌وکار، شبکه و زیست‌بوم نوآوری</x:v>
      </x:c>
      <x:c r="D761" s="34" t="str">
        <x:v>H10</x:v>
      </x:c>
      <x:c r="E761" s="34" t="str">
        <x:v>زیست‌بوم نوآوری، استعداد و تیم‌سازی</x:v>
      </x:c>
      <x:c r="F761" s="34" t="str">
        <x:v>P2</x:v>
      </x:c>
      <x:c r="G761" s="34" t="str">
        <x:v>هدف/موضوع</x:v>
      </x:c>
      <x:c r="H761" s="39" t="str">
        <x:v>تیم های کارآفرین شکل بگیرند</x:v>
      </x:c>
      <x:c r="I761" s="39" t="str">
        <x:v>پس از تثبیت پایه‌ها؛ پروژه‌محور</x:v>
      </x:c>
      <x:c r="J761" s="39" t="str">
        <x:v>سازنده زیست‌بوم + مدیر پورتفو</x:v>
      </x:c>
      <x:c r="K761" s="39" t="str"/>
      <x:c r="L761" s="39" t="str">
        <x:v>E112:P2451</x:v>
      </x:c>
      <x:c r="M761" s="39" t="str"/>
      <x:c r="N761" s="39" t="str">
        <x:v>نسخه پایه ۳۱۵۰</x:v>
      </x:c>
    </x:row>
    <x:row r="762" ht="34" customHeight="1">
      <x:c r="A762" s="34" t="str">
        <x:v>☐</x:v>
      </x:c>
      <x:c r="B762" s="34" t="str">
        <x:v>MI-2626</x:v>
      </x:c>
      <x:c r="C762" s="34" t="str">
        <x:v>M3 — کسب‌وکار، شبکه و زیست‌بوم نوآوری</x:v>
      </x:c>
      <x:c r="D762" s="34" t="str">
        <x:v>H10</x:v>
      </x:c>
      <x:c r="E762" s="34" t="str">
        <x:v>زیست‌بوم نوآوری، استعداد و تیم‌سازی</x:v>
      </x:c>
      <x:c r="F762" s="34" t="str">
        <x:v>P2</x:v>
      </x:c>
      <x:c r="G762" s="34" t="str">
        <x:v>هدف/موضوع</x:v>
      </x:c>
      <x:c r="H762" s="39" t="str">
        <x:v>کمپ ها و اردوگاه های علمی</x:v>
      </x:c>
      <x:c r="I762" s="39" t="str">
        <x:v>پس از تثبیت پایه‌ها؛ پروژه‌محور</x:v>
      </x:c>
      <x:c r="J762" s="39" t="str">
        <x:v>سازنده زیست‌بوم + مدیر پورتفو</x:v>
      </x:c>
      <x:c r="K762" s="39" t="str"/>
      <x:c r="L762" s="39" t="str">
        <x:v>E112:P2478</x:v>
      </x:c>
      <x:c r="M762" s="39" t="str"/>
      <x:c r="N762" s="39" t="str">
        <x:v>نسخه پایه ۳۱۵۰</x:v>
      </x:c>
    </x:row>
    <x:row r="763" ht="34" customHeight="1">
      <x:c r="A763" s="34" t="str">
        <x:v>☐</x:v>
      </x:c>
      <x:c r="B763" s="34" t="str">
        <x:v>MI-2635</x:v>
      </x:c>
      <x:c r="C763" s="34" t="str">
        <x:v>M3 — کسب‌وکار، شبکه و زیست‌بوم نوآوری</x:v>
      </x:c>
      <x:c r="D763" s="34" t="str">
        <x:v>H10</x:v>
      </x:c>
      <x:c r="E763" s="34" t="str">
        <x:v>زیست‌بوم نوآوری، استعداد و تیم‌سازی</x:v>
      </x:c>
      <x:c r="F763" s="34" t="str">
        <x:v>P2</x:v>
      </x:c>
      <x:c r="G763" s="34" t="str">
        <x:v>هدف/موضوع</x:v>
      </x:c>
      <x:c r="H763" s="39" t="str">
        <x:v>تشکیل خودکار تیم ها</x:v>
      </x:c>
      <x:c r="I763" s="39" t="str">
        <x:v>پس از تثبیت پایه‌ها؛ پروژه‌محور</x:v>
      </x:c>
      <x:c r="J763" s="39" t="str">
        <x:v>سازنده زیست‌بوم + مدیر پورتفو</x:v>
      </x:c>
      <x:c r="K763" s="39" t="str"/>
      <x:c r="L763" s="39" t="str">
        <x:v>E112:P2501</x:v>
      </x:c>
      <x:c r="M763" s="39" t="str"/>
      <x:c r="N763" s="39" t="str">
        <x:v>نسخه پایه ۳۱۵۰</x:v>
      </x:c>
    </x:row>
    <x:row r="764" ht="34" customHeight="1">
      <x:c r="A764" s="34" t="str">
        <x:v>☐</x:v>
      </x:c>
      <x:c r="B764" s="34" t="str">
        <x:v>MI-2638</x:v>
      </x:c>
      <x:c r="C764" s="34" t="str">
        <x:v>M3 — کسب‌وکار، شبکه و زیست‌بوم نوآوری</x:v>
      </x:c>
      <x:c r="D764" s="34" t="str">
        <x:v>H10</x:v>
      </x:c>
      <x:c r="E764" s="34" t="str">
        <x:v>زیست‌بوم نوآوری، استعداد و تیم‌سازی</x:v>
      </x:c>
      <x:c r="F764" s="34" t="str">
        <x:v>P2</x:v>
      </x:c>
      <x:c r="G764" s="34" t="str">
        <x:v>هدف/موضوع</x:v>
      </x:c>
      <x:c r="H764" s="39" t="str">
        <x:v>معرفی منتورها</x:v>
      </x:c>
      <x:c r="I764" s="39" t="str">
        <x:v>پس از تثبیت پایه‌ها؛ پروژه‌محور</x:v>
      </x:c>
      <x:c r="J764" s="39" t="str">
        <x:v>سازنده زیست‌بوم + مدیر پورتفو</x:v>
      </x:c>
      <x:c r="K764" s="39" t="str"/>
      <x:c r="L764" s="39" t="str">
        <x:v>E112:P2509</x:v>
      </x:c>
      <x:c r="M764" s="39" t="str"/>
      <x:c r="N764" s="39" t="str">
        <x:v>نسخه پایه ۳۱۵۰</x:v>
      </x:c>
    </x:row>
    <x:row r="765" ht="34" customHeight="1">
      <x:c r="A765" s="34" t="str">
        <x:v>☐</x:v>
      </x:c>
      <x:c r="B765" s="34" t="str">
        <x:v>MI-2639</x:v>
      </x:c>
      <x:c r="C765" s="34" t="str">
        <x:v>M3 — کسب‌وکار، شبکه و زیست‌بوم نوآوری</x:v>
      </x:c>
      <x:c r="D765" s="34" t="str">
        <x:v>H10</x:v>
      </x:c>
      <x:c r="E765" s="34" t="str">
        <x:v>زیست‌بوم نوآوری، استعداد و تیم‌سازی</x:v>
      </x:c>
      <x:c r="F765" s="34" t="str">
        <x:v>P2</x:v>
      </x:c>
      <x:c r="G765" s="34" t="str">
        <x:v>هدف/موضوع</x:v>
      </x:c>
      <x:c r="H765" s="39" t="str">
        <x:v>ارزیابی عملکرد تیم ها</x:v>
      </x:c>
      <x:c r="I765" s="39" t="str">
        <x:v>پس از تثبیت پایه‌ها؛ پروژه‌محور</x:v>
      </x:c>
      <x:c r="J765" s="39" t="str">
        <x:v>سازنده زیست‌بوم + مدیر پورتفو</x:v>
      </x:c>
      <x:c r="K765" s="39" t="str"/>
      <x:c r="L765" s="39" t="str">
        <x:v>E112:P2511</x:v>
      </x:c>
      <x:c r="M765" s="39" t="str"/>
      <x:c r="N765" s="39" t="str">
        <x:v>نسخه پایه ۳۱۵۰</x:v>
      </x:c>
    </x:row>
    <x:row r="766" ht="34" customHeight="1">
      <x:c r="A766" s="34" t="str">
        <x:v>☐</x:v>
      </x:c>
      <x:c r="B766" s="34" t="str">
        <x:v>MI-2645</x:v>
      </x:c>
      <x:c r="C766" s="34" t="str">
        <x:v>M3 — کسب‌وکار، شبکه و زیست‌بوم نوآوری</x:v>
      </x:c>
      <x:c r="D766" s="34" t="str">
        <x:v>H10</x:v>
      </x:c>
      <x:c r="E766" s="34" t="str">
        <x:v>زیست‌بوم نوآوری، استعداد و تیم‌سازی</x:v>
      </x:c>
      <x:c r="F766" s="34" t="str">
        <x:v>P2</x:v>
      </x:c>
      <x:c r="G766" s="34" t="str">
        <x:v>هدف/موضوع</x:v>
      </x:c>
      <x:c r="H766" s="39" t="str">
        <x:v>هدف این آکادمی:</x:v>
      </x:c>
      <x:c r="I766" s="39" t="str">
        <x:v>پس از تثبیت پایه‌ها؛ پروژه‌محور</x:v>
      </x:c>
      <x:c r="J766" s="39" t="str">
        <x:v>سازنده زیست‌بوم + مدیر پورتفو</x:v>
      </x:c>
      <x:c r="K766" s="39" t="str"/>
      <x:c r="L766" s="39" t="str">
        <x:v>E112:P2538</x:v>
      </x:c>
      <x:c r="M766" s="39" t="str"/>
      <x:c r="N766" s="39" t="str">
        <x:v>نسخه پایه ۳۱۵۰</x:v>
      </x:c>
    </x:row>
    <x:row r="767" ht="34" customHeight="1">
      <x:c r="A767" s="34" t="str">
        <x:v>☐</x:v>
      </x:c>
      <x:c r="B767" s="34" t="str">
        <x:v>MI-2649</x:v>
      </x:c>
      <x:c r="C767" s="34" t="str">
        <x:v>M3 — کسب‌وکار، شبکه و زیست‌بوم نوآوری</x:v>
      </x:c>
      <x:c r="D767" s="34" t="str">
        <x:v>H10</x:v>
      </x:c>
      <x:c r="E767" s="34" t="str">
        <x:v>زیست‌بوم نوآوری، استعداد و تیم‌سازی</x:v>
      </x:c>
      <x:c r="F767" s="34" t="str">
        <x:v>P2</x:v>
      </x:c>
      <x:c r="G767" s="34" t="str">
        <x:v>هدف/موضوع</x:v>
      </x:c>
      <x:c r="H767" s="39" t="str">
        <x:v>فعالیت در تیم های کارآفرین</x:v>
      </x:c>
      <x:c r="I767" s="39" t="str">
        <x:v>پس از تثبیت پایه‌ها؛ پروژه‌محور</x:v>
      </x:c>
      <x:c r="J767" s="39" t="str">
        <x:v>سازنده زیست‌بوم + مدیر پورتفو</x:v>
      </x:c>
      <x:c r="K767" s="39" t="str"/>
      <x:c r="L767" s="39" t="str">
        <x:v>E112:P2546</x:v>
      </x:c>
      <x:c r="M767" s="39" t="str"/>
      <x:c r="N767" s="39" t="str">
        <x:v>نسخه پایه ۳۱۵۰</x:v>
      </x:c>
    </x:row>
    <x:row r="768" ht="34" customHeight="1">
      <x:c r="A768" s="34" t="str">
        <x:v>☐</x:v>
      </x:c>
      <x:c r="B768" s="34" t="str">
        <x:v>MI-2655</x:v>
      </x:c>
      <x:c r="C768" s="34" t="str">
        <x:v>M3 — کسب‌وکار، شبکه و زیست‌بوم نوآوری</x:v>
      </x:c>
      <x:c r="D768" s="34" t="str">
        <x:v>H10</x:v>
      </x:c>
      <x:c r="E768" s="34" t="str">
        <x:v>زیست‌بوم نوآوری، استعداد و تیم‌سازی</x:v>
      </x:c>
      <x:c r="F768" s="34" t="str">
        <x:v>P2</x:v>
      </x:c>
      <x:c r="G768" s="34" t="str">
        <x:v>هدف/موضوع</x:v>
      </x:c>
      <x:c r="H768" s="39" t="str">
        <x:v>محتوای این آکادمی ها باید بر اساس:</x:v>
      </x:c>
      <x:c r="I768" s="39" t="str">
        <x:v>پس از تثبیت پایه‌ها؛ پروژه‌محور</x:v>
      </x:c>
      <x:c r="J768" s="39" t="str">
        <x:v>سازنده زیست‌بوم + مدیر پورتفو</x:v>
      </x:c>
      <x:c r="K768" s="39" t="str"/>
      <x:c r="L768" s="39" t="str">
        <x:v>E112:P2567</x:v>
      </x:c>
      <x:c r="M768" s="39" t="str"/>
      <x:c r="N768" s="39" t="str">
        <x:v>نسخه پایه ۳۱۵۰</x:v>
      </x:c>
    </x:row>
    <x:row r="769" ht="34" customHeight="1">
      <x:c r="A769" s="34" t="str">
        <x:v>☐</x:v>
      </x:c>
      <x:c r="B769" s="34" t="str">
        <x:v>MI-2660</x:v>
      </x:c>
      <x:c r="C769" s="34" t="str">
        <x:v>M3 — کسب‌وکار، شبکه و زیست‌بوم نوآوری</x:v>
      </x:c>
      <x:c r="D769" s="34" t="str">
        <x:v>H10</x:v>
      </x:c>
      <x:c r="E769" s="34" t="str">
        <x:v>زیست‌بوم نوآوری، استعداد و تیم‌سازی</x:v>
      </x:c>
      <x:c r="F769" s="34" t="str">
        <x:v>P2</x:v>
      </x:c>
      <x:c r="G769" s="34" t="str">
        <x:v>هدف/موضوع</x:v>
      </x:c>
      <x:c r="H769" s="39" t="str">
        <x:v>مراکز نوآوری مانند مرکز نوآوری شروع نقش مهمی در شکل گیری تیم ها دارند.</x:v>
      </x:c>
      <x:c r="I769" s="39" t="str">
        <x:v>پس از تثبیت پایه‌ها؛ پروژه‌محور</x:v>
      </x:c>
      <x:c r="J769" s="39" t="str">
        <x:v>سازنده زیست‌بوم + مدیر پورتفو</x:v>
      </x:c>
      <x:c r="K769" s="39" t="str"/>
      <x:c r="L769" s="39" t="str">
        <x:v>E112:P2578</x:v>
      </x:c>
      <x:c r="M769" s="39" t="str"/>
      <x:c r="N769" s="39" t="str">
        <x:v>نسخه پایه ۳۱۵۰</x:v>
      </x:c>
    </x:row>
    <x:row r="770" ht="34" customHeight="1">
      <x:c r="A770" s="34" t="str">
        <x:v>☐</x:v>
      </x:c>
      <x:c r="B770" s="34" t="str">
        <x:v>MI-2662</x:v>
      </x:c>
      <x:c r="C770" s="34" t="str">
        <x:v>M3 — کسب‌وکار، شبکه و زیست‌بوم نوآوری</x:v>
      </x:c>
      <x:c r="D770" s="34" t="str">
        <x:v>H10</x:v>
      </x:c>
      <x:c r="E770" s="34" t="str">
        <x:v>زیست‌بوم نوآوری، استعداد و تیم‌سازی</x:v>
      </x:c>
      <x:c r="F770" s="34" t="str">
        <x:v>P2</x:v>
      </x:c>
      <x:c r="G770" s="34" t="str">
        <x:v>هدف/موضوع</x:v>
      </x:c>
      <x:c r="H770" s="39" t="str">
        <x:v>اتصال به منتورها</x:v>
      </x:c>
      <x:c r="I770" s="39" t="str">
        <x:v>پس از تثبیت پایه‌ها؛ پروژه‌محور</x:v>
      </x:c>
      <x:c r="J770" s="39" t="str">
        <x:v>سازنده زیست‌بوم + مدیر پورتفو</x:v>
      </x:c>
      <x:c r="K770" s="39" t="str"/>
      <x:c r="L770" s="39" t="str">
        <x:v>E112:P2588؛ E112:P3020</x:v>
      </x:c>
      <x:c r="M770" s="39" t="str"/>
      <x:c r="N770" s="39" t="str">
        <x:v>نسخه پایه ۳۱۵۰</x:v>
      </x:c>
    </x:row>
    <x:row r="771" ht="34" customHeight="1">
      <x:c r="A771" s="34" t="str">
        <x:v>☐</x:v>
      </x:c>
      <x:c r="B771" s="34" t="str">
        <x:v>MI-2670</x:v>
      </x:c>
      <x:c r="C771" s="34" t="str">
        <x:v>M3 — کسب‌وکار، شبکه و زیست‌بوم نوآوری</x:v>
      </x:c>
      <x:c r="D771" s="34" t="str">
        <x:v>H10</x:v>
      </x:c>
      <x:c r="E771" s="34" t="str">
        <x:v>زیست‌بوم نوآوری، استعداد و تیم‌سازی</x:v>
      </x:c>
      <x:c r="F771" s="34" t="str">
        <x:v>P2</x:v>
      </x:c>
      <x:c r="G771" s="34" t="str">
        <x:v>هدف/موضوع</x:v>
      </x:c>
      <x:c r="H771" s="39" t="str">
        <x:v>یک زیست بوم موفق بدون شبکه منتورهای قوی شکل نمی گیرد.</x:v>
      </x:c>
      <x:c r="I771" s="39" t="str">
        <x:v>پس از تثبیت پایه‌ها؛ پروژه‌محور</x:v>
      </x:c>
      <x:c r="J771" s="39" t="str">
        <x:v>سازنده زیست‌بوم + مدیر پورتفو</x:v>
      </x:c>
      <x:c r="K771" s="39" t="str"/>
      <x:c r="L771" s="39" t="str">
        <x:v>E112:P2605</x:v>
      </x:c>
      <x:c r="M771" s="39" t="str"/>
      <x:c r="N771" s="39" t="str">
        <x:v>نسخه پایه ۳۱۵۰</x:v>
      </x:c>
    </x:row>
    <x:row r="772" ht="34" customHeight="1">
      <x:c r="A772" s="34" t="str">
        <x:v>☐</x:v>
      </x:c>
      <x:c r="B772" s="34" t="str">
        <x:v>MI-2676</x:v>
      </x:c>
      <x:c r="C772" s="34" t="str">
        <x:v>M3 — کسب‌وکار، شبکه و زیست‌بوم نوآوری</x:v>
      </x:c>
      <x:c r="D772" s="34" t="str">
        <x:v>H10</x:v>
      </x:c>
      <x:c r="E772" s="34" t="str">
        <x:v>زیست‌بوم نوآوری، استعداد و تیم‌سازی</x:v>
      </x:c>
      <x:c r="F772" s="34" t="str">
        <x:v>P2</x:v>
      </x:c>
      <x:c r="G772" s="34" t="str">
        <x:v>هدف/موضوع</x:v>
      </x:c>
      <x:c r="H772" s="39" t="str">
        <x:v>نقش منتورها:</x:v>
      </x:c>
      <x:c r="I772" s="39" t="str">
        <x:v>پس از تثبیت پایه‌ها؛ پروژه‌محور</x:v>
      </x:c>
      <x:c r="J772" s="39" t="str">
        <x:v>سازنده زیست‌بوم + مدیر پورتفو</x:v>
      </x:c>
      <x:c r="K772" s="39" t="str"/>
      <x:c r="L772" s="39" t="str">
        <x:v>E112:P2623</x:v>
      </x:c>
      <x:c r="M772" s="39" t="str"/>
      <x:c r="N772" s="39" t="str">
        <x:v>نسخه پایه ۳۱۵۰</x:v>
      </x:c>
    </x:row>
    <x:row r="773" ht="34" customHeight="1">
      <x:c r="A773" s="34" t="str">
        <x:v>☐</x:v>
      </x:c>
      <x:c r="B773" s="34" t="str">
        <x:v>MI-2684</x:v>
      </x:c>
      <x:c r="C773" s="34" t="str">
        <x:v>M3 — کسب‌وکار، شبکه و زیست‌بوم نوآوری</x:v>
      </x:c>
      <x:c r="D773" s="34" t="str">
        <x:v>H10</x:v>
      </x:c>
      <x:c r="E773" s="34" t="str">
        <x:v>زیست‌بوم نوآوری، استعداد و تیم‌سازی</x:v>
      </x:c>
      <x:c r="F773" s="34" t="str">
        <x:v>P2</x:v>
      </x:c>
      <x:c r="G773" s="34" t="str">
        <x:v>هدف/موضوع</x:v>
      </x:c>
      <x:c r="H773" s="39" t="str">
        <x:v>پایش استعدادهای جوان</x:v>
      </x:c>
      <x:c r="I773" s="39" t="str">
        <x:v>پس از تثبیت پایه‌ها؛ پروژه‌محور</x:v>
      </x:c>
      <x:c r="J773" s="39" t="str">
        <x:v>سازنده زیست‌بوم + مدیر پورتفو</x:v>
      </x:c>
      <x:c r="K773" s="39" t="str"/>
      <x:c r="L773" s="39" t="str">
        <x:v>E112:P2646</x:v>
      </x:c>
      <x:c r="M773" s="39" t="str"/>
      <x:c r="N773" s="39" t="str">
        <x:v>نسخه پایه ۳۱۵۰</x:v>
      </x:c>
    </x:row>
    <x:row r="774" ht="34" customHeight="1">
      <x:c r="A774" s="34" t="str">
        <x:v>☐</x:v>
      </x:c>
      <x:c r="B774" s="34" t="str">
        <x:v>MI-2689</x:v>
      </x:c>
      <x:c r="C774" s="34" t="str">
        <x:v>M3 — کسب‌وکار، شبکه و زیست‌بوم نوآوری</x:v>
      </x:c>
      <x:c r="D774" s="34" t="str">
        <x:v>H10</x:v>
      </x:c>
      <x:c r="E774" s="34" t="str">
        <x:v>زیست‌بوم نوآوری، استعداد و تیم‌سازی</x:v>
      </x:c>
      <x:c r="F774" s="34" t="str">
        <x:v>P2</x:v>
      </x:c>
      <x:c r="G774" s="34" t="str">
        <x:v>هدف/موضوع</x:v>
      </x:c>
      <x:c r="H774" s="39" t="str">
        <x:v>برای پایداری اکوسیستم لازم است روی نسل نوجوان و دانش آموز نیز کار شود.</x:v>
      </x:c>
      <x:c r="I774" s="39" t="str">
        <x:v>پس از تثبیت پایه‌ها؛ پروژه‌محور</x:v>
      </x:c>
      <x:c r="J774" s="39" t="str">
        <x:v>سازنده زیست‌بوم + مدیر پورتفو</x:v>
      </x:c>
      <x:c r="K774" s="39" t="str"/>
      <x:c r="L774" s="39" t="str">
        <x:v>E112:P2655</x:v>
      </x:c>
      <x:c r="M774" s="39" t="str"/>
      <x:c r="N774" s="39" t="str">
        <x:v>نسخه پایه ۳۱۵۰</x:v>
      </x:c>
    </x:row>
    <x:row r="775" ht="34" customHeight="1">
      <x:c r="A775" s="34" t="str">
        <x:v>☐</x:v>
      </x:c>
      <x:c r="B775" s="34" t="str">
        <x:v>MI-2693</x:v>
      </x:c>
      <x:c r="C775" s="34" t="str">
        <x:v>M3 — کسب‌وکار، شبکه و زیست‌بوم نوآوری</x:v>
      </x:c>
      <x:c r="D775" s="34" t="str">
        <x:v>H10</x:v>
      </x:c>
      <x:c r="E775" s="34" t="str">
        <x:v>زیست‌بوم نوآوری، استعداد و تیم‌سازی</x:v>
      </x:c>
      <x:c r="F775" s="34" t="str">
        <x:v>P2</x:v>
      </x:c>
      <x:c r="G775" s="34" t="str">
        <x:v>هدف/موضوع</x:v>
      </x:c>
      <x:c r="H775" s="39" t="str">
        <x:v>استعدادسنجی</x:v>
      </x:c>
      <x:c r="I775" s="39" t="str">
        <x:v>پس از تثبیت پایه‌ها؛ پروژه‌محور</x:v>
      </x:c>
      <x:c r="J775" s="39" t="str">
        <x:v>سازنده زیست‌بوم + مدیر پورتفو</x:v>
      </x:c>
      <x:c r="K775" s="39" t="str"/>
      <x:c r="L775" s="39" t="str">
        <x:v>E112:P2663</x:v>
      </x:c>
      <x:c r="M775" s="39" t="str"/>
      <x:c r="N775" s="39" t="str">
        <x:v>نسخه پایه ۳۱۵۰</x:v>
      </x:c>
    </x:row>
    <x:row r="776" ht="34" customHeight="1">
      <x:c r="A776" s="34" t="str">
        <x:v>☐</x:v>
      </x:c>
      <x:c r="B776" s="34" t="str">
        <x:v>MI-2708</x:v>
      </x:c>
      <x:c r="C776" s="34" t="str">
        <x:v>M3 — کسب‌وکار، شبکه و زیست‌بوم نوآوری</x:v>
      </x:c>
      <x:c r="D776" s="34" t="str">
        <x:v>H10</x:v>
      </x:c>
      <x:c r="E776" s="34" t="str">
        <x:v>زیست‌بوم نوآوری، استعداد و تیم‌سازی</x:v>
      </x:c>
      <x:c r="F776" s="34" t="str">
        <x:v>P2</x:v>
      </x:c>
      <x:c r="G776" s="34" t="str">
        <x:v>هدف/موضوع</x:v>
      </x:c>
      <x:c r="H776" s="39" t="str">
        <x:v>تیم های استارتاپی</x:v>
      </x:c>
      <x:c r="I776" s="39" t="str">
        <x:v>پس از تثبیت پایه‌ها؛ پروژه‌محور</x:v>
      </x:c>
      <x:c r="J776" s="39" t="str">
        <x:v>سازنده زیست‌بوم + مدیر پورتفو</x:v>
      </x:c>
      <x:c r="K776" s="39" t="str"/>
      <x:c r="L776" s="39" t="str">
        <x:v>E112:P2698</x:v>
      </x:c>
      <x:c r="M776" s="39" t="str"/>
      <x:c r="N776" s="39" t="str">
        <x:v>نسخه پایه ۳۱۵۰</x:v>
      </x:c>
    </x:row>
    <x:row r="777" ht="34" customHeight="1">
      <x:c r="A777" s="34" t="str">
        <x:v>☐</x:v>
      </x:c>
      <x:c r="B777" s="34" t="str">
        <x:v>MI-2724</x:v>
      </x:c>
      <x:c r="C777" s="34" t="str">
        <x:v>M3 — کسب‌وکار، شبکه و زیست‌بوم نوآوری</x:v>
      </x:c>
      <x:c r="D777" s="34" t="str">
        <x:v>H10</x:v>
      </x:c>
      <x:c r="E777" s="34" t="str">
        <x:v>زیست‌بوم نوآوری، استعداد و تیم‌سازی</x:v>
      </x:c>
      <x:c r="F777" s="34" t="str">
        <x:v>P2</x:v>
      </x:c>
      <x:c r="G777" s="34" t="str">
        <x:v>هدف/موضوع</x:v>
      </x:c>
      <x:c r="H777" s="39" t="str">
        <x:v>منتور اختصاص داده می شود</x:v>
      </x:c>
      <x:c r="I777" s="39" t="str">
        <x:v>پس از تثبیت پایه‌ها؛ پروژه‌محور</x:v>
      </x:c>
      <x:c r="J777" s="39" t="str">
        <x:v>سازنده زیست‌بوم + مدیر پورتفو</x:v>
      </x:c>
      <x:c r="K777" s="39" t="str"/>
      <x:c r="L777" s="39" t="str">
        <x:v>E112:P2739</x:v>
      </x:c>
      <x:c r="M777" s="39" t="str"/>
      <x:c r="N777" s="39" t="str">
        <x:v>نسخه پایه ۳۱۵۰</x:v>
      </x:c>
    </x:row>
    <x:row r="778" ht="34" customHeight="1">
      <x:c r="A778" s="34" t="str">
        <x:v>☐</x:v>
      </x:c>
      <x:c r="B778" s="34" t="str">
        <x:v>MI-2726</x:v>
      </x:c>
      <x:c r="C778" s="34" t="str">
        <x:v>M3 — کسب‌وکار، شبکه و زیست‌بوم نوآوری</x:v>
      </x:c>
      <x:c r="D778" s="34" t="str">
        <x:v>H10</x:v>
      </x:c>
      <x:c r="E778" s="34" t="str">
        <x:v>زیست‌بوم نوآوری، استعداد و تیم‌سازی</x:v>
      </x:c>
      <x:c r="F778" s="34" t="str">
        <x:v>P2</x:v>
      </x:c>
      <x:c r="G778" s="34" t="str">
        <x:v>هدف/موضوع</x:v>
      </x:c>
      <x:c r="H778" s="39" t="str">
        <x:v>12. رویدادها و بوتکمپ های نوآوری</x:v>
      </x:c>
      <x:c r="I778" s="39" t="str">
        <x:v>پس از تثبیت پایه‌ها؛ پروژه‌محور</x:v>
      </x:c>
      <x:c r="J778" s="39" t="str">
        <x:v>سازنده زیست‌بوم + مدیر پورتفو</x:v>
      </x:c>
      <x:c r="K778" s="39" t="str"/>
      <x:c r="L778" s="39" t="str">
        <x:v>E112:P2742</x:v>
      </x:c>
      <x:c r="M778" s="39" t="str"/>
      <x:c r="N778" s="39" t="str">
        <x:v>نسخه پایه ۳۱۵۰</x:v>
      </x:c>
    </x:row>
    <x:row r="779" ht="34" customHeight="1">
      <x:c r="A779" s="34" t="str">
        <x:v>☐</x:v>
      </x:c>
      <x:c r="B779" s="34" t="str">
        <x:v>MI-2727</x:v>
      </x:c>
      <x:c r="C779" s="34" t="str">
        <x:v>M3 — کسب‌وکار، شبکه و زیست‌بوم نوآوری</x:v>
      </x:c>
      <x:c r="D779" s="34" t="str">
        <x:v>H10</x:v>
      </x:c>
      <x:c r="E779" s="34" t="str">
        <x:v>زیست‌بوم نوآوری، استعداد و تیم‌سازی</x:v>
      </x:c>
      <x:c r="F779" s="34" t="str">
        <x:v>P2</x:v>
      </x:c>
      <x:c r="G779" s="34" t="str">
        <x:v>هدف/موضوع</x:v>
      </x:c>
      <x:c r="H779" s="39" t="str">
        <x:v>رویدادها نقش مهمی در شکل گیری اکوسیستم دارند.</x:v>
      </x:c>
      <x:c r="I779" s="39" t="str">
        <x:v>پس از تثبیت پایه‌ها؛ پروژه‌محور</x:v>
      </x:c>
      <x:c r="J779" s="39" t="str">
        <x:v>سازنده زیست‌بوم + مدیر پورتفو</x:v>
      </x:c>
      <x:c r="K779" s="39" t="str"/>
      <x:c r="L779" s="39" t="str">
        <x:v>E112:P2744</x:v>
      </x:c>
      <x:c r="M779" s="39" t="str"/>
      <x:c r="N779" s="39" t="str">
        <x:v>نسخه پایه ۳۱۵۰</x:v>
      </x:c>
    </x:row>
    <x:row r="780" ht="34" customHeight="1">
      <x:c r="A780" s="34" t="str">
        <x:v>☐</x:v>
      </x:c>
      <x:c r="B780" s="34" t="str">
        <x:v>MI-2733</x:v>
      </x:c>
      <x:c r="C780" s="34" t="str">
        <x:v>M3 — کسب‌وکار، شبکه و زیست‌بوم نوآوری</x:v>
      </x:c>
      <x:c r="D780" s="34" t="str">
        <x:v>H10</x:v>
      </x:c>
      <x:c r="E780" s="34" t="str">
        <x:v>زیست‌بوم نوآوری، استعداد و تیم‌سازی</x:v>
      </x:c>
      <x:c r="F780" s="34" t="str">
        <x:v>P2</x:v>
      </x:c>
      <x:c r="G780" s="34" t="str">
        <x:v>هدف/موضوع</x:v>
      </x:c>
      <x:c r="H780" s="39" t="str">
        <x:v>در مراحل پیشرفته تر، تیم های موفق باید به منابع سرمایه متصل شوند.</x:v>
      </x:c>
      <x:c r="I780" s="39" t="str">
        <x:v>پس از تثبیت پایه‌ها؛ پروژه‌محور</x:v>
      </x:c>
      <x:c r="J780" s="39" t="str">
        <x:v>سازنده زیست‌بوم + مدیر پورتفو</x:v>
      </x:c>
      <x:c r="K780" s="39" t="str"/>
      <x:c r="L780" s="39" t="str">
        <x:v>E112:P2773</x:v>
      </x:c>
      <x:c r="M780" s="39" t="str"/>
      <x:c r="N780" s="39" t="str">
        <x:v>نسخه پایه ۳۱۵۰</x:v>
      </x:c>
    </x:row>
    <x:row r="781" ht="34" customHeight="1">
      <x:c r="A781" s="34" t="str">
        <x:v>☐</x:v>
      </x:c>
      <x:c r="B781" s="34" t="str">
        <x:v>MI-2737</x:v>
      </x:c>
      <x:c r="C781" s="34" t="str">
        <x:v>M3 — کسب‌وکار، شبکه و زیست‌بوم نوآوری</x:v>
      </x:c>
      <x:c r="D781" s="34" t="str">
        <x:v>H10</x:v>
      </x:c>
      <x:c r="E781" s="34" t="str">
        <x:v>زیست‌بوم نوآوری، استعداد و تیم‌سازی</x:v>
      </x:c>
      <x:c r="F781" s="34" t="str">
        <x:v>P2</x:v>
      </x:c>
      <x:c r="G781" s="34" t="str">
        <x:v>هدف/موضوع</x:v>
      </x:c>
      <x:c r="H781" s="39" t="str">
        <x:v>در این مرحله تیم ها می توانند:</x:v>
      </x:c>
      <x:c r="I781" s="39" t="str">
        <x:v>پس از تثبیت پایه‌ها؛ پروژه‌محور</x:v>
      </x:c>
      <x:c r="J781" s="39" t="str">
        <x:v>سازنده زیست‌بوم + مدیر پورتفو</x:v>
      </x:c>
      <x:c r="K781" s="39" t="str"/>
      <x:c r="L781" s="39" t="str">
        <x:v>E112:P2787</x:v>
      </x:c>
      <x:c r="M781" s="39" t="str"/>
      <x:c r="N781" s="39" t="str">
        <x:v>نسخه پایه ۳۱۵۰</x:v>
      </x:c>
    </x:row>
    <x:row r="782" ht="34" customHeight="1">
      <x:c r="A782" s="34" t="str">
        <x:v>☐</x:v>
      </x:c>
      <x:c r="B782" s="34" t="str">
        <x:v>MI-2746</x:v>
      </x:c>
      <x:c r="C782" s="34" t="str">
        <x:v>M3 — کسب‌وکار، شبکه و زیست‌بوم نوآوری</x:v>
      </x:c>
      <x:c r="D782" s="34" t="str">
        <x:v>H10</x:v>
      </x:c>
      <x:c r="E782" s="34" t="str">
        <x:v>زیست‌بوم نوآوری، استعداد و تیم‌سازی</x:v>
      </x:c>
      <x:c r="F782" s="34" t="str">
        <x:v>P2</x:v>
      </x:c>
      <x:c r="G782" s="34" t="str">
        <x:v>هدف/موضوع</x:v>
      </x:c>
      <x:c r="H782" s="39" t="str">
        <x:v>منتورینگ تیم ها</x:v>
      </x:c>
      <x:c r="I782" s="39" t="str">
        <x:v>پس از تثبیت پایه‌ها؛ پروژه‌محور</x:v>
      </x:c>
      <x:c r="J782" s="39" t="str">
        <x:v>سازنده زیست‌بوم + مدیر پورتفو</x:v>
      </x:c>
      <x:c r="K782" s="39" t="str"/>
      <x:c r="L782" s="39" t="str">
        <x:v>E112:P2804</x:v>
      </x:c>
      <x:c r="M782" s="39" t="str"/>
      <x:c r="N782" s="39" t="str">
        <x:v>نسخه پایه ۳۱۵۰</x:v>
      </x:c>
    </x:row>
    <x:row r="783" ht="34" customHeight="1">
      <x:c r="A783" s="34" t="str">
        <x:v>☐</x:v>
      </x:c>
      <x:c r="B783" s="34" t="str">
        <x:v>MI-2748</x:v>
      </x:c>
      <x:c r="C783" s="34" t="str">
        <x:v>M3 — کسب‌وکار، شبکه و زیست‌بوم نوآوری</x:v>
      </x:c>
      <x:c r="D783" s="34" t="str">
        <x:v>H10</x:v>
      </x:c>
      <x:c r="E783" s="34" t="str">
        <x:v>زیست‌بوم نوآوری، استعداد و تیم‌سازی</x:v>
      </x:c>
      <x:c r="F783" s="34" t="str">
        <x:v>P2</x:v>
      </x:c>
      <x:c r="G783" s="34" t="str">
        <x:v>هدف/موضوع</x:v>
      </x:c>
      <x:c r="H783" s="39" t="str">
        <x:v>انواع EiR</x:v>
      </x:c>
      <x:c r="I783" s="39" t="str">
        <x:v>پس از تثبیت پایه‌ها؛ پروژه‌محور</x:v>
      </x:c>
      <x:c r="J783" s="39" t="str">
        <x:v>سازنده زیست‌بوم + مدیر پورتفو</x:v>
      </x:c>
      <x:c r="K783" s="39" t="str"/>
      <x:c r="L783" s="39" t="str">
        <x:v>E112:P2811</x:v>
      </x:c>
      <x:c r="M783" s="39" t="str"/>
      <x:c r="N783" s="39" t="str">
        <x:v>نسخه پایه ۳۱۵۰</x:v>
      </x:c>
    </x:row>
    <x:row r="784" ht="34" customHeight="1">
      <x:c r="A784" s="34" t="str">
        <x:v>☐</x:v>
      </x:c>
      <x:c r="B784" s="34" t="str">
        <x:v>MI-2753</x:v>
      </x:c>
      <x:c r="C784" s="34" t="str">
        <x:v>M3 — کسب‌وکار، شبکه و زیست‌بوم نوآوری</x:v>
      </x:c>
      <x:c r="D784" s="34" t="str">
        <x:v>H10</x:v>
      </x:c>
      <x:c r="E784" s="34" t="str">
        <x:v>زیست‌بوم نوآوری، استعداد و تیم‌سازی</x:v>
      </x:c>
      <x:c r="F784" s="34" t="str">
        <x:v>P2</x:v>
      </x:c>
      <x:c r="G784" s="34" t="str">
        <x:v>هدف/موضوع</x:v>
      </x:c>
      <x:c r="H784" s="39" t="str">
        <x:v>برای انتقال تجربه و کمک به تیم ها.</x:v>
      </x:c>
      <x:c r="I784" s="39" t="str">
        <x:v>پس از تثبیت پایه‌ها؛ پروژه‌محور</x:v>
      </x:c>
      <x:c r="J784" s="39" t="str">
        <x:v>سازنده زیست‌بوم + مدیر پورتفو</x:v>
      </x:c>
      <x:c r="K784" s="39" t="str"/>
      <x:c r="L784" s="39" t="str">
        <x:v>E112:P2824</x:v>
      </x:c>
      <x:c r="M784" s="39" t="str"/>
      <x:c r="N784" s="39" t="str">
        <x:v>نسخه پایه ۳۱۵۰</x:v>
      </x:c>
    </x:row>
    <x:row r="785" ht="34" customHeight="1">
      <x:c r="A785" s="34" t="str">
        <x:v>☐</x:v>
      </x:c>
      <x:c r="B785" s="34" t="str">
        <x:v>MI-2778</x:v>
      </x:c>
      <x:c r="C785" s="34" t="str">
        <x:v>M3 — کسب‌وکار، شبکه و زیست‌بوم نوآوری</x:v>
      </x:c>
      <x:c r="D785" s="34" t="str">
        <x:v>H10</x:v>
      </x:c>
      <x:c r="E785" s="34" t="str">
        <x:v>زیست‌بوم نوآوری، استعداد و تیم‌سازی</x:v>
      </x:c>
      <x:c r="F785" s="34" t="str">
        <x:v>P2</x:v>
      </x:c>
      <x:c r="G785" s="34" t="str">
        <x:v>هدف/موضوع</x:v>
      </x:c>
      <x:c r="H785" s="39" t="str">
        <x:v>هدف نهایی این اکوسیستم:</x:v>
      </x:c>
      <x:c r="I785" s="39" t="str">
        <x:v>پس از تثبیت پایه‌ها؛ پروژه‌محور</x:v>
      </x:c>
      <x:c r="J785" s="39" t="str">
        <x:v>سازنده زیست‌بوم + مدیر پورتفو</x:v>
      </x:c>
      <x:c r="K785" s="39" t="str"/>
      <x:c r="L785" s="39" t="str">
        <x:v>E112:P2889</x:v>
      </x:c>
      <x:c r="M785" s="39" t="str"/>
      <x:c r="N785" s="39" t="str">
        <x:v>نسخه پایه ۳۱۵۰</x:v>
      </x:c>
    </x:row>
    <x:row r="786" ht="34" customHeight="1">
      <x:c r="A786" s="34" t="str">
        <x:v>☐</x:v>
      </x:c>
      <x:c r="B786" s="34" t="str">
        <x:v>MI-2782</x:v>
      </x:c>
      <x:c r="C786" s="34" t="str">
        <x:v>M3 — کسب‌وکار، شبکه و زیست‌بوم نوآوری</x:v>
      </x:c>
      <x:c r="D786" s="34" t="str">
        <x:v>H10</x:v>
      </x:c>
      <x:c r="E786" s="34" t="str">
        <x:v>زیست‌بوم نوآوری، استعداد و تیم‌سازی</x:v>
      </x:c>
      <x:c r="F786" s="34" t="str">
        <x:v>P2</x:v>
      </x:c>
      <x:c r="G786" s="34" t="str">
        <x:v>هدف/موضوع</x:v>
      </x:c>
      <x:c r="H786" s="39" t="str">
        <x:v>منتورینگ</x:v>
      </x:c>
      <x:c r="I786" s="39" t="str">
        <x:v>پس از تثبیت پایه‌ها؛ پروژه‌محور</x:v>
      </x:c>
      <x:c r="J786" s="39" t="str">
        <x:v>سازنده زیست‌بوم + مدیر پورتفو</x:v>
      </x:c>
      <x:c r="K786" s="39" t="str"/>
      <x:c r="L786" s="39" t="str">
        <x:v>E112:P2903؛ E112:P3180</x:v>
      </x:c>
      <x:c r="M786" s="39" t="str"/>
      <x:c r="N786" s="39" t="str">
        <x:v>نسخه پایه ۳۱۵۰</x:v>
      </x:c>
    </x:row>
    <x:row r="787" ht="34" customHeight="1">
      <x:c r="A787" s="34" t="str">
        <x:v>☐</x:v>
      </x:c>
      <x:c r="B787" s="34" t="str">
        <x:v>MI-2786</x:v>
      </x:c>
      <x:c r="C787" s="34" t="str">
        <x:v>M3 — کسب‌وکار، شبکه و زیست‌بوم نوآوری</x:v>
      </x:c>
      <x:c r="D787" s="34" t="str">
        <x:v>H10</x:v>
      </x:c>
      <x:c r="E787" s="34" t="str">
        <x:v>زیست‌بوم نوآوری، استعداد و تیم‌سازی</x:v>
      </x:c>
      <x:c r="F787" s="34" t="str">
        <x:v>P2</x:v>
      </x:c>
      <x:c r="G787" s="34" t="str">
        <x:v>هدف/موضوع</x:v>
      </x:c>
      <x:c r="H787" s="39" t="str">
        <x:v>1️⃣ نقشه معماری کامل اکوسیستم مازندران (Ecosystem Architecture Map)</x:v>
      </x:c>
      <x:c r="I787" s="39" t="str">
        <x:v>پس از تثبیت پایه‌ها؛ پروژه‌محور</x:v>
      </x:c>
      <x:c r="J787" s="39" t="str">
        <x:v>سازنده زیست‌بوم + مدیر پورتفو</x:v>
      </x:c>
      <x:c r="K787" s="39" t="str"/>
      <x:c r="L787" s="39" t="str">
        <x:v>E112:P2915</x:v>
      </x:c>
      <x:c r="M787" s="39" t="str"/>
      <x:c r="N787" s="39" t="str">
        <x:v>نسخه پایه ۳۱۵۰</x:v>
      </x:c>
    </x:row>
    <x:row r="788" ht="34" customHeight="1">
      <x:c r="A788" s="34" t="str">
        <x:v>☐</x:v>
      </x:c>
      <x:c r="B788" s="34" t="str">
        <x:v>MI-2788</x:v>
      </x:c>
      <x:c r="C788" s="34" t="str">
        <x:v>M3 — کسب‌وکار، شبکه و زیست‌بوم نوآوری</x:v>
      </x:c>
      <x:c r="D788" s="34" t="str">
        <x:v>H10</x:v>
      </x:c>
      <x:c r="E788" s="34" t="str">
        <x:v>زیست‌بوم نوآوری، استعداد و تیم‌سازی</x:v>
      </x:c>
      <x:c r="F788" s="34" t="str">
        <x:v>P2</x:v>
      </x:c>
      <x:c r="G788" s="34" t="str">
        <x:v>هدف/موضوع</x:v>
      </x:c>
      <x:c r="H788" s="39" t="str">
        <x:v>2️⃣ نقشه راه 5 ساله اجرای این اکوسیستم</x:v>
      </x:c>
      <x:c r="I788" s="39" t="str">
        <x:v>پس از تثبیت پایه‌ها؛ پروژه‌محور</x:v>
      </x:c>
      <x:c r="J788" s="39" t="str">
        <x:v>سازنده زیست‌بوم + مدیر پورتفو</x:v>
      </x:c>
      <x:c r="K788" s="39" t="str"/>
      <x:c r="L788" s="39" t="str">
        <x:v>E112:P2919</x:v>
      </x:c>
      <x:c r="M788" s="39" t="str"/>
      <x:c r="N788" s="39" t="str">
        <x:v>نسخه پایه ۳۱۵۰</x:v>
      </x:c>
    </x:row>
    <x:row r="789" ht="34" customHeight="1">
      <x:c r="A789" s="34" t="str">
        <x:v>☐</x:v>
      </x:c>
      <x:c r="B789" s="34" t="str">
        <x:v>MI-2790</x:v>
      </x:c>
      <x:c r="C789" s="34" t="str">
        <x:v>M3 — کسب‌وکار، شبکه و زیست‌بوم نوآوری</x:v>
      </x:c>
      <x:c r="D789" s="34" t="str">
        <x:v>H10</x:v>
      </x:c>
      <x:c r="E789" s="34" t="str">
        <x:v>زیست‌بوم نوآوری، استعداد و تیم‌سازی</x:v>
      </x:c>
      <x:c r="F789" s="34" t="str">
        <x:v>P2</x:v>
      </x:c>
      <x:c r="G789" s="34" t="str">
        <x:v>هدف/موضوع</x:v>
      </x:c>
      <x:c r="H789" s="39" t="str">
        <x:v>"1️⃣ نقشه معماری کامل اکوسیستم مازندران (Ecosystem Architecture Map) که دقیق نشان می دهد تمام این اجزا چگونه به هم متصل می شوند."</x:v>
      </x:c>
      <x:c r="I789" s="39" t="str">
        <x:v>پس از تثبیت پایه‌ها؛ پروژه‌محور</x:v>
      </x:c>
      <x:c r="J789" s="39" t="str">
        <x:v>سازنده زیست‌بوم + مدیر پورتفو</x:v>
      </x:c>
      <x:c r="K789" s="39" t="str"/>
      <x:c r="L789" s="39" t="str">
        <x:v>E112:P2923</x:v>
      </x:c>
      <x:c r="M789" s="39" t="str"/>
      <x:c r="N789" s="39" t="str">
        <x:v>نسخه پایه ۳۱۵۰</x:v>
      </x:c>
    </x:row>
    <x:row r="790" ht="34" customHeight="1">
      <x:c r="A790" s="34" t="str">
        <x:v>☐</x:v>
      </x:c>
      <x:c r="B790" s="34" t="str">
        <x:v>MI-2793</x:v>
      </x:c>
      <x:c r="C790" s="34" t="str">
        <x:v>M3 — کسب‌وکار، شبکه و زیست‌بوم نوآوری</x:v>
      </x:c>
      <x:c r="D790" s="34" t="str">
        <x:v>H10</x:v>
      </x:c>
      <x:c r="E790" s="34" t="str">
        <x:v>زیست‌بوم نوآوری، استعداد و تیم‌سازی</x:v>
      </x:c>
      <x:c r="F790" s="34" t="str">
        <x:v>P2</x:v>
      </x:c>
      <x:c r="G790" s="34" t="str">
        <x:v>هدف/موضوع</x:v>
      </x:c>
      <x:c r="H790" s="39" t="str">
        <x:v>نقشه معماری اکوسیستم نوآوری مازندران</x:v>
      </x:c>
      <x:c r="I790" s="39" t="str">
        <x:v>پس از تثبیت پایه‌ها؛ پروژه‌محور</x:v>
      </x:c>
      <x:c r="J790" s="39" t="str">
        <x:v>سازنده زیست‌بوم + مدیر پورتفو</x:v>
      </x:c>
      <x:c r="K790" s="39" t="str"/>
      <x:c r="L790" s="39" t="str">
        <x:v>E112:P2927</x:v>
      </x:c>
      <x:c r="M790" s="39" t="str"/>
      <x:c r="N790" s="39" t="str">
        <x:v>نسخه پایه ۳۱۵۰</x:v>
      </x:c>
    </x:row>
    <x:row r="791" ht="34" customHeight="1">
      <x:c r="A791" s="34" t="str">
        <x:v>☐</x:v>
      </x:c>
      <x:c r="B791" s="34" t="str">
        <x:v>MI-2796</x:v>
      </x:c>
      <x:c r="C791" s="34" t="str">
        <x:v>M3 — کسب‌وکار، شبکه و زیست‌بوم نوآوری</x:v>
      </x:c>
      <x:c r="D791" s="34" t="str">
        <x:v>H10</x:v>
      </x:c>
      <x:c r="E791" s="34" t="str">
        <x:v>زیست‌بوم نوآوری، استعداد و تیم‌سازی</x:v>
      </x:c>
      <x:c r="F791" s="34" t="str">
        <x:v>P2</x:v>
      </x:c>
      <x:c r="G791" s="34" t="str">
        <x:v>هدف/موضوع</x:v>
      </x:c>
      <x:c r="H791" s="39" t="str">
        <x:v>این لایه ورودی اصلی اکوسیستم است.</x:v>
      </x:c>
      <x:c r="I791" s="39" t="str">
        <x:v>پس از تثبیت پایه‌ها؛ پروژه‌محور</x:v>
      </x:c>
      <x:c r="J791" s="39" t="str">
        <x:v>سازنده زیست‌بوم + مدیر پورتفو</x:v>
      </x:c>
      <x:c r="K791" s="39" t="str"/>
      <x:c r="L791" s="39" t="str">
        <x:v>E112:P2932</x:v>
      </x:c>
      <x:c r="M791" s="39" t="str"/>
      <x:c r="N791" s="39" t="str">
        <x:v>نسخه پایه ۳۱۵۰</x:v>
      </x:c>
    </x:row>
    <x:row r="792" ht="34" customHeight="1">
      <x:c r="A792" s="34" t="str">
        <x:v>☐</x:v>
      </x:c>
      <x:c r="B792" s="34" t="str">
        <x:v>MI-2806</x:v>
      </x:c>
      <x:c r="C792" s="34" t="str">
        <x:v>M3 — کسب‌وکار، شبکه و زیست‌بوم نوآوری</x:v>
      </x:c>
      <x:c r="D792" s="34" t="str">
        <x:v>H10</x:v>
      </x:c>
      <x:c r="E792" s="34" t="str">
        <x:v>زیست‌بوم نوآوری، استعداد و تیم‌سازی</x:v>
      </x:c>
      <x:c r="F792" s="34" t="str">
        <x:v>P2</x:v>
      </x:c>
      <x:c r="G792" s="34" t="str">
        <x:v>هدف/موضوع</x:v>
      </x:c>
      <x:c r="H792" s="39" t="str">
        <x:v>این لایه مرکز داده و مغز اکوسیستم است.</x:v>
      </x:c>
      <x:c r="I792" s="39" t="str">
        <x:v>پس از تثبیت پایه‌ها؛ پروژه‌محور</x:v>
      </x:c>
      <x:c r="J792" s="39" t="str">
        <x:v>سازنده زیست‌بوم + مدیر پورتفو</x:v>
      </x:c>
      <x:c r="K792" s="39" t="str"/>
      <x:c r="L792" s="39" t="str">
        <x:v>E112:P2951</x:v>
      </x:c>
      <x:c r="M792" s="39" t="str"/>
      <x:c r="N792" s="39" t="str">
        <x:v>نسخه پایه ۳۱۵۰</x:v>
      </x:c>
    </x:row>
    <x:row r="793" ht="34" customHeight="1">
      <x:c r="A793" s="34" t="str">
        <x:v>☐</x:v>
      </x:c>
      <x:c r="B793" s="34" t="str">
        <x:v>MI-2813</x:v>
      </x:c>
      <x:c r="C793" s="34" t="str">
        <x:v>M3 — کسب‌وکار، شبکه و زیست‌بوم نوآوری</x:v>
      </x:c>
      <x:c r="D793" s="34" t="str">
        <x:v>H10</x:v>
      </x:c>
      <x:c r="E793" s="34" t="str">
        <x:v>زیست‌بوم نوآوری، استعداد و تیم‌سازی</x:v>
      </x:c>
      <x:c r="F793" s="34" t="str">
        <x:v>P2</x:v>
      </x:c>
      <x:c r="G793" s="34" t="str">
        <x:v>هدف/موضوع</x:v>
      </x:c>
      <x:c r="H793" s="39" t="str">
        <x:v>معرفی منتور</x:v>
      </x:c>
      <x:c r="I793" s="39" t="str">
        <x:v>پس از تثبیت پایه‌ها؛ پروژه‌محور</x:v>
      </x:c>
      <x:c r="J793" s="39" t="str">
        <x:v>سازنده زیست‌بوم + مدیر پورتفو</x:v>
      </x:c>
      <x:c r="K793" s="39" t="str"/>
      <x:c r="L793" s="39" t="str">
        <x:v>E112:P2968</x:v>
      </x:c>
      <x:c r="M793" s="39" t="str"/>
      <x:c r="N793" s="39" t="str">
        <x:v>نسخه پایه ۳۱۵۰</x:v>
      </x:c>
    </x:row>
    <x:row r="794" ht="34" customHeight="1">
      <x:c r="A794" s="34" t="str">
        <x:v>☐</x:v>
      </x:c>
      <x:c r="B794" s="34" t="str">
        <x:v>MI-2822</x:v>
      </x:c>
      <x:c r="C794" s="34" t="str">
        <x:v>M3 — کسب‌وکار، شبکه و زیست‌بوم نوآوری</x:v>
      </x:c>
      <x:c r="D794" s="34" t="str">
        <x:v>H10</x:v>
      </x:c>
      <x:c r="E794" s="34" t="str">
        <x:v>زیست‌بوم نوآوری، استعداد و تیم‌سازی</x:v>
      </x:c>
      <x:c r="F794" s="34" t="str">
        <x:v>P2</x:v>
      </x:c>
      <x:c r="G794" s="34" t="str">
        <x:v>هدف/موضوع</x:v>
      </x:c>
      <x:c r="H794" s="39" t="str">
        <x:v>در این لایه افراد تبدیل به تیم های عملیاتی می شوند.</x:v>
      </x:c>
      <x:c r="I794" s="39" t="str">
        <x:v>پس از تثبیت پایه‌ها؛ پروژه‌محور</x:v>
      </x:c>
      <x:c r="J794" s="39" t="str">
        <x:v>سازنده زیست‌بوم + مدیر پورتفو</x:v>
      </x:c>
      <x:c r="K794" s="39" t="str"/>
      <x:c r="L794" s="39" t="str">
        <x:v>E112:P3002</x:v>
      </x:c>
      <x:c r="M794" s="39" t="str"/>
      <x:c r="N794" s="39" t="str">
        <x:v>نسخه پایه ۳۱۵۰</x:v>
      </x:c>
    </x:row>
    <x:row r="795" ht="34" customHeight="1">
      <x:c r="A795" s="34" t="str">
        <x:v>☐</x:v>
      </x:c>
      <x:c r="B795" s="34" t="str">
        <x:v>MI-2828</x:v>
      </x:c>
      <x:c r="C795" s="34" t="str">
        <x:v>M3 — کسب‌وکار، شبکه و زیست‌بوم نوآوری</x:v>
      </x:c>
      <x:c r="D795" s="34" t="str">
        <x:v>H10</x:v>
      </x:c>
      <x:c r="E795" s="34" t="str">
        <x:v>زیست‌بوم نوآوری، استعداد و تیم‌سازی</x:v>
      </x:c>
      <x:c r="F795" s="34" t="str">
        <x:v>P2</x:v>
      </x:c>
      <x:c r="G795" s="34" t="str">
        <x:v>هدف/موضوع</x:v>
      </x:c>
      <x:c r="H795" s="39" t="str">
        <x:v>منتورها سرمایه فکری اکوسیستم هستند.</x:v>
      </x:c>
      <x:c r="I795" s="39" t="str">
        <x:v>پس از تثبیت پایه‌ها؛ پروژه‌محور</x:v>
      </x:c>
      <x:c r="J795" s="39" t="str">
        <x:v>سازنده زیست‌بوم + مدیر پورتفو</x:v>
      </x:c>
      <x:c r="K795" s="39" t="str"/>
      <x:c r="L795" s="39" t="str">
        <x:v>E112:P3024</x:v>
      </x:c>
      <x:c r="M795" s="39" t="str"/>
      <x:c r="N795" s="39" t="str">
        <x:v>نسخه پایه ۳۱۵۰</x:v>
      </x:c>
    </x:row>
    <x:row r="796" ht="34" customHeight="1">
      <x:c r="A796" s="34" t="str">
        <x:v>☐</x:v>
      </x:c>
      <x:c r="B796" s="34" t="str">
        <x:v>MI-2832</x:v>
      </x:c>
      <x:c r="C796" s="34" t="str">
        <x:v>M3 — کسب‌وکار، شبکه و زیست‌بوم نوآوری</x:v>
      </x:c>
      <x:c r="D796" s="34" t="str">
        <x:v>H10</x:v>
      </x:c>
      <x:c r="E796" s="34" t="str">
        <x:v>زیست‌بوم نوآوری، استعداد و تیم‌سازی</x:v>
      </x:c>
      <x:c r="F796" s="34" t="str">
        <x:v>P2</x:v>
      </x:c>
      <x:c r="G796" s="34" t="str">
        <x:v>هدف/موضوع</x:v>
      </x:c>
      <x:c r="H796" s="39" t="str">
        <x:v>یکی از مهم ترین بخش های اکوسیستم.</x:v>
      </x:c>
      <x:c r="I796" s="39" t="str">
        <x:v>پس از تثبیت پایه‌ها؛ پروژه‌محور</x:v>
      </x:c>
      <x:c r="J796" s="39" t="str">
        <x:v>سازنده زیست‌بوم + مدیر پورتفو</x:v>
      </x:c>
      <x:c r="K796" s="39" t="str"/>
      <x:c r="L796" s="39" t="str">
        <x:v>E112:P3042</x:v>
      </x:c>
      <x:c r="M796" s="39" t="str"/>
      <x:c r="N796" s="39" t="str">
        <x:v>نسخه پایه ۳۱۵۰</x:v>
      </x:c>
    </x:row>
    <x:row r="797" ht="34" customHeight="1">
      <x:c r="A797" s="34" t="str">
        <x:v>☐</x:v>
      </x:c>
      <x:c r="B797" s="34" t="str">
        <x:v>MI-2837</x:v>
      </x:c>
      <x:c r="C797" s="34" t="str">
        <x:v>M3 — کسب‌وکار، شبکه و زیست‌بوم نوآوری</x:v>
      </x:c>
      <x:c r="D797" s="34" t="str">
        <x:v>H10</x:v>
      </x:c>
      <x:c r="E797" s="34" t="str">
        <x:v>زیست‌بوم نوآوری، استعداد و تیم‌سازی</x:v>
      </x:c>
      <x:c r="F797" s="34" t="str">
        <x:v>P2</x:v>
      </x:c>
      <x:c r="G797" s="34" t="str">
        <x:v>هدف/موضوع</x:v>
      </x:c>
      <x:c r="H797" s="39" t="str">
        <x:v>لایه 7 — کمپ ها و بوتکمپ ها</x:v>
      </x:c>
      <x:c r="I797" s="39" t="str">
        <x:v>پس از تثبیت پایه‌ها؛ پروژه‌محور</x:v>
      </x:c>
      <x:c r="J797" s="39" t="str">
        <x:v>سازنده زیست‌بوم + مدیر پورتفو</x:v>
      </x:c>
      <x:c r="K797" s="39" t="str"/>
      <x:c r="L797" s="39" t="str">
        <x:v>E112:P3057</x:v>
      </x:c>
      <x:c r="M797" s="39" t="str"/>
      <x:c r="N797" s="39" t="str">
        <x:v>نسخه پایه ۳۱۵۰</x:v>
      </x:c>
    </x:row>
    <x:row r="798" ht="34" customHeight="1">
      <x:c r="A798" s="34" t="str">
        <x:v>☐</x:v>
      </x:c>
      <x:c r="B798" s="34" t="str">
        <x:v>MI-2844</x:v>
      </x:c>
      <x:c r="C798" s="34" t="str">
        <x:v>M3 — کسب‌وکار، شبکه و زیست‌بوم نوآوری</x:v>
      </x:c>
      <x:c r="D798" s="34" t="str">
        <x:v>H10</x:v>
      </x:c>
      <x:c r="E798" s="34" t="str">
        <x:v>زیست‌بوم نوآوری، استعداد و تیم‌سازی</x:v>
      </x:c>
      <x:c r="F798" s="34" t="str">
        <x:v>P2</x:v>
      </x:c>
      <x:c r="G798" s="34" t="str">
        <x:v>هدف/موضوع</x:v>
      </x:c>
      <x:c r="H798" s="39" t="str">
        <x:v>لایه 8 — رویدادهای اکوسیستم</x:v>
      </x:c>
      <x:c r="I798" s="39" t="str">
        <x:v>پس از تثبیت پایه‌ها؛ پروژه‌محور</x:v>
      </x:c>
      <x:c r="J798" s="39" t="str">
        <x:v>سازنده زیست‌بوم + مدیر پورتفو</x:v>
      </x:c>
      <x:c r="K798" s="39" t="str"/>
      <x:c r="L798" s="39" t="str">
        <x:v>E112:P3072</x:v>
      </x:c>
      <x:c r="M798" s="39" t="str"/>
      <x:c r="N798" s="39" t="str">
        <x:v>نسخه پایه ۳۱۵۰</x:v>
      </x:c>
    </x:row>
    <x:row r="799" ht="34" customHeight="1">
      <x:c r="A799" s="34" t="str">
        <x:v>☐</x:v>
      </x:c>
      <x:c r="B799" s="34" t="str">
        <x:v>MI-2851</x:v>
      </x:c>
      <x:c r="C799" s="34" t="str">
        <x:v>M3 — کسب‌وکار، شبکه و زیست‌بوم نوآوری</x:v>
      </x:c>
      <x:c r="D799" s="34" t="str">
        <x:v>H10</x:v>
      </x:c>
      <x:c r="E799" s="34" t="str">
        <x:v>زیست‌بوم نوآوری، استعداد و تیم‌سازی</x:v>
      </x:c>
      <x:c r="F799" s="34" t="str">
        <x:v>P2</x:v>
      </x:c>
      <x:c r="G799" s="34" t="str">
        <x:v>هدف/موضوع</x:v>
      </x:c>
      <x:c r="H799" s="39" t="str">
        <x:v>در این مرحله تیم ها وارد بازار می شوند.</x:v>
      </x:c>
      <x:c r="I799" s="39" t="str">
        <x:v>پس از تثبیت پایه‌ها؛ پروژه‌محور</x:v>
      </x:c>
      <x:c r="J799" s="39" t="str">
        <x:v>سازنده زیست‌بوم + مدیر پورتفو</x:v>
      </x:c>
      <x:c r="K799" s="39" t="str"/>
      <x:c r="L799" s="39" t="str">
        <x:v>E112:P3093</x:v>
      </x:c>
      <x:c r="M799" s="39" t="str"/>
      <x:c r="N799" s="39" t="str">
        <x:v>نسخه پایه ۳۱۵۰</x:v>
      </x:c>
    </x:row>
    <x:row r="800" ht="34" customHeight="1">
      <x:c r="A800" s="34" t="str">
        <x:v>☐</x:v>
      </x:c>
      <x:c r="B800" s="34" t="str">
        <x:v>MI-2856</x:v>
      </x:c>
      <x:c r="C800" s="34" t="str">
        <x:v>M3 — کسب‌وکار، شبکه و زیست‌بوم نوآوری</x:v>
      </x:c>
      <x:c r="D800" s="34" t="str">
        <x:v>H10</x:v>
      </x:c>
      <x:c r="E800" s="34" t="str">
        <x:v>زیست‌بوم نوآوری، استعداد و تیم‌سازی</x:v>
      </x:c>
      <x:c r="F800" s="34" t="str">
        <x:v>P2</x:v>
      </x:c>
      <x:c r="G800" s="34" t="str">
        <x:v>هدف/موضوع</x:v>
      </x:c>
      <x:c r="H800" s="39" t="str">
        <x:v>هدف نهایی اکوسیستم.</x:v>
      </x:c>
      <x:c r="I800" s="39" t="str">
        <x:v>پس از تثبیت پایه‌ها؛ پروژه‌محور</x:v>
      </x:c>
      <x:c r="J800" s="39" t="str">
        <x:v>سازنده زیست‌بوم + مدیر پورتفو</x:v>
      </x:c>
      <x:c r="K800" s="39" t="str"/>
      <x:c r="L800" s="39" t="str">
        <x:v>E112:P3111</x:v>
      </x:c>
      <x:c r="M800" s="39" t="str"/>
      <x:c r="N800" s="39" t="str">
        <x:v>نسخه پایه ۳۱۵۰</x:v>
      </x:c>
    </x:row>
    <x:row r="801" ht="34" customHeight="1">
      <x:c r="A801" s="34" t="str">
        <x:v>☐</x:v>
      </x:c>
      <x:c r="B801" s="34" t="str">
        <x:v>MI-2863</x:v>
      </x:c>
      <x:c r="C801" s="34" t="str">
        <x:v>M3 — کسب‌وکار، شبکه و زیست‌بوم نوآوری</x:v>
      </x:c>
      <x:c r="D801" s="34" t="str">
        <x:v>H10</x:v>
      </x:c>
      <x:c r="E801" s="34" t="str">
        <x:v>زیست‌بوم نوآوری، استعداد و تیم‌سازی</x:v>
      </x:c>
      <x:c r="F801" s="34" t="str">
        <x:v>P2</x:v>
      </x:c>
      <x:c r="G801" s="34" t="str">
        <x:v>هدف/موضوع</x:v>
      </x:c>
      <x:c r="H801" s="39" t="str">
        <x:v>یک لایه تقویتی برای کل اکوسیستم.</x:v>
      </x:c>
      <x:c r="I801" s="39" t="str">
        <x:v>پس از تثبیت پایه‌ها؛ پروژه‌محور</x:v>
      </x:c>
      <x:c r="J801" s="39" t="str">
        <x:v>سازنده زیست‌بوم + مدیر پورتفو</x:v>
      </x:c>
      <x:c r="K801" s="39" t="str"/>
      <x:c r="L801" s="39" t="str">
        <x:v>E112:P3130</x:v>
      </x:c>
      <x:c r="M801" s="39" t="str"/>
      <x:c r="N801" s="39" t="str">
        <x:v>نسخه پایه ۳۱۵۰</x:v>
      </x:c>
    </x:row>
    <x:row r="802" ht="34" customHeight="1">
      <x:c r="A802" s="34" t="str">
        <x:v>☐</x:v>
      </x:c>
      <x:c r="B802" s="34" t="str">
        <x:v>MI-2865</x:v>
      </x:c>
      <x:c r="C802" s="34" t="str">
        <x:v>M3 — کسب‌وکار، شبکه و زیست‌بوم نوآوری</x:v>
      </x:c>
      <x:c r="D802" s="34" t="str">
        <x:v>H10</x:v>
      </x:c>
      <x:c r="E802" s="34" t="str">
        <x:v>زیست‌بوم نوآوری، استعداد و تیم‌سازی</x:v>
      </x:c>
      <x:c r="F802" s="34" t="str">
        <x:v>P2</x:v>
      </x:c>
      <x:c r="G802" s="34" t="str">
        <x:v>هدف/موضوع</x:v>
      </x:c>
      <x:c r="H802" s="39" t="str">
        <x:v>EiR ایرانیان خارج از کشور</x:v>
      </x:c>
      <x:c r="I802" s="39" t="str">
        <x:v>پس از تثبیت پایه‌ها؛ پروژه‌محور</x:v>
      </x:c>
      <x:c r="J802" s="39" t="str">
        <x:v>سازنده زیست‌بوم + مدیر پورتفو</x:v>
      </x:c>
      <x:c r="K802" s="39" t="str"/>
      <x:c r="L802" s="39" t="str">
        <x:v>E112:P3138</x:v>
      </x:c>
      <x:c r="M802" s="39" t="str"/>
      <x:c r="N802" s="39" t="str">
        <x:v>نسخه پایه ۳۱۵۰</x:v>
      </x:c>
    </x:row>
    <x:row r="803" ht="34" customHeight="1">
      <x:c r="A803" s="34" t="str">
        <x:v>☐</x:v>
      </x:c>
      <x:c r="B803" s="34" t="str">
        <x:v>MI-2872</x:v>
      </x:c>
      <x:c r="C803" s="34" t="str">
        <x:v>M3 — کسب‌وکار، شبکه و زیست‌بوم نوآوری</x:v>
      </x:c>
      <x:c r="D803" s="34" t="str">
        <x:v>H10</x:v>
      </x:c>
      <x:c r="E803" s="34" t="str">
        <x:v>زیست‌بوم نوآوری، استعداد و تیم‌سازی</x:v>
      </x:c>
      <x:c r="F803" s="34" t="str">
        <x:v>P2</x:v>
      </x:c>
      <x:c r="G803" s="34" t="str">
        <x:v>هدف/موضوع</x:v>
      </x:c>
      <x:c r="H803" s="39" t="str">
        <x:v>لایه 13 — هدف نهایی اکوسیستم</x:v>
      </x:c>
      <x:c r="I803" s="39" t="str">
        <x:v>پس از تثبیت پایه‌ها؛ پروژه‌محور</x:v>
      </x:c>
      <x:c r="J803" s="39" t="str">
        <x:v>سازنده زیست‌بوم + مدیر پورتفو</x:v>
      </x:c>
      <x:c r="K803" s="39" t="str"/>
      <x:c r="L803" s="39" t="str">
        <x:v>E112:P3160</x:v>
      </x:c>
      <x:c r="M803" s="39" t="str"/>
      <x:c r="N803" s="39" t="str">
        <x:v>نسخه پایه ۳۱۵۰</x:v>
      </x:c>
    </x:row>
    <x:row r="804" ht="34" customHeight="1">
      <x:c r="A804" s="34" t="str">
        <x:v>☐</x:v>
      </x:c>
      <x:c r="B804" s="34" t="str">
        <x:v>MI-2874</x:v>
      </x:c>
      <x:c r="C804" s="34" t="str">
        <x:v>M3 — کسب‌وکار، شبکه و زیست‌بوم نوآوری</x:v>
      </x:c>
      <x:c r="D804" s="34" t="str">
        <x:v>H10</x:v>
      </x:c>
      <x:c r="E804" s="34" t="str">
        <x:v>زیست‌بوم نوآوری، استعداد و تیم‌سازی</x:v>
      </x:c>
      <x:c r="F804" s="34" t="str">
        <x:v>P2</x:v>
      </x:c>
      <x:c r="G804" s="34" t="str">
        <x:v>هدف/موضوع</x:v>
      </x:c>
      <x:c r="H804" s="39" t="str">
        <x:v>تصویر ساده معماری اکوسیستم</x:v>
      </x:c>
      <x:c r="I804" s="39" t="str">
        <x:v>پس از تثبیت پایه‌ها؛ پروژه‌محور</x:v>
      </x:c>
      <x:c r="J804" s="39" t="str">
        <x:v>سازنده زیست‌بوم + مدیر پورتفو</x:v>
      </x:c>
      <x:c r="K804" s="39" t="str"/>
      <x:c r="L804" s="39" t="str">
        <x:v>E112:P3193</x:v>
      </x:c>
      <x:c r="M804" s="39" t="str"/>
      <x:c r="N804" s="39" t="str">
        <x:v>نسخه پایه ۳۱۵۰</x:v>
      </x:c>
    </x:row>
    <x:row r="805" ht="34" customHeight="1">
      <x:c r="A805" s="34" t="str">
        <x:v>☐</x:v>
      </x:c>
      <x:c r="B805" s="34" t="str">
        <x:v>MI-2876</x:v>
      </x:c>
      <x:c r="C805" s="34" t="str">
        <x:v>M3 — کسب‌وکار، شبکه و زیست‌بوم نوآوری</x:v>
      </x:c>
      <x:c r="D805" s="34" t="str">
        <x:v>H10</x:v>
      </x:c>
      <x:c r="E805" s="34" t="str">
        <x:v>زیست‌بوم نوآوری، استعداد و تیم‌سازی</x:v>
      </x:c>
      <x:c r="F805" s="34" t="str">
        <x:v>P2</x:v>
      </x:c>
      <x:c r="G805" s="34" t="str">
        <x:v>هدف/موضوع</x:v>
      </x:c>
      <x:c r="H805" s="39" t="str">
        <x:v>استعدادها</x:v>
      </x:c>
      <x:c r="I805" s="39" t="str">
        <x:v>پس از تثبیت پایه‌ها؛ پروژه‌محور</x:v>
      </x:c>
      <x:c r="J805" s="39" t="str">
        <x:v>سازنده زیست‌بوم + مدیر پورتفو</x:v>
      </x:c>
      <x:c r="K805" s="39" t="str"/>
      <x:c r="L805" s="39" t="str">
        <x:v>E112:P3196</x:v>
      </x:c>
      <x:c r="M805" s="39" t="str"/>
      <x:c r="N805" s="39" t="str">
        <x:v>نسخه پایه ۳۱۵۰</x:v>
      </x:c>
    </x:row>
    <x:row r="806" ht="34" customHeight="1">
      <x:c r="A806" s="34" t="str">
        <x:v>☐</x:v>
      </x:c>
      <x:c r="B806" s="34" t="str">
        <x:v>MI-2880</x:v>
      </x:c>
      <x:c r="C806" s="34" t="str">
        <x:v>M3 — کسب‌وکار، شبکه و زیست‌بوم نوآوری</x:v>
      </x:c>
      <x:c r="D806" s="34" t="str">
        <x:v>H10</x:v>
      </x:c>
      <x:c r="E806" s="34" t="str">
        <x:v>زیست‌بوم نوآوری، استعداد و تیم‌سازی</x:v>
      </x:c>
      <x:c r="F806" s="34" t="str">
        <x:v>P2</x:v>
      </x:c>
      <x:c r="G806" s="34" t="str">
        <x:v>هدف/موضوع</x:v>
      </x:c>
      <x:c r="H806" s="39" t="str">
        <x:v>سرمایه و پارک علم و فناوری</x:v>
      </x:c>
      <x:c r="I806" s="39" t="str">
        <x:v>پس از تثبیت پایه‌ها؛ پروژه‌محور</x:v>
      </x:c>
      <x:c r="J806" s="39" t="str">
        <x:v>سازنده زیست‌بوم + مدیر پورتفو</x:v>
      </x:c>
      <x:c r="K806" s="39" t="str"/>
      <x:c r="L806" s="39" t="str">
        <x:v>E112:P3211</x:v>
      </x:c>
      <x:c r="M806" s="39" t="str"/>
      <x:c r="N806" s="39" t="str">
        <x:v>نسخه پایه ۳۱۵۰</x:v>
      </x:c>
    </x:row>
    <x:row r="807" ht="34" customHeight="1">
      <x:c r="A807" s="34" t="str">
        <x:v>☐</x:v>
      </x:c>
      <x:c r="B807" s="34" t="str">
        <x:v>MI-2884</x:v>
      </x:c>
      <x:c r="C807" s="34" t="str">
        <x:v>M3 — کسب‌وکار، شبکه و زیست‌بوم نوآوری</x:v>
      </x:c>
      <x:c r="D807" s="34" t="str">
        <x:v>H10</x:v>
      </x:c>
      <x:c r="E807" s="34" t="str">
        <x:v>زیست‌بوم نوآوری، استعداد و تیم‌سازی</x:v>
      </x:c>
      <x:c r="F807" s="34" t="str">
        <x:v>P2</x:v>
      </x:c>
      <x:c r="G807" s="34" t="str">
        <x:v>هدف/موضوع</x:v>
      </x:c>
      <x:c r="H807" s="39" t="str">
        <x:v>طراحی گره های قدرت واقعی اکوسیستم مازندران</x:v>
      </x:c>
      <x:c r="I807" s="39" t="str">
        <x:v>پس از تثبیت پایه‌ها؛ پروژه‌محور</x:v>
      </x:c>
      <x:c r="J807" s="39" t="str">
        <x:v>سازنده زیست‌بوم + مدیر پورتفو</x:v>
      </x:c>
      <x:c r="K807" s="39" t="str"/>
      <x:c r="L807" s="39" t="str">
        <x:v>E112:P3219</x:v>
      </x:c>
      <x:c r="M807" s="39" t="str"/>
      <x:c r="N807" s="39" t="str">
        <x:v>نسخه پایه ۳۱۵۰</x:v>
      </x:c>
    </x:row>
    <x:row r="808" ht="34" customHeight="1">
      <x:c r="A808" s="34" t="str">
        <x:v>☐</x:v>
      </x:c>
      <x:c r="B808" s="34" t="str">
        <x:v>MI-2906</x:v>
      </x:c>
      <x:c r="C808" s="34" t="str">
        <x:v>M3 — کسب‌وکار، شبکه و زیست‌بوم نوآوری</x:v>
      </x:c>
      <x:c r="D808" s="34" t="str">
        <x:v>H10</x:v>
      </x:c>
      <x:c r="E808" s="34" t="str">
        <x:v>زیست‌بوم نوآوری، استعداد و تیم‌سازی</x:v>
      </x:c>
      <x:c r="F808" s="34" t="str">
        <x:v>P2</x:v>
      </x:c>
      <x:c r="G808" s="34" t="str">
        <x:v>هدف/موضوع</x:v>
      </x:c>
      <x:c r="H808" s="39" t="str">
        <x:v>یک معماری مدیریتی پیشنهاد بده که اگر این اکوسیستم اجرا شود، قابل اداره و پایش باشد.</x:v>
      </x:c>
      <x:c r="I808" s="39" t="str">
        <x:v>پس از تثبیت پایه‌ها؛ پروژه‌محور</x:v>
      </x:c>
      <x:c r="J808" s="39" t="str">
        <x:v>سازنده زیست‌بوم + مدیر پورتفو</x:v>
      </x:c>
      <x:c r="K808" s="39" t="str"/>
      <x:c r="L808" s="39" t="str">
        <x:v>E112:P3255</x:v>
      </x:c>
      <x:c r="M808" s="39" t="str"/>
      <x:c r="N808" s="39" t="str">
        <x:v>نسخه پایه ۳۱۵۰</x:v>
      </x:c>
    </x:row>
    <x:row r="809" ht="34" customHeight="1">
      <x:c r="A809" s="34" t="str">
        <x:v>☐</x:v>
      </x:c>
      <x:c r="B809" s="34" t="str">
        <x:v>MI-2908</x:v>
      </x:c>
      <x:c r="C809" s="34" t="str">
        <x:v>M3 — کسب‌وکار، شبکه و زیست‌بوم نوآوری</x:v>
      </x:c>
      <x:c r="D809" s="34" t="str">
        <x:v>H10</x:v>
      </x:c>
      <x:c r="E809" s="34" t="str">
        <x:v>زیست‌بوم نوآوری، استعداد و تیم‌سازی</x:v>
      </x:c>
      <x:c r="F809" s="34" t="str">
        <x:v>P2</x:v>
      </x:c>
      <x:c r="G809" s="34" t="str">
        <x:v>هدف/موضوع</x:v>
      </x:c>
      <x:c r="H809" s="39" t="str">
        <x:v>واحدهای اصلی اکوسیستم</x:v>
      </x:c>
      <x:c r="I809" s="39" t="str">
        <x:v>پس از تثبیت پایه‌ها؛ پروژه‌محور</x:v>
      </x:c>
      <x:c r="J809" s="39" t="str">
        <x:v>سازنده زیست‌بوم + مدیر پورتفو</x:v>
      </x:c>
      <x:c r="K809" s="39" t="str"/>
      <x:c r="L809" s="39" t="str">
        <x:v>E112:P3259</x:v>
      </x:c>
      <x:c r="M809" s="39" t="str"/>
      <x:c r="N809" s="39" t="str">
        <x:v>نسخه پایه ۳۱۵۰</x:v>
      </x:c>
    </x:row>
    <x:row r="810" ht="34" customHeight="1">
      <x:c r="A810" s="34" t="str">
        <x:v>☐</x:v>
      </x:c>
      <x:c r="B810" s="34" t="str">
        <x:v>MI-2909</x:v>
      </x:c>
      <x:c r="C810" s="34" t="str">
        <x:v>M3 — کسب‌وکار، شبکه و زیست‌بوم نوآوری</x:v>
      </x:c>
      <x:c r="D810" s="34" t="str">
        <x:v>H10</x:v>
      </x:c>
      <x:c r="E810" s="34" t="str">
        <x:v>زیست‌بوم نوآوری، استعداد و تیم‌سازی</x:v>
      </x:c>
      <x:c r="F810" s="34" t="str">
        <x:v>P2</x:v>
      </x:c>
      <x:c r="G810" s="34" t="str">
        <x:v>هدف/موضوع</x:v>
      </x:c>
      <x:c r="H810" s="39" t="str">
        <x:v>واحد مدیریت استعداد</x:v>
      </x:c>
      <x:c r="I810" s="39" t="str">
        <x:v>پس از تثبیت پایه‌ها؛ پروژه‌محور</x:v>
      </x:c>
      <x:c r="J810" s="39" t="str">
        <x:v>سازنده زیست‌بوم + مدیر پورتفو</x:v>
      </x:c>
      <x:c r="K810" s="39" t="str"/>
      <x:c r="L810" s="39" t="str">
        <x:v>E112:P3260</x:v>
      </x:c>
      <x:c r="M810" s="39" t="str"/>
      <x:c r="N810" s="39" t="str">
        <x:v>نسخه پایه ۳۱۵۰</x:v>
      </x:c>
    </x:row>
    <x:row r="811" ht="34" customHeight="1">
      <x:c r="A811" s="34" t="str">
        <x:v>☐</x:v>
      </x:c>
      <x:c r="B811" s="34" t="str">
        <x:v>MI-2915</x:v>
      </x:c>
      <x:c r="C811" s="34" t="str">
        <x:v>M3 — کسب‌وکار، شبکه و زیست‌بوم نوآوری</x:v>
      </x:c>
      <x:c r="D811" s="34" t="str">
        <x:v>H10</x:v>
      </x:c>
      <x:c r="E811" s="34" t="str">
        <x:v>زیست‌بوم نوآوری، استعداد و تیم‌سازی</x:v>
      </x:c>
      <x:c r="F811" s="34" t="str">
        <x:v>P2</x:v>
      </x:c>
      <x:c r="G811" s="34" t="str">
        <x:v>هدف/موضوع</x:v>
      </x:c>
      <x:c r="H811" s="39" t="str">
        <x:v>واحد همکاری های بین المللی و EiR</x:v>
      </x:c>
      <x:c r="I811" s="39" t="str">
        <x:v>پس از تثبیت پایه‌ها؛ پروژه‌محور</x:v>
      </x:c>
      <x:c r="J811" s="39" t="str">
        <x:v>سازنده زیست‌بوم + مدیر پورتفو</x:v>
      </x:c>
      <x:c r="K811" s="39" t="str"/>
      <x:c r="L811" s="39" t="str">
        <x:v>E112:P3266</x:v>
      </x:c>
      <x:c r="M811" s="39" t="str"/>
      <x:c r="N811" s="39" t="str">
        <x:v>نسخه پایه ۳۱۵۰</x:v>
      </x:c>
    </x:row>
    <x:row r="812" ht="34" customHeight="1">
      <x:c r="A812" s="34" t="str">
        <x:v>☐</x:v>
      </x:c>
      <x:c r="B812" s="34" t="str">
        <x:v>MI-2918</x:v>
      </x:c>
      <x:c r="C812" s="34" t="str">
        <x:v>M3 — کسب‌وکار، شبکه و زیست‌بوم نوآوری</x:v>
      </x:c>
      <x:c r="D812" s="34" t="str">
        <x:v>H10</x:v>
      </x:c>
      <x:c r="E812" s="34" t="str">
        <x:v>زیست‌بوم نوآوری، استعداد و تیم‌سازی</x:v>
      </x:c>
      <x:c r="F812" s="34" t="str">
        <x:v>P2</x:v>
      </x:c>
      <x:c r="G812" s="34" t="str">
        <x:v>هدف/موضوع</x:v>
      </x:c>
      <x:c r="H812" s="39" t="str">
        <x:v>نقش «مدیر منابع انسانی اکوسیستم» دقیقاً چیست</x:v>
      </x:c>
      <x:c r="I812" s="39" t="str">
        <x:v>پس از تثبیت پایه‌ها؛ پروژه‌محور</x:v>
      </x:c>
      <x:c r="J812" s="39" t="str">
        <x:v>سازنده زیست‌بوم + مدیر پورتفو</x:v>
      </x:c>
      <x:c r="K812" s="39" t="str"/>
      <x:c r="L812" s="39" t="str">
        <x:v>E112:P3271</x:v>
      </x:c>
      <x:c r="M812" s="39" t="str"/>
      <x:c r="N812" s="39" t="str">
        <x:v>نسخه پایه ۳۱۵۰</x:v>
      </x:c>
    </x:row>
    <x:row r="813" ht="34" customHeight="1">
      <x:c r="A813" s="34" t="str">
        <x:v>☐</x:v>
      </x:c>
      <x:c r="B813" s="34" t="str">
        <x:v>MI-2919</x:v>
      </x:c>
      <x:c r="C813" s="34" t="str">
        <x:v>M3 — کسب‌وکار، شبکه و زیست‌بوم نوآوری</x:v>
      </x:c>
      <x:c r="D813" s="34" t="str">
        <x:v>H10</x:v>
      </x:c>
      <x:c r="E813" s="34" t="str">
        <x:v>زیست‌بوم نوآوری، استعداد و تیم‌سازی</x:v>
      </x:c>
      <x:c r="F813" s="34" t="str">
        <x:v>P2</x:v>
      </x:c>
      <x:c r="G813" s="34" t="str">
        <x:v>هدف/موضوع</x:v>
      </x:c>
      <x:c r="H813" s="39" t="str">
        <x:v>چه داده هایی باید از کل اکوسیستم جمع آوری شود</x:v>
      </x:c>
      <x:c r="I813" s="39" t="str">
        <x:v>پس از تثبیت پایه‌ها؛ پروژه‌محور</x:v>
      </x:c>
      <x:c r="J813" s="39" t="str">
        <x:v>سازنده زیست‌بوم + مدیر پورتفو</x:v>
      </x:c>
      <x:c r="K813" s="39" t="str"/>
      <x:c r="L813" s="39" t="str">
        <x:v>E112:P3272</x:v>
      </x:c>
      <x:c r="M813" s="39" t="str"/>
      <x:c r="N813" s="39" t="str">
        <x:v>نسخه پایه ۳۱۵۰</x:v>
      </x:c>
    </x:row>
    <x:row r="814" ht="34" customHeight="1">
      <x:c r="A814" s="34" t="str">
        <x:v>☐</x:v>
      </x:c>
      <x:c r="B814" s="34" t="str">
        <x:v>MI-2938</x:v>
      </x:c>
      <x:c r="C814" s="34" t="str">
        <x:v>M3 — کسب‌وکار، شبکه و زیست‌بوم نوآوری</x:v>
      </x:c>
      <x:c r="D814" s="34" t="str">
        <x:v>H10</x:v>
      </x:c>
      <x:c r="E814" s="34" t="str">
        <x:v>زیست‌بوم نوآوری، استعداد و تیم‌سازی</x:v>
      </x:c>
      <x:c r="F814" s="34" t="str">
        <x:v>P2</x:v>
      </x:c>
      <x:c r="G814" s="34" t="str">
        <x:v>هدف/موضوع</x:v>
      </x:c>
      <x:c r="H814" s="39" t="str">
        <x:v>مدیر عملیات اکوسیستم (Operations)</x:v>
      </x:c>
      <x:c r="I814" s="39" t="str">
        <x:v>پس از تثبیت پایه‌ها؛ پروژه‌محور</x:v>
      </x:c>
      <x:c r="J814" s="39" t="str">
        <x:v>سازنده زیست‌بوم + مدیر پورتفو</x:v>
      </x:c>
      <x:c r="K814" s="39" t="str"/>
      <x:c r="L814" s="39" t="str">
        <x:v>E112:P3306</x:v>
      </x:c>
      <x:c r="M814" s="39" t="str"/>
      <x:c r="N814" s="39" t="str">
        <x:v>نسخه پایه ۳۱۵۰</x:v>
      </x:c>
    </x:row>
    <x:row r="815" ht="34" customHeight="1">
      <x:c r="A815" s="34" t="str">
        <x:v>☐</x:v>
      </x:c>
      <x:c r="B815" s="34" t="str">
        <x:v>MI-2944</x:v>
      </x:c>
      <x:c r="C815" s="34" t="str">
        <x:v>M3 — کسب‌وکار، شبکه و زیست‌بوم نوآوری</x:v>
      </x:c>
      <x:c r="D815" s="34" t="str">
        <x:v>H10</x:v>
      </x:c>
      <x:c r="E815" s="34" t="str">
        <x:v>زیست‌بوم نوآوری، استعداد و تیم‌سازی</x:v>
      </x:c>
      <x:c r="F815" s="34" t="str">
        <x:v>P2</x:v>
      </x:c>
      <x:c r="G815" s="34" t="str">
        <x:v>هدف/موضوع</x:v>
      </x:c>
      <x:c r="H815" s="39" t="str">
        <x:v>2. تقسیم اکوسیستم به 6 واحد عملیاتی</x:v>
      </x:c>
      <x:c r="I815" s="39" t="str">
        <x:v>پس از تثبیت پایه‌ها؛ پروژه‌محور</x:v>
      </x:c>
      <x:c r="J815" s="39" t="str">
        <x:v>سازنده زیست‌بوم + مدیر پورتفو</x:v>
      </x:c>
      <x:c r="K815" s="39" t="str"/>
      <x:c r="L815" s="39" t="str">
        <x:v>E112:P3313</x:v>
      </x:c>
      <x:c r="M815" s="39" t="str"/>
      <x:c r="N815" s="39" t="str">
        <x:v>نسخه پایه ۳۱۵۰</x:v>
      </x:c>
    </x:row>
    <x:row r="816" ht="34" customHeight="1">
      <x:c r="A816" s="34" t="str">
        <x:v>☐</x:v>
      </x:c>
      <x:c r="B816" s="34" t="str">
        <x:v>MI-2946</x:v>
      </x:c>
      <x:c r="C816" s="34" t="str">
        <x:v>M3 — کسب‌وکار، شبکه و زیست‌بوم نوآوری</x:v>
      </x:c>
      <x:c r="D816" s="34" t="str">
        <x:v>H10</x:v>
      </x:c>
      <x:c r="E816" s="34" t="str">
        <x:v>زیست‌بوم نوآوری، استعداد و تیم‌سازی</x:v>
      </x:c>
      <x:c r="F816" s="34" t="str">
        <x:v>P2</x:v>
      </x:c>
      <x:c r="G816" s="34" t="str">
        <x:v>هدف/موضوع</x:v>
      </x:c>
      <x:c r="H816" s="39" t="str">
        <x:v>واحد 1 — سیستم کشف و پایش استعداد</x:v>
      </x:c>
      <x:c r="I816" s="39" t="str">
        <x:v>پس از تثبیت پایه‌ها؛ پروژه‌محور</x:v>
      </x:c>
      <x:c r="J816" s="39" t="str">
        <x:v>سازنده زیست‌بوم + مدیر پورتفو</x:v>
      </x:c>
      <x:c r="K816" s="39" t="str"/>
      <x:c r="L816" s="39" t="str">
        <x:v>E112:P3316</x:v>
      </x:c>
      <x:c r="M816" s="39" t="str"/>
      <x:c r="N816" s="39" t="str">
        <x:v>نسخه پایه ۳۱۵۰</x:v>
      </x:c>
    </x:row>
    <x:row r="817" ht="34" customHeight="1">
      <x:c r="A817" s="34" t="str">
        <x:v>☐</x:v>
      </x:c>
      <x:c r="B817" s="34" t="str">
        <x:v>MI-2948</x:v>
      </x:c>
      <x:c r="C817" s="34" t="str">
        <x:v>M3 — کسب‌وکار، شبکه و زیست‌بوم نوآوری</x:v>
      </x:c>
      <x:c r="D817" s="34" t="str">
        <x:v>H10</x:v>
      </x:c>
      <x:c r="E817" s="34" t="str">
        <x:v>زیست‌بوم نوآوری، استعداد و تیم‌سازی</x:v>
      </x:c>
      <x:c r="F817" s="34" t="str">
        <x:v>P2</x:v>
      </x:c>
      <x:c r="G817" s="34" t="str">
        <x:v>هدف/موضوع</x:v>
      </x:c>
      <x:c r="H817" s="39" t="str">
        <x:v>ورودی اکوسیستم.</x:v>
      </x:c>
      <x:c r="I817" s="39" t="str">
        <x:v>پس از تثبیت پایه‌ها؛ پروژه‌محور</x:v>
      </x:c>
      <x:c r="J817" s="39" t="str">
        <x:v>سازنده زیست‌بوم + مدیر پورتفو</x:v>
      </x:c>
      <x:c r="K817" s="39" t="str"/>
      <x:c r="L817" s="39" t="str">
        <x:v>E112:P3320</x:v>
      </x:c>
      <x:c r="M817" s="39" t="str"/>
      <x:c r="N817" s="39" t="str">
        <x:v>نسخه پایه ۳۱۵۰</x:v>
      </x:c>
    </x:row>
    <x:row r="818" ht="34" customHeight="1">
      <x:c r="A818" s="34" t="str">
        <x:v>☐</x:v>
      </x:c>
      <x:c r="B818" s="34" t="str">
        <x:v>MI-2955</x:v>
      </x:c>
      <x:c r="C818" s="34" t="str">
        <x:v>M3 — کسب‌وکار، شبکه و زیست‌بوم نوآوری</x:v>
      </x:c>
      <x:c r="D818" s="34" t="str">
        <x:v>H10</x:v>
      </x:c>
      <x:c r="E818" s="34" t="str">
        <x:v>زیست‌بوم نوآوری، استعداد و تیم‌سازی</x:v>
      </x:c>
      <x:c r="F818" s="34" t="str">
        <x:v>P2</x:v>
      </x:c>
      <x:c r="G818" s="34" t="str">
        <x:v>هدف/موضوع</x:v>
      </x:c>
      <x:c r="H818" s="39" t="str">
        <x:v>مشارکت در تیم ها</x:v>
      </x:c>
      <x:c r="I818" s="39" t="str">
        <x:v>پس از تثبیت پایه‌ها؛ پروژه‌محور</x:v>
      </x:c>
      <x:c r="J818" s="39" t="str">
        <x:v>سازنده زیست‌بوم + مدیر پورتفو</x:v>
      </x:c>
      <x:c r="K818" s="39" t="str"/>
      <x:c r="L818" s="39" t="str">
        <x:v>E112:P3341</x:v>
      </x:c>
      <x:c r="M818" s="39" t="str"/>
      <x:c r="N818" s="39" t="str">
        <x:v>نسخه پایه ۳۱۵۰</x:v>
      </x:c>
    </x:row>
    <x:row r="819" ht="34" customHeight="1">
      <x:c r="A819" s="34" t="str">
        <x:v>☐</x:v>
      </x:c>
      <x:c r="B819" s="34" t="str">
        <x:v>MI-2957</x:v>
      </x:c>
      <x:c r="C819" s="34" t="str">
        <x:v>M3 — کسب‌وکار، شبکه و زیست‌بوم نوآوری</x:v>
      </x:c>
      <x:c r="D819" s="34" t="str">
        <x:v>H10</x:v>
      </x:c>
      <x:c r="E819" s="34" t="str">
        <x:v>زیست‌بوم نوآوری، استعداد و تیم‌سازی</x:v>
      </x:c>
      <x:c r="F819" s="34" t="str">
        <x:v>P2</x:v>
      </x:c>
      <x:c r="G819" s="34" t="str">
        <x:v>هدف/موضوع</x:v>
      </x:c>
      <x:c r="H819" s="39" t="str">
        <x:v>استعدادهای دسته بندی شده.</x:v>
      </x:c>
      <x:c r="I819" s="39" t="str">
        <x:v>پس از تثبیت پایه‌ها؛ پروژه‌محور</x:v>
      </x:c>
      <x:c r="J819" s="39" t="str">
        <x:v>سازنده زیست‌بوم + مدیر پورتفو</x:v>
      </x:c>
      <x:c r="K819" s="39" t="str"/>
      <x:c r="L819" s="39" t="str">
        <x:v>E112:P3345</x:v>
      </x:c>
      <x:c r="M819" s="39" t="str"/>
      <x:c r="N819" s="39" t="str">
        <x:v>نسخه پایه ۳۱۵۰</x:v>
      </x:c>
    </x:row>
    <x:row r="820" ht="34" customHeight="1">
      <x:c r="A820" s="34" t="str">
        <x:v>☐</x:v>
      </x:c>
      <x:c r="B820" s="34" t="str">
        <x:v>MI-2972</x:v>
      </x:c>
      <x:c r="C820" s="34" t="str">
        <x:v>M3 — کسب‌وکار، شبکه و زیست‌بوم نوآوری</x:v>
      </x:c>
      <x:c r="D820" s="34" t="str">
        <x:v>H10</x:v>
      </x:c>
      <x:c r="E820" s="34" t="str">
        <x:v>زیست‌بوم نوآوری، استعداد و تیم‌سازی</x:v>
      </x:c>
      <x:c r="F820" s="34" t="str">
        <x:v>P2</x:v>
      </x:c>
      <x:c r="G820" s="34" t="str">
        <x:v>هدف/موضوع</x:v>
      </x:c>
      <x:c r="H820" s="39" t="str">
        <x:v>بوتکمپ های کارآفرینی</x:v>
      </x:c>
      <x:c r="I820" s="39" t="str">
        <x:v>پس از تثبیت پایه‌ها؛ پروژه‌محور</x:v>
      </x:c>
      <x:c r="J820" s="39" t="str">
        <x:v>سازنده زیست‌بوم + مدیر پورتفو</x:v>
      </x:c>
      <x:c r="K820" s="39" t="str"/>
      <x:c r="L820" s="39" t="str">
        <x:v>E112:P3387</x:v>
      </x:c>
      <x:c r="M820" s="39" t="str"/>
      <x:c r="N820" s="39" t="str">
        <x:v>نسخه پایه ۳۱۵۰</x:v>
      </x:c>
    </x:row>
    <x:row r="821" ht="34" customHeight="1">
      <x:c r="A821" s="34" t="str">
        <x:v>☐</x:v>
      </x:c>
      <x:c r="B821" s="34" t="str">
        <x:v>MI-2985</x:v>
      </x:c>
      <x:c r="C821" s="34" t="str">
        <x:v>M3 — کسب‌وکار، شبکه و زیست‌بوم نوآوری</x:v>
      </x:c>
      <x:c r="D821" s="34" t="str">
        <x:v>H10</x:v>
      </x:c>
      <x:c r="E821" s="34" t="str">
        <x:v>زیست‌بوم نوآوری، استعداد و تیم‌سازی</x:v>
      </x:c>
      <x:c r="F821" s="34" t="str">
        <x:v>P2</x:v>
      </x:c>
      <x:c r="G821" s="34" t="str">
        <x:v>هدف/موضوع</x:v>
      </x:c>
      <x:c r="H821" s="39" t="str">
        <x:v>وقتی تیم ها به بلوغ برسند وارد این مرحله می شوند.</x:v>
      </x:c>
      <x:c r="I821" s="39" t="str">
        <x:v>پس از تثبیت پایه‌ها؛ پروژه‌محور</x:v>
      </x:c>
      <x:c r="J821" s="39" t="str">
        <x:v>سازنده زیست‌بوم + مدیر پورتفو</x:v>
      </x:c>
      <x:c r="K821" s="39" t="str"/>
      <x:c r="L821" s="39" t="str">
        <x:v>E112:P3447</x:v>
      </x:c>
      <x:c r="M821" s="39" t="str"/>
      <x:c r="N821" s="39" t="str">
        <x:v>نسخه پایه ۳۱۵۰</x:v>
      </x:c>
    </x:row>
    <x:row r="822" ht="34" customHeight="1">
      <x:c r="A822" s="34" t="str">
        <x:v>☐</x:v>
      </x:c>
      <x:c r="B822" s="34" t="str">
        <x:v>MI-2988</x:v>
      </x:c>
      <x:c r="C822" s="34" t="str">
        <x:v>M3 — کسب‌وکار، شبکه و زیست‌بوم نوآوری</x:v>
      </x:c>
      <x:c r="D822" s="34" t="str">
        <x:v>H10</x:v>
      </x:c>
      <x:c r="E822" s="34" t="str">
        <x:v>زیست‌بوم نوآوری، استعداد و تیم‌سازی</x:v>
      </x:c>
      <x:c r="F822" s="34" t="str">
        <x:v>P2</x:v>
      </x:c>
      <x:c r="G822" s="34" t="str">
        <x:v>هدف/موضوع</x:v>
      </x:c>
      <x:c r="H822" s="39" t="str">
        <x:v>واحد 6 — سیستم بین الملل و EiR</x:v>
      </x:c>
      <x:c r="I822" s="39" t="str">
        <x:v>پس از تثبیت پایه‌ها؛ پروژه‌محور</x:v>
      </x:c>
      <x:c r="J822" s="39" t="str">
        <x:v>سازنده زیست‌بوم + مدیر پورتفو</x:v>
      </x:c>
      <x:c r="K822" s="39" t="str"/>
      <x:c r="L822" s="39" t="str">
        <x:v>E112:P3462</x:v>
      </x:c>
      <x:c r="M822" s="39" t="str"/>
      <x:c r="N822" s="39" t="str">
        <x:v>نسخه پایه ۳۱۵۰</x:v>
      </x:c>
    </x:row>
    <x:row r="823" ht="34" customHeight="1">
      <x:c r="A823" s="34" t="str">
        <x:v>☐</x:v>
      </x:c>
      <x:c r="B823" s="34" t="str">
        <x:v>MI-2989</x:v>
      </x:c>
      <x:c r="C823" s="34" t="str">
        <x:v>M3 — کسب‌وکار، شبکه و زیست‌بوم نوآوری</x:v>
      </x:c>
      <x:c r="D823" s="34" t="str">
        <x:v>H10</x:v>
      </x:c>
      <x:c r="E823" s="34" t="str">
        <x:v>زیست‌بوم نوآوری، استعداد و تیم‌سازی</x:v>
      </x:c>
      <x:c r="F823" s="34" t="str">
        <x:v>P2</x:v>
      </x:c>
      <x:c r="G823" s="34" t="str">
        <x:v>هدف/موضوع</x:v>
      </x:c>
      <x:c r="H823" s="39" t="str">
        <x:v>تزریق تجربه و سرمایه به اکوسیستم.</x:v>
      </x:c>
      <x:c r="I823" s="39" t="str">
        <x:v>پس از تثبیت پایه‌ها؛ پروژه‌محور</x:v>
      </x:c>
      <x:c r="J823" s="39" t="str">
        <x:v>سازنده زیست‌بوم + مدیر پورتفو</x:v>
      </x:c>
      <x:c r="K823" s="39" t="str"/>
      <x:c r="L823" s="39" t="str">
        <x:v>E112:P3466</x:v>
      </x:c>
      <x:c r="M823" s="39" t="str"/>
      <x:c r="N823" s="39" t="str">
        <x:v>نسخه پایه ۳۱۵۰</x:v>
      </x:c>
    </x:row>
    <x:row r="824" ht="34" customHeight="1">
      <x:c r="A824" s="34" t="str">
        <x:v>☐</x:v>
      </x:c>
      <x:c r="B824" s="34" t="str">
        <x:v>MI-2994</x:v>
      </x:c>
      <x:c r="C824" s="34" t="str">
        <x:v>M3 — کسب‌وکار، شبکه و زیست‌بوم نوآوری</x:v>
      </x:c>
      <x:c r="D824" s="34" t="str">
        <x:v>H10</x:v>
      </x:c>
      <x:c r="E824" s="34" t="str">
        <x:v>زیست‌بوم نوآوری، استعداد و تیم‌سازی</x:v>
      </x:c>
      <x:c r="F824" s="34" t="str">
        <x:v>P2</x:v>
      </x:c>
      <x:c r="G824" s="34" t="str">
        <x:v>هدف/موضوع</x:v>
      </x:c>
      <x:c r="H824" s="39" t="str">
        <x:v>3. موتور داده اکوسیستم</x:v>
      </x:c>
      <x:c r="I824" s="39" t="str">
        <x:v>پس از تثبیت پایه‌ها؛ پروژه‌محور</x:v>
      </x:c>
      <x:c r="J824" s="39" t="str">
        <x:v>سازنده زیست‌بوم + مدیر پورتفو</x:v>
      </x:c>
      <x:c r="K824" s="39" t="str"/>
      <x:c r="L824" s="39" t="str">
        <x:v>E112:P3482</x:v>
      </x:c>
      <x:c r="M824" s="39" t="str"/>
      <x:c r="N824" s="39" t="str">
        <x:v>نسخه پایه ۳۱۵۰</x:v>
      </x:c>
    </x:row>
    <x:row r="825" ht="34" customHeight="1">
      <x:c r="A825" s="34" t="str">
        <x:v>☐</x:v>
      </x:c>
      <x:c r="B825" s="34" t="str">
        <x:v>MI-3000</x:v>
      </x:c>
      <x:c r="C825" s="34" t="str">
        <x:v>M3 — کسب‌وکار، شبکه و زیست‌بوم نوآوری</x:v>
      </x:c>
      <x:c r="D825" s="34" t="str">
        <x:v>H10</x:v>
      </x:c>
      <x:c r="E825" s="34" t="str">
        <x:v>زیست‌بوم نوآوری، استعداد و تیم‌سازی</x:v>
      </x:c>
      <x:c r="F825" s="34" t="str">
        <x:v>P2</x:v>
      </x:c>
      <x:c r="G825" s="34" t="str">
        <x:v>هدف/موضوع</x:v>
      </x:c>
      <x:c r="H825" s="39" t="str">
        <x:v>تعداد تیم ها</x:v>
      </x:c>
      <x:c r="I825" s="39" t="str">
        <x:v>پس از تثبیت پایه‌ها؛ پروژه‌محور</x:v>
      </x:c>
      <x:c r="J825" s="39" t="str">
        <x:v>سازنده زیست‌بوم + مدیر پورتفو</x:v>
      </x:c>
      <x:c r="K825" s="39" t="str"/>
      <x:c r="L825" s="39" t="str">
        <x:v>E112:P3505</x:v>
      </x:c>
      <x:c r="M825" s="39" t="str"/>
      <x:c r="N825" s="39" t="str">
        <x:v>نسخه پایه ۳۱۵۰</x:v>
      </x:c>
    </x:row>
    <x:row r="826" ht="34" customHeight="1">
      <x:c r="A826" s="34" t="str">
        <x:v>☐</x:v>
      </x:c>
      <x:c r="B826" s="34" t="str">
        <x:v>MI-3005</x:v>
      </x:c>
      <x:c r="C826" s="34" t="str">
        <x:v>M3 — کسب‌وکار، شبکه و زیست‌بوم نوآوری</x:v>
      </x:c>
      <x:c r="D826" s="34" t="str">
        <x:v>H10</x:v>
      </x:c>
      <x:c r="E826" s="34" t="str">
        <x:v>زیست‌بوم نوآوری، استعداد و تیم‌سازی</x:v>
      </x:c>
      <x:c r="F826" s="34" t="str">
        <x:v>P2</x:v>
      </x:c>
      <x:c r="G826" s="34" t="str">
        <x:v>هدف/موضوع</x:v>
      </x:c>
      <x:c r="H826" s="39" t="str">
        <x:v>4. جریان عملیاتی اکوسیستم</x:v>
      </x:c>
      <x:c r="I826" s="39" t="str">
        <x:v>پس از تثبیت پایه‌ها؛ پروژه‌محور</x:v>
      </x:c>
      <x:c r="J826" s="39" t="str">
        <x:v>سازنده زیست‌بوم + مدیر پورتفو</x:v>
      </x:c>
      <x:c r="K826" s="39" t="str"/>
      <x:c r="L826" s="39" t="str">
        <x:v>E112:P3511</x:v>
      </x:c>
      <x:c r="M826" s="39" t="str"/>
      <x:c r="N826" s="39" t="str">
        <x:v>نسخه پایه ۳۱۵۰</x:v>
      </x:c>
    </x:row>
    <x:row r="827" ht="34" customHeight="1">
      <x:c r="A827" s="34" t="str">
        <x:v>☐</x:v>
      </x:c>
      <x:c r="B827" s="34" t="str">
        <x:v>MI-3023</x:v>
      </x:c>
      <x:c r="C827" s="34" t="str">
        <x:v>M3 — کسب‌وکار، شبکه و زیست‌بوم نوآوری</x:v>
      </x:c>
      <x:c r="D827" s="34" t="str">
        <x:v>H10</x:v>
      </x:c>
      <x:c r="E827" s="34" t="str">
        <x:v>زیست‌بوم نوآوری، استعداد و تیم‌سازی</x:v>
      </x:c>
      <x:c r="F827" s="34" t="str">
        <x:v>P2</x:v>
      </x:c>
      <x:c r="G827" s="34" t="str">
        <x:v>هدف/موضوع</x:v>
      </x:c>
      <x:c r="H827" s="39" t="str">
        <x:v>اتصال صنایع استان به تیم ها.</x:v>
      </x:c>
      <x:c r="I827" s="39" t="str">
        <x:v>پس از تثبیت پایه‌ها؛ پروژه‌محور</x:v>
      </x:c>
      <x:c r="J827" s="39" t="str">
        <x:v>سازنده زیست‌بوم + مدیر پورتفو</x:v>
      </x:c>
      <x:c r="K827" s="39" t="str"/>
      <x:c r="L827" s="39" t="str">
        <x:v>E112:P3571</x:v>
      </x:c>
      <x:c r="M827" s="39" t="str"/>
      <x:c r="N827" s="39" t="str">
        <x:v>نسخه پایه ۳۱۵۰</x:v>
      </x:c>
    </x:row>
    <x:row r="828" ht="34" customHeight="1">
      <x:c r="A828" s="34" t="str">
        <x:v>☐</x:v>
      </x:c>
      <x:c r="B828" s="34" t="str">
        <x:v>MI-3026</x:v>
      </x:c>
      <x:c r="C828" s="34" t="str">
        <x:v>M3 — کسب‌وکار، شبکه و زیست‌بوم نوآوری</x:v>
      </x:c>
      <x:c r="D828" s="34" t="str">
        <x:v>H10</x:v>
      </x:c>
      <x:c r="E828" s="34" t="str">
        <x:v>زیست‌بوم نوآوری، استعداد و تیم‌سازی</x:v>
      </x:c>
      <x:c r="F828" s="34" t="str">
        <x:v>P2</x:v>
      </x:c>
      <x:c r="G828" s="34" t="str">
        <x:v>هدف/موضوع</x:v>
      </x:c>
      <x:c r="H828" s="39" t="str">
        <x:v>کمپ های کارآفرینی چند روزه در مازندران.</x:v>
      </x:c>
      <x:c r="I828" s="39" t="str">
        <x:v>پس از تثبیت پایه‌ها؛ پروژه‌محور</x:v>
      </x:c>
      <x:c r="J828" s="39" t="str">
        <x:v>سازنده زیست‌بوم + مدیر پورتفو</x:v>
      </x:c>
      <x:c r="K828" s="39" t="str"/>
      <x:c r="L828" s="39" t="str">
        <x:v>E112:P3577</x:v>
      </x:c>
      <x:c r="M828" s="39" t="str"/>
      <x:c r="N828" s="39" t="str">
        <x:v>نسخه پایه ۳۱۵۰</x:v>
      </x:c>
    </x:row>
    <x:row r="829" ht="34" customHeight="1">
      <x:c r="A829" s="34" t="str">
        <x:v>☐</x:v>
      </x:c>
      <x:c r="B829" s="34" t="str">
        <x:v>MI-3027</x:v>
      </x:c>
      <x:c r="C829" s="34" t="str">
        <x:v>M3 — کسب‌وکار، شبکه و زیست‌بوم نوآوری</x:v>
      </x:c>
      <x:c r="D829" s="34" t="str">
        <x:v>H10</x:v>
      </x:c>
      <x:c r="E829" s="34" t="str">
        <x:v>زیست‌بوم نوآوری، استعداد و تیم‌سازی</x:v>
      </x:c>
      <x:c r="F829" s="34" t="str">
        <x:v>P2</x:v>
      </x:c>
      <x:c r="G829" s="34" t="str">
        <x:v>هدف/موضوع</x:v>
      </x:c>
      <x:c r="H829" s="39" t="str">
        <x:v>Global EiR Program</x:v>
      </x:c>
      <x:c r="I829" s="39" t="str">
        <x:v>پس از تثبیت پایه‌ها؛ پروژه‌محور</x:v>
      </x:c>
      <x:c r="J829" s="39" t="str">
        <x:v>سازنده زیست‌بوم + مدیر پورتفو</x:v>
      </x:c>
      <x:c r="K829" s="39" t="str"/>
      <x:c r="L829" s="39" t="str">
        <x:v>E112:P3578</x:v>
      </x:c>
      <x:c r="M829" s="39" t="str"/>
      <x:c r="N829" s="39" t="str">
        <x:v>نسخه پایه ۳۱۵۰</x:v>
      </x:c>
    </x:row>
    <x:row r="830" ht="34" customHeight="1">
      <x:c r="A830" s="34" t="str">
        <x:v>☐</x:v>
      </x:c>
      <x:c r="B830" s="34" t="str">
        <x:v>MI-3039</x:v>
      </x:c>
      <x:c r="C830" s="34" t="str">
        <x:v>M3 — کسب‌وکار، شبکه و زیست‌بوم نوآوری</x:v>
      </x:c>
      <x:c r="D830" s="34" t="str">
        <x:v>H10</x:v>
      </x:c>
      <x:c r="E830" s="34" t="str">
        <x:v>زیست‌بوم نوآوری، استعداد و تیم‌سازی</x:v>
      </x:c>
      <x:c r="F830" s="34" t="str">
        <x:v>P2</x:v>
      </x:c>
      <x:c r="G830" s="34" t="str">
        <x:v>هدف/موضوع</x:v>
      </x:c>
      <x:c r="H830" s="39" t="str">
        <x:v>Community Leaders</x:v>
      </x:c>
      <x:c r="I830" s="39" t="str">
        <x:v>پس از تثبیت پایه‌ها؛ پروژه‌محور</x:v>
      </x:c>
      <x:c r="J830" s="39" t="str">
        <x:v>سازنده زیست‌بوم + مدیر پورتفو</x:v>
      </x:c>
      <x:c r="K830" s="39" t="str"/>
      <x:c r="L830" s="39" t="str">
        <x:v>E112:P3612</x:v>
      </x:c>
      <x:c r="M830" s="39" t="str"/>
      <x:c r="N830" s="39" t="str">
        <x:v>نسخه پایه ۳۱۵۰</x:v>
      </x:c>
    </x:row>
    <x:row r="831" ht="34" customHeight="1">
      <x:c r="A831" s="34" t="str">
        <x:v>☐</x:v>
      </x:c>
      <x:c r="B831" s="34" t="str">
        <x:v>MI-3047</x:v>
      </x:c>
      <x:c r="C831" s="34" t="str">
        <x:v>M3 — کسب‌وکار، شبکه و زیست‌بوم نوآوری</x:v>
      </x:c>
      <x:c r="D831" s="34" t="str">
        <x:v>H10</x:v>
      </x:c>
      <x:c r="E831" s="34" t="str">
        <x:v>زیست‌بوم نوآوری، استعداد و تیم‌سازی</x:v>
      </x:c>
      <x:c r="F831" s="34" t="str">
        <x:v>P2</x:v>
      </x:c>
      <x:c r="G831" s="34" t="str">
        <x:v>هدف/موضوع</x:v>
      </x:c>
      <x:c r="H831" s="39" t="str">
        <x:v>تقریباً تمام اکوسیستم های موفق دنیا با همین سه چیز شروع شدند:</x:v>
      </x:c>
      <x:c r="I831" s="39" t="str">
        <x:v>پس از تثبیت پایه‌ها؛ پروژه‌محور</x:v>
      </x:c>
      <x:c r="J831" s="39" t="str">
        <x:v>سازنده زیست‌بوم + مدیر پورتفو</x:v>
      </x:c>
      <x:c r="K831" s="39" t="str"/>
      <x:c r="L831" s="39" t="str">
        <x:v>E112:P3632</x:v>
      </x:c>
      <x:c r="M831" s="39" t="str"/>
      <x:c r="N831" s="39" t="str">
        <x:v>نسخه پایه ۳۱۵۰</x:v>
      </x:c>
    </x:row>
    <x:row r="832" ht="34" customHeight="1">
      <x:c r="A832" s="34" t="str">
        <x:v>☐</x:v>
      </x:c>
      <x:c r="B832" s="34" t="str">
        <x:v>MI-3048</x:v>
      </x:c>
      <x:c r="C832" s="34" t="str">
        <x:v>M3 — کسب‌وکار، شبکه و زیست‌بوم نوآوری</x:v>
      </x:c>
      <x:c r="D832" s="34" t="str">
        <x:v>H10</x:v>
      </x:c>
      <x:c r="E832" s="34" t="str">
        <x:v>زیست‌بوم نوآوری، استعداد و تیم‌سازی</x:v>
      </x:c>
      <x:c r="F832" s="34" t="str">
        <x:v>P2</x:v>
      </x:c>
      <x:c r="G832" s="34" t="str">
        <x:v>هدف/موضوع</x:v>
      </x:c>
      <x:c r="H832" s="39" t="str">
        <x:v>Community</x:v>
      </x:c>
      <x:c r="I832" s="39" t="str">
        <x:v>پس از تثبیت پایه‌ها؛ پروژه‌محور</x:v>
      </x:c>
      <x:c r="J832" s="39" t="str">
        <x:v>سازنده زیست‌بوم + مدیر پورتفو</x:v>
      </x:c>
      <x:c r="K832" s="39" t="str"/>
      <x:c r="L832" s="39" t="str">
        <x:v>E112:P3634</x:v>
      </x:c>
      <x:c r="M832" s="39" t="str"/>
      <x:c r="N832" s="39" t="str">
        <x:v>نسخه پایه ۳۱۵۰</x:v>
      </x:c>
    </x:row>
    <x:row r="833" ht="34" customHeight="1">
      <x:c r="A833" s="34" t="str">
        <x:v>☐</x:v>
      </x:c>
      <x:c r="B833" s="34" t="str">
        <x:v>MI-3052</x:v>
      </x:c>
      <x:c r="C833" s="34" t="str">
        <x:v>M3 — کسب‌وکار، شبکه و زیست‌بوم نوآوری</x:v>
      </x:c>
      <x:c r="D833" s="34" t="str">
        <x:v>H10</x:v>
      </x:c>
      <x:c r="E833" s="34" t="str">
        <x:v>زیست‌بوم نوآوری، استعداد و تیم‌سازی</x:v>
      </x:c>
      <x:c r="F833" s="34" t="str">
        <x:v>P2</x:v>
      </x:c>
      <x:c r="G833" s="34" t="str">
        <x:v>هدف/موضوع</x:v>
      </x:c>
      <x:c r="H833" s="39" t="str">
        <x:v>نقشه قدرت اکوسیستم مازندران</x:v>
      </x:c>
      <x:c r="I833" s="39" t="str">
        <x:v>پس از تثبیت پایه‌ها؛ پروژه‌محور</x:v>
      </x:c>
      <x:c r="J833" s="39" t="str">
        <x:v>سازنده زیست‌بوم + مدیر پورتفو</x:v>
      </x:c>
      <x:c r="K833" s="39" t="str"/>
      <x:c r="L833" s="39" t="str">
        <x:v>E112:P3644</x:v>
      </x:c>
      <x:c r="M833" s="39" t="str"/>
      <x:c r="N833" s="39" t="str">
        <x:v>نسخه پایه ۳۱۵۰</x:v>
      </x:c>
    </x:row>
    <x:row r="834" ht="34" customHeight="1">
      <x:c r="A834" s="34" t="str">
        <x:v>☐</x:v>
      </x:c>
      <x:c r="B834" s="34" t="str">
        <x:v>MI-0278</x:v>
      </x:c>
      <x:c r="C834" s="34" t="str">
        <x:v>M3 — کسب‌وکار، شبکه و زیست‌بوم نوآوری</x:v>
      </x:c>
      <x:c r="D834" s="34" t="str">
        <x:v>H10</x:v>
      </x:c>
      <x:c r="E834" s="34" t="str">
        <x:v>زیست‌بوم نوآوری، استعداد و تیم‌سازی</x:v>
      </x:c>
      <x:c r="F834" s="34" t="str">
        <x:v>P2</x:v>
      </x:c>
      <x:c r="G834" s="34" t="str">
        <x:v>فرد/ارتباط</x:v>
      </x:c>
      <x:c r="H834" s="39" t="str">
        <x:v>استاد بیاد ورکشاپ-کنفرانس یا ... رو تایید کند، سر کلاس پیشنهاد بده</x:v>
      </x:c>
      <x:c r="I834" s="39" t="str">
        <x:v>پس از تثبیت پایه‌ها؛ پروژه‌محور</x:v>
      </x:c>
      <x:c r="J834" s="39" t="str">
        <x:v>سازنده زیست‌بوم + مدیر پورتفو</x:v>
      </x:c>
      <x:c r="K834" s="39" t="str"/>
      <x:c r="L834" s="39" t="str">
        <x:v>AP:P49</x:v>
      </x:c>
      <x:c r="M834" s="39" t="str"/>
      <x:c r="N834" s="39" t="str">
        <x:v>نسخه پایه ۳۱۵۰</x:v>
      </x:c>
    </x:row>
    <x:row r="835" ht="34" customHeight="1">
      <x:c r="A835" s="34" t="str">
        <x:v>☐</x:v>
      </x:c>
      <x:c r="B835" s="34" t="str">
        <x:v>MI-1582</x:v>
      </x:c>
      <x:c r="C835" s="34" t="str">
        <x:v>M3 — کسب‌وکار، شبکه و زیست‌بوم نوآوری</x:v>
      </x:c>
      <x:c r="D835" s="34" t="str">
        <x:v>H10</x:v>
      </x:c>
      <x:c r="E835" s="34" t="str">
        <x:v>زیست‌بوم نوآوری، استعداد و تیم‌سازی</x:v>
      </x:c>
      <x:c r="F835" s="34" t="str">
        <x:v>P2</x:v>
      </x:c>
      <x:c r="G835" s="34" t="str">
        <x:v>فرد/ارتباط</x:v>
      </x:c>
      <x:c r="H835" s="39" t="str">
        <x:v>یا سلسه بوتکمپ های خاصی در مکانی خاص با استاد خاص در استان مازندران میتونه برگزار بشه که از ظرفیت صنعتی و گردشگری به صورت همزمان بشه استافده کرد</x:v>
      </x:c>
      <x:c r="I835" s="39" t="str">
        <x:v>پس از تثبیت پایه‌ها؛ پروژه‌محور</x:v>
      </x:c>
      <x:c r="J835" s="39" t="str">
        <x:v>سازنده زیست‌بوم + مدیر پورتفو</x:v>
      </x:c>
      <x:c r="K835" s="39" t="str"/>
      <x:c r="L835" s="39" t="str">
        <x:v>E112:P23؛ E112:P1803؛ E112:P2269</x:v>
      </x:c>
      <x:c r="M835" s="39" t="str"/>
      <x:c r="N835" s="39" t="str">
        <x:v>نسخه پایه ۳۱۵۰</x:v>
      </x:c>
    </x:row>
    <x:row r="836" ht="34" customHeight="1">
      <x:c r="A836" s="34" t="str">
        <x:v>☐</x:v>
      </x:c>
      <x:c r="B836" s="34" t="str">
        <x:v>MI-1583</x:v>
      </x:c>
      <x:c r="C836" s="34" t="str">
        <x:v>M3 — کسب‌وکار، شبکه و زیست‌بوم نوآوری</x:v>
      </x:c>
      <x:c r="D836" s="34" t="str">
        <x:v>H10</x:v>
      </x:c>
      <x:c r="E836" s="34" t="str">
        <x:v>زیست‌بوم نوآوری، استعداد و تیم‌سازی</x:v>
      </x:c>
      <x:c r="F836" s="34" t="str">
        <x:v>P2</x:v>
      </x:c>
      <x:c r="G836" s="34" t="str">
        <x:v>یادداشت/تحلیل</x:v>
      </x:c>
      <x:c r="H836" s="39" t="str">
        <x:v>همچنین میشه رویداد هایی برگزار بشه در استان مازندران با این ظرفیت اردوگاه ها یا بوتکمپ ها که بشه افراد رو برای دو سه روزی منحصرا در فضایی خوب برای موضوعی جذاب اورد و از بطن اون استعدادد استخراج کنی</x:v>
      </x:c>
      <x:c r="I836" s="39" t="str">
        <x:v>پس از تثبیت پایه‌ها؛ پروژه‌محور</x:v>
      </x:c>
      <x:c r="J836" s="39" t="str">
        <x:v>سازنده زیست‌بوم + مدیر پورتفو</x:v>
      </x:c>
      <x:c r="K836" s="39" t="str"/>
      <x:c r="L836" s="39" t="str">
        <x:v>E112:P24؛ E112:P1804؛ E112:P2270</x:v>
      </x:c>
      <x:c r="M836" s="39" t="str"/>
      <x:c r="N836" s="39" t="str">
        <x:v>نسخه پایه ۳۱۵۰</x:v>
      </x:c>
    </x:row>
    <x:row r="837" ht="34" customHeight="1">
      <x:c r="A837" s="34" t="str">
        <x:v>☐</x:v>
      </x:c>
      <x:c r="B837" s="34" t="str">
        <x:v>MI-1754</x:v>
      </x:c>
      <x:c r="C837" s="34" t="str">
        <x:v>M3 — کسب‌وکار، شبکه و زیست‌بوم نوآوری</x:v>
      </x:c>
      <x:c r="D837" s="34" t="str">
        <x:v>H10</x:v>
      </x:c>
      <x:c r="E837" s="34" t="str">
        <x:v>زیست‌بوم نوآوری، استعداد و تیم‌سازی</x:v>
      </x:c>
      <x:c r="F837" s="34" t="str">
        <x:v>P2</x:v>
      </x:c>
      <x:c r="G837" s="34" t="str">
        <x:v>یادداشت/تحلیل</x:v>
      </x:c>
      <x:c r="H837" s="39" t="str">
        <x:v>اگر تو را به عنوان مدیر منابع انسانی یک اکوسیستم در نظر بگیریم، چیزی که واقعاً مدیریت می کنی فقط «آدم ها» نیست؛ بلکه جریان استعداد، اطلاعات، فرصت و سرمایه است. برای همین بهتر است آیتم ها را لایه ای ببینی: از کلان به خرد.</x:v>
      </x:c>
      <x:c r="I837" s="39" t="str">
        <x:v>پس از تثبیت پایه‌ها؛ پروژه‌محور</x:v>
      </x:c>
      <x:c r="J837" s="39" t="str">
        <x:v>سازنده زیست‌بوم + مدیر پورتفو</x:v>
      </x:c>
      <x:c r="K837" s="39" t="str"/>
      <x:c r="L837" s="39" t="str">
        <x:v>E112:P236</x:v>
      </x:c>
      <x:c r="M837" s="39" t="str"/>
      <x:c r="N837" s="39" t="str">
        <x:v>نسخه پایه ۳۱۵۰</x:v>
      </x:c>
    </x:row>
    <x:row r="838" ht="34" customHeight="1">
      <x:c r="A838" s="34" t="str">
        <x:v>☐</x:v>
      </x:c>
      <x:c r="B838" s="34" t="str">
        <x:v>MI-1896</x:v>
      </x:c>
      <x:c r="C838" s="34" t="str">
        <x:v>M3 — کسب‌وکار، شبکه و زیست‌بوم نوآوری</x:v>
      </x:c>
      <x:c r="D838" s="34" t="str">
        <x:v>H10</x:v>
      </x:c>
      <x:c r="E838" s="34" t="str">
        <x:v>زیست‌بوم نوآوری، استعداد و تیم‌سازی</x:v>
      </x:c>
      <x:c r="F838" s="34" t="str">
        <x:v>P2</x:v>
      </x:c>
      <x:c r="G838" s="34" t="str">
        <x:v>یادداشت/تحلیل</x:v>
      </x:c>
      <x:c r="H838" s="39" t="str">
        <x:v>خیلی خوب؛ آن آیتم هایی که گفتی را می شود به عنوان گره های اولیه اکوسیستم در نظر گرفت. اما اگر واقعاً بخواهی مثل یک مدیر منابع انسانی در سطح اکوسیستم فکر کنی، باید دامنه آیتم ها خیلی بزرگ تر شود؛ چون جریان استعداد از جاهای بسیار متنوعی وارد اکوسیستم می شود.</x:v>
      </x:c>
      <x:c r="I838" s="39" t="str">
        <x:v>پس از تثبیت پایه‌ها؛ پروژه‌محور</x:v>
      </x:c>
      <x:c r="J838" s="39" t="str">
        <x:v>سازنده زیست‌بوم + مدیر پورتفو</x:v>
      </x:c>
      <x:c r="K838" s="39" t="str"/>
      <x:c r="L838" s="39" t="str">
        <x:v>E112:P485</x:v>
      </x:c>
      <x:c r="M838" s="39" t="str"/>
      <x:c r="N838" s="39" t="str">
        <x:v>نسخه پایه ۳۱۵۰</x:v>
      </x:c>
    </x:row>
    <x:row r="839" ht="34" customHeight="1">
      <x:c r="A839" s="34" t="str">
        <x:v>☐</x:v>
      </x:c>
      <x:c r="B839" s="34" t="str">
        <x:v>MI-2792</x:v>
      </x:c>
      <x:c r="C839" s="34" t="str">
        <x:v>M3 — کسب‌وکار، شبکه و زیست‌بوم نوآوری</x:v>
      </x:c>
      <x:c r="D839" s="34" t="str">
        <x:v>H10</x:v>
      </x:c>
      <x:c r="E839" s="34" t="str">
        <x:v>زیست‌بوم نوآوری، استعداد و تیم‌سازی</x:v>
      </x:c>
      <x:c r="F839" s="34" t="str">
        <x:v>P2</x:v>
      </x:c>
      <x:c r="G839" s="34" t="str">
        <x:v>یادداشت/تحلیل</x:v>
      </x:c>
      <x:c r="H839" s="39" t="str">
        <x:v>برای طراحی نقشه معماری اکوسیستم نوآوری مازندران باید آن را مثل یک سیستم چندلایه با جریان های مشخص ببینیم. در این مدل هر لایه یک کار انجام می دهد و خروجی آن وارد لایه بعدی می شود. نتیجه این اتصال ها همان چیزی است که به آن زیست بوم کارآفرینی می گوییم.</x:v>
      </x:c>
      <x:c r="I839" s="39" t="str">
        <x:v>پس از تثبیت پایه‌ها؛ پروژه‌محور</x:v>
      </x:c>
      <x:c r="J839" s="39" t="str">
        <x:v>سازنده زیست‌بوم + مدیر پورتفو</x:v>
      </x:c>
      <x:c r="K839" s="39" t="str"/>
      <x:c r="L839" s="39" t="str">
        <x:v>E112:P2926</x:v>
      </x:c>
      <x:c r="M839" s="39" t="str"/>
      <x:c r="N839" s="39" t="str">
        <x:v>نسخه پایه ۳۱۵۰</x:v>
      </x:c>
    </x:row>
    <x:row r="840" ht="34" customHeight="1">
      <x:c r="A840" s="34" t="str">
        <x:v>☐</x:v>
      </x:c>
      <x:c r="B840" s="34" t="str">
        <x:v>MI-0276</x:v>
      </x:c>
      <x:c r="C840" s="34" t="str">
        <x:v>M3 — کسب‌وکار، شبکه و زیست‌بوم نوآوری</x:v>
      </x:c>
      <x:c r="D840" s="34" t="str">
        <x:v>H10</x:v>
      </x:c>
      <x:c r="E840" s="34" t="str">
        <x:v>زیست‌بوم نوآوری، استعداد و تیم‌سازی</x:v>
      </x:c>
      <x:c r="F840" s="34" t="str">
        <x:v>BANK</x:v>
      </x:c>
      <x:c r="G840" s="34" t="str">
        <x:v>مطالعه/منبع</x:v>
      </x:c>
      <x:c r="H840" s="39" t="str">
        <x:v>ایمان واثق و طرح گرفتن دیتای بسیار دقیق و حساب شده از تمامی رشته ها و گرایشات و دروس و نرم افزار های مورد نیاز از طریق آگهی استخدامی ها ف از طریق سایت ها ، و....</x:v>
      </x:c>
      <x:c r="I840" s="39" t="str">
        <x:v>بانک مطالعه؛ سقف زمانی</x:v>
      </x:c>
      <x:c r="J840" s="39" t="str">
        <x:v>سازنده زیست‌بوم + مدیر پورتفو</x:v>
      </x:c>
      <x:c r="K840" s="39" t="str"/>
      <x:c r="L840" s="39" t="str">
        <x:v>AP:P47</x:v>
      </x:c>
      <x:c r="M840" s="39" t="str"/>
      <x:c r="N840" s="39" t="str">
        <x:v>نسخه پایه ۳۱۵۰</x:v>
      </x:c>
    </x:row>
    <x:row r="841" ht="34" customHeight="1">
      <x:c r="A841" s="34" t="str">
        <x:v>☐</x:v>
      </x:c>
      <x:c r="B841" s="34" t="str">
        <x:v>MI-0753</x:v>
      </x:c>
      <x:c r="C841" s="34" t="str">
        <x:v>M4 — اجرا، دانشگاه، صنعت و پروژه‌های اجتماعی</x:v>
      </x:c>
      <x:c r="D841" s="34" t="str">
        <x:v>H11</x:v>
      </x:c>
      <x:c r="E841" s="34" t="str">
        <x:v>دانشگاه؛ صنفی، رفاهی، اجرایی و رسانه‌ای</x:v>
      </x:c>
      <x:c r="F841" s="34" t="str">
        <x:v>DELEGATE/P2</x:v>
      </x:c>
      <x:c r="G841" s="34" t="str">
        <x:v>اقدام اجرایی</x:v>
      </x:c>
      <x:c r="H841" s="39" t="str">
        <x:v>لیست اساتید و هییت رییسه و مسیولین تهیه بشه</x:v>
      </x:c>
      <x:c r="I841" s="39" t="str">
        <x:v>پورتفو؛ واگذاری اجرا و تمرکز بر راهبری</x:v>
      </x:c>
      <x:c r="J841" s="39" t="str">
        <x:v>PMO/عملیات + روابط عمومی</x:v>
      </x:c>
      <x:c r="K841" s="39" t="str"/>
      <x:c r="L841" s="39" t="str">
        <x:v>AP:P544</x:v>
      </x:c>
      <x:c r="M841" s="39" t="str"/>
      <x:c r="N841" s="39" t="str">
        <x:v>نسخه پایه ۳۱۵۰</x:v>
      </x:c>
    </x:row>
    <x:row r="842" ht="34" customHeight="1">
      <x:c r="A842" s="34" t="str">
        <x:v>☐</x:v>
      </x:c>
      <x:c r="B842" s="34" t="str">
        <x:v>MI-0756</x:v>
      </x:c>
      <x:c r="C842" s="34" t="str">
        <x:v>M4 — اجرا، دانشگاه، صنعت و پروژه‌های اجتماعی</x:v>
      </x:c>
      <x:c r="D842" s="34" t="str">
        <x:v>H11</x:v>
      </x:c>
      <x:c r="E842" s="34" t="str">
        <x:v>دانشگاه؛ صنفی، رفاهی، اجرایی و رسانه‌ای</x:v>
      </x:c>
      <x:c r="F842" s="34" t="str">
        <x:v>DELEGATE/P2</x:v>
      </x:c>
      <x:c r="G842" s="34" t="str">
        <x:v>اقدام اجرایی</x:v>
      </x:c>
      <x:c r="H842" s="39" t="str">
        <x:v>مصاحبه میدانی</x:v>
      </x:c>
      <x:c r="I842" s="39" t="str">
        <x:v>پورتفو؛ واگذاری اجرا و تمرکز بر راهبری</x:v>
      </x:c>
      <x:c r="J842" s="39" t="str">
        <x:v>PMO/عملیات + روابط عمومی</x:v>
      </x:c>
      <x:c r="K842" s="39" t="str"/>
      <x:c r="L842" s="39" t="str">
        <x:v>AP:P548</x:v>
      </x:c>
      <x:c r="M842" s="39" t="str"/>
      <x:c r="N842" s="39" t="str">
        <x:v>نسخه پایه ۳۱۵۰</x:v>
      </x:c>
    </x:row>
    <x:row r="843" ht="34" customHeight="1">
      <x:c r="A843" s="34" t="str">
        <x:v>☐</x:v>
      </x:c>
      <x:c r="B843" s="34" t="str">
        <x:v>MI-0757</x:v>
      </x:c>
      <x:c r="C843" s="34" t="str">
        <x:v>M4 — اجرا، دانشگاه، صنعت و پروژه‌های اجتماعی</x:v>
      </x:c>
      <x:c r="D843" s="34" t="str">
        <x:v>H11</x:v>
      </x:c>
      <x:c r="E843" s="34" t="str">
        <x:v>دانشگاه؛ صنفی، رفاهی، اجرایی و رسانه‌ای</x:v>
      </x:c>
      <x:c r="F843" s="34" t="str">
        <x:v>DELEGATE/P2</x:v>
      </x:c>
      <x:c r="G843" s="34" t="str">
        <x:v>اقدام اجرایی</x:v>
      </x:c>
      <x:c r="H843" s="39" t="str">
        <x:v>تهیه بروشور عملکرد صنفی و ارایه گزارشات و حیطه اختیارات و راه های ارتباطی و عکس اقداماتی انجام شده</x:v>
      </x:c>
      <x:c r="I843" s="39" t="str">
        <x:v>پورتفو؛ واگذاری اجرا و تمرکز بر راهبری</x:v>
      </x:c>
      <x:c r="J843" s="39" t="str">
        <x:v>PMO/عملیات + روابط عمومی</x:v>
      </x:c>
      <x:c r="K843" s="39" t="str"/>
      <x:c r="L843" s="39" t="str">
        <x:v>AP:P549</x:v>
      </x:c>
      <x:c r="M843" s="39" t="str"/>
      <x:c r="N843" s="39" t="str">
        <x:v>نسخه پایه ۳۱۵۰</x:v>
      </x:c>
    </x:row>
    <x:row r="844" ht="34" customHeight="1">
      <x:c r="A844" s="34" t="str">
        <x:v>☐</x:v>
      </x:c>
      <x:c r="B844" s="34" t="str">
        <x:v>MI-0758</x:v>
      </x:c>
      <x:c r="C844" s="34" t="str">
        <x:v>M4 — اجرا، دانشگاه، صنعت و پروژه‌های اجتماعی</x:v>
      </x:c>
      <x:c r="D844" s="34" t="str">
        <x:v>H11</x:v>
      </x:c>
      <x:c r="E844" s="34" t="str">
        <x:v>دانشگاه؛ صنفی، رفاهی، اجرایی و رسانه‌ای</x:v>
      </x:c>
      <x:c r="F844" s="34" t="str">
        <x:v>DELEGATE/P2</x:v>
      </x:c>
      <x:c r="G844" s="34" t="str">
        <x:v>اقدام اجرایی</x:v>
      </x:c>
      <x:c r="H844" s="39" t="str">
        <x:v>نظر سنجی با فرم افزار</x:v>
      </x:c>
      <x:c r="I844" s="39" t="str">
        <x:v>پورتفو؛ واگذاری اجرا و تمرکز بر راهبری</x:v>
      </x:c>
      <x:c r="J844" s="39" t="str">
        <x:v>PMO/عملیات + روابط عمومی</x:v>
      </x:c>
      <x:c r="K844" s="39" t="str"/>
      <x:c r="L844" s="39" t="str">
        <x:v>AP:P550</x:v>
      </x:c>
      <x:c r="M844" s="39" t="str"/>
      <x:c r="N844" s="39" t="str">
        <x:v>نسخه پایه ۳۱۵۰</x:v>
      </x:c>
    </x:row>
    <x:row r="845" ht="34" customHeight="1">
      <x:c r="A845" s="34" t="str">
        <x:v>☐</x:v>
      </x:c>
      <x:c r="B845" s="34" t="str">
        <x:v>MI-0759</x:v>
      </x:c>
      <x:c r="C845" s="34" t="str">
        <x:v>M4 — اجرا، دانشگاه، صنعت و پروژه‌های اجتماعی</x:v>
      </x:c>
      <x:c r="D845" s="34" t="str">
        <x:v>H11</x:v>
      </x:c>
      <x:c r="E845" s="34" t="str">
        <x:v>دانشگاه؛ صنفی، رفاهی، اجرایی و رسانه‌ای</x:v>
      </x:c>
      <x:c r="F845" s="34" t="str">
        <x:v>DELEGATE/P2</x:v>
      </x:c>
      <x:c r="G845" s="34" t="str">
        <x:v>اقدام اجرایی</x:v>
      </x:c>
      <x:c r="H845" s="39" t="str">
        <x:v>تهیه کیو آر کد و نصب در راهرو دانشکده ها و کارگاه ها و سلف و خوابگاه ها</x:v>
      </x:c>
      <x:c r="I845" s="39" t="str">
        <x:v>پورتفو؛ واگذاری اجرا و تمرکز بر راهبری</x:v>
      </x:c>
      <x:c r="J845" s="39" t="str">
        <x:v>PMO/عملیات + روابط عمومی</x:v>
      </x:c>
      <x:c r="K845" s="39" t="str"/>
      <x:c r="L845" s="39" t="str">
        <x:v>AP:P551</x:v>
      </x:c>
      <x:c r="M845" s="39" t="str"/>
      <x:c r="N845" s="39" t="str">
        <x:v>نسخه پایه ۳۱۵۰</x:v>
      </x:c>
    </x:row>
    <x:row r="846" ht="34" customHeight="1">
      <x:c r="A846" s="34" t="str">
        <x:v>☐</x:v>
      </x:c>
      <x:c r="B846" s="34" t="str">
        <x:v>MI-0763</x:v>
      </x:c>
      <x:c r="C846" s="34" t="str">
        <x:v>M4 — اجرا، دانشگاه، صنعت و پروژه‌های اجتماعی</x:v>
      </x:c>
      <x:c r="D846" s="34" t="str">
        <x:v>H11</x:v>
      </x:c>
      <x:c r="E846" s="34" t="str">
        <x:v>دانشگاه؛ صنفی، رفاهی، اجرایی و رسانه‌ای</x:v>
      </x:c>
      <x:c r="F846" s="34" t="str">
        <x:v>DELEGATE/P2</x:v>
      </x:c>
      <x:c r="G846" s="34" t="str">
        <x:v>اقدام اجرایی</x:v>
      </x:c>
      <x:c r="H846" s="39" t="str">
        <x:v>قرار دادن جدول غذا در کانال و یادآوری غذای هفته</x:v>
      </x:c>
      <x:c r="I846" s="39" t="str">
        <x:v>پورتفو؛ واگذاری اجرا و تمرکز بر راهبری</x:v>
      </x:c>
      <x:c r="J846" s="39" t="str">
        <x:v>PMO/عملیات + روابط عمومی</x:v>
      </x:c>
      <x:c r="K846" s="39" t="str"/>
      <x:c r="L846" s="39" t="str">
        <x:v>AP:P555</x:v>
      </x:c>
      <x:c r="M846" s="39" t="str"/>
      <x:c r="N846" s="39" t="str">
        <x:v>نسخه پایه ۳۱۵۰</x:v>
      </x:c>
    </x:row>
    <x:row r="847" ht="34" customHeight="1">
      <x:c r="A847" s="34" t="str">
        <x:v>☐</x:v>
      </x:c>
      <x:c r="B847" s="34" t="str">
        <x:v>MI-0769</x:v>
      </x:c>
      <x:c r="C847" s="34" t="str">
        <x:v>M4 — اجرا، دانشگاه، صنعت و پروژه‌های اجتماعی</x:v>
      </x:c>
      <x:c r="D847" s="34" t="str">
        <x:v>H11</x:v>
      </x:c>
      <x:c r="E847" s="34" t="str">
        <x:v>دانشگاه؛ صنفی، رفاهی، اجرایی و رسانه‌ای</x:v>
      </x:c>
      <x:c r="F847" s="34" t="str">
        <x:v>DELEGATE/P2</x:v>
      </x:c>
      <x:c r="G847" s="34" t="str">
        <x:v>اقدام اجرایی</x:v>
      </x:c>
      <x:c r="H847" s="39" t="str">
        <x:v>نامه های مربوط به سلف بارگزاری شود</x:v>
      </x:c>
      <x:c r="I847" s="39" t="str">
        <x:v>پورتفو؛ واگذاری اجرا و تمرکز بر راهبری</x:v>
      </x:c>
      <x:c r="J847" s="39" t="str">
        <x:v>PMO/عملیات + روابط عمومی</x:v>
      </x:c>
      <x:c r="K847" s="39" t="str"/>
      <x:c r="L847" s="39" t="str">
        <x:v>AP:P561</x:v>
      </x:c>
      <x:c r="M847" s="39" t="str"/>
      <x:c r="N847" s="39" t="str">
        <x:v>نسخه پایه ۳۱۵۰</x:v>
      </x:c>
    </x:row>
    <x:row r="848" ht="34" customHeight="1">
      <x:c r="A848" s="34" t="str">
        <x:v>☐</x:v>
      </x:c>
      <x:c r="B848" s="34" t="str">
        <x:v>MI-0772</x:v>
      </x:c>
      <x:c r="C848" s="34" t="str">
        <x:v>M4 — اجرا، دانشگاه، صنعت و پروژه‌های اجتماعی</x:v>
      </x:c>
      <x:c r="D848" s="34" t="str">
        <x:v>H11</x:v>
      </x:c>
      <x:c r="E848" s="34" t="str">
        <x:v>دانشگاه؛ صنفی، رفاهی، اجرایی و رسانه‌ای</x:v>
      </x:c>
      <x:c r="F848" s="34" t="str">
        <x:v>DELEGATE/P2</x:v>
      </x:c>
      <x:c r="G848" s="34" t="str">
        <x:v>اقدام اجرایی</x:v>
      </x:c>
      <x:c r="H848" s="39" t="str">
        <x:v>نظارت بر توزیع</x:v>
      </x:c>
      <x:c r="I848" s="39" t="str">
        <x:v>پورتفو؛ واگذاری اجرا و تمرکز بر راهبری</x:v>
      </x:c>
      <x:c r="J848" s="39" t="str">
        <x:v>PMO/عملیات + روابط عمومی</x:v>
      </x:c>
      <x:c r="K848" s="39" t="str"/>
      <x:c r="L848" s="39" t="str">
        <x:v>AP:P564</x:v>
      </x:c>
      <x:c r="M848" s="39" t="str"/>
      <x:c r="N848" s="39" t="str">
        <x:v>نسخه پایه ۳۱۵۰</x:v>
      </x:c>
    </x:row>
    <x:row r="849" ht="34" customHeight="1">
      <x:c r="A849" s="34" t="str">
        <x:v>☐</x:v>
      </x:c>
      <x:c r="B849" s="34" t="str">
        <x:v>MI-0778</x:v>
      </x:c>
      <x:c r="C849" s="34" t="str">
        <x:v>M4 — اجرا، دانشگاه، صنعت و پروژه‌های اجتماعی</x:v>
      </x:c>
      <x:c r="D849" s="34" t="str">
        <x:v>H11</x:v>
      </x:c>
      <x:c r="E849" s="34" t="str">
        <x:v>دانشگاه؛ صنفی، رفاهی، اجرایی و رسانه‌ای</x:v>
      </x:c>
      <x:c r="F849" s="34" t="str">
        <x:v>DELEGATE/P2</x:v>
      </x:c>
      <x:c r="G849" s="34" t="str">
        <x:v>اقدام اجرایی</x:v>
      </x:c>
      <x:c r="H849" s="39" t="str">
        <x:v>نماینده شورا در سلف پیگیری کند</x:v>
      </x:c>
      <x:c r="I849" s="39" t="str">
        <x:v>پورتفو؛ واگذاری اجرا و تمرکز بر راهبری</x:v>
      </x:c>
      <x:c r="J849" s="39" t="str">
        <x:v>PMO/عملیات + روابط عمومی</x:v>
      </x:c>
      <x:c r="K849" s="39" t="str"/>
      <x:c r="L849" s="39" t="str">
        <x:v>AP:P570</x:v>
      </x:c>
      <x:c r="M849" s="39" t="str"/>
      <x:c r="N849" s="39" t="str">
        <x:v>نسخه پایه ۳۱۵۰</x:v>
      </x:c>
    </x:row>
    <x:row r="850" ht="34" customHeight="1">
      <x:c r="A850" s="34" t="str">
        <x:v>☐</x:v>
      </x:c>
      <x:c r="B850" s="34" t="str">
        <x:v>MI-0795</x:v>
      </x:c>
      <x:c r="C850" s="34" t="str">
        <x:v>M4 — اجرا، دانشگاه، صنعت و پروژه‌های اجتماعی</x:v>
      </x:c>
      <x:c r="D850" s="34" t="str">
        <x:v>H11</x:v>
      </x:c>
      <x:c r="E850" s="34" t="str">
        <x:v>دانشگاه؛ صنفی، رفاهی، اجرایی و رسانه‌ای</x:v>
      </x:c>
      <x:c r="F850" s="34" t="str">
        <x:v>DELEGATE/P2</x:v>
      </x:c>
      <x:c r="G850" s="34" t="str">
        <x:v>اقدام اجرایی</x:v>
      </x:c>
      <x:c r="H850" s="39" t="str">
        <x:v>- توزیع صبحانه همراه با شام و یا به صورت جیره هفتگی</x:v>
      </x:c>
      <x:c r="I850" s="39" t="str">
        <x:v>پورتفو؛ واگذاری اجرا و تمرکز بر راهبری</x:v>
      </x:c>
      <x:c r="J850" s="39" t="str">
        <x:v>PMO/عملیات + روابط عمومی</x:v>
      </x:c>
      <x:c r="K850" s="39" t="str"/>
      <x:c r="L850" s="39" t="str">
        <x:v>AP:P587</x:v>
      </x:c>
      <x:c r="M850" s="39" t="str"/>
      <x:c r="N850" s="39" t="str">
        <x:v>نسخه پایه ۳۱۵۰</x:v>
      </x:c>
    </x:row>
    <x:row r="851" ht="34" customHeight="1">
      <x:c r="A851" s="34" t="str">
        <x:v>☐</x:v>
      </x:c>
      <x:c r="B851" s="34" t="str">
        <x:v>MI-0797</x:v>
      </x:c>
      <x:c r="C851" s="34" t="str">
        <x:v>M4 — اجرا، دانشگاه، صنعت و پروژه‌های اجتماعی</x:v>
      </x:c>
      <x:c r="D851" s="34" t="str">
        <x:v>H11</x:v>
      </x:c>
      <x:c r="E851" s="34" t="str">
        <x:v>دانشگاه؛ صنفی، رفاهی، اجرایی و رسانه‌ای</x:v>
      </x:c>
      <x:c r="F851" s="34" t="str">
        <x:v>DELEGATE/P2</x:v>
      </x:c>
      <x:c r="G851" s="34" t="str">
        <x:v>اقدام اجرایی</x:v>
      </x:c>
      <x:c r="H851" s="39" t="str">
        <x:v>- برنامه غذایی پیشنهادی دانشجویی</x:v>
      </x:c>
      <x:c r="I851" s="39" t="str">
        <x:v>پورتفو؛ واگذاری اجرا و تمرکز بر راهبری</x:v>
      </x:c>
      <x:c r="J851" s="39" t="str">
        <x:v>PMO/عملیات + روابط عمومی</x:v>
      </x:c>
      <x:c r="K851" s="39" t="str"/>
      <x:c r="L851" s="39" t="str">
        <x:v>AP:P589</x:v>
      </x:c>
      <x:c r="M851" s="39" t="str"/>
      <x:c r="N851" s="39" t="str">
        <x:v>نسخه پایه ۳۱۵۰</x:v>
      </x:c>
    </x:row>
    <x:row r="852" ht="34" customHeight="1">
      <x:c r="A852" s="34" t="str">
        <x:v>☐</x:v>
      </x:c>
      <x:c r="B852" s="34" t="str">
        <x:v>MI-0800</x:v>
      </x:c>
      <x:c r="C852" s="34" t="str">
        <x:v>M4 — اجرا، دانشگاه، صنعت و پروژه‌های اجتماعی</x:v>
      </x:c>
      <x:c r="D852" s="34" t="str">
        <x:v>H11</x:v>
      </x:c>
      <x:c r="E852" s="34" t="str">
        <x:v>دانشگاه؛ صنفی، رفاهی، اجرایی و رسانه‌ای</x:v>
      </x:c>
      <x:c r="F852" s="34" t="str">
        <x:v>DELEGATE/P2</x:v>
      </x:c>
      <x:c r="G852" s="34" t="str">
        <x:v>اقدام اجرایی</x:v>
      </x:c>
      <x:c r="H852" s="39" t="str">
        <x:v>- قرار دادن اختیاراتی به شورای صنفی در موضوع قرار داد سلف به پیمانکار</x:v>
      </x:c>
      <x:c r="I852" s="39" t="str">
        <x:v>پورتفو؛ واگذاری اجرا و تمرکز بر راهبری</x:v>
      </x:c>
      <x:c r="J852" s="39" t="str">
        <x:v>PMO/عملیات + روابط عمومی</x:v>
      </x:c>
      <x:c r="K852" s="39" t="str"/>
      <x:c r="L852" s="39" t="str">
        <x:v>AP:P592</x:v>
      </x:c>
      <x:c r="M852" s="39" t="str"/>
      <x:c r="N852" s="39" t="str">
        <x:v>نسخه پایه ۳۱۵۰</x:v>
      </x:c>
    </x:row>
    <x:row r="853" ht="34" customHeight="1">
      <x:c r="A853" s="34" t="str">
        <x:v>☐</x:v>
      </x:c>
      <x:c r="B853" s="34" t="str">
        <x:v>MI-0802</x:v>
      </x:c>
      <x:c r="C853" s="34" t="str">
        <x:v>M4 — اجرا، دانشگاه، صنعت و پروژه‌های اجتماعی</x:v>
      </x:c>
      <x:c r="D853" s="34" t="str">
        <x:v>H11</x:v>
      </x:c>
      <x:c r="E853" s="34" t="str">
        <x:v>دانشگاه؛ صنفی، رفاهی، اجرایی و رسانه‌ای</x:v>
      </x:c>
      <x:c r="F853" s="34" t="str">
        <x:v>DELEGATE/P2</x:v>
      </x:c>
      <x:c r="G853" s="34" t="str">
        <x:v>اقدام اجرایی</x:v>
      </x:c>
      <x:c r="H853" s="39" t="str">
        <x:v>- تحویل پیش نویش قرار داد سلف و بوفه ها یک هفته قبل از امضای قرار داد به شورای صنفی</x:v>
      </x:c>
      <x:c r="I853" s="39" t="str">
        <x:v>پورتفو؛ واگذاری اجرا و تمرکز بر راهبری</x:v>
      </x:c>
      <x:c r="J853" s="39" t="str">
        <x:v>PMO/عملیات + روابط عمومی</x:v>
      </x:c>
      <x:c r="K853" s="39" t="str"/>
      <x:c r="L853" s="39" t="str">
        <x:v>AP:P594</x:v>
      </x:c>
      <x:c r="M853" s="39" t="str"/>
      <x:c r="N853" s="39" t="str">
        <x:v>نسخه پایه ۳۱۵۰</x:v>
      </x:c>
    </x:row>
    <x:row r="854" ht="34" customHeight="1">
      <x:c r="A854" s="34" t="str">
        <x:v>☐</x:v>
      </x:c>
      <x:c r="B854" s="34" t="str">
        <x:v>MI-0803</x:v>
      </x:c>
      <x:c r="C854" s="34" t="str">
        <x:v>M4 — اجرا، دانشگاه، صنعت و پروژه‌های اجتماعی</x:v>
      </x:c>
      <x:c r="D854" s="34" t="str">
        <x:v>H11</x:v>
      </x:c>
      <x:c r="E854" s="34" t="str">
        <x:v>دانشگاه؛ صنفی، رفاهی، اجرایی و رسانه‌ای</x:v>
      </x:c>
      <x:c r="F854" s="34" t="str">
        <x:v>DELEGATE/P2</x:v>
      </x:c>
      <x:c r="G854" s="34" t="str">
        <x:v>اقدام اجرایی</x:v>
      </x:c>
      <x:c r="H854" s="39" t="str">
        <x:v>- طبخ و توزیع غذا در ایام امتحانات</x:v>
      </x:c>
      <x:c r="I854" s="39" t="str">
        <x:v>پورتفو؛ واگذاری اجرا و تمرکز بر راهبری</x:v>
      </x:c>
      <x:c r="J854" s="39" t="str">
        <x:v>PMO/عملیات + روابط عمومی</x:v>
      </x:c>
      <x:c r="K854" s="39" t="str"/>
      <x:c r="L854" s="39" t="str">
        <x:v>AP:P595</x:v>
      </x:c>
      <x:c r="M854" s="39" t="str"/>
      <x:c r="N854" s="39" t="str">
        <x:v>نسخه پایه ۳۱۵۰</x:v>
      </x:c>
    </x:row>
    <x:row r="855" ht="34" customHeight="1">
      <x:c r="A855" s="34" t="str">
        <x:v>☐</x:v>
      </x:c>
      <x:c r="B855" s="34" t="str">
        <x:v>MI-0805</x:v>
      </x:c>
      <x:c r="C855" s="34" t="str">
        <x:v>M4 — اجرا، دانشگاه، صنعت و پروژه‌های اجتماعی</x:v>
      </x:c>
      <x:c r="D855" s="34" t="str">
        <x:v>H11</x:v>
      </x:c>
      <x:c r="E855" s="34" t="str">
        <x:v>دانشگاه؛ صنفی، رفاهی، اجرایی و رسانه‌ای</x:v>
      </x:c>
      <x:c r="F855" s="34" t="str">
        <x:v>DELEGATE/P2</x:v>
      </x:c>
      <x:c r="G855" s="34" t="str">
        <x:v>اقدام اجرایی</x:v>
      </x:c>
      <x:c r="H855" s="39" t="str">
        <x:v>- پرداخت شدن مبلغ قرار داد به پیمانکار در صورت گرفتن حداقل رضایت بیش از 50 درصد دانشجویان</x:v>
      </x:c>
      <x:c r="I855" s="39" t="str">
        <x:v>پورتفو؛ واگذاری اجرا و تمرکز بر راهبری</x:v>
      </x:c>
      <x:c r="J855" s="39" t="str">
        <x:v>PMO/عملیات + روابط عمومی</x:v>
      </x:c>
      <x:c r="K855" s="39" t="str"/>
      <x:c r="L855" s="39" t="str">
        <x:v>AP:P597</x:v>
      </x:c>
      <x:c r="M855" s="39" t="str"/>
      <x:c r="N855" s="39" t="str">
        <x:v>نسخه پایه ۳۱۵۰</x:v>
      </x:c>
    </x:row>
    <x:row r="856" ht="34" customHeight="1">
      <x:c r="A856" s="34" t="str">
        <x:v>☐</x:v>
      </x:c>
      <x:c r="B856" s="34" t="str">
        <x:v>MI-0813</x:v>
      </x:c>
      <x:c r="C856" s="34" t="str">
        <x:v>M4 — اجرا، دانشگاه، صنعت و پروژه‌های اجتماعی</x:v>
      </x:c>
      <x:c r="D856" s="34" t="str">
        <x:v>H11</x:v>
      </x:c>
      <x:c r="E856" s="34" t="str">
        <x:v>دانشگاه؛ صنفی، رفاهی، اجرایی و رسانه‌ای</x:v>
      </x:c>
      <x:c r="F856" s="34" t="str">
        <x:v>DELEGATE/P2</x:v>
      </x:c>
      <x:c r="G856" s="34" t="str">
        <x:v>اقدام اجرایی</x:v>
      </x:c>
      <x:c r="H856" s="39" t="str">
        <x:v>- تعویض بوفه به فروشگاه جهت تردد دانشجو</x:v>
      </x:c>
      <x:c r="I856" s="39" t="str">
        <x:v>پورتفو؛ واگذاری اجرا و تمرکز بر راهبری</x:v>
      </x:c>
      <x:c r="J856" s="39" t="str">
        <x:v>PMO/عملیات + روابط عمومی</x:v>
      </x:c>
      <x:c r="K856" s="39" t="str"/>
      <x:c r="L856" s="39" t="str">
        <x:v>AP:P605</x:v>
      </x:c>
      <x:c r="M856" s="39" t="str"/>
      <x:c r="N856" s="39" t="str">
        <x:v>نسخه پایه ۳۱۵۰</x:v>
      </x:c>
    </x:row>
    <x:row r="857" ht="34" customHeight="1">
      <x:c r="A857" s="34" t="str">
        <x:v>☐</x:v>
      </x:c>
      <x:c r="B857" s="34" t="str">
        <x:v>MI-0837</x:v>
      </x:c>
      <x:c r="C857" s="34" t="str">
        <x:v>M4 — اجرا، دانشگاه، صنعت و پروژه‌های اجتماعی</x:v>
      </x:c>
      <x:c r="D857" s="34" t="str">
        <x:v>H11</x:v>
      </x:c>
      <x:c r="E857" s="34" t="str">
        <x:v>دانشگاه؛ صنفی، رفاهی، اجرایی و رسانه‌ای</x:v>
      </x:c>
      <x:c r="F857" s="34" t="str">
        <x:v>DELEGATE/P2</x:v>
      </x:c>
      <x:c r="G857" s="34" t="str">
        <x:v>اقدام اجرایی</x:v>
      </x:c>
      <x:c r="H857" s="39" t="str">
        <x:v>حقوقی پیگیری</x:v>
      </x:c>
      <x:c r="I857" s="39" t="str">
        <x:v>پورتفو؛ واگذاری اجرا و تمرکز بر راهبری</x:v>
      </x:c>
      <x:c r="J857" s="39" t="str">
        <x:v>PMO/عملیات + روابط عمومی</x:v>
      </x:c>
      <x:c r="K857" s="39" t="str"/>
      <x:c r="L857" s="39" t="str">
        <x:v>AP:P631</x:v>
      </x:c>
      <x:c r="M857" s="39" t="str"/>
      <x:c r="N857" s="39" t="str">
        <x:v>نسخه پایه ۳۱۵۰</x:v>
      </x:c>
    </x:row>
    <x:row r="858" ht="34" customHeight="1">
      <x:c r="A858" s="34" t="str">
        <x:v>☐</x:v>
      </x:c>
      <x:c r="B858" s="34" t="str">
        <x:v>MI-0868</x:v>
      </x:c>
      <x:c r="C858" s="34" t="str">
        <x:v>M4 — اجرا، دانشگاه، صنعت و پروژه‌های اجتماعی</x:v>
      </x:c>
      <x:c r="D858" s="34" t="str">
        <x:v>H11</x:v>
      </x:c>
      <x:c r="E858" s="34" t="str">
        <x:v>دانشگاه؛ صنفی، رفاهی، اجرایی و رسانه‌ای</x:v>
      </x:c>
      <x:c r="F858" s="34" t="str">
        <x:v>DELEGATE/P2</x:v>
      </x:c>
      <x:c r="G858" s="34" t="str">
        <x:v>اقدام اجرایی</x:v>
      </x:c>
      <x:c r="H858" s="39" t="str">
        <x:v>نحوه توزیع</x:v>
      </x:c>
      <x:c r="I858" s="39" t="str">
        <x:v>پورتفو؛ واگذاری اجرا و تمرکز بر راهبری</x:v>
      </x:c>
      <x:c r="J858" s="39" t="str">
        <x:v>PMO/عملیات + روابط عمومی</x:v>
      </x:c>
      <x:c r="K858" s="39" t="str"/>
      <x:c r="L858" s="39" t="str">
        <x:v>AP:P674؛ AP:P721</x:v>
      </x:c>
      <x:c r="M858" s="39" t="str"/>
      <x:c r="N858" s="39" t="str">
        <x:v>نسخه پایه ۳۱۵۰</x:v>
      </x:c>
    </x:row>
    <x:row r="859" ht="34" customHeight="1">
      <x:c r="A859" s="34" t="str">
        <x:v>☐</x:v>
      </x:c>
      <x:c r="B859" s="34" t="str">
        <x:v>MI-0869</x:v>
      </x:c>
      <x:c r="C859" s="34" t="str">
        <x:v>M4 — اجرا، دانشگاه، صنعت و پروژه‌های اجتماعی</x:v>
      </x:c>
      <x:c r="D859" s="34" t="str">
        <x:v>H11</x:v>
      </x:c>
      <x:c r="E859" s="34" t="str">
        <x:v>دانشگاه؛ صنفی، رفاهی، اجرایی و رسانه‌ای</x:v>
      </x:c>
      <x:c r="F859" s="34" t="str">
        <x:v>DELEGATE/P2</x:v>
      </x:c>
      <x:c r="G859" s="34" t="str">
        <x:v>اقدام اجرایی</x:v>
      </x:c>
      <x:c r="H859" s="39" t="str">
        <x:v>اقلام توزیعی</x:v>
      </x:c>
      <x:c r="I859" s="39" t="str">
        <x:v>پورتفو؛ واگذاری اجرا و تمرکز بر راهبری</x:v>
      </x:c>
      <x:c r="J859" s="39" t="str">
        <x:v>PMO/عملیات + روابط عمومی</x:v>
      </x:c>
      <x:c r="K859" s="39" t="str"/>
      <x:c r="L859" s="39" t="str">
        <x:v>AP:P675؛ AP:P722</x:v>
      </x:c>
      <x:c r="M859" s="39" t="str"/>
      <x:c r="N859" s="39" t="str">
        <x:v>نسخه پایه ۳۱۵۰</x:v>
      </x:c>
    </x:row>
    <x:row r="860" ht="34" customHeight="1">
      <x:c r="A860" s="34" t="str">
        <x:v>☐</x:v>
      </x:c>
      <x:c r="B860" s="34" t="str">
        <x:v>MI-0877</x:v>
      </x:c>
      <x:c r="C860" s="34" t="str">
        <x:v>M4 — اجرا، دانشگاه، صنعت و پروژه‌های اجتماعی</x:v>
      </x:c>
      <x:c r="D860" s="34" t="str">
        <x:v>H11</x:v>
      </x:c>
      <x:c r="E860" s="34" t="str">
        <x:v>دانشگاه؛ صنفی، رفاهی، اجرایی و رسانه‌ای</x:v>
      </x:c>
      <x:c r="F860" s="34" t="str">
        <x:v>DELEGATE/P2</x:v>
      </x:c>
      <x:c r="G860" s="34" t="str">
        <x:v>اقدام اجرایی</x:v>
      </x:c>
      <x:c r="H860" s="39" t="str">
        <x:v>جلسه با هر کدام از شورای صنفی دانشکده ها</x:v>
      </x:c>
      <x:c r="I860" s="39" t="str">
        <x:v>پورتفو؛ واگذاری اجرا و تمرکز بر راهبری</x:v>
      </x:c>
      <x:c r="J860" s="39" t="str">
        <x:v>PMO/عملیات + روابط عمومی</x:v>
      </x:c>
      <x:c r="K860" s="39" t="str"/>
      <x:c r="L860" s="39" t="str">
        <x:v>AP:P683</x:v>
      </x:c>
      <x:c r="M860" s="39" t="str"/>
      <x:c r="N860" s="39" t="str">
        <x:v>نسخه پایه ۳۱۵۰</x:v>
      </x:c>
    </x:row>
    <x:row r="861" ht="34" customHeight="1">
      <x:c r="A861" s="34" t="str">
        <x:v>☐</x:v>
      </x:c>
      <x:c r="B861" s="34" t="str">
        <x:v>MI-0895</x:v>
      </x:c>
      <x:c r="C861" s="34" t="str">
        <x:v>M4 — اجرا، دانشگاه، صنعت و پروژه‌های اجتماعی</x:v>
      </x:c>
      <x:c r="D861" s="34" t="str">
        <x:v>H11</x:v>
      </x:c>
      <x:c r="E861" s="34" t="str">
        <x:v>دانشگاه؛ صنفی، رفاهی، اجرایی و رسانه‌ای</x:v>
      </x:c>
      <x:c r="F861" s="34" t="str">
        <x:v>DELEGATE/P2</x:v>
      </x:c>
      <x:c r="G861" s="34" t="str">
        <x:v>اقدام اجرایی</x:v>
      </x:c>
      <x:c r="H861" s="39" t="str">
        <x:v>جلسه با مسیول باشگاه و منعمی برای کمبود وسایل و نظ</x:v>
      </x:c>
      <x:c r="I861" s="39" t="str">
        <x:v>پورتفو؛ واگذاری اجرا و تمرکز بر راهبری</x:v>
      </x:c>
      <x:c r="J861" s="39" t="str">
        <x:v>PMO/عملیات + روابط عمومی</x:v>
      </x:c>
      <x:c r="K861" s="39" t="str"/>
      <x:c r="L861" s="39" t="str">
        <x:v>AP:P706</x:v>
      </x:c>
      <x:c r="M861" s="39" t="str"/>
      <x:c r="N861" s="39" t="str">
        <x:v>نسخه پایه ۳۱۵۰</x:v>
      </x:c>
    </x:row>
    <x:row r="862" ht="34" customHeight="1">
      <x:c r="A862" s="34" t="str">
        <x:v>☐</x:v>
      </x:c>
      <x:c r="B862" s="34" t="str">
        <x:v>MI-0896</x:v>
      </x:c>
      <x:c r="C862" s="34" t="str">
        <x:v>M4 — اجرا، دانشگاه، صنعت و پروژه‌های اجتماعی</x:v>
      </x:c>
      <x:c r="D862" s="34" t="str">
        <x:v>H11</x:v>
      </x:c>
      <x:c r="E862" s="34" t="str">
        <x:v>دانشگاه؛ صنفی، رفاهی، اجرایی و رسانه‌ای</x:v>
      </x:c>
      <x:c r="F862" s="34" t="str">
        <x:v>DELEGATE/P2</x:v>
      </x:c>
      <x:c r="G862" s="34" t="str">
        <x:v>اقدام اجرایی</x:v>
      </x:c>
      <x:c r="H862" s="39"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I862" s="39" t="str">
        <x:v>پورتفو؛ واگذاری اجرا و تمرکز بر راهبری</x:v>
      </x:c>
      <x:c r="J862" s="39" t="str">
        <x:v>PMO/عملیات + روابط عمومی</x:v>
      </x:c>
      <x:c r="K862" s="39" t="str"/>
      <x:c r="L862" s="39" t="str">
        <x:v>AP:P707؛ AP:P785</x:v>
      </x:c>
      <x:c r="M862" s="39" t="str"/>
      <x:c r="N862" s="39" t="str">
        <x:v>نسخه پایه ۳۱۵۰</x:v>
      </x:c>
    </x:row>
    <x:row r="863" ht="34" customHeight="1">
      <x:c r="A863" s="34" t="str">
        <x:v>☐</x:v>
      </x:c>
      <x:c r="B863" s="34" t="str">
        <x:v>MI-0903</x:v>
      </x:c>
      <x:c r="C863" s="34" t="str">
        <x:v>M4 — اجرا، دانشگاه، صنعت و پروژه‌های اجتماعی</x:v>
      </x:c>
      <x:c r="D863" s="34" t="str">
        <x:v>H11</x:v>
      </x:c>
      <x:c r="E863" s="34" t="str">
        <x:v>دانشگاه؛ صنفی، رفاهی، اجرایی و رسانه‌ای</x:v>
      </x:c>
      <x:c r="F863" s="34" t="str">
        <x:v>DELEGATE/P2</x:v>
      </x:c>
      <x:c r="G863" s="34" t="str">
        <x:v>اقدام اجرایی</x:v>
      </x:c>
      <x:c r="H863" s="39" t="str">
        <x:v>اطلاع رسانی نحوه ثبت بیمه دانشجویی و بیمه سرقت با خانم اسماعیل نتاج</x:v>
      </x:c>
      <x:c r="I863" s="39" t="str">
        <x:v>پورتفو؛ واگذاری اجرا و تمرکز بر راهبری</x:v>
      </x:c>
      <x:c r="J863" s="39" t="str">
        <x:v>PMO/عملیات + روابط عمومی</x:v>
      </x:c>
      <x:c r="K863" s="39" t="str"/>
      <x:c r="L863" s="39" t="str">
        <x:v>AP:P716</x:v>
      </x:c>
      <x:c r="M863" s="39" t="str"/>
      <x:c r="N863" s="39" t="str">
        <x:v>نسخه پایه ۳۱۵۰</x:v>
      </x:c>
    </x:row>
    <x:row r="864" ht="34" customHeight="1">
      <x:c r="A864" s="34" t="str">
        <x:v>☐</x:v>
      </x:c>
      <x:c r="B864" s="34" t="str">
        <x:v>MI-0908</x:v>
      </x:c>
      <x:c r="C864" s="34" t="str">
        <x:v>M4 — اجرا، دانشگاه، صنعت و پروژه‌های اجتماعی</x:v>
      </x:c>
      <x:c r="D864" s="34" t="str">
        <x:v>H11</x:v>
      </x:c>
      <x:c r="E864" s="34" t="str">
        <x:v>دانشگاه؛ صنفی، رفاهی، اجرایی و رسانه‌ای</x:v>
      </x:c>
      <x:c r="F864" s="34" t="str">
        <x:v>DELEGATE/P2</x:v>
      </x:c>
      <x:c r="G864" s="34" t="str">
        <x:v>اقدام اجرایی</x:v>
      </x:c>
      <x:c r="H864" s="39" t="str">
        <x:v>لیست خدمات کار دانشجویی هر کدام از بلوک ها و چاپ و پرینت و نصب بر درب های ورودی ( آیدی - شماره تماس - شماره اتاق)</x:v>
      </x:c>
      <x:c r="I864" s="39" t="str">
        <x:v>پورتفو؛ واگذاری اجرا و تمرکز بر راهبری</x:v>
      </x:c>
      <x:c r="J864" s="39" t="str">
        <x:v>PMO/عملیات + روابط عمومی</x:v>
      </x:c>
      <x:c r="K864" s="39" t="str"/>
      <x:c r="L864" s="39" t="str">
        <x:v>AP:P726</x:v>
      </x:c>
      <x:c r="M864" s="39" t="str"/>
      <x:c r="N864" s="39" t="str">
        <x:v>نسخه پایه ۳۱۵۰</x:v>
      </x:c>
    </x:row>
    <x:row r="865" ht="34" customHeight="1">
      <x:c r="A865" s="34" t="str">
        <x:v>☐</x:v>
      </x:c>
      <x:c r="B865" s="34" t="str">
        <x:v>MI-0910</x:v>
      </x:c>
      <x:c r="C865" s="34" t="str">
        <x:v>M4 — اجرا، دانشگاه، صنعت و پروژه‌های اجتماعی</x:v>
      </x:c>
      <x:c r="D865" s="34" t="str">
        <x:v>H11</x:v>
      </x:c>
      <x:c r="E865" s="34" t="str">
        <x:v>دانشگاه؛ صنفی، رفاهی، اجرایی و رسانه‌ای</x:v>
      </x:c>
      <x:c r="F865" s="34" t="str">
        <x:v>DELEGATE/P2</x:v>
      </x:c>
      <x:c r="G865" s="34" t="str">
        <x:v>اقدام اجرایی</x:v>
      </x:c>
      <x:c r="H865" s="39" t="str">
        <x:v>چاپ و نصب اطلاعیه برای نزاشتن ظروف روی سینک های آشپزخانه جهت سهولت نظافت خدماتی ها و هچنین استفاده از فضا برای دیگر دوستان</x:v>
      </x:c>
      <x:c r="I865" s="39" t="str">
        <x:v>پورتفو؛ واگذاری اجرا و تمرکز بر راهبری</x:v>
      </x:c>
      <x:c r="J865" s="39" t="str">
        <x:v>PMO/عملیات + روابط عمومی</x:v>
      </x:c>
      <x:c r="K865" s="39" t="str"/>
      <x:c r="L865" s="39" t="str">
        <x:v>AP:P728؛ AP:P808؛ AP:P812</x:v>
      </x:c>
      <x:c r="M865" s="39" t="str"/>
      <x:c r="N865" s="39" t="str">
        <x:v>نسخه پایه ۳۱۵۰</x:v>
      </x:c>
    </x:row>
    <x:row r="866" ht="34" customHeight="1">
      <x:c r="A866" s="34" t="str">
        <x:v>☐</x:v>
      </x:c>
      <x:c r="B866" s="34" t="str">
        <x:v>MI-0912</x:v>
      </x:c>
      <x:c r="C866" s="34" t="str">
        <x:v>M4 — اجرا، دانشگاه، صنعت و پروژه‌های اجتماعی</x:v>
      </x:c>
      <x:c r="D866" s="34" t="str">
        <x:v>H11</x:v>
      </x:c>
      <x:c r="E866" s="34" t="str">
        <x:v>دانشگاه؛ صنفی، رفاهی، اجرایی و رسانه‌ای</x:v>
      </x:c>
      <x:c r="F866" s="34" t="str">
        <x:v>DELEGATE/P2</x:v>
      </x:c>
      <x:c r="G866" s="34" t="str">
        <x:v>اقدام اجرایی</x:v>
      </x:c>
      <x:c r="H866" s="39" t="str">
        <x:v>پیگیری وام دانشجویی</x:v>
      </x:c>
      <x:c r="I866" s="39" t="str">
        <x:v>پورتفو؛ واگذاری اجرا و تمرکز بر راهبری</x:v>
      </x:c>
      <x:c r="J866" s="39" t="str">
        <x:v>PMO/عملیات + روابط عمومی</x:v>
      </x:c>
      <x:c r="K866" s="39" t="str"/>
      <x:c r="L866" s="39" t="str">
        <x:v>AP:P730</x:v>
      </x:c>
      <x:c r="M866" s="39" t="str"/>
      <x:c r="N866" s="39" t="str">
        <x:v>نسخه پایه ۳۱۵۰</x:v>
      </x:c>
    </x:row>
    <x:row r="867" ht="34" customHeight="1">
      <x:c r="A867" s="34" t="str">
        <x:v>☐</x:v>
      </x:c>
      <x:c r="B867" s="34" t="str">
        <x:v>MI-0913</x:v>
      </x:c>
      <x:c r="C867" s="34" t="str">
        <x:v>M4 — اجرا، دانشگاه، صنعت و پروژه‌های اجتماعی</x:v>
      </x:c>
      <x:c r="D867" s="34" t="str">
        <x:v>H11</x:v>
      </x:c>
      <x:c r="E867" s="34" t="str">
        <x:v>دانشگاه؛ صنفی، رفاهی، اجرایی و رسانه‌ای</x:v>
      </x:c>
      <x:c r="F867" s="34" t="str">
        <x:v>DELEGATE/P2</x:v>
      </x:c>
      <x:c r="G867" s="34" t="str">
        <x:v>اقدام اجرایی</x:v>
      </x:c>
      <x:c r="H867" s="39" t="str">
        <x:v>جلسه با مسیول باشگاه و منعمی برای کمبود وسایل و نظافت و ... و همچنین تعیین ساعات زمین چمن طبیعی برای استفاده بچه ها</x:v>
      </x:c>
      <x:c r="I867" s="39" t="str">
        <x:v>پورتفو؛ واگذاری اجرا و تمرکز بر راهبری</x:v>
      </x:c>
      <x:c r="J867" s="39" t="str">
        <x:v>PMO/عملیات + روابط عمومی</x:v>
      </x:c>
      <x:c r="K867" s="39" t="str"/>
      <x:c r="L867" s="39" t="str">
        <x:v>AP:P731</x:v>
      </x:c>
      <x:c r="M867" s="39" t="str"/>
      <x:c r="N867" s="39" t="str">
        <x:v>نسخه پایه ۳۱۵۰</x:v>
      </x:c>
    </x:row>
    <x:row r="868" ht="34" customHeight="1">
      <x:c r="A868" s="34" t="str">
        <x:v>☐</x:v>
      </x:c>
      <x:c r="B868" s="34" t="str">
        <x:v>MI-0915</x:v>
      </x:c>
      <x:c r="C868" s="34" t="str">
        <x:v>M4 — اجرا، دانشگاه، صنعت و پروژه‌های اجتماعی</x:v>
      </x:c>
      <x:c r="D868" s="34" t="str">
        <x:v>H11</x:v>
      </x:c>
      <x:c r="E868" s="34" t="str">
        <x:v>دانشگاه؛ صنفی، رفاهی، اجرایی و رسانه‌ای</x:v>
      </x:c>
      <x:c r="F868" s="34" t="str">
        <x:v>DELEGATE/P2</x:v>
      </x:c>
      <x:c r="G868" s="34" t="str">
        <x:v>اقدام اجرایی</x:v>
      </x:c>
      <x:c r="H868" s="39" t="str">
        <x:v>اسکان هتل یا بومگردی به معرفی صنفی یا دانشگاه برای تخفیف برای خانواده ها حین ثبت نام مثلا بگیم تخفیف میدیم برین این روزا استراحت کنید یا بگیم ثابت اینجاها هستن برچه ها برن استراحت</x:v>
      </x:c>
      <x:c r="I868" s="39" t="str">
        <x:v>پورتفو؛ واگذاری اجرا و تمرکز بر راهبری</x:v>
      </x:c>
      <x:c r="J868" s="39" t="str">
        <x:v>PMO/عملیات + روابط عمومی</x:v>
      </x:c>
      <x:c r="K868" s="39" t="str"/>
      <x:c r="L868" s="39" t="str">
        <x:v>AP:P733</x:v>
      </x:c>
      <x:c r="M868" s="39" t="str"/>
      <x:c r="N868" s="39" t="str">
        <x:v>نسخه پایه ۳۱۵۰</x:v>
      </x:c>
    </x:row>
    <x:row r="869" ht="34" customHeight="1">
      <x:c r="A869" s="34" t="str">
        <x:v>☐</x:v>
      </x:c>
      <x:c r="B869" s="34" t="str">
        <x:v>MI-0918</x:v>
      </x:c>
      <x:c r="C869" s="34" t="str">
        <x:v>M4 — اجرا، دانشگاه، صنعت و پروژه‌های اجتماعی</x:v>
      </x:c>
      <x:c r="D869" s="34" t="str">
        <x:v>H11</x:v>
      </x:c>
      <x:c r="E869" s="34" t="str">
        <x:v>دانشگاه؛ صنفی، رفاهی، اجرایی و رسانه‌ای</x:v>
      </x:c>
      <x:c r="F869" s="34" t="str">
        <x:v>DELEGATE/P2</x:v>
      </x:c>
      <x:c r="G869" s="34" t="str">
        <x:v>اقدام اجرایی</x:v>
      </x:c>
      <x:c r="H869" s="39" t="str">
        <x:v>پیگیری عرضه محصولات لبنه در خوابگاه یا دانشگاه با تعرفه دانشجویی</x:v>
      </x:c>
      <x:c r="I869" s="39" t="str">
        <x:v>پورتفو؛ واگذاری اجرا و تمرکز بر راهبری</x:v>
      </x:c>
      <x:c r="J869" s="39" t="str">
        <x:v>PMO/عملیات + روابط عمومی</x:v>
      </x:c>
      <x:c r="K869" s="39" t="str"/>
      <x:c r="L869" s="39" t="str">
        <x:v>AP:P736</x:v>
      </x:c>
      <x:c r="M869" s="39" t="str"/>
      <x:c r="N869" s="39" t="str">
        <x:v>نسخه پایه ۳۱۵۰</x:v>
      </x:c>
    </x:row>
    <x:row r="870" ht="34" customHeight="1">
      <x:c r="A870" s="34" t="str">
        <x:v>☐</x:v>
      </x:c>
      <x:c r="B870" s="34" t="str">
        <x:v>MI-0919</x:v>
      </x:c>
      <x:c r="C870" s="34" t="str">
        <x:v>M4 — اجرا، دانشگاه، صنعت و پروژه‌های اجتماعی</x:v>
      </x:c>
      <x:c r="D870" s="34" t="str">
        <x:v>H11</x:v>
      </x:c>
      <x:c r="E870" s="34" t="str">
        <x:v>دانشگاه؛ صنفی، رفاهی، اجرایی و رسانه‌ای</x:v>
      </x:c>
      <x:c r="F870" s="34" t="str">
        <x:v>DELEGATE/P2</x:v>
      </x:c>
      <x:c r="G870" s="34" t="str">
        <x:v>اقدام اجرایی</x:v>
      </x:c>
      <x:c r="H870" s="39" t="str">
        <x:v>جلسه صنفی منطقه و استان و ....</x:v>
      </x:c>
      <x:c r="I870" s="39" t="str">
        <x:v>پورتفو؛ واگذاری اجرا و تمرکز بر راهبری</x:v>
      </x:c>
      <x:c r="J870" s="39" t="str">
        <x:v>PMO/عملیات + روابط عمومی</x:v>
      </x:c>
      <x:c r="K870" s="39" t="str"/>
      <x:c r="L870" s="39" t="str">
        <x:v>AP:P737</x:v>
      </x:c>
      <x:c r="M870" s="39" t="str"/>
      <x:c r="N870" s="39" t="str">
        <x:v>نسخه پایه ۳۱۵۰</x:v>
      </x:c>
    </x:row>
    <x:row r="871" ht="34" customHeight="1">
      <x:c r="A871" s="34" t="str">
        <x:v>☐</x:v>
      </x:c>
      <x:c r="B871" s="34" t="str">
        <x:v>MI-0925</x:v>
      </x:c>
      <x:c r="C871" s="34" t="str">
        <x:v>M4 — اجرا، دانشگاه، صنعت و پروژه‌های اجتماعی</x:v>
      </x:c>
      <x:c r="D871" s="34" t="str">
        <x:v>H11</x:v>
      </x:c>
      <x:c r="E871" s="34" t="str">
        <x:v>دانشگاه؛ صنفی، رفاهی، اجرایی و رسانه‌ای</x:v>
      </x:c>
      <x:c r="F871" s="34" t="str">
        <x:v>DELEGATE/P2</x:v>
      </x:c>
      <x:c r="G871" s="34" t="str">
        <x:v>اقدام اجرایی</x:v>
      </x:c>
      <x:c r="H871" s="39" t="str">
        <x:v>تعویض طناب رخت اویز ها</x:v>
      </x:c>
      <x:c r="I871" s="39" t="str">
        <x:v>پورتفو؛ واگذاری اجرا و تمرکز بر راهبری</x:v>
      </x:c>
      <x:c r="J871" s="39" t="str">
        <x:v>PMO/عملیات + روابط عمومی</x:v>
      </x:c>
      <x:c r="K871" s="39" t="str"/>
      <x:c r="L871" s="39" t="str">
        <x:v>AP:P745</x:v>
      </x:c>
      <x:c r="M871" s="39" t="str"/>
      <x:c r="N871" s="39" t="str">
        <x:v>نسخه پایه ۳۱۵۰</x:v>
      </x:c>
    </x:row>
    <x:row r="872" ht="34" customHeight="1">
      <x:c r="A872" s="34" t="str">
        <x:v>☐</x:v>
      </x:c>
      <x:c r="B872" s="34" t="str">
        <x:v>MI-0935</x:v>
      </x:c>
      <x:c r="C872" s="34" t="str">
        <x:v>M4 — اجرا، دانشگاه، صنعت و پروژه‌های اجتماعی</x:v>
      </x:c>
      <x:c r="D872" s="34" t="str">
        <x:v>H11</x:v>
      </x:c>
      <x:c r="E872" s="34" t="str">
        <x:v>دانشگاه؛ صنفی، رفاهی، اجرایی و رسانه‌ای</x:v>
      </x:c>
      <x:c r="F872" s="34" t="str">
        <x:v>DELEGATE/P2</x:v>
      </x:c>
      <x:c r="G872" s="34" t="str">
        <x:v>اقدام اجرایی</x:v>
      </x:c>
      <x:c r="H872" s="39" t="str">
        <x:v>صحبت با دانشگاه جهت کاهش تعرفه های انتشارات در قیاس با بیرون دانشگاه انتشارات</x:v>
      </x:c>
      <x:c r="I872" s="39" t="str">
        <x:v>پورتفو؛ واگذاری اجرا و تمرکز بر راهبری</x:v>
      </x:c>
      <x:c r="J872" s="39" t="str">
        <x:v>PMO/عملیات + روابط عمومی</x:v>
      </x:c>
      <x:c r="K872" s="39" t="str"/>
      <x:c r="L872" s="39" t="str">
        <x:v>AP:P755</x:v>
      </x:c>
      <x:c r="M872" s="39" t="str"/>
      <x:c r="N872" s="39" t="str">
        <x:v>نسخه پایه ۳۱۵۰</x:v>
      </x:c>
    </x:row>
    <x:row r="873" ht="34" customHeight="1">
      <x:c r="A873" s="34" t="str">
        <x:v>☐</x:v>
      </x:c>
      <x:c r="B873" s="34" t="str">
        <x:v>MI-0936</x:v>
      </x:c>
      <x:c r="C873" s="34" t="str">
        <x:v>M4 — اجرا، دانشگاه، صنعت و پروژه‌های اجتماعی</x:v>
      </x:c>
      <x:c r="D873" s="34" t="str">
        <x:v>H11</x:v>
      </x:c>
      <x:c r="E873" s="34" t="str">
        <x:v>دانشگاه؛ صنفی، رفاهی، اجرایی و رسانه‌ای</x:v>
      </x:c>
      <x:c r="F873" s="34" t="str">
        <x:v>DELEGATE/P2</x:v>
      </x:c>
      <x:c r="G873" s="34" t="str">
        <x:v>اقدام اجرایی</x:v>
      </x:c>
      <x:c r="H873" s="39" t="str">
        <x:v>نامه به تمامی روسای دانشگاه ها مبنی بر آب گرمکن سرویس های بهداشتی</x:v>
      </x:c>
      <x:c r="I873" s="39" t="str">
        <x:v>پورتفو؛ واگذاری اجرا و تمرکز بر راهبری</x:v>
      </x:c>
      <x:c r="J873" s="39" t="str">
        <x:v>PMO/عملیات + روابط عمومی</x:v>
      </x:c>
      <x:c r="K873" s="39" t="str"/>
      <x:c r="L873" s="39" t="str">
        <x:v>AP:P756؛ AP:P799</x:v>
      </x:c>
      <x:c r="M873" s="39" t="str"/>
      <x:c r="N873" s="39" t="str">
        <x:v>نسخه پایه ۳۱۵۰</x:v>
      </x:c>
    </x:row>
    <x:row r="874" ht="34" customHeight="1">
      <x:c r="A874" s="34" t="str">
        <x:v>☐</x:v>
      </x:c>
      <x:c r="B874" s="34" t="str">
        <x:v>MI-0949</x:v>
      </x:c>
      <x:c r="C874" s="34" t="str">
        <x:v>M4 — اجرا، دانشگاه، صنعت و پروژه‌های اجتماعی</x:v>
      </x:c>
      <x:c r="D874" s="34" t="str">
        <x:v>H11</x:v>
      </x:c>
      <x:c r="E874" s="34" t="str">
        <x:v>دانشگاه؛ صنفی، رفاهی، اجرایی و رسانه‌ای</x:v>
      </x:c>
      <x:c r="F874" s="34" t="str">
        <x:v>DELEGATE/P2</x:v>
      </x:c>
      <x:c r="G874" s="34" t="str">
        <x:v>اقدام اجرایی</x:v>
      </x:c>
      <x:c r="H874" s="39" t="str">
        <x:v>صحبت با سروش رحیمی</x:v>
      </x:c>
      <x:c r="I874" s="39" t="str">
        <x:v>پورتفو؛ واگذاری اجرا و تمرکز بر راهبری</x:v>
      </x:c>
      <x:c r="J874" s="39" t="str">
        <x:v>PMO/عملیات + روابط عمومی</x:v>
      </x:c>
      <x:c r="K874" s="39" t="str"/>
      <x:c r="L874" s="39" t="str">
        <x:v>AP:P771</x:v>
      </x:c>
      <x:c r="M874" s="39" t="str"/>
      <x:c r="N874" s="39" t="str">
        <x:v>نسخه پایه ۳۱۵۰</x:v>
      </x:c>
    </x:row>
    <x:row r="875" ht="34" customHeight="1">
      <x:c r="A875" s="34" t="str">
        <x:v>☐</x:v>
      </x:c>
      <x:c r="B875" s="34" t="str">
        <x:v>MI-0951</x:v>
      </x:c>
      <x:c r="C875" s="34" t="str">
        <x:v>M4 — اجرا، دانشگاه، صنعت و پروژه‌های اجتماعی</x:v>
      </x:c>
      <x:c r="D875" s="34" t="str">
        <x:v>H11</x:v>
      </x:c>
      <x:c r="E875" s="34" t="str">
        <x:v>دانشگاه؛ صنفی، رفاهی، اجرایی و رسانه‌ای</x:v>
      </x:c>
      <x:c r="F875" s="34" t="str">
        <x:v>DELEGATE/P2</x:v>
      </x:c>
      <x:c r="G875" s="34" t="str">
        <x:v>اقدام اجرایی</x:v>
      </x:c>
      <x:c r="H875" s="39" t="str">
        <x:v>بستن قرارداد حقوقی دانشگاه با اسنپ مبنی بر همکاری که شامل پوشش قسمتی یا کل هزینه جابه جایی دانشجویان توسط کد تخفیف شامل سفر های درون شهری یا برون شهری حمل و نقل</x:v>
      </x:c>
      <x:c r="I875" s="39" t="str">
        <x:v>پورتفو؛ واگذاری اجرا و تمرکز بر راهبری</x:v>
      </x:c>
      <x:c r="J875" s="39" t="str">
        <x:v>PMO/عملیات + روابط عمومی</x:v>
      </x:c>
      <x:c r="K875" s="39" t="str"/>
      <x:c r="L875" s="39" t="str">
        <x:v>AP:P773</x:v>
      </x:c>
      <x:c r="M875" s="39" t="str"/>
      <x:c r="N875" s="39" t="str">
        <x:v>نسخه پایه ۳۱۵۰</x:v>
      </x:c>
    </x:row>
    <x:row r="876" ht="34" customHeight="1">
      <x:c r="A876" s="34" t="str">
        <x:v>☐</x:v>
      </x:c>
      <x:c r="B876" s="34" t="str">
        <x:v>MI-0954</x:v>
      </x:c>
      <x:c r="C876" s="34" t="str">
        <x:v>M4 — اجرا، دانشگاه، صنعت و پروژه‌های اجتماعی</x:v>
      </x:c>
      <x:c r="D876" s="34" t="str">
        <x:v>H11</x:v>
      </x:c>
      <x:c r="E876" s="34" t="str">
        <x:v>دانشگاه؛ صنفی، رفاهی، اجرایی و رسانه‌ای</x:v>
      </x:c>
      <x:c r="F876" s="34" t="str">
        <x:v>DELEGATE/P2</x:v>
      </x:c>
      <x:c r="G876" s="34" t="str">
        <x:v>اقدام اجرایی</x:v>
      </x:c>
      <x:c r="H876" s="39" t="str">
        <x:v>حضور معاونت مربوطه با موضوع و دستور کار جلسه</x:v>
      </x:c>
      <x:c r="I876" s="39" t="str">
        <x:v>پورتفو؛ واگذاری اجرا و تمرکز بر راهبری</x:v>
      </x:c>
      <x:c r="J876" s="39" t="str">
        <x:v>PMO/عملیات + روابط عمومی</x:v>
      </x:c>
      <x:c r="K876" s="39" t="str"/>
      <x:c r="L876" s="39" t="str">
        <x:v>AP:P776</x:v>
      </x:c>
      <x:c r="M876" s="39" t="str"/>
      <x:c r="N876" s="39" t="str">
        <x:v>نسخه پایه ۳۱۵۰</x:v>
      </x:c>
    </x:row>
    <x:row r="877" ht="34" customHeight="1">
      <x:c r="A877" s="34" t="str">
        <x:v>☐</x:v>
      </x:c>
      <x:c r="B877" s="34" t="str">
        <x:v>MI-0957</x:v>
      </x:c>
      <x:c r="C877" s="34" t="str">
        <x:v>M4 — اجرا، دانشگاه، صنعت و پروژه‌های اجتماعی</x:v>
      </x:c>
      <x:c r="D877" s="34" t="str">
        <x:v>H11</x:v>
      </x:c>
      <x:c r="E877" s="34" t="str">
        <x:v>دانشگاه؛ صنفی، رفاهی، اجرایی و رسانه‌ای</x:v>
      </x:c>
      <x:c r="F877" s="34" t="str">
        <x:v>DELEGATE/P2</x:v>
      </x:c>
      <x:c r="G877" s="34" t="str">
        <x:v>اقدام اجرایی</x:v>
      </x:c>
      <x:c r="H877" s="39" t="str">
        <x:v>پیگیری ابگرمکن های دانشکده ها</x:v>
      </x:c>
      <x:c r="I877" s="39" t="str">
        <x:v>پورتفو؛ واگذاری اجرا و تمرکز بر راهبری</x:v>
      </x:c>
      <x:c r="J877" s="39" t="str">
        <x:v>PMO/عملیات + روابط عمومی</x:v>
      </x:c>
      <x:c r="K877" s="39" t="str"/>
      <x:c r="L877" s="39" t="str">
        <x:v>AP:P779</x:v>
      </x:c>
      <x:c r="M877" s="39" t="str"/>
      <x:c r="N877" s="39" t="str">
        <x:v>نسخه پایه ۳۱۵۰</x:v>
      </x:c>
    </x:row>
    <x:row r="878" ht="34" customHeight="1">
      <x:c r="A878" s="34" t="str">
        <x:v>☐</x:v>
      </x:c>
      <x:c r="B878" s="34" t="str">
        <x:v>MI-0971</x:v>
      </x:c>
      <x:c r="C878" s="34" t="str">
        <x:v>M4 — اجرا، دانشگاه، صنعت و پروژه‌های اجتماعی</x:v>
      </x:c>
      <x:c r="D878" s="34" t="str">
        <x:v>H11</x:v>
      </x:c>
      <x:c r="E878" s="34" t="str">
        <x:v>دانشگاه؛ صنفی، رفاهی، اجرایی و رسانه‌ای</x:v>
      </x:c>
      <x:c r="F878" s="34" t="str">
        <x:v>DELEGATE/P2</x:v>
      </x:c>
      <x:c r="G878" s="34" t="str">
        <x:v>اقدام اجرایی</x:v>
      </x:c>
      <x:c r="H878" s="39" t="str">
        <x:v>آمار تهیه و نصب ایینه های روشویی ها و همچنین جا شامپو وصابونی برای حمام های امینیان و ریحانه و کوثر</x:v>
      </x:c>
      <x:c r="I878" s="39" t="str">
        <x:v>پورتفو؛ واگذاری اجرا و تمرکز بر راهبری</x:v>
      </x:c>
      <x:c r="J878" s="39" t="str">
        <x:v>PMO/عملیات + روابط عمومی</x:v>
      </x:c>
      <x:c r="K878" s="39" t="str"/>
      <x:c r="L878" s="39" t="str">
        <x:v>AP:P797</x:v>
      </x:c>
      <x:c r="M878" s="39" t="str"/>
      <x:c r="N878" s="39" t="str">
        <x:v>نسخه پایه ۳۱۵۰</x:v>
      </x:c>
    </x:row>
    <x:row r="879" ht="34" customHeight="1">
      <x:c r="A879" s="34" t="str">
        <x:v>☐</x:v>
      </x:c>
      <x:c r="B879" s="34" t="str">
        <x:v>MI-0994</x:v>
      </x:c>
      <x:c r="C879" s="34" t="str">
        <x:v>M4 — اجرا، دانشگاه، صنعت و پروژه‌های اجتماعی</x:v>
      </x:c>
      <x:c r="D879" s="34" t="str">
        <x:v>H11</x:v>
      </x:c>
      <x:c r="E879" s="34" t="str">
        <x:v>دانشگاه؛ صنفی، رفاهی، اجرایی و رسانه‌ای</x:v>
      </x:c>
      <x:c r="F879" s="34" t="str">
        <x:v>DELEGATE/P2</x:v>
      </x:c>
      <x:c r="G879" s="34" t="str">
        <x:v>اقدام اجرایی</x:v>
      </x:c>
      <x:c r="H879" s="39" t="str">
        <x:v>- تعویض پروتکل PPTP به IKEV2</x:v>
      </x:c>
      <x:c r="I879" s="39" t="str">
        <x:v>پورتفو؛ واگذاری اجرا و تمرکز بر راهبری</x:v>
      </x:c>
      <x:c r="J879" s="39" t="str">
        <x:v>PMO/عملیات + روابط عمومی</x:v>
      </x:c>
      <x:c r="K879" s="39" t="str"/>
      <x:c r="L879" s="39" t="str">
        <x:v>AP:P827</x:v>
      </x:c>
      <x:c r="M879" s="39" t="str"/>
      <x:c r="N879" s="39" t="str">
        <x:v>نسخه پایه ۳۱۵۰</x:v>
      </x:c>
    </x:row>
    <x:row r="880" ht="34" customHeight="1">
      <x:c r="A880" s="34" t="str">
        <x:v>☐</x:v>
      </x:c>
      <x:c r="B880" s="34" t="str">
        <x:v>MI-0996</x:v>
      </x:c>
      <x:c r="C880" s="34" t="str">
        <x:v>M4 — اجرا، دانشگاه، صنعت و پروژه‌های اجتماعی</x:v>
      </x:c>
      <x:c r="D880" s="34" t="str">
        <x:v>H11</x:v>
      </x:c>
      <x:c r="E880" s="34" t="str">
        <x:v>دانشگاه؛ صنفی، رفاهی، اجرایی و رسانه‌ای</x:v>
      </x:c>
      <x:c r="F880" s="34" t="str">
        <x:v>DELEGATE/P2</x:v>
      </x:c>
      <x:c r="G880" s="34" t="str">
        <x:v>اقدام اجرایی</x:v>
      </x:c>
      <x:c r="H880" s="39" t="str">
        <x:v>آمار گیری تعداد مودم ها و نحوه قرار گیری آن ها در اتاق ها</x:v>
      </x:c>
      <x:c r="I880" s="39" t="str">
        <x:v>پورتفو؛ واگذاری اجرا و تمرکز بر راهبری</x:v>
      </x:c>
      <x:c r="J880" s="39" t="str">
        <x:v>PMO/عملیات + روابط عمومی</x:v>
      </x:c>
      <x:c r="K880" s="39" t="str"/>
      <x:c r="L880" s="39" t="str">
        <x:v>AP:P829</x:v>
      </x:c>
      <x:c r="M880" s="39" t="str"/>
      <x:c r="N880" s="39" t="str">
        <x:v>نسخه پایه ۳۱۵۰</x:v>
      </x:c>
    </x:row>
    <x:row r="881" ht="34" customHeight="1">
      <x:c r="A881" s="34" t="str">
        <x:v>☐</x:v>
      </x:c>
      <x:c r="B881" s="34" t="str">
        <x:v>MI-1012</x:v>
      </x:c>
      <x:c r="C881" s="34" t="str">
        <x:v>M4 — اجرا، دانشگاه، صنعت و پروژه‌های اجتماعی</x:v>
      </x:c>
      <x:c r="D881" s="34" t="str">
        <x:v>H11</x:v>
      </x:c>
      <x:c r="E881" s="34" t="str">
        <x:v>دانشگاه؛ صنفی، رفاهی، اجرایی و رسانه‌ای</x:v>
      </x:c>
      <x:c r="F881" s="34" t="str">
        <x:v>DELEGATE/P2</x:v>
      </x:c>
      <x:c r="G881" s="34" t="str">
        <x:v>اقدام اجرایی</x:v>
      </x:c>
      <x:c r="H881" s="39" t="str">
        <x:v>بودن کیانمهر رعنایی در جلسه</x:v>
      </x:c>
      <x:c r="I881" s="39" t="str">
        <x:v>پورتفو؛ واگذاری اجرا و تمرکز بر راهبری</x:v>
      </x:c>
      <x:c r="J881" s="39" t="str">
        <x:v>PMO/عملیات + روابط عمومی</x:v>
      </x:c>
      <x:c r="K881" s="39" t="str"/>
      <x:c r="L881" s="39" t="str">
        <x:v>AP:P849</x:v>
      </x:c>
      <x:c r="M881" s="39" t="str"/>
      <x:c r="N881" s="39" t="str">
        <x:v>نسخه پایه ۳۱۵۰</x:v>
      </x:c>
    </x:row>
    <x:row r="882" ht="34" customHeight="1">
      <x:c r="A882" s="34" t="str">
        <x:v>☐</x:v>
      </x:c>
      <x:c r="B882" s="34" t="str">
        <x:v>MI-1032</x:v>
      </x:c>
      <x:c r="C882" s="34" t="str">
        <x:v>M4 — اجرا، دانشگاه، صنعت و پروژه‌های اجتماعی</x:v>
      </x:c>
      <x:c r="D882" s="34" t="str">
        <x:v>H11</x:v>
      </x:c>
      <x:c r="E882" s="34" t="str">
        <x:v>دانشگاه؛ صنفی، رفاهی، اجرایی و رسانه‌ای</x:v>
      </x:c>
      <x:c r="F882" s="34" t="str">
        <x:v>DELEGATE/P2</x:v>
      </x:c>
      <x:c r="G882" s="34" t="str">
        <x:v>اقدام اجرایی</x:v>
      </x:c>
      <x:c r="H882" s="39" t="str">
        <x:v>هماهنگی جلسات سرزده ریاست و مسیولین دانشگاه و نیز هماهنگی با کارگروه رسانه جهت تهیه و تدوین گزارش</x:v>
      </x:c>
      <x:c r="I882" s="39" t="str">
        <x:v>پورتفو؛ واگذاری اجرا و تمرکز بر راهبری</x:v>
      </x:c>
      <x:c r="J882" s="39" t="str">
        <x:v>PMO/عملیات + روابط عمومی</x:v>
      </x:c>
      <x:c r="K882" s="39" t="str"/>
      <x:c r="L882" s="39" t="str">
        <x:v>AP:P872</x:v>
      </x:c>
      <x:c r="M882" s="39" t="str"/>
      <x:c r="N882" s="39" t="str">
        <x:v>نسخه پایه ۳۱۵۰</x:v>
      </x:c>
    </x:row>
    <x:row r="883" ht="34" customHeight="1">
      <x:c r="A883" s="34" t="str">
        <x:v>☐</x:v>
      </x:c>
      <x:c r="B883" s="34" t="str">
        <x:v>MI-1113</x:v>
      </x:c>
      <x:c r="C883" s="34" t="str">
        <x:v>M4 — اجرا، دانشگاه، صنعت و پروژه‌های اجتماعی</x:v>
      </x:c>
      <x:c r="D883" s="34" t="str">
        <x:v>H11</x:v>
      </x:c>
      <x:c r="E883" s="34" t="str">
        <x:v>دانشگاه؛ صنفی، رفاهی، اجرایی و رسانه‌ای</x:v>
      </x:c>
      <x:c r="F883" s="34" t="str">
        <x:v>DELEGATE/P2</x:v>
      </x:c>
      <x:c r="G883" s="34" t="str">
        <x:v>اقدام اجرایی</x:v>
      </x:c>
      <x:c r="H883" s="39" t="str">
        <x:v>اقا وقتی میخوایم اینجور مراسمات رو برگزارکنیم خواهشا با توجه به وضعیت الانه ، اونم در سطح دانشگاه از بسیج و تحکیم کمکبگیریم، اونها رو هم بیاریم پای کار ، هدف همه ما یکیه اونم بهترین نحو اجرایبرنامه و رضای خدا هست و اهل بیت</x:v>
      </x:c>
      <x:c r="I883" s="39" t="str">
        <x:v>پورتفو؛ واگذاری اجرا و تمرکز بر راهبری</x:v>
      </x:c>
      <x:c r="J883" s="39" t="str">
        <x:v>PMO/عملیات + روابط عمومی</x:v>
      </x:c>
      <x:c r="K883" s="39" t="str"/>
      <x:c r="L883" s="39" t="str">
        <x:v>AP:P961</x:v>
      </x:c>
      <x:c r="M883" s="39" t="str"/>
      <x:c r="N883" s="39" t="str">
        <x:v>نسخه پایه ۳۱۵۰</x:v>
      </x:c>
    </x:row>
    <x:row r="884" ht="34" customHeight="1">
      <x:c r="A884" s="34" t="str">
        <x:v>☐</x:v>
      </x:c>
      <x:c r="B884" s="34" t="str">
        <x:v>MI-1118</x:v>
      </x:c>
      <x:c r="C884" s="34" t="str">
        <x:v>M4 — اجرا، دانشگاه، صنعت و پروژه‌های اجتماعی</x:v>
      </x:c>
      <x:c r="D884" s="34" t="str">
        <x:v>H11</x:v>
      </x:c>
      <x:c r="E884" s="34" t="str">
        <x:v>دانشگاه؛ صنفی، رفاهی، اجرایی و رسانه‌ای</x:v>
      </x:c>
      <x:c r="F884" s="34" t="str">
        <x:v>DELEGATE/P2</x:v>
      </x:c>
      <x:c r="G884" s="34" t="str">
        <x:v>اقدام اجرایی</x:v>
      </x:c>
      <x:c r="H884" s="39" t="str">
        <x:v>نامه به حراست برای هماهنگی برای باز بودن درب پشتی دانشگاه تا ساعت فلان برای مراسم هییت</x:v>
      </x:c>
      <x:c r="I884" s="39" t="str">
        <x:v>پورتفو؛ واگذاری اجرا و تمرکز بر راهبری</x:v>
      </x:c>
      <x:c r="J884" s="39" t="str">
        <x:v>PMO/عملیات + روابط عمومی</x:v>
      </x:c>
      <x:c r="K884" s="39" t="str"/>
      <x:c r="L884" s="39" t="str">
        <x:v>AP:P966</x:v>
      </x:c>
      <x:c r="M884" s="39" t="str"/>
      <x:c r="N884" s="39" t="str">
        <x:v>نسخه پایه ۳۱۵۰</x:v>
      </x:c>
    </x:row>
    <x:row r="885" ht="34" customHeight="1">
      <x:c r="A885" s="34" t="str">
        <x:v>☐</x:v>
      </x:c>
      <x:c r="B885" s="34" t="str">
        <x:v>MI-1149</x:v>
      </x:c>
      <x:c r="C885" s="34" t="str">
        <x:v>M4 — اجرا، دانشگاه، صنعت و پروژه‌های اجتماعی</x:v>
      </x:c>
      <x:c r="D885" s="34" t="str">
        <x:v>H11</x:v>
      </x:c>
      <x:c r="E885" s="34" t="str">
        <x:v>دانشگاه؛ صنفی، رفاهی، اجرایی و رسانه‌ای</x:v>
      </x:c>
      <x:c r="F885" s="34" t="str">
        <x:v>DELEGATE/P2</x:v>
      </x:c>
      <x:c r="G885" s="34" t="str">
        <x:v>اقدام اجرایی</x:v>
      </x:c>
      <x:c r="H885" s="39" t="str">
        <x:v>برقراری ادعیه و مناجات خوانی به صرف چایی</x:v>
      </x:c>
      <x:c r="I885" s="39" t="str">
        <x:v>پورتفو؛ واگذاری اجرا و تمرکز بر راهبری</x:v>
      </x:c>
      <x:c r="J885" s="39" t="str">
        <x:v>PMO/عملیات + روابط عمومی</x:v>
      </x:c>
      <x:c r="K885" s="39" t="str"/>
      <x:c r="L885" s="39" t="str">
        <x:v>AP:P999</x:v>
      </x:c>
      <x:c r="M885" s="39" t="str"/>
      <x:c r="N885" s="39" t="str">
        <x:v>نسخه پایه ۳۱۵۰</x:v>
      </x:c>
    </x:row>
    <x:row r="886" ht="34" customHeight="1">
      <x:c r="A886" s="34" t="str">
        <x:v>☐</x:v>
      </x:c>
      <x:c r="B886" s="34" t="str">
        <x:v>MI-1168</x:v>
      </x:c>
      <x:c r="C886" s="34" t="str">
        <x:v>M4 — اجرا، دانشگاه، صنعت و پروژه‌های اجتماعی</x:v>
      </x:c>
      <x:c r="D886" s="34" t="str">
        <x:v>H11</x:v>
      </x:c>
      <x:c r="E886" s="34" t="str">
        <x:v>دانشگاه؛ صنفی، رفاهی، اجرایی و رسانه‌ای</x:v>
      </x:c>
      <x:c r="F886" s="34" t="str">
        <x:v>DELEGATE/P2</x:v>
      </x:c>
      <x:c r="G886" s="34" t="str">
        <x:v>اقدام اجرایی</x:v>
      </x:c>
      <x:c r="H886" s="39" t="str">
        <x:v>نامه غذای نیک</x:v>
      </x:c>
      <x:c r="I886" s="39" t="str">
        <x:v>پورتفو؛ واگذاری اجرا و تمرکز بر راهبری</x:v>
      </x:c>
      <x:c r="J886" s="39" t="str">
        <x:v>PMO/عملیات + روابط عمومی</x:v>
      </x:c>
      <x:c r="K886" s="39" t="str"/>
      <x:c r="L886" s="39" t="str">
        <x:v>AP:P1021</x:v>
      </x:c>
      <x:c r="M886" s="39" t="str"/>
      <x:c r="N886" s="39" t="str">
        <x:v>نسخه پایه ۳۱۵۰</x:v>
      </x:c>
    </x:row>
    <x:row r="887" ht="34" customHeight="1">
      <x:c r="A887" s="34" t="str">
        <x:v>☐</x:v>
      </x:c>
      <x:c r="B887" s="34" t="str">
        <x:v>MI-1185</x:v>
      </x:c>
      <x:c r="C887" s="34" t="str">
        <x:v>M4 — اجرا، دانشگاه، صنعت و پروژه‌های اجتماعی</x:v>
      </x:c>
      <x:c r="D887" s="34" t="str">
        <x:v>H11</x:v>
      </x:c>
      <x:c r="E887" s="34" t="str">
        <x:v>دانشگاه؛ صنفی، رفاهی، اجرایی و رسانه‌ای</x:v>
      </x:c>
      <x:c r="F887" s="34" t="str">
        <x:v>DELEGATE/P2</x:v>
      </x:c>
      <x:c r="G887" s="34" t="str">
        <x:v>اقدام اجرایی</x:v>
      </x:c>
      <x:c r="H887" s="39" t="str">
        <x:v>حوزه برنامه رودررو</x:v>
      </x:c>
      <x:c r="I887" s="39" t="str">
        <x:v>پورتفو؛ واگذاری اجرا و تمرکز بر راهبری</x:v>
      </x:c>
      <x:c r="J887" s="39" t="str">
        <x:v>PMO/عملیات + روابط عمومی</x:v>
      </x:c>
      <x:c r="K887" s="39" t="str"/>
      <x:c r="L887" s="39" t="str">
        <x:v>AP:P1040</x:v>
      </x:c>
      <x:c r="M887" s="39" t="str"/>
      <x:c r="N887" s="39" t="str">
        <x:v>نسخه پایه ۳۱۵۰</x:v>
      </x:c>
    </x:row>
    <x:row r="888" ht="34" customHeight="1">
      <x:c r="A888" s="34" t="str">
        <x:v>☐</x:v>
      </x:c>
      <x:c r="B888" s="34" t="str">
        <x:v>MI-1186</x:v>
      </x:c>
      <x:c r="C888" s="34" t="str">
        <x:v>M4 — اجرا، دانشگاه، صنعت و پروژه‌های اجتماعی</x:v>
      </x:c>
      <x:c r="D888" s="34" t="str">
        <x:v>H11</x:v>
      </x:c>
      <x:c r="E888" s="34" t="str">
        <x:v>دانشگاه؛ صنفی، رفاهی، اجرایی و رسانه‌ای</x:v>
      </x:c>
      <x:c r="F888" s="34" t="str">
        <x:v>DELEGATE/P2</x:v>
      </x:c>
      <x:c r="G888" s="34" t="str">
        <x:v>اقدام اجرایی</x:v>
      </x:c>
      <x:c r="H888" s="39" t="str">
        <x:v>جاوید</x:v>
      </x:c>
      <x:c r="I888" s="39" t="str">
        <x:v>پورتفو؛ واگذاری اجرا و تمرکز بر راهبری</x:v>
      </x:c>
      <x:c r="J888" s="39" t="str">
        <x:v>PMO/عملیات + روابط عمومی</x:v>
      </x:c>
      <x:c r="K888" s="39" t="str"/>
      <x:c r="L888" s="39" t="str">
        <x:v>AP:P1041</x:v>
      </x:c>
      <x:c r="M888" s="39" t="str"/>
      <x:c r="N888" s="39" t="str">
        <x:v>نسخه پایه ۳۱۵۰</x:v>
      </x:c>
    </x:row>
    <x:row r="889" ht="34" customHeight="1">
      <x:c r="A889" s="34" t="str">
        <x:v>☐</x:v>
      </x:c>
      <x:c r="B889" s="34" t="str">
        <x:v>MI-1187</x:v>
      </x:c>
      <x:c r="C889" s="34" t="str">
        <x:v>M4 — اجرا، دانشگاه، صنعت و پروژه‌های اجتماعی</x:v>
      </x:c>
      <x:c r="D889" s="34" t="str">
        <x:v>H11</x:v>
      </x:c>
      <x:c r="E889" s="34" t="str">
        <x:v>دانشگاه؛ صنفی، رفاهی، اجرایی و رسانه‌ای</x:v>
      </x:c>
      <x:c r="F889" s="34" t="str">
        <x:v>DELEGATE/P2</x:v>
      </x:c>
      <x:c r="G889" s="34" t="str">
        <x:v>اقدام اجرایی</x:v>
      </x:c>
      <x:c r="H889" s="39" t="str">
        <x:v>ایمان واثق</x:v>
      </x:c>
      <x:c r="I889" s="39" t="str">
        <x:v>پورتفو؛ واگذاری اجرا و تمرکز بر راهبری</x:v>
      </x:c>
      <x:c r="J889" s="39" t="str">
        <x:v>PMO/عملیات + روابط عمومی</x:v>
      </x:c>
      <x:c r="K889" s="39" t="str"/>
      <x:c r="L889" s="39" t="str">
        <x:v>AP:P1042</x:v>
      </x:c>
      <x:c r="M889" s="39" t="str"/>
      <x:c r="N889" s="39" t="str">
        <x:v>نسخه پایه ۳۱۵۰</x:v>
      </x:c>
    </x:row>
    <x:row r="890" ht="34" customHeight="1">
      <x:c r="A890" s="34" t="str">
        <x:v>☐</x:v>
      </x:c>
      <x:c r="B890" s="34" t="str">
        <x:v>MI-1188</x:v>
      </x:c>
      <x:c r="C890" s="34" t="str">
        <x:v>M4 — اجرا، دانشگاه، صنعت و پروژه‌های اجتماعی</x:v>
      </x:c>
      <x:c r="D890" s="34" t="str">
        <x:v>H11</x:v>
      </x:c>
      <x:c r="E890" s="34" t="str">
        <x:v>دانشگاه؛ صنفی، رفاهی، اجرایی و رسانه‌ای</x:v>
      </x:c>
      <x:c r="F890" s="34" t="str">
        <x:v>DELEGATE/P2</x:v>
      </x:c>
      <x:c r="G890" s="34" t="str">
        <x:v>اقدام اجرایی</x:v>
      </x:c>
      <x:c r="H890" s="39" t="str">
        <x:v>حسن زاده</x:v>
      </x:c>
      <x:c r="I890" s="39" t="str">
        <x:v>پورتفو؛ واگذاری اجرا و تمرکز بر راهبری</x:v>
      </x:c>
      <x:c r="J890" s="39" t="str">
        <x:v>PMO/عملیات + روابط عمومی</x:v>
      </x:c>
      <x:c r="K890" s="39" t="str"/>
      <x:c r="L890" s="39" t="str">
        <x:v>AP:P1043؛ AP:P1056</x:v>
      </x:c>
      <x:c r="M890" s="39" t="str"/>
      <x:c r="N890" s="39" t="str">
        <x:v>نسخه پایه ۳۱۵۰</x:v>
      </x:c>
    </x:row>
    <x:row r="891" ht="34" customHeight="1">
      <x:c r="A891" s="34" t="str">
        <x:v>☐</x:v>
      </x:c>
      <x:c r="B891" s="34" t="str">
        <x:v>MI-1554</x:v>
      </x:c>
      <x:c r="C891" s="34" t="str">
        <x:v>M4 — اجرا، دانشگاه، صنعت و پروژه‌های اجتماعی</x:v>
      </x:c>
      <x:c r="D891" s="34" t="str">
        <x:v>H11</x:v>
      </x:c>
      <x:c r="E891" s="34" t="str">
        <x:v>دانشگاه؛ صنفی، رفاهی، اجرایی و رسانه‌ای</x:v>
      </x:c>
      <x:c r="F891" s="34" t="str">
        <x:v>DELEGATE/P2</x:v>
      </x:c>
      <x:c r="G891" s="34" t="str">
        <x:v>اقدام اجرایی</x:v>
      </x:c>
      <x:c r="H891" s="39" t="str">
        <x:v>ابزار و وسایل تهیه شده از ارگان مربوطه</x:v>
      </x:c>
      <x:c r="I891" s="39" t="str">
        <x:v>پورتفو؛ واگذاری اجرا و تمرکز بر راهبری</x:v>
      </x:c>
      <x:c r="J891" s="39" t="str">
        <x:v>PMO/عملیات + روابط عمومی</x:v>
      </x:c>
      <x:c r="K891" s="39" t="str"/>
      <x:c r="L891" s="39" t="str">
        <x:v>AP:P1540</x:v>
      </x:c>
      <x:c r="M891" s="39" t="str"/>
      <x:c r="N891" s="39" t="str">
        <x:v>نسخه پایه ۳۱۵۰</x:v>
      </x:c>
    </x:row>
    <x:row r="892" ht="34" customHeight="1">
      <x:c r="A892" s="34" t="str">
        <x:v>☐</x:v>
      </x:c>
      <x:c r="B892" s="34" t="str">
        <x:v>MI-0007</x:v>
      </x:c>
      <x:c r="C892" s="34" t="str">
        <x:v>M4 — اجرا، دانشگاه، صنعت و پروژه‌های اجتماعی</x:v>
      </x:c>
      <x:c r="D892" s="34" t="str">
        <x:v>H11</x:v>
      </x:c>
      <x:c r="E892" s="34" t="str">
        <x:v>دانشگاه؛ صنفی، رفاهی، اجرایی و رسانه‌ای</x:v>
      </x:c>
      <x:c r="F892" s="34" t="str">
        <x:v>DELEGATE/P2</x:v>
      </x:c>
      <x:c r="G892" s="34" t="str">
        <x:v>پروژه/طرح</x:v>
      </x:c>
      <x:c r="H892" s="39" t="str">
        <x:v>ایجاد ستاد تحول بسیج دانشچویی</x:v>
      </x:c>
      <x:c r="I892" s="39" t="str">
        <x:v>پورتفو؛ واگذاری اجرا و تمرکز بر راهبری</x:v>
      </x:c>
      <x:c r="J892" s="39" t="str">
        <x:v>PMO/عملیات + روابط عمومی</x:v>
      </x:c>
      <x:c r="K892" s="39" t="str"/>
      <x:c r="L892" s="39" t="str">
        <x:v>PL:R8</x:v>
      </x:c>
      <x:c r="M892" s="39" t="str"/>
      <x:c r="N892" s="39" t="str">
        <x:v>نسخه پایه ۳۱۵۰</x:v>
      </x:c>
    </x:row>
    <x:row r="893" ht="34" customHeight="1">
      <x:c r="A893" s="34" t="str">
        <x:v>☐</x:v>
      </x:c>
      <x:c r="B893" s="34" t="str">
        <x:v>MI-0082</x:v>
      </x:c>
      <x:c r="C893" s="34" t="str">
        <x:v>M4 — اجرا، دانشگاه، صنعت و پروژه‌های اجتماعی</x:v>
      </x:c>
      <x:c r="D893" s="34" t="str">
        <x:v>H11</x:v>
      </x:c>
      <x:c r="E893" s="34" t="str">
        <x:v>دانشگاه؛ صنفی، رفاهی، اجرایی و رسانه‌ای</x:v>
      </x:c>
      <x:c r="F893" s="34" t="str">
        <x:v>DELEGATE/P2</x:v>
      </x:c>
      <x:c r="G893" s="34" t="str">
        <x:v>پروژه/طرح</x:v>
      </x:c>
      <x:c r="H893" s="39" t="str">
        <x:v>طرح ریزی برنامه ای مدوّن برای تعیین مسیر دانشجو تا شغل مورد انتظار یا حتی دانش آموز</x:v>
      </x:c>
      <x:c r="I893" s="39" t="str">
        <x:v>پورتفو؛ واگذاری اجرا و تمرکز بر راهبری</x:v>
      </x:c>
      <x:c r="J893" s="39" t="str">
        <x:v>PMO/عملیات + روابط عمومی</x:v>
      </x:c>
      <x:c r="K893" s="39" t="str"/>
      <x:c r="L893" s="39" t="str">
        <x:v>PL:R83</x:v>
      </x:c>
      <x:c r="M893" s="39" t="str"/>
      <x:c r="N893" s="39" t="str">
        <x:v>نسخه پایه ۳۱۵۰</x:v>
      </x:c>
    </x:row>
    <x:row r="894" ht="34" customHeight="1">
      <x:c r="A894" s="34" t="str">
        <x:v>☐</x:v>
      </x:c>
      <x:c r="B894" s="34" t="str">
        <x:v>MI-0317</x:v>
      </x:c>
      <x:c r="C894" s="34" t="str">
        <x:v>M4 — اجرا، دانشگاه، صنعت و پروژه‌های اجتماعی</x:v>
      </x:c>
      <x:c r="D894" s="34" t="str">
        <x:v>H11</x:v>
      </x:c>
      <x:c r="E894" s="34" t="str">
        <x:v>دانشگاه؛ صنفی، رفاهی، اجرایی و رسانه‌ای</x:v>
      </x:c>
      <x:c r="F894" s="34" t="str">
        <x:v>DELEGATE/P2</x:v>
      </x:c>
      <x:c r="G894" s="34" t="str">
        <x:v>پروژه/طرح</x:v>
      </x:c>
      <x:c r="H894" s="39" t="str">
        <x:v>ساخت نقشه تعاملی برای تاریخچه جنبش های دنشجویی دانشگاه</x:v>
      </x:c>
      <x:c r="I894" s="39" t="str">
        <x:v>پورتفو؛ واگذاری اجرا و تمرکز بر راهبری</x:v>
      </x:c>
      <x:c r="J894" s="39" t="str">
        <x:v>PMO/عملیات + روابط عمومی</x:v>
      </x:c>
      <x:c r="K894" s="39" t="str"/>
      <x:c r="L894" s="39" t="str">
        <x:v>AP:P89</x:v>
      </x:c>
      <x:c r="M894" s="39" t="str"/>
      <x:c r="N894" s="39" t="str">
        <x:v>نسخه پایه ۳۱۵۰</x:v>
      </x:c>
    </x:row>
    <x:row r="895" ht="34" customHeight="1">
      <x:c r="A895" s="34" t="str">
        <x:v>☐</x:v>
      </x:c>
      <x:c r="B895" s="34" t="str">
        <x:v>MI-0633</x:v>
      </x:c>
      <x:c r="C895" s="34" t="str">
        <x:v>M4 — اجرا، دانشگاه، صنعت و پروژه‌های اجتماعی</x:v>
      </x:c>
      <x:c r="D895" s="34" t="str">
        <x:v>H11</x:v>
      </x:c>
      <x:c r="E895" s="34" t="str">
        <x:v>دانشگاه؛ صنفی، رفاهی، اجرایی و رسانه‌ای</x:v>
      </x:c>
      <x:c r="F895" s="34" t="str">
        <x:v>DELEGATE/P2</x:v>
      </x:c>
      <x:c r="G895" s="34" t="str">
        <x:v>پروژه/طرح</x:v>
      </x:c>
      <x:c r="H895" s="39" t="str">
        <x:v>سامانه تلفن گویا جهت تماس با تمامی دانشجویان و ارایه متن اطلاعیه به صورت صوتی مثل تبلیغات تلفنی</x:v>
      </x:c>
      <x:c r="I895" s="39" t="str">
        <x:v>پورتفو؛ واگذاری اجرا و تمرکز بر راهبری</x:v>
      </x:c>
      <x:c r="J895" s="39" t="str">
        <x:v>PMO/عملیات + روابط عمومی</x:v>
      </x:c>
      <x:c r="K895" s="39" t="str"/>
      <x:c r="L895" s="39" t="str">
        <x:v>AP:P420</x:v>
      </x:c>
      <x:c r="M895" s="39" t="str"/>
      <x:c r="N895" s="39" t="str">
        <x:v>نسخه پایه ۳۱۵۰</x:v>
      </x:c>
    </x:row>
    <x:row r="896" ht="34" customHeight="1">
      <x:c r="A896" s="34" t="str">
        <x:v>☐</x:v>
      </x:c>
      <x:c r="B896" s="34" t="str">
        <x:v>MI-0639</x:v>
      </x:c>
      <x:c r="C896" s="34" t="str">
        <x:v>M4 — اجرا، دانشگاه، صنعت و پروژه‌های اجتماعی</x:v>
      </x:c>
      <x:c r="D896" s="34" t="str">
        <x:v>H11</x:v>
      </x:c>
      <x:c r="E896" s="34" t="str">
        <x:v>دانشگاه؛ صنفی، رفاهی، اجرایی و رسانه‌ای</x:v>
      </x:c>
      <x:c r="F896" s="34" t="str">
        <x:v>DELEGATE/P2</x:v>
      </x:c>
      <x:c r="G896" s="34" t="str">
        <x:v>پروژه/طرح</x:v>
      </x:c>
      <x:c r="H896" s="39" t="str">
        <x:v>- نشریه</x:v>
      </x:c>
      <x:c r="I896" s="39" t="str">
        <x:v>پورتفو؛ واگذاری اجرا و تمرکز بر راهبری</x:v>
      </x:c>
      <x:c r="J896" s="39" t="str">
        <x:v>PMO/عملیات + روابط عمومی</x:v>
      </x:c>
      <x:c r="K896" s="39" t="str"/>
      <x:c r="L896" s="39" t="str">
        <x:v>AP:P426؛ AP:P622</x:v>
      </x:c>
      <x:c r="M896" s="39" t="str"/>
      <x:c r="N896" s="39" t="str">
        <x:v>نسخه پایه ۳۱۵۰</x:v>
      </x:c>
    </x:row>
    <x:row r="897" ht="34" customHeight="1">
      <x:c r="A897" s="34" t="str">
        <x:v>☐</x:v>
      </x:c>
      <x:c r="B897" s="34" t="str">
        <x:v>MI-0674</x:v>
      </x:c>
      <x:c r="C897" s="34" t="str">
        <x:v>M4 — اجرا، دانشگاه، صنعت و پروژه‌های اجتماعی</x:v>
      </x:c>
      <x:c r="D897" s="34" t="str">
        <x:v>H11</x:v>
      </x:c>
      <x:c r="E897" s="34" t="str">
        <x:v>دانشگاه؛ صنفی، رفاهی، اجرایی و رسانه‌ای</x:v>
      </x:c>
      <x:c r="F897" s="34" t="str">
        <x:v>DELEGATE/P2</x:v>
      </x:c>
      <x:c r="G897" s="34" t="str">
        <x:v>پروژه/طرح</x:v>
      </x:c>
      <x:c r="H897" s="39" t="str">
        <x:v>پروژه سبک</x:v>
      </x:c>
      <x:c r="I897" s="39" t="str">
        <x:v>پورتفو؛ واگذاری اجرا و تمرکز بر راهبری</x:v>
      </x:c>
      <x:c r="J897" s="39" t="str">
        <x:v>PMO/عملیات + روابط عمومی</x:v>
      </x:c>
      <x:c r="K897" s="39" t="str"/>
      <x:c r="L897" s="39" t="str">
        <x:v>AP:P463</x:v>
      </x:c>
      <x:c r="M897" s="39" t="str"/>
      <x:c r="N897" s="39" t="str">
        <x:v>نسخه پایه ۳۱۵۰</x:v>
      </x:c>
    </x:row>
    <x:row r="898" ht="34" customHeight="1">
      <x:c r="A898" s="34" t="str">
        <x:v>☐</x:v>
      </x:c>
      <x:c r="B898" s="34" t="str">
        <x:v>MI-0685</x:v>
      </x:c>
      <x:c r="C898" s="34" t="str">
        <x:v>M4 — اجرا، دانشگاه، صنعت و پروژه‌های اجتماعی</x:v>
      </x:c>
      <x:c r="D898" s="34" t="str">
        <x:v>H11</x:v>
      </x:c>
      <x:c r="E898" s="34" t="str">
        <x:v>دانشگاه؛ صنفی، رفاهی، اجرایی و رسانه‌ای</x:v>
      </x:c>
      <x:c r="F898" s="34" t="str">
        <x:v>DELEGATE/P2</x:v>
      </x:c>
      <x:c r="G898" s="34" t="str">
        <x:v>پروژه/طرح</x:v>
      </x:c>
      <x:c r="H898" s="39" t="str">
        <x:v>پروژه ها:</x:v>
      </x:c>
      <x:c r="I898" s="39" t="str">
        <x:v>پورتفو؛ واگذاری اجرا و تمرکز بر راهبری</x:v>
      </x:c>
      <x:c r="J898" s="39" t="str">
        <x:v>PMO/عملیات + روابط عمومی</x:v>
      </x:c>
      <x:c r="K898" s="39" t="str"/>
      <x:c r="L898" s="39" t="str">
        <x:v>AP:P475؛ AP:P1066؛ AP:P1068؛ E112:P449؛ E112:P809؛ E112:P2220؛ E112:P3176؛ E112:P3339؛ E112:P3404؛ E112:P3494</x:v>
      </x:c>
      <x:c r="M898" s="39" t="str"/>
      <x:c r="N898" s="39" t="str">
        <x:v>نسخه پایه ۳۱۵۰</x:v>
      </x:c>
    </x:row>
    <x:row r="899" ht="34" customHeight="1">
      <x:c r="A899" s="34" t="str">
        <x:v>☐</x:v>
      </x:c>
      <x:c r="B899" s="34" t="str">
        <x:v>MI-0686</x:v>
      </x:c>
      <x:c r="C899" s="34" t="str">
        <x:v>M4 — اجرا، دانشگاه، صنعت و پروژه‌های اجتماعی</x:v>
      </x:c>
      <x:c r="D899" s="34" t="str">
        <x:v>H11</x:v>
      </x:c>
      <x:c r="E899" s="34" t="str">
        <x:v>دانشگاه؛ صنفی، رفاهی، اجرایی و رسانه‌ای</x:v>
      </x:c>
      <x:c r="F899" s="34" t="str">
        <x:v>DELEGATE/P2</x:v>
      </x:c>
      <x:c r="G899" s="34" t="str">
        <x:v>پروژه/طرح</x:v>
      </x:c>
      <x:c r="H899" s="39" t="str">
        <x:v>سینما آزادی</x:v>
      </x:c>
      <x:c r="I899" s="39" t="str">
        <x:v>پورتفو؛ واگذاری اجرا و تمرکز بر راهبری</x:v>
      </x:c>
      <x:c r="J899" s="39" t="str">
        <x:v>PMO/عملیات + روابط عمومی</x:v>
      </x:c>
      <x:c r="K899" s="39" t="str"/>
      <x:c r="L899" s="39" t="str">
        <x:v>AP:P476؛ AP:P492؛ AP:P646</x:v>
      </x:c>
      <x:c r="M899" s="39" t="str"/>
      <x:c r="N899" s="39" t="str">
        <x:v>نسخه پایه ۳۱۵۰</x:v>
      </x:c>
    </x:row>
    <x:row r="900" ht="34" customHeight="1">
      <x:c r="A900" s="34" t="str">
        <x:v>☐</x:v>
      </x:c>
      <x:c r="B900" s="34" t="str">
        <x:v>MI-0696</x:v>
      </x:c>
      <x:c r="C900" s="34" t="str">
        <x:v>M4 — اجرا، دانشگاه، صنعت و پروژه‌های اجتماعی</x:v>
      </x:c>
      <x:c r="D900" s="34" t="str">
        <x:v>H11</x:v>
      </x:c>
      <x:c r="E900" s="34" t="str">
        <x:v>دانشگاه؛ صنفی، رفاهی، اجرایی و رسانه‌ای</x:v>
      </x:c>
      <x:c r="F900" s="34" t="str">
        <x:v>DELEGATE/P2</x:v>
      </x:c>
      <x:c r="G900" s="34" t="str">
        <x:v>پروژه/طرح</x:v>
      </x:c>
      <x:c r="H900" s="39" t="str">
        <x:v>وای فای برای موبایل اندروید بالای 14 روش کانکت شدن</x:v>
      </x:c>
      <x:c r="I900" s="39" t="str">
        <x:v>پورتفو؛ واگذاری اجرا و تمرکز بر راهبری</x:v>
      </x:c>
      <x:c r="J900" s="39" t="str">
        <x:v>PMO/عملیات + روابط عمومی</x:v>
      </x:c>
      <x:c r="K900" s="39" t="str"/>
      <x:c r="L900" s="39" t="str">
        <x:v>AP:P486؛ AP:P826</x:v>
      </x:c>
      <x:c r="M900" s="39" t="str"/>
      <x:c r="N900" s="39" t="str">
        <x:v>نسخه پایه ۳۱۵۰</x:v>
      </x:c>
    </x:row>
    <x:row r="901" ht="34" customHeight="1">
      <x:c r="A901" s="34" t="str">
        <x:v>☐</x:v>
      </x:c>
      <x:c r="B901" s="34" t="str">
        <x:v>MI-0697</x:v>
      </x:c>
      <x:c r="C901" s="34" t="str">
        <x:v>M4 — اجرا، دانشگاه، صنعت و پروژه‌های اجتماعی</x:v>
      </x:c>
      <x:c r="D901" s="34" t="str">
        <x:v>H11</x:v>
      </x:c>
      <x:c r="E901" s="34" t="str">
        <x:v>دانشگاه؛ صنفی، رفاهی، اجرایی و رسانه‌ای</x:v>
      </x:c>
      <x:c r="F901" s="34" t="str">
        <x:v>DELEGATE/P2</x:v>
      </x:c>
      <x:c r="G901" s="34" t="str">
        <x:v>پروژه/طرح</x:v>
      </x:c>
      <x:c r="H901" s="39" t="str">
        <x:v>قرارداد های برون دانشگاهی</x:v>
      </x:c>
      <x:c r="I901" s="39" t="str">
        <x:v>پورتفو؛ واگذاری اجرا و تمرکز بر راهبری</x:v>
      </x:c>
      <x:c r="J901" s="39" t="str">
        <x:v>PMO/عملیات + روابط عمومی</x:v>
      </x:c>
      <x:c r="K901" s="39" t="str"/>
      <x:c r="L901" s="39" t="str">
        <x:v>AP:P487</x:v>
      </x:c>
      <x:c r="M901" s="39" t="str"/>
      <x:c r="N901" s="39" t="str">
        <x:v>نسخه پایه ۳۱۵۰</x:v>
      </x:c>
    </x:row>
    <x:row r="902" ht="34" customHeight="1">
      <x:c r="A902" s="34" t="str">
        <x:v>☐</x:v>
      </x:c>
      <x:c r="B902" s="34" t="str">
        <x:v>MI-0698</x:v>
      </x:c>
      <x:c r="C902" s="34" t="str">
        <x:v>M4 — اجرا، دانشگاه، صنعت و پروژه‌های اجتماعی</x:v>
      </x:c>
      <x:c r="D902" s="34" t="str">
        <x:v>H11</x:v>
      </x:c>
      <x:c r="E902" s="34" t="str">
        <x:v>دانشگاه؛ صنفی، رفاهی، اجرایی و رسانه‌ای</x:v>
      </x:c>
      <x:c r="F902" s="34" t="str">
        <x:v>DELEGATE/P2</x:v>
      </x:c>
      <x:c r="G902" s="34" t="str">
        <x:v>پروژه/طرح</x:v>
      </x:c>
      <x:c r="H902" s="39" t="str">
        <x:v>افق کوروش</x:v>
      </x:c>
      <x:c r="I902" s="39" t="str">
        <x:v>پورتفو؛ واگذاری اجرا و تمرکز بر راهبری</x:v>
      </x:c>
      <x:c r="J902" s="39" t="str">
        <x:v>PMO/عملیات + روابط عمومی</x:v>
      </x:c>
      <x:c r="K902" s="39" t="str"/>
      <x:c r="L902" s="39" t="str">
        <x:v>AP:P488</x:v>
      </x:c>
      <x:c r="M902" s="39" t="str"/>
      <x:c r="N902" s="39" t="str">
        <x:v>نسخه پایه ۳۱۵۰</x:v>
      </x:c>
    </x:row>
    <x:row r="903" ht="34" customHeight="1">
      <x:c r="A903" s="34" t="str">
        <x:v>☐</x:v>
      </x:c>
      <x:c r="B903" s="34" t="str">
        <x:v>MI-0699</x:v>
      </x:c>
      <x:c r="C903" s="34" t="str">
        <x:v>M4 — اجرا، دانشگاه، صنعت و پروژه‌های اجتماعی</x:v>
      </x:c>
      <x:c r="D903" s="34" t="str">
        <x:v>H11</x:v>
      </x:c>
      <x:c r="E903" s="34" t="str">
        <x:v>دانشگاه؛ صنفی، رفاهی، اجرایی و رسانه‌ای</x:v>
      </x:c>
      <x:c r="F903" s="34" t="str">
        <x:v>DELEGATE/P2</x:v>
      </x:c>
      <x:c r="G903" s="34" t="str">
        <x:v>پروژه/طرح</x:v>
      </x:c>
      <x:c r="H903" s="39" t="str">
        <x:v>شهرداری و بازیافت</x:v>
      </x:c>
      <x:c r="I903" s="39" t="str">
        <x:v>پورتفو؛ واگذاری اجرا و تمرکز بر راهبری</x:v>
      </x:c>
      <x:c r="J903" s="39" t="str">
        <x:v>PMO/عملیات + روابط عمومی</x:v>
      </x:c>
      <x:c r="K903" s="39" t="str"/>
      <x:c r="L903" s="39" t="str">
        <x:v>AP:P489</x:v>
      </x:c>
      <x:c r="M903" s="39" t="str"/>
      <x:c r="N903" s="39" t="str">
        <x:v>نسخه پایه ۳۱۵۰</x:v>
      </x:c>
    </x:row>
    <x:row r="904" ht="34" customHeight="1">
      <x:c r="A904" s="34" t="str">
        <x:v>☐</x:v>
      </x:c>
      <x:c r="B904" s="34" t="str">
        <x:v>MI-0700</x:v>
      </x:c>
      <x:c r="C904" s="34" t="str">
        <x:v>M4 — اجرا، دانشگاه، صنعت و پروژه‌های اجتماعی</x:v>
      </x:c>
      <x:c r="D904" s="34" t="str">
        <x:v>H11</x:v>
      </x:c>
      <x:c r="E904" s="34" t="str">
        <x:v>دانشگاه؛ صنفی، رفاهی، اجرایی و رسانه‌ای</x:v>
      </x:c>
      <x:c r="F904" s="34" t="str">
        <x:v>DELEGATE/P2</x:v>
      </x:c>
      <x:c r="G904" s="34" t="str">
        <x:v>پروژه/طرح</x:v>
      </x:c>
      <x:c r="H904" s="39" t="str">
        <x:v>تفکیک زباله در خوابگاه ها و سلف دانشگاه</x:v>
      </x:c>
      <x:c r="I904" s="39" t="str">
        <x:v>پورتفو؛ واگذاری اجرا و تمرکز بر راهبری</x:v>
      </x:c>
      <x:c r="J904" s="39" t="str">
        <x:v>PMO/عملیات + روابط عمومی</x:v>
      </x:c>
      <x:c r="K904" s="39" t="str"/>
      <x:c r="L904" s="39" t="str">
        <x:v>AP:P490</x:v>
      </x:c>
      <x:c r="M904" s="39" t="str"/>
      <x:c r="N904" s="39" t="str">
        <x:v>نسخه پایه ۳۱۵۰</x:v>
      </x:c>
    </x:row>
    <x:row r="905" ht="34" customHeight="1">
      <x:c r="A905" s="34" t="str">
        <x:v>☐</x:v>
      </x:c>
      <x:c r="B905" s="34" t="str">
        <x:v>MI-0701</x:v>
      </x:c>
      <x:c r="C905" s="34" t="str">
        <x:v>M4 — اجرا، دانشگاه، صنعت و پروژه‌های اجتماعی</x:v>
      </x:c>
      <x:c r="D905" s="34" t="str">
        <x:v>H11</x:v>
      </x:c>
      <x:c r="E905" s="34" t="str">
        <x:v>دانشگاه؛ صنفی، رفاهی، اجرایی و رسانه‌ای</x:v>
      </x:c>
      <x:c r="F905" s="34" t="str">
        <x:v>DELEGATE/P2</x:v>
      </x:c>
      <x:c r="G905" s="34" t="str">
        <x:v>پروژه/طرح</x:v>
      </x:c>
      <x:c r="H905" s="39" t="str">
        <x:v>بوفه خوابگاه و بازیافت در محل و ارایه محصولات لبنی در ازای آن</x:v>
      </x:c>
      <x:c r="I905" s="39" t="str">
        <x:v>پورتفو؛ واگذاری اجرا و تمرکز بر راهبری</x:v>
      </x:c>
      <x:c r="J905" s="39" t="str">
        <x:v>PMO/عملیات + روابط عمومی</x:v>
      </x:c>
      <x:c r="K905" s="39" t="str"/>
      <x:c r="L905" s="39" t="str">
        <x:v>AP:P491</x:v>
      </x:c>
      <x:c r="M905" s="39" t="str"/>
      <x:c r="N905" s="39" t="str">
        <x:v>نسخه پایه ۳۱۵۰</x:v>
      </x:c>
    </x:row>
    <x:row r="906" ht="34" customHeight="1">
      <x:c r="A906" s="34" t="str">
        <x:v>☐</x:v>
      </x:c>
      <x:c r="B906" s="34" t="str">
        <x:v>MI-0702</x:v>
      </x:c>
      <x:c r="C906" s="34" t="str">
        <x:v>M4 — اجرا، دانشگاه، صنعت و پروژه‌های اجتماعی</x:v>
      </x:c>
      <x:c r="D906" s="34" t="str">
        <x:v>H11</x:v>
      </x:c>
      <x:c r="E906" s="34" t="str">
        <x:v>دانشگاه؛ صنفی، رفاهی، اجرایی و رسانه‌ای</x:v>
      </x:c>
      <x:c r="F906" s="34" t="str">
        <x:v>DELEGATE/P2</x:v>
      </x:c>
      <x:c r="G906" s="34" t="str">
        <x:v>پروژه/طرح</x:v>
      </x:c>
      <x:c r="H906" s="39" t="str">
        <x:v>جلسه با ریاست پردیس سینما آزادی مبنی بر تخفیف دانشجویی و قرارداد با دانشگاه</x:v>
      </x:c>
      <x:c r="I906" s="39" t="str">
        <x:v>پورتفو؛ واگذاری اجرا و تمرکز بر راهبری</x:v>
      </x:c>
      <x:c r="J906" s="39" t="str">
        <x:v>PMO/عملیات + روابط عمومی</x:v>
      </x:c>
      <x:c r="K906" s="39" t="str"/>
      <x:c r="L906" s="39" t="str">
        <x:v>AP:P493</x:v>
      </x:c>
      <x:c r="M906" s="39" t="str"/>
      <x:c r="N906" s="39" t="str">
        <x:v>نسخه پایه ۳۱۵۰</x:v>
      </x:c>
    </x:row>
    <x:row r="907" ht="34" customHeight="1">
      <x:c r="A907" s="34" t="str">
        <x:v>☐</x:v>
      </x:c>
      <x:c r="B907" s="34" t="str">
        <x:v>MI-0703</x:v>
      </x:c>
      <x:c r="C907" s="34" t="str">
        <x:v>M4 — اجرا، دانشگاه، صنعت و پروژه‌های اجتماعی</x:v>
      </x:c>
      <x:c r="D907" s="34" t="str">
        <x:v>H11</x:v>
      </x:c>
      <x:c r="E907" s="34" t="str">
        <x:v>دانشگاه؛ صنفی، رفاهی، اجرایی و رسانه‌ای</x:v>
      </x:c>
      <x:c r="F907" s="34" t="str">
        <x:v>DELEGATE/P2</x:v>
      </x:c>
      <x:c r="G907" s="34" t="str">
        <x:v>پروژه/طرح</x:v>
      </x:c>
      <x:c r="H907" s="39" t="str">
        <x:v>علیزاده</x:v>
      </x:c>
      <x:c r="I907" s="39" t="str">
        <x:v>پورتفو؛ واگذاری اجرا و تمرکز بر راهبری</x:v>
      </x:c>
      <x:c r="J907" s="39" t="str">
        <x:v>PMO/عملیات + روابط عمومی</x:v>
      </x:c>
      <x:c r="K907" s="39" t="str"/>
      <x:c r="L907" s="39" t="str">
        <x:v>AP:P494</x:v>
      </x:c>
      <x:c r="M907" s="39" t="str"/>
      <x:c r="N907" s="39" t="str">
        <x:v>نسخه پایه ۳۱۵۰</x:v>
      </x:c>
    </x:row>
    <x:row r="908" ht="34" customHeight="1">
      <x:c r="A908" s="34" t="str">
        <x:v>☐</x:v>
      </x:c>
      <x:c r="B908" s="34" t="str">
        <x:v>MI-0704</x:v>
      </x:c>
      <x:c r="C908" s="34" t="str">
        <x:v>M4 — اجرا، دانشگاه، صنعت و پروژه‌های اجتماعی</x:v>
      </x:c>
      <x:c r="D908" s="34" t="str">
        <x:v>H11</x:v>
      </x:c>
      <x:c r="E908" s="34" t="str">
        <x:v>دانشگاه؛ صنفی، رفاهی، اجرایی و رسانه‌ای</x:v>
      </x:c>
      <x:c r="F908" s="34" t="str">
        <x:v>DELEGATE/P2</x:v>
      </x:c>
      <x:c r="G908" s="34" t="str">
        <x:v>پروژه/طرح</x:v>
      </x:c>
      <x:c r="H908" s="39" t="str">
        <x:v>استخر ها</x:v>
      </x:c>
      <x:c r="I908" s="39" t="str">
        <x:v>پورتفو؛ واگذاری اجرا و تمرکز بر راهبری</x:v>
      </x:c>
      <x:c r="J908" s="39" t="str">
        <x:v>PMO/عملیات + روابط عمومی</x:v>
      </x:c>
      <x:c r="K908" s="39" t="str"/>
      <x:c r="L908" s="39" t="str">
        <x:v>AP:P495</x:v>
      </x:c>
      <x:c r="M908" s="39" t="str"/>
      <x:c r="N908" s="39" t="str">
        <x:v>نسخه پایه ۳۱۵۰</x:v>
      </x:c>
    </x:row>
    <x:row r="909" ht="34" customHeight="1">
      <x:c r="A909" s="34" t="str">
        <x:v>☐</x:v>
      </x:c>
      <x:c r="B909" s="34" t="str">
        <x:v>MI-0705</x:v>
      </x:c>
      <x:c r="C909" s="34" t="str">
        <x:v>M4 — اجرا، دانشگاه، صنعت و پروژه‌های اجتماعی</x:v>
      </x:c>
      <x:c r="D909" s="34" t="str">
        <x:v>H11</x:v>
      </x:c>
      <x:c r="E909" s="34" t="str">
        <x:v>دانشگاه؛ صنفی، رفاهی، اجرایی و رسانه‌ای</x:v>
      </x:c>
      <x:c r="F909" s="34" t="str">
        <x:v>DELEGATE/P2</x:v>
      </x:c>
      <x:c r="G909" s="34" t="str">
        <x:v>پروژه/طرح</x:v>
      </x:c>
      <x:c r="H909" s="39" t="str">
        <x:v>سالن های ورزشی</x:v>
      </x:c>
      <x:c r="I909" s="39" t="str">
        <x:v>پورتفو؛ واگذاری اجرا و تمرکز بر راهبری</x:v>
      </x:c>
      <x:c r="J909" s="39" t="str">
        <x:v>PMO/عملیات + روابط عمومی</x:v>
      </x:c>
      <x:c r="K909" s="39" t="str"/>
      <x:c r="L909" s="39" t="str">
        <x:v>AP:P496</x:v>
      </x:c>
      <x:c r="M909" s="39" t="str"/>
      <x:c r="N909" s="39" t="str">
        <x:v>نسخه پایه ۳۱۵۰</x:v>
      </x:c>
    </x:row>
    <x:row r="910" ht="34" customHeight="1">
      <x:c r="A910" s="34" t="str">
        <x:v>☐</x:v>
      </x:c>
      <x:c r="B910" s="34" t="str">
        <x:v>MI-0706</x:v>
      </x:c>
      <x:c r="C910" s="34" t="str">
        <x:v>M4 — اجرا، دانشگاه، صنعت و پروژه‌های اجتماعی</x:v>
      </x:c>
      <x:c r="D910" s="34" t="str">
        <x:v>H11</x:v>
      </x:c>
      <x:c r="E910" s="34" t="str">
        <x:v>دانشگاه؛ صنفی، رفاهی، اجرایی و رسانه‌ای</x:v>
      </x:c>
      <x:c r="F910" s="34" t="str">
        <x:v>DELEGATE/P2</x:v>
      </x:c>
      <x:c r="G910" s="34" t="str">
        <x:v>پروژه/طرح</x:v>
      </x:c>
      <x:c r="H910" s="39" t="str">
        <x:v>سالن های فوتسال</x:v>
      </x:c>
      <x:c r="I910" s="39" t="str">
        <x:v>پورتفو؛ واگذاری اجرا و تمرکز بر راهبری</x:v>
      </x:c>
      <x:c r="J910" s="39" t="str">
        <x:v>PMO/عملیات + روابط عمومی</x:v>
      </x:c>
      <x:c r="K910" s="39" t="str"/>
      <x:c r="L910" s="39" t="str">
        <x:v>AP:P497</x:v>
      </x:c>
      <x:c r="M910" s="39" t="str"/>
      <x:c r="N910" s="39" t="str">
        <x:v>نسخه پایه ۳۱۵۰</x:v>
      </x:c>
    </x:row>
    <x:row r="911" ht="34" customHeight="1">
      <x:c r="A911" s="34" t="str">
        <x:v>☐</x:v>
      </x:c>
      <x:c r="B911" s="34" t="str">
        <x:v>MI-0707</x:v>
      </x:c>
      <x:c r="C911" s="34" t="str">
        <x:v>M4 — اجرا، دانشگاه، صنعت و پروژه‌های اجتماعی</x:v>
      </x:c>
      <x:c r="D911" s="34" t="str">
        <x:v>H11</x:v>
      </x:c>
      <x:c r="E911" s="34" t="str">
        <x:v>دانشگاه؛ صنفی، رفاهی، اجرایی و رسانه‌ای</x:v>
      </x:c>
      <x:c r="F911" s="34" t="str">
        <x:v>DELEGATE/P2</x:v>
      </x:c>
      <x:c r="G911" s="34" t="str">
        <x:v>پروژه/طرح</x:v>
      </x:c>
      <x:c r="H911" s="39" t="str">
        <x:v>تغذیه</x:v>
      </x:c>
      <x:c r="I911" s="39" t="str">
        <x:v>پورتفو؛ واگذاری اجرا و تمرکز بر راهبری</x:v>
      </x:c>
      <x:c r="J911" s="39" t="str">
        <x:v>PMO/عملیات + روابط عمومی</x:v>
      </x:c>
      <x:c r="K911" s="39" t="str"/>
      <x:c r="L911" s="39" t="str">
        <x:v>AP:P498؛ AP:P1536</x:v>
      </x:c>
      <x:c r="M911" s="39" t="str"/>
      <x:c r="N911" s="39" t="str">
        <x:v>نسخه پایه ۳۱۵۰</x:v>
      </x:c>
    </x:row>
    <x:row r="912" ht="34" customHeight="1">
      <x:c r="A912" s="34" t="str">
        <x:v>☐</x:v>
      </x:c>
      <x:c r="B912" s="34" t="str">
        <x:v>MI-0708</x:v>
      </x:c>
      <x:c r="C912" s="34" t="str">
        <x:v>M4 — اجرا، دانشگاه، صنعت و پروژه‌های اجتماعی</x:v>
      </x:c>
      <x:c r="D912" s="34" t="str">
        <x:v>H11</x:v>
      </x:c>
      <x:c r="E912" s="34" t="str">
        <x:v>دانشگاه؛ صنفی، رفاهی، اجرایی و رسانه‌ای</x:v>
      </x:c>
      <x:c r="F912" s="34" t="str">
        <x:v>DELEGATE/P2</x:v>
      </x:c>
      <x:c r="G912" s="34" t="str">
        <x:v>پروژه/طرح</x:v>
      </x:c>
      <x:c r="H912" s="39" t="str">
        <x:v>پیتزا قلعه</x:v>
      </x:c>
      <x:c r="I912" s="39" t="str">
        <x:v>پورتفو؛ واگذاری اجرا و تمرکز بر راهبری</x:v>
      </x:c>
      <x:c r="J912" s="39" t="str">
        <x:v>PMO/عملیات + روابط عمومی</x:v>
      </x:c>
      <x:c r="K912" s="39" t="str"/>
      <x:c r="L912" s="39" t="str">
        <x:v>AP:P499</x:v>
      </x:c>
      <x:c r="M912" s="39" t="str"/>
      <x:c r="N912" s="39" t="str">
        <x:v>نسخه پایه ۳۱۵۰</x:v>
      </x:c>
    </x:row>
    <x:row r="913" ht="34" customHeight="1">
      <x:c r="A913" s="34" t="str">
        <x:v>☐</x:v>
      </x:c>
      <x:c r="B913" s="34" t="str">
        <x:v>MI-0709</x:v>
      </x:c>
      <x:c r="C913" s="34" t="str">
        <x:v>M4 — اجرا، دانشگاه، صنعت و پروژه‌های اجتماعی</x:v>
      </x:c>
      <x:c r="D913" s="34" t="str">
        <x:v>H11</x:v>
      </x:c>
      <x:c r="E913" s="34" t="str">
        <x:v>دانشگاه؛ صنفی، رفاهی، اجرایی و رسانه‌ای</x:v>
      </x:c>
      <x:c r="F913" s="34" t="str">
        <x:v>DELEGATE/P2</x:v>
      </x:c>
      <x:c r="G913" s="34" t="str">
        <x:v>پروژه/طرح</x:v>
      </x:c>
      <x:c r="H913" s="39" t="str">
        <x:v>پیگیری طرح تفاهم نامه باقلوا لذیذ و عمو رحیم</x:v>
      </x:c>
      <x:c r="I913" s="39" t="str">
        <x:v>پورتفو؛ واگذاری اجرا و تمرکز بر راهبری</x:v>
      </x:c>
      <x:c r="J913" s="39" t="str">
        <x:v>PMO/عملیات + روابط عمومی</x:v>
      </x:c>
      <x:c r="K913" s="39" t="str"/>
      <x:c r="L913" s="39" t="str">
        <x:v>AP:P500؛ AP:P710</x:v>
      </x:c>
      <x:c r="M913" s="39" t="str"/>
      <x:c r="N913" s="39" t="str">
        <x:v>نسخه پایه ۳۱۵۰</x:v>
      </x:c>
    </x:row>
    <x:row r="914" ht="34" customHeight="1">
      <x:c r="A914" s="34" t="str">
        <x:v>☐</x:v>
      </x:c>
      <x:c r="B914" s="34" t="str">
        <x:v>MI-0710</x:v>
      </x:c>
      <x:c r="C914" s="34" t="str">
        <x:v>M4 — اجرا، دانشگاه، صنعت و پروژه‌های اجتماعی</x:v>
      </x:c>
      <x:c r="D914" s="34" t="str">
        <x:v>H11</x:v>
      </x:c>
      <x:c r="E914" s="34" t="str">
        <x:v>دانشگاه؛ صنفی، رفاهی، اجرایی و رسانه‌ای</x:v>
      </x:c>
      <x:c r="F914" s="34" t="str">
        <x:v>DELEGATE/P2</x:v>
      </x:c>
      <x:c r="G914" s="34" t="str">
        <x:v>پروژه/طرح</x:v>
      </x:c>
      <x:c r="H914" s="39" t="str">
        <x:v>باقلوا لذیذ</x:v>
      </x:c>
      <x:c r="I914" s="39" t="str">
        <x:v>پورتفو؛ واگذاری اجرا و تمرکز بر راهبری</x:v>
      </x:c>
      <x:c r="J914" s="39" t="str">
        <x:v>PMO/عملیات + روابط عمومی</x:v>
      </x:c>
      <x:c r="K914" s="39" t="str"/>
      <x:c r="L914" s="39" t="str">
        <x:v>AP:P501</x:v>
      </x:c>
      <x:c r="M914" s="39" t="str"/>
      <x:c r="N914" s="39" t="str">
        <x:v>نسخه پایه ۳۱۵۰</x:v>
      </x:c>
    </x:row>
    <x:row r="915" ht="34" customHeight="1">
      <x:c r="A915" s="34" t="str">
        <x:v>☐</x:v>
      </x:c>
      <x:c r="B915" s="34" t="str">
        <x:v>MI-0711</x:v>
      </x:c>
      <x:c r="C915" s="34" t="str">
        <x:v>M4 — اجرا، دانشگاه، صنعت و پروژه‌های اجتماعی</x:v>
      </x:c>
      <x:c r="D915" s="34" t="str">
        <x:v>H11</x:v>
      </x:c>
      <x:c r="E915" s="34" t="str">
        <x:v>دانشگاه؛ صنفی، رفاهی، اجرایی و رسانه‌ای</x:v>
      </x:c>
      <x:c r="F915" s="34" t="str">
        <x:v>DELEGATE/P2</x:v>
      </x:c>
      <x:c r="G915" s="34" t="str">
        <x:v>پروژه/طرح</x:v>
      </x:c>
      <x:c r="H915" s="39" t="str">
        <x:v>کافه درون دانشگاه</x:v>
      </x:c>
      <x:c r="I915" s="39" t="str">
        <x:v>پورتفو؛ واگذاری اجرا و تمرکز بر راهبری</x:v>
      </x:c>
      <x:c r="J915" s="39" t="str">
        <x:v>PMO/عملیات + روابط عمومی</x:v>
      </x:c>
      <x:c r="K915" s="39" t="str"/>
      <x:c r="L915" s="39" t="str">
        <x:v>AP:P502</x:v>
      </x:c>
      <x:c r="M915" s="39" t="str"/>
      <x:c r="N915" s="39" t="str">
        <x:v>نسخه پایه ۳۱۵۰</x:v>
      </x:c>
    </x:row>
    <x:row r="916" ht="34" customHeight="1">
      <x:c r="A916" s="34" t="str">
        <x:v>☐</x:v>
      </x:c>
      <x:c r="B916" s="34" t="str">
        <x:v>MI-0712</x:v>
      </x:c>
      <x:c r="C916" s="34" t="str">
        <x:v>M4 — اجرا، دانشگاه، صنعت و پروژه‌های اجتماعی</x:v>
      </x:c>
      <x:c r="D916" s="34" t="str">
        <x:v>H11</x:v>
      </x:c>
      <x:c r="E916" s="34" t="str">
        <x:v>دانشگاه؛ صنفی، رفاهی، اجرایی و رسانه‌ای</x:v>
      </x:c>
      <x:c r="F916" s="34" t="str">
        <x:v>DELEGATE/P2</x:v>
      </x:c>
      <x:c r="G916" s="34" t="str">
        <x:v>پروژه/طرح</x:v>
      </x:c>
      <x:c r="H916" s="39" t="str">
        <x:v>اسنپ و تپسی</x:v>
      </x:c>
      <x:c r="I916" s="39" t="str">
        <x:v>پورتفو؛ واگذاری اجرا و تمرکز بر راهبری</x:v>
      </x:c>
      <x:c r="J916" s="39" t="str">
        <x:v>PMO/عملیات + روابط عمومی</x:v>
      </x:c>
      <x:c r="K916" s="39" t="str"/>
      <x:c r="L916" s="39" t="str">
        <x:v>AP:P503</x:v>
      </x:c>
      <x:c r="M916" s="39" t="str"/>
      <x:c r="N916" s="39" t="str">
        <x:v>نسخه پایه ۳۱۵۰</x:v>
      </x:c>
    </x:row>
    <x:row r="917" ht="34" customHeight="1">
      <x:c r="A917" s="34" t="str">
        <x:v>☐</x:v>
      </x:c>
      <x:c r="B917" s="34" t="str">
        <x:v>MI-0714</x:v>
      </x:c>
      <x:c r="C917" s="34" t="str">
        <x:v>M4 — اجرا، دانشگاه، صنعت و پروژه‌های اجتماعی</x:v>
      </x:c>
      <x:c r="D917" s="34" t="str">
        <x:v>H11</x:v>
      </x:c>
      <x:c r="E917" s="34" t="str">
        <x:v>دانشگاه؛ صنفی، رفاهی، اجرایی و رسانه‌ای</x:v>
      </x:c>
      <x:c r="F917" s="34" t="str">
        <x:v>DELEGATE/P2</x:v>
      </x:c>
      <x:c r="G917" s="34" t="str">
        <x:v>پروژه/طرح</x:v>
      </x:c>
      <x:c r="H917" s="39" t="str">
        <x:v>تعمیرات موبایل</x:v>
      </x:c>
      <x:c r="I917" s="39" t="str">
        <x:v>پورتفو؛ واگذاری اجرا و تمرکز بر راهبری</x:v>
      </x:c>
      <x:c r="J917" s="39" t="str">
        <x:v>PMO/عملیات + روابط عمومی</x:v>
      </x:c>
      <x:c r="K917" s="39" t="str"/>
      <x:c r="L917" s="39" t="str">
        <x:v>AP:P505</x:v>
      </x:c>
      <x:c r="M917" s="39" t="str"/>
      <x:c r="N917" s="39" t="str">
        <x:v>نسخه پایه ۳۱۵۰</x:v>
      </x:c>
    </x:row>
    <x:row r="918" ht="34" customHeight="1">
      <x:c r="A918" s="34" t="str">
        <x:v>☐</x:v>
      </x:c>
      <x:c r="B918" s="34" t="str">
        <x:v>MI-0715</x:v>
      </x:c>
      <x:c r="C918" s="34" t="str">
        <x:v>M4 — اجرا، دانشگاه، صنعت و پروژه‌های اجتماعی</x:v>
      </x:c>
      <x:c r="D918" s="34" t="str">
        <x:v>H11</x:v>
      </x:c>
      <x:c r="E918" s="34" t="str">
        <x:v>دانشگاه؛ صنفی، رفاهی، اجرایی و رسانه‌ای</x:v>
      </x:c>
      <x:c r="F918" s="34" t="str">
        <x:v>DELEGATE/P2</x:v>
      </x:c>
      <x:c r="G918" s="34" t="str">
        <x:v>پروژه/طرح</x:v>
      </x:c>
      <x:c r="H918" s="39" t="str">
        <x:v>یونیت آرایشگاه</x:v>
      </x:c>
      <x:c r="I918" s="39" t="str">
        <x:v>پورتفو؛ واگذاری اجرا و تمرکز بر راهبری</x:v>
      </x:c>
      <x:c r="J918" s="39" t="str">
        <x:v>PMO/عملیات + روابط عمومی</x:v>
      </x:c>
      <x:c r="K918" s="39" t="str"/>
      <x:c r="L918" s="39" t="str">
        <x:v>AP:P506</x:v>
      </x:c>
      <x:c r="M918" s="39" t="str"/>
      <x:c r="N918" s="39" t="str">
        <x:v>نسخه پایه ۳۱۵۰</x:v>
      </x:c>
    </x:row>
    <x:row r="919" ht="34" customHeight="1">
      <x:c r="A919" s="34" t="str">
        <x:v>☐</x:v>
      </x:c>
      <x:c r="B919" s="34" t="str">
        <x:v>MI-0716</x:v>
      </x:c>
      <x:c r="C919" s="34" t="str">
        <x:v>M4 — اجرا، دانشگاه، صنعت و پروژه‌های اجتماعی</x:v>
      </x:c>
      <x:c r="D919" s="34" t="str">
        <x:v>H11</x:v>
      </x:c>
      <x:c r="E919" s="34" t="str">
        <x:v>دانشگاه؛ صنفی، رفاهی، اجرایی و رسانه‌ای</x:v>
      </x:c>
      <x:c r="F919" s="34" t="str">
        <x:v>DELEGATE/P2</x:v>
      </x:c>
      <x:c r="G919" s="34" t="str">
        <x:v>پروژه/طرح</x:v>
      </x:c>
      <x:c r="H919" s="39" t="str">
        <x:v>یونیت ps5</x:v>
      </x:c>
      <x:c r="I919" s="39" t="str">
        <x:v>پورتفو؛ واگذاری اجرا و تمرکز بر راهبری</x:v>
      </x:c>
      <x:c r="J919" s="39" t="str">
        <x:v>PMO/عملیات + روابط عمومی</x:v>
      </x:c>
      <x:c r="K919" s="39" t="str"/>
      <x:c r="L919" s="39" t="str">
        <x:v>AP:P507</x:v>
      </x:c>
      <x:c r="M919" s="39" t="str"/>
      <x:c r="N919" s="39" t="str">
        <x:v>نسخه پایه ۳۱۵۰</x:v>
      </x:c>
    </x:row>
    <x:row r="920" ht="34" customHeight="1">
      <x:c r="A920" s="34" t="str">
        <x:v>☐</x:v>
      </x:c>
      <x:c r="B920" s="34" t="str">
        <x:v>MI-0717</x:v>
      </x:c>
      <x:c r="C920" s="34" t="str">
        <x:v>M4 — اجرا، دانشگاه، صنعت و پروژه‌های اجتماعی</x:v>
      </x:c>
      <x:c r="D920" s="34" t="str">
        <x:v>H11</x:v>
      </x:c>
      <x:c r="E920" s="34" t="str">
        <x:v>دانشگاه؛ صنفی، رفاهی، اجرایی و رسانه‌ای</x:v>
      </x:c>
      <x:c r="F920" s="34" t="str">
        <x:v>DELEGATE/P2</x:v>
      </x:c>
      <x:c r="G920" s="34" t="str">
        <x:v>پروژه/طرح</x:v>
      </x:c>
      <x:c r="H920" s="39" t="str">
        <x:v>رفاه کارت دانشجویی</x:v>
      </x:c>
      <x:c r="I920" s="39" t="str">
        <x:v>پورتفو؛ واگذاری اجرا و تمرکز بر راهبری</x:v>
      </x:c>
      <x:c r="J920" s="39" t="str">
        <x:v>PMO/عملیات + روابط عمومی</x:v>
      </x:c>
      <x:c r="K920" s="39" t="str"/>
      <x:c r="L920" s="39" t="str">
        <x:v>AP:P508</x:v>
      </x:c>
      <x:c r="M920" s="39" t="str"/>
      <x:c r="N920" s="39" t="str">
        <x:v>نسخه پایه ۳۱۵۰</x:v>
      </x:c>
    </x:row>
    <x:row r="921" ht="34" customHeight="1">
      <x:c r="A921" s="34" t="str">
        <x:v>☐</x:v>
      </x:c>
      <x:c r="B921" s="34" t="str">
        <x:v>MI-0718</x:v>
      </x:c>
      <x:c r="C921" s="34" t="str">
        <x:v>M4 — اجرا، دانشگاه، صنعت و پروژه‌های اجتماعی</x:v>
      </x:c>
      <x:c r="D921" s="34" t="str">
        <x:v>H11</x:v>
      </x:c>
      <x:c r="E921" s="34" t="str">
        <x:v>دانشگاه؛ صنفی، رفاهی، اجرایی و رسانه‌ای</x:v>
      </x:c>
      <x:c r="F921" s="34" t="str">
        <x:v>DELEGATE/P2</x:v>
      </x:c>
      <x:c r="G921" s="34" t="str">
        <x:v>پروژه/طرح</x:v>
      </x:c>
      <x:c r="H921" s="39" t="str">
        <x:v>ترابری دانشجویی بومی</x:v>
      </x:c>
      <x:c r="I921" s="39" t="str">
        <x:v>پورتفو؛ واگذاری اجرا و تمرکز بر راهبری</x:v>
      </x:c>
      <x:c r="J921" s="39" t="str">
        <x:v>PMO/عملیات + روابط عمومی</x:v>
      </x:c>
      <x:c r="K921" s="39" t="str"/>
      <x:c r="L921" s="39" t="str">
        <x:v>AP:P509</x:v>
      </x:c>
      <x:c r="M921" s="39" t="str"/>
      <x:c r="N921" s="39" t="str">
        <x:v>نسخه پایه ۳۱۵۰</x:v>
      </x:c>
    </x:row>
    <x:row r="922" ht="34" customHeight="1">
      <x:c r="A922" s="34" t="str">
        <x:v>☐</x:v>
      </x:c>
      <x:c r="B922" s="34" t="str">
        <x:v>MI-0719</x:v>
      </x:c>
      <x:c r="C922" s="34" t="str">
        <x:v>M4 — اجرا، دانشگاه، صنعت و پروژه‌های اجتماعی</x:v>
      </x:c>
      <x:c r="D922" s="34" t="str">
        <x:v>H11</x:v>
      </x:c>
      <x:c r="E922" s="34" t="str">
        <x:v>دانشگاه؛ صنفی، رفاهی، اجرایی و رسانه‌ای</x:v>
      </x:c>
      <x:c r="F922" s="34" t="str">
        <x:v>DELEGATE/P2</x:v>
      </x:c>
      <x:c r="G922" s="34" t="str">
        <x:v>پروژه/طرح</x:v>
      </x:c>
      <x:c r="H922" s="39" t="str">
        <x:v>قیمت گذاری</x:v>
      </x:c>
      <x:c r="I922" s="39" t="str">
        <x:v>پورتفو؛ واگذاری اجرا و تمرکز بر راهبری</x:v>
      </x:c>
      <x:c r="J922" s="39" t="str">
        <x:v>PMO/عملیات + روابط عمومی</x:v>
      </x:c>
      <x:c r="K922" s="39" t="str"/>
      <x:c r="L922" s="39" t="str">
        <x:v>AP:P510؛ AP:P672؛ AP:P719</x:v>
      </x:c>
      <x:c r="M922" s="39" t="str"/>
      <x:c r="N922" s="39" t="str">
        <x:v>نسخه پایه ۳۱۵۰</x:v>
      </x:c>
    </x:row>
    <x:row r="923" ht="34" customHeight="1">
      <x:c r="A923" s="34" t="str">
        <x:v>☐</x:v>
      </x:c>
      <x:c r="B923" s="34" t="str">
        <x:v>MI-0720</x:v>
      </x:c>
      <x:c r="C923" s="34" t="str">
        <x:v>M4 — اجرا، دانشگاه، صنعت و پروژه‌های اجتماعی</x:v>
      </x:c>
      <x:c r="D923" s="34" t="str">
        <x:v>H11</x:v>
      </x:c>
      <x:c r="E923" s="34" t="str">
        <x:v>دانشگاه؛ صنفی، رفاهی، اجرایی و رسانه‌ای</x:v>
      </x:c>
      <x:c r="F923" s="34" t="str">
        <x:v>DELEGATE/P2</x:v>
      </x:c>
      <x:c r="G923" s="34" t="str">
        <x:v>پروژه/طرح</x:v>
      </x:c>
      <x:c r="H923" s="39" t="str">
        <x:v>کیفیت</x:v>
      </x:c>
      <x:c r="I923" s="39" t="str">
        <x:v>پورتفو؛ واگذاری اجرا و تمرکز بر راهبری</x:v>
      </x:c>
      <x:c r="J923" s="39" t="str">
        <x:v>PMO/عملیات + روابط عمومی</x:v>
      </x:c>
      <x:c r="K923" s="39" t="str"/>
      <x:c r="L923" s="39" t="str">
        <x:v>AP:P511</x:v>
      </x:c>
      <x:c r="M923" s="39" t="str"/>
      <x:c r="N923" s="39" t="str">
        <x:v>نسخه پایه ۳۱۵۰</x:v>
      </x:c>
    </x:row>
    <x:row r="924" ht="34" customHeight="1">
      <x:c r="A924" s="34" t="str">
        <x:v>☐</x:v>
      </x:c>
      <x:c r="B924" s="34" t="str">
        <x:v>MI-0721</x:v>
      </x:c>
      <x:c r="C924" s="34" t="str">
        <x:v>M4 — اجرا، دانشگاه، صنعت و پروژه‌های اجتماعی</x:v>
      </x:c>
      <x:c r="D924" s="34" t="str">
        <x:v>H11</x:v>
      </x:c>
      <x:c r="E924" s="34" t="str">
        <x:v>دانشگاه؛ صنفی، رفاهی، اجرایی و رسانه‌ای</x:v>
      </x:c>
      <x:c r="F924" s="34" t="str">
        <x:v>DELEGATE/P2</x:v>
      </x:c>
      <x:c r="G924" s="34" t="str">
        <x:v>پروژه/طرح</x:v>
      </x:c>
      <x:c r="H924" s="39" t="str">
        <x:v>ارزیابی عملکرد و برخورد و رفتار</x:v>
      </x:c>
      <x:c r="I924" s="39" t="str">
        <x:v>پورتفو؛ واگذاری اجرا و تمرکز بر راهبری</x:v>
      </x:c>
      <x:c r="J924" s="39" t="str">
        <x:v>PMO/عملیات + روابط عمومی</x:v>
      </x:c>
      <x:c r="K924" s="39" t="str"/>
      <x:c r="L924" s="39" t="str">
        <x:v>AP:P512</x:v>
      </x:c>
      <x:c r="M924" s="39" t="str"/>
      <x:c r="N924" s="39" t="str">
        <x:v>نسخه پایه ۳۱۵۰</x:v>
      </x:c>
    </x:row>
    <x:row r="925" ht="34" customHeight="1">
      <x:c r="A925" s="34" t="str">
        <x:v>☐</x:v>
      </x:c>
      <x:c r="B925" s="34" t="str">
        <x:v>MI-0722</x:v>
      </x:c>
      <x:c r="C925" s="34" t="str">
        <x:v>M4 — اجرا، دانشگاه، صنعت و پروژه‌های اجتماعی</x:v>
      </x:c>
      <x:c r="D925" s="34" t="str">
        <x:v>H11</x:v>
      </x:c>
      <x:c r="E925" s="34" t="str">
        <x:v>دانشگاه؛ صنفی، رفاهی، اجرایی و رسانه‌ای</x:v>
      </x:c>
      <x:c r="F925" s="34" t="str">
        <x:v>DELEGATE/P2</x:v>
      </x:c>
      <x:c r="G925" s="34" t="str">
        <x:v>پروژه/طرح</x:v>
      </x:c>
      <x:c r="H925" s="39" t="str">
        <x:v>مغنعه داشتن دانشجویان بین الملل چرا که فرقی ندارند با ما</x:v>
      </x:c>
      <x:c r="I925" s="39" t="str">
        <x:v>پورتفو؛ واگذاری اجرا و تمرکز بر راهبری</x:v>
      </x:c>
      <x:c r="J925" s="39" t="str">
        <x:v>PMO/عملیات + روابط عمومی</x:v>
      </x:c>
      <x:c r="K925" s="39" t="str"/>
      <x:c r="L925" s="39" t="str">
        <x:v>AP:P513</x:v>
      </x:c>
      <x:c r="M925" s="39" t="str"/>
      <x:c r="N925" s="39" t="str">
        <x:v>نسخه پایه ۳۱۵۰</x:v>
      </x:c>
    </x:row>
    <x:row r="926" ht="34" customHeight="1">
      <x:c r="A926" s="34" t="str">
        <x:v>☐</x:v>
      </x:c>
      <x:c r="B926" s="34" t="str">
        <x:v>MI-0723</x:v>
      </x:c>
      <x:c r="C926" s="34" t="str">
        <x:v>M4 — اجرا، دانشگاه، صنعت و پروژه‌های اجتماعی</x:v>
      </x:c>
      <x:c r="D926" s="34" t="str">
        <x:v>H11</x:v>
      </x:c>
      <x:c r="E926" s="34" t="str">
        <x:v>دانشگاه؛ صنفی، رفاهی، اجرایی و رسانه‌ای</x:v>
      </x:c>
      <x:c r="F926" s="34" t="str">
        <x:v>DELEGATE/P2</x:v>
      </x:c>
      <x:c r="G926" s="34" t="str">
        <x:v>پروژه/طرح</x:v>
      </x:c>
      <x:c r="H926" s="39" t="str">
        <x:v>توسعه بستر مناسب اینترنت</x:v>
      </x:c>
      <x:c r="I926" s="39" t="str">
        <x:v>پورتفو؛ واگذاری اجرا و تمرکز بر راهبری</x:v>
      </x:c>
      <x:c r="J926" s="39" t="str">
        <x:v>PMO/عملیات + روابط عمومی</x:v>
      </x:c>
      <x:c r="K926" s="39" t="str"/>
      <x:c r="L926" s="39" t="str">
        <x:v>AP:P514</x:v>
      </x:c>
      <x:c r="M926" s="39" t="str"/>
      <x:c r="N926" s="39" t="str">
        <x:v>نسخه پایه ۳۱۵۰</x:v>
      </x:c>
    </x:row>
    <x:row r="927" ht="34" customHeight="1">
      <x:c r="A927" s="34" t="str">
        <x:v>☐</x:v>
      </x:c>
      <x:c r="B927" s="34" t="str">
        <x:v>MI-0724</x:v>
      </x:c>
      <x:c r="C927" s="34" t="str">
        <x:v>M4 — اجرا، دانشگاه، صنعت و پروژه‌های اجتماعی</x:v>
      </x:c>
      <x:c r="D927" s="34" t="str">
        <x:v>H11</x:v>
      </x:c>
      <x:c r="E927" s="34" t="str">
        <x:v>دانشگاه؛ صنفی، رفاهی، اجرایی و رسانه‌ای</x:v>
      </x:c>
      <x:c r="F927" s="34" t="str">
        <x:v>DELEGATE/P2</x:v>
      </x:c>
      <x:c r="G927" s="34" t="str">
        <x:v>پروژه/طرح</x:v>
      </x:c>
      <x:c r="H927" s="39" t="str">
        <x:v>100 میلیون تومن پیگری سوخته سرا برای تجهیز باشگاه کشتی سالن</x:v>
      </x:c>
      <x:c r="I927" s="39" t="str">
        <x:v>پورتفو؛ واگذاری اجرا و تمرکز بر راهبری</x:v>
      </x:c>
      <x:c r="J927" s="39" t="str">
        <x:v>PMO/عملیات + روابط عمومی</x:v>
      </x:c>
      <x:c r="K927" s="39" t="str"/>
      <x:c r="L927" s="39" t="str">
        <x:v>AP:P515</x:v>
      </x:c>
      <x:c r="M927" s="39" t="str"/>
      <x:c r="N927" s="39" t="str">
        <x:v>نسخه پایه ۳۱۵۰</x:v>
      </x:c>
    </x:row>
    <x:row r="928" ht="34" customHeight="1">
      <x:c r="A928" s="34" t="str">
        <x:v>☐</x:v>
      </x:c>
      <x:c r="B928" s="34" t="str">
        <x:v>MI-0725</x:v>
      </x:c>
      <x:c r="C928" s="34" t="str">
        <x:v>M4 — اجرا، دانشگاه، صنعت و پروژه‌های اجتماعی</x:v>
      </x:c>
      <x:c r="D928" s="34" t="str">
        <x:v>H11</x:v>
      </x:c>
      <x:c r="E928" s="34" t="str">
        <x:v>دانشگاه؛ صنفی، رفاهی، اجرایی و رسانه‌ای</x:v>
      </x:c>
      <x:c r="F928" s="34" t="str">
        <x:v>DELEGATE/P2</x:v>
      </x:c>
      <x:c r="G928" s="34" t="str">
        <x:v>پروژه/طرح</x:v>
      </x:c>
      <x:c r="H928" s="39" t="str">
        <x:v>پروژه های عمرانی</x:v>
      </x:c>
      <x:c r="I928" s="39" t="str">
        <x:v>پورتفو؛ واگذاری اجرا و تمرکز بر راهبری</x:v>
      </x:c>
      <x:c r="J928" s="39" t="str">
        <x:v>PMO/عملیات + روابط عمومی</x:v>
      </x:c>
      <x:c r="K928" s="39" t="str"/>
      <x:c r="L928" s="39" t="str">
        <x:v>AP:P516</x:v>
      </x:c>
      <x:c r="M928" s="39" t="str"/>
      <x:c r="N928" s="39" t="str">
        <x:v>نسخه پایه ۳۱۵۰</x:v>
      </x:c>
    </x:row>
    <x:row r="929" ht="34" customHeight="1">
      <x:c r="A929" s="34" t="str">
        <x:v>☐</x:v>
      </x:c>
      <x:c r="B929" s="34" t="str">
        <x:v>MI-0726</x:v>
      </x:c>
      <x:c r="C929" s="34" t="str">
        <x:v>M4 — اجرا، دانشگاه، صنعت و پروژه‌های اجتماعی</x:v>
      </x:c>
      <x:c r="D929" s="34" t="str">
        <x:v>H11</x:v>
      </x:c>
      <x:c r="E929" s="34" t="str">
        <x:v>دانشگاه؛ صنفی، رفاهی، اجرایی و رسانه‌ای</x:v>
      </x:c>
      <x:c r="F929" s="34" t="str">
        <x:v>DELEGATE/P2</x:v>
      </x:c>
      <x:c r="G929" s="34" t="str">
        <x:v>پروژه/طرح</x:v>
      </x:c>
      <x:c r="H929" s="39" t="str">
        <x:v>دانشکده جدید برق</x:v>
      </x:c>
      <x:c r="I929" s="39" t="str">
        <x:v>پورتفو؛ واگذاری اجرا و تمرکز بر راهبری</x:v>
      </x:c>
      <x:c r="J929" s="39" t="str">
        <x:v>PMO/عملیات + روابط عمومی</x:v>
      </x:c>
      <x:c r="K929" s="39" t="str"/>
      <x:c r="L929" s="39" t="str">
        <x:v>AP:P517</x:v>
      </x:c>
      <x:c r="M929" s="39" t="str"/>
      <x:c r="N929" s="39" t="str">
        <x:v>نسخه پایه ۳۱۵۰</x:v>
      </x:c>
    </x:row>
    <x:row r="930" ht="34" customHeight="1">
      <x:c r="A930" s="34" t="str">
        <x:v>☐</x:v>
      </x:c>
      <x:c r="B930" s="34" t="str">
        <x:v>MI-0727</x:v>
      </x:c>
      <x:c r="C930" s="34" t="str">
        <x:v>M4 — اجرا، دانشگاه، صنعت و پروژه‌های اجتماعی</x:v>
      </x:c>
      <x:c r="D930" s="34" t="str">
        <x:v>H11</x:v>
      </x:c>
      <x:c r="E930" s="34" t="str">
        <x:v>دانشگاه؛ صنفی، رفاهی، اجرایی و رسانه‌ای</x:v>
      </x:c>
      <x:c r="F930" s="34" t="str">
        <x:v>DELEGATE/P2</x:v>
      </x:c>
      <x:c r="G930" s="34" t="str">
        <x:v>پروژه/طرح</x:v>
      </x:c>
      <x:c r="H930" s="39" t="str">
        <x:v>سیستم تهویه و نظافت باشگاه جدید الساخت</x:v>
      </x:c>
      <x:c r="I930" s="39" t="str">
        <x:v>پورتفو؛ واگذاری اجرا و تمرکز بر راهبری</x:v>
      </x:c>
      <x:c r="J930" s="39" t="str">
        <x:v>PMO/عملیات + روابط عمومی</x:v>
      </x:c>
      <x:c r="K930" s="39" t="str"/>
      <x:c r="L930" s="39" t="str">
        <x:v>AP:P518</x:v>
      </x:c>
      <x:c r="M930" s="39" t="str"/>
      <x:c r="N930" s="39" t="str">
        <x:v>نسخه پایه ۳۱۵۰</x:v>
      </x:c>
    </x:row>
    <x:row r="931" ht="34" customHeight="1">
      <x:c r="A931" s="34" t="str">
        <x:v>☐</x:v>
      </x:c>
      <x:c r="B931" s="34" t="str">
        <x:v>MI-0728</x:v>
      </x:c>
      <x:c r="C931" s="34" t="str">
        <x:v>M4 — اجرا، دانشگاه، صنعت و پروژه‌های اجتماعی</x:v>
      </x:c>
      <x:c r="D931" s="34" t="str">
        <x:v>H11</x:v>
      </x:c>
      <x:c r="E931" s="34" t="str">
        <x:v>دانشگاه؛ صنفی، رفاهی، اجرایی و رسانه‌ای</x:v>
      </x:c>
      <x:c r="F931" s="34" t="str">
        <x:v>DELEGATE/P2</x:v>
      </x:c>
      <x:c r="G931" s="34" t="str">
        <x:v>پروژه/طرح</x:v>
      </x:c>
      <x:c r="H931" s="39" t="str">
        <x:v>خوابگاه متاهلی</x:v>
      </x:c>
      <x:c r="I931" s="39" t="str">
        <x:v>پورتفو؛ واگذاری اجرا و تمرکز بر راهبری</x:v>
      </x:c>
      <x:c r="J931" s="39" t="str">
        <x:v>PMO/عملیات + روابط عمومی</x:v>
      </x:c>
      <x:c r="K931" s="39" t="str"/>
      <x:c r="L931" s="39" t="str">
        <x:v>AP:P519</x:v>
      </x:c>
      <x:c r="M931" s="39" t="str"/>
      <x:c r="N931" s="39" t="str">
        <x:v>نسخه پایه ۳۱۵۰</x:v>
      </x:c>
    </x:row>
    <x:row r="932" ht="34" customHeight="1">
      <x:c r="A932" s="34" t="str">
        <x:v>☐</x:v>
      </x:c>
      <x:c r="B932" s="34" t="str">
        <x:v>MI-0729</x:v>
      </x:c>
      <x:c r="C932" s="34" t="str">
        <x:v>M4 — اجرا، دانشگاه، صنعت و پروژه‌های اجتماعی</x:v>
      </x:c>
      <x:c r="D932" s="34" t="str">
        <x:v>H11</x:v>
      </x:c>
      <x:c r="E932" s="34" t="str">
        <x:v>دانشگاه؛ صنفی، رفاهی، اجرایی و رسانه‌ای</x:v>
      </x:c>
      <x:c r="F932" s="34" t="str">
        <x:v>DELEGATE/P2</x:v>
      </x:c>
      <x:c r="G932" s="34" t="str">
        <x:v>پروژه/طرح</x:v>
      </x:c>
      <x:c r="H932" s="39" t="str">
        <x:v>پارکینگ خوابگاهی</x:v>
      </x:c>
      <x:c r="I932" s="39" t="str">
        <x:v>پورتفو؛ واگذاری اجرا و تمرکز بر راهبری</x:v>
      </x:c>
      <x:c r="J932" s="39" t="str">
        <x:v>PMO/عملیات + روابط عمومی</x:v>
      </x:c>
      <x:c r="K932" s="39" t="str"/>
      <x:c r="L932" s="39" t="str">
        <x:v>AP:P520</x:v>
      </x:c>
      <x:c r="M932" s="39" t="str"/>
      <x:c r="N932" s="39" t="str">
        <x:v>نسخه پایه ۳۱۵۰</x:v>
      </x:c>
    </x:row>
    <x:row r="933" ht="34" customHeight="1">
      <x:c r="A933" s="34" t="str">
        <x:v>☐</x:v>
      </x:c>
      <x:c r="B933" s="34" t="str">
        <x:v>MI-0730</x:v>
      </x:c>
      <x:c r="C933" s="34" t="str">
        <x:v>M4 — اجرا، دانشگاه، صنعت و پروژه‌های اجتماعی</x:v>
      </x:c>
      <x:c r="D933" s="34" t="str">
        <x:v>H11</x:v>
      </x:c>
      <x:c r="E933" s="34" t="str">
        <x:v>دانشگاه؛ صنفی، رفاهی، اجرایی و رسانه‌ای</x:v>
      </x:c>
      <x:c r="F933" s="34" t="str">
        <x:v>DELEGATE/P2</x:v>
      </x:c>
      <x:c r="G933" s="34" t="str">
        <x:v>پروژه/طرح</x:v>
      </x:c>
      <x:c r="H933" s="39" t="str">
        <x:v>پروپوزال طرح پارکینگ و میزان و نحوه هزینه کرد و کار دانشجویی</x:v>
      </x:c>
      <x:c r="I933" s="39" t="str">
        <x:v>پورتفو؛ واگذاری اجرا و تمرکز بر راهبری</x:v>
      </x:c>
      <x:c r="J933" s="39" t="str">
        <x:v>PMO/عملیات + روابط عمومی</x:v>
      </x:c>
      <x:c r="K933" s="39" t="str"/>
      <x:c r="L933" s="39" t="str">
        <x:v>AP:P521</x:v>
      </x:c>
      <x:c r="M933" s="39" t="str"/>
      <x:c r="N933" s="39" t="str">
        <x:v>نسخه پایه ۳۱۵۰</x:v>
      </x:c>
    </x:row>
    <x:row r="934" ht="34" customHeight="1">
      <x:c r="A934" s="34" t="str">
        <x:v>☐</x:v>
      </x:c>
      <x:c r="B934" s="34" t="str">
        <x:v>MI-0733</x:v>
      </x:c>
      <x:c r="C934" s="34" t="str">
        <x:v>M4 — اجرا، دانشگاه، صنعت و پروژه‌های اجتماعی</x:v>
      </x:c>
      <x:c r="D934" s="34" t="str">
        <x:v>H11</x:v>
      </x:c>
      <x:c r="E934" s="34" t="str">
        <x:v>دانشگاه؛ صنفی، رفاهی، اجرایی و رسانه‌ای</x:v>
      </x:c>
      <x:c r="F934" s="34" t="str">
        <x:v>DELEGATE/P2</x:v>
      </x:c>
      <x:c r="G934" s="34" t="str">
        <x:v>پروژه/طرح</x:v>
      </x:c>
      <x:c r="H934" s="39" t="str">
        <x:v>استقرار یونیت آرایشگاهی</x:v>
      </x:c>
      <x:c r="I934" s="39" t="str">
        <x:v>پورتفو؛ واگذاری اجرا و تمرکز بر راهبری</x:v>
      </x:c>
      <x:c r="J934" s="39" t="str">
        <x:v>PMO/عملیات + روابط عمومی</x:v>
      </x:c>
      <x:c r="K934" s="39" t="str"/>
      <x:c r="L934" s="39" t="str">
        <x:v>AP:P524</x:v>
      </x:c>
      <x:c r="M934" s="39" t="str"/>
      <x:c r="N934" s="39" t="str">
        <x:v>نسخه پایه ۳۱۵۰</x:v>
      </x:c>
    </x:row>
    <x:row r="935" ht="34" customHeight="1">
      <x:c r="A935" s="34" t="str">
        <x:v>☐</x:v>
      </x:c>
      <x:c r="B935" s="34" t="str">
        <x:v>MI-0734</x:v>
      </x:c>
      <x:c r="C935" s="34" t="str">
        <x:v>M4 — اجرا، دانشگاه، صنعت و پروژه‌های اجتماعی</x:v>
      </x:c>
      <x:c r="D935" s="34" t="str">
        <x:v>H11</x:v>
      </x:c>
      <x:c r="E935" s="34" t="str">
        <x:v>دانشگاه؛ صنفی، رفاهی، اجرایی و رسانه‌ای</x:v>
      </x:c>
      <x:c r="F935" s="34" t="str">
        <x:v>DELEGATE/P2</x:v>
      </x:c>
      <x:c r="G935" s="34" t="str">
        <x:v>پروژه/طرح</x:v>
      </x:c>
      <x:c r="H935" s="39" t="str">
        <x:v>اتاق بازی</x:v>
      </x:c>
      <x:c r="I935" s="39" t="str">
        <x:v>پورتفو؛ واگذاری اجرا و تمرکز بر راهبری</x:v>
      </x:c>
      <x:c r="J935" s="39" t="str">
        <x:v>PMO/عملیات + روابط عمومی</x:v>
      </x:c>
      <x:c r="K935" s="39" t="str"/>
      <x:c r="L935" s="39" t="str">
        <x:v>AP:P525</x:v>
      </x:c>
      <x:c r="M935" s="39" t="str"/>
      <x:c r="N935" s="39" t="str">
        <x:v>نسخه پایه ۳۱۵۰</x:v>
      </x:c>
    </x:row>
    <x:row r="936" ht="34" customHeight="1">
      <x:c r="A936" s="34" t="str">
        <x:v>☐</x:v>
      </x:c>
      <x:c r="B936" s="34" t="str">
        <x:v>MI-0735</x:v>
      </x:c>
      <x:c r="C936" s="34" t="str">
        <x:v>M4 — اجرا، دانشگاه، صنعت و پروژه‌های اجتماعی</x:v>
      </x:c>
      <x:c r="D936" s="34" t="str">
        <x:v>H11</x:v>
      </x:c>
      <x:c r="E936" s="34" t="str">
        <x:v>دانشگاه؛ صنفی، رفاهی، اجرایی و رسانه‌ای</x:v>
      </x:c>
      <x:c r="F936" s="34" t="str">
        <x:v>DELEGATE/P2</x:v>
      </x:c>
      <x:c r="G936" s="34" t="str">
        <x:v>پروژه/طرح</x:v>
      </x:c>
      <x:c r="H936" s="39" t="str">
        <x:v>گیت خوابگاه ها و دانشگاه؟؟؟</x:v>
      </x:c>
      <x:c r="I936" s="39" t="str">
        <x:v>پورتفو؛ واگذاری اجرا و تمرکز بر راهبری</x:v>
      </x:c>
      <x:c r="J936" s="39" t="str">
        <x:v>PMO/عملیات + روابط عمومی</x:v>
      </x:c>
      <x:c r="K936" s="39" t="str"/>
      <x:c r="L936" s="39" t="str">
        <x:v>AP:P526؛ AP:P738</x:v>
      </x:c>
      <x:c r="M936" s="39" t="str"/>
      <x:c r="N936" s="39" t="str">
        <x:v>نسخه پایه ۳۱۵۰</x:v>
      </x:c>
    </x:row>
    <x:row r="937" ht="34" customHeight="1">
      <x:c r="A937" s="34" t="str">
        <x:v>☐</x:v>
      </x:c>
      <x:c r="B937" s="34" t="str">
        <x:v>MI-0751</x:v>
      </x:c>
      <x:c r="C937" s="34" t="str">
        <x:v>M4 — اجرا، دانشگاه، صنعت و پروژه‌های اجتماعی</x:v>
      </x:c>
      <x:c r="D937" s="34" t="str">
        <x:v>H11</x:v>
      </x:c>
      <x:c r="E937" s="34" t="str">
        <x:v>دانشگاه؛ صنفی، رفاهی، اجرایی و رسانه‌ای</x:v>
      </x:c>
      <x:c r="F937" s="34" t="str">
        <x:v>DELEGATE/P2</x:v>
      </x:c>
      <x:c r="G937" s="34" t="str">
        <x:v>پروژه/طرح</x:v>
      </x:c>
      <x:c r="H937" s="39" t="str">
        <x:v>نظر سنجی از طرح سوالات</x:v>
      </x:c>
      <x:c r="I937" s="39" t="str">
        <x:v>پورتفو؛ واگذاری اجرا و تمرکز بر راهبری</x:v>
      </x:c>
      <x:c r="J937" s="39" t="str">
        <x:v>PMO/عملیات + روابط عمومی</x:v>
      </x:c>
      <x:c r="K937" s="39" t="str"/>
      <x:c r="L937" s="39" t="str">
        <x:v>AP:P542</x:v>
      </x:c>
      <x:c r="M937" s="39" t="str"/>
      <x:c r="N937" s="39" t="str">
        <x:v>نسخه پایه ۳۱۵۰</x:v>
      </x:c>
    </x:row>
    <x:row r="938" ht="34" customHeight="1">
      <x:c r="A938" s="34" t="str">
        <x:v>☐</x:v>
      </x:c>
      <x:c r="B938" s="34" t="str">
        <x:v>MI-0755</x:v>
      </x:c>
      <x:c r="C938" s="34" t="str">
        <x:v>M4 — اجرا، دانشگاه، صنعت و پروژه‌های اجتماعی</x:v>
      </x:c>
      <x:c r="D938" s="34" t="str">
        <x:v>H11</x:v>
      </x:c>
      <x:c r="E938" s="34" t="str">
        <x:v>دانشگاه؛ صنفی، رفاهی، اجرایی و رسانه‌ای</x:v>
      </x:c>
      <x:c r="F938" s="34" t="str">
        <x:v>DELEGATE/P2</x:v>
      </x:c>
      <x:c r="G938" s="34" t="str">
        <x:v>پروژه/طرح</x:v>
      </x:c>
      <x:c r="H938" s="39" t="str">
        <x:v>- تهیه گزارش های عملکرد</x:v>
      </x:c>
      <x:c r="I938" s="39" t="str">
        <x:v>پورتفو؛ واگذاری اجرا و تمرکز بر راهبری</x:v>
      </x:c>
      <x:c r="J938" s="39" t="str">
        <x:v>PMO/عملیات + روابط عمومی</x:v>
      </x:c>
      <x:c r="K938" s="39" t="str"/>
      <x:c r="L938" s="39" t="str">
        <x:v>AP:P547؛ AP:P612</x:v>
      </x:c>
      <x:c r="M938" s="39" t="str"/>
      <x:c r="N938" s="39" t="str">
        <x:v>نسخه پایه ۳۱۵۰</x:v>
      </x:c>
    </x:row>
    <x:row r="939" ht="34" customHeight="1">
      <x:c r="A939" s="34" t="str">
        <x:v>☐</x:v>
      </x:c>
      <x:c r="B939" s="34" t="str">
        <x:v>MI-0784</x:v>
      </x:c>
      <x:c r="C939" s="34" t="str">
        <x:v>M4 — اجرا، دانشگاه، صنعت و پروژه‌های اجتماعی</x:v>
      </x:c>
      <x:c r="D939" s="34" t="str">
        <x:v>H11</x:v>
      </x:c>
      <x:c r="E939" s="34" t="str">
        <x:v>دانشگاه؛ صنفی، رفاهی، اجرایی و رسانه‌ای</x:v>
      </x:c>
      <x:c r="F939" s="34" t="str">
        <x:v>DELEGATE/P2</x:v>
      </x:c>
      <x:c r="G939" s="34" t="str">
        <x:v>پروژه/طرح</x:v>
      </x:c>
      <x:c r="H939" s="39" t="str">
        <x:v>- پروژه های عمرانی سلف</x:v>
      </x:c>
      <x:c r="I939" s="39" t="str">
        <x:v>پورتفو؛ واگذاری اجرا و تمرکز بر راهبری</x:v>
      </x:c>
      <x:c r="J939" s="39" t="str">
        <x:v>PMO/عملیات + روابط عمومی</x:v>
      </x:c>
      <x:c r="K939" s="39" t="str"/>
      <x:c r="L939" s="39" t="str">
        <x:v>AP:P576</x:v>
      </x:c>
      <x:c r="M939" s="39" t="str"/>
      <x:c r="N939" s="39" t="str">
        <x:v>نسخه پایه ۳۱۵۰</x:v>
      </x:c>
    </x:row>
    <x:row r="940" ht="34" customHeight="1">
      <x:c r="A940" s="34" t="str">
        <x:v>☐</x:v>
      </x:c>
      <x:c r="B940" s="34" t="str">
        <x:v>MI-0814</x:v>
      </x:c>
      <x:c r="C940" s="34" t="str">
        <x:v>M4 — اجرا، دانشگاه، صنعت و پروژه‌های اجتماعی</x:v>
      </x:c>
      <x:c r="D940" s="34" t="str">
        <x:v>H11</x:v>
      </x:c>
      <x:c r="E940" s="34" t="str">
        <x:v>دانشگاه؛ صنفی، رفاهی، اجرایی و رسانه‌ای</x:v>
      </x:c>
      <x:c r="F940" s="34" t="str">
        <x:v>DELEGATE/P2</x:v>
      </x:c>
      <x:c r="G940" s="34" t="str">
        <x:v>پروژه/طرح</x:v>
      </x:c>
      <x:c r="H940" s="39" t="str">
        <x:v>- طرح پک صبحانه خوابگاهی ها</x:v>
      </x:c>
      <x:c r="I940" s="39" t="str">
        <x:v>پورتفو؛ واگذاری اجرا و تمرکز بر راهبری</x:v>
      </x:c>
      <x:c r="J940" s="39" t="str">
        <x:v>PMO/عملیات + روابط عمومی</x:v>
      </x:c>
      <x:c r="K940" s="39" t="str"/>
      <x:c r="L940" s="39" t="str">
        <x:v>AP:P606</x:v>
      </x:c>
      <x:c r="M940" s="39" t="str"/>
      <x:c r="N940" s="39" t="str">
        <x:v>نسخه پایه ۳۱۵۰</x:v>
      </x:c>
    </x:row>
    <x:row r="941" ht="34" customHeight="1">
      <x:c r="A941" s="34" t="str">
        <x:v>☐</x:v>
      </x:c>
      <x:c r="B941" s="34" t="str">
        <x:v>MI-0816</x:v>
      </x:c>
      <x:c r="C941" s="34" t="str">
        <x:v>M4 — اجرا، دانشگاه، صنعت و پروژه‌های اجتماعی</x:v>
      </x:c>
      <x:c r="D941" s="34" t="str">
        <x:v>H11</x:v>
      </x:c>
      <x:c r="E941" s="34" t="str">
        <x:v>دانشگاه؛ صنفی، رفاهی، اجرایی و رسانه‌ای</x:v>
      </x:c>
      <x:c r="F941" s="34" t="str">
        <x:v>DELEGATE/P2</x:v>
      </x:c>
      <x:c r="G941" s="34" t="str">
        <x:v>پروژه/طرح</x:v>
      </x:c>
      <x:c r="H941" s="39" t="str">
        <x:v>ایجاد کارگروه رسانه برای تنظیم نظرسنجی و کارهای رسانه ای</x:v>
      </x:c>
      <x:c r="I941" s="39" t="str">
        <x:v>پورتفو؛ واگذاری اجرا و تمرکز بر راهبری</x:v>
      </x:c>
      <x:c r="J941" s="39" t="str">
        <x:v>PMO/عملیات + روابط عمومی</x:v>
      </x:c>
      <x:c r="K941" s="39" t="str"/>
      <x:c r="L941" s="39" t="str">
        <x:v>AP:P608؛ AP:P685</x:v>
      </x:c>
      <x:c r="M941" s="39" t="str"/>
      <x:c r="N941" s="39" t="str">
        <x:v>نسخه پایه ۳۱۵۰</x:v>
      </x:c>
    </x:row>
    <x:row r="942" ht="34" customHeight="1">
      <x:c r="A942" s="34" t="str">
        <x:v>☐</x:v>
      </x:c>
      <x:c r="B942" s="34" t="str">
        <x:v>MI-0818</x:v>
      </x:c>
      <x:c r="C942" s="34" t="str">
        <x:v>M4 — اجرا، دانشگاه، صنعت و پروژه‌های اجتماعی</x:v>
      </x:c>
      <x:c r="D942" s="34" t="str">
        <x:v>H11</x:v>
      </x:c>
      <x:c r="E942" s="34" t="str">
        <x:v>دانشگاه؛ صنفی، رفاهی، اجرایی و رسانه‌ای</x:v>
      </x:c>
      <x:c r="F942" s="34" t="str">
        <x:v>DELEGATE/P2</x:v>
      </x:c>
      <x:c r="G942" s="34" t="str">
        <x:v>پروژه/طرح</x:v>
      </x:c>
      <x:c r="H942" s="39" t="str">
        <x:v>- اطلاع رسانی به دانشجویان</x:v>
      </x:c>
      <x:c r="I942" s="39" t="str">
        <x:v>پورتفو؛ واگذاری اجرا و تمرکز بر راهبری</x:v>
      </x:c>
      <x:c r="J942" s="39" t="str">
        <x:v>PMO/عملیات + روابط عمومی</x:v>
      </x:c>
      <x:c r="K942" s="39" t="str"/>
      <x:c r="L942" s="39" t="str">
        <x:v>AP:P610</x:v>
      </x:c>
      <x:c r="M942" s="39" t="str"/>
      <x:c r="N942" s="39" t="str">
        <x:v>نسخه پایه ۳۱۵۰</x:v>
      </x:c>
    </x:row>
    <x:row r="943" ht="34" customHeight="1">
      <x:c r="A943" s="34" t="str">
        <x:v>☐</x:v>
      </x:c>
      <x:c r="B943" s="34" t="str">
        <x:v>MI-0819</x:v>
      </x:c>
      <x:c r="C943" s="34" t="str">
        <x:v>M4 — اجرا، دانشگاه، صنعت و پروژه‌های اجتماعی</x:v>
      </x:c>
      <x:c r="D943" s="34" t="str">
        <x:v>H11</x:v>
      </x:c>
      <x:c r="E943" s="34" t="str">
        <x:v>دانشگاه؛ صنفی، رفاهی، اجرایی و رسانه‌ای</x:v>
      </x:c>
      <x:c r="F943" s="34" t="str">
        <x:v>DELEGATE/P2</x:v>
      </x:c>
      <x:c r="G943" s="34" t="str">
        <x:v>پروژه/طرح</x:v>
      </x:c>
      <x:c r="H943" s="39" t="str">
        <x:v>- ارتباط با دانشجویان</x:v>
      </x:c>
      <x:c r="I943" s="39" t="str">
        <x:v>پورتفو؛ واگذاری اجرا و تمرکز بر راهبری</x:v>
      </x:c>
      <x:c r="J943" s="39" t="str">
        <x:v>PMO/عملیات + روابط عمومی</x:v>
      </x:c>
      <x:c r="K943" s="39" t="str"/>
      <x:c r="L943" s="39" t="str">
        <x:v>AP:P611</x:v>
      </x:c>
      <x:c r="M943" s="39" t="str"/>
      <x:c r="N943" s="39" t="str">
        <x:v>نسخه پایه ۳۱۵۰</x:v>
      </x:c>
    </x:row>
    <x:row r="944" ht="34" customHeight="1">
      <x:c r="A944" s="34" t="str">
        <x:v>☐</x:v>
      </x:c>
      <x:c r="B944" s="34" t="str">
        <x:v>MI-0820</x:v>
      </x:c>
      <x:c r="C944" s="34" t="str">
        <x:v>M4 — اجرا، دانشگاه، صنعت و پروژه‌های اجتماعی</x:v>
      </x:c>
      <x:c r="D944" s="34" t="str">
        <x:v>H11</x:v>
      </x:c>
      <x:c r="E944" s="34" t="str">
        <x:v>دانشگاه؛ صنفی، رفاهی، اجرایی و رسانه‌ای</x:v>
      </x:c>
      <x:c r="F944" s="34" t="str">
        <x:v>DELEGATE/P2</x:v>
      </x:c>
      <x:c r="G944" s="34" t="str">
        <x:v>پروژه/طرح</x:v>
      </x:c>
      <x:c r="H944" s="39" t="str">
        <x:v>- گروه صنفی</x:v>
      </x:c>
      <x:c r="I944" s="39" t="str">
        <x:v>پورتفو؛ واگذاری اجرا و تمرکز بر راهبری</x:v>
      </x:c>
      <x:c r="J944" s="39" t="str">
        <x:v>PMO/عملیات + روابط عمومی</x:v>
      </x:c>
      <x:c r="K944" s="39" t="str"/>
      <x:c r="L944" s="39" t="str">
        <x:v>AP:P613</x:v>
      </x:c>
      <x:c r="M944" s="39" t="str"/>
      <x:c r="N944" s="39" t="str">
        <x:v>نسخه پایه ۳۱۵۰</x:v>
      </x:c>
    </x:row>
    <x:row r="945" ht="34" customHeight="1">
      <x:c r="A945" s="34" t="str">
        <x:v>☐</x:v>
      </x:c>
      <x:c r="B945" s="34" t="str">
        <x:v>MI-0821</x:v>
      </x:c>
      <x:c r="C945" s="34" t="str">
        <x:v>M4 — اجرا، دانشگاه، صنعت و پروژه‌های اجتماعی</x:v>
      </x:c>
      <x:c r="D945" s="34" t="str">
        <x:v>H11</x:v>
      </x:c>
      <x:c r="E945" s="34" t="str">
        <x:v>دانشگاه؛ صنفی، رفاهی، اجرایی و رسانه‌ای</x:v>
      </x:c>
      <x:c r="F945" s="34" t="str">
        <x:v>DELEGATE/P2</x:v>
      </x:c>
      <x:c r="G945" s="34" t="str">
        <x:v>پروژه/طرح</x:v>
      </x:c>
      <x:c r="H945" s="39" t="str">
        <x:v>- بیانیه ها</x:v>
      </x:c>
      <x:c r="I945" s="39" t="str">
        <x:v>پورتفو؛ واگذاری اجرا و تمرکز بر راهبری</x:v>
      </x:c>
      <x:c r="J945" s="39" t="str">
        <x:v>PMO/عملیات + روابط عمومی</x:v>
      </x:c>
      <x:c r="K945" s="39" t="str"/>
      <x:c r="L945" s="39" t="str">
        <x:v>AP:P614</x:v>
      </x:c>
      <x:c r="M945" s="39" t="str"/>
      <x:c r="N945" s="39" t="str">
        <x:v>نسخه پایه ۳۱۵۰</x:v>
      </x:c>
    </x:row>
    <x:row r="946" ht="34" customHeight="1">
      <x:c r="A946" s="34" t="str">
        <x:v>☐</x:v>
      </x:c>
      <x:c r="B946" s="34" t="str">
        <x:v>MI-0822</x:v>
      </x:c>
      <x:c r="C946" s="34" t="str">
        <x:v>M4 — اجرا، دانشگاه، صنعت و پروژه‌های اجتماعی</x:v>
      </x:c>
      <x:c r="D946" s="34" t="str">
        <x:v>H11</x:v>
      </x:c>
      <x:c r="E946" s="34" t="str">
        <x:v>دانشگاه؛ صنفی، رفاهی، اجرایی و رسانه‌ای</x:v>
      </x:c>
      <x:c r="F946" s="34" t="str">
        <x:v>DELEGATE/P2</x:v>
      </x:c>
      <x:c r="G946" s="34" t="str">
        <x:v>پروژه/طرح</x:v>
      </x:c>
      <x:c r="H946" s="39" t="str">
        <x:v>- کانال دانشگاه</x:v>
      </x:c>
      <x:c r="I946" s="39" t="str">
        <x:v>پورتفو؛ واگذاری اجرا و تمرکز بر راهبری</x:v>
      </x:c>
      <x:c r="J946" s="39" t="str">
        <x:v>PMO/عملیات + روابط عمومی</x:v>
      </x:c>
      <x:c r="K946" s="39" t="str"/>
      <x:c r="L946" s="39" t="str">
        <x:v>AP:P615</x:v>
      </x:c>
      <x:c r="M946" s="39" t="str"/>
      <x:c r="N946" s="39" t="str">
        <x:v>نسخه پایه ۳۱۵۰</x:v>
      </x:c>
    </x:row>
    <x:row r="947" ht="34" customHeight="1">
      <x:c r="A947" s="34" t="str">
        <x:v>☐</x:v>
      </x:c>
      <x:c r="B947" s="34" t="str">
        <x:v>MI-0823</x:v>
      </x:c>
      <x:c r="C947" s="34" t="str">
        <x:v>M4 — اجرا، دانشگاه، صنعت و پروژه‌های اجتماعی</x:v>
      </x:c>
      <x:c r="D947" s="34" t="str">
        <x:v>H11</x:v>
      </x:c>
      <x:c r="E947" s="34" t="str">
        <x:v>دانشگاه؛ صنفی، رفاهی، اجرایی و رسانه‌ای</x:v>
      </x:c>
      <x:c r="F947" s="34" t="str">
        <x:v>DELEGATE/P2</x:v>
      </x:c>
      <x:c r="G947" s="34" t="str">
        <x:v>پروژه/طرح</x:v>
      </x:c>
      <x:c r="H947" s="39" t="str">
        <x:v>- کانال دانشکده ها</x:v>
      </x:c>
      <x:c r="I947" s="39" t="str">
        <x:v>پورتفو؛ واگذاری اجرا و تمرکز بر راهبری</x:v>
      </x:c>
      <x:c r="J947" s="39" t="str">
        <x:v>PMO/عملیات + روابط عمومی</x:v>
      </x:c>
      <x:c r="K947" s="39" t="str"/>
      <x:c r="L947" s="39" t="str">
        <x:v>AP:P616</x:v>
      </x:c>
      <x:c r="M947" s="39" t="str"/>
      <x:c r="N947" s="39" t="str">
        <x:v>نسخه پایه ۳۱۵۰</x:v>
      </x:c>
    </x:row>
    <x:row r="948" ht="34" customHeight="1">
      <x:c r="A948" s="34" t="str">
        <x:v>☐</x:v>
      </x:c>
      <x:c r="B948" s="34" t="str">
        <x:v>MI-0824</x:v>
      </x:c>
      <x:c r="C948" s="34" t="str">
        <x:v>M4 — اجرا، دانشگاه، صنعت و پروژه‌های اجتماعی</x:v>
      </x:c>
      <x:c r="D948" s="34" t="str">
        <x:v>H11</x:v>
      </x:c>
      <x:c r="E948" s="34" t="str">
        <x:v>دانشگاه؛ صنفی، رفاهی، اجرایی و رسانه‌ای</x:v>
      </x:c>
      <x:c r="F948" s="34" t="str">
        <x:v>DELEGATE/P2</x:v>
      </x:c>
      <x:c r="G948" s="34" t="str">
        <x:v>پروژه/طرح</x:v>
      </x:c>
      <x:c r="H948" s="39" t="str">
        <x:v>- اطلاع رسانی بر خط</x:v>
      </x:c>
      <x:c r="I948" s="39" t="str">
        <x:v>پورتفو؛ واگذاری اجرا و تمرکز بر راهبری</x:v>
      </x:c>
      <x:c r="J948" s="39" t="str">
        <x:v>PMO/عملیات + روابط عمومی</x:v>
      </x:c>
      <x:c r="K948" s="39" t="str"/>
      <x:c r="L948" s="39" t="str">
        <x:v>AP:P617</x:v>
      </x:c>
      <x:c r="M948" s="39" t="str"/>
      <x:c r="N948" s="39" t="str">
        <x:v>نسخه پایه ۳۱۵۰</x:v>
      </x:c>
    </x:row>
    <x:row r="949" ht="34" customHeight="1">
      <x:c r="A949" s="34" t="str">
        <x:v>☐</x:v>
      </x:c>
      <x:c r="B949" s="34" t="str">
        <x:v>MI-0825</x:v>
      </x:c>
      <x:c r="C949" s="34" t="str">
        <x:v>M4 — اجرا، دانشگاه، صنعت و پروژه‌های اجتماعی</x:v>
      </x:c>
      <x:c r="D949" s="34" t="str">
        <x:v>H11</x:v>
      </x:c>
      <x:c r="E949" s="34" t="str">
        <x:v>دانشگاه؛ صنفی، رفاهی، اجرایی و رسانه‌ای</x:v>
      </x:c>
      <x:c r="F949" s="34" t="str">
        <x:v>DELEGATE/P2</x:v>
      </x:c>
      <x:c r="G949" s="34" t="str">
        <x:v>پروژه/طرح</x:v>
      </x:c>
      <x:c r="H949" s="39" t="str">
        <x:v>- پیگیری حوادث</x:v>
      </x:c>
      <x:c r="I949" s="39" t="str">
        <x:v>پورتفو؛ واگذاری اجرا و تمرکز بر راهبری</x:v>
      </x:c>
      <x:c r="J949" s="39" t="str">
        <x:v>PMO/عملیات + روابط عمومی</x:v>
      </x:c>
      <x:c r="K949" s="39" t="str"/>
      <x:c r="L949" s="39" t="str">
        <x:v>AP:P618</x:v>
      </x:c>
      <x:c r="M949" s="39" t="str"/>
      <x:c r="N949" s="39" t="str">
        <x:v>نسخه پایه ۳۱۵۰</x:v>
      </x:c>
    </x:row>
    <x:row r="950" ht="34" customHeight="1">
      <x:c r="A950" s="34" t="str">
        <x:v>☐</x:v>
      </x:c>
      <x:c r="B950" s="34" t="str">
        <x:v>MI-0826</x:v>
      </x:c>
      <x:c r="C950" s="34" t="str">
        <x:v>M4 — اجرا، دانشگاه، صنعت و پروژه‌های اجتماعی</x:v>
      </x:c>
      <x:c r="D950" s="34" t="str">
        <x:v>H11</x:v>
      </x:c>
      <x:c r="E950" s="34" t="str">
        <x:v>دانشگاه؛ صنفی، رفاهی، اجرایی و رسانه‌ای</x:v>
      </x:c>
      <x:c r="F950" s="34" t="str">
        <x:v>DELEGATE/P2</x:v>
      </x:c>
      <x:c r="G950" s="34" t="str">
        <x:v>پروژه/طرح</x:v>
      </x:c>
      <x:c r="H950" s="39" t="str">
        <x:v>- نظر سنجی</x:v>
      </x:c>
      <x:c r="I950" s="39" t="str">
        <x:v>پورتفو؛ واگذاری اجرا و تمرکز بر راهبری</x:v>
      </x:c>
      <x:c r="J950" s="39" t="str">
        <x:v>PMO/عملیات + روابط عمومی</x:v>
      </x:c>
      <x:c r="K950" s="39" t="str"/>
      <x:c r="L950" s="39" t="str">
        <x:v>AP:P619</x:v>
      </x:c>
      <x:c r="M950" s="39" t="str"/>
      <x:c r="N950" s="39" t="str">
        <x:v>نسخه پایه ۳۱۵۰</x:v>
      </x:c>
    </x:row>
    <x:row r="951" ht="34" customHeight="1">
      <x:c r="A951" s="34" t="str">
        <x:v>☐</x:v>
      </x:c>
      <x:c r="B951" s="34" t="str">
        <x:v>MI-0827</x:v>
      </x:c>
      <x:c r="C951" s="34" t="str">
        <x:v>M4 — اجرا، دانشگاه، صنعت و پروژه‌های اجتماعی</x:v>
      </x:c>
      <x:c r="D951" s="34" t="str">
        <x:v>H11</x:v>
      </x:c>
      <x:c r="E951" s="34" t="str">
        <x:v>دانشگاه؛ صنفی، رفاهی، اجرایی و رسانه‌ای</x:v>
      </x:c>
      <x:c r="F951" s="34" t="str">
        <x:v>DELEGATE/P2</x:v>
      </x:c>
      <x:c r="G951" s="34" t="str">
        <x:v>پروژه/طرح</x:v>
      </x:c>
      <x:c r="H951" s="39" t="str">
        <x:v>- کارزار</x:v>
      </x:c>
      <x:c r="I951" s="39" t="str">
        <x:v>پورتفو؛ واگذاری اجرا و تمرکز بر راهبری</x:v>
      </x:c>
      <x:c r="J951" s="39" t="str">
        <x:v>PMO/عملیات + روابط عمومی</x:v>
      </x:c>
      <x:c r="K951" s="39" t="str"/>
      <x:c r="L951" s="39" t="str">
        <x:v>AP:P620</x:v>
      </x:c>
      <x:c r="M951" s="39" t="str"/>
      <x:c r="N951" s="39" t="str">
        <x:v>نسخه پایه ۳۱۵۰</x:v>
      </x:c>
    </x:row>
    <x:row r="952" ht="34" customHeight="1">
      <x:c r="A952" s="34" t="str">
        <x:v>☐</x:v>
      </x:c>
      <x:c r="B952" s="34" t="str">
        <x:v>MI-0828</x:v>
      </x:c>
      <x:c r="C952" s="34" t="str">
        <x:v>M4 — اجرا، دانشگاه، صنعت و پروژه‌های اجتماعی</x:v>
      </x:c>
      <x:c r="D952" s="34" t="str">
        <x:v>H11</x:v>
      </x:c>
      <x:c r="E952" s="34" t="str">
        <x:v>دانشگاه؛ صنفی، رفاهی، اجرایی و رسانه‌ای</x:v>
      </x:c>
      <x:c r="F952" s="34" t="str">
        <x:v>DELEGATE/P2</x:v>
      </x:c>
      <x:c r="G952" s="34" t="str">
        <x:v>پروژه/طرح</x:v>
      </x:c>
      <x:c r="H952" s="39" t="str">
        <x:v>- تهیه کلیپ</x:v>
      </x:c>
      <x:c r="I952" s="39" t="str">
        <x:v>پورتفو؛ واگذاری اجرا و تمرکز بر راهبری</x:v>
      </x:c>
      <x:c r="J952" s="39" t="str">
        <x:v>PMO/عملیات + روابط عمومی</x:v>
      </x:c>
      <x:c r="K952" s="39" t="str"/>
      <x:c r="L952" s="39" t="str">
        <x:v>AP:P621</x:v>
      </x:c>
      <x:c r="M952" s="39" t="str"/>
      <x:c r="N952" s="39" t="str">
        <x:v>نسخه پایه ۳۱۵۰</x:v>
      </x:c>
    </x:row>
    <x:row r="953" ht="34" customHeight="1">
      <x:c r="A953" s="34" t="str">
        <x:v>☐</x:v>
      </x:c>
      <x:c r="B953" s="34" t="str">
        <x:v>MI-0829</x:v>
      </x:c>
      <x:c r="C953" s="34" t="str">
        <x:v>M4 — اجرا، دانشگاه، صنعت و پروژه‌های اجتماعی</x:v>
      </x:c>
      <x:c r="D953" s="34" t="str">
        <x:v>H11</x:v>
      </x:c>
      <x:c r="E953" s="34" t="str">
        <x:v>دانشگاه؛ صنفی، رفاهی، اجرایی و رسانه‌ای</x:v>
      </x:c>
      <x:c r="F953" s="34" t="str">
        <x:v>DELEGATE/P2</x:v>
      </x:c>
      <x:c r="G953" s="34" t="str">
        <x:v>پروژه/طرح</x:v>
      </x:c>
      <x:c r="H953" s="39" t="str">
        <x:v>- بازدید سرزده مسیولین به همراه تمامی اعضا شورا و یا نظرسنجی</x:v>
      </x:c>
      <x:c r="I953" s="39" t="str">
        <x:v>پورتفو؛ واگذاری اجرا و تمرکز بر راهبری</x:v>
      </x:c>
      <x:c r="J953" s="39" t="str">
        <x:v>PMO/عملیات + روابط عمومی</x:v>
      </x:c>
      <x:c r="K953" s="39" t="str"/>
      <x:c r="L953" s="39" t="str">
        <x:v>AP:P623</x:v>
      </x:c>
      <x:c r="M953" s="39" t="str"/>
      <x:c r="N953" s="39" t="str">
        <x:v>نسخه پایه ۳۱۵۰</x:v>
      </x:c>
    </x:row>
    <x:row r="954" ht="34" customHeight="1">
      <x:c r="A954" s="34" t="str">
        <x:v>☐</x:v>
      </x:c>
      <x:c r="B954" s="34" t="str">
        <x:v>MI-0830</x:v>
      </x:c>
      <x:c r="C954" s="34" t="str">
        <x:v>M4 — اجرا، دانشگاه، صنعت و پروژه‌های اجتماعی</x:v>
      </x:c>
      <x:c r="D954" s="34" t="str">
        <x:v>H11</x:v>
      </x:c>
      <x:c r="E954" s="34" t="str">
        <x:v>دانشگاه؛ صنفی، رفاهی، اجرایی و رسانه‌ای</x:v>
      </x:c>
      <x:c r="F954" s="34" t="str">
        <x:v>DELEGATE/P2</x:v>
      </x:c>
      <x:c r="G954" s="34" t="str">
        <x:v>پروژه/طرح</x:v>
      </x:c>
      <x:c r="H954" s="39" t="str">
        <x:v>- تصویر برداری از پیگیری ها و نامه ها و جلسات و کارهای عمرانی</x:v>
      </x:c>
      <x:c r="I954" s="39" t="str">
        <x:v>پورتفو؛ واگذاری اجرا و تمرکز بر راهبری</x:v>
      </x:c>
      <x:c r="J954" s="39" t="str">
        <x:v>PMO/عملیات + روابط عمومی</x:v>
      </x:c>
      <x:c r="K954" s="39" t="str"/>
      <x:c r="L954" s="39" t="str">
        <x:v>AP:P624</x:v>
      </x:c>
      <x:c r="M954" s="39" t="str"/>
      <x:c r="N954" s="39" t="str">
        <x:v>نسخه پایه ۳۱۵۰</x:v>
      </x:c>
    </x:row>
    <x:row r="955" ht="34" customHeight="1">
      <x:c r="A955" s="34" t="str">
        <x:v>☐</x:v>
      </x:c>
      <x:c r="B955" s="34" t="str">
        <x:v>MI-0831</x:v>
      </x:c>
      <x:c r="C955" s="34" t="str">
        <x:v>M4 — اجرا، دانشگاه، صنعت و پروژه‌های اجتماعی</x:v>
      </x:c>
      <x:c r="D955" s="34" t="str">
        <x:v>H11</x:v>
      </x:c>
      <x:c r="E955" s="34" t="str">
        <x:v>دانشگاه؛ صنفی، رفاهی، اجرایی و رسانه‌ای</x:v>
      </x:c>
      <x:c r="F955" s="34" t="str">
        <x:v>DELEGATE/P2</x:v>
      </x:c>
      <x:c r="G955" s="34" t="str">
        <x:v>پروژه/طرح</x:v>
      </x:c>
      <x:c r="H955" s="39" t="str">
        <x:v>- یک حساب VPN همچون انجمن های علمی به شورای صنفی دانشکده عمران</x:v>
      </x:c>
      <x:c r="I955" s="39" t="str">
        <x:v>پورتفو؛ واگذاری اجرا و تمرکز بر راهبری</x:v>
      </x:c>
      <x:c r="J955" s="39" t="str">
        <x:v>PMO/عملیات + روابط عمومی</x:v>
      </x:c>
      <x:c r="K955" s="39" t="str"/>
      <x:c r="L955" s="39" t="str">
        <x:v>AP:P625</x:v>
      </x:c>
      <x:c r="M955" s="39" t="str"/>
      <x:c r="N955" s="39" t="str">
        <x:v>نسخه پایه ۳۱۵۰</x:v>
      </x:c>
    </x:row>
    <x:row r="956" ht="34" customHeight="1">
      <x:c r="A956" s="34" t="str">
        <x:v>☐</x:v>
      </x:c>
      <x:c r="B956" s="34" t="str">
        <x:v>MI-0865</x:v>
      </x:c>
      <x:c r="C956" s="34" t="str">
        <x:v>M4 — اجرا، دانشگاه، صنعت و پروژه‌های اجتماعی</x:v>
      </x:c>
      <x:c r="D956" s="34" t="str">
        <x:v>H11</x:v>
      </x:c>
      <x:c r="E956" s="34" t="str">
        <x:v>دانشگاه؛ صنفی، رفاهی، اجرایی و رسانه‌ای</x:v>
      </x:c>
      <x:c r="F956" s="34" t="str">
        <x:v>DELEGATE/P2</x:v>
      </x:c>
      <x:c r="G956" s="34" t="str">
        <x:v>پروژه/طرح</x:v>
      </x:c>
      <x:c r="H956" s="39" t="str">
        <x:v>طرح غذای رایگان</x:v>
      </x:c>
      <x:c r="I956" s="39" t="str">
        <x:v>پورتفو؛ واگذاری اجرا و تمرکز بر راهبری</x:v>
      </x:c>
      <x:c r="J956" s="39" t="str">
        <x:v>PMO/عملیات + روابط عمومی</x:v>
      </x:c>
      <x:c r="K956" s="39" t="str"/>
      <x:c r="L956" s="39" t="str">
        <x:v>AP:P670</x:v>
      </x:c>
      <x:c r="M956" s="39" t="str"/>
      <x:c r="N956" s="39" t="str">
        <x:v>نسخه پایه ۳۱۵۰</x:v>
      </x:c>
    </x:row>
    <x:row r="957" ht="34" customHeight="1">
      <x:c r="A957" s="34" t="str">
        <x:v>☐</x:v>
      </x:c>
      <x:c r="B957" s="34" t="str">
        <x:v>MI-0880</x:v>
      </x:c>
      <x:c r="C957" s="34" t="str">
        <x:v>M4 — اجرا، دانشگاه، صنعت و پروژه‌های اجتماعی</x:v>
      </x:c>
      <x:c r="D957" s="34" t="str">
        <x:v>H11</x:v>
      </x:c>
      <x:c r="E957" s="34" t="str">
        <x:v>دانشگاه؛ صنفی، رفاهی، اجرایی و رسانه‌ای</x:v>
      </x:c>
      <x:c r="F957" s="34" t="str">
        <x:v>DELEGATE/P2</x:v>
      </x:c>
      <x:c r="G957" s="34" t="str">
        <x:v>پروژه/طرح</x:v>
      </x:c>
      <x:c r="H957" s="39" t="str">
        <x:v>تشکیل گروه متشکل از دبیر دبیران صنفی ، دبیران خوابگاه ها ، مسیول تاسیسات و مسیول خدمات</x:v>
      </x:c>
      <x:c r="I957" s="39" t="str">
        <x:v>پورتفو؛ واگذاری اجرا و تمرکز بر راهبری</x:v>
      </x:c>
      <x:c r="J957" s="39" t="str">
        <x:v>PMO/عملیات + روابط عمومی</x:v>
      </x:c>
      <x:c r="K957" s="39" t="str"/>
      <x:c r="L957" s="39" t="str">
        <x:v>AP:P687</x:v>
      </x:c>
      <x:c r="M957" s="39" t="str"/>
      <x:c r="N957" s="39" t="str">
        <x:v>نسخه پایه ۳۱۵۰</x:v>
      </x:c>
    </x:row>
    <x:row r="958" ht="34" customHeight="1">
      <x:c r="A958" s="34" t="str">
        <x:v>☐</x:v>
      </x:c>
      <x:c r="B958" s="34" t="str">
        <x:v>MI-0887</x:v>
      </x:c>
      <x:c r="C958" s="34" t="str">
        <x:v>M4 — اجرا، دانشگاه، صنعت و پروژه‌های اجتماعی</x:v>
      </x:c>
      <x:c r="D958" s="34" t="str">
        <x:v>H11</x:v>
      </x:c>
      <x:c r="E958" s="34" t="str">
        <x:v>دانشگاه؛ صنفی، رفاهی، اجرایی و رسانه‌ای</x:v>
      </x:c>
      <x:c r="F958" s="34" t="str">
        <x:v>DELEGATE/P2</x:v>
      </x:c>
      <x:c r="G958" s="34" t="str">
        <x:v>پروژه/طرح</x:v>
      </x:c>
      <x:c r="H958" s="39" t="str">
        <x:v>وضعیت ساختمان عسگر نژاد</x:v>
      </x:c>
      <x:c r="I958" s="39" t="str">
        <x:v>پورتفو؛ واگذاری اجرا و تمرکز بر راهبری</x:v>
      </x:c>
      <x:c r="J958" s="39" t="str">
        <x:v>PMO/عملیات + روابط عمومی</x:v>
      </x:c>
      <x:c r="K958" s="39" t="str"/>
      <x:c r="L958" s="39" t="str">
        <x:v>AP:P694</x:v>
      </x:c>
      <x:c r="M958" s="39" t="str"/>
      <x:c r="N958" s="39" t="str">
        <x:v>نسخه پایه ۳۱۵۰</x:v>
      </x:c>
    </x:row>
    <x:row r="959" ht="34" customHeight="1">
      <x:c r="A959" s="34" t="str">
        <x:v>☐</x:v>
      </x:c>
      <x:c r="B959" s="34" t="str">
        <x:v>MI-0939</x:v>
      </x:c>
      <x:c r="C959" s="34" t="str">
        <x:v>M4 — اجرا، دانشگاه، صنعت و پروژه‌های اجتماعی</x:v>
      </x:c>
      <x:c r="D959" s="34" t="str">
        <x:v>H11</x:v>
      </x:c>
      <x:c r="E959" s="34" t="str">
        <x:v>دانشگاه؛ صنفی، رفاهی، اجرایی و رسانه‌ای</x:v>
      </x:c>
      <x:c r="F959" s="34" t="str">
        <x:v>DELEGATE/P2</x:v>
      </x:c>
      <x:c r="G959" s="34" t="str">
        <x:v>پروژه/طرح</x:v>
      </x:c>
      <x:c r="H959" s="39" t="str">
        <x:v>سلف دانشگاه ها</x:v>
      </x:c>
      <x:c r="I959" s="39" t="str">
        <x:v>پورتفو؛ واگذاری اجرا و تمرکز بر راهبری</x:v>
      </x:c>
      <x:c r="J959" s="39" t="str">
        <x:v>PMO/عملیات + روابط عمومی</x:v>
      </x:c>
      <x:c r="K959" s="39" t="str"/>
      <x:c r="L959" s="39" t="str">
        <x:v>AP:P761؛ AP:P1210</x:v>
      </x:c>
      <x:c r="M959" s="39" t="str"/>
      <x:c r="N959" s="39" t="str">
        <x:v>نسخه پایه ۳۱۵۰</x:v>
      </x:c>
    </x:row>
    <x:row r="960" ht="34" customHeight="1">
      <x:c r="A960" s="34" t="str">
        <x:v>☐</x:v>
      </x:c>
      <x:c r="B960" s="34" t="str">
        <x:v>MI-0947</x:v>
      </x:c>
      <x:c r="C960" s="34" t="str">
        <x:v>M4 — اجرا، دانشگاه، صنعت و پروژه‌های اجتماعی</x:v>
      </x:c>
      <x:c r="D960" s="34" t="str">
        <x:v>H11</x:v>
      </x:c>
      <x:c r="E960" s="34" t="str">
        <x:v>دانشگاه؛ صنفی، رفاهی، اجرایی و رسانه‌ای</x:v>
      </x:c>
      <x:c r="F960" s="34" t="str">
        <x:v>DELEGATE/P2</x:v>
      </x:c>
      <x:c r="G960" s="34" t="str">
        <x:v>پروژه/طرح</x:v>
      </x:c>
      <x:c r="H960" s="39" t="str">
        <x:v>طرح پارکینگ خوابگاه امینیان</x:v>
      </x:c>
      <x:c r="I960" s="39" t="str">
        <x:v>پورتفو؛ واگذاری اجرا و تمرکز بر راهبری</x:v>
      </x:c>
      <x:c r="J960" s="39" t="str">
        <x:v>PMO/عملیات + روابط عمومی</x:v>
      </x:c>
      <x:c r="K960" s="39" t="str"/>
      <x:c r="L960" s="39" t="str">
        <x:v>AP:P769</x:v>
      </x:c>
      <x:c r="M960" s="39" t="str"/>
      <x:c r="N960" s="39" t="str">
        <x:v>نسخه پایه ۳۱۵۰</x:v>
      </x:c>
    </x:row>
    <x:row r="961" ht="34" customHeight="1">
      <x:c r="A961" s="34" t="str">
        <x:v>☐</x:v>
      </x:c>
      <x:c r="B961" s="34" t="str">
        <x:v>MI-0952</x:v>
      </x:c>
      <x:c r="C961" s="34" t="str">
        <x:v>M4 — اجرا، دانشگاه، صنعت و پروژه‌های اجتماعی</x:v>
      </x:c>
      <x:c r="D961" s="34" t="str">
        <x:v>H11</x:v>
      </x:c>
      <x:c r="E961" s="34" t="str">
        <x:v>دانشگاه؛ صنفی، رفاهی، اجرایی و رسانه‌ای</x:v>
      </x:c>
      <x:c r="F961" s="34" t="str">
        <x:v>DELEGATE/P2</x:v>
      </x:c>
      <x:c r="G961" s="34" t="str">
        <x:v>پروژه/طرح</x:v>
      </x:c>
      <x:c r="H961" s="39" t="str">
        <x:v>صحبت با اسنپ و تپسی و بستن قرارداد برای تقبل هزینه اندکی در قالب تخفیف دانشگاه اگر نشد فقط یه قرارداد سازمانی جهت تخفیف سفر های بین شهری و درون استانی و درون شهری استقبال از طرح رفت و برگشت یک مسیره برای تپسی</x:v>
      </x:c>
      <x:c r="I961" s="39" t="str">
        <x:v>پورتفو؛ واگذاری اجرا و تمرکز بر راهبری</x:v>
      </x:c>
      <x:c r="J961" s="39" t="str">
        <x:v>PMO/عملیات + روابط عمومی</x:v>
      </x:c>
      <x:c r="K961" s="39" t="str"/>
      <x:c r="L961" s="39" t="str">
        <x:v>AP:P774</x:v>
      </x:c>
      <x:c r="M961" s="39" t="str"/>
      <x:c r="N961" s="39" t="str">
        <x:v>نسخه پایه ۳۱۵۰</x:v>
      </x:c>
    </x:row>
    <x:row r="962" ht="34" customHeight="1">
      <x:c r="A962" s="34" t="str">
        <x:v>☐</x:v>
      </x:c>
      <x:c r="B962" s="34" t="str">
        <x:v>MI-0960</x:v>
      </x:c>
      <x:c r="C962" s="34" t="str">
        <x:v>M4 — اجرا، دانشگاه، صنعت و پروژه‌های اجتماعی</x:v>
      </x:c>
      <x:c r="D962" s="34" t="str">
        <x:v>H11</x:v>
      </x:c>
      <x:c r="E962" s="34" t="str">
        <x:v>دانشگاه؛ صنفی، رفاهی، اجرایی و رسانه‌ای</x:v>
      </x:c>
      <x:c r="F962" s="34" t="str">
        <x:v>DELEGATE/P2</x:v>
      </x:c>
      <x:c r="G962" s="34" t="str">
        <x:v>پروژه/طرح</x:v>
      </x:c>
      <x:c r="H962" s="39" t="str">
        <x:v>پارکینگ خوابگاه امینیان انتهای آن کنار ساختمان جدید برق</x:v>
      </x:c>
      <x:c r="I962" s="39" t="str">
        <x:v>پورتفو؛ واگذاری اجرا و تمرکز بر راهبری</x:v>
      </x:c>
      <x:c r="J962" s="39" t="str">
        <x:v>PMO/عملیات + روابط عمومی</x:v>
      </x:c>
      <x:c r="K962" s="39" t="str"/>
      <x:c r="L962" s="39" t="str">
        <x:v>AP:P786</x:v>
      </x:c>
      <x:c r="M962" s="39" t="str"/>
      <x:c r="N962" s="39" t="str">
        <x:v>نسخه پایه ۳۱۵۰</x:v>
      </x:c>
    </x:row>
    <x:row r="963" ht="34" customHeight="1">
      <x:c r="A963" s="34" t="str">
        <x:v>☐</x:v>
      </x:c>
      <x:c r="B963" s="34" t="str">
        <x:v>MI-0961</x:v>
      </x:c>
      <x:c r="C963" s="34" t="str">
        <x:v>M4 — اجرا، دانشگاه، صنعت و پروژه‌های اجتماعی</x:v>
      </x:c>
      <x:c r="D963" s="34" t="str">
        <x:v>H11</x:v>
      </x:c>
      <x:c r="E963" s="34" t="str">
        <x:v>دانشگاه؛ صنفی، رفاهی، اجرایی و رسانه‌ای</x:v>
      </x:c>
      <x:c r="F963" s="34" t="str">
        <x:v>DELEGATE/P2</x:v>
      </x:c>
      <x:c r="G963" s="34" t="str">
        <x:v>پروژه/طرح</x:v>
      </x:c>
      <x:c r="H963" s="39" t="str">
        <x:v>آماده سازی پروپوزال آن به استناد سیستم مدیریت این فضا در دانشگاه های دیگر و یا طرح های پیشنهادی خودی</x:v>
      </x:c>
      <x:c r="I963" s="39" t="str">
        <x:v>پورتفو؛ واگذاری اجرا و تمرکز بر راهبری</x:v>
      </x:c>
      <x:c r="J963" s="39" t="str">
        <x:v>PMO/عملیات + روابط عمومی</x:v>
      </x:c>
      <x:c r="K963" s="39" t="str"/>
      <x:c r="L963" s="39" t="str">
        <x:v>AP:P787</x:v>
      </x:c>
      <x:c r="M963" s="39" t="str"/>
      <x:c r="N963" s="39" t="str">
        <x:v>نسخه پایه ۳۱۵۰</x:v>
      </x:c>
    </x:row>
    <x:row r="964" ht="34" customHeight="1">
      <x:c r="A964" s="34" t="str">
        <x:v>☐</x:v>
      </x:c>
      <x:c r="B964" s="34" t="str">
        <x:v>MI-0963</x:v>
      </x:c>
      <x:c r="C964" s="34" t="str">
        <x:v>M4 — اجرا، دانشگاه، صنعت و پروژه‌های اجتماعی</x:v>
      </x:c>
      <x:c r="D964" s="34" t="str">
        <x:v>H11</x:v>
      </x:c>
      <x:c r="E964" s="34" t="str">
        <x:v>دانشگاه؛ صنفی، رفاهی، اجرایی و رسانه‌ای</x:v>
      </x:c>
      <x:c r="F964" s="34" t="str">
        <x:v>DELEGATE/P2</x:v>
      </x:c>
      <x:c r="G964" s="34" t="str">
        <x:v>پروژه/طرح</x:v>
      </x:c>
      <x:c r="H964" s="39" t="str">
        <x:v>نشست شورای صنفی با تاسیسات</x:v>
      </x:c>
      <x:c r="I964" s="39" t="str">
        <x:v>پورتفو؛ واگذاری اجرا و تمرکز بر راهبری</x:v>
      </x:c>
      <x:c r="J964" s="39" t="str">
        <x:v>PMO/عملیات + روابط عمومی</x:v>
      </x:c>
      <x:c r="K964" s="39" t="str"/>
      <x:c r="L964" s="39" t="str">
        <x:v>AP:P789</x:v>
      </x:c>
      <x:c r="M964" s="39" t="str"/>
      <x:c r="N964" s="39" t="str">
        <x:v>نسخه پایه ۳۱۵۰</x:v>
      </x:c>
    </x:row>
    <x:row r="965" ht="34" customHeight="1">
      <x:c r="A965" s="34" t="str">
        <x:v>☐</x:v>
      </x:c>
      <x:c r="B965" s="34" t="str">
        <x:v>MI-0964</x:v>
      </x:c>
      <x:c r="C965" s="34" t="str">
        <x:v>M4 — اجرا، دانشگاه، صنعت و پروژه‌های اجتماعی</x:v>
      </x:c>
      <x:c r="D965" s="34" t="str">
        <x:v>H11</x:v>
      </x:c>
      <x:c r="E965" s="34" t="str">
        <x:v>دانشگاه؛ صنفی، رفاهی، اجرایی و رسانه‌ای</x:v>
      </x:c>
      <x:c r="F965" s="34" t="str">
        <x:v>DELEGATE/P2</x:v>
      </x:c>
      <x:c r="G965" s="34" t="str">
        <x:v>پروژه/طرح</x:v>
      </x:c>
      <x:c r="H965" s="39" t="str">
        <x:v>سردوش های حمام های خوابگاه</x:v>
      </x:c>
      <x:c r="I965" s="39" t="str">
        <x:v>پورتفو؛ واگذاری اجرا و تمرکز بر راهبری</x:v>
      </x:c>
      <x:c r="J965" s="39" t="str">
        <x:v>PMO/عملیات + روابط عمومی</x:v>
      </x:c>
      <x:c r="K965" s="39" t="str"/>
      <x:c r="L965" s="39" t="str">
        <x:v>AP:P790</x:v>
      </x:c>
      <x:c r="M965" s="39" t="str"/>
      <x:c r="N965" s="39" t="str">
        <x:v>نسخه پایه ۳۱۵۰</x:v>
      </x:c>
    </x:row>
    <x:row r="966" ht="34" customHeight="1">
      <x:c r="A966" s="34" t="str">
        <x:v>☐</x:v>
      </x:c>
      <x:c r="B966" s="34" t="str">
        <x:v>MI-0965</x:v>
      </x:c>
      <x:c r="C966" s="34" t="str">
        <x:v>M4 — اجرا، دانشگاه، صنعت و پروژه‌های اجتماعی</x:v>
      </x:c>
      <x:c r="D966" s="34" t="str">
        <x:v>H11</x:v>
      </x:c>
      <x:c r="E966" s="34" t="str">
        <x:v>دانشگاه؛ صنفی، رفاهی، اجرایی و رسانه‌ای</x:v>
      </x:c>
      <x:c r="F966" s="34" t="str">
        <x:v>DELEGATE/P2</x:v>
      </x:c>
      <x:c r="G966" s="34" t="str">
        <x:v>پروژه/طرح</x:v>
      </x:c>
      <x:c r="H966" s="39" t="str">
        <x:v>سنسور قطعی آب روی فلکه اصلی بزارن ، قطعی آب ، هشدار ، گفته بشه از آب ذخیره استفاده میشه ، دقت و رعایت در مصرف</x:v>
      </x:c>
      <x:c r="I966" s="39" t="str">
        <x:v>پورتفو؛ واگذاری اجرا و تمرکز بر راهبری</x:v>
      </x:c>
      <x:c r="J966" s="39" t="str">
        <x:v>PMO/عملیات + روابط عمومی</x:v>
      </x:c>
      <x:c r="K966" s="39" t="str"/>
      <x:c r="L966" s="39" t="str">
        <x:v>AP:P791</x:v>
      </x:c>
      <x:c r="M966" s="39" t="str"/>
      <x:c r="N966" s="39" t="str">
        <x:v>نسخه پایه ۳۱۵۰</x:v>
      </x:c>
    </x:row>
    <x:row r="967" ht="34" customHeight="1">
      <x:c r="A967" s="34" t="str">
        <x:v>☐</x:v>
      </x:c>
      <x:c r="B967" s="34" t="str">
        <x:v>MI-0967</x:v>
      </x:c>
      <x:c r="C967" s="34" t="str">
        <x:v>M4 — اجرا، دانشگاه، صنعت و پروژه‌های اجتماعی</x:v>
      </x:c>
      <x:c r="D967" s="34" t="str">
        <x:v>H11</x:v>
      </x:c>
      <x:c r="E967" s="34" t="str">
        <x:v>دانشگاه؛ صنفی، رفاهی، اجرایی و رسانه‌ای</x:v>
      </x:c>
      <x:c r="F967" s="34" t="str">
        <x:v>DELEGATE/P2</x:v>
      </x:c>
      <x:c r="G967" s="34" t="str">
        <x:v>پروژه/طرح</x:v>
      </x:c>
      <x:c r="H967" s="39" t="str">
        <x:v>طرح مناسب شیب دهی به کف حمام</x:v>
      </x:c>
      <x:c r="I967" s="39" t="str">
        <x:v>پورتفو؛ واگذاری اجرا و تمرکز بر راهبری</x:v>
      </x:c>
      <x:c r="J967" s="39" t="str">
        <x:v>PMO/عملیات + روابط عمومی</x:v>
      </x:c>
      <x:c r="K967" s="39" t="str"/>
      <x:c r="L967" s="39" t="str">
        <x:v>AP:P793</x:v>
      </x:c>
      <x:c r="M967" s="39" t="str"/>
      <x:c r="N967" s="39" t="str">
        <x:v>نسخه پایه ۳۱۵۰</x:v>
      </x:c>
    </x:row>
    <x:row r="968" ht="34" customHeight="1">
      <x:c r="A968" s="34" t="str">
        <x:v>☐</x:v>
      </x:c>
      <x:c r="B968" s="34" t="str">
        <x:v>MI-0970</x:v>
      </x:c>
      <x:c r="C968" s="34" t="str">
        <x:v>M4 — اجرا، دانشگاه، صنعت و پروژه‌های اجتماعی</x:v>
      </x:c>
      <x:c r="D968" s="34" t="str">
        <x:v>H11</x:v>
      </x:c>
      <x:c r="E968" s="34" t="str">
        <x:v>دانشگاه؛ صنفی، رفاهی، اجرایی و رسانه‌ای</x:v>
      </x:c>
      <x:c r="F968" s="34" t="str">
        <x:v>DELEGATE/P2</x:v>
      </x:c>
      <x:c r="G968" s="34" t="str">
        <x:v>پروژه/طرح</x:v>
      </x:c>
      <x:c r="H968" s="39" t="str">
        <x:v>ایجاد روشویی مخصوص اصلاح برای هر کدام از طبقات بلوک 2</x:v>
      </x:c>
      <x:c r="I968" s="39" t="str">
        <x:v>پورتفو؛ واگذاری اجرا و تمرکز بر راهبری</x:v>
      </x:c>
      <x:c r="J968" s="39" t="str">
        <x:v>PMO/عملیات + روابط عمومی</x:v>
      </x:c>
      <x:c r="K968" s="39" t="str"/>
      <x:c r="L968" s="39" t="str">
        <x:v>AP:P796</x:v>
      </x:c>
      <x:c r="M968" s="39" t="str"/>
      <x:c r="N968" s="39" t="str">
        <x:v>نسخه پایه ۳۱۵۰</x:v>
      </x:c>
    </x:row>
    <x:row r="969" ht="34" customHeight="1">
      <x:c r="A969" s="34" t="str">
        <x:v>☐</x:v>
      </x:c>
      <x:c r="B969" s="34" t="str">
        <x:v>MI-0972</x:v>
      </x:c>
      <x:c r="C969" s="34" t="str">
        <x:v>M4 — اجرا، دانشگاه، صنعت و پروژه‌های اجتماعی</x:v>
      </x:c>
      <x:c r="D969" s="34" t="str">
        <x:v>H11</x:v>
      </x:c>
      <x:c r="E969" s="34" t="str">
        <x:v>دانشگاه؛ صنفی، رفاهی، اجرایی و رسانه‌ای</x:v>
      </x:c>
      <x:c r="F969" s="34" t="str">
        <x:v>DELEGATE/P2</x:v>
      </x:c>
      <x:c r="G969" s="34" t="str">
        <x:v>پروژه/طرح</x:v>
      </x:c>
      <x:c r="H969" s="39" t="str">
        <x:v>طرح سردوش های حمام بدون آسیب پذیری</x:v>
      </x:c>
      <x:c r="I969" s="39" t="str">
        <x:v>پورتفو؛ واگذاری اجرا و تمرکز بر راهبری</x:v>
      </x:c>
      <x:c r="J969" s="39" t="str">
        <x:v>PMO/عملیات + روابط عمومی</x:v>
      </x:c>
      <x:c r="K969" s="39" t="str"/>
      <x:c r="L969" s="39" t="str">
        <x:v>AP:P800</x:v>
      </x:c>
      <x:c r="M969" s="39" t="str"/>
      <x:c r="N969" s="39" t="str">
        <x:v>نسخه پایه ۳۱۵۰</x:v>
      </x:c>
    </x:row>
    <x:row r="970" ht="34" customHeight="1">
      <x:c r="A970" s="34" t="str">
        <x:v>☐</x:v>
      </x:c>
      <x:c r="B970" s="34" t="str">
        <x:v>MI-1004</x:v>
      </x:c>
      <x:c r="C970" s="34" t="str">
        <x:v>M4 — اجرا، دانشگاه، صنعت و پروژه‌های اجتماعی</x:v>
      </x:c>
      <x:c r="D970" s="34" t="str">
        <x:v>H11</x:v>
      </x:c>
      <x:c r="E970" s="34" t="str">
        <x:v>دانشگاه؛ صنفی، رفاهی، اجرایی و رسانه‌ای</x:v>
      </x:c>
      <x:c r="F970" s="34" t="str">
        <x:v>DELEGATE/P2</x:v>
      </x:c>
      <x:c r="G970" s="34" t="str">
        <x:v>پروژه/طرح</x:v>
      </x:c>
      <x:c r="H970" s="39" t="str">
        <x:v>ایجاد راهکارهای جایگزین برای وی پی ان وای فای</x:v>
      </x:c>
      <x:c r="I970" s="39" t="str">
        <x:v>پورتفو؛ واگذاری اجرا و تمرکز بر راهبری</x:v>
      </x:c>
      <x:c r="J970" s="39" t="str">
        <x:v>PMO/عملیات + روابط عمومی</x:v>
      </x:c>
      <x:c r="K970" s="39" t="str"/>
      <x:c r="L970" s="39" t="str">
        <x:v>AP:P837؛ AP:P845</x:v>
      </x:c>
      <x:c r="M970" s="39" t="str"/>
      <x:c r="N970" s="39" t="str">
        <x:v>نسخه پایه ۳۱۵۰</x:v>
      </x:c>
    </x:row>
    <x:row r="971" ht="34" customHeight="1">
      <x:c r="A971" s="34" t="str">
        <x:v>☐</x:v>
      </x:c>
      <x:c r="B971" s="34" t="str">
        <x:v>MI-1160</x:v>
      </x:c>
      <x:c r="C971" s="34" t="str">
        <x:v>M4 — اجرا، دانشگاه، صنعت و پروژه‌های اجتماعی</x:v>
      </x:c>
      <x:c r="D971" s="34" t="str">
        <x:v>H11</x:v>
      </x:c>
      <x:c r="E971" s="34" t="str">
        <x:v>دانشگاه؛ صنفی، رفاهی، اجرایی و رسانه‌ای</x:v>
      </x:c>
      <x:c r="F971" s="34" t="str">
        <x:v>DELEGATE/P2</x:v>
      </x:c>
      <x:c r="G971" s="34" t="str">
        <x:v>پروژه/طرح</x:v>
      </x:c>
      <x:c r="H971" s="39" t="str">
        <x:v>حوزه پروژه صابر خالقی</x:v>
      </x:c>
      <x:c r="I971" s="39" t="str">
        <x:v>پورتفو؛ واگذاری اجرا و تمرکز بر راهبری</x:v>
      </x:c>
      <x:c r="J971" s="39" t="str">
        <x:v>PMO/عملیات + روابط عمومی</x:v>
      </x:c>
      <x:c r="K971" s="39" t="str"/>
      <x:c r="L971" s="39" t="str">
        <x:v>AP:P1013</x:v>
      </x:c>
      <x:c r="M971" s="39" t="str"/>
      <x:c r="N971" s="39" t="str">
        <x:v>نسخه پایه ۳۱۵۰</x:v>
      </x:c>
    </x:row>
    <x:row r="972" ht="34" customHeight="1">
      <x:c r="A972" s="34" t="str">
        <x:v>☐</x:v>
      </x:c>
      <x:c r="B972" s="34" t="str">
        <x:v>MI-1161</x:v>
      </x:c>
      <x:c r="C972" s="34" t="str">
        <x:v>M4 — اجرا، دانشگاه، صنعت و پروژه‌های اجتماعی</x:v>
      </x:c>
      <x:c r="D972" s="34" t="str">
        <x:v>H11</x:v>
      </x:c>
      <x:c r="E972" s="34" t="str">
        <x:v>دانشگاه؛ صنفی، رفاهی، اجرایی و رسانه‌ای</x:v>
      </x:c>
      <x:c r="F972" s="34" t="str">
        <x:v>DELEGATE/P2</x:v>
      </x:c>
      <x:c r="G972" s="34" t="str">
        <x:v>پروژه/طرح</x:v>
      </x:c>
      <x:c r="H972" s="39" t="str">
        <x:v>صابر</x:v>
      </x:c>
      <x:c r="I972" s="39" t="str">
        <x:v>پورتفو؛ واگذاری اجرا و تمرکز بر راهبری</x:v>
      </x:c>
      <x:c r="J972" s="39" t="str">
        <x:v>PMO/عملیات + روابط عمومی</x:v>
      </x:c>
      <x:c r="K972" s="39" t="str"/>
      <x:c r="L972" s="39" t="str">
        <x:v>AP:P1014</x:v>
      </x:c>
      <x:c r="M972" s="39" t="str"/>
      <x:c r="N972" s="39" t="str">
        <x:v>نسخه پایه ۳۱۵۰</x:v>
      </x:c>
    </x:row>
    <x:row r="973" ht="34" customHeight="1">
      <x:c r="A973" s="34" t="str">
        <x:v>☐</x:v>
      </x:c>
      <x:c r="B973" s="34" t="str">
        <x:v>MI-1219</x:v>
      </x:c>
      <x:c r="C973" s="34" t="str">
        <x:v>M4 — اجرا، دانشگاه، صنعت و پروژه‌های اجتماعی</x:v>
      </x:c>
      <x:c r="D973" s="34" t="str">
        <x:v>H11</x:v>
      </x:c>
      <x:c r="E973" s="34" t="str">
        <x:v>دانشگاه؛ صنفی، رفاهی، اجرایی و رسانه‌ای</x:v>
      </x:c>
      <x:c r="F973" s="34" t="str">
        <x:v>DELEGATE/P2</x:v>
      </x:c>
      <x:c r="G973" s="34" t="str">
        <x:v>پروژه/طرح</x:v>
      </x:c>
      <x:c r="H973" s="39" t="str">
        <x:v>پروپوزال کافه درون دانشگاهی</x:v>
      </x:c>
      <x:c r="I973" s="39" t="str">
        <x:v>پورتفو؛ واگذاری اجرا و تمرکز بر راهبری</x:v>
      </x:c>
      <x:c r="J973" s="39" t="str">
        <x:v>PMO/عملیات + روابط عمومی</x:v>
      </x:c>
      <x:c r="K973" s="39" t="str"/>
      <x:c r="L973" s="39" t="str">
        <x:v>AP:P1082</x:v>
      </x:c>
      <x:c r="M973" s="39" t="str"/>
      <x:c r="N973" s="39" t="str">
        <x:v>نسخه پایه ۳۱۵۰</x:v>
      </x:c>
    </x:row>
    <x:row r="974" ht="34" customHeight="1">
      <x:c r="A974" s="34" t="str">
        <x:v>☐</x:v>
      </x:c>
      <x:c r="B974" s="34" t="str">
        <x:v>MI-1220</x:v>
      </x:c>
      <x:c r="C974" s="34" t="str">
        <x:v>M4 — اجرا، دانشگاه، صنعت و پروژه‌های اجتماعی</x:v>
      </x:c>
      <x:c r="D974" s="34" t="str">
        <x:v>H11</x:v>
      </x:c>
      <x:c r="E974" s="34" t="str">
        <x:v>دانشگاه؛ صنفی، رفاهی، اجرایی و رسانه‌ای</x:v>
      </x:c>
      <x:c r="F974" s="34" t="str">
        <x:v>DELEGATE/P2</x:v>
      </x:c>
      <x:c r="G974" s="34" t="str">
        <x:v>پروژه/طرح</x:v>
      </x:c>
      <x:c r="H974" s="39" t="str">
        <x:v>پروژه مرکز تحقیقاتی سراج</x:v>
      </x:c>
      <x:c r="I974" s="39" t="str">
        <x:v>پورتفو؛ واگذاری اجرا و تمرکز بر راهبری</x:v>
      </x:c>
      <x:c r="J974" s="39" t="str">
        <x:v>PMO/عملیات + روابط عمومی</x:v>
      </x:c>
      <x:c r="K974" s="39" t="str"/>
      <x:c r="L974" s="39" t="str">
        <x:v>AP:P1083</x:v>
      </x:c>
      <x:c r="M974" s="39" t="str"/>
      <x:c r="N974" s="39" t="str">
        <x:v>نسخه پایه ۳۱۵۰</x:v>
      </x:c>
    </x:row>
    <x:row r="975" ht="34" customHeight="1">
      <x:c r="A975" s="34" t="str">
        <x:v>☐</x:v>
      </x:c>
      <x:c r="B975" s="34" t="str">
        <x:v>MI-1231</x:v>
      </x:c>
      <x:c r="C975" s="34" t="str">
        <x:v>M4 — اجرا، دانشگاه، صنعت و پروژه‌های اجتماعی</x:v>
      </x:c>
      <x:c r="D975" s="34" t="str">
        <x:v>H11</x:v>
      </x:c>
      <x:c r="E975" s="34" t="str">
        <x:v>دانشگاه؛ صنفی، رفاهی، اجرایی و رسانه‌ای</x:v>
      </x:c>
      <x:c r="F975" s="34" t="str">
        <x:v>DELEGATE/P2</x:v>
      </x:c>
      <x:c r="G975" s="34" t="str">
        <x:v>پروژه/طرح</x:v>
      </x:c>
      <x:c r="H975" s="39" t="str">
        <x:v>سلسله نشست های هییات دانشجویی استان و شهرستان</x:v>
      </x:c>
      <x:c r="I975" s="39" t="str">
        <x:v>پورتفو؛ واگذاری اجرا و تمرکز بر راهبری</x:v>
      </x:c>
      <x:c r="J975" s="39" t="str">
        <x:v>PMO/عملیات + روابط عمومی</x:v>
      </x:c>
      <x:c r="K975" s="39" t="str"/>
      <x:c r="L975" s="39" t="str">
        <x:v>AP:P1095</x:v>
      </x:c>
      <x:c r="M975" s="39" t="str"/>
      <x:c r="N975" s="39" t="str">
        <x:v>نسخه پایه ۳۱۵۰</x:v>
      </x:c>
    </x:row>
    <x:row r="976" ht="34" customHeight="1">
      <x:c r="A976" s="34" t="str">
        <x:v>☐</x:v>
      </x:c>
      <x:c r="B976" s="34" t="str">
        <x:v>MI-1798</x:v>
      </x:c>
      <x:c r="C976" s="34" t="str">
        <x:v>M4 — اجرا، دانشگاه، صنعت و پروژه‌های اجتماعی</x:v>
      </x:c>
      <x:c r="D976" s="34" t="str">
        <x:v>H11</x:v>
      </x:c>
      <x:c r="E976" s="34" t="str">
        <x:v>دانشگاه؛ صنفی، رفاهی، اجرایی و رسانه‌ای</x:v>
      </x:c>
      <x:c r="F976" s="34" t="str">
        <x:v>DELEGATE/P2</x:v>
      </x:c>
      <x:c r="G976" s="34" t="str">
        <x:v>پروژه/طرح</x:v>
      </x:c>
      <x:c r="H976" s="39" t="str">
        <x:v>پروژه های دانشگاهی</x:v>
      </x:c>
      <x:c r="I976" s="39" t="str">
        <x:v>پورتفو؛ واگذاری اجرا و تمرکز بر راهبری</x:v>
      </x:c>
      <x:c r="J976" s="39" t="str">
        <x:v>PMO/عملیات + روابط عمومی</x:v>
      </x:c>
      <x:c r="K976" s="39" t="str"/>
      <x:c r="L976" s="39" t="str">
        <x:v>E112:P306</x:v>
      </x:c>
      <x:c r="M976" s="39" t="str"/>
      <x:c r="N976" s="39" t="str">
        <x:v>نسخه پایه ۳۱۵۰</x:v>
      </x:c>
    </x:row>
    <x:row r="977" ht="34" customHeight="1">
      <x:c r="A977" s="34" t="str">
        <x:v>☐</x:v>
      </x:c>
      <x:c r="B977" s="34" t="str">
        <x:v>MI-2691</x:v>
      </x:c>
      <x:c r="C977" s="34" t="str">
        <x:v>M4 — اجرا، دانشگاه، صنعت و پروژه‌های اجتماعی</x:v>
      </x:c>
      <x:c r="D977" s="34" t="str">
        <x:v>H11</x:v>
      </x:c>
      <x:c r="E977" s="34" t="str">
        <x:v>دانشگاه؛ صنفی، رفاهی، اجرایی و رسانه‌ای</x:v>
      </x:c>
      <x:c r="F977" s="34" t="str">
        <x:v>DELEGATE/P2</x:v>
      </x:c>
      <x:c r="G977" s="34" t="str">
        <x:v>پروژه/طرح</x:v>
      </x:c>
      <x:c r="H977" s="39" t="str">
        <x:v>کارگروه فناوری دانش آموزان ایجاد کرد.</x:v>
      </x:c>
      <x:c r="I977" s="39" t="str">
        <x:v>پورتفو؛ واگذاری اجرا و تمرکز بر راهبری</x:v>
      </x:c>
      <x:c r="J977" s="39" t="str">
        <x:v>PMO/عملیات + روابط عمومی</x:v>
      </x:c>
      <x:c r="K977" s="39" t="str"/>
      <x:c r="L977" s="39" t="str">
        <x:v>E112:P2659</x:v>
      </x:c>
      <x:c r="M977" s="39" t="str"/>
      <x:c r="N977" s="39" t="str">
        <x:v>نسخه پایه ۳۱۵۰</x:v>
      </x:c>
    </x:row>
    <x:row r="978" ht="34" customHeight="1">
      <x:c r="A978" s="34" t="str">
        <x:v>☐</x:v>
      </x:c>
      <x:c r="B978" s="34" t="str">
        <x:v>MI-0203</x:v>
      </x:c>
      <x:c r="C978" s="34" t="str">
        <x:v>M4 — اجرا، دانشگاه، صنعت و پروژه‌های اجتماعی</x:v>
      </x:c>
      <x:c r="D978" s="34" t="str">
        <x:v>H11</x:v>
      </x:c>
      <x:c r="E978" s="34" t="str">
        <x:v>دانشگاه؛ صنفی، رفاهی، اجرایی و رسانه‌ای</x:v>
      </x:c>
      <x:c r="F978" s="34" t="str">
        <x:v>DELEGATE/P2</x:v>
      </x:c>
      <x:c r="G978" s="34" t="str">
        <x:v>مهارت/یادگیری</x:v>
      </x:c>
      <x:c r="H978" s="39" t="str">
        <x:v>آموزش دانشگاهی و علمی</x:v>
      </x:c>
      <x:c r="I978" s="39" t="str">
        <x:v>پورتفو؛ واگذاری اجرا و تمرکز بر راهبری</x:v>
      </x:c>
      <x:c r="J978" s="39" t="str">
        <x:v>PMO/عملیات + روابط عمومی</x:v>
      </x:c>
      <x:c r="K978" s="39" t="str"/>
      <x:c r="L978" s="39" t="str">
        <x:v>PL:R218</x:v>
      </x:c>
      <x:c r="M978" s="39" t="str"/>
      <x:c r="N978" s="39" t="str">
        <x:v>نسخه پایه ۳۱۵۰</x:v>
      </x:c>
    </x:row>
    <x:row r="979" ht="34" customHeight="1">
      <x:c r="A979" s="34" t="str">
        <x:v>☐</x:v>
      </x:c>
      <x:c r="B979" s="34" t="str">
        <x:v>MI-0254</x:v>
      </x:c>
      <x:c r="C979" s="34" t="str">
        <x:v>M4 — اجرا، دانشگاه، صنعت و پروژه‌های اجتماعی</x:v>
      </x:c>
      <x:c r="D979" s="34" t="str">
        <x:v>H11</x:v>
      </x:c>
      <x:c r="E979" s="34" t="str">
        <x:v>دانشگاه؛ صنفی، رفاهی، اجرایی و رسانه‌ای</x:v>
      </x:c>
      <x:c r="F979" s="34" t="str">
        <x:v>DELEGATE/P2</x:v>
      </x:c>
      <x:c r="G979" s="34" t="str">
        <x:v>مهارت/یادگیری</x:v>
      </x:c>
      <x:c r="H979" s="39" t="str">
        <x:v>نحوه درخواست کار دانشجویی</x:v>
      </x:c>
      <x:c r="I979" s="39" t="str">
        <x:v>پورتفو؛ واگذاری اجرا و تمرکز بر راهبری</x:v>
      </x:c>
      <x:c r="J979" s="39" t="str">
        <x:v>PMO/عملیات + روابط عمومی</x:v>
      </x:c>
      <x:c r="K979" s="39" t="str"/>
      <x:c r="L979" s="39" t="str">
        <x:v>AP:P25</x:v>
      </x:c>
      <x:c r="M979" s="39" t="str"/>
      <x:c r="N979" s="39" t="str">
        <x:v>نسخه پایه ۳۱۵۰</x:v>
      </x:c>
    </x:row>
    <x:row r="980" ht="34" customHeight="1">
      <x:c r="A980" s="34" t="str">
        <x:v>☐</x:v>
      </x:c>
      <x:c r="B980" s="34" t="str">
        <x:v>MI-0258</x:v>
      </x:c>
      <x:c r="C980" s="34" t="str">
        <x:v>M4 — اجرا، دانشگاه، صنعت و پروژه‌های اجتماعی</x:v>
      </x:c>
      <x:c r="D980" s="34" t="str">
        <x:v>H11</x:v>
      </x:c>
      <x:c r="E980" s="34" t="str">
        <x:v>دانشگاه؛ صنفی، رفاهی، اجرایی و رسانه‌ای</x:v>
      </x:c>
      <x:c r="F980" s="34" t="str">
        <x:v>DELEGATE/P2</x:v>
      </x:c>
      <x:c r="G980" s="34" t="str">
        <x:v>مهارت/یادگیری</x:v>
      </x:c>
      <x:c r="H980" s="39" t="str">
        <x:v>مرکز آموزشی توسط دانشجو اداره بشه با کاظمی</x:v>
      </x:c>
      <x:c r="I980" s="39" t="str">
        <x:v>پورتفو؛ واگذاری اجرا و تمرکز بر راهبری</x:v>
      </x:c>
      <x:c r="J980" s="39" t="str">
        <x:v>PMO/عملیات + روابط عمومی</x:v>
      </x:c>
      <x:c r="K980" s="39" t="str"/>
      <x:c r="L980" s="39" t="str">
        <x:v>AP:P29</x:v>
      </x:c>
      <x:c r="M980" s="39" t="str"/>
      <x:c r="N980" s="39" t="str">
        <x:v>نسخه پایه ۳۱۵۰</x:v>
      </x:c>
    </x:row>
    <x:row r="981" ht="34" customHeight="1">
      <x:c r="A981" s="34" t="str">
        <x:v>☐</x:v>
      </x:c>
      <x:c r="B981" s="34" t="str">
        <x:v>MI-0612</x:v>
      </x:c>
      <x:c r="C981" s="34" t="str">
        <x:v>M4 — اجرا، دانشگاه، صنعت و پروژه‌های اجتماعی</x:v>
      </x:c>
      <x:c r="D981" s="34" t="str">
        <x:v>H11</x:v>
      </x:c>
      <x:c r="E981" s="34" t="str">
        <x:v>دانشگاه؛ صنفی، رفاهی، اجرایی و رسانه‌ای</x:v>
      </x:c>
      <x:c r="F981" s="34" t="str">
        <x:v>DELEGATE/P2</x:v>
      </x:c>
      <x:c r="G981" s="34" t="str">
        <x:v>مهارت/یادگیری</x:v>
      </x:c>
      <x:c r="H981" s="39" t="str">
        <x:v>علمداری</x:v>
      </x:c>
      <x:c r="I981" s="39" t="str">
        <x:v>پورتفو؛ واگذاری اجرا و تمرکز بر راهبری</x:v>
      </x:c>
      <x:c r="J981" s="39" t="str">
        <x:v>PMO/عملیات + روابط عمومی</x:v>
      </x:c>
      <x:c r="K981" s="39" t="str"/>
      <x:c r="L981" s="39" t="str">
        <x:v>AP:P398؛ AP:P1050</x:v>
      </x:c>
      <x:c r="M981" s="39" t="str"/>
      <x:c r="N981" s="39" t="str">
        <x:v>نسخه پایه ۳۱۵۰</x:v>
      </x:c>
    </x:row>
    <x:row r="982" ht="34" customHeight="1">
      <x:c r="A982" s="34" t="str">
        <x:v>☐</x:v>
      </x:c>
      <x:c r="B982" s="34" t="str">
        <x:v>MI-0652</x:v>
      </x:c>
      <x:c r="C982" s="34" t="str">
        <x:v>M4 — اجرا، دانشگاه، صنعت و پروژه‌های اجتماعی</x:v>
      </x:c>
      <x:c r="D982" s="34" t="str">
        <x:v>H11</x:v>
      </x:c>
      <x:c r="E982" s="34" t="str">
        <x:v>دانشگاه؛ صنفی، رفاهی، اجرایی و رسانه‌ای</x:v>
      </x:c>
      <x:c r="F982" s="34" t="str">
        <x:v>DELEGATE/P2</x:v>
      </x:c>
      <x:c r="G982" s="34" t="str">
        <x:v>مهارت/یادگیری</x:v>
      </x:c>
      <x:c r="H982" s="39" t="str">
        <x:v>مسیول کارگاه آموزشی</x:v>
      </x:c>
      <x:c r="I982" s="39" t="str">
        <x:v>پورتفو؛ واگذاری اجرا و تمرکز بر راهبری</x:v>
      </x:c>
      <x:c r="J982" s="39" t="str">
        <x:v>PMO/عملیات + روابط عمومی</x:v>
      </x:c>
      <x:c r="K982" s="39" t="str"/>
      <x:c r="L982" s="39" t="str">
        <x:v>AP:P439</x:v>
      </x:c>
      <x:c r="M982" s="39" t="str"/>
      <x:c r="N982" s="39" t="str">
        <x:v>نسخه پایه ۳۱۵۰</x:v>
      </x:c>
    </x:row>
    <x:row r="983" ht="34" customHeight="1">
      <x:c r="A983" s="34" t="str">
        <x:v>☐</x:v>
      </x:c>
      <x:c r="B983" s="34" t="str">
        <x:v>MI-0653</x:v>
      </x:c>
      <x:c r="C983" s="34" t="str">
        <x:v>M4 — اجرا، دانشگاه، صنعت و پروژه‌های اجتماعی</x:v>
      </x:c>
      <x:c r="D983" s="34" t="str">
        <x:v>H11</x:v>
      </x:c>
      <x:c r="E983" s="34" t="str">
        <x:v>دانشگاه؛ صنفی، رفاهی، اجرایی و رسانه‌ای</x:v>
      </x:c>
      <x:c r="F983" s="34" t="str">
        <x:v>DELEGATE/P2</x:v>
      </x:c>
      <x:c r="G983" s="34" t="str">
        <x:v>مهارت/یادگیری</x:v>
      </x:c>
      <x:c r="H983" s="39" t="str">
        <x:v>مشخص کردن کاربرد موضوعات یادگیری برای دانشجو در اثنای آموزش جهت تببین در ذهت و تثبیت یادگیری بهتر</x:v>
      </x:c>
      <x:c r="I983" s="39" t="str">
        <x:v>پورتفو؛ واگذاری اجرا و تمرکز بر راهبری</x:v>
      </x:c>
      <x:c r="J983" s="39" t="str">
        <x:v>PMO/عملیات + روابط عمومی</x:v>
      </x:c>
      <x:c r="K983" s="39" t="str"/>
      <x:c r="L983" s="39" t="str">
        <x:v>AP:P440؛ AP:P863؛ AP:P914</x:v>
      </x:c>
      <x:c r="M983" s="39" t="str"/>
      <x:c r="N983" s="39" t="str">
        <x:v>نسخه پایه ۳۱۵۰</x:v>
      </x:c>
    </x:row>
    <x:row r="984" ht="34" customHeight="1">
      <x:c r="A984" s="34" t="str">
        <x:v>☐</x:v>
      </x:c>
      <x:c r="B984" s="34" t="str">
        <x:v>MI-0688</x:v>
      </x:c>
      <x:c r="C984" s="34" t="str">
        <x:v>M4 — اجرا، دانشگاه، صنعت و پروژه‌های اجتماعی</x:v>
      </x:c>
      <x:c r="D984" s="34" t="str">
        <x:v>H11</x:v>
      </x:c>
      <x:c r="E984" s="34" t="str">
        <x:v>دانشگاه؛ صنفی، رفاهی، اجرایی و رسانه‌ای</x:v>
      </x:c>
      <x:c r="F984" s="34" t="str">
        <x:v>DELEGATE/P2</x:v>
      </x:c>
      <x:c r="G984" s="34" t="str">
        <x:v>مهارت/یادگیری</x:v>
      </x:c>
      <x:c r="H984" s="39" t="str">
        <x:v>نماینده شورای صنفی در حلسه آموزشی</x:v>
      </x:c>
      <x:c r="I984" s="39" t="str">
        <x:v>پورتفو؛ واگذاری اجرا و تمرکز بر راهبری</x:v>
      </x:c>
      <x:c r="J984" s="39" t="str">
        <x:v>PMO/عملیات + روابط عمومی</x:v>
      </x:c>
      <x:c r="K984" s="39" t="str"/>
      <x:c r="L984" s="39" t="str">
        <x:v>AP:P478؛ AP:P644</x:v>
      </x:c>
      <x:c r="M984" s="39" t="str"/>
      <x:c r="N984" s="39" t="str">
        <x:v>نسخه پایه ۳۱۵۰</x:v>
      </x:c>
    </x:row>
    <x:row r="985" ht="34" customHeight="1">
      <x:c r="A985" s="34" t="str">
        <x:v>☐</x:v>
      </x:c>
      <x:c r="B985" s="34" t="str">
        <x:v>MI-0832</x:v>
      </x:c>
      <x:c r="C985" s="34" t="str">
        <x:v>M4 — اجرا، دانشگاه، صنعت و پروژه‌های اجتماعی</x:v>
      </x:c>
      <x:c r="D985" s="34" t="str">
        <x:v>H11</x:v>
      </x:c>
      <x:c r="E985" s="34" t="str">
        <x:v>دانشگاه؛ صنفی، رفاهی، اجرایی و رسانه‌ای</x:v>
      </x:c>
      <x:c r="F985" s="34" t="str">
        <x:v>DELEGATE/P2</x:v>
      </x:c>
      <x:c r="G985" s="34" t="str">
        <x:v>مهارت/یادگیری</x:v>
      </x:c>
      <x:c r="H985" s="39" t="str">
        <x:v>آموزشی و پژوهشی</x:v>
      </x:c>
      <x:c r="I985" s="39" t="str">
        <x:v>پورتفو؛ واگذاری اجرا و تمرکز بر راهبری</x:v>
      </x:c>
      <x:c r="J985" s="39" t="str">
        <x:v>PMO/عملیات + روابط عمومی</x:v>
      </x:c>
      <x:c r="K985" s="39" t="str"/>
      <x:c r="L985" s="39" t="str">
        <x:v>AP:P626</x:v>
      </x:c>
      <x:c r="M985" s="39" t="str"/>
      <x:c r="N985" s="39" t="str">
        <x:v>نسخه پایه ۳۱۵۰</x:v>
      </x:c>
    </x:row>
    <x:row r="986" ht="34" customHeight="1">
      <x:c r="A986" s="34" t="str">
        <x:v>☐</x:v>
      </x:c>
      <x:c r="B986" s="34" t="str">
        <x:v>MI-0891</x:v>
      </x:c>
      <x:c r="C986" s="34" t="str">
        <x:v>M4 — اجرا، دانشگاه، صنعت و پروژه‌های اجتماعی</x:v>
      </x:c>
      <x:c r="D986" s="34" t="str">
        <x:v>H11</x:v>
      </x:c>
      <x:c r="E986" s="34" t="str">
        <x:v>دانشگاه؛ صنفی، رفاهی، اجرایی و رسانه‌ای</x:v>
      </x:c>
      <x:c r="F986" s="34" t="str">
        <x:v>DELEGATE/P2</x:v>
      </x:c>
      <x:c r="G986" s="34" t="str">
        <x:v>مهارت/یادگیری</x:v>
      </x:c>
      <x:c r="H986" s="39" t="str">
        <x:v>معانت آموزشی و ریاست دانشکده ها با حضور صنفی و انجمن علمی مربوطه</x:v>
      </x:c>
      <x:c r="I986" s="39" t="str">
        <x:v>پورتفو؛ واگذاری اجرا و تمرکز بر راهبری</x:v>
      </x:c>
      <x:c r="J986" s="39" t="str">
        <x:v>PMO/عملیات + روابط عمومی</x:v>
      </x:c>
      <x:c r="K986" s="39" t="str"/>
      <x:c r="L986" s="39" t="str">
        <x:v>AP:P701</x:v>
      </x:c>
      <x:c r="M986" s="39" t="str"/>
      <x:c r="N986" s="39" t="str">
        <x:v>نسخه پایه ۳۱۵۰</x:v>
      </x:c>
    </x:row>
    <x:row r="987" ht="34" customHeight="1">
      <x:c r="A987" s="34" t="str">
        <x:v>☐</x:v>
      </x:c>
      <x:c r="B987" s="34" t="str">
        <x:v>MI-0941</x:v>
      </x:c>
      <x:c r="C987" s="34" t="str">
        <x:v>M4 — اجرا، دانشگاه، صنعت و پروژه‌های اجتماعی</x:v>
      </x:c>
      <x:c r="D987" s="34" t="str">
        <x:v>H11</x:v>
      </x:c>
      <x:c r="E987" s="34" t="str">
        <x:v>دانشگاه؛ صنفی، رفاهی، اجرایی و رسانه‌ای</x:v>
      </x:c>
      <x:c r="F987" s="34" t="str">
        <x:v>DELEGATE/P2</x:v>
      </x:c>
      <x:c r="G987" s="34" t="str">
        <x:v>مهارت/یادگیری</x:v>
      </x:c>
      <x:c r="H987" s="39" t="str">
        <x:v>امور آموزشی</x:v>
      </x:c>
      <x:c r="I987" s="39" t="str">
        <x:v>پورتفو؛ واگذاری اجرا و تمرکز بر راهبری</x:v>
      </x:c>
      <x:c r="J987" s="39" t="str">
        <x:v>PMO/عملیات + روابط عمومی</x:v>
      </x:c>
      <x:c r="K987" s="39" t="str"/>
      <x:c r="L987" s="39" t="str">
        <x:v>AP:P763</x:v>
      </x:c>
      <x:c r="M987" s="39" t="str"/>
      <x:c r="N987" s="39" t="str">
        <x:v>نسخه پایه ۳۱۵۰</x:v>
      </x:c>
    </x:row>
    <x:row r="988" ht="34" customHeight="1">
      <x:c r="A988" s="34" t="str">
        <x:v>☐</x:v>
      </x:c>
      <x:c r="B988" s="34" t="str">
        <x:v>MI-0969</x:v>
      </x:c>
      <x:c r="C988" s="34" t="str">
        <x:v>M4 — اجرا، دانشگاه، صنعت و پروژه‌های اجتماعی</x:v>
      </x:c>
      <x:c r="D988" s="34" t="str">
        <x:v>H11</x:v>
      </x:c>
      <x:c r="E988" s="34" t="str">
        <x:v>دانشگاه؛ صنفی، رفاهی، اجرایی و رسانه‌ای</x:v>
      </x:c>
      <x:c r="F988" s="34" t="str">
        <x:v>DELEGATE/P2</x:v>
      </x:c>
      <x:c r="G988" s="34" t="str">
        <x:v>مهارت/یادگیری</x:v>
      </x:c>
      <x:c r="H988" s="39" t="str">
        <x:v>مثل سنسور های حرکتی سقفی برای صرفه جویی در مصرف برق تشکلیل گروه بهینه سازی اقدامات و طرح ریزی های مربوطه طرح دانشجویی برای امور عمرانی آموزشی فضای عملیاتی فضای مطالعاتی فضای تفریحی و</x:v>
      </x:c>
      <x:c r="I988" s="39" t="str">
        <x:v>پورتفو؛ واگذاری اجرا و تمرکز بر راهبری</x:v>
      </x:c>
      <x:c r="J988" s="39" t="str">
        <x:v>PMO/عملیات + روابط عمومی</x:v>
      </x:c>
      <x:c r="K988" s="39" t="str"/>
      <x:c r="L988" s="39" t="str">
        <x:v>AP:P795</x:v>
      </x:c>
      <x:c r="M988" s="39" t="str"/>
      <x:c r="N988" s="39" t="str">
        <x:v>نسخه پایه ۳۱۵۰</x:v>
      </x:c>
    </x:row>
    <x:row r="989" ht="34" customHeight="1">
      <x:c r="A989" s="34" t="str">
        <x:v>☐</x:v>
      </x:c>
      <x:c r="B989" s="34" t="str">
        <x:v>MI-1002</x:v>
      </x:c>
      <x:c r="C989" s="34" t="str">
        <x:v>M4 — اجرا، دانشگاه، صنعت و پروژه‌های اجتماعی</x:v>
      </x:c>
      <x:c r="D989" s="34" t="str">
        <x:v>H11</x:v>
      </x:c>
      <x:c r="E989" s="34" t="str">
        <x:v>دانشگاه؛ صنفی، رفاهی، اجرایی و رسانه‌ای</x:v>
      </x:c>
      <x:c r="F989" s="34" t="str">
        <x:v>DELEGATE/P2</x:v>
      </x:c>
      <x:c r="G989" s="34" t="str">
        <x:v>مهارت/یادگیری</x:v>
      </x:c>
      <x:c r="H989" s="39" t="str">
        <x:v>ارتقا سیستم های کامپیوتری جهت استفاده از نرم افزار های مهندسی</x:v>
      </x:c>
      <x:c r="I989" s="39" t="str">
        <x:v>پورتفو؛ واگذاری اجرا و تمرکز بر راهبری</x:v>
      </x:c>
      <x:c r="J989" s="39" t="str">
        <x:v>PMO/عملیات + روابط عمومی</x:v>
      </x:c>
      <x:c r="K989" s="39" t="str"/>
      <x:c r="L989" s="39" t="str">
        <x:v>AP:P835</x:v>
      </x:c>
      <x:c r="M989" s="39" t="str"/>
      <x:c r="N989" s="39" t="str">
        <x:v>نسخه پایه ۳۱۵۰</x:v>
      </x:c>
    </x:row>
    <x:row r="990" ht="34" customHeight="1">
      <x:c r="A990" s="34" t="str">
        <x:v>☐</x:v>
      </x:c>
      <x:c r="B990" s="34" t="str">
        <x:v>MI-1007</x:v>
      </x:c>
      <x:c r="C990" s="34" t="str">
        <x:v>M4 — اجرا، دانشگاه، صنعت و پروژه‌های اجتماعی</x:v>
      </x:c>
      <x:c r="D990" s="34" t="str">
        <x:v>H11</x:v>
      </x:c>
      <x:c r="E990" s="34" t="str">
        <x:v>دانشگاه؛ صنفی، رفاهی، اجرایی و رسانه‌ای</x:v>
      </x:c>
      <x:c r="F990" s="34" t="str">
        <x:v>DELEGATE/P2</x:v>
      </x:c>
      <x:c r="G990" s="34" t="str">
        <x:v>مهارت/یادگیری</x:v>
      </x:c>
      <x:c r="H990" s="39" t="str">
        <x:v>ایمیل دانشجویی ، ریاست فناوری موظف به شفاف سازی ، لایسنس نرم افزار ها ، اکانت دسترسی به مقالات و اکانت هوش مصنوعی</x:v>
      </x:c>
      <x:c r="I990" s="39" t="str">
        <x:v>پورتفو؛ واگذاری اجرا و تمرکز بر راهبری</x:v>
      </x:c>
      <x:c r="J990" s="39" t="str">
        <x:v>PMO/عملیات + روابط عمومی</x:v>
      </x:c>
      <x:c r="K990" s="39" t="str"/>
      <x:c r="L990" s="39" t="str">
        <x:v>AP:P840</x:v>
      </x:c>
      <x:c r="M990" s="39" t="str"/>
      <x:c r="N990" s="39" t="str">
        <x:v>نسخه پایه ۳۱۵۰</x:v>
      </x:c>
    </x:row>
    <x:row r="991" ht="34" customHeight="1">
      <x:c r="A991" s="34" t="str">
        <x:v>☐</x:v>
      </x:c>
      <x:c r="B991" s="34" t="str">
        <x:v>MI-1008</x:v>
      </x:c>
      <x:c r="C991" s="34" t="str">
        <x:v>M4 — اجرا، دانشگاه، صنعت و پروژه‌های اجتماعی</x:v>
      </x:c>
      <x:c r="D991" s="34" t="str">
        <x:v>H11</x:v>
      </x:c>
      <x:c r="E991" s="34" t="str">
        <x:v>دانشگاه؛ صنفی، رفاهی، اجرایی و رسانه‌ای</x:v>
      </x:c>
      <x:c r="F991" s="34" t="str">
        <x:v>DELEGATE/P2</x:v>
      </x:c>
      <x:c r="G991" s="34" t="str">
        <x:v>مهارت/یادگیری</x:v>
      </x:c>
      <x:c r="H991" s="39" t="str">
        <x:v>بررسی نرم افزار های ftp , , و استفاده های دیگر آن</x:v>
      </x:c>
      <x:c r="I991" s="39" t="str">
        <x:v>پورتفو؛ واگذاری اجرا و تمرکز بر راهبری</x:v>
      </x:c>
      <x:c r="J991" s="39" t="str">
        <x:v>PMO/عملیات + روابط عمومی</x:v>
      </x:c>
      <x:c r="K991" s="39" t="str"/>
      <x:c r="L991" s="39" t="str">
        <x:v>AP:P841</x:v>
      </x:c>
      <x:c r="M991" s="39" t="str"/>
      <x:c r="N991" s="39" t="str">
        <x:v>نسخه پایه ۳۱۵۰</x:v>
      </x:c>
    </x:row>
    <x:row r="992" ht="34" customHeight="1">
      <x:c r="A992" s="34" t="str">
        <x:v>☐</x:v>
      </x:c>
      <x:c r="B992" s="34" t="str">
        <x:v>MI-1047</x:v>
      </x:c>
      <x:c r="C992" s="34" t="str">
        <x:v>M4 — اجرا، دانشگاه، صنعت و پروژه‌های اجتماعی</x:v>
      </x:c>
      <x:c r="D992" s="34" t="str">
        <x:v>H11</x:v>
      </x:c>
      <x:c r="E992" s="34" t="str">
        <x:v>دانشگاه؛ صنفی، رفاهی، اجرایی و رسانه‌ای</x:v>
      </x:c>
      <x:c r="F992" s="34" t="str">
        <x:v>DELEGATE/P2</x:v>
      </x:c>
      <x:c r="G992" s="34" t="str">
        <x:v>مهارت/یادگیری</x:v>
      </x:c>
      <x:c r="H992" s="39" t="str">
        <x:v>معاونت آموزشی</x:v>
      </x:c>
      <x:c r="I992" s="39" t="str">
        <x:v>پورتفو؛ واگذاری اجرا و تمرکز بر راهبری</x:v>
      </x:c>
      <x:c r="J992" s="39" t="str">
        <x:v>PMO/عملیات + روابط عمومی</x:v>
      </x:c>
      <x:c r="K992" s="39" t="str"/>
      <x:c r="L992" s="39" t="str">
        <x:v>AP:P890</x:v>
      </x:c>
      <x:c r="M992" s="39" t="str"/>
      <x:c r="N992" s="39" t="str">
        <x:v>نسخه پایه ۳۱۵۰</x:v>
      </x:c>
    </x:row>
    <x:row r="993" ht="34" customHeight="1">
      <x:c r="A993" s="34" t="str">
        <x:v>☐</x:v>
      </x:c>
      <x:c r="B993" s="34" t="str">
        <x:v>MI-1048</x:v>
      </x:c>
      <x:c r="C993" s="34" t="str">
        <x:v>M4 — اجرا، دانشگاه، صنعت و پروژه‌های اجتماعی</x:v>
      </x:c>
      <x:c r="D993" s="34" t="str">
        <x:v>H11</x:v>
      </x:c>
      <x:c r="E993" s="34" t="str">
        <x:v>دانشگاه؛ صنفی، رفاهی، اجرایی و رسانه‌ای</x:v>
      </x:c>
      <x:c r="F993" s="34" t="str">
        <x:v>DELEGATE/P2</x:v>
      </x:c>
      <x:c r="G993" s="34" t="str">
        <x:v>مهارت/یادگیری</x:v>
      </x:c>
      <x:c r="H993" s="39" t="str">
        <x:v>ایجاد کمیته آموزشی</x:v>
      </x:c>
      <x:c r="I993" s="39" t="str">
        <x:v>پورتفو؛ واگذاری اجرا و تمرکز بر راهبری</x:v>
      </x:c>
      <x:c r="J993" s="39" t="str">
        <x:v>PMO/عملیات + روابط عمومی</x:v>
      </x:c>
      <x:c r="K993" s="39" t="str"/>
      <x:c r="L993" s="39" t="str">
        <x:v>AP:P891</x:v>
      </x:c>
      <x:c r="M993" s="39" t="str"/>
      <x:c r="N993" s="39" t="str">
        <x:v>نسخه پایه ۳۱۵۰</x:v>
      </x:c>
    </x:row>
    <x:row r="994" ht="34" customHeight="1">
      <x:c r="A994" s="34" t="str">
        <x:v>☐</x:v>
      </x:c>
      <x:c r="B994" s="34" t="str">
        <x:v>MI-1049</x:v>
      </x:c>
      <x:c r="C994" s="34" t="str">
        <x:v>M4 — اجرا، دانشگاه، صنعت و پروژه‌های اجتماعی</x:v>
      </x:c>
      <x:c r="D994" s="34" t="str">
        <x:v>H11</x:v>
      </x:c>
      <x:c r="E994" s="34" t="str">
        <x:v>دانشگاه؛ صنفی، رفاهی، اجرایی و رسانه‌ای</x:v>
      </x:c>
      <x:c r="F994" s="34" t="str">
        <x:v>DELEGATE/P2</x:v>
      </x:c>
      <x:c r="G994" s="34" t="str">
        <x:v>مهارت/یادگیری</x:v>
      </x:c>
      <x:c r="H994" s="39" t="str">
        <x:v>محتوای آموزشی</x:v>
      </x:c>
      <x:c r="I994" s="39" t="str">
        <x:v>پورتفو؛ واگذاری اجرا و تمرکز بر راهبری</x:v>
      </x:c>
      <x:c r="J994" s="39" t="str">
        <x:v>PMO/عملیات + روابط عمومی</x:v>
      </x:c>
      <x:c r="K994" s="39" t="str"/>
      <x:c r="L994" s="39" t="str">
        <x:v>AP:P892</x:v>
      </x:c>
      <x:c r="M994" s="39" t="str"/>
      <x:c r="N994" s="39" t="str">
        <x:v>نسخه پایه ۳۱۵۰</x:v>
      </x:c>
    </x:row>
    <x:row r="995" ht="34" customHeight="1">
      <x:c r="A995" s="34" t="str">
        <x:v>☐</x:v>
      </x:c>
      <x:c r="B995" s="34" t="str">
        <x:v>MI-1050</x:v>
      </x:c>
      <x:c r="C995" s="34" t="str">
        <x:v>M4 — اجرا، دانشگاه، صنعت و پروژه‌های اجتماعی</x:v>
      </x:c>
      <x:c r="D995" s="34" t="str">
        <x:v>H11</x:v>
      </x:c>
      <x:c r="E995" s="34" t="str">
        <x:v>دانشگاه؛ صنفی، رفاهی، اجرایی و رسانه‌ای</x:v>
      </x:c>
      <x:c r="F995" s="34" t="str">
        <x:v>DELEGATE/P2</x:v>
      </x:c>
      <x:c r="G995" s="34" t="str">
        <x:v>مهارت/یادگیری</x:v>
      </x:c>
      <x:c r="H995" s="39" t="str">
        <x:v>عملکرد اساتید</x:v>
      </x:c>
      <x:c r="I995" s="39" t="str">
        <x:v>پورتفو؛ واگذاری اجرا و تمرکز بر راهبری</x:v>
      </x:c>
      <x:c r="J995" s="39" t="str">
        <x:v>PMO/عملیات + روابط عمومی</x:v>
      </x:c>
      <x:c r="K995" s="39" t="str"/>
      <x:c r="L995" s="39" t="str">
        <x:v>AP:P893</x:v>
      </x:c>
      <x:c r="M995" s="39" t="str"/>
      <x:c r="N995" s="39" t="str">
        <x:v>نسخه پایه ۳۱۵۰</x:v>
      </x:c>
    </x:row>
    <x:row r="996" ht="34" customHeight="1">
      <x:c r="A996" s="34" t="str">
        <x:v>☐</x:v>
      </x:c>
      <x:c r="B996" s="34" t="str">
        <x:v>MI-1051</x:v>
      </x:c>
      <x:c r="C996" s="34" t="str">
        <x:v>M4 — اجرا، دانشگاه، صنعت و پروژه‌های اجتماعی</x:v>
      </x:c>
      <x:c r="D996" s="34" t="str">
        <x:v>H11</x:v>
      </x:c>
      <x:c r="E996" s="34" t="str">
        <x:v>دانشگاه؛ صنفی، رفاهی، اجرایی و رسانه‌ای</x:v>
      </x:c>
      <x:c r="F996" s="34" t="str">
        <x:v>DELEGATE/P2</x:v>
      </x:c>
      <x:c r="G996" s="34" t="str">
        <x:v>مهارت/یادگیری</x:v>
      </x:c>
      <x:c r="H996" s="39" t="str">
        <x:v>حل تمرین ها</x:v>
      </x:c>
      <x:c r="I996" s="39" t="str">
        <x:v>پورتفو؛ واگذاری اجرا و تمرکز بر راهبری</x:v>
      </x:c>
      <x:c r="J996" s="39" t="str">
        <x:v>PMO/عملیات + روابط عمومی</x:v>
      </x:c>
      <x:c r="K996" s="39" t="str"/>
      <x:c r="L996" s="39" t="str">
        <x:v>AP:P894؛ AP:P920</x:v>
      </x:c>
      <x:c r="M996" s="39" t="str"/>
      <x:c r="N996" s="39" t="str">
        <x:v>نسخه پایه ۳۱۵۰</x:v>
      </x:c>
    </x:row>
    <x:row r="997" ht="34" customHeight="1">
      <x:c r="A997" s="34" t="str">
        <x:v>☐</x:v>
      </x:c>
      <x:c r="B997" s="34" t="str">
        <x:v>MI-1052</x:v>
      </x:c>
      <x:c r="C997" s="34" t="str">
        <x:v>M4 — اجرا، دانشگاه، صنعت و پروژه‌های اجتماعی</x:v>
      </x:c>
      <x:c r="D997" s="34" t="str">
        <x:v>H11</x:v>
      </x:c>
      <x:c r="E997" s="34" t="str">
        <x:v>دانشگاه؛ صنفی، رفاهی، اجرایی و رسانه‌ای</x:v>
      </x:c>
      <x:c r="F997" s="34" t="str">
        <x:v>DELEGATE/P2</x:v>
      </x:c>
      <x:c r="G997" s="34" t="str">
        <x:v>مهارت/یادگیری</x:v>
      </x:c>
      <x:c r="H997" s="39" t="str">
        <x:v>کارگاه نرم افزار</x:v>
      </x:c>
      <x:c r="I997" s="39" t="str">
        <x:v>پورتفو؛ واگذاری اجرا و تمرکز بر راهبری</x:v>
      </x:c>
      <x:c r="J997" s="39" t="str">
        <x:v>PMO/عملیات + روابط عمومی</x:v>
      </x:c>
      <x:c r="K997" s="39" t="str"/>
      <x:c r="L997" s="39" t="str">
        <x:v>AP:P895؛ E112:P409</x:v>
      </x:c>
      <x:c r="M997" s="39" t="str"/>
      <x:c r="N997" s="39" t="str">
        <x:v>نسخه پایه ۳۱۵۰</x:v>
      </x:c>
    </x:row>
    <x:row r="998" ht="34" customHeight="1">
      <x:c r="A998" s="34" t="str">
        <x:v>☐</x:v>
      </x:c>
      <x:c r="B998" s="34" t="str">
        <x:v>MI-1053</x:v>
      </x:c>
      <x:c r="C998" s="34" t="str">
        <x:v>M4 — اجرا، دانشگاه، صنعت و پروژه‌های اجتماعی</x:v>
      </x:c>
      <x:c r="D998" s="34" t="str">
        <x:v>H11</x:v>
      </x:c>
      <x:c r="E998" s="34" t="str">
        <x:v>دانشگاه؛ صنفی، رفاهی، اجرایی و رسانه‌ای</x:v>
      </x:c>
      <x:c r="F998" s="34" t="str">
        <x:v>DELEGATE/P2</x:v>
      </x:c>
      <x:c r="G998" s="34" t="str">
        <x:v>مهارت/یادگیری</x:v>
      </x:c>
      <x:c r="H998" s="39" t="str">
        <x:v>امتحانات</x:v>
      </x:c>
      <x:c r="I998" s="39" t="str">
        <x:v>پورتفو؛ واگذاری اجرا و تمرکز بر راهبری</x:v>
      </x:c>
      <x:c r="J998" s="39" t="str">
        <x:v>PMO/عملیات + روابط عمومی</x:v>
      </x:c>
      <x:c r="K998" s="39" t="str"/>
      <x:c r="L998" s="39" t="str">
        <x:v>AP:P896</x:v>
      </x:c>
      <x:c r="M998" s="39" t="str"/>
      <x:c r="N998" s="39" t="str">
        <x:v>نسخه پایه ۳۱۵۰</x:v>
      </x:c>
    </x:row>
    <x:row r="999" ht="34" customHeight="1">
      <x:c r="A999" s="34" t="str">
        <x:v>☐</x:v>
      </x:c>
      <x:c r="B999" s="34" t="str">
        <x:v>MI-1054</x:v>
      </x:c>
      <x:c r="C999" s="34" t="str">
        <x:v>M4 — اجرا، دانشگاه، صنعت و پروژه‌های اجتماعی</x:v>
      </x:c>
      <x:c r="D999" s="34" t="str">
        <x:v>H11</x:v>
      </x:c>
      <x:c r="E999" s="34" t="str">
        <x:v>دانشگاه؛ صنفی، رفاهی، اجرایی و رسانه‌ای</x:v>
      </x:c>
      <x:c r="F999" s="34" t="str">
        <x:v>DELEGATE/P2</x:v>
      </x:c>
      <x:c r="G999" s="34" t="str">
        <x:v>مهارت/یادگیری</x:v>
      </x:c>
      <x:c r="H999" s="39" t="str">
        <x:v>نحوه ارایه مطالب</x:v>
      </x:c>
      <x:c r="I999" s="39" t="str">
        <x:v>پورتفو؛ واگذاری اجرا و تمرکز بر راهبری</x:v>
      </x:c>
      <x:c r="J999" s="39" t="str">
        <x:v>PMO/عملیات + روابط عمومی</x:v>
      </x:c>
      <x:c r="K999" s="39" t="str"/>
      <x:c r="L999" s="39" t="str">
        <x:v>AP:P897</x:v>
      </x:c>
      <x:c r="M999" s="39" t="str"/>
      <x:c r="N999" s="39" t="str">
        <x:v>نسخه پایه ۳۱۵۰</x:v>
      </x:c>
    </x:row>
    <x:row r="1000" ht="34" customHeight="1">
      <x:c r="A1000" s="34" t="str">
        <x:v>☐</x:v>
      </x:c>
      <x:c r="B1000" s="34" t="str">
        <x:v>MI-1056</x:v>
      </x:c>
      <x:c r="C1000" s="34" t="str">
        <x:v>M4 — اجرا، دانشگاه، صنعت و پروژه‌های اجتماعی</x:v>
      </x:c>
      <x:c r="D1000" s="34" t="str">
        <x:v>H11</x:v>
      </x:c>
      <x:c r="E1000" s="34" t="str">
        <x:v>دانشگاه؛ صنفی، رفاهی، اجرایی و رسانه‌ای</x:v>
      </x:c>
      <x:c r="F1000" s="34" t="str">
        <x:v>DELEGATE/P2</x:v>
      </x:c>
      <x:c r="G1000" s="34" t="str">
        <x:v>مهارت/یادگیری</x:v>
      </x:c>
      <x:c r="H1000" s="39" t="str">
        <x:v>با پاورپوینت</x:v>
      </x:c>
      <x:c r="I1000" s="39" t="str">
        <x:v>پورتفو؛ واگذاری اجرا و تمرکز بر راهبری</x:v>
      </x:c>
      <x:c r="J1000" s="39" t="str">
        <x:v>PMO/عملیات + روابط عمومی</x:v>
      </x:c>
      <x:c r="K1000" s="39" t="str"/>
      <x:c r="L1000" s="39" t="str">
        <x:v>AP:P899</x:v>
      </x:c>
      <x:c r="M1000" s="39" t="str"/>
      <x:c r="N1000" s="39" t="str">
        <x:v>نسخه پایه ۳۱۵۰</x:v>
      </x:c>
    </x:row>
    <x:row r="1001" ht="34" customHeight="1">
      <x:c r="A1001" s="34" t="str">
        <x:v>☐</x:v>
      </x:c>
      <x:c r="B1001" s="34" t="str">
        <x:v>MI-1057</x:v>
      </x:c>
      <x:c r="C1001" s="34" t="str">
        <x:v>M4 — اجرا، دانشگاه، صنعت و پروژه‌های اجتماعی</x:v>
      </x:c>
      <x:c r="D1001" s="34" t="str">
        <x:v>H11</x:v>
      </x:c>
      <x:c r="E1001" s="34" t="str">
        <x:v>دانشگاه؛ صنفی، رفاهی، اجرایی و رسانه‌ای</x:v>
      </x:c>
      <x:c r="F1001" s="34" t="str">
        <x:v>DELEGATE/P2</x:v>
      </x:c>
      <x:c r="G1001" s="34" t="str">
        <x:v>مهارت/یادگیری</x:v>
      </x:c>
      <x:c r="H1001" s="39" t="str">
        <x:v>با نرم فزار</x:v>
      </x:c>
      <x:c r="I1001" s="39" t="str">
        <x:v>پورتفو؛ واگذاری اجرا و تمرکز بر راهبری</x:v>
      </x:c>
      <x:c r="J1001" s="39" t="str">
        <x:v>PMO/عملیات + روابط عمومی</x:v>
      </x:c>
      <x:c r="K1001" s="39" t="str"/>
      <x:c r="L1001" s="39" t="str">
        <x:v>AP:P900</x:v>
      </x:c>
      <x:c r="M1001" s="39" t="str"/>
      <x:c r="N1001" s="39" t="str">
        <x:v>نسخه پایه ۳۱۵۰</x:v>
      </x:c>
    </x:row>
    <x:row r="1002" ht="34" customHeight="1">
      <x:c r="A1002" s="34" t="str">
        <x:v>☐</x:v>
      </x:c>
      <x:c r="B1002" s="34" t="str">
        <x:v>MI-1058</x:v>
      </x:c>
      <x:c r="C1002" s="34" t="str">
        <x:v>M4 — اجرا، دانشگاه، صنعت و پروژه‌های اجتماعی</x:v>
      </x:c>
      <x:c r="D1002" s="34" t="str">
        <x:v>H11</x:v>
      </x:c>
      <x:c r="E1002" s="34" t="str">
        <x:v>دانشگاه؛ صنفی، رفاهی، اجرایی و رسانه‌ای</x:v>
      </x:c>
      <x:c r="F1002" s="34" t="str">
        <x:v>DELEGATE/P2</x:v>
      </x:c>
      <x:c r="G1002" s="34" t="str">
        <x:v>مهارت/یادگیری</x:v>
      </x:c>
      <x:c r="H1002" s="39" t="str">
        <x:v>میز مشاوره شخصی با فارغ التخصیلان موفق دانشگاه</x:v>
      </x:c>
      <x:c r="I1002" s="39" t="str">
        <x:v>پورتفو؛ واگذاری اجرا و تمرکز بر راهبری</x:v>
      </x:c>
      <x:c r="J1002" s="39" t="str">
        <x:v>PMO/عملیات + روابط عمومی</x:v>
      </x:c>
      <x:c r="K1002" s="39" t="str"/>
      <x:c r="L1002" s="39" t="str">
        <x:v>AP:P901</x:v>
      </x:c>
      <x:c r="M1002" s="39" t="str"/>
      <x:c r="N1002" s="39" t="str">
        <x:v>نسخه پایه ۳۱۵۰</x:v>
      </x:c>
    </x:row>
    <x:row r="1003" ht="34" customHeight="1">
      <x:c r="A1003" s="34" t="str">
        <x:v>☐</x:v>
      </x:c>
      <x:c r="B1003" s="34" t="str">
        <x:v>MI-1059</x:v>
      </x:c>
      <x:c r="C1003" s="34" t="str">
        <x:v>M4 — اجرا، دانشگاه، صنعت و پروژه‌های اجتماعی</x:v>
      </x:c>
      <x:c r="D1003" s="34" t="str">
        <x:v>H11</x:v>
      </x:c>
      <x:c r="E1003" s="34" t="str">
        <x:v>دانشگاه؛ صنفی، رفاهی، اجرایی و رسانه‌ای</x:v>
      </x:c>
      <x:c r="F1003" s="34" t="str">
        <x:v>DELEGATE/P2</x:v>
      </x:c>
      <x:c r="G1003" s="34" t="str">
        <x:v>مهارت/یادگیری</x:v>
      </x:c>
      <x:c r="H1003" s="39" t="str">
        <x:v>هدایت تحصیلی</x:v>
      </x:c>
      <x:c r="I1003" s="39" t="str">
        <x:v>پورتفو؛ واگذاری اجرا و تمرکز بر راهبری</x:v>
      </x:c>
      <x:c r="J1003" s="39" t="str">
        <x:v>PMO/عملیات + روابط عمومی</x:v>
      </x:c>
      <x:c r="K1003" s="39" t="str"/>
      <x:c r="L1003" s="39" t="str">
        <x:v>AP:P902</x:v>
      </x:c>
      <x:c r="M1003" s="39" t="str"/>
      <x:c r="N1003" s="39" t="str">
        <x:v>نسخه پایه ۳۱۵۰</x:v>
      </x:c>
    </x:row>
    <x:row r="1004" ht="34" customHeight="1">
      <x:c r="A1004" s="34" t="str">
        <x:v>☐</x:v>
      </x:c>
      <x:c r="B1004" s="34" t="str">
        <x:v>MI-1060</x:v>
      </x:c>
      <x:c r="C1004" s="34" t="str">
        <x:v>M4 — اجرا، دانشگاه، صنعت و پروژه‌های اجتماعی</x:v>
      </x:c>
      <x:c r="D1004" s="34" t="str">
        <x:v>H11</x:v>
      </x:c>
      <x:c r="E1004" s="34" t="str">
        <x:v>دانشگاه؛ صنفی، رفاهی، اجرایی و رسانه‌ای</x:v>
      </x:c>
      <x:c r="F1004" s="34" t="str">
        <x:v>DELEGATE/P2</x:v>
      </x:c>
      <x:c r="G1004" s="34" t="str">
        <x:v>مهارت/یادگیری</x:v>
      </x:c>
      <x:c r="H1004" s="39" t="str">
        <x:v>مشروطی ترم اولی یعنی چی واقعا؟؟؟</x:v>
      </x:c>
      <x:c r="I1004" s="39" t="str">
        <x:v>پورتفو؛ واگذاری اجرا و تمرکز بر راهبری</x:v>
      </x:c>
      <x:c r="J1004" s="39" t="str">
        <x:v>PMO/عملیات + روابط عمومی</x:v>
      </x:c>
      <x:c r="K1004" s="39" t="str"/>
      <x:c r="L1004" s="39" t="str">
        <x:v>AP:P903</x:v>
      </x:c>
      <x:c r="M1004" s="39" t="str"/>
      <x:c r="N1004" s="39" t="str">
        <x:v>نسخه پایه ۳۱۵۰</x:v>
      </x:c>
    </x:row>
    <x:row r="1005" ht="34" customHeight="1">
      <x:c r="A1005" s="34" t="str">
        <x:v>☐</x:v>
      </x:c>
      <x:c r="B1005" s="34" t="str">
        <x:v>MI-1062</x:v>
      </x:c>
      <x:c r="C1005" s="34" t="str">
        <x:v>M4 — اجرا، دانشگاه، صنعت و پروژه‌های اجتماعی</x:v>
      </x:c>
      <x:c r="D1005" s="34" t="str">
        <x:v>H11</x:v>
      </x:c>
      <x:c r="E1005" s="34" t="str">
        <x:v>دانشگاه؛ صنفی، رفاهی، اجرایی و رسانه‌ای</x:v>
      </x:c>
      <x:c r="F1005" s="34" t="str">
        <x:v>DELEGATE/P2</x:v>
      </x:c>
      <x:c r="G1005" s="34" t="str">
        <x:v>مهارت/یادگیری</x:v>
      </x:c>
      <x:c r="H1005" s="39" t="str">
        <x:v>کارشناس برنامه ریزی و انتخاب واحد دانشگاه</x:v>
      </x:c>
      <x:c r="I1005" s="39" t="str">
        <x:v>پورتفو؛ واگذاری اجرا و تمرکز بر راهبری</x:v>
      </x:c>
      <x:c r="J1005" s="39" t="str">
        <x:v>PMO/عملیات + روابط عمومی</x:v>
      </x:c>
      <x:c r="K1005" s="39" t="str"/>
      <x:c r="L1005" s="39" t="str">
        <x:v>AP:P905</x:v>
      </x:c>
      <x:c r="M1005" s="39" t="str"/>
      <x:c r="N1005" s="39" t="str">
        <x:v>نسخه پایه ۳۱۵۰</x:v>
      </x:c>
    </x:row>
    <x:row r="1006" ht="34" customHeight="1">
      <x:c r="A1006" s="34" t="str">
        <x:v>☐</x:v>
      </x:c>
      <x:c r="B1006" s="34" t="str">
        <x:v>MI-1063</x:v>
      </x:c>
      <x:c r="C1006" s="34" t="str">
        <x:v>M4 — اجرا، دانشگاه، صنعت و پروژه‌های اجتماعی</x:v>
      </x:c>
      <x:c r="D1006" s="34" t="str">
        <x:v>H11</x:v>
      </x:c>
      <x:c r="E1006" s="34" t="str">
        <x:v>دانشگاه؛ صنفی، رفاهی، اجرایی و رسانه‌ای</x:v>
      </x:c>
      <x:c r="F1006" s="34" t="str">
        <x:v>DELEGATE/P2</x:v>
      </x:c>
      <x:c r="G1006" s="34" t="str">
        <x:v>مهارت/یادگیری</x:v>
      </x:c>
      <x:c r="H1006" s="39" t="str">
        <x:v>پیگیری تداخلات و بررسی و رفع آنها</x:v>
      </x:c>
      <x:c r="I1006" s="39" t="str">
        <x:v>پورتفو؛ واگذاری اجرا و تمرکز بر راهبری</x:v>
      </x:c>
      <x:c r="J1006" s="39" t="str">
        <x:v>PMO/عملیات + روابط عمومی</x:v>
      </x:c>
      <x:c r="K1006" s="39" t="str"/>
      <x:c r="L1006" s="39" t="str">
        <x:v>AP:P906</x:v>
      </x:c>
      <x:c r="M1006" s="39" t="str"/>
      <x:c r="N1006" s="39" t="str">
        <x:v>نسخه پایه ۳۱۵۰</x:v>
      </x:c>
    </x:row>
    <x:row r="1007" ht="34" customHeight="1">
      <x:c r="A1007" s="34" t="str">
        <x:v>☐</x:v>
      </x:c>
      <x:c r="B1007" s="34" t="str">
        <x:v>MI-1064</x:v>
      </x:c>
      <x:c r="C1007" s="34" t="str">
        <x:v>M4 — اجرا، دانشگاه، صنعت و پروژه‌های اجتماعی</x:v>
      </x:c>
      <x:c r="D1007" s="34" t="str">
        <x:v>H11</x:v>
      </x:c>
      <x:c r="E1007" s="34" t="str">
        <x:v>دانشگاه؛ صنفی، رفاهی، اجرایی و رسانه‌ای</x:v>
      </x:c>
      <x:c r="F1007" s="34" t="str">
        <x:v>DELEGATE/P2</x:v>
      </x:c>
      <x:c r="G1007" s="34" t="str">
        <x:v>مهارت/یادگیری</x:v>
      </x:c>
      <x:c r="H1007" s="39" t="str">
        <x:v>ظرفیت دروس به اندازه کافی از همان ابتدا در نظر گرفته نمیشود تا بعدا نیازی به افزایش ظرفیت نباشد.</x:v>
      </x:c>
      <x:c r="I1007" s="39" t="str">
        <x:v>پورتفو؛ واگذاری اجرا و تمرکز بر راهبری</x:v>
      </x:c>
      <x:c r="J1007" s="39" t="str">
        <x:v>PMO/عملیات + روابط عمومی</x:v>
      </x:c>
      <x:c r="K1007" s="39" t="str"/>
      <x:c r="L1007" s="39" t="str">
        <x:v>AP:P907</x:v>
      </x:c>
      <x:c r="M1007" s="39" t="str"/>
      <x:c r="N1007" s="39" t="str">
        <x:v>نسخه پایه ۳۱۵۰</x:v>
      </x:c>
    </x:row>
    <x:row r="1008" ht="34" customHeight="1">
      <x:c r="A1008" s="34" t="str">
        <x:v>☐</x:v>
      </x:c>
      <x:c r="B1008" s="34" t="str">
        <x:v>MI-1065</x:v>
      </x:c>
      <x:c r="C1008" s="34" t="str">
        <x:v>M4 — اجرا، دانشگاه، صنعت و پروژه‌های اجتماعی</x:v>
      </x:c>
      <x:c r="D1008" s="34" t="str">
        <x:v>H11</x:v>
      </x:c>
      <x:c r="E1008" s="34" t="str">
        <x:v>دانشگاه؛ صنفی، رفاهی، اجرایی و رسانه‌ای</x:v>
      </x:c>
      <x:c r="F1008" s="34" t="str">
        <x:v>DELEGATE/P2</x:v>
      </x:c>
      <x:c r="G1008" s="34" t="str">
        <x:v>مهارت/یادگیری</x:v>
      </x:c>
      <x:c r="H1008" s="39" t="str">
        <x:v>اگر استادی گروهش پر نمیشه دلیلش مشخص بشه نه اینکه دانشجو اجبار بشه که بره با ایشون بگیره</x:v>
      </x:c>
      <x:c r="I1008" s="39" t="str">
        <x:v>پورتفو؛ واگذاری اجرا و تمرکز بر راهبری</x:v>
      </x:c>
      <x:c r="J1008" s="39" t="str">
        <x:v>PMO/عملیات + روابط عمومی</x:v>
      </x:c>
      <x:c r="K1008" s="39" t="str"/>
      <x:c r="L1008" s="39" t="str">
        <x:v>AP:P908</x:v>
      </x:c>
      <x:c r="M1008" s="39" t="str"/>
      <x:c r="N1008" s="39" t="str">
        <x:v>نسخه پایه ۳۱۵۰</x:v>
      </x:c>
    </x:row>
    <x:row r="1009" ht="34" customHeight="1">
      <x:c r="A1009" s="34" t="str">
        <x:v>☐</x:v>
      </x:c>
      <x:c r="B1009" s="34" t="str">
        <x:v>MI-1066</x:v>
      </x:c>
      <x:c r="C1009" s="34" t="str">
        <x:v>M4 — اجرا، دانشگاه، صنعت و پروژه‌های اجتماعی</x:v>
      </x:c>
      <x:c r="D1009" s="34" t="str">
        <x:v>H11</x:v>
      </x:c>
      <x:c r="E1009" s="34" t="str">
        <x:v>دانشگاه؛ صنفی، رفاهی، اجرایی و رسانه‌ای</x:v>
      </x:c>
      <x:c r="F1009" s="34" t="str">
        <x:v>DELEGATE/P2</x:v>
      </x:c>
      <x:c r="G1009" s="34" t="str">
        <x:v>مهارت/یادگیری</x:v>
      </x:c>
      <x:c r="H1009" s="39" t="str">
        <x:v>اطلاع رسانی ضعیف</x:v>
      </x:c>
      <x:c r="I1009" s="39" t="str">
        <x:v>پورتفو؛ واگذاری اجرا و تمرکز بر راهبری</x:v>
      </x:c>
      <x:c r="J1009" s="39" t="str">
        <x:v>PMO/عملیات + روابط عمومی</x:v>
      </x:c>
      <x:c r="K1009" s="39" t="str"/>
      <x:c r="L1009" s="39" t="str">
        <x:v>AP:P909</x:v>
      </x:c>
      <x:c r="M1009" s="39" t="str"/>
      <x:c r="N1009" s="39" t="str">
        <x:v>نسخه پایه ۳۱۵۰</x:v>
      </x:c>
    </x:row>
    <x:row r="1010" ht="34" customHeight="1">
      <x:c r="A1010" s="34" t="str">
        <x:v>☐</x:v>
      </x:c>
      <x:c r="B1010" s="34" t="str">
        <x:v>MI-1067</x:v>
      </x:c>
      <x:c r="C1010" s="34" t="str">
        <x:v>M4 — اجرا، دانشگاه، صنعت و پروژه‌های اجتماعی</x:v>
      </x:c>
      <x:c r="D1010" s="34" t="str">
        <x:v>H11</x:v>
      </x:c>
      <x:c r="E1010" s="34" t="str">
        <x:v>دانشگاه؛ صنفی، رفاهی، اجرایی و رسانه‌ای</x:v>
      </x:c>
      <x:c r="F1010" s="34" t="str">
        <x:v>DELEGATE/P2</x:v>
      </x:c>
      <x:c r="G1010" s="34" t="str">
        <x:v>مهارت/یادگیری</x:v>
      </x:c>
      <x:c r="H1010" s="39" t="str">
        <x:v>در شب قبل انتخاب واجد گفتن دو درس اضافه میشه که حتما باید برداشه باشه ، سوای اینکه ظرفیت کافی نخورده بود که این از عجایب یه گانه دانشگاهه</x:v>
      </x:c>
      <x:c r="I1010" s="39" t="str">
        <x:v>پورتفو؛ واگذاری اجرا و تمرکز بر راهبری</x:v>
      </x:c>
      <x:c r="J1010" s="39" t="str">
        <x:v>PMO/عملیات + روابط عمومی</x:v>
      </x:c>
      <x:c r="K1010" s="39" t="str"/>
      <x:c r="L1010" s="39" t="str">
        <x:v>AP:P910</x:v>
      </x:c>
      <x:c r="M1010" s="39" t="str"/>
      <x:c r="N1010" s="39" t="str">
        <x:v>نسخه پایه ۳۱۵۰</x:v>
      </x:c>
    </x:row>
    <x:row r="1011" ht="34" customHeight="1">
      <x:c r="A1011" s="34" t="str">
        <x:v>☐</x:v>
      </x:c>
      <x:c r="B1011" s="34" t="str">
        <x:v>MI-1068</x:v>
      </x:c>
      <x:c r="C1011" s="34" t="str">
        <x:v>M4 — اجرا، دانشگاه، صنعت و پروژه‌های اجتماعی</x:v>
      </x:c>
      <x:c r="D1011" s="34" t="str">
        <x:v>H11</x:v>
      </x:c>
      <x:c r="E1011" s="34" t="str">
        <x:v>دانشگاه؛ صنفی، رفاهی، اجرایی و رسانه‌ای</x:v>
      </x:c>
      <x:c r="F1011" s="34" t="str">
        <x:v>DELEGATE/P2</x:v>
      </x:c>
      <x:c r="G1011" s="34" t="str">
        <x:v>مهارت/یادگیری</x:v>
      </x:c>
      <x:c r="H1011" s="39" t="str">
        <x:v>جلسات معاونت آموزشی دانشکده ها با صنفی و انجمن علمی های مربوطه اش</x:v>
      </x:c>
      <x:c r="I1011" s="39" t="str">
        <x:v>پورتفو؛ واگذاری اجرا و تمرکز بر راهبری</x:v>
      </x:c>
      <x:c r="J1011" s="39" t="str">
        <x:v>PMO/عملیات + روابط عمومی</x:v>
      </x:c>
      <x:c r="K1011" s="39" t="str"/>
      <x:c r="L1011" s="39" t="str">
        <x:v>AP:P912</x:v>
      </x:c>
      <x:c r="M1011" s="39" t="str"/>
      <x:c r="N1011" s="39" t="str">
        <x:v>نسخه پایه ۳۱۵۰</x:v>
      </x:c>
    </x:row>
    <x:row r="1012" ht="34" customHeight="1">
      <x:c r="A1012" s="34" t="str">
        <x:v>☐</x:v>
      </x:c>
      <x:c r="B1012" s="34" t="str">
        <x:v>MI-1069</x:v>
      </x:c>
      <x:c r="C1012" s="34" t="str">
        <x:v>M4 — اجرا، دانشگاه، صنعت و پروژه‌های اجتماعی</x:v>
      </x:c>
      <x:c r="D1012" s="34" t="str">
        <x:v>H11</x:v>
      </x:c>
      <x:c r="E1012" s="34" t="str">
        <x:v>دانشگاه؛ صنفی، رفاهی، اجرایی و رسانه‌ای</x:v>
      </x:c>
      <x:c r="F1012" s="34" t="str">
        <x:v>DELEGATE/P2</x:v>
      </x:c>
      <x:c r="G1012" s="34" t="str">
        <x:v>مهارت/یادگیری</x:v>
      </x:c>
      <x:c r="H1012" s="39" t="str">
        <x:v>ارایه محتوای جذاب اساتید</x:v>
      </x:c>
      <x:c r="I1012" s="39" t="str">
        <x:v>پورتفو؛ واگذاری اجرا و تمرکز بر راهبری</x:v>
      </x:c>
      <x:c r="J1012" s="39" t="str">
        <x:v>PMO/عملیات + روابط عمومی</x:v>
      </x:c>
      <x:c r="K1012" s="39" t="str"/>
      <x:c r="L1012" s="39" t="str">
        <x:v>AP:P913</x:v>
      </x:c>
      <x:c r="M1012" s="39" t="str"/>
      <x:c r="N1012" s="39" t="str">
        <x:v>نسخه پایه ۳۱۵۰</x:v>
      </x:c>
    </x:row>
    <x:row r="1013" ht="34" customHeight="1">
      <x:c r="A1013" s="34" t="str">
        <x:v>☐</x:v>
      </x:c>
      <x:c r="B1013" s="34" t="str">
        <x:v>MI-1070</x:v>
      </x:c>
      <x:c r="C1013" s="34" t="str">
        <x:v>M4 — اجرا، دانشگاه، صنعت و پروژه‌های اجتماعی</x:v>
      </x:c>
      <x:c r="D1013" s="34" t="str">
        <x:v>H11</x:v>
      </x:c>
      <x:c r="E1013" s="34" t="str">
        <x:v>دانشگاه؛ صنفی، رفاهی، اجرایی و رسانه‌ای</x:v>
      </x:c>
      <x:c r="F1013" s="34" t="str">
        <x:v>DELEGATE/P2</x:v>
      </x:c>
      <x:c r="G1013" s="34" t="str">
        <x:v>مهارت/یادگیری</x:v>
      </x:c>
      <x:c r="H1013" s="39" t="str">
        <x:v>خروجی دانشجو از کلاس های استید یکسان نیست که یعنی عدم تطبیق بودجه بندی آموزشی اساتید با هم ، یکی کم درس میده یکی زیادتر درس میده ، خب با هم تطبیق داشته باشند.</x:v>
      </x:c>
      <x:c r="I1013" s="39" t="str">
        <x:v>پورتفو؛ واگذاری اجرا و تمرکز بر راهبری</x:v>
      </x:c>
      <x:c r="J1013" s="39" t="str">
        <x:v>PMO/عملیات + روابط عمومی</x:v>
      </x:c>
      <x:c r="K1013" s="39" t="str"/>
      <x:c r="L1013" s="39" t="str">
        <x:v>AP:P915</x:v>
      </x:c>
      <x:c r="M1013" s="39" t="str"/>
      <x:c r="N1013" s="39" t="str">
        <x:v>نسخه پایه ۳۱۵۰</x:v>
      </x:c>
    </x:row>
    <x:row r="1014" ht="34" customHeight="1">
      <x:c r="A1014" s="34" t="str">
        <x:v>☐</x:v>
      </x:c>
      <x:c r="B1014" s="34" t="str">
        <x:v>MI-1071</x:v>
      </x:c>
      <x:c r="C1014" s="34" t="str">
        <x:v>M4 — اجرا، دانشگاه، صنعت و پروژه‌های اجتماعی</x:v>
      </x:c>
      <x:c r="D1014" s="34" t="str">
        <x:v>H11</x:v>
      </x:c>
      <x:c r="E1014" s="34" t="str">
        <x:v>دانشگاه؛ صنفی، رفاهی، اجرایی و رسانه‌ای</x:v>
      </x:c>
      <x:c r="F1014" s="34" t="str">
        <x:v>DELEGATE/P2</x:v>
      </x:c>
      <x:c r="G1014" s="34" t="str">
        <x:v>مهارت/یادگیری</x:v>
      </x:c>
      <x:c r="H1014" s="39" t="str">
        <x:v>خروجی نمره هم یسکان نیست یکی با طلایی ده میگیره یکی با کلانتری 17</x:v>
      </x:c>
      <x:c r="I1014" s="39" t="str">
        <x:v>پورتفو؛ واگذاری اجرا و تمرکز بر راهبری</x:v>
      </x:c>
      <x:c r="J1014" s="39" t="str">
        <x:v>PMO/عملیات + روابط عمومی</x:v>
      </x:c>
      <x:c r="K1014" s="39" t="str"/>
      <x:c r="L1014" s="39" t="str">
        <x:v>AP:P916</x:v>
      </x:c>
      <x:c r="M1014" s="39" t="str"/>
      <x:c r="N1014" s="39" t="str">
        <x:v>نسخه پایه ۳۱۵۰</x:v>
      </x:c>
    </x:row>
    <x:row r="1015" ht="34" customHeight="1">
      <x:c r="A1015" s="34" t="str">
        <x:v>☐</x:v>
      </x:c>
      <x:c r="B1015" s="34" t="str">
        <x:v>MI-1072</x:v>
      </x:c>
      <x:c r="C1015" s="34" t="str">
        <x:v>M4 — اجرا، دانشگاه، صنعت و پروژه‌های اجتماعی</x:v>
      </x:c>
      <x:c r="D1015" s="34" t="str">
        <x:v>H11</x:v>
      </x:c>
      <x:c r="E1015" s="34" t="str">
        <x:v>دانشگاه؛ صنفی، رفاهی، اجرایی و رسانه‌ای</x:v>
      </x:c>
      <x:c r="F1015" s="34" t="str">
        <x:v>DELEGATE/P2</x:v>
      </x:c>
      <x:c r="G1015" s="34" t="str">
        <x:v>مهارت/یادگیری</x:v>
      </x:c>
      <x:c r="H1015" s="39" t="str">
        <x:v>وضعیت کلاس ها</x:v>
      </x:c>
      <x:c r="I1015" s="39" t="str">
        <x:v>پورتفو؛ واگذاری اجرا و تمرکز بر راهبری</x:v>
      </x:c>
      <x:c r="J1015" s="39" t="str">
        <x:v>PMO/عملیات + روابط عمومی</x:v>
      </x:c>
      <x:c r="K1015" s="39" t="str"/>
      <x:c r="L1015" s="39" t="str">
        <x:v>AP:P917</x:v>
      </x:c>
      <x:c r="M1015" s="39" t="str"/>
      <x:c r="N1015" s="39" t="str">
        <x:v>نسخه پایه ۳۱۵۰</x:v>
      </x:c>
    </x:row>
    <x:row r="1016" ht="34" customHeight="1">
      <x:c r="A1016" s="34" t="str">
        <x:v>☐</x:v>
      </x:c>
      <x:c r="B1016" s="34" t="str">
        <x:v>MI-1073</x:v>
      </x:c>
      <x:c r="C1016" s="34" t="str">
        <x:v>M4 — اجرا، دانشگاه، صنعت و پروژه‌های اجتماعی</x:v>
      </x:c>
      <x:c r="D1016" s="34" t="str">
        <x:v>H11</x:v>
      </x:c>
      <x:c r="E1016" s="34" t="str">
        <x:v>دانشگاه؛ صنفی، رفاهی، اجرایی و رسانه‌ای</x:v>
      </x:c>
      <x:c r="F1016" s="34" t="str">
        <x:v>DELEGATE/P2</x:v>
      </x:c>
      <x:c r="G1016" s="34" t="str">
        <x:v>مهارت/یادگیری</x:v>
      </x:c>
      <x:c r="H1016" s="39" t="str">
        <x:v>حضور اساتید در بازدید های علمی</x:v>
      </x:c>
      <x:c r="I1016" s="39" t="str">
        <x:v>پورتفو؛ واگذاری اجرا و تمرکز بر راهبری</x:v>
      </x:c>
      <x:c r="J1016" s="39" t="str">
        <x:v>PMO/عملیات + روابط عمومی</x:v>
      </x:c>
      <x:c r="K1016" s="39" t="str"/>
      <x:c r="L1016" s="39" t="str">
        <x:v>AP:P918</x:v>
      </x:c>
      <x:c r="M1016" s="39" t="str"/>
      <x:c r="N1016" s="39" t="str">
        <x:v>نسخه پایه ۳۱۵۰</x:v>
      </x:c>
    </x:row>
    <x:row r="1017" ht="34" customHeight="1">
      <x:c r="A1017" s="34" t="str">
        <x:v>☐</x:v>
      </x:c>
      <x:c r="B1017" s="34" t="str">
        <x:v>MI-1075</x:v>
      </x:c>
      <x:c r="C1017" s="34" t="str">
        <x:v>M4 — اجرا، دانشگاه، صنعت و پروژه‌های اجتماعی</x:v>
      </x:c>
      <x:c r="D1017" s="34" t="str">
        <x:v>H11</x:v>
      </x:c>
      <x:c r="E1017" s="34" t="str">
        <x:v>دانشگاه؛ صنفی، رفاهی، اجرایی و رسانه‌ای</x:v>
      </x:c>
      <x:c r="F1017" s="34" t="str">
        <x:v>DELEGATE/P2</x:v>
      </x:c>
      <x:c r="G1017" s="34" t="str">
        <x:v>مهارت/یادگیری</x:v>
      </x:c>
      <x:c r="H1017" s="39" t="str">
        <x:v>ارزیابی امتحانات</x:v>
      </x:c>
      <x:c r="I1017" s="39" t="str">
        <x:v>پورتفو؛ واگذاری اجرا و تمرکز بر راهبری</x:v>
      </x:c>
      <x:c r="J1017" s="39" t="str">
        <x:v>PMO/عملیات + روابط عمومی</x:v>
      </x:c>
      <x:c r="K1017" s="39" t="str"/>
      <x:c r="L1017" s="39" t="str">
        <x:v>AP:P921</x:v>
      </x:c>
      <x:c r="M1017" s="39" t="str"/>
      <x:c r="N1017" s="39" t="str">
        <x:v>نسخه پایه ۳۱۵۰</x:v>
      </x:c>
    </x:row>
    <x:row r="1018" ht="34" customHeight="1">
      <x:c r="A1018" s="34" t="str">
        <x:v>☐</x:v>
      </x:c>
      <x:c r="B1018" s="34" t="str">
        <x:v>MI-1077</x:v>
      </x:c>
      <x:c r="C1018" s="34" t="str">
        <x:v>M4 — اجرا، دانشگاه، صنعت و پروژه‌های اجتماعی</x:v>
      </x:c>
      <x:c r="D1018" s="34" t="str">
        <x:v>H11</x:v>
      </x:c>
      <x:c r="E1018" s="34" t="str">
        <x:v>دانشگاه؛ صنفی، رفاهی، اجرایی و رسانه‌ای</x:v>
      </x:c>
      <x:c r="F1018" s="34" t="str">
        <x:v>DELEGATE/P2</x:v>
      </x:c>
      <x:c r="G1018" s="34" t="str">
        <x:v>مهارت/یادگیری</x:v>
      </x:c>
      <x:c r="H1018" s="39" t="str">
        <x:v>تقدیر و تشکرر از صنفی توسط آموزشی</x:v>
      </x:c>
      <x:c r="I1018" s="39" t="str">
        <x:v>پورتفو؛ واگذاری اجرا و تمرکز بر راهبری</x:v>
      </x:c>
      <x:c r="J1018" s="39" t="str">
        <x:v>PMO/عملیات + روابط عمومی</x:v>
      </x:c>
      <x:c r="K1018" s="39" t="str"/>
      <x:c r="L1018" s="39" t="str">
        <x:v>AP:P923</x:v>
      </x:c>
      <x:c r="M1018" s="39" t="str"/>
      <x:c r="N1018" s="39" t="str">
        <x:v>نسخه پایه ۳۱۵۰</x:v>
      </x:c>
    </x:row>
    <x:row r="1019" ht="34" customHeight="1">
      <x:c r="A1019" s="34" t="str">
        <x:v>☐</x:v>
      </x:c>
      <x:c r="B1019" s="34" t="str">
        <x:v>MI-1580</x:v>
      </x:c>
      <x:c r="C1019" s="34" t="str">
        <x:v>M4 — اجرا، دانشگاه، صنعت و پروژه‌های اجتماعی</x:v>
      </x:c>
      <x:c r="D1019" s="34" t="str">
        <x:v>H11</x:v>
      </x:c>
      <x:c r="E1019" s="34" t="str">
        <x:v>دانشگاه؛ صنفی، رفاهی، اجرایی و رسانه‌ای</x:v>
      </x:c>
      <x:c r="F1019" s="34" t="str">
        <x:v>DELEGATE/P2</x:v>
      </x:c>
      <x:c r="G1019" s="34" t="str">
        <x:v>مهارت/یادگیری</x:v>
      </x:c>
      <x:c r="H1019" s="39" t="str">
        <x:v>یعنی یه سیستم بالا اوردی که افراد رو پایش کرد ، حالا میتونی با یه سیستم دیگه اونا رو پایش کنی و به فراخور شرایط ببینی چه مهارتی داره و چه مهارتی کم داره که بشه روش کار کرد ، در این میان میری اکادمی راه میندازی که قوی ترش کنی یا مهارتی یادش بدی که این وسط اکادمی ها و سمن ها میتونن فعالیت کنن ، و یا اینکه افراد میخوان تیم بشن یا مهارت های کارفارینی یا تیم سازی رو یاد بیگرند که میشه در مراکز نوآوری و امثالهم پروژه بگیرن و تیم سازی خودشون رو جلو ببرن و پروژه ای رو بسازن یا اینکه بودجه بگیرن و اون رو پیاده کنن و اینا ،ف،، در این میان ممکنه یه بوتکمپی برگزار بشه یا اردوگاهی هماهنگ بشه برای تفریح یا مناسبت خاص یا اجرای پروژه یا بازدید صنعتی که این بازدید میتونه برای دانشجویان یه دانشگاه باشه یا اینکه به صورت تخحصصی افرادی که در یه زمینه ای روی یه پروژه ای دارند کار میکنند مثلا حوالی استان مازندران استان های تهارن البرز و گلستان و اینها هستن که میتونن با هماهنگی در این اردو ها شرکت کنند و یا اینکه بازدید صنعتی چند روزه بزاریم که افرادی که دران روی پروژه هایی مرتبط با یه صنعت خاص که در مازندران هست میتونن به صورت تیمی حاضر بشن و افراد مسیول و ماهر در اون زمنیه در اون شرکت بیاد و سلسله جلساتی رو با این افراد بزار ه مثلا عارضه یابی شده</x:v>
      </x:c>
      <x:c r="I1019" s="39" t="str">
        <x:v>پورتفو؛ واگذاری اجرا و تمرکز بر راهبری</x:v>
      </x:c>
      <x:c r="J1019" s="39" t="str">
        <x:v>PMO/عملیات + روابط عمومی</x:v>
      </x:c>
      <x:c r="K1019" s="39" t="str"/>
      <x:c r="L1019" s="39" t="str">
        <x:v>E112:P18؛ E112:P1798؛ E112:P2264</x:v>
      </x:c>
      <x:c r="M1019" s="39" t="str"/>
      <x:c r="N1019" s="39" t="str">
        <x:v>نسخه پایه ۳۱۵۰</x:v>
      </x:c>
    </x:row>
    <x:row r="1020" ht="34" customHeight="1">
      <x:c r="A1020" s="34" t="str">
        <x:v>☐</x:v>
      </x:c>
      <x:c r="B1020" s="34" t="str">
        <x:v>MI-0024</x:v>
      </x:c>
      <x:c r="C1020" s="34" t="str">
        <x:v>M4 — اجرا، دانشگاه، صنعت و پروژه‌های اجتماعی</x:v>
      </x:c>
      <x:c r="D1020" s="34" t="str">
        <x:v>H11</x:v>
      </x:c>
      <x:c r="E1020" s="34" t="str">
        <x:v>دانشگاه؛ صنفی، رفاهی، اجرایی و رسانه‌ای</x:v>
      </x:c>
      <x:c r="F1020" s="34" t="str">
        <x:v>DELEGATE/P2</x:v>
      </x:c>
      <x:c r="G1020" s="34" t="str">
        <x:v>هدف/موضوع</x:v>
      </x:c>
      <x:c r="H1020" s="39" t="str">
        <x:v>پارت اخبار جدید برون دانشگاهی</x:v>
      </x:c>
      <x:c r="I1020" s="39" t="str">
        <x:v>پورتفو؛ واگذاری اجرا و تمرکز بر راهبری</x:v>
      </x:c>
      <x:c r="J1020" s="39" t="str">
        <x:v>PMO/عملیات + روابط عمومی</x:v>
      </x:c>
      <x:c r="K1020" s="39" t="str"/>
      <x:c r="L1020" s="39" t="str">
        <x:v>PL:R25</x:v>
      </x:c>
      <x:c r="M1020" s="39" t="str"/>
      <x:c r="N1020" s="39" t="str">
        <x:v>نسخه پایه ۳۱۵۰</x:v>
      </x:c>
    </x:row>
    <x:row r="1021" ht="34" customHeight="1">
      <x:c r="A1021" s="34" t="str">
        <x:v>☐</x:v>
      </x:c>
      <x:c r="B1021" s="34" t="str">
        <x:v>MI-0025</x:v>
      </x:c>
      <x:c r="C1021" s="34" t="str">
        <x:v>M4 — اجرا، دانشگاه، صنعت و پروژه‌های اجتماعی</x:v>
      </x:c>
      <x:c r="D1021" s="34" t="str">
        <x:v>H11</x:v>
      </x:c>
      <x:c r="E1021" s="34" t="str">
        <x:v>دانشگاه؛ صنفی، رفاهی، اجرایی و رسانه‌ای</x:v>
      </x:c>
      <x:c r="F1021" s="34" t="str">
        <x:v>DELEGATE/P2</x:v>
      </x:c>
      <x:c r="G1021" s="34" t="str">
        <x:v>هدف/موضوع</x:v>
      </x:c>
      <x:c r="H1021" s="39" t="str">
        <x:v>پارت اخبار جدید درون دانشگاهی</x:v>
      </x:c>
      <x:c r="I1021" s="39" t="str">
        <x:v>پورتفو؛ واگذاری اجرا و تمرکز بر راهبری</x:v>
      </x:c>
      <x:c r="J1021" s="39" t="str">
        <x:v>PMO/عملیات + روابط عمومی</x:v>
      </x:c>
      <x:c r="K1021" s="39" t="str"/>
      <x:c r="L1021" s="39" t="str">
        <x:v>PL:R26</x:v>
      </x:c>
      <x:c r="M1021" s="39" t="str"/>
      <x:c r="N1021" s="39" t="str">
        <x:v>نسخه پایه ۳۱۵۰</x:v>
      </x:c>
    </x:row>
    <x:row r="1022" ht="34" customHeight="1">
      <x:c r="A1022" s="34" t="str">
        <x:v>☐</x:v>
      </x:c>
      <x:c r="B1022" s="34" t="str">
        <x:v>MI-0209</x:v>
      </x:c>
      <x:c r="C1022" s="34" t="str">
        <x:v>M4 — اجرا، دانشگاه، صنعت و پروژه‌های اجتماعی</x:v>
      </x:c>
      <x:c r="D1022" s="34" t="str">
        <x:v>H11</x:v>
      </x:c>
      <x:c r="E1022" s="34" t="str">
        <x:v>دانشگاه؛ صنفی، رفاهی، اجرایی و رسانه‌ای</x:v>
      </x:c>
      <x:c r="F1022" s="34" t="str">
        <x:v>DELEGATE/P2</x:v>
      </x:c>
      <x:c r="G1022" s="34" t="str">
        <x:v>هدف/موضوع</x:v>
      </x:c>
      <x:c r="H1022" s="39" t="str">
        <x:v>جهادی و بسیج دانشجویی</x:v>
      </x:c>
      <x:c r="I1022" s="39" t="str">
        <x:v>پورتفو؛ واگذاری اجرا و تمرکز بر راهبری</x:v>
      </x:c>
      <x:c r="J1022" s="39" t="str">
        <x:v>PMO/عملیات + روابط عمومی</x:v>
      </x:c>
      <x:c r="K1022" s="39" t="str"/>
      <x:c r="L1022" s="39" t="str">
        <x:v>PL:R276</x:v>
      </x:c>
      <x:c r="M1022" s="39" t="str"/>
      <x:c r="N1022" s="39" t="str">
        <x:v>نسخه پایه ۳۱۵۰</x:v>
      </x:c>
    </x:row>
    <x:row r="1023" ht="34" customHeight="1">
      <x:c r="A1023" s="34" t="str">
        <x:v>☐</x:v>
      </x:c>
      <x:c r="B1023" s="34" t="str">
        <x:v>MI-0233</x:v>
      </x:c>
      <x:c r="C1023" s="34" t="str">
        <x:v>M4 — اجرا، دانشگاه، صنعت و پروژه‌های اجتماعی</x:v>
      </x:c>
      <x:c r="D1023" s="34" t="str">
        <x:v>H11</x:v>
      </x:c>
      <x:c r="E1023" s="34" t="str">
        <x:v>دانشگاه؛ صنفی، رفاهی، اجرایی و رسانه‌ای</x:v>
      </x:c>
      <x:c r="F1023" s="34" t="str">
        <x:v>DELEGATE/P2</x:v>
      </x:c>
      <x:c r="G1023" s="34" t="str">
        <x:v>هدف/موضوع</x:v>
      </x:c>
      <x:c r="H1023" s="39" t="str">
        <x:v>برون دانشگاهی</x:v>
      </x:c>
      <x:c r="I1023" s="39" t="str">
        <x:v>پورتفو؛ واگذاری اجرا و تمرکز بر راهبری</x:v>
      </x:c>
      <x:c r="J1023" s="39" t="str">
        <x:v>PMO/عملیات + روابط عمومی</x:v>
      </x:c>
      <x:c r="K1023" s="39" t="str"/>
      <x:c r="L1023" s="39" t="str">
        <x:v>AP:P3</x:v>
      </x:c>
      <x:c r="M1023" s="39" t="str"/>
      <x:c r="N1023" s="39" t="str">
        <x:v>نسخه پایه ۳۱۵۰</x:v>
      </x:c>
    </x:row>
    <x:row r="1024" ht="34" customHeight="1">
      <x:c r="A1024" s="34" t="str">
        <x:v>☐</x:v>
      </x:c>
      <x:c r="B1024" s="34" t="str">
        <x:v>MI-0234</x:v>
      </x:c>
      <x:c r="C1024" s="34" t="str">
        <x:v>M4 — اجرا، دانشگاه، صنعت و پروژه‌های اجتماعی</x:v>
      </x:c>
      <x:c r="D1024" s="34" t="str">
        <x:v>H11</x:v>
      </x:c>
      <x:c r="E1024" s="34" t="str">
        <x:v>دانشگاه؛ صنفی، رفاهی، اجرایی و رسانه‌ای</x:v>
      </x:c>
      <x:c r="F1024" s="34" t="str">
        <x:v>DELEGATE/P2</x:v>
      </x:c>
      <x:c r="G1024" s="34" t="str">
        <x:v>هدف/موضوع</x:v>
      </x:c>
      <x:c r="H1024" s="39" t="str">
        <x:v>بسیج بومهن</x:v>
      </x:c>
      <x:c r="I1024" s="39" t="str">
        <x:v>پورتفو؛ واگذاری اجرا و تمرکز بر راهبری</x:v>
      </x:c>
      <x:c r="J1024" s="39" t="str">
        <x:v>PMO/عملیات + روابط عمومی</x:v>
      </x:c>
      <x:c r="K1024" s="39" t="str"/>
      <x:c r="L1024" s="39" t="str">
        <x:v>AP:P4</x:v>
      </x:c>
      <x:c r="M1024" s="39" t="str"/>
      <x:c r="N1024" s="39" t="str">
        <x:v>نسخه پایه ۳۱۵۰</x:v>
      </x:c>
    </x:row>
    <x:row r="1025" ht="34" customHeight="1">
      <x:c r="A1025" s="34" t="str">
        <x:v>☐</x:v>
      </x:c>
      <x:c r="B1025" s="34" t="str">
        <x:v>MI-0237</x:v>
      </x:c>
      <x:c r="C1025" s="34" t="str">
        <x:v>M4 — اجرا، دانشگاه، صنعت و پروژه‌های اجتماعی</x:v>
      </x:c>
      <x:c r="D1025" s="34" t="str">
        <x:v>H11</x:v>
      </x:c>
      <x:c r="E1025" s="34" t="str">
        <x:v>دانشگاه؛ صنفی، رفاهی، اجرایی و رسانه‌ای</x:v>
      </x:c>
      <x:c r="F1025" s="34" t="str">
        <x:v>DELEGATE/P2</x:v>
      </x:c>
      <x:c r="G1025" s="34" t="str">
        <x:v>هدف/موضوع</x:v>
      </x:c>
      <x:c r="H1025" s="39" t="str">
        <x:v>مسجد محدثین</x:v>
      </x:c>
      <x:c r="I1025" s="39" t="str">
        <x:v>پورتفو؛ واگذاری اجرا و تمرکز بر راهبری</x:v>
      </x:c>
      <x:c r="J1025" s="39" t="str">
        <x:v>PMO/عملیات + روابط عمومی</x:v>
      </x:c>
      <x:c r="K1025" s="39" t="str"/>
      <x:c r="L1025" s="39" t="str">
        <x:v>AP:P7</x:v>
      </x:c>
      <x:c r="M1025" s="39" t="str"/>
      <x:c r="N1025" s="39" t="str">
        <x:v>نسخه پایه ۳۱۵۰</x:v>
      </x:c>
    </x:row>
    <x:row r="1026" ht="34" customHeight="1">
      <x:c r="A1026" s="34" t="str">
        <x:v>☐</x:v>
      </x:c>
      <x:c r="B1026" s="34" t="str">
        <x:v>MI-0238</x:v>
      </x:c>
      <x:c r="C1026" s="34" t="str">
        <x:v>M4 — اجرا، دانشگاه، صنعت و پروژه‌های اجتماعی</x:v>
      </x:c>
      <x:c r="D1026" s="34" t="str">
        <x:v>H11</x:v>
      </x:c>
      <x:c r="E1026" s="34" t="str">
        <x:v>دانشگاه؛ صنفی، رفاهی، اجرایی و رسانه‌ای</x:v>
      </x:c>
      <x:c r="F1026" s="34" t="str">
        <x:v>DELEGATE/P2</x:v>
      </x:c>
      <x:c r="G1026" s="34" t="str">
        <x:v>هدف/موضوع</x:v>
      </x:c>
      <x:c r="H1026" s="39" t="str">
        <x:v>آرامگاه معتمدی و شهدا</x:v>
      </x:c>
      <x:c r="I1026" s="39" t="str">
        <x:v>پورتفو؛ واگذاری اجرا و تمرکز بر راهبری</x:v>
      </x:c>
      <x:c r="J1026" s="39" t="str">
        <x:v>PMO/عملیات + روابط عمومی</x:v>
      </x:c>
      <x:c r="K1026" s="39" t="str"/>
      <x:c r="L1026" s="39" t="str">
        <x:v>AP:P8</x:v>
      </x:c>
      <x:c r="M1026" s="39" t="str"/>
      <x:c r="N1026" s="39" t="str">
        <x:v>نسخه پایه ۳۱۵۰</x:v>
      </x:c>
    </x:row>
    <x:row r="1027" ht="34" customHeight="1">
      <x:c r="A1027" s="34" t="str">
        <x:v>☐</x:v>
      </x:c>
      <x:c r="B1027" s="34" t="str">
        <x:v>MI-0240</x:v>
      </x:c>
      <x:c r="C1027" s="34" t="str">
        <x:v>M4 — اجرا، دانشگاه، صنعت و پروژه‌های اجتماعی</x:v>
      </x:c>
      <x:c r="D1027" s="34" t="str">
        <x:v>H11</x:v>
      </x:c>
      <x:c r="E1027" s="34" t="str">
        <x:v>دانشگاه؛ صنفی، رفاهی، اجرایی و رسانه‌ای</x:v>
      </x:c>
      <x:c r="F1027" s="34" t="str">
        <x:v>DELEGATE/P2</x:v>
      </x:c>
      <x:c r="G1027" s="34" t="str">
        <x:v>هدف/موضوع</x:v>
      </x:c>
      <x:c r="H1027" s="39" t="str">
        <x:v>شامل تمامی دانشجویان در تمامی مقاطع</x:v>
      </x:c>
      <x:c r="I1027" s="39" t="str">
        <x:v>پورتفو؛ واگذاری اجرا و تمرکز بر راهبری</x:v>
      </x:c>
      <x:c r="J1027" s="39" t="str">
        <x:v>PMO/عملیات + روابط عمومی</x:v>
      </x:c>
      <x:c r="K1027" s="39" t="str"/>
      <x:c r="L1027" s="39" t="str">
        <x:v>AP:P11</x:v>
      </x:c>
      <x:c r="M1027" s="39" t="str"/>
      <x:c r="N1027" s="39" t="str">
        <x:v>نسخه پایه ۳۱۵۰</x:v>
      </x:c>
    </x:row>
    <x:row r="1028" ht="34" customHeight="1">
      <x:c r="A1028" s="34" t="str">
        <x:v>☐</x:v>
      </x:c>
      <x:c r="B1028" s="34" t="str">
        <x:v>MI-0247</x:v>
      </x:c>
      <x:c r="C1028" s="34" t="str">
        <x:v>M4 — اجرا، دانشگاه، صنعت و پروژه‌های اجتماعی</x:v>
      </x:c>
      <x:c r="D1028" s="34" t="str">
        <x:v>H11</x:v>
      </x:c>
      <x:c r="E1028" s="34" t="str">
        <x:v>دانشگاه؛ صنفی، رفاهی، اجرایی و رسانه‌ای</x:v>
      </x:c>
      <x:c r="F1028" s="34" t="str">
        <x:v>DELEGATE/P2</x:v>
      </x:c>
      <x:c r="G1028" s="34" t="str">
        <x:v>هدف/موضوع</x:v>
      </x:c>
      <x:c r="H1028" s="39" t="str">
        <x:v>جهاد تبیین دانشگاه</x:v>
      </x:c>
      <x:c r="I1028" s="39" t="str">
        <x:v>پورتفو؛ واگذاری اجرا و تمرکز بر راهبری</x:v>
      </x:c>
      <x:c r="J1028" s="39" t="str">
        <x:v>PMO/عملیات + روابط عمومی</x:v>
      </x:c>
      <x:c r="K1028" s="39" t="str"/>
      <x:c r="L1028" s="39" t="str">
        <x:v>AP:P18</x:v>
      </x:c>
      <x:c r="M1028" s="39" t="str"/>
      <x:c r="N1028" s="39" t="str">
        <x:v>نسخه پایه ۳۱۵۰</x:v>
      </x:c>
    </x:row>
    <x:row r="1029" ht="34" customHeight="1">
      <x:c r="A1029" s="34" t="str">
        <x:v>☐</x:v>
      </x:c>
      <x:c r="B1029" s="34" t="str">
        <x:v>MI-0259</x:v>
      </x:c>
      <x:c r="C1029" s="34" t="str">
        <x:v>M4 — اجرا، دانشگاه، صنعت و پروژه‌های اجتماعی</x:v>
      </x:c>
      <x:c r="D1029" s="34" t="str">
        <x:v>H11</x:v>
      </x:c>
      <x:c r="E1029" s="34" t="str">
        <x:v>دانشگاه؛ صنفی، رفاهی، اجرایی و رسانه‌ای</x:v>
      </x:c>
      <x:c r="F1029" s="34" t="str">
        <x:v>DELEGATE/P2</x:v>
      </x:c>
      <x:c r="G1029" s="34" t="str">
        <x:v>هدف/موضوع</x:v>
      </x:c>
      <x:c r="H1029" s="39" t="str">
        <x:v>کارگروه هدایت تحصیلی</x:v>
      </x:c>
      <x:c r="I1029" s="39" t="str">
        <x:v>پورتفو؛ واگذاری اجرا و تمرکز بر راهبری</x:v>
      </x:c>
      <x:c r="J1029" s="39" t="str">
        <x:v>PMO/عملیات + روابط عمومی</x:v>
      </x:c>
      <x:c r="K1029" s="39" t="str"/>
      <x:c r="L1029" s="39" t="str">
        <x:v>AP:P30</x:v>
      </x:c>
      <x:c r="M1029" s="39" t="str"/>
      <x:c r="N1029" s="39" t="str">
        <x:v>نسخه پایه ۳۱۵۰</x:v>
      </x:c>
    </x:row>
    <x:row r="1030" ht="34" customHeight="1">
      <x:c r="A1030" s="34" t="str">
        <x:v>☐</x:v>
      </x:c>
      <x:c r="B1030" s="34" t="str">
        <x:v>MI-0260</x:v>
      </x:c>
      <x:c r="C1030" s="34" t="str">
        <x:v>M4 — اجرا، دانشگاه، صنعت و پروژه‌های اجتماعی</x:v>
      </x:c>
      <x:c r="D1030" s="34" t="str">
        <x:v>H11</x:v>
      </x:c>
      <x:c r="E1030" s="34" t="str">
        <x:v>دانشگاه؛ صنفی، رفاهی، اجرایی و رسانه‌ای</x:v>
      </x:c>
      <x:c r="F1030" s="34" t="str">
        <x:v>DELEGATE/P2</x:v>
      </x:c>
      <x:c r="G1030" s="34" t="str">
        <x:v>هدف/موضوع</x:v>
      </x:c>
      <x:c r="H1030" s="39" t="str">
        <x:v>با پایش وضعیت تحصیلی دانشجویان</x:v>
      </x:c>
      <x:c r="I1030" s="39" t="str">
        <x:v>پورتفو؛ واگذاری اجرا و تمرکز بر راهبری</x:v>
      </x:c>
      <x:c r="J1030" s="39" t="str">
        <x:v>PMO/عملیات + روابط عمومی</x:v>
      </x:c>
      <x:c r="K1030" s="39" t="str"/>
      <x:c r="L1030" s="39" t="str">
        <x:v>AP:P31</x:v>
      </x:c>
      <x:c r="M1030" s="39" t="str"/>
      <x:c r="N1030" s="39" t="str">
        <x:v>نسخه پایه ۳۱۵۰</x:v>
      </x:c>
    </x:row>
    <x:row r="1031" ht="34" customHeight="1">
      <x:c r="A1031" s="34" t="str">
        <x:v>☐</x:v>
      </x:c>
      <x:c r="B1031" s="34" t="str">
        <x:v>MI-0282</x:v>
      </x:c>
      <x:c r="C1031" s="34" t="str">
        <x:v>M4 — اجرا، دانشگاه، صنعت و پروژه‌های اجتماعی</x:v>
      </x:c>
      <x:c r="D1031" s="34" t="str">
        <x:v>H11</x:v>
      </x:c>
      <x:c r="E1031" s="34" t="str">
        <x:v>دانشگاه؛ صنفی، رفاهی، اجرایی و رسانه‌ای</x:v>
      </x:c>
      <x:c r="F1031" s="34" t="str">
        <x:v>DELEGATE/P2</x:v>
      </x:c>
      <x:c r="G1031" s="34" t="str">
        <x:v>هدف/موضوع</x:v>
      </x:c>
      <x:c r="H1031" s="39" t="str">
        <x:v>نیازسنجی برای قشر دانشجو</x:v>
      </x:c>
      <x:c r="I1031" s="39" t="str">
        <x:v>پورتفو؛ واگذاری اجرا و تمرکز بر راهبری</x:v>
      </x:c>
      <x:c r="J1031" s="39" t="str">
        <x:v>PMO/عملیات + روابط عمومی</x:v>
      </x:c>
      <x:c r="K1031" s="39" t="str"/>
      <x:c r="L1031" s="39" t="str">
        <x:v>AP:P53</x:v>
      </x:c>
      <x:c r="M1031" s="39" t="str"/>
      <x:c r="N1031" s="39" t="str">
        <x:v>نسخه پایه ۳۱۵۰</x:v>
      </x:c>
    </x:row>
    <x:row r="1032" ht="34" customHeight="1">
      <x:c r="A1032" s="34" t="str">
        <x:v>☐</x:v>
      </x:c>
      <x:c r="B1032" s="34" t="str">
        <x:v>MI-0291</x:v>
      </x:c>
      <x:c r="C1032" s="34" t="str">
        <x:v>M4 — اجرا، دانشگاه، صنعت و پروژه‌های اجتماعی</x:v>
      </x:c>
      <x:c r="D1032" s="34" t="str">
        <x:v>H11</x:v>
      </x:c>
      <x:c r="E1032" s="34" t="str">
        <x:v>دانشگاه؛ صنفی، رفاهی، اجرایی و رسانه‌ای</x:v>
      </x:c>
      <x:c r="F1032" s="34" t="str">
        <x:v>DELEGATE/P2</x:v>
      </x:c>
      <x:c r="G1032" s="34" t="str">
        <x:v>هدف/موضوع</x:v>
      </x:c>
      <x:c r="H1032" s="39" t="str">
        <x:v>صنفی رفاهی</x:v>
      </x:c>
      <x:c r="I1032" s="39" t="str">
        <x:v>پورتفو؛ واگذاری اجرا و تمرکز بر راهبری</x:v>
      </x:c>
      <x:c r="J1032" s="39" t="str">
        <x:v>PMO/عملیات + روابط عمومی</x:v>
      </x:c>
      <x:c r="K1032" s="39" t="str"/>
      <x:c r="L1032" s="39" t="str">
        <x:v>AP:P62</x:v>
      </x:c>
      <x:c r="M1032" s="39" t="str"/>
      <x:c r="N1032" s="39" t="str">
        <x:v>نسخه پایه ۳۱۵۰</x:v>
      </x:c>
    </x:row>
    <x:row r="1033" ht="34" customHeight="1">
      <x:c r="A1033" s="34" t="str">
        <x:v>☐</x:v>
      </x:c>
      <x:c r="B1033" s="34" t="str">
        <x:v>MI-0292</x:v>
      </x:c>
      <x:c r="C1033" s="34" t="str">
        <x:v>M4 — اجرا، دانشگاه، صنعت و پروژه‌های اجتماعی</x:v>
      </x:c>
      <x:c r="D1033" s="34" t="str">
        <x:v>H11</x:v>
      </x:c>
      <x:c r="E1033" s="34" t="str">
        <x:v>دانشگاه؛ صنفی، رفاهی، اجرایی و رسانه‌ای</x:v>
      </x:c>
      <x:c r="F1033" s="34" t="str">
        <x:v>DELEGATE/P2</x:v>
      </x:c>
      <x:c r="G1033" s="34" t="str">
        <x:v>هدف/موضوع</x:v>
      </x:c>
      <x:c r="H1033" s="39" t="str">
        <x:v>مدیریتی</x:v>
      </x:c>
      <x:c r="I1033" s="39" t="str">
        <x:v>پورتفو؛ واگذاری اجرا و تمرکز بر راهبری</x:v>
      </x:c>
      <x:c r="J1033" s="39" t="str">
        <x:v>PMO/عملیات + روابط عمومی</x:v>
      </x:c>
      <x:c r="K1033" s="39" t="str"/>
      <x:c r="L1033" s="39" t="str">
        <x:v>AP:P63</x:v>
      </x:c>
      <x:c r="M1033" s="39" t="str"/>
      <x:c r="N1033" s="39" t="str">
        <x:v>نسخه پایه ۳۱۵۰</x:v>
      </x:c>
    </x:row>
    <x:row r="1034" ht="34" customHeight="1">
      <x:c r="A1034" s="34" t="str">
        <x:v>☐</x:v>
      </x:c>
      <x:c r="B1034" s="34" t="str">
        <x:v>MI-0293</x:v>
      </x:c>
      <x:c r="C1034" s="34" t="str">
        <x:v>M4 — اجرا، دانشگاه، صنعت و پروژه‌های اجتماعی</x:v>
      </x:c>
      <x:c r="D1034" s="34" t="str">
        <x:v>H11</x:v>
      </x:c>
      <x:c r="E1034" s="34" t="str">
        <x:v>دانشگاه؛ صنفی، رفاهی، اجرایی و رسانه‌ای</x:v>
      </x:c>
      <x:c r="F1034" s="34" t="str">
        <x:v>DELEGATE/P2</x:v>
      </x:c>
      <x:c r="G1034" s="34" t="str">
        <x:v>هدف/موضوع</x:v>
      </x:c>
      <x:c r="H1034" s="39" t="str">
        <x:v>تریبون آزاد</x:v>
      </x:c>
      <x:c r="I1034" s="39" t="str">
        <x:v>پورتفو؛ واگذاری اجرا و تمرکز بر راهبری</x:v>
      </x:c>
      <x:c r="J1034" s="39" t="str">
        <x:v>PMO/عملیات + روابط عمومی</x:v>
      </x:c>
      <x:c r="K1034" s="39" t="str"/>
      <x:c r="L1034" s="39" t="str">
        <x:v>AP:P64</x:v>
      </x:c>
      <x:c r="M1034" s="39" t="str"/>
      <x:c r="N1034" s="39" t="str">
        <x:v>نسخه پایه ۳۱۵۰</x:v>
      </x:c>
    </x:row>
    <x:row r="1035" ht="34" customHeight="1">
      <x:c r="A1035" s="34" t="str">
        <x:v>☐</x:v>
      </x:c>
      <x:c r="B1035" s="34" t="str">
        <x:v>MI-0297</x:v>
      </x:c>
      <x:c r="C1035" s="34" t="str">
        <x:v>M4 — اجرا، دانشگاه، صنعت و پروژه‌های اجتماعی</x:v>
      </x:c>
      <x:c r="D1035" s="34" t="str">
        <x:v>H11</x:v>
      </x:c>
      <x:c r="E1035" s="34" t="str">
        <x:v>دانشگاه؛ صنفی، رفاهی، اجرایی و رسانه‌ای</x:v>
      </x:c>
      <x:c r="F1035" s="34" t="str">
        <x:v>DELEGATE/P2</x:v>
      </x:c>
      <x:c r="G1035" s="34" t="str">
        <x:v>هدف/موضوع</x:v>
      </x:c>
      <x:c r="H1035" s="39" t="str">
        <x:v>عمرانی</x:v>
      </x:c>
      <x:c r="I1035" s="39" t="str">
        <x:v>پورتفو؛ واگذاری اجرا و تمرکز بر راهبری</x:v>
      </x:c>
      <x:c r="J1035" s="39" t="str">
        <x:v>PMO/عملیات + روابط عمومی</x:v>
      </x:c>
      <x:c r="K1035" s="39" t="str"/>
      <x:c r="L1035" s="39" t="str">
        <x:v>AP:P68</x:v>
      </x:c>
      <x:c r="M1035" s="39" t="str"/>
      <x:c r="N1035" s="39" t="str">
        <x:v>نسخه پایه ۳۱۵۰</x:v>
      </x:c>
    </x:row>
    <x:row r="1036" ht="34" customHeight="1">
      <x:c r="A1036" s="34" t="str">
        <x:v>☐</x:v>
      </x:c>
      <x:c r="B1036" s="34" t="str">
        <x:v>MI-0298</x:v>
      </x:c>
      <x:c r="C1036" s="34" t="str">
        <x:v>M4 — اجرا، دانشگاه، صنعت و پروژه‌های اجتماعی</x:v>
      </x:c>
      <x:c r="D1036" s="34" t="str">
        <x:v>H11</x:v>
      </x:c>
      <x:c r="E1036" s="34" t="str">
        <x:v>دانشگاه؛ صنفی، رفاهی، اجرایی و رسانه‌ای</x:v>
      </x:c>
      <x:c r="F1036" s="34" t="str">
        <x:v>DELEGATE/P2</x:v>
      </x:c>
      <x:c r="G1036" s="34" t="str">
        <x:v>هدف/موضوع</x:v>
      </x:c>
      <x:c r="H1036" s="39" t="str">
        <x:v>جهاد سازندگی</x:v>
      </x:c>
      <x:c r="I1036" s="39" t="str">
        <x:v>پورتفو؛ واگذاری اجرا و تمرکز بر راهبری</x:v>
      </x:c>
      <x:c r="J1036" s="39" t="str">
        <x:v>PMO/عملیات + روابط عمومی</x:v>
      </x:c>
      <x:c r="K1036" s="39" t="str"/>
      <x:c r="L1036" s="39" t="str">
        <x:v>AP:P69</x:v>
      </x:c>
      <x:c r="M1036" s="39" t="str"/>
      <x:c r="N1036" s="39" t="str">
        <x:v>نسخه پایه ۳۱۵۰</x:v>
      </x:c>
    </x:row>
    <x:row r="1037" ht="34" customHeight="1">
      <x:c r="A1037" s="34" t="str">
        <x:v>☐</x:v>
      </x:c>
      <x:c r="B1037" s="34" t="str">
        <x:v>MI-0316</x:v>
      </x:c>
      <x:c r="C1037" s="34" t="str">
        <x:v>M4 — اجرا، دانشگاه، صنعت و پروژه‌های اجتماعی</x:v>
      </x:c>
      <x:c r="D1037" s="34" t="str">
        <x:v>H11</x:v>
      </x:c>
      <x:c r="E1037" s="34" t="str">
        <x:v>دانشگاه؛ صنفی، رفاهی، اجرایی و رسانه‌ای</x:v>
      </x:c>
      <x:c r="F1037" s="34" t="str">
        <x:v>DELEGATE/P2</x:v>
      </x:c>
      <x:c r="G1037" s="34" t="str">
        <x:v>هدف/موضوع</x:v>
      </x:c>
      <x:c r="H1037" s="39" t="str">
        <x:v>بسیج:</x:v>
      </x:c>
      <x:c r="I1037" s="39" t="str">
        <x:v>پورتفو؛ واگذاری اجرا و تمرکز بر راهبری</x:v>
      </x:c>
      <x:c r="J1037" s="39" t="str">
        <x:v>PMO/عملیات + روابط عمومی</x:v>
      </x:c>
      <x:c r="K1037" s="39" t="str"/>
      <x:c r="L1037" s="39" t="str">
        <x:v>AP:P88؛ AP:P1032</x:v>
      </x:c>
      <x:c r="M1037" s="39" t="str"/>
      <x:c r="N1037" s="39" t="str">
        <x:v>نسخه پایه ۳۱۵۰</x:v>
      </x:c>
    </x:row>
    <x:row r="1038" ht="34" customHeight="1">
      <x:c r="A1038" s="34" t="str">
        <x:v>☐</x:v>
      </x:c>
      <x:c r="B1038" s="34" t="str">
        <x:v>MI-0318</x:v>
      </x:c>
      <x:c r="C1038" s="34" t="str">
        <x:v>M4 — اجرا، دانشگاه، صنعت و پروژه‌های اجتماعی</x:v>
      </x:c>
      <x:c r="D1038" s="34" t="str">
        <x:v>H11</x:v>
      </x:c>
      <x:c r="E1038" s="34" t="str">
        <x:v>دانشگاه؛ صنفی، رفاهی، اجرایی و رسانه‌ای</x:v>
      </x:c>
      <x:c r="F1038" s="34" t="str">
        <x:v>DELEGATE/P2</x:v>
      </x:c>
      <x:c r="G1038" s="34" t="str">
        <x:v>هدف/موضوع</x:v>
      </x:c>
      <x:c r="H1038" s="39" t="str">
        <x:v>گروه جهادی</x:v>
      </x:c>
      <x:c r="I1038" s="39" t="str">
        <x:v>پورتفو؛ واگذاری اجرا و تمرکز بر راهبری</x:v>
      </x:c>
      <x:c r="J1038" s="39" t="str">
        <x:v>PMO/عملیات + روابط عمومی</x:v>
      </x:c>
      <x:c r="K1038" s="39" t="str"/>
      <x:c r="L1038" s="39" t="str">
        <x:v>AP:P90</x:v>
      </x:c>
      <x:c r="M1038" s="39" t="str"/>
      <x:c r="N1038" s="39" t="str">
        <x:v>نسخه پایه ۳۱۵۰</x:v>
      </x:c>
    </x:row>
    <x:row r="1039" ht="34" customHeight="1">
      <x:c r="A1039" s="34" t="str">
        <x:v>☐</x:v>
      </x:c>
      <x:c r="B1039" s="34" t="str">
        <x:v>MI-0319</x:v>
      </x:c>
      <x:c r="C1039" s="34" t="str">
        <x:v>M4 — اجرا، دانشگاه، صنعت و پروژه‌های اجتماعی</x:v>
      </x:c>
      <x:c r="D1039" s="34" t="str">
        <x:v>H11</x:v>
      </x:c>
      <x:c r="E1039" s="34" t="str">
        <x:v>دانشگاه؛ صنفی، رفاهی، اجرایی و رسانه‌ای</x:v>
      </x:c>
      <x:c r="F1039" s="34" t="str">
        <x:v>DELEGATE/P2</x:v>
      </x:c>
      <x:c r="G1039" s="34" t="str">
        <x:v>هدف/موضوع</x:v>
      </x:c>
      <x:c r="H1039" s="39" t="str">
        <x:v>امورات جهادی تعریف بشود یه همکاری تحکیم یا انفرادی</x:v>
      </x:c>
      <x:c r="I1039" s="39" t="str">
        <x:v>پورتفو؛ واگذاری اجرا و تمرکز بر راهبری</x:v>
      </x:c>
      <x:c r="J1039" s="39" t="str">
        <x:v>PMO/عملیات + روابط عمومی</x:v>
      </x:c>
      <x:c r="K1039" s="39" t="str"/>
      <x:c r="L1039" s="39" t="str">
        <x:v>AP:P91</x:v>
      </x:c>
      <x:c r="M1039" s="39" t="str"/>
      <x:c r="N1039" s="39" t="str">
        <x:v>نسخه پایه ۳۱۵۰</x:v>
      </x:c>
    </x:row>
    <x:row r="1040" ht="34" customHeight="1">
      <x:c r="A1040" s="34" t="str">
        <x:v>☐</x:v>
      </x:c>
      <x:c r="B1040" s="34" t="str">
        <x:v>MI-0320</x:v>
      </x:c>
      <x:c r="C1040" s="34" t="str">
        <x:v>M4 — اجرا، دانشگاه، صنعت و پروژه‌های اجتماعی</x:v>
      </x:c>
      <x:c r="D1040" s="34" t="str">
        <x:v>H11</x:v>
      </x:c>
      <x:c r="E1040" s="34" t="str">
        <x:v>دانشگاه؛ صنفی، رفاهی، اجرایی و رسانه‌ای</x:v>
      </x:c>
      <x:c r="F1040" s="34" t="str">
        <x:v>DELEGATE/P2</x:v>
      </x:c>
      <x:c r="G1040" s="34" t="str">
        <x:v>هدف/موضوع</x:v>
      </x:c>
      <x:c r="H1040" s="39" t="str">
        <x:v>جهاد سازندگی و جهادس دانشگاه</x:v>
      </x:c>
      <x:c r="I1040" s="39" t="str">
        <x:v>پورتفو؛ واگذاری اجرا و تمرکز بر راهبری</x:v>
      </x:c>
      <x:c r="J1040" s="39" t="str">
        <x:v>PMO/عملیات + روابط عمومی</x:v>
      </x:c>
      <x:c r="K1040" s="39" t="str"/>
      <x:c r="L1040" s="39" t="str">
        <x:v>AP:P96</x:v>
      </x:c>
      <x:c r="M1040" s="39" t="str"/>
      <x:c r="N1040" s="39" t="str">
        <x:v>نسخه پایه ۳۱۵۰</x:v>
      </x:c>
    </x:row>
    <x:row r="1041" ht="34" customHeight="1">
      <x:c r="A1041" s="34" t="str">
        <x:v>☐</x:v>
      </x:c>
      <x:c r="B1041" s="34" t="str">
        <x:v>MI-0321</x:v>
      </x:c>
      <x:c r="C1041" s="34" t="str">
        <x:v>M4 — اجرا، دانشگاه، صنعت و پروژه‌های اجتماعی</x:v>
      </x:c>
      <x:c r="D1041" s="34" t="str">
        <x:v>H11</x:v>
      </x:c>
      <x:c r="E1041" s="34" t="str">
        <x:v>دانشگاه؛ صنفی، رفاهی، اجرایی و رسانه‌ای</x:v>
      </x:c>
      <x:c r="F1041" s="34" t="str">
        <x:v>DELEGATE/P2</x:v>
      </x:c>
      <x:c r="G1041" s="34" t="str">
        <x:v>هدف/موضوع</x:v>
      </x:c>
      <x:c r="H1041" s="39" t="str">
        <x:v>برای امریه دانشجویی</x:v>
      </x:c>
      <x:c r="I1041" s="39" t="str">
        <x:v>پورتفو؛ واگذاری اجرا و تمرکز بر راهبری</x:v>
      </x:c>
      <x:c r="J1041" s="39" t="str">
        <x:v>PMO/عملیات + روابط عمومی</x:v>
      </x:c>
      <x:c r="K1041" s="39" t="str"/>
      <x:c r="L1041" s="39" t="str">
        <x:v>AP:P97</x:v>
      </x:c>
      <x:c r="M1041" s="39" t="str"/>
      <x:c r="N1041" s="39" t="str">
        <x:v>نسخه پایه ۳۱۵۰</x:v>
      </x:c>
    </x:row>
    <x:row r="1042" ht="34" customHeight="1">
      <x:c r="A1042" s="34" t="str">
        <x:v>☐</x:v>
      </x:c>
      <x:c r="B1042" s="34" t="str">
        <x:v>MI-0322</x:v>
      </x:c>
      <x:c r="C1042" s="34" t="str">
        <x:v>M4 — اجرا، دانشگاه، صنعت و پروژه‌های اجتماعی</x:v>
      </x:c>
      <x:c r="D1042" s="34" t="str">
        <x:v>H11</x:v>
      </x:c>
      <x:c r="E1042" s="34" t="str">
        <x:v>دانشگاه؛ صنفی، رفاهی، اجرایی و رسانه‌ای</x:v>
      </x:c>
      <x:c r="F1042" s="34" t="str">
        <x:v>DELEGATE/P2</x:v>
      </x:c>
      <x:c r="G1042" s="34" t="str">
        <x:v>هدف/موضوع</x:v>
      </x:c>
      <x:c r="H1042" s="39" t="str">
        <x:v>روبه روی اکبرجوجه</x:v>
      </x:c>
      <x:c r="I1042" s="39" t="str">
        <x:v>پورتفو؛ واگذاری اجرا و تمرکز بر راهبری</x:v>
      </x:c>
      <x:c r="J1042" s="39" t="str">
        <x:v>PMO/عملیات + روابط عمومی</x:v>
      </x:c>
      <x:c r="K1042" s="39" t="str"/>
      <x:c r="L1042" s="39" t="str">
        <x:v>AP:P98</x:v>
      </x:c>
      <x:c r="M1042" s="39" t="str"/>
      <x:c r="N1042" s="39" t="str">
        <x:v>نسخه پایه ۳۱۵۰</x:v>
      </x:c>
    </x:row>
    <x:row r="1043" ht="34" customHeight="1">
      <x:c r="A1043" s="34" t="str">
        <x:v>☐</x:v>
      </x:c>
      <x:c r="B1043" s="34" t="str">
        <x:v>MI-0323</x:v>
      </x:c>
      <x:c r="C1043" s="34" t="str">
        <x:v>M4 — اجرا، دانشگاه، صنعت و پروژه‌های اجتماعی</x:v>
      </x:c>
      <x:c r="D1043" s="34" t="str">
        <x:v>H11</x:v>
      </x:c>
      <x:c r="E1043" s="34" t="str">
        <x:v>دانشگاه؛ صنفی، رفاهی، اجرایی و رسانه‌ای</x:v>
      </x:c>
      <x:c r="F1043" s="34" t="str">
        <x:v>DELEGATE/P2</x:v>
      </x:c>
      <x:c r="G1043" s="34" t="str">
        <x:v>هدف/موضوع</x:v>
      </x:c>
      <x:c r="H1043" s="39" t="str">
        <x:v>بسیج پژوهش ساری</x:v>
      </x:c>
      <x:c r="I1043" s="39" t="str">
        <x:v>پورتفو؛ واگذاری اجرا و تمرکز بر راهبری</x:v>
      </x:c>
      <x:c r="J1043" s="39" t="str">
        <x:v>PMO/عملیات + روابط عمومی</x:v>
      </x:c>
      <x:c r="K1043" s="39" t="str"/>
      <x:c r="L1043" s="39" t="str">
        <x:v>AP:P99</x:v>
      </x:c>
      <x:c r="M1043" s="39" t="str"/>
      <x:c r="N1043" s="39" t="str">
        <x:v>نسخه پایه ۳۱۵۰</x:v>
      </x:c>
    </x:row>
    <x:row r="1044" ht="34" customHeight="1">
      <x:c r="A1044" s="34" t="str">
        <x:v>☐</x:v>
      </x:c>
      <x:c r="B1044" s="34" t="str">
        <x:v>MI-0344</x:v>
      </x:c>
      <x:c r="C1044" s="34" t="str">
        <x:v>M4 — اجرا، دانشگاه، صنعت و پروژه‌های اجتماعی</x:v>
      </x:c>
      <x:c r="D1044" s="34" t="str">
        <x:v>H11</x:v>
      </x:c>
      <x:c r="E1044" s="34" t="str">
        <x:v>دانشگاه؛ صنفی، رفاهی، اجرایی و رسانه‌ای</x:v>
      </x:c>
      <x:c r="F1044" s="34" t="str">
        <x:v>DELEGATE/P2</x:v>
      </x:c>
      <x:c r="G1044" s="34" t="str">
        <x:v>هدف/موضوع</x:v>
      </x:c>
      <x:c r="H1044" s="39" t="str">
        <x:v>2100 دانشگاه داریم که بعضی هاشون 4الی5 هییت علمی دارن و 50 تا دانشجو.</x:v>
      </x:c>
      <x:c r="I1044" s="39" t="str">
        <x:v>پورتفو؛ واگذاری اجرا و تمرکز بر راهبری</x:v>
      </x:c>
      <x:c r="J1044" s="39" t="str">
        <x:v>PMO/عملیات + روابط عمومی</x:v>
      </x:c>
      <x:c r="K1044" s="39" t="str"/>
      <x:c r="L1044" s="39" t="str">
        <x:v>AP:P121</x:v>
      </x:c>
      <x:c r="M1044" s="39" t="str"/>
      <x:c r="N1044" s="39" t="str">
        <x:v>نسخه پایه ۳۱۵۰</x:v>
      </x:c>
    </x:row>
    <x:row r="1045" ht="34" customHeight="1">
      <x:c r="A1045" s="34" t="str">
        <x:v>☐</x:v>
      </x:c>
      <x:c r="B1045" s="34" t="str">
        <x:v>MI-0614</x:v>
      </x:c>
      <x:c r="C1045" s="34" t="str">
        <x:v>M4 — اجرا، دانشگاه، صنعت و پروژه‌های اجتماعی</x:v>
      </x:c>
      <x:c r="D1045" s="34" t="str">
        <x:v>H11</x:v>
      </x:c>
      <x:c r="E1045" s="34" t="str">
        <x:v>دانشگاه؛ صنفی، رفاهی، اجرایی و رسانه‌ای</x:v>
      </x:c>
      <x:c r="F1045" s="34" t="str">
        <x:v>DELEGATE/P2</x:v>
      </x:c>
      <x:c r="G1045" s="34" t="str">
        <x:v>هدف/موضوع</x:v>
      </x:c>
      <x:c r="H1045" s="39" t="str">
        <x:v>ضبط صدا برای اطلاعیه و تماس با کلیه دانشجو ها</x:v>
      </x:c>
      <x:c r="I1045" s="39" t="str">
        <x:v>پورتفو؛ واگذاری اجرا و تمرکز بر راهبری</x:v>
      </x:c>
      <x:c r="J1045" s="39" t="str">
        <x:v>PMO/عملیات + روابط عمومی</x:v>
      </x:c>
      <x:c r="K1045" s="39" t="str"/>
      <x:c r="L1045" s="39" t="str">
        <x:v>AP:P400</x:v>
      </x:c>
      <x:c r="M1045" s="39" t="str"/>
      <x:c r="N1045" s="39" t="str">
        <x:v>نسخه پایه ۳۱۵۰</x:v>
      </x:c>
    </x:row>
    <x:row r="1046" ht="34" customHeight="1">
      <x:c r="A1046" s="34" t="str">
        <x:v>☐</x:v>
      </x:c>
      <x:c r="B1046" s="34" t="str">
        <x:v>MI-0618</x:v>
      </x:c>
      <x:c r="C1046" s="34" t="str">
        <x:v>M4 — اجرا، دانشگاه، صنعت و پروژه‌های اجتماعی</x:v>
      </x:c>
      <x:c r="D1046" s="34" t="str">
        <x:v>H11</x:v>
      </x:c>
      <x:c r="E1046" s="34" t="str">
        <x:v>دانشگاه؛ صنفی، رفاهی، اجرایی و رسانه‌ای</x:v>
      </x:c>
      <x:c r="F1046" s="34" t="str">
        <x:v>DELEGATE/P2</x:v>
      </x:c>
      <x:c r="G1046" s="34" t="str">
        <x:v>هدف/موضوع</x:v>
      </x:c>
      <x:c r="H1046" s="39" t="str">
        <x:v>بیمه سرقت دانشجویی</x:v>
      </x:c>
      <x:c r="I1046" s="39" t="str">
        <x:v>پورتفو؛ واگذاری اجرا و تمرکز بر راهبری</x:v>
      </x:c>
      <x:c r="J1046" s="39" t="str">
        <x:v>PMO/عملیات + روابط عمومی</x:v>
      </x:c>
      <x:c r="K1046" s="39" t="str"/>
      <x:c r="L1046" s="39" t="str">
        <x:v>AP:P405</x:v>
      </x:c>
      <x:c r="M1046" s="39" t="str"/>
      <x:c r="N1046" s="39" t="str">
        <x:v>نسخه پایه ۳۱۵۰</x:v>
      </x:c>
    </x:row>
    <x:row r="1047" ht="34" customHeight="1">
      <x:c r="A1047" s="34" t="str">
        <x:v>☐</x:v>
      </x:c>
      <x:c r="B1047" s="34" t="str">
        <x:v>MI-0619</x:v>
      </x:c>
      <x:c r="C1047" s="34" t="str">
        <x:v>M4 — اجرا، دانشگاه، صنعت و پروژه‌های اجتماعی</x:v>
      </x:c>
      <x:c r="D1047" s="34" t="str">
        <x:v>H11</x:v>
      </x:c>
      <x:c r="E1047" s="34" t="str">
        <x:v>دانشگاه؛ صنفی، رفاهی، اجرایی و رسانه‌ای</x:v>
      </x:c>
      <x:c r="F1047" s="34" t="str">
        <x:v>DELEGATE/P2</x:v>
      </x:c>
      <x:c r="G1047" s="34" t="str">
        <x:v>هدف/موضوع</x:v>
      </x:c>
      <x:c r="H1047" s="39" t="str">
        <x:v>صنفی اطلاع رسانی کنه</x:v>
      </x:c>
      <x:c r="I1047" s="39" t="str">
        <x:v>پورتفو؛ واگذاری اجرا و تمرکز بر راهبری</x:v>
      </x:c>
      <x:c r="J1047" s="39" t="str">
        <x:v>PMO/عملیات + روابط عمومی</x:v>
      </x:c>
      <x:c r="K1047" s="39" t="str"/>
      <x:c r="L1047" s="39" t="str">
        <x:v>AP:P406</x:v>
      </x:c>
      <x:c r="M1047" s="39" t="str"/>
      <x:c r="N1047" s="39" t="str">
        <x:v>نسخه پایه ۳۱۵۰</x:v>
      </x:c>
    </x:row>
    <x:row r="1048" ht="34" customHeight="1">
      <x:c r="A1048" s="34" t="str">
        <x:v>☐</x:v>
      </x:c>
      <x:c r="B1048" s="34" t="str">
        <x:v>MI-0635</x:v>
      </x:c>
      <x:c r="C1048" s="34" t="str">
        <x:v>M4 — اجرا، دانشگاه، صنعت و پروژه‌های اجتماعی</x:v>
      </x:c>
      <x:c r="D1048" s="34" t="str">
        <x:v>H11</x:v>
      </x:c>
      <x:c r="E1048" s="34" t="str">
        <x:v>دانشگاه؛ صنفی، رفاهی، اجرایی و رسانه‌ای</x:v>
      </x:c>
      <x:c r="F1048" s="34" t="str">
        <x:v>DELEGATE/P2</x:v>
      </x:c>
      <x:c r="G1048" s="34" t="str">
        <x:v>هدف/موضوع</x:v>
      </x:c>
      <x:c r="H1048" s="39" t="str">
        <x:v>نیروی انسانی</x:v>
      </x:c>
      <x:c r="I1048" s="39" t="str">
        <x:v>پورتفو؛ واگذاری اجرا و تمرکز بر راهبری</x:v>
      </x:c>
      <x:c r="J1048" s="39" t="str">
        <x:v>PMO/عملیات + روابط عمومی</x:v>
      </x:c>
      <x:c r="K1048" s="39" t="str"/>
      <x:c r="L1048" s="39" t="str">
        <x:v>AP:P422؛ AP:P1535</x:v>
      </x:c>
      <x:c r="M1048" s="39" t="str"/>
      <x:c r="N1048" s="39" t="str">
        <x:v>نسخه پایه ۳۱۵۰</x:v>
      </x:c>
    </x:row>
    <x:row r="1049" ht="34" customHeight="1">
      <x:c r="A1049" s="34" t="str">
        <x:v>☐</x:v>
      </x:c>
      <x:c r="B1049" s="34" t="str">
        <x:v>MI-0636</x:v>
      </x:c>
      <x:c r="C1049" s="34" t="str">
        <x:v>M4 — اجرا، دانشگاه، صنعت و پروژه‌های اجتماعی</x:v>
      </x:c>
      <x:c r="D1049" s="34" t="str">
        <x:v>H11</x:v>
      </x:c>
      <x:c r="E1049" s="34" t="str">
        <x:v>دانشگاه؛ صنفی، رفاهی، اجرایی و رسانه‌ای</x:v>
      </x:c>
      <x:c r="F1049" s="34" t="str">
        <x:v>DELEGATE/P2</x:v>
      </x:c>
      <x:c r="G1049" s="34" t="str">
        <x:v>هدف/موضوع</x:v>
      </x:c>
      <x:c r="H1049" s="39" t="str">
        <x:v>مسیول امور مالی</x:v>
      </x:c>
      <x:c r="I1049" s="39" t="str">
        <x:v>پورتفو؛ واگذاری اجرا و تمرکز بر راهبری</x:v>
      </x:c>
      <x:c r="J1049" s="39" t="str">
        <x:v>PMO/عملیات + روابط عمومی</x:v>
      </x:c>
      <x:c r="K1049" s="39" t="str"/>
      <x:c r="L1049" s="39" t="str">
        <x:v>AP:P423</x:v>
      </x:c>
      <x:c r="M1049" s="39" t="str"/>
      <x:c r="N1049" s="39" t="str">
        <x:v>نسخه پایه ۳۱۵۰</x:v>
      </x:c>
    </x:row>
    <x:row r="1050" ht="34" customHeight="1">
      <x:c r="A1050" s="34" t="str">
        <x:v>☐</x:v>
      </x:c>
      <x:c r="B1050" s="34" t="str">
        <x:v>MI-0641</x:v>
      </x:c>
      <x:c r="C1050" s="34" t="str">
        <x:v>M4 — اجرا، دانشگاه، صنعت و پروژه‌های اجتماعی</x:v>
      </x:c>
      <x:c r="D1050" s="34" t="str">
        <x:v>H11</x:v>
      </x:c>
      <x:c r="E1050" s="34" t="str">
        <x:v>دانشگاه؛ صنفی، رفاهی، اجرایی و رسانه‌ای</x:v>
      </x:c>
      <x:c r="F1050" s="34" t="str">
        <x:v>DELEGATE/P2</x:v>
      </x:c>
      <x:c r="G1050" s="34" t="str">
        <x:v>هدف/موضوع</x:v>
      </x:c>
      <x:c r="H1050" s="39" t="str">
        <x:v>مسیول اجرایی</x:v>
      </x:c>
      <x:c r="I1050" s="39" t="str">
        <x:v>پورتفو؛ واگذاری اجرا و تمرکز بر راهبری</x:v>
      </x:c>
      <x:c r="J1050" s="39" t="str">
        <x:v>PMO/عملیات + روابط عمومی</x:v>
      </x:c>
      <x:c r="K1050" s="39" t="str"/>
      <x:c r="L1050" s="39" t="str">
        <x:v>AP:P428</x:v>
      </x:c>
      <x:c r="M1050" s="39" t="str"/>
      <x:c r="N1050" s="39" t="str">
        <x:v>نسخه پایه ۳۱۵۰</x:v>
      </x:c>
    </x:row>
    <x:row r="1051" ht="34" customHeight="1">
      <x:c r="A1051" s="34" t="str">
        <x:v>☐</x:v>
      </x:c>
      <x:c r="B1051" s="34" t="str">
        <x:v>MI-0642</x:v>
      </x:c>
      <x:c r="C1051" s="34" t="str">
        <x:v>M4 — اجرا، دانشگاه، صنعت و پروژه‌های اجتماعی</x:v>
      </x:c>
      <x:c r="D1051" s="34" t="str">
        <x:v>H11</x:v>
      </x:c>
      <x:c r="E1051" s="34" t="str">
        <x:v>دانشگاه؛ صنفی، رفاهی، اجرایی و رسانه‌ای</x:v>
      </x:c>
      <x:c r="F1051" s="34" t="str">
        <x:v>DELEGATE/P2</x:v>
      </x:c>
      <x:c r="G1051" s="34" t="str">
        <x:v>هدف/موضوع</x:v>
      </x:c>
      <x:c r="H1051" s="39" t="str">
        <x:v>مسیول دفتر</x:v>
      </x:c>
      <x:c r="I1051" s="39" t="str">
        <x:v>پورتفو؛ واگذاری اجرا و تمرکز بر راهبری</x:v>
      </x:c>
      <x:c r="J1051" s="39" t="str">
        <x:v>PMO/عملیات + روابط عمومی</x:v>
      </x:c>
      <x:c r="K1051" s="39" t="str"/>
      <x:c r="L1051" s="39" t="str">
        <x:v>AP:P429</x:v>
      </x:c>
      <x:c r="M1051" s="39" t="str"/>
      <x:c r="N1051" s="39" t="str">
        <x:v>نسخه پایه ۳۱۵۰</x:v>
      </x:c>
    </x:row>
    <x:row r="1052" ht="34" customHeight="1">
      <x:c r="A1052" s="34" t="str">
        <x:v>☐</x:v>
      </x:c>
      <x:c r="B1052" s="34" t="str">
        <x:v>MI-0643</x:v>
      </x:c>
      <x:c r="C1052" s="34" t="str">
        <x:v>M4 — اجرا، دانشگاه، صنعت و پروژه‌های اجتماعی</x:v>
      </x:c>
      <x:c r="D1052" s="34" t="str">
        <x:v>H11</x:v>
      </x:c>
      <x:c r="E1052" s="34" t="str">
        <x:v>دانشگاه؛ صنفی، رفاهی، اجرایی و رسانه‌ای</x:v>
      </x:c>
      <x:c r="F1052" s="34" t="str">
        <x:v>DELEGATE/P2</x:v>
      </x:c>
      <x:c r="G1052" s="34" t="str">
        <x:v>هدف/موضوع</x:v>
      </x:c>
      <x:c r="H1052" s="39" t="str">
        <x:v>دبیرخانه</x:v>
      </x:c>
      <x:c r="I1052" s="39" t="str">
        <x:v>پورتفو؛ واگذاری اجرا و تمرکز بر راهبری</x:v>
      </x:c>
      <x:c r="J1052" s="39" t="str">
        <x:v>PMO/عملیات + روابط عمومی</x:v>
      </x:c>
      <x:c r="K1052" s="39" t="str"/>
      <x:c r="L1052" s="39" t="str">
        <x:v>AP:P430؛ AP:P637</x:v>
      </x:c>
      <x:c r="M1052" s="39" t="str"/>
      <x:c r="N1052" s="39" t="str">
        <x:v>نسخه پایه ۳۱۵۰</x:v>
      </x:c>
    </x:row>
    <x:row r="1053" ht="34" customHeight="1">
      <x:c r="A1053" s="34" t="str">
        <x:v>☐</x:v>
      </x:c>
      <x:c r="B1053" s="34" t="str">
        <x:v>MI-0644</x:v>
      </x:c>
      <x:c r="C1053" s="34" t="str">
        <x:v>M4 — اجرا، دانشگاه، صنعت و پروژه‌های اجتماعی</x:v>
      </x:c>
      <x:c r="D1053" s="34" t="str">
        <x:v>H11</x:v>
      </x:c>
      <x:c r="E1053" s="34" t="str">
        <x:v>دانشگاه؛ صنفی، رفاهی، اجرایی و رسانه‌ای</x:v>
      </x:c>
      <x:c r="F1053" s="34" t="str">
        <x:v>DELEGATE/P2</x:v>
      </x:c>
      <x:c r="G1053" s="34" t="str">
        <x:v>هدف/موضوع</x:v>
      </x:c>
      <x:c r="H1053" s="39" t="str">
        <x:v>نیرو انسانی</x:v>
      </x:c>
      <x:c r="I1053" s="39" t="str">
        <x:v>پورتفو؛ واگذاری اجرا و تمرکز بر راهبری</x:v>
      </x:c>
      <x:c r="J1053" s="39" t="str">
        <x:v>PMO/عملیات + روابط عمومی</x:v>
      </x:c>
      <x:c r="K1053" s="39" t="str"/>
      <x:c r="L1053" s="39" t="str">
        <x:v>AP:P431</x:v>
      </x:c>
      <x:c r="M1053" s="39" t="str"/>
      <x:c r="N1053" s="39" t="str">
        <x:v>نسخه پایه ۳۱۵۰</x:v>
      </x:c>
    </x:row>
    <x:row r="1054" ht="34" customHeight="1">
      <x:c r="A1054" s="34" t="str">
        <x:v>☐</x:v>
      </x:c>
      <x:c r="B1054" s="34" t="str">
        <x:v>MI-0645</x:v>
      </x:c>
      <x:c r="C1054" s="34" t="str">
        <x:v>M4 — اجرا، دانشگاه، صنعت و پروژه‌های اجتماعی</x:v>
      </x:c>
      <x:c r="D1054" s="34" t="str">
        <x:v>H11</x:v>
      </x:c>
      <x:c r="E1054" s="34" t="str">
        <x:v>دانشگاه؛ صنفی، رفاهی، اجرایی و رسانه‌ای</x:v>
      </x:c>
      <x:c r="F1054" s="34" t="str">
        <x:v>DELEGATE/P2</x:v>
      </x:c>
      <x:c r="G1054" s="34" t="str">
        <x:v>هدف/موضوع</x:v>
      </x:c>
      <x:c r="H1054" s="39" t="str">
        <x:v>کنترلر</x:v>
      </x:c>
      <x:c r="I1054" s="39" t="str">
        <x:v>پورتفو؛ واگذاری اجرا و تمرکز بر راهبری</x:v>
      </x:c>
      <x:c r="J1054" s="39" t="str">
        <x:v>PMO/عملیات + روابط عمومی</x:v>
      </x:c>
      <x:c r="K1054" s="39" t="str"/>
      <x:c r="L1054" s="39" t="str">
        <x:v>AP:P432</x:v>
      </x:c>
      <x:c r="M1054" s="39" t="str"/>
      <x:c r="N1054" s="39" t="str">
        <x:v>نسخه پایه ۳۱۵۰</x:v>
      </x:c>
    </x:row>
    <x:row r="1055" ht="34" customHeight="1">
      <x:c r="A1055" s="34" t="str">
        <x:v>☐</x:v>
      </x:c>
      <x:c r="B1055" s="34" t="str">
        <x:v>MI-0646</x:v>
      </x:c>
      <x:c r="C1055" s="34" t="str">
        <x:v>M4 — اجرا، دانشگاه، صنعت و پروژه‌های اجتماعی</x:v>
      </x:c>
      <x:c r="D1055" s="34" t="str">
        <x:v>H11</x:v>
      </x:c>
      <x:c r="E1055" s="34" t="str">
        <x:v>دانشگاه؛ صنفی، رفاهی، اجرایی و رسانه‌ای</x:v>
      </x:c>
      <x:c r="F1055" s="34" t="str">
        <x:v>DELEGATE/P2</x:v>
      </x:c>
      <x:c r="G1055" s="34" t="str">
        <x:v>هدف/موضوع</x:v>
      </x:c>
      <x:c r="H1055" s="39" t="str">
        <x:v>مسیول امور اداری</x:v>
      </x:c>
      <x:c r="I1055" s="39" t="str">
        <x:v>پورتفو؛ واگذاری اجرا و تمرکز بر راهبری</x:v>
      </x:c>
      <x:c r="J1055" s="39" t="str">
        <x:v>PMO/عملیات + روابط عمومی</x:v>
      </x:c>
      <x:c r="K1055" s="39" t="str"/>
      <x:c r="L1055" s="39" t="str">
        <x:v>AP:P433</x:v>
      </x:c>
      <x:c r="M1055" s="39" t="str"/>
      <x:c r="N1055" s="39" t="str">
        <x:v>نسخه پایه ۳۱۵۰</x:v>
      </x:c>
    </x:row>
    <x:row r="1056" ht="34" customHeight="1">
      <x:c r="A1056" s="34" t="str">
        <x:v>☐</x:v>
      </x:c>
      <x:c r="B1056" s="34" t="str">
        <x:v>MI-0647</x:v>
      </x:c>
      <x:c r="C1056" s="34" t="str">
        <x:v>M4 — اجرا، دانشگاه، صنعت و پروژه‌های اجتماعی</x:v>
      </x:c>
      <x:c r="D1056" s="34" t="str">
        <x:v>H11</x:v>
      </x:c>
      <x:c r="E1056" s="34" t="str">
        <x:v>دانشگاه؛ صنفی، رفاهی، اجرایی و رسانه‌ای</x:v>
      </x:c>
      <x:c r="F1056" s="34" t="str">
        <x:v>DELEGATE/P2</x:v>
      </x:c>
      <x:c r="G1056" s="34" t="str">
        <x:v>هدف/موضوع</x:v>
      </x:c>
      <x:c r="H1056" s="39" t="str">
        <x:v>مرکز تحقیقات</x:v>
      </x:c>
      <x:c r="I1056" s="39" t="str">
        <x:v>پورتفو؛ واگذاری اجرا و تمرکز بر راهبری</x:v>
      </x:c>
      <x:c r="J1056" s="39" t="str">
        <x:v>PMO/عملیات + روابط عمومی</x:v>
      </x:c>
      <x:c r="K1056" s="39" t="str"/>
      <x:c r="L1056" s="39" t="str">
        <x:v>AP:P434؛ AP:P446</x:v>
      </x:c>
      <x:c r="M1056" s="39" t="str"/>
      <x:c r="N1056" s="39" t="str">
        <x:v>نسخه پایه ۳۱۵۰</x:v>
      </x:c>
    </x:row>
    <x:row r="1057" ht="34" customHeight="1">
      <x:c r="A1057" s="34" t="str">
        <x:v>☐</x:v>
      </x:c>
      <x:c r="B1057" s="34" t="str">
        <x:v>MI-0648</x:v>
      </x:c>
      <x:c r="C1057" s="34" t="str">
        <x:v>M4 — اجرا، دانشگاه، صنعت و پروژه‌های اجتماعی</x:v>
      </x:c>
      <x:c r="D1057" s="34" t="str">
        <x:v>H11</x:v>
      </x:c>
      <x:c r="E1057" s="34" t="str">
        <x:v>دانشگاه؛ صنفی، رفاهی، اجرایی و رسانه‌ای</x:v>
      </x:c>
      <x:c r="F1057" s="34" t="str">
        <x:v>DELEGATE/P2</x:v>
      </x:c>
      <x:c r="G1057" s="34" t="str">
        <x:v>هدف/موضوع</x:v>
      </x:c>
      <x:c r="H1057" s="39" t="str">
        <x:v>کاشف</x:v>
      </x:c>
      <x:c r="I1057" s="39" t="str">
        <x:v>پورتفو؛ واگذاری اجرا و تمرکز بر راهبری</x:v>
      </x:c>
      <x:c r="J1057" s="39" t="str">
        <x:v>PMO/عملیات + روابط عمومی</x:v>
      </x:c>
      <x:c r="K1057" s="39" t="str"/>
      <x:c r="L1057" s="39" t="str">
        <x:v>AP:P435</x:v>
      </x:c>
      <x:c r="M1057" s="39" t="str"/>
      <x:c r="N1057" s="39" t="str">
        <x:v>نسخه پایه ۳۱۵۰</x:v>
      </x:c>
    </x:row>
    <x:row r="1058" ht="34" customHeight="1">
      <x:c r="A1058" s="34" t="str">
        <x:v>☐</x:v>
      </x:c>
      <x:c r="B1058" s="34" t="str">
        <x:v>MI-0650</x:v>
      </x:c>
      <x:c r="C1058" s="34" t="str">
        <x:v>M4 — اجرا، دانشگاه، صنعت و پروژه‌های اجتماعی</x:v>
      </x:c>
      <x:c r="D1058" s="34" t="str">
        <x:v>H11</x:v>
      </x:c>
      <x:c r="E1058" s="34" t="str">
        <x:v>دانشگاه؛ صنفی، رفاهی، اجرایی و رسانه‌ای</x:v>
      </x:c>
      <x:c r="F1058" s="34" t="str">
        <x:v>DELEGATE/P2</x:v>
      </x:c>
      <x:c r="G1058" s="34" t="str">
        <x:v>هدف/موضوع</x:v>
      </x:c>
      <x:c r="H1058" s="39" t="str">
        <x:v>مسیول سراج</x:v>
      </x:c>
      <x:c r="I1058" s="39" t="str">
        <x:v>پورتفو؛ واگذاری اجرا و تمرکز بر راهبری</x:v>
      </x:c>
      <x:c r="J1058" s="39" t="str">
        <x:v>PMO/عملیات + روابط عمومی</x:v>
      </x:c>
      <x:c r="K1058" s="39" t="str"/>
      <x:c r="L1058" s="39" t="str">
        <x:v>AP:P437</x:v>
      </x:c>
      <x:c r="M1058" s="39" t="str"/>
      <x:c r="N1058" s="39" t="str">
        <x:v>نسخه پایه ۳۱۵۰</x:v>
      </x:c>
    </x:row>
    <x:row r="1059" ht="34" customHeight="1">
      <x:c r="A1059" s="34" t="str">
        <x:v>☐</x:v>
      </x:c>
      <x:c r="B1059" s="34" t="str">
        <x:v>MI-0651</x:v>
      </x:c>
      <x:c r="C1059" s="34" t="str">
        <x:v>M4 — اجرا، دانشگاه، صنعت و پروژه‌های اجتماعی</x:v>
      </x:c>
      <x:c r="D1059" s="34" t="str">
        <x:v>H11</x:v>
      </x:c>
      <x:c r="E1059" s="34" t="str">
        <x:v>دانشگاه؛ صنفی، رفاهی، اجرایی و رسانه‌ای</x:v>
      </x:c>
      <x:c r="F1059" s="34" t="str">
        <x:v>DELEGATE/P2</x:v>
      </x:c>
      <x:c r="G1059" s="34" t="str">
        <x:v>هدف/موضوع</x:v>
      </x:c>
      <x:c r="H1059" s="39" t="str">
        <x:v>مسیول کارگاه فنی</x:v>
      </x:c>
      <x:c r="I1059" s="39" t="str">
        <x:v>پورتفو؛ واگذاری اجرا و تمرکز بر راهبری</x:v>
      </x:c>
      <x:c r="J1059" s="39" t="str">
        <x:v>PMO/عملیات + روابط عمومی</x:v>
      </x:c>
      <x:c r="K1059" s="39" t="str"/>
      <x:c r="L1059" s="39" t="str">
        <x:v>AP:P438</x:v>
      </x:c>
      <x:c r="M1059" s="39" t="str"/>
      <x:c r="N1059" s="39" t="str">
        <x:v>نسخه پایه ۳۱۵۰</x:v>
      </x:c>
    </x:row>
    <x:row r="1060" ht="34" customHeight="1">
      <x:c r="A1060" s="34" t="str">
        <x:v>☐</x:v>
      </x:c>
      <x:c r="B1060" s="34" t="str">
        <x:v>MI-0654</x:v>
      </x:c>
      <x:c r="C1060" s="34" t="str">
        <x:v>M4 — اجرا، دانشگاه، صنعت و پروژه‌های اجتماعی</x:v>
      </x:c>
      <x:c r="D1060" s="34" t="str">
        <x:v>H11</x:v>
      </x:c>
      <x:c r="E1060" s="34" t="str">
        <x:v>دانشگاه؛ صنفی، رفاهی، اجرایی و رسانه‌ای</x:v>
      </x:c>
      <x:c r="F1060" s="34" t="str">
        <x:v>DELEGATE/P2</x:v>
      </x:c>
      <x:c r="G1060" s="34" t="str">
        <x:v>هدف/موضوع</x:v>
      </x:c>
      <x:c r="H1060" s="39" t="str">
        <x:v>بریدن صندلی در کارگاه فنی عملی سراج</x:v>
      </x:c>
      <x:c r="I1060" s="39" t="str">
        <x:v>پورتفو؛ واگذاری اجرا و تمرکز بر راهبری</x:v>
      </x:c>
      <x:c r="J1060" s="39" t="str">
        <x:v>PMO/عملیات + روابط عمومی</x:v>
      </x:c>
      <x:c r="K1060" s="39" t="str"/>
      <x:c r="L1060" s="39" t="str">
        <x:v>AP:P442</x:v>
      </x:c>
      <x:c r="M1060" s="39" t="str"/>
      <x:c r="N1060" s="39" t="str">
        <x:v>نسخه پایه ۳۱۵۰</x:v>
      </x:c>
    </x:row>
    <x:row r="1061" ht="34" customHeight="1">
      <x:c r="A1061" s="34" t="str">
        <x:v>☐</x:v>
      </x:c>
      <x:c r="B1061" s="34" t="str">
        <x:v>MI-0656</x:v>
      </x:c>
      <x:c r="C1061" s="34" t="str">
        <x:v>M4 — اجرا، دانشگاه، صنعت و پروژه‌های اجتماعی</x:v>
      </x:c>
      <x:c r="D1061" s="34" t="str">
        <x:v>H11</x:v>
      </x:c>
      <x:c r="E1061" s="34" t="str">
        <x:v>دانشگاه؛ صنفی، رفاهی، اجرایی و رسانه‌ای</x:v>
      </x:c>
      <x:c r="F1061" s="34" t="str">
        <x:v>DELEGATE/P2</x:v>
      </x:c>
      <x:c r="G1061" s="34" t="str">
        <x:v>هدف/موضوع</x:v>
      </x:c>
      <x:c r="H1061" s="39" t="str">
        <x:v>کارگاه سراج</x:v>
      </x:c>
      <x:c r="I1061" s="39" t="str">
        <x:v>پورتفو؛ واگذاری اجرا و تمرکز بر راهبری</x:v>
      </x:c>
      <x:c r="J1061" s="39" t="str">
        <x:v>PMO/عملیات + روابط عمومی</x:v>
      </x:c>
      <x:c r="K1061" s="39" t="str"/>
      <x:c r="L1061" s="39" t="str">
        <x:v>AP:P444</x:v>
      </x:c>
      <x:c r="M1061" s="39" t="str"/>
      <x:c r="N1061" s="39" t="str">
        <x:v>نسخه پایه ۳۱۵۰</x:v>
      </x:c>
    </x:row>
    <x:row r="1062" ht="34" customHeight="1">
      <x:c r="A1062" s="34" t="str">
        <x:v>☐</x:v>
      </x:c>
      <x:c r="B1062" s="34" t="str">
        <x:v>MI-0657</x:v>
      </x:c>
      <x:c r="C1062" s="34" t="str">
        <x:v>M4 — اجرا، دانشگاه، صنعت و پروژه‌های اجتماعی</x:v>
      </x:c>
      <x:c r="D1062" s="34" t="str">
        <x:v>H11</x:v>
      </x:c>
      <x:c r="E1062" s="34" t="str">
        <x:v>دانشگاه؛ صنفی، رفاهی، اجرایی و رسانه‌ای</x:v>
      </x:c>
      <x:c r="F1062" s="34" t="str">
        <x:v>DELEGATE/P2</x:v>
      </x:c>
      <x:c r="G1062" s="34" t="str">
        <x:v>هدف/موضوع</x:v>
      </x:c>
      <x:c r="H1062" s="39" t="str">
        <x:v>پلاستیک های اتاقک های باقلوا لذیذ</x:v>
      </x:c>
      <x:c r="I1062" s="39" t="str">
        <x:v>پورتفو؛ واگذاری اجرا و تمرکز بر راهبری</x:v>
      </x:c>
      <x:c r="J1062" s="39" t="str">
        <x:v>PMO/عملیات + روابط عمومی</x:v>
      </x:c>
      <x:c r="K1062" s="39" t="str"/>
      <x:c r="L1062" s="39" t="str">
        <x:v>AP:P445</x:v>
      </x:c>
      <x:c r="M1062" s="39" t="str"/>
      <x:c r="N1062" s="39" t="str">
        <x:v>نسخه پایه ۳۱۵۰</x:v>
      </x:c>
    </x:row>
    <x:row r="1063" ht="34" customHeight="1">
      <x:c r="A1063" s="34" t="str">
        <x:v>☐</x:v>
      </x:c>
      <x:c r="B1063" s="34" t="str">
        <x:v>MI-0661</x:v>
      </x:c>
      <x:c r="C1063" s="34" t="str">
        <x:v>M4 — اجرا، دانشگاه، صنعت و پروژه‌های اجتماعی</x:v>
      </x:c>
      <x:c r="D1063" s="34" t="str">
        <x:v>H11</x:v>
      </x:c>
      <x:c r="E1063" s="34" t="str">
        <x:v>دانشگاه؛ صنفی، رفاهی، اجرایی و رسانه‌ای</x:v>
      </x:c>
      <x:c r="F1063" s="34" t="str">
        <x:v>DELEGATE/P2</x:v>
      </x:c>
      <x:c r="G1063" s="34" t="str">
        <x:v>هدف/موضوع</x:v>
      </x:c>
      <x:c r="H1063" s="39" t="str">
        <x:v>راهبری فنی</x:v>
      </x:c>
      <x:c r="I1063" s="39" t="str">
        <x:v>پورتفو؛ واگذاری اجرا و تمرکز بر راهبری</x:v>
      </x:c>
      <x:c r="J1063" s="39" t="str">
        <x:v>PMO/عملیات + روابط عمومی</x:v>
      </x:c>
      <x:c r="K1063" s="39" t="str"/>
      <x:c r="L1063" s="39" t="str">
        <x:v>AP:P450</x:v>
      </x:c>
      <x:c r="M1063" s="39" t="str"/>
      <x:c r="N1063" s="39" t="str">
        <x:v>نسخه پایه ۳۱۵۰</x:v>
      </x:c>
    </x:row>
    <x:row r="1064" ht="34" customHeight="1">
      <x:c r="A1064" s="34" t="str">
        <x:v>☐</x:v>
      </x:c>
      <x:c r="B1064" s="34" t="str">
        <x:v>MI-0662</x:v>
      </x:c>
      <x:c r="C1064" s="34" t="str">
        <x:v>M4 — اجرا، دانشگاه، صنعت و پروژه‌های اجتماعی</x:v>
      </x:c>
      <x:c r="D1064" s="34" t="str">
        <x:v>H11</x:v>
      </x:c>
      <x:c r="E1064" s="34" t="str">
        <x:v>دانشگاه؛ صنفی، رفاهی، اجرایی و رسانه‌ای</x:v>
      </x:c>
      <x:c r="F1064" s="34" t="str">
        <x:v>DELEGATE/P2</x:v>
      </x:c>
      <x:c r="G1064" s="34" t="str">
        <x:v>هدف/موضوع</x:v>
      </x:c>
      <x:c r="H1064" s="39" t="str">
        <x:v>ارتباط مستقیمبا حامی مالی و کاشف</x:v>
      </x:c>
      <x:c r="I1064" s="39" t="str">
        <x:v>پورتفو؛ واگذاری اجرا و تمرکز بر راهبری</x:v>
      </x:c>
      <x:c r="J1064" s="39" t="str">
        <x:v>PMO/عملیات + روابط عمومی</x:v>
      </x:c>
      <x:c r="K1064" s="39" t="str"/>
      <x:c r="L1064" s="39" t="str">
        <x:v>AP:P451</x:v>
      </x:c>
      <x:c r="M1064" s="39" t="str"/>
      <x:c r="N1064" s="39" t="str">
        <x:v>نسخه پایه ۳۱۵۰</x:v>
      </x:c>
    </x:row>
    <x:row r="1065" ht="34" customHeight="1">
      <x:c r="A1065" s="34" t="str">
        <x:v>☐</x:v>
      </x:c>
      <x:c r="B1065" s="34" t="str">
        <x:v>MI-0664</x:v>
      </x:c>
      <x:c r="C1065" s="34" t="str">
        <x:v>M4 — اجرا، دانشگاه، صنعت و پروژه‌های اجتماعی</x:v>
      </x:c>
      <x:c r="D1065" s="34" t="str">
        <x:v>H11</x:v>
      </x:c>
      <x:c r="E1065" s="34" t="str">
        <x:v>دانشگاه؛ صنفی، رفاهی، اجرایی و رسانه‌ای</x:v>
      </x:c>
      <x:c r="F1065" s="34" t="str">
        <x:v>DELEGATE/P2</x:v>
      </x:c>
      <x:c r="G1065" s="34" t="str">
        <x:v>هدف/موضوع</x:v>
      </x:c>
      <x:c r="H1065" s="39" t="str">
        <x:v>بازدید علمی شرکت مهام برای عموم آزاد است.</x:v>
      </x:c>
      <x:c r="I1065" s="39" t="str">
        <x:v>پورتفو؛ واگذاری اجرا و تمرکز بر راهبری</x:v>
      </x:c>
      <x:c r="J1065" s="39" t="str">
        <x:v>PMO/عملیات + روابط عمومی</x:v>
      </x:c>
      <x:c r="K1065" s="39" t="str"/>
      <x:c r="L1065" s="39" t="str">
        <x:v>AP:P453</x:v>
      </x:c>
      <x:c r="M1065" s="39" t="str"/>
      <x:c r="N1065" s="39" t="str">
        <x:v>نسخه پایه ۳۱۵۰</x:v>
      </x:c>
    </x:row>
    <x:row r="1066" ht="34" customHeight="1">
      <x:c r="A1066" s="34" t="str">
        <x:v>☐</x:v>
      </x:c>
      <x:c r="B1066" s="34" t="str">
        <x:v>MI-0666</x:v>
      </x:c>
      <x:c r="C1066" s="34" t="str">
        <x:v>M4 — اجرا، دانشگاه، صنعت و پروژه‌های اجتماعی</x:v>
      </x:c>
      <x:c r="D1066" s="34" t="str">
        <x:v>H11</x:v>
      </x:c>
      <x:c r="E1066" s="34" t="str">
        <x:v>دانشگاه؛ صنفی، رفاهی، اجرایی و رسانه‌ای</x:v>
      </x:c>
      <x:c r="F1066" s="34" t="str">
        <x:v>DELEGATE/P2</x:v>
      </x:c>
      <x:c r="G1066" s="34" t="str">
        <x:v>هدف/موضوع</x:v>
      </x:c>
      <x:c r="H1066" s="39" t="str">
        <x:v>هدایت تحصیلی با فن جو به صورت هوشمند بشه تشخیص داد</x:v>
      </x:c>
      <x:c r="I1066" s="39" t="str">
        <x:v>پورتفو؛ واگذاری اجرا و تمرکز بر راهبری</x:v>
      </x:c>
      <x:c r="J1066" s="39" t="str">
        <x:v>PMO/عملیات + روابط عمومی</x:v>
      </x:c>
      <x:c r="K1066" s="39" t="str"/>
      <x:c r="L1066" s="39" t="str">
        <x:v>AP:P455؛ AP:P1008</x:v>
      </x:c>
      <x:c r="M1066" s="39" t="str"/>
      <x:c r="N1066" s="39" t="str">
        <x:v>نسخه پایه ۳۱۵۰</x:v>
      </x:c>
    </x:row>
    <x:row r="1067" ht="34" customHeight="1">
      <x:c r="A1067" s="34" t="str">
        <x:v>☐</x:v>
      </x:c>
      <x:c r="B1067" s="34" t="str">
        <x:v>MI-0667</x:v>
      </x:c>
      <x:c r="C1067" s="34" t="str">
        <x:v>M4 — اجرا، دانشگاه، صنعت و پروژه‌های اجتماعی</x:v>
      </x:c>
      <x:c r="D1067" s="34" t="str">
        <x:v>H11</x:v>
      </x:c>
      <x:c r="E1067" s="34" t="str">
        <x:v>دانشگاه؛ صنفی، رفاهی، اجرایی و رسانه‌ای</x:v>
      </x:c>
      <x:c r="F1067" s="34" t="str">
        <x:v>DELEGATE/P2</x:v>
      </x:c>
      <x:c r="G1067" s="34" t="str">
        <x:v>هدف/موضوع</x:v>
      </x:c>
      <x:c r="H1067" s="39" t="str">
        <x:v>پژوهشکده های صنعتی دانشگاه های تهران</x:v>
      </x:c>
      <x:c r="I1067" s="39" t="str">
        <x:v>پورتفو؛ واگذاری اجرا و تمرکز بر راهبری</x:v>
      </x:c>
      <x:c r="J1067" s="39" t="str">
        <x:v>PMO/عملیات + روابط عمومی</x:v>
      </x:c>
      <x:c r="K1067" s="39" t="str"/>
      <x:c r="L1067" s="39" t="str">
        <x:v>AP:P456</x:v>
      </x:c>
      <x:c r="M1067" s="39" t="str"/>
      <x:c r="N1067" s="39" t="str">
        <x:v>نسخه پایه ۳۱۵۰</x:v>
      </x:c>
    </x:row>
    <x:row r="1068" ht="34" customHeight="1">
      <x:c r="A1068" s="34" t="str">
        <x:v>☐</x:v>
      </x:c>
      <x:c r="B1068" s="34" t="str">
        <x:v>MI-0671</x:v>
      </x:c>
      <x:c r="C1068" s="34" t="str">
        <x:v>M4 — اجرا، دانشگاه، صنعت و پروژه‌های اجتماعی</x:v>
      </x:c>
      <x:c r="D1068" s="34" t="str">
        <x:v>H11</x:v>
      </x:c>
      <x:c r="E1068" s="34" t="str">
        <x:v>دانشگاه؛ صنفی، رفاهی، اجرایی و رسانه‌ای</x:v>
      </x:c>
      <x:c r="F1068" s="34" t="str">
        <x:v>DELEGATE/P2</x:v>
      </x:c>
      <x:c r="G1068" s="34" t="str">
        <x:v>هدف/موضوع</x:v>
      </x:c>
      <x:c r="H1068" s="39" t="str">
        <x:v>شروع</x:v>
      </x:c>
      <x:c r="I1068" s="39" t="str">
        <x:v>پورتفو؛ واگذاری اجرا و تمرکز بر راهبری</x:v>
      </x:c>
      <x:c r="J1068" s="39" t="str">
        <x:v>PMO/عملیات + روابط عمومی</x:v>
      </x:c>
      <x:c r="K1068" s="39" t="str"/>
      <x:c r="L1068" s="39" t="str">
        <x:v>AP:P460؛ AP:P1022</x:v>
      </x:c>
      <x:c r="M1068" s="39" t="str"/>
      <x:c r="N1068" s="39" t="str">
        <x:v>نسخه پایه ۳۱۵۰</x:v>
      </x:c>
    </x:row>
    <x:row r="1069" ht="34" customHeight="1">
      <x:c r="A1069" s="34" t="str">
        <x:v>☐</x:v>
      </x:c>
      <x:c r="B1069" s="34" t="str">
        <x:v>MI-0672</x:v>
      </x:c>
      <x:c r="C1069" s="34" t="str">
        <x:v>M4 — اجرا، دانشگاه، صنعت و پروژه‌های اجتماعی</x:v>
      </x:c>
      <x:c r="D1069" s="34" t="str">
        <x:v>H11</x:v>
      </x:c>
      <x:c r="E1069" s="34" t="str">
        <x:v>دانشگاه؛ صنفی، رفاهی، اجرایی و رسانه‌ای</x:v>
      </x:c>
      <x:c r="F1069" s="34" t="str">
        <x:v>DELEGATE/P2</x:v>
      </x:c>
      <x:c r="G1069" s="34" t="str">
        <x:v>هدف/موضوع</x:v>
      </x:c>
      <x:c r="H1069" s="39" t="str">
        <x:v>بخش مشترک با سراج</x:v>
      </x:c>
      <x:c r="I1069" s="39" t="str">
        <x:v>پورتفو؛ واگذاری اجرا و تمرکز بر راهبری</x:v>
      </x:c>
      <x:c r="J1069" s="39" t="str">
        <x:v>PMO/عملیات + روابط عمومی</x:v>
      </x:c>
      <x:c r="K1069" s="39" t="str"/>
      <x:c r="L1069" s="39" t="str">
        <x:v>AP:P461</x:v>
      </x:c>
      <x:c r="M1069" s="39" t="str"/>
      <x:c r="N1069" s="39" t="str">
        <x:v>نسخه پایه ۳۱۵۰</x:v>
      </x:c>
    </x:row>
    <x:row r="1070" ht="34" customHeight="1">
      <x:c r="A1070" s="34" t="str">
        <x:v>☐</x:v>
      </x:c>
      <x:c r="B1070" s="34" t="str">
        <x:v>MI-0684</x:v>
      </x:c>
      <x:c r="C1070" s="34" t="str">
        <x:v>M4 — اجرا، دانشگاه، صنعت و پروژه‌های اجتماعی</x:v>
      </x:c>
      <x:c r="D1070" s="34" t="str">
        <x:v>H11</x:v>
      </x:c>
      <x:c r="E1070" s="34" t="str">
        <x:v>دانشگاه؛ صنفی، رفاهی، اجرایی و رسانه‌ای</x:v>
      </x:c>
      <x:c r="F1070" s="34" t="str">
        <x:v>DELEGATE/P2</x:v>
      </x:c>
      <x:c r="G1070" s="34" t="str">
        <x:v>هدف/موضوع</x:v>
      </x:c>
      <x:c r="H1070" s="39" t="str">
        <x:v>صنفی</x:v>
      </x:c>
      <x:c r="I1070" s="39" t="str">
        <x:v>پورتفو؛ واگذاری اجرا و تمرکز بر راهبری</x:v>
      </x:c>
      <x:c r="J1070" s="39" t="str">
        <x:v>PMO/عملیات + روابط عمومی</x:v>
      </x:c>
      <x:c r="K1070" s="39" t="str"/>
      <x:c r="L1070" s="39" t="str">
        <x:v>AP:P474</x:v>
      </x:c>
      <x:c r="M1070" s="39" t="str"/>
      <x:c r="N1070" s="39" t="str">
        <x:v>نسخه پایه ۳۱۵۰</x:v>
      </x:c>
    </x:row>
    <x:row r="1071" ht="34" customHeight="1">
      <x:c r="A1071" s="34" t="str">
        <x:v>☐</x:v>
      </x:c>
      <x:c r="B1071" s="34" t="str">
        <x:v>MI-0736</x:v>
      </x:c>
      <x:c r="C1071" s="34" t="str">
        <x:v>M4 — اجرا، دانشگاه، صنعت و پروژه‌های اجتماعی</x:v>
      </x:c>
      <x:c r="D1071" s="34" t="str">
        <x:v>H11</x:v>
      </x:c>
      <x:c r="E1071" s="34" t="str">
        <x:v>دانشگاه؛ صنفی، رفاهی، اجرایی و رسانه‌ای</x:v>
      </x:c>
      <x:c r="F1071" s="34" t="str">
        <x:v>DELEGATE/P2</x:v>
      </x:c>
      <x:c r="G1071" s="34" t="str">
        <x:v>هدف/موضوع</x:v>
      </x:c>
      <x:c r="H1071" s="39" t="str">
        <x:v>ارزیابی</x:v>
      </x:c>
      <x:c r="I1071" s="39" t="str">
        <x:v>پورتفو؛ واگذاری اجرا و تمرکز بر راهبری</x:v>
      </x:c>
      <x:c r="J1071" s="39" t="str">
        <x:v>PMO/عملیات + روابط عمومی</x:v>
      </x:c>
      <x:c r="K1071" s="39" t="str"/>
      <x:c r="L1071" s="39" t="str">
        <x:v>AP:P527</x:v>
      </x:c>
      <x:c r="M1071" s="39" t="str"/>
      <x:c r="N1071" s="39" t="str">
        <x:v>نسخه پایه ۳۱۵۰</x:v>
      </x:c>
    </x:row>
    <x:row r="1072" ht="34" customHeight="1">
      <x:c r="A1072" s="34" t="str">
        <x:v>☐</x:v>
      </x:c>
      <x:c r="B1072" s="34" t="str">
        <x:v>MI-0737</x:v>
      </x:c>
      <x:c r="C1072" s="34" t="str">
        <x:v>M4 — اجرا، دانشگاه، صنعت و پروژه‌های اجتماعی</x:v>
      </x:c>
      <x:c r="D1072" s="34" t="str">
        <x:v>H11</x:v>
      </x:c>
      <x:c r="E1072" s="34" t="str">
        <x:v>دانشگاه؛ صنفی، رفاهی، اجرایی و رسانه‌ای</x:v>
      </x:c>
      <x:c r="F1072" s="34" t="str">
        <x:v>DELEGATE/P2</x:v>
      </x:c>
      <x:c r="G1072" s="34" t="str">
        <x:v>هدف/موضوع</x:v>
      </x:c>
      <x:c r="H1072" s="39" t="str">
        <x:v>ارزیابی و مقایسه عملکرد با قبل خود و با سایر دانشگاه ها</x:v>
      </x:c>
      <x:c r="I1072" s="39" t="str">
        <x:v>پورتفو؛ واگذاری اجرا و تمرکز بر راهبری</x:v>
      </x:c>
      <x:c r="J1072" s="39" t="str">
        <x:v>PMO/عملیات + روابط عمومی</x:v>
      </x:c>
      <x:c r="K1072" s="39" t="str"/>
      <x:c r="L1072" s="39" t="str">
        <x:v>AP:P528</x:v>
      </x:c>
      <x:c r="M1072" s="39" t="str"/>
      <x:c r="N1072" s="39" t="str">
        <x:v>نسخه پایه ۳۱۵۰</x:v>
      </x:c>
    </x:row>
    <x:row r="1073" ht="34" customHeight="1">
      <x:c r="A1073" s="34" t="str">
        <x:v>☐</x:v>
      </x:c>
      <x:c r="B1073" s="34" t="str">
        <x:v>MI-0738</x:v>
      </x:c>
      <x:c r="C1073" s="34" t="str">
        <x:v>M4 — اجرا، دانشگاه، صنعت و پروژه‌های اجتماعی</x:v>
      </x:c>
      <x:c r="D1073" s="34" t="str">
        <x:v>H11</x:v>
      </x:c>
      <x:c r="E1073" s="34" t="str">
        <x:v>دانشگاه؛ صنفی، رفاهی، اجرایی و رسانه‌ای</x:v>
      </x:c>
      <x:c r="F1073" s="34" t="str">
        <x:v>DELEGATE/P2</x:v>
      </x:c>
      <x:c r="G1073" s="34" t="str">
        <x:v>هدف/موضوع</x:v>
      </x:c>
      <x:c r="H1073" s="39" t="str">
        <x:v>مصاحبه صنفی</x:v>
      </x:c>
      <x:c r="I1073" s="39" t="str">
        <x:v>پورتفو؛ واگذاری اجرا و تمرکز بر راهبری</x:v>
      </x:c>
      <x:c r="J1073" s="39" t="str">
        <x:v>PMO/عملیات + روابط عمومی</x:v>
      </x:c>
      <x:c r="K1073" s="39" t="str"/>
      <x:c r="L1073" s="39" t="str">
        <x:v>AP:P529</x:v>
      </x:c>
      <x:c r="M1073" s="39" t="str"/>
      <x:c r="N1073" s="39" t="str">
        <x:v>نسخه پایه ۳۱۵۰</x:v>
      </x:c>
    </x:row>
    <x:row r="1074" ht="34" customHeight="1">
      <x:c r="A1074" s="34" t="str">
        <x:v>☐</x:v>
      </x:c>
      <x:c r="B1074" s="34" t="str">
        <x:v>MI-0740</x:v>
      </x:c>
      <x:c r="C1074" s="34" t="str">
        <x:v>M4 — اجرا، دانشگاه، صنعت و پروژه‌های اجتماعی</x:v>
      </x:c>
      <x:c r="D1074" s="34" t="str">
        <x:v>H11</x:v>
      </x:c>
      <x:c r="E1074" s="34" t="str">
        <x:v>دانشگاه؛ صنفی، رفاهی، اجرایی و رسانه‌ای</x:v>
      </x:c>
      <x:c r="F1074" s="34" t="str">
        <x:v>DELEGATE/P2</x:v>
      </x:c>
      <x:c r="G1074" s="34" t="str">
        <x:v>هدف/موضوع</x:v>
      </x:c>
      <x:c r="H1074" s="39" t="str">
        <x:v>خانه فرهنگ</x:v>
      </x:c>
      <x:c r="I1074" s="39" t="str">
        <x:v>پورتفو؛ واگذاری اجرا و تمرکز بر راهبری</x:v>
      </x:c>
      <x:c r="J1074" s="39" t="str">
        <x:v>PMO/عملیات + روابط عمومی</x:v>
      </x:c>
      <x:c r="K1074" s="39" t="str"/>
      <x:c r="L1074" s="39" t="str">
        <x:v>AP:P531</x:v>
      </x:c>
      <x:c r="M1074" s="39" t="str"/>
      <x:c r="N1074" s="39" t="str">
        <x:v>نسخه پایه ۳۱۵۰</x:v>
      </x:c>
    </x:row>
    <x:row r="1075" ht="34" customHeight="1">
      <x:c r="A1075" s="34" t="str">
        <x:v>☐</x:v>
      </x:c>
      <x:c r="B1075" s="34" t="str">
        <x:v>MI-0746</x:v>
      </x:c>
      <x:c r="C1075" s="34" t="str">
        <x:v>M4 — اجرا، دانشگاه، صنعت و پروژه‌های اجتماعی</x:v>
      </x:c>
      <x:c r="D1075" s="34" t="str">
        <x:v>H11</x:v>
      </x:c>
      <x:c r="E1075" s="34" t="str">
        <x:v>دانشگاه؛ صنفی، رفاهی، اجرایی و رسانه‌ای</x:v>
      </x:c>
      <x:c r="F1075" s="34" t="str">
        <x:v>DELEGATE/P2</x:v>
      </x:c>
      <x:c r="G1075" s="34" t="str">
        <x:v>هدف/موضوع</x:v>
      </x:c>
      <x:c r="H1075" s="39" t="str">
        <x:v>قانون پایستگی دمپایی ،</x:v>
      </x:c>
      <x:c r="I1075" s="39" t="str">
        <x:v>پورتفو؛ واگذاری اجرا و تمرکز بر راهبری</x:v>
      </x:c>
      <x:c r="J1075" s="39" t="str">
        <x:v>PMO/عملیات + روابط عمومی</x:v>
      </x:c>
      <x:c r="K1075" s="39" t="str"/>
      <x:c r="L1075" s="39" t="str">
        <x:v>AP:P537</x:v>
      </x:c>
      <x:c r="M1075" s="39" t="str"/>
      <x:c r="N1075" s="39" t="str">
        <x:v>نسخه پایه ۳۱۵۰</x:v>
      </x:c>
    </x:row>
    <x:row r="1076" ht="34" customHeight="1">
      <x:c r="A1076" s="34" t="str">
        <x:v>☐</x:v>
      </x:c>
      <x:c r="B1076" s="34" t="str">
        <x:v>MI-0747</x:v>
      </x:c>
      <x:c r="C1076" s="34" t="str">
        <x:v>M4 — اجرا، دانشگاه، صنعت و پروژه‌های اجتماعی</x:v>
      </x:c>
      <x:c r="D1076" s="34" t="str">
        <x:v>H11</x:v>
      </x:c>
      <x:c r="E1076" s="34" t="str">
        <x:v>دانشگاه؛ صنفی، رفاهی، اجرایی و رسانه‌ای</x:v>
      </x:c>
      <x:c r="F1076" s="34" t="str">
        <x:v>DELEGATE/P2</x:v>
      </x:c>
      <x:c r="G1076" s="34" t="str">
        <x:v>هدف/موضوع</x:v>
      </x:c>
      <x:c r="H1076" s="39" t="str">
        <x:v>درخت های زیتون استیجاری؟؟؟</x:v>
      </x:c>
      <x:c r="I1076" s="39" t="str">
        <x:v>پورتفو؛ واگذاری اجرا و تمرکز بر راهبری</x:v>
      </x:c>
      <x:c r="J1076" s="39" t="str">
        <x:v>PMO/عملیات + روابط عمومی</x:v>
      </x:c>
      <x:c r="K1076" s="39" t="str"/>
      <x:c r="L1076" s="39" t="str">
        <x:v>AP:P538</x:v>
      </x:c>
      <x:c r="M1076" s="39" t="str"/>
      <x:c r="N1076" s="39" t="str">
        <x:v>نسخه پایه ۳۱۵۰</x:v>
      </x:c>
    </x:row>
    <x:row r="1077" ht="34" customHeight="1">
      <x:c r="A1077" s="34" t="str">
        <x:v>☐</x:v>
      </x:c>
      <x:c r="B1077" s="34" t="str">
        <x:v>MI-0748</x:v>
      </x:c>
      <x:c r="C1077" s="34" t="str">
        <x:v>M4 — اجرا، دانشگاه، صنعت و پروژه‌های اجتماعی</x:v>
      </x:c>
      <x:c r="D1077" s="34" t="str">
        <x:v>H11</x:v>
      </x:c>
      <x:c r="E1077" s="34" t="str">
        <x:v>دانشگاه؛ صنفی، رفاهی، اجرایی و رسانه‌ای</x:v>
      </x:c>
      <x:c r="F1077" s="34" t="str">
        <x:v>DELEGATE/P2</x:v>
      </x:c>
      <x:c r="G1077" s="34" t="str">
        <x:v>هدف/موضوع</x:v>
      </x:c>
      <x:c r="H1077" s="39" t="str">
        <x:v>دمپایی از بین نمیره بلکه از اتاقی به اتاق دیگه منتقل میشه</x:v>
      </x:c>
      <x:c r="I1077" s="39" t="str">
        <x:v>پورتفو؛ واگذاری اجرا و تمرکز بر راهبری</x:v>
      </x:c>
      <x:c r="J1077" s="39" t="str">
        <x:v>PMO/عملیات + روابط عمومی</x:v>
      </x:c>
      <x:c r="K1077" s="39" t="str"/>
      <x:c r="L1077" s="39" t="str">
        <x:v>AP:P539</x:v>
      </x:c>
      <x:c r="M1077" s="39" t="str"/>
      <x:c r="N1077" s="39" t="str">
        <x:v>نسخه پایه ۳۱۵۰</x:v>
      </x:c>
    </x:row>
    <x:row r="1078" ht="34" customHeight="1">
      <x:c r="A1078" s="34" t="str">
        <x:v>☐</x:v>
      </x:c>
      <x:c r="B1078" s="34" t="str">
        <x:v>MI-0749</x:v>
      </x:c>
      <x:c r="C1078" s="34" t="str">
        <x:v>M4 — اجرا، دانشگاه، صنعت و پروژه‌های اجتماعی</x:v>
      </x:c>
      <x:c r="D1078" s="34" t="str">
        <x:v>H11</x:v>
      </x:c>
      <x:c r="E1078" s="34" t="str">
        <x:v>دانشگاه؛ صنفی، رفاهی، اجرایی و رسانه‌ای</x:v>
      </x:c>
      <x:c r="F1078" s="34" t="str">
        <x:v>DELEGATE/P2</x:v>
      </x:c>
      <x:c r="G1078" s="34" t="str">
        <x:v>هدف/موضوع</x:v>
      </x:c>
      <x:c r="H1078" s="39" t="str">
        <x:v>احساس میکنم تلافیه، یکی اول دمپایی یکی رو زد و اون به تلافی اومد دمپایی یه نفر دیگه رو زد و این چرخه همینطوری داره ادامه پیدا میکنه...</x:v>
      </x:c>
      <x:c r="I1078" s="39" t="str">
        <x:v>پورتفو؛ واگذاری اجرا و تمرکز بر راهبری</x:v>
      </x:c>
      <x:c r="J1078" s="39" t="str">
        <x:v>PMO/عملیات + روابط عمومی</x:v>
      </x:c>
      <x:c r="K1078" s="39" t="str"/>
      <x:c r="L1078" s="39" t="str">
        <x:v>AP:P540</x:v>
      </x:c>
      <x:c r="M1078" s="39" t="str"/>
      <x:c r="N1078" s="39" t="str">
        <x:v>نسخه پایه ۳۱۵۰</x:v>
      </x:c>
    </x:row>
    <x:row r="1079" ht="34" customHeight="1">
      <x:c r="A1079" s="34" t="str">
        <x:v>☐</x:v>
      </x:c>
      <x:c r="B1079" s="34" t="str">
        <x:v>MI-0750</x:v>
      </x:c>
      <x:c r="C1079" s="34" t="str">
        <x:v>M4 — اجرا، دانشگاه، صنعت و پروژه‌های اجتماعی</x:v>
      </x:c>
      <x:c r="D1079" s="34" t="str">
        <x:v>H11</x:v>
      </x:c>
      <x:c r="E1079" s="34" t="str">
        <x:v>دانشگاه؛ صنفی، رفاهی، اجرایی و رسانه‌ای</x:v>
      </x:c>
      <x:c r="F1079" s="34" t="str">
        <x:v>DELEGATE/P2</x:v>
      </x:c>
      <x:c r="G1079" s="34" t="str">
        <x:v>هدف/موضوع</x:v>
      </x:c>
      <x:c r="H1079" s="39" t="str">
        <x:v>سوالات بسیار مهم در مصاحبه</x:v>
      </x:c>
      <x:c r="I1079" s="39" t="str">
        <x:v>پورتفو؛ واگذاری اجرا و تمرکز بر راهبری</x:v>
      </x:c>
      <x:c r="J1079" s="39" t="str">
        <x:v>PMO/عملیات + روابط عمومی</x:v>
      </x:c>
      <x:c r="K1079" s="39" t="str"/>
      <x:c r="L1079" s="39" t="str">
        <x:v>AP:P541</x:v>
      </x:c>
      <x:c r="M1079" s="39" t="str"/>
      <x:c r="N1079" s="39" t="str">
        <x:v>نسخه پایه ۳۱۵۰</x:v>
      </x:c>
    </x:row>
    <x:row r="1080" ht="34" customHeight="1">
      <x:c r="A1080" s="34" t="str">
        <x:v>☐</x:v>
      </x:c>
      <x:c r="B1080" s="34" t="str">
        <x:v>MI-0752</x:v>
      </x:c>
      <x:c r="C1080" s="34" t="str">
        <x:v>M4 — اجرا، دانشگاه، صنعت و پروژه‌های اجتماعی</x:v>
      </x:c>
      <x:c r="D1080" s="34" t="str">
        <x:v>H11</x:v>
      </x:c>
      <x:c r="E1080" s="34" t="str">
        <x:v>دانشگاه؛ صنفی، رفاهی، اجرایی و رسانه‌ای</x:v>
      </x:c>
      <x:c r="F1080" s="34" t="str">
        <x:v>DELEGATE/P2</x:v>
      </x:c>
      <x:c r="G1080" s="34" t="str">
        <x:v>هدف/موضوع</x:v>
      </x:c>
      <x:c r="H1080" s="39" t="str">
        <x:v>اگر بخوای یه سوال از فلانی کنی چی می پرسی؟</x:v>
      </x:c>
      <x:c r="I1080" s="39" t="str">
        <x:v>پورتفو؛ واگذاری اجرا و تمرکز بر راهبری</x:v>
      </x:c>
      <x:c r="J1080" s="39" t="str">
        <x:v>PMO/عملیات + روابط عمومی</x:v>
      </x:c>
      <x:c r="K1080" s="39" t="str"/>
      <x:c r="L1080" s="39" t="str">
        <x:v>AP:P543</x:v>
      </x:c>
      <x:c r="M1080" s="39" t="str"/>
      <x:c r="N1080" s="39" t="str">
        <x:v>نسخه پایه ۳۱۵۰</x:v>
      </x:c>
    </x:row>
    <x:row r="1081" ht="34" customHeight="1">
      <x:c r="A1081" s="34" t="str">
        <x:v>☐</x:v>
      </x:c>
      <x:c r="B1081" s="34" t="str">
        <x:v>MI-0754</x:v>
      </x:c>
      <x:c r="C1081" s="34" t="str">
        <x:v>M4 — اجرا، دانشگاه، صنعت و پروژه‌های اجتماعی</x:v>
      </x:c>
      <x:c r="D1081" s="34" t="str">
        <x:v>H11</x:v>
      </x:c>
      <x:c r="E1081" s="34" t="str">
        <x:v>دانشگاه؛ صنفی، رفاهی، اجرایی و رسانه‌ای</x:v>
      </x:c>
      <x:c r="F1081" s="34" t="str">
        <x:v>DELEGATE/P2</x:v>
      </x:c>
      <x:c r="G1081" s="34" t="str">
        <x:v>هدف/موضوع</x:v>
      </x:c>
      <x:c r="H1081" s="39" t="str">
        <x:v>لایو اینستا یا هر پلتفرم دیگه ای بالا بیاد برای کامنت ها</x:v>
      </x:c>
      <x:c r="I1081" s="39" t="str">
        <x:v>پورتفو؛ واگذاری اجرا و تمرکز بر راهبری</x:v>
      </x:c>
      <x:c r="J1081" s="39" t="str">
        <x:v>PMO/عملیات + روابط عمومی</x:v>
      </x:c>
      <x:c r="K1081" s="39" t="str"/>
      <x:c r="L1081" s="39" t="str">
        <x:v>AP:P545</x:v>
      </x:c>
      <x:c r="M1081" s="39" t="str"/>
      <x:c r="N1081" s="39" t="str">
        <x:v>نسخه پایه ۳۱۵۰</x:v>
      </x:c>
    </x:row>
    <x:row r="1082" ht="34" customHeight="1">
      <x:c r="A1082" s="34" t="str">
        <x:v>☐</x:v>
      </x:c>
      <x:c r="B1082" s="34" t="str">
        <x:v>MI-0760</x:v>
      </x:c>
      <x:c r="C1082" s="34" t="str">
        <x:v>M4 — اجرا، دانشگاه، صنعت و پروژه‌های اجتماعی</x:v>
      </x:c>
      <x:c r="D1082" s="34" t="str">
        <x:v>H11</x:v>
      </x:c>
      <x:c r="E1082" s="34" t="str">
        <x:v>دانشگاه؛ صنفی، رفاهی، اجرایی و رسانه‌ای</x:v>
      </x:c>
      <x:c r="F1082" s="34" t="str">
        <x:v>DELEGATE/P2</x:v>
      </x:c>
      <x:c r="G1082" s="34" t="str">
        <x:v>هدف/موضوع</x:v>
      </x:c>
      <x:c r="H1082" s="39" t="str">
        <x:v>کارگروه ها</x:v>
      </x:c>
      <x:c r="I1082" s="39" t="str">
        <x:v>پورتفو؛ واگذاری اجرا و تمرکز بر راهبری</x:v>
      </x:c>
      <x:c r="J1082" s="39" t="str">
        <x:v>PMO/عملیات + روابط عمومی</x:v>
      </x:c>
      <x:c r="K1082" s="39" t="str"/>
      <x:c r="L1082" s="39" t="str">
        <x:v>AP:P552</x:v>
      </x:c>
      <x:c r="M1082" s="39" t="str"/>
      <x:c r="N1082" s="39" t="str">
        <x:v>نسخه پایه ۳۱۵۰</x:v>
      </x:c>
    </x:row>
    <x:row r="1083" ht="34" customHeight="1">
      <x:c r="A1083" s="34" t="str">
        <x:v>☐</x:v>
      </x:c>
      <x:c r="B1083" s="34" t="str">
        <x:v>MI-0761</x:v>
      </x:c>
      <x:c r="C1083" s="34" t="str">
        <x:v>M4 — اجرا، دانشگاه، صنعت و پروژه‌های اجتماعی</x:v>
      </x:c>
      <x:c r="D1083" s="34" t="str">
        <x:v>H11</x:v>
      </x:c>
      <x:c r="E1083" s="34" t="str">
        <x:v>دانشگاه؛ صنفی، رفاهی، اجرایی و رسانه‌ای</x:v>
      </x:c>
      <x:c r="F1083" s="34" t="str">
        <x:v>DELEGATE/P2</x:v>
      </x:c>
      <x:c r="G1083" s="34" t="str">
        <x:v>هدف/موضوع</x:v>
      </x:c>
      <x:c r="H1083" s="39" t="str">
        <x:v>سلف و تغذیه</x:v>
      </x:c>
      <x:c r="I1083" s="39" t="str">
        <x:v>پورتفو؛ واگذاری اجرا و تمرکز بر راهبری</x:v>
      </x:c>
      <x:c r="J1083" s="39" t="str">
        <x:v>PMO/عملیات + روابط عمومی</x:v>
      </x:c>
      <x:c r="K1083" s="39" t="str"/>
      <x:c r="L1083" s="39" t="str">
        <x:v>AP:P553</x:v>
      </x:c>
      <x:c r="M1083" s="39" t="str"/>
      <x:c r="N1083" s="39" t="str">
        <x:v>نسخه پایه ۳۱۵۰</x:v>
      </x:c>
    </x:row>
    <x:row r="1084" ht="34" customHeight="1">
      <x:c r="A1084" s="34" t="str">
        <x:v>☐</x:v>
      </x:c>
      <x:c r="B1084" s="34" t="str">
        <x:v>MI-0762</x:v>
      </x:c>
      <x:c r="C1084" s="34" t="str">
        <x:v>M4 — اجرا، دانشگاه، صنعت و پروژه‌های اجتماعی</x:v>
      </x:c>
      <x:c r="D1084" s="34" t="str">
        <x:v>H11</x:v>
      </x:c>
      <x:c r="E1084" s="34" t="str">
        <x:v>دانشگاه؛ صنفی، رفاهی، اجرایی و رسانه‌ای</x:v>
      </x:c>
      <x:c r="F1084" s="34" t="str">
        <x:v>DELEGATE/P2</x:v>
      </x:c>
      <x:c r="G1084" s="34" t="str">
        <x:v>هدف/موضوع</x:v>
      </x:c>
      <x:c r="H1084" s="39" t="str">
        <x:v>وظایف کارگروه سلف</x:v>
      </x:c>
      <x:c r="I1084" s="39" t="str">
        <x:v>پورتفو؛ واگذاری اجرا و تمرکز بر راهبری</x:v>
      </x:c>
      <x:c r="J1084" s="39" t="str">
        <x:v>PMO/عملیات + روابط عمومی</x:v>
      </x:c>
      <x:c r="K1084" s="39" t="str"/>
      <x:c r="L1084" s="39" t="str">
        <x:v>AP:P554</x:v>
      </x:c>
      <x:c r="M1084" s="39" t="str"/>
      <x:c r="N1084" s="39" t="str">
        <x:v>نسخه پایه ۳۱۵۰</x:v>
      </x:c>
    </x:row>
    <x:row r="1085" ht="34" customHeight="1">
      <x:c r="A1085" s="34" t="str">
        <x:v>☐</x:v>
      </x:c>
      <x:c r="B1085" s="34" t="str">
        <x:v>MI-0764</x:v>
      </x:c>
      <x:c r="C1085" s="34" t="str">
        <x:v>M4 — اجرا، دانشگاه، صنعت و پروژه‌های اجتماعی</x:v>
      </x:c>
      <x:c r="D1085" s="34" t="str">
        <x:v>H11</x:v>
      </x:c>
      <x:c r="E1085" s="34" t="str">
        <x:v>دانشگاه؛ صنفی، رفاهی، اجرایی و رسانه‌ای</x:v>
      </x:c>
      <x:c r="F1085" s="34" t="str">
        <x:v>DELEGATE/P2</x:v>
      </x:c>
      <x:c r="G1085" s="34" t="str">
        <x:v>هدف/موضوع</x:v>
      </x:c>
      <x:c r="H1085" s="39" t="str">
        <x:v>- نی یکبار مصرف</x:v>
      </x:c>
      <x:c r="I1085" s="39" t="str">
        <x:v>پورتفو؛ واگذاری اجرا و تمرکز بر راهبری</x:v>
      </x:c>
      <x:c r="J1085" s="39" t="str">
        <x:v>PMO/عملیات + روابط عمومی</x:v>
      </x:c>
      <x:c r="K1085" s="39" t="str"/>
      <x:c r="L1085" s="39" t="str">
        <x:v>AP:P556</x:v>
      </x:c>
      <x:c r="M1085" s="39" t="str"/>
      <x:c r="N1085" s="39" t="str">
        <x:v>نسخه پایه ۳۱۵۰</x:v>
      </x:c>
    </x:row>
    <x:row r="1086" ht="34" customHeight="1">
      <x:c r="A1086" s="34" t="str">
        <x:v>☐</x:v>
      </x:c>
      <x:c r="B1086" s="34" t="str">
        <x:v>MI-0765</x:v>
      </x:c>
      <x:c r="C1086" s="34" t="str">
        <x:v>M4 — اجرا، دانشگاه، صنعت و پروژه‌های اجتماعی</x:v>
      </x:c>
      <x:c r="D1086" s="34" t="str">
        <x:v>H11</x:v>
      </x:c>
      <x:c r="E1086" s="34" t="str">
        <x:v>دانشگاه؛ صنفی، رفاهی، اجرایی و رسانه‌ای</x:v>
      </x:c>
      <x:c r="F1086" s="34" t="str">
        <x:v>DELEGATE/P2</x:v>
      </x:c>
      <x:c r="G1086" s="34" t="str">
        <x:v>هدف/موضوع</x:v>
      </x:c>
      <x:c r="H1086" s="39" t="str">
        <x:v>ادمین شدن روابط عمومی در کانال</x:v>
      </x:c>
      <x:c r="I1086" s="39" t="str">
        <x:v>پورتفو؛ واگذاری اجرا و تمرکز بر راهبری</x:v>
      </x:c>
      <x:c r="J1086" s="39" t="str">
        <x:v>PMO/عملیات + روابط عمومی</x:v>
      </x:c>
      <x:c r="K1086" s="39" t="str"/>
      <x:c r="L1086" s="39" t="str">
        <x:v>AP:P557</x:v>
      </x:c>
      <x:c r="M1086" s="39" t="str"/>
      <x:c r="N1086" s="39" t="str">
        <x:v>نسخه پایه ۳۱۵۰</x:v>
      </x:c>
    </x:row>
    <x:row r="1087" ht="34" customHeight="1">
      <x:c r="A1087" s="34" t="str">
        <x:v>☐</x:v>
      </x:c>
      <x:c r="B1087" s="34" t="str">
        <x:v>MI-0766</x:v>
      </x:c>
      <x:c r="C1087" s="34" t="str">
        <x:v>M4 — اجرا، دانشگاه، صنعت و پروژه‌های اجتماعی</x:v>
      </x:c>
      <x:c r="D1087" s="34" t="str">
        <x:v>H11</x:v>
      </x:c>
      <x:c r="E1087" s="34" t="str">
        <x:v>دانشگاه؛ صنفی، رفاهی، اجرایی و رسانه‌ای</x:v>
      </x:c>
      <x:c r="F1087" s="34" t="str">
        <x:v>DELEGATE/P2</x:v>
      </x:c>
      <x:c r="G1087" s="34" t="str">
        <x:v>هدف/موضوع</x:v>
      </x:c>
      <x:c r="H1087" s="39" t="str">
        <x:v>ادمین شدن مسیول سلف در کانال</x:v>
      </x:c>
      <x:c r="I1087" s="39" t="str">
        <x:v>پورتفو؛ واگذاری اجرا و تمرکز بر راهبری</x:v>
      </x:c>
      <x:c r="J1087" s="39" t="str">
        <x:v>PMO/عملیات + روابط عمومی</x:v>
      </x:c>
      <x:c r="K1087" s="39" t="str"/>
      <x:c r="L1087" s="39" t="str">
        <x:v>AP:P558</x:v>
      </x:c>
      <x:c r="M1087" s="39" t="str"/>
      <x:c r="N1087" s="39" t="str">
        <x:v>نسخه پایه ۳۱۵۰</x:v>
      </x:c>
    </x:row>
    <x:row r="1088" ht="34" customHeight="1">
      <x:c r="A1088" s="34" t="str">
        <x:v>☐</x:v>
      </x:c>
      <x:c r="B1088" s="34" t="str">
        <x:v>MI-0767</x:v>
      </x:c>
      <x:c r="C1088" s="34" t="str">
        <x:v>M4 — اجرا، دانشگاه، صنعت و پروژه‌های اجتماعی</x:v>
      </x:c>
      <x:c r="D1088" s="34" t="str">
        <x:v>H11</x:v>
      </x:c>
      <x:c r="E1088" s="34" t="str">
        <x:v>دانشگاه؛ صنفی، رفاهی، اجرایی و رسانه‌ای</x:v>
      </x:c>
      <x:c r="F1088" s="34" t="str">
        <x:v>DELEGATE/P2</x:v>
      </x:c>
      <x:c r="G1088" s="34" t="str">
        <x:v>هدف/موضوع</x:v>
      </x:c>
      <x:c r="H1088" s="39" t="str">
        <x:v>اطلاعیه های سلف درج شود</x:v>
      </x:c>
      <x:c r="I1088" s="39" t="str">
        <x:v>پورتفو؛ واگذاری اجرا و تمرکز بر راهبری</x:v>
      </x:c>
      <x:c r="J1088" s="39" t="str">
        <x:v>PMO/عملیات + روابط عمومی</x:v>
      </x:c>
      <x:c r="K1088" s="39" t="str"/>
      <x:c r="L1088" s="39" t="str">
        <x:v>AP:P559</x:v>
      </x:c>
      <x:c r="M1088" s="39" t="str"/>
      <x:c r="N1088" s="39" t="str">
        <x:v>نسخه پایه ۳۱۵۰</x:v>
      </x:c>
    </x:row>
    <x:row r="1089" ht="34" customHeight="1">
      <x:c r="A1089" s="34" t="str">
        <x:v>☐</x:v>
      </x:c>
      <x:c r="B1089" s="34" t="str">
        <x:v>MI-0768</x:v>
      </x:c>
      <x:c r="C1089" s="34" t="str">
        <x:v>M4 — اجرا، دانشگاه، صنعت و پروژه‌های اجتماعی</x:v>
      </x:c>
      <x:c r="D1089" s="34" t="str">
        <x:v>H11</x:v>
      </x:c>
      <x:c r="E1089" s="34" t="str">
        <x:v>دانشگاه؛ صنفی، رفاهی، اجرایی و رسانه‌ای</x:v>
      </x:c>
      <x:c r="F1089" s="34" t="str">
        <x:v>DELEGATE/P2</x:v>
      </x:c>
      <x:c r="G1089" s="34" t="str">
        <x:v>هدف/موضوع</x:v>
      </x:c>
      <x:c r="H1089" s="39" t="str">
        <x:v>اقادامات عمرانی سلف درج شود</x:v>
      </x:c>
      <x:c r="I1089" s="39" t="str">
        <x:v>پورتفو؛ واگذاری اجرا و تمرکز بر راهبری</x:v>
      </x:c>
      <x:c r="J1089" s="39" t="str">
        <x:v>PMO/عملیات + روابط عمومی</x:v>
      </x:c>
      <x:c r="K1089" s="39" t="str"/>
      <x:c r="L1089" s="39" t="str">
        <x:v>AP:P560</x:v>
      </x:c>
      <x:c r="M1089" s="39" t="str"/>
      <x:c r="N1089" s="39" t="str">
        <x:v>نسخه پایه ۳۱۵۰</x:v>
      </x:c>
    </x:row>
    <x:row r="1090" ht="34" customHeight="1">
      <x:c r="A1090" s="34" t="str">
        <x:v>☐</x:v>
      </x:c>
      <x:c r="B1090" s="34" t="str">
        <x:v>MI-0770</x:v>
      </x:c>
      <x:c r="C1090" s="34" t="str">
        <x:v>M4 — اجرا، دانشگاه، صنعت و پروژه‌های اجتماعی</x:v>
      </x:c>
      <x:c r="D1090" s="34" t="str">
        <x:v>H11</x:v>
      </x:c>
      <x:c r="E1090" s="34" t="str">
        <x:v>دانشگاه؛ صنفی، رفاهی، اجرایی و رسانه‌ای</x:v>
      </x:c>
      <x:c r="F1090" s="34" t="str">
        <x:v>DELEGATE/P2</x:v>
      </x:c>
      <x:c r="G1090" s="34" t="str">
        <x:v>هدف/موضوع</x:v>
      </x:c>
      <x:c r="H1090" s="39" t="str">
        <x:v>بات تلگرامی نظر سنجی</x:v>
      </x:c>
      <x:c r="I1090" s="39" t="str">
        <x:v>پورتفو؛ واگذاری اجرا و تمرکز بر راهبری</x:v>
      </x:c>
      <x:c r="J1090" s="39" t="str">
        <x:v>PMO/عملیات + روابط عمومی</x:v>
      </x:c>
      <x:c r="K1090" s="39" t="str"/>
      <x:c r="L1090" s="39" t="str">
        <x:v>AP:P562</x:v>
      </x:c>
      <x:c r="M1090" s="39" t="str"/>
      <x:c r="N1090" s="39" t="str">
        <x:v>نسخه پایه ۳۱۵۰</x:v>
      </x:c>
    </x:row>
    <x:row r="1091" ht="34" customHeight="1">
      <x:c r="A1091" s="34" t="str">
        <x:v>☐</x:v>
      </x:c>
      <x:c r="B1091" s="34" t="str">
        <x:v>MI-0771</x:v>
      </x:c>
      <x:c r="C1091" s="34" t="str">
        <x:v>M4 — اجرا، دانشگاه، صنعت و پروژه‌های اجتماعی</x:v>
      </x:c>
      <x:c r="D1091" s="34" t="str">
        <x:v>H11</x:v>
      </x:c>
      <x:c r="E1091" s="34" t="str">
        <x:v>دانشگاه؛ صنفی، رفاهی، اجرایی و رسانه‌ای</x:v>
      </x:c>
      <x:c r="F1091" s="34" t="str">
        <x:v>DELEGATE/P2</x:v>
      </x:c>
      <x:c r="G1091" s="34" t="str">
        <x:v>هدف/موضوع</x:v>
      </x:c>
      <x:c r="H1091" s="39" t="str">
        <x:v>ناظرین سلف</x:v>
      </x:c>
      <x:c r="I1091" s="39" t="str">
        <x:v>پورتفو؛ واگذاری اجرا و تمرکز بر راهبری</x:v>
      </x:c>
      <x:c r="J1091" s="39" t="str">
        <x:v>PMO/عملیات + روابط عمومی</x:v>
      </x:c>
      <x:c r="K1091" s="39" t="str"/>
      <x:c r="L1091" s="39" t="str">
        <x:v>AP:P563</x:v>
      </x:c>
      <x:c r="M1091" s="39" t="str"/>
      <x:c r="N1091" s="39" t="str">
        <x:v>نسخه پایه ۳۱۵۰</x:v>
      </x:c>
    </x:row>
    <x:row r="1092" ht="34" customHeight="1">
      <x:c r="A1092" s="34" t="str">
        <x:v>☐</x:v>
      </x:c>
      <x:c r="B1092" s="34" t="str">
        <x:v>MI-0773</x:v>
      </x:c>
      <x:c r="C1092" s="34" t="str">
        <x:v>M4 — اجرا، دانشگاه، صنعت و پروژه‌های اجتماعی</x:v>
      </x:c>
      <x:c r="D1092" s="34" t="str">
        <x:v>H11</x:v>
      </x:c>
      <x:c r="E1092" s="34" t="str">
        <x:v>دانشگاه؛ صنفی، رفاهی، اجرایی و رسانه‌ای</x:v>
      </x:c>
      <x:c r="F1092" s="34" t="str">
        <x:v>DELEGATE/P2</x:v>
      </x:c>
      <x:c r="G1092" s="34" t="str">
        <x:v>هدف/موضوع</x:v>
      </x:c>
      <x:c r="H1092" s="39" t="str">
        <x:v>انتقادات و پیشنهادات میدانی</x:v>
      </x:c>
      <x:c r="I1092" s="39" t="str">
        <x:v>پورتفو؛ واگذاری اجرا و تمرکز بر راهبری</x:v>
      </x:c>
      <x:c r="J1092" s="39" t="str">
        <x:v>PMO/عملیات + روابط عمومی</x:v>
      </x:c>
      <x:c r="K1092" s="39" t="str"/>
      <x:c r="L1092" s="39" t="str">
        <x:v>AP:P565</x:v>
      </x:c>
      <x:c r="M1092" s="39" t="str"/>
      <x:c r="N1092" s="39" t="str">
        <x:v>نسخه پایه ۳۱۵۰</x:v>
      </x:c>
    </x:row>
    <x:row r="1093" ht="34" customHeight="1">
      <x:c r="A1093" s="34" t="str">
        <x:v>☐</x:v>
      </x:c>
      <x:c r="B1093" s="34" t="str">
        <x:v>MI-0774</x:v>
      </x:c>
      <x:c r="C1093" s="34" t="str">
        <x:v>M4 — اجرا، دانشگاه، صنعت و پروژه‌های اجتماعی</x:v>
      </x:c>
      <x:c r="D1093" s="34" t="str">
        <x:v>H11</x:v>
      </x:c>
      <x:c r="E1093" s="34" t="str">
        <x:v>دانشگاه؛ صنفی، رفاهی، اجرایی و رسانه‌ای</x:v>
      </x:c>
      <x:c r="F1093" s="34" t="str">
        <x:v>DELEGATE/P2</x:v>
      </x:c>
      <x:c r="G1093" s="34" t="str">
        <x:v>هدف/موضوع</x:v>
      </x:c>
      <x:c r="H1093" s="39" t="str">
        <x:v>ادمین مشخص کردن برای کانال سلف جهت دریافت گزارشات و شکایات</x:v>
      </x:c>
      <x:c r="I1093" s="39" t="str">
        <x:v>پورتفو؛ واگذاری اجرا و تمرکز بر راهبری</x:v>
      </x:c>
      <x:c r="J1093" s="39" t="str">
        <x:v>PMO/عملیات + روابط عمومی</x:v>
      </x:c>
      <x:c r="K1093" s="39" t="str"/>
      <x:c r="L1093" s="39" t="str">
        <x:v>AP:P566</x:v>
      </x:c>
      <x:c r="M1093" s="39" t="str"/>
      <x:c r="N1093" s="39" t="str">
        <x:v>نسخه پایه ۳۱۵۰</x:v>
      </x:c>
    </x:row>
    <x:row r="1094" ht="34" customHeight="1">
      <x:c r="A1094" s="34" t="str">
        <x:v>☐</x:v>
      </x:c>
      <x:c r="B1094" s="34" t="str">
        <x:v>MI-0776</x:v>
      </x:c>
      <x:c r="C1094" s="34" t="str">
        <x:v>M4 — اجرا، دانشگاه، صنعت و پروژه‌های اجتماعی</x:v>
      </x:c>
      <x:c r="D1094" s="34" t="str">
        <x:v>H11</x:v>
      </x:c>
      <x:c r="E1094" s="34" t="str">
        <x:v>دانشگاه؛ صنفی، رفاهی، اجرایی و رسانه‌ای</x:v>
      </x:c>
      <x:c r="F1094" s="34" t="str">
        <x:v>DELEGATE/P2</x:v>
      </x:c>
      <x:c r="G1094" s="34" t="str">
        <x:v>هدف/موضوع</x:v>
      </x:c>
      <x:c r="H1094" s="39" t="str">
        <x:v>میوه ، ماست</x:v>
      </x:c>
      <x:c r="I1094" s="39" t="str">
        <x:v>پورتفو؛ واگذاری اجرا و تمرکز بر راهبری</x:v>
      </x:c>
      <x:c r="J1094" s="39" t="str">
        <x:v>PMO/عملیات + روابط عمومی</x:v>
      </x:c>
      <x:c r="K1094" s="39" t="str"/>
      <x:c r="L1094" s="39" t="str">
        <x:v>AP:P568</x:v>
      </x:c>
      <x:c r="M1094" s="39" t="str"/>
      <x:c r="N1094" s="39" t="str">
        <x:v>نسخه پایه ۳۱۵۰</x:v>
      </x:c>
    </x:row>
    <x:row r="1095" ht="34" customHeight="1">
      <x:c r="A1095" s="34" t="str">
        <x:v>☐</x:v>
      </x:c>
      <x:c r="B1095" s="34" t="str">
        <x:v>MI-0777</x:v>
      </x:c>
      <x:c r="C1095" s="34" t="str">
        <x:v>M4 — اجرا، دانشگاه، صنعت و پروژه‌های اجتماعی</x:v>
      </x:c>
      <x:c r="D1095" s="34" t="str">
        <x:v>H11</x:v>
      </x:c>
      <x:c r="E1095" s="34" t="str">
        <x:v>دانشگاه؛ صنفی، رفاهی، اجرایی و رسانه‌ای</x:v>
      </x:c>
      <x:c r="F1095" s="34" t="str">
        <x:v>DELEGATE/P2</x:v>
      </x:c>
      <x:c r="G1095" s="34" t="str">
        <x:v>هدف/موضوع</x:v>
      </x:c>
      <x:c r="H1095" s="39" t="str">
        <x:v>وضعیت نظارت بر نظافت و قیمت های بوفه</x:v>
      </x:c>
      <x:c r="I1095" s="39" t="str">
        <x:v>پورتفو؛ واگذاری اجرا و تمرکز بر راهبری</x:v>
      </x:c>
      <x:c r="J1095" s="39" t="str">
        <x:v>PMO/عملیات + روابط عمومی</x:v>
      </x:c>
      <x:c r="K1095" s="39" t="str"/>
      <x:c r="L1095" s="39" t="str">
        <x:v>AP:P569</x:v>
      </x:c>
      <x:c r="M1095" s="39" t="str"/>
      <x:c r="N1095" s="39" t="str">
        <x:v>نسخه پایه ۳۱۵۰</x:v>
      </x:c>
    </x:row>
    <x:row r="1096" ht="34" customHeight="1">
      <x:c r="A1096" s="34" t="str">
        <x:v>☐</x:v>
      </x:c>
      <x:c r="B1096" s="34" t="str">
        <x:v>MI-0779</x:v>
      </x:c>
      <x:c r="C1096" s="34" t="str">
        <x:v>M4 — اجرا، دانشگاه، صنعت و پروژه‌های اجتماعی</x:v>
      </x:c>
      <x:c r="D1096" s="34" t="str">
        <x:v>H11</x:v>
      </x:c>
      <x:c r="E1096" s="34" t="str">
        <x:v>دانشگاه؛ صنفی، رفاهی، اجرایی و رسانه‌ای</x:v>
      </x:c>
      <x:c r="F1096" s="34" t="str">
        <x:v>DELEGATE/P2</x:v>
      </x:c>
      <x:c r="G1096" s="34" t="str">
        <x:v>هدف/موضوع</x:v>
      </x:c>
      <x:c r="H1096" s="39" t="str">
        <x:v>کانال سلف</x:v>
      </x:c>
      <x:c r="I1096" s="39" t="str">
        <x:v>پورتفو؛ واگذاری اجرا و تمرکز بر راهبری</x:v>
      </x:c>
      <x:c r="J1096" s="39" t="str">
        <x:v>PMO/عملیات + روابط عمومی</x:v>
      </x:c>
      <x:c r="K1096" s="39" t="str"/>
      <x:c r="L1096" s="39" t="str">
        <x:v>AP:P571</x:v>
      </x:c>
      <x:c r="M1096" s="39" t="str"/>
      <x:c r="N1096" s="39" t="str">
        <x:v>نسخه پایه ۳۱۵۰</x:v>
      </x:c>
    </x:row>
    <x:row r="1097" ht="34" customHeight="1">
      <x:c r="A1097" s="34" t="str">
        <x:v>☐</x:v>
      </x:c>
      <x:c r="B1097" s="34" t="str">
        <x:v>MI-0780</x:v>
      </x:c>
      <x:c r="C1097" s="34" t="str">
        <x:v>M4 — اجرا، دانشگاه، صنعت و پروژه‌های اجتماعی</x:v>
      </x:c>
      <x:c r="D1097" s="34" t="str">
        <x:v>H11</x:v>
      </x:c>
      <x:c r="E1097" s="34" t="str">
        <x:v>دانشگاه؛ صنفی، رفاهی، اجرایی و رسانه‌ای</x:v>
      </x:c>
      <x:c r="F1097" s="34" t="str">
        <x:v>DELEGATE/P2</x:v>
      </x:c>
      <x:c r="G1097" s="34" t="str">
        <x:v>هدف/موضوع</x:v>
      </x:c>
      <x:c r="H1097" s="39" t="str">
        <x:v>- چینش غذاها</x:v>
      </x:c>
      <x:c r="I1097" s="39" t="str">
        <x:v>پورتفو؛ واگذاری اجرا و تمرکز بر راهبری</x:v>
      </x:c>
      <x:c r="J1097" s="39" t="str">
        <x:v>PMO/عملیات + روابط عمومی</x:v>
      </x:c>
      <x:c r="K1097" s="39" t="str"/>
      <x:c r="L1097" s="39" t="str">
        <x:v>AP:P572</x:v>
      </x:c>
      <x:c r="M1097" s="39" t="str"/>
      <x:c r="N1097" s="39" t="str">
        <x:v>نسخه پایه ۳۱۵۰</x:v>
      </x:c>
    </x:row>
    <x:row r="1098" ht="34" customHeight="1">
      <x:c r="A1098" s="34" t="str">
        <x:v>☐</x:v>
      </x:c>
      <x:c r="B1098" s="34" t="str">
        <x:v>MI-0782</x:v>
      </x:c>
      <x:c r="C1098" s="34" t="str">
        <x:v>M4 — اجرا، دانشگاه، صنعت و پروژه‌های اجتماعی</x:v>
      </x:c>
      <x:c r="D1098" s="34" t="str">
        <x:v>H11</x:v>
      </x:c>
      <x:c r="E1098" s="34" t="str">
        <x:v>دانشگاه؛ صنفی، رفاهی، اجرایی و رسانه‌ای</x:v>
      </x:c>
      <x:c r="F1098" s="34" t="str">
        <x:v>DELEGATE/P2</x:v>
      </x:c>
      <x:c r="G1098" s="34" t="str">
        <x:v>هدف/موضوع</x:v>
      </x:c>
      <x:c r="H1098" s="39" t="str">
        <x:v>- یادآوری غذای هفته با نمایش دورچین</x:v>
      </x:c>
      <x:c r="I1098" s="39" t="str">
        <x:v>پورتفو؛ واگذاری اجرا و تمرکز بر راهبری</x:v>
      </x:c>
      <x:c r="J1098" s="39" t="str">
        <x:v>PMO/عملیات + روابط عمومی</x:v>
      </x:c>
      <x:c r="K1098" s="39" t="str"/>
      <x:c r="L1098" s="39" t="str">
        <x:v>AP:P574</x:v>
      </x:c>
      <x:c r="M1098" s="39" t="str"/>
      <x:c r="N1098" s="39" t="str">
        <x:v>نسخه پایه ۳۱۵۰</x:v>
      </x:c>
    </x:row>
    <x:row r="1099" ht="34" customHeight="1">
      <x:c r="A1099" s="34" t="str">
        <x:v>☐</x:v>
      </x:c>
      <x:c r="B1099" s="34" t="str">
        <x:v>MI-0783</x:v>
      </x:c>
      <x:c r="C1099" s="34" t="str">
        <x:v>M4 — اجرا، دانشگاه، صنعت و پروژه‌های اجتماعی</x:v>
      </x:c>
      <x:c r="D1099" s="34" t="str">
        <x:v>H11</x:v>
      </x:c>
      <x:c r="E1099" s="34" t="str">
        <x:v>دانشگاه؛ صنفی، رفاهی، اجرایی و رسانه‌ای</x:v>
      </x:c>
      <x:c r="F1099" s="34" t="str">
        <x:v>DELEGATE/P2</x:v>
      </x:c>
      <x:c r="G1099" s="34" t="str">
        <x:v>هدف/موضوع</x:v>
      </x:c>
      <x:c r="H1099" s="39" t="str">
        <x:v>- گذاشتن راه ارتباطی برای اعلام مشکلات سلف</x:v>
      </x:c>
      <x:c r="I1099" s="39" t="str">
        <x:v>پورتفو؛ واگذاری اجرا و تمرکز بر راهبری</x:v>
      </x:c>
      <x:c r="J1099" s="39" t="str">
        <x:v>PMO/عملیات + روابط عمومی</x:v>
      </x:c>
      <x:c r="K1099" s="39" t="str"/>
      <x:c r="L1099" s="39" t="str">
        <x:v>AP:P575</x:v>
      </x:c>
      <x:c r="M1099" s="39" t="str"/>
      <x:c r="N1099" s="39" t="str">
        <x:v>نسخه پایه ۳۱۵۰</x:v>
      </x:c>
    </x:row>
    <x:row r="1100" ht="34" customHeight="1">
      <x:c r="A1100" s="34" t="str">
        <x:v>☐</x:v>
      </x:c>
      <x:c r="B1100" s="34" t="str">
        <x:v>MI-0785</x:v>
      </x:c>
      <x:c r="C1100" s="34" t="str">
        <x:v>M4 — اجرا، دانشگاه، صنعت و پروژه‌های اجتماعی</x:v>
      </x:c>
      <x:c r="D1100" s="34" t="str">
        <x:v>H11</x:v>
      </x:c>
      <x:c r="E1100" s="34" t="str">
        <x:v>دانشگاه؛ صنفی، رفاهی، اجرایی و رسانه‌ای</x:v>
      </x:c>
      <x:c r="F1100" s="34" t="str">
        <x:v>DELEGATE/P2</x:v>
      </x:c>
      <x:c r="G1100" s="34" t="str">
        <x:v>هدف/موضوع</x:v>
      </x:c>
      <x:c r="H1100" s="39" t="str">
        <x:v>- سرمایش گرمایش سلف</x:v>
      </x:c>
      <x:c r="I1100" s="39" t="str">
        <x:v>پورتفو؛ واگذاری اجرا و تمرکز بر راهبری</x:v>
      </x:c>
      <x:c r="J1100" s="39" t="str">
        <x:v>PMO/عملیات + روابط عمومی</x:v>
      </x:c>
      <x:c r="K1100" s="39" t="str"/>
      <x:c r="L1100" s="39" t="str">
        <x:v>AP:P577</x:v>
      </x:c>
      <x:c r="M1100" s="39" t="str"/>
      <x:c r="N1100" s="39" t="str">
        <x:v>نسخه پایه ۳۱۵۰</x:v>
      </x:c>
    </x:row>
    <x:row r="1101" ht="34" customHeight="1">
      <x:c r="A1101" s="34" t="str">
        <x:v>☐</x:v>
      </x:c>
      <x:c r="B1101" s="34" t="str">
        <x:v>MI-0786</x:v>
      </x:c>
      <x:c r="C1101" s="34" t="str">
        <x:v>M4 — اجرا، دانشگاه، صنعت و پروژه‌های اجتماعی</x:v>
      </x:c>
      <x:c r="D1101" s="34" t="str">
        <x:v>H11</x:v>
      </x:c>
      <x:c r="E1101" s="34" t="str">
        <x:v>دانشگاه؛ صنفی، رفاهی، اجرایی و رسانه‌ای</x:v>
      </x:c>
      <x:c r="F1101" s="34" t="str">
        <x:v>DELEGATE/P2</x:v>
      </x:c>
      <x:c r="G1101" s="34" t="str">
        <x:v>هدف/موضوع</x:v>
      </x:c>
      <x:c r="H1101" s="39" t="str">
        <x:v>- آبخوری سلف</x:v>
      </x:c>
      <x:c r="I1101" s="39" t="str">
        <x:v>پورتفو؛ واگذاری اجرا و تمرکز بر راهبری</x:v>
      </x:c>
      <x:c r="J1101" s="39" t="str">
        <x:v>PMO/عملیات + روابط عمومی</x:v>
      </x:c>
      <x:c r="K1101" s="39" t="str"/>
      <x:c r="L1101" s="39" t="str">
        <x:v>AP:P578</x:v>
      </x:c>
      <x:c r="M1101" s="39" t="str"/>
      <x:c r="N1101" s="39" t="str">
        <x:v>نسخه پایه ۳۱۵۰</x:v>
      </x:c>
    </x:row>
    <x:row r="1102" ht="34" customHeight="1">
      <x:c r="A1102" s="34" t="str">
        <x:v>☐</x:v>
      </x:c>
      <x:c r="B1102" s="34" t="str">
        <x:v>MI-0787</x:v>
      </x:c>
      <x:c r="C1102" s="34" t="str">
        <x:v>M4 — اجرا، دانشگاه، صنعت و پروژه‌های اجتماعی</x:v>
      </x:c>
      <x:c r="D1102" s="34" t="str">
        <x:v>H11</x:v>
      </x:c>
      <x:c r="E1102" s="34" t="str">
        <x:v>دانشگاه؛ صنفی، رفاهی، اجرایی و رسانه‌ای</x:v>
      </x:c>
      <x:c r="F1102" s="34" t="str">
        <x:v>DELEGATE/P2</x:v>
      </x:c>
      <x:c r="G1102" s="34" t="str">
        <x:v>هدف/موضوع</x:v>
      </x:c>
      <x:c r="H1102" s="39" t="str">
        <x:v>- نظافت سلف</x:v>
      </x:c>
      <x:c r="I1102" s="39" t="str">
        <x:v>پورتفو؛ واگذاری اجرا و تمرکز بر راهبری</x:v>
      </x:c>
      <x:c r="J1102" s="39" t="str">
        <x:v>PMO/عملیات + روابط عمومی</x:v>
      </x:c>
      <x:c r="K1102" s="39" t="str"/>
      <x:c r="L1102" s="39" t="str">
        <x:v>AP:P579</x:v>
      </x:c>
      <x:c r="M1102" s="39" t="str"/>
      <x:c r="N1102" s="39" t="str">
        <x:v>نسخه پایه ۳۱۵۰</x:v>
      </x:c>
    </x:row>
    <x:row r="1103" ht="34" customHeight="1">
      <x:c r="A1103" s="34" t="str">
        <x:v>☐</x:v>
      </x:c>
      <x:c r="B1103" s="34" t="str">
        <x:v>MI-0788</x:v>
      </x:c>
      <x:c r="C1103" s="34" t="str">
        <x:v>M4 — اجرا، دانشگاه، صنعت و پروژه‌های اجتماعی</x:v>
      </x:c>
      <x:c r="D1103" s="34" t="str">
        <x:v>H11</x:v>
      </x:c>
      <x:c r="E1103" s="34" t="str">
        <x:v>دانشگاه؛ صنفی، رفاهی، اجرایی و رسانه‌ای</x:v>
      </x:c>
      <x:c r="F1103" s="34" t="str">
        <x:v>DELEGATE/P2</x:v>
      </x:c>
      <x:c r="G1103" s="34" t="str">
        <x:v>هدف/موضوع</x:v>
      </x:c>
      <x:c r="H1103" s="39" t="str">
        <x:v>- ناظرین سلف و بوفه ها و کارت بهداشت آن ها</x:v>
      </x:c>
      <x:c r="I1103" s="39" t="str">
        <x:v>پورتفو؛ واگذاری اجرا و تمرکز بر راهبری</x:v>
      </x:c>
      <x:c r="J1103" s="39" t="str">
        <x:v>PMO/عملیات + روابط عمومی</x:v>
      </x:c>
      <x:c r="K1103" s="39" t="str"/>
      <x:c r="L1103" s="39" t="str">
        <x:v>AP:P580</x:v>
      </x:c>
      <x:c r="M1103" s="39" t="str"/>
      <x:c r="N1103" s="39" t="str">
        <x:v>نسخه پایه ۳۱۵۰</x:v>
      </x:c>
    </x:row>
    <x:row r="1104" ht="34" customHeight="1">
      <x:c r="A1104" s="34" t="str">
        <x:v>☐</x:v>
      </x:c>
      <x:c r="B1104" s="34" t="str">
        <x:v>MI-0789</x:v>
      </x:c>
      <x:c r="C1104" s="34" t="str">
        <x:v>M4 — اجرا، دانشگاه، صنعت و پروژه‌های اجتماعی</x:v>
      </x:c>
      <x:c r="D1104" s="34" t="str">
        <x:v>H11</x:v>
      </x:c>
      <x:c r="E1104" s="34" t="str">
        <x:v>دانشگاه؛ صنفی، رفاهی، اجرایی و رسانه‌ای</x:v>
      </x:c>
      <x:c r="F1104" s="34" t="str">
        <x:v>DELEGATE/P2</x:v>
      </x:c>
      <x:c r="G1104" s="34" t="str">
        <x:v>هدف/موضوع</x:v>
      </x:c>
      <x:c r="H1104" s="39" t="str">
        <x:v>- اعمال نظارت مستقیم شورای صنفی بر سلف غذاخوری</x:v>
      </x:c>
      <x:c r="I1104" s="39" t="str">
        <x:v>پورتفو؛ واگذاری اجرا و تمرکز بر راهبری</x:v>
      </x:c>
      <x:c r="J1104" s="39" t="str">
        <x:v>PMO/عملیات + روابط عمومی</x:v>
      </x:c>
      <x:c r="K1104" s="39" t="str"/>
      <x:c r="L1104" s="39" t="str">
        <x:v>AP:P581</x:v>
      </x:c>
      <x:c r="M1104" s="39" t="str"/>
      <x:c r="N1104" s="39" t="str">
        <x:v>نسخه پایه ۳۱۵۰</x:v>
      </x:c>
    </x:row>
    <x:row r="1105" ht="34" customHeight="1">
      <x:c r="A1105" s="34" t="str">
        <x:v>☐</x:v>
      </x:c>
      <x:c r="B1105" s="34" t="str">
        <x:v>MI-0790</x:v>
      </x:c>
      <x:c r="C1105" s="34" t="str">
        <x:v>M4 — اجرا، دانشگاه، صنعت و پروژه‌های اجتماعی</x:v>
      </x:c>
      <x:c r="D1105" s="34" t="str">
        <x:v>H11</x:v>
      </x:c>
      <x:c r="E1105" s="34" t="str">
        <x:v>دانشگاه؛ صنفی، رفاهی، اجرایی و رسانه‌ای</x:v>
      </x:c>
      <x:c r="F1105" s="34" t="str">
        <x:v>DELEGATE/P2</x:v>
      </x:c>
      <x:c r="G1105" s="34" t="str">
        <x:v>هدف/موضوع</x:v>
      </x:c>
      <x:c r="H1105" s="39" t="str">
        <x:v>- چرب بودن و لکه دار بودن ظروف سلف حتی بعد از چند بار شستشو</x:v>
      </x:c>
      <x:c r="I1105" s="39" t="str">
        <x:v>پورتفو؛ واگذاری اجرا و تمرکز بر راهبری</x:v>
      </x:c>
      <x:c r="J1105" s="39" t="str">
        <x:v>PMO/عملیات + روابط عمومی</x:v>
      </x:c>
      <x:c r="K1105" s="39" t="str"/>
      <x:c r="L1105" s="39" t="str">
        <x:v>AP:P582</x:v>
      </x:c>
      <x:c r="M1105" s="39" t="str"/>
      <x:c r="N1105" s="39" t="str">
        <x:v>نسخه پایه ۳۱۵۰</x:v>
      </x:c>
    </x:row>
    <x:row r="1106" ht="34" customHeight="1">
      <x:c r="A1106" s="34" t="str">
        <x:v>☐</x:v>
      </x:c>
      <x:c r="B1106" s="34" t="str">
        <x:v>MI-0791</x:v>
      </x:c>
      <x:c r="C1106" s="34" t="str">
        <x:v>M4 — اجرا، دانشگاه، صنعت و پروژه‌های اجتماعی</x:v>
      </x:c>
      <x:c r="D1106" s="34" t="str">
        <x:v>H11</x:v>
      </x:c>
      <x:c r="E1106" s="34" t="str">
        <x:v>دانشگاه؛ صنفی، رفاهی، اجرایی و رسانه‌ای</x:v>
      </x:c>
      <x:c r="F1106" s="34" t="str">
        <x:v>DELEGATE/P2</x:v>
      </x:c>
      <x:c r="G1106" s="34" t="str">
        <x:v>هدف/موضوع</x:v>
      </x:c>
      <x:c r="H1106" s="39" t="str">
        <x:v>- نبودن شکر برای صبحانه</x:v>
      </x:c>
      <x:c r="I1106" s="39" t="str">
        <x:v>پورتفو؛ واگذاری اجرا و تمرکز بر راهبری</x:v>
      </x:c>
      <x:c r="J1106" s="39" t="str">
        <x:v>PMO/عملیات + روابط عمومی</x:v>
      </x:c>
      <x:c r="K1106" s="39" t="str"/>
      <x:c r="L1106" s="39" t="str">
        <x:v>AP:P583</x:v>
      </x:c>
      <x:c r="M1106" s="39" t="str"/>
      <x:c r="N1106" s="39" t="str">
        <x:v>نسخه پایه ۳۱۵۰</x:v>
      </x:c>
    </x:row>
    <x:row r="1107" ht="34" customHeight="1">
      <x:c r="A1107" s="34" t="str">
        <x:v>☐</x:v>
      </x:c>
      <x:c r="B1107" s="34" t="str">
        <x:v>MI-0792</x:v>
      </x:c>
      <x:c r="C1107" s="34" t="str">
        <x:v>M4 — اجرا، دانشگاه، صنعت و پروژه‌های اجتماعی</x:v>
      </x:c>
      <x:c r="D1107" s="34" t="str">
        <x:v>H11</x:v>
      </x:c>
      <x:c r="E1107" s="34" t="str">
        <x:v>دانشگاه؛ صنفی، رفاهی، اجرایی و رسانه‌ای</x:v>
      </x:c>
      <x:c r="F1107" s="34" t="str">
        <x:v>DELEGATE/P2</x:v>
      </x:c>
      <x:c r="G1107" s="34" t="str">
        <x:v>هدف/موضوع</x:v>
      </x:c>
      <x:c r="H1107" s="39" t="str">
        <x:v>- کمبود میوه و یا نبودن میوه مناسب</x:v>
      </x:c>
      <x:c r="I1107" s="39" t="str">
        <x:v>پورتفو؛ واگذاری اجرا و تمرکز بر راهبری</x:v>
      </x:c>
      <x:c r="J1107" s="39" t="str">
        <x:v>PMO/عملیات + روابط عمومی</x:v>
      </x:c>
      <x:c r="K1107" s="39" t="str"/>
      <x:c r="L1107" s="39" t="str">
        <x:v>AP:P584</x:v>
      </x:c>
      <x:c r="M1107" s="39" t="str"/>
      <x:c r="N1107" s="39" t="str">
        <x:v>نسخه پایه ۳۱۵۰</x:v>
      </x:c>
    </x:row>
    <x:row r="1108" ht="34" customHeight="1">
      <x:c r="A1108" s="34" t="str">
        <x:v>☐</x:v>
      </x:c>
      <x:c r="B1108" s="34" t="str">
        <x:v>MI-0793</x:v>
      </x:c>
      <x:c r="C1108" s="34" t="str">
        <x:v>M4 — اجرا، دانشگاه، صنعت و پروژه‌های اجتماعی</x:v>
      </x:c>
      <x:c r="D1108" s="34" t="str">
        <x:v>H11</x:v>
      </x:c>
      <x:c r="E1108" s="34" t="str">
        <x:v>دانشگاه؛ صنفی، رفاهی، اجرایی و رسانه‌ای</x:v>
      </x:c>
      <x:c r="F1108" s="34" t="str">
        <x:v>DELEGATE/P2</x:v>
      </x:c>
      <x:c r="G1108" s="34" t="str">
        <x:v>هدف/موضوع</x:v>
      </x:c>
      <x:c r="H1108" s="39" t="str">
        <x:v>- نبودن تنوع برای لیست غذا</x:v>
      </x:c>
      <x:c r="I1108" s="39" t="str">
        <x:v>پورتفو؛ واگذاری اجرا و تمرکز بر راهبری</x:v>
      </x:c>
      <x:c r="J1108" s="39" t="str">
        <x:v>PMO/عملیات + روابط عمومی</x:v>
      </x:c>
      <x:c r="K1108" s="39" t="str"/>
      <x:c r="L1108" s="39" t="str">
        <x:v>AP:P585</x:v>
      </x:c>
      <x:c r="M1108" s="39" t="str"/>
      <x:c r="N1108" s="39" t="str">
        <x:v>نسخه پایه ۳۱۵۰</x:v>
      </x:c>
    </x:row>
    <x:row r="1109" ht="34" customHeight="1">
      <x:c r="A1109" s="34" t="str">
        <x:v>☐</x:v>
      </x:c>
      <x:c r="B1109" s="34" t="str">
        <x:v>MI-0794</x:v>
      </x:c>
      <x:c r="C1109" s="34" t="str">
        <x:v>M4 — اجرا، دانشگاه، صنعت و پروژه‌های اجتماعی</x:v>
      </x:c>
      <x:c r="D1109" s="34" t="str">
        <x:v>H11</x:v>
      </x:c>
      <x:c r="E1109" s="34" t="str">
        <x:v>دانشگاه؛ صنفی، رفاهی، اجرایی و رسانه‌ای</x:v>
      </x:c>
      <x:c r="F1109" s="34" t="str">
        <x:v>DELEGATE/P2</x:v>
      </x:c>
      <x:c r="G1109" s="34" t="str">
        <x:v>هدف/موضوع</x:v>
      </x:c>
      <x:c r="H1109" s="39" t="str">
        <x:v>- ارایه میوه با قیمت مناسب در بوفه</x:v>
      </x:c>
      <x:c r="I1109" s="39" t="str">
        <x:v>پورتفو؛ واگذاری اجرا و تمرکز بر راهبری</x:v>
      </x:c>
      <x:c r="J1109" s="39" t="str">
        <x:v>PMO/عملیات + روابط عمومی</x:v>
      </x:c>
      <x:c r="K1109" s="39" t="str"/>
      <x:c r="L1109" s="39" t="str">
        <x:v>AP:P586</x:v>
      </x:c>
      <x:c r="M1109" s="39" t="str"/>
      <x:c r="N1109" s="39" t="str">
        <x:v>نسخه پایه ۳۱۵۰</x:v>
      </x:c>
    </x:row>
    <x:row r="1110" ht="34" customHeight="1">
      <x:c r="A1110" s="34" t="str">
        <x:v>☐</x:v>
      </x:c>
      <x:c r="B1110" s="34" t="str">
        <x:v>MI-0796</x:v>
      </x:c>
      <x:c r="C1110" s="34" t="str">
        <x:v>M4 — اجرا، دانشگاه، صنعت و پروژه‌های اجتماعی</x:v>
      </x:c>
      <x:c r="D1110" s="34" t="str">
        <x:v>H11</x:v>
      </x:c>
      <x:c r="E1110" s="34" t="str">
        <x:v>دانشگاه؛ صنفی، رفاهی، اجرایی و رسانه‌ای</x:v>
      </x:c>
      <x:c r="F1110" s="34" t="str">
        <x:v>DELEGATE/P2</x:v>
      </x:c>
      <x:c r="G1110" s="34" t="str">
        <x:v>هدف/موضوع</x:v>
      </x:c>
      <x:c r="H1110" s="39" t="str">
        <x:v>- تغییر نوع برنج مصرفی در سلف (برنج ایرانی به جای خارجی)</x:v>
      </x:c>
      <x:c r="I1110" s="39" t="str">
        <x:v>پورتفو؛ واگذاری اجرا و تمرکز بر راهبری</x:v>
      </x:c>
      <x:c r="J1110" s="39" t="str">
        <x:v>PMO/عملیات + روابط عمومی</x:v>
      </x:c>
      <x:c r="K1110" s="39" t="str"/>
      <x:c r="L1110" s="39" t="str">
        <x:v>AP:P588</x:v>
      </x:c>
      <x:c r="M1110" s="39" t="str"/>
      <x:c r="N1110" s="39" t="str">
        <x:v>نسخه پایه ۳۱۵۰</x:v>
      </x:c>
    </x:row>
    <x:row r="1111" ht="34" customHeight="1">
      <x:c r="A1111" s="34" t="str">
        <x:v>☐</x:v>
      </x:c>
      <x:c r="B1111" s="34" t="str">
        <x:v>MI-0798</x:v>
      </x:c>
      <x:c r="C1111" s="34" t="str">
        <x:v>M4 — اجرا، دانشگاه، صنعت و پروژه‌های اجتماعی</x:v>
      </x:c>
      <x:c r="D1111" s="34" t="str">
        <x:v>H11</x:v>
      </x:c>
      <x:c r="E1111" s="34" t="str">
        <x:v>دانشگاه؛ صنفی، رفاهی، اجرایی و رسانه‌ای</x:v>
      </x:c>
      <x:c r="F1111" s="34" t="str">
        <x:v>DELEGATE/P2</x:v>
      </x:c>
      <x:c r="G1111" s="34" t="str">
        <x:v>هدف/موضوع</x:v>
      </x:c>
      <x:c r="H1111" s="39" t="str">
        <x:v>- تحویل غذای باقیمانده سلف به خانه سالمندان (باب الحوایج)</x:v>
      </x:c>
      <x:c r="I1111" s="39" t="str">
        <x:v>پورتفو؛ واگذاری اجرا و تمرکز بر راهبری</x:v>
      </x:c>
      <x:c r="J1111" s="39" t="str">
        <x:v>PMO/عملیات + روابط عمومی</x:v>
      </x:c>
      <x:c r="K1111" s="39" t="str"/>
      <x:c r="L1111" s="39" t="str">
        <x:v>AP:P590</x:v>
      </x:c>
      <x:c r="M1111" s="39" t="str"/>
      <x:c r="N1111" s="39" t="str">
        <x:v>نسخه پایه ۳۱۵۰</x:v>
      </x:c>
    </x:row>
    <x:row r="1112" ht="34" customHeight="1">
      <x:c r="A1112" s="34" t="str">
        <x:v>☐</x:v>
      </x:c>
      <x:c r="B1112" s="34" t="str">
        <x:v>MI-0799</x:v>
      </x:c>
      <x:c r="C1112" s="34" t="str">
        <x:v>M4 — اجرا، دانشگاه، صنعت و پروژه‌های اجتماعی</x:v>
      </x:c>
      <x:c r="D1112" s="34" t="str">
        <x:v>H11</x:v>
      </x:c>
      <x:c r="E1112" s="34" t="str">
        <x:v>دانشگاه؛ صنفی، رفاهی، اجرایی و رسانه‌ای</x:v>
      </x:c>
      <x:c r="F1112" s="34" t="str">
        <x:v>DELEGATE/P2</x:v>
      </x:c>
      <x:c r="G1112" s="34" t="str">
        <x:v>هدف/موضوع</x:v>
      </x:c>
      <x:c r="H1112" s="39" t="str">
        <x:v>- معرفی ناظر سلف</x:v>
      </x:c>
      <x:c r="I1112" s="39" t="str">
        <x:v>پورتفو؛ واگذاری اجرا و تمرکز بر راهبری</x:v>
      </x:c>
      <x:c r="J1112" s="39" t="str">
        <x:v>PMO/عملیات + روابط عمومی</x:v>
      </x:c>
      <x:c r="K1112" s="39" t="str"/>
      <x:c r="L1112" s="39" t="str">
        <x:v>AP:P591</x:v>
      </x:c>
      <x:c r="M1112" s="39" t="str"/>
      <x:c r="N1112" s="39" t="str">
        <x:v>نسخه پایه ۳۱۵۰</x:v>
      </x:c>
    </x:row>
    <x:row r="1113" ht="34" customHeight="1">
      <x:c r="A1113" s="34" t="str">
        <x:v>☐</x:v>
      </x:c>
      <x:c r="B1113" s="34" t="str">
        <x:v>MI-0804</x:v>
      </x:c>
      <x:c r="C1113" s="34" t="str">
        <x:v>M4 — اجرا، دانشگاه، صنعت و پروژه‌های اجتماعی</x:v>
      </x:c>
      <x:c r="D1113" s="34" t="str">
        <x:v>H11</x:v>
      </x:c>
      <x:c r="E1113" s="34" t="str">
        <x:v>دانشگاه؛ صنفی، رفاهی، اجرایی و رسانه‌ای</x:v>
      </x:c>
      <x:c r="F1113" s="34" t="str">
        <x:v>DELEGATE/P2</x:v>
      </x:c>
      <x:c r="G1113" s="34" t="str">
        <x:v>هدف/موضوع</x:v>
      </x:c>
      <x:c r="H1113" s="39" t="str">
        <x:v>- سرو شدن میوه در هر وعده ناهار</x:v>
      </x:c>
      <x:c r="I1113" s="39" t="str">
        <x:v>پورتفو؛ واگذاری اجرا و تمرکز بر راهبری</x:v>
      </x:c>
      <x:c r="J1113" s="39" t="str">
        <x:v>PMO/عملیات + روابط عمومی</x:v>
      </x:c>
      <x:c r="K1113" s="39" t="str"/>
      <x:c r="L1113" s="39" t="str">
        <x:v>AP:P596</x:v>
      </x:c>
      <x:c r="M1113" s="39" t="str"/>
      <x:c r="N1113" s="39" t="str">
        <x:v>نسخه پایه ۳۱۵۰</x:v>
      </x:c>
    </x:row>
    <x:row r="1114" ht="34" customHeight="1">
      <x:c r="A1114" s="34" t="str">
        <x:v>☐</x:v>
      </x:c>
      <x:c r="B1114" s="34" t="str">
        <x:v>MI-0806</x:v>
      </x:c>
      <x:c r="C1114" s="34" t="str">
        <x:v>M4 — اجرا، دانشگاه، صنعت و پروژه‌های اجتماعی</x:v>
      </x:c>
      <x:c r="D1114" s="34" t="str">
        <x:v>H11</x:v>
      </x:c>
      <x:c r="E1114" s="34" t="str">
        <x:v>دانشگاه؛ صنفی، رفاهی، اجرایی و رسانه‌ای</x:v>
      </x:c>
      <x:c r="F1114" s="34" t="str">
        <x:v>DELEGATE/P2</x:v>
      </x:c>
      <x:c r="G1114" s="34" t="str">
        <x:v>هدف/موضوع</x:v>
      </x:c>
      <x:c r="H1114" s="39" t="str">
        <x:v>- تعیین بازه زمانی مناسب برای نگه داشتن غذا در سرخانه</x:v>
      </x:c>
      <x:c r="I1114" s="39" t="str">
        <x:v>پورتفو؛ واگذاری اجرا و تمرکز بر راهبری</x:v>
      </x:c>
      <x:c r="J1114" s="39" t="str">
        <x:v>PMO/عملیات + روابط عمومی</x:v>
      </x:c>
      <x:c r="K1114" s="39" t="str"/>
      <x:c r="L1114" s="39" t="str">
        <x:v>AP:P598</x:v>
      </x:c>
      <x:c r="M1114" s="39" t="str"/>
      <x:c r="N1114" s="39" t="str">
        <x:v>نسخه پایه ۳۱۵۰</x:v>
      </x:c>
    </x:row>
    <x:row r="1115" ht="34" customHeight="1">
      <x:c r="A1115" s="34" t="str">
        <x:v>☐</x:v>
      </x:c>
      <x:c r="B1115" s="34" t="str">
        <x:v>MI-0807</x:v>
      </x:c>
      <x:c r="C1115" s="34" t="str">
        <x:v>M4 — اجرا، دانشگاه، صنعت و پروژه‌های اجتماعی</x:v>
      </x:c>
      <x:c r="D1115" s="34" t="str">
        <x:v>H11</x:v>
      </x:c>
      <x:c r="E1115" s="34" t="str">
        <x:v>دانشگاه؛ صنفی، رفاهی، اجرایی و رسانه‌ای</x:v>
      </x:c>
      <x:c r="F1115" s="34" t="str">
        <x:v>DELEGATE/P2</x:v>
      </x:c>
      <x:c r="G1115" s="34" t="str">
        <x:v>هدف/موضوع</x:v>
      </x:c>
      <x:c r="H1115" s="39" t="str">
        <x:v>- استفاده از گوشت های گرم</x:v>
      </x:c>
      <x:c r="I1115" s="39" t="str">
        <x:v>پورتفو؛ واگذاری اجرا و تمرکز بر راهبری</x:v>
      </x:c>
      <x:c r="J1115" s="39" t="str">
        <x:v>PMO/عملیات + روابط عمومی</x:v>
      </x:c>
      <x:c r="K1115" s="39" t="str"/>
      <x:c r="L1115" s="39" t="str">
        <x:v>AP:P599</x:v>
      </x:c>
      <x:c r="M1115" s="39" t="str"/>
      <x:c r="N1115" s="39" t="str">
        <x:v>نسخه پایه ۳۱۵۰</x:v>
      </x:c>
    </x:row>
    <x:row r="1116" ht="34" customHeight="1">
      <x:c r="A1116" s="34" t="str">
        <x:v>☐</x:v>
      </x:c>
      <x:c r="B1116" s="34" t="str">
        <x:v>MI-0808</x:v>
      </x:c>
      <x:c r="C1116" s="34" t="str">
        <x:v>M4 — اجرا، دانشگاه، صنعت و پروژه‌های اجتماعی</x:v>
      </x:c>
      <x:c r="D1116" s="34" t="str">
        <x:v>H11</x:v>
      </x:c>
      <x:c r="E1116" s="34" t="str">
        <x:v>دانشگاه؛ صنفی، رفاهی، اجرایی و رسانه‌ای</x:v>
      </x:c>
      <x:c r="F1116" s="34" t="str">
        <x:v>DELEGATE/P2</x:v>
      </x:c>
      <x:c r="G1116" s="34" t="str">
        <x:v>هدف/موضوع</x:v>
      </x:c>
      <x:c r="H1116" s="39" t="str">
        <x:v>- نداشتن تاریخ انقضا دستمال کاغذی در سلف</x:v>
      </x:c>
      <x:c r="I1116" s="39" t="str">
        <x:v>پورتفو؛ واگذاری اجرا و تمرکز بر راهبری</x:v>
      </x:c>
      <x:c r="J1116" s="39" t="str">
        <x:v>PMO/عملیات + روابط عمومی</x:v>
      </x:c>
      <x:c r="K1116" s="39" t="str"/>
      <x:c r="L1116" s="39" t="str">
        <x:v>AP:P600</x:v>
      </x:c>
      <x:c r="M1116" s="39" t="str"/>
      <x:c r="N1116" s="39" t="str">
        <x:v>نسخه پایه ۳۱۵۰</x:v>
      </x:c>
    </x:row>
    <x:row r="1117" ht="34" customHeight="1">
      <x:c r="A1117" s="34" t="str">
        <x:v>☐</x:v>
      </x:c>
      <x:c r="B1117" s="34" t="str">
        <x:v>MI-0809</x:v>
      </x:c>
      <x:c r="C1117" s="34" t="str">
        <x:v>M4 — اجرا، دانشگاه، صنعت و پروژه‌های اجتماعی</x:v>
      </x:c>
      <x:c r="D1117" s="34" t="str">
        <x:v>H11</x:v>
      </x:c>
      <x:c r="E1117" s="34" t="str">
        <x:v>دانشگاه؛ صنفی، رفاهی، اجرایی و رسانه‌ای</x:v>
      </x:c>
      <x:c r="F1117" s="34" t="str">
        <x:v>DELEGATE/P2</x:v>
      </x:c>
      <x:c r="G1117" s="34" t="str">
        <x:v>هدف/موضوع</x:v>
      </x:c>
      <x:c r="H1117" s="39" t="str">
        <x:v>- کاهش قیمت های بوفه های خوابگاه ها و دانشگاه</x:v>
      </x:c>
      <x:c r="I1117" s="39" t="str">
        <x:v>پورتفو؛ واگذاری اجرا و تمرکز بر راهبری</x:v>
      </x:c>
      <x:c r="J1117" s="39" t="str">
        <x:v>PMO/عملیات + روابط عمومی</x:v>
      </x:c>
      <x:c r="K1117" s="39" t="str"/>
      <x:c r="L1117" s="39" t="str">
        <x:v>AP:P601</x:v>
      </x:c>
      <x:c r="M1117" s="39" t="str"/>
      <x:c r="N1117" s="39" t="str">
        <x:v>نسخه پایه ۳۱۵۰</x:v>
      </x:c>
    </x:row>
    <x:row r="1118" ht="34" customHeight="1">
      <x:c r="A1118" s="34" t="str">
        <x:v>☐</x:v>
      </x:c>
      <x:c r="B1118" s="34" t="str">
        <x:v>MI-0810</x:v>
      </x:c>
      <x:c r="C1118" s="34" t="str">
        <x:v>M4 — اجرا، دانشگاه، صنعت و پروژه‌های اجتماعی</x:v>
      </x:c>
      <x:c r="D1118" s="34" t="str">
        <x:v>H11</x:v>
      </x:c>
      <x:c r="E1118" s="34" t="str">
        <x:v>دانشگاه؛ صنفی، رفاهی، اجرایی و رسانه‌ای</x:v>
      </x:c>
      <x:c r="F1118" s="34" t="str">
        <x:v>DELEGATE/P2</x:v>
      </x:c>
      <x:c r="G1118" s="34" t="str">
        <x:v>هدف/موضوع</x:v>
      </x:c>
      <x:c r="H1118" s="39" t="str">
        <x:v>- نظارت بر قیمت های بوفه دانشگاه که باعث گرانفروشی است</x:v>
      </x:c>
      <x:c r="I1118" s="39" t="str">
        <x:v>پورتفو؛ واگذاری اجرا و تمرکز بر راهبری</x:v>
      </x:c>
      <x:c r="J1118" s="39" t="str">
        <x:v>PMO/عملیات + روابط عمومی</x:v>
      </x:c>
      <x:c r="K1118" s="39" t="str"/>
      <x:c r="L1118" s="39" t="str">
        <x:v>AP:P602</x:v>
      </x:c>
      <x:c r="M1118" s="39" t="str"/>
      <x:c r="N1118" s="39" t="str">
        <x:v>نسخه پایه ۳۱۵۰</x:v>
      </x:c>
    </x:row>
    <x:row r="1119" ht="34" customHeight="1">
      <x:c r="A1119" s="34" t="str">
        <x:v>☐</x:v>
      </x:c>
      <x:c r="B1119" s="34" t="str">
        <x:v>MI-0811</x:v>
      </x:c>
      <x:c r="C1119" s="34" t="str">
        <x:v>M4 — اجرا، دانشگاه، صنعت و پروژه‌های اجتماعی</x:v>
      </x:c>
      <x:c r="D1119" s="34" t="str">
        <x:v>H11</x:v>
      </x:c>
      <x:c r="E1119" s="34" t="str">
        <x:v>دانشگاه؛ صنفی، رفاهی، اجرایی و رسانه‌ای</x:v>
      </x:c>
      <x:c r="F1119" s="34" t="str">
        <x:v>DELEGATE/P2</x:v>
      </x:c>
      <x:c r="G1119" s="34" t="str">
        <x:v>هدف/موضوع</x:v>
      </x:c>
      <x:c r="H1119" s="39" t="str">
        <x:v>- وضعیت بهداشت بوفه های خوابگاه ها و دانشگاه</x:v>
      </x:c>
      <x:c r="I1119" s="39" t="str">
        <x:v>پورتفو؛ واگذاری اجرا و تمرکز بر راهبری</x:v>
      </x:c>
      <x:c r="J1119" s="39" t="str">
        <x:v>PMO/عملیات + روابط عمومی</x:v>
      </x:c>
      <x:c r="K1119" s="39" t="str"/>
      <x:c r="L1119" s="39" t="str">
        <x:v>AP:P603</x:v>
      </x:c>
      <x:c r="M1119" s="39" t="str"/>
      <x:c r="N1119" s="39" t="str">
        <x:v>نسخه پایه ۳۱۵۰</x:v>
      </x:c>
    </x:row>
    <x:row r="1120" ht="34" customHeight="1">
      <x:c r="A1120" s="34" t="str">
        <x:v>☐</x:v>
      </x:c>
      <x:c r="B1120" s="34" t="str">
        <x:v>MI-0812</x:v>
      </x:c>
      <x:c r="C1120" s="34" t="str">
        <x:v>M4 — اجرا، دانشگاه، صنعت و پروژه‌های اجتماعی</x:v>
      </x:c>
      <x:c r="D1120" s="34" t="str">
        <x:v>H11</x:v>
      </x:c>
      <x:c r="E1120" s="34" t="str">
        <x:v>دانشگاه؛ صنفی، رفاهی، اجرایی و رسانه‌ای</x:v>
      </x:c>
      <x:c r="F1120" s="34" t="str">
        <x:v>DELEGATE/P2</x:v>
      </x:c>
      <x:c r="G1120" s="34" t="str">
        <x:v>هدف/موضوع</x:v>
      </x:c>
      <x:c r="H1120" s="39" t="str">
        <x:v>- کم کردن اجاره بوفه و تخفیف بر روی اجناس آن</x:v>
      </x:c>
      <x:c r="I1120" s="39" t="str">
        <x:v>پورتفو؛ واگذاری اجرا و تمرکز بر راهبری</x:v>
      </x:c>
      <x:c r="J1120" s="39" t="str">
        <x:v>PMO/عملیات + روابط عمومی</x:v>
      </x:c>
      <x:c r="K1120" s="39" t="str"/>
      <x:c r="L1120" s="39" t="str">
        <x:v>AP:P604</x:v>
      </x:c>
      <x:c r="M1120" s="39" t="str"/>
      <x:c r="N1120" s="39" t="str">
        <x:v>نسخه پایه ۳۱۵۰</x:v>
      </x:c>
    </x:row>
    <x:row r="1121" ht="34" customHeight="1">
      <x:c r="A1121" s="34" t="str">
        <x:v>☐</x:v>
      </x:c>
      <x:c r="B1121" s="34" t="str">
        <x:v>MI-0815</x:v>
      </x:c>
      <x:c r="C1121" s="34" t="str">
        <x:v>M4 — اجرا، دانشگاه، صنعت و پروژه‌های اجتماعی</x:v>
      </x:c>
      <x:c r="D1121" s="34" t="str">
        <x:v>H11</x:v>
      </x:c>
      <x:c r="E1121" s="34" t="str">
        <x:v>دانشگاه؛ صنفی، رفاهی، اجرایی و رسانه‌ای</x:v>
      </x:c>
      <x:c r="F1121" s="34" t="str">
        <x:v>DELEGATE/P2</x:v>
      </x:c>
      <x:c r="G1121" s="34" t="str">
        <x:v>هدف/موضوع</x:v>
      </x:c>
      <x:c r="H1121" s="39" t="str">
        <x:v>رسانه:</x:v>
      </x:c>
      <x:c r="I1121" s="39" t="str">
        <x:v>پورتفو؛ واگذاری اجرا و تمرکز بر راهبری</x:v>
      </x:c>
      <x:c r="J1121" s="39" t="str">
        <x:v>PMO/عملیات + روابط عمومی</x:v>
      </x:c>
      <x:c r="K1121" s="39" t="str"/>
      <x:c r="L1121" s="39" t="str">
        <x:v>AP:P607؛ AP:P1505؛ AP:P1522؛ E112:P378؛ E112:P2139</x:v>
      </x:c>
      <x:c r="M1121" s="39" t="str"/>
      <x:c r="N1121" s="39" t="str">
        <x:v>نسخه پایه ۳۱۵۰</x:v>
      </x:c>
    </x:row>
    <x:row r="1122" ht="34" customHeight="1">
      <x:c r="A1122" s="34" t="str">
        <x:v>☐</x:v>
      </x:c>
      <x:c r="B1122" s="34" t="str">
        <x:v>MI-0834</x:v>
      </x:c>
      <x:c r="C1122" s="34" t="str">
        <x:v>M4 — اجرا، دانشگاه، صنعت و پروژه‌های اجتماعی</x:v>
      </x:c>
      <x:c r="D1122" s="34" t="str">
        <x:v>H11</x:v>
      </x:c>
      <x:c r="E1122" s="34" t="str">
        <x:v>دانشگاه؛ صنفی، رفاهی، اجرایی و رسانه‌ای</x:v>
      </x:c>
      <x:c r="F1122" s="34" t="str">
        <x:v>DELEGATE/P2</x:v>
      </x:c>
      <x:c r="G1122" s="34" t="str">
        <x:v>هدف/موضوع</x:v>
      </x:c>
      <x:c r="H1122" s="39" t="str">
        <x:v>بهینه سازی و مالی</x:v>
      </x:c>
      <x:c r="I1122" s="39" t="str">
        <x:v>پورتفو؛ واگذاری اجرا و تمرکز بر راهبری</x:v>
      </x:c>
      <x:c r="J1122" s="39" t="str">
        <x:v>PMO/عملیات + روابط عمومی</x:v>
      </x:c>
      <x:c r="K1122" s="39" t="str"/>
      <x:c r="L1122" s="39" t="str">
        <x:v>AP:P628</x:v>
      </x:c>
      <x:c r="M1122" s="39" t="str"/>
      <x:c r="N1122" s="39" t="str">
        <x:v>نسخه پایه ۳۱۵۰</x:v>
      </x:c>
    </x:row>
    <x:row r="1123" ht="34" customHeight="1">
      <x:c r="A1123" s="34" t="str">
        <x:v>☐</x:v>
      </x:c>
      <x:c r="B1123" s="34" t="str">
        <x:v>MI-0835</x:v>
      </x:c>
      <x:c r="C1123" s="34" t="str">
        <x:v>M4 — اجرا، دانشگاه، صنعت و پروژه‌های اجتماعی</x:v>
      </x:c>
      <x:c r="D1123" s="34" t="str">
        <x:v>H11</x:v>
      </x:c>
      <x:c r="E1123" s="34" t="str">
        <x:v>دانشگاه؛ صنفی، رفاهی، اجرایی و رسانه‌ای</x:v>
      </x:c>
      <x:c r="F1123" s="34" t="str">
        <x:v>DELEGATE/P2</x:v>
      </x:c>
      <x:c r="G1123" s="34" t="str">
        <x:v>هدف/موضوع</x:v>
      </x:c>
      <x:c r="H1123" s="39" t="str">
        <x:v>رفاهی دانشجویی</x:v>
      </x:c>
      <x:c r="I1123" s="39" t="str">
        <x:v>پورتفو؛ واگذاری اجرا و تمرکز بر راهبری</x:v>
      </x:c>
      <x:c r="J1123" s="39" t="str">
        <x:v>PMO/عملیات + روابط عمومی</x:v>
      </x:c>
      <x:c r="K1123" s="39" t="str"/>
      <x:c r="L1123" s="39" t="str">
        <x:v>AP:P629</x:v>
      </x:c>
      <x:c r="M1123" s="39" t="str"/>
      <x:c r="N1123" s="39" t="str">
        <x:v>نسخه پایه ۳۱۵۰</x:v>
      </x:c>
    </x:row>
    <x:row r="1124" ht="34" customHeight="1">
      <x:c r="A1124" s="34" t="str">
        <x:v>☐</x:v>
      </x:c>
      <x:c r="B1124" s="34" t="str">
        <x:v>MI-0836</x:v>
      </x:c>
      <x:c r="C1124" s="34" t="str">
        <x:v>M4 — اجرا، دانشگاه، صنعت و پروژه‌های اجتماعی</x:v>
      </x:c>
      <x:c r="D1124" s="34" t="str">
        <x:v>H11</x:v>
      </x:c>
      <x:c r="E1124" s="34" t="str">
        <x:v>دانشگاه؛ صنفی، رفاهی، اجرایی و رسانه‌ای</x:v>
      </x:c>
      <x:c r="F1124" s="34" t="str">
        <x:v>DELEGATE/P2</x:v>
      </x:c>
      <x:c r="G1124" s="34" t="str">
        <x:v>هدف/موضوع</x:v>
      </x:c>
      <x:c r="H1124" s="39" t="str">
        <x:v>فرهنگی اجرایی</x:v>
      </x:c>
      <x:c r="I1124" s="39" t="str">
        <x:v>پورتفو؛ واگذاری اجرا و تمرکز بر راهبری</x:v>
      </x:c>
      <x:c r="J1124" s="39" t="str">
        <x:v>PMO/عملیات + روابط عمومی</x:v>
      </x:c>
      <x:c r="K1124" s="39" t="str"/>
      <x:c r="L1124" s="39" t="str">
        <x:v>AP:P630</x:v>
      </x:c>
      <x:c r="M1124" s="39" t="str"/>
      <x:c r="N1124" s="39" t="str">
        <x:v>نسخه پایه ۳۱۵۰</x:v>
      </x:c>
    </x:row>
    <x:row r="1125" ht="34" customHeight="1">
      <x:c r="A1125" s="34" t="str">
        <x:v>☐</x:v>
      </x:c>
      <x:c r="B1125" s="34" t="str">
        <x:v>MI-0838</x:v>
      </x:c>
      <x:c r="C1125" s="34" t="str">
        <x:v>M4 — اجرا، دانشگاه، صنعت و پروژه‌های اجتماعی</x:v>
      </x:c>
      <x:c r="D1125" s="34" t="str">
        <x:v>H11</x:v>
      </x:c>
      <x:c r="E1125" s="34" t="str">
        <x:v>دانشگاه؛ صنفی، رفاهی، اجرایی و رسانه‌ای</x:v>
      </x:c>
      <x:c r="F1125" s="34" t="str">
        <x:v>DELEGATE/P2</x:v>
      </x:c>
      <x:c r="G1125" s="34" t="str">
        <x:v>هدف/موضوع</x:v>
      </x:c>
      <x:c r="H1125" s="39" t="str">
        <x:v>خوابگاه ها</x:v>
      </x:c>
      <x:c r="I1125" s="39" t="str">
        <x:v>پورتفو؛ واگذاری اجرا و تمرکز بر راهبری</x:v>
      </x:c>
      <x:c r="J1125" s="39" t="str">
        <x:v>PMO/عملیات + روابط عمومی</x:v>
      </x:c>
      <x:c r="K1125" s="39" t="str"/>
      <x:c r="L1125" s="39" t="str">
        <x:v>AP:P632؛ AP:P713</x:v>
      </x:c>
      <x:c r="M1125" s="39" t="str"/>
      <x:c r="N1125" s="39" t="str">
        <x:v>نسخه پایه ۳۱۵۰</x:v>
      </x:c>
    </x:row>
    <x:row r="1126" ht="34" customHeight="1">
      <x:c r="A1126" s="34" t="str">
        <x:v>☐</x:v>
      </x:c>
      <x:c r="B1126" s="34" t="str">
        <x:v>MI-0839</x:v>
      </x:c>
      <x:c r="C1126" s="34" t="str">
        <x:v>M4 — اجرا، دانشگاه، صنعت و پروژه‌های اجتماعی</x:v>
      </x:c>
      <x:c r="D1126" s="34" t="str">
        <x:v>H11</x:v>
      </x:c>
      <x:c r="E1126" s="34" t="str">
        <x:v>دانشگاه؛ صنفی، رفاهی، اجرایی و رسانه‌ای</x:v>
      </x:c>
      <x:c r="F1126" s="34" t="str">
        <x:v>DELEGATE/P2</x:v>
      </x:c>
      <x:c r="G1126" s="34" t="str">
        <x:v>هدف/موضوع</x:v>
      </x:c>
      <x:c r="H1126" s="39" t="str">
        <x:v>- تعمیر شعله های گاز های آشپزخانه ها</x:v>
      </x:c>
      <x:c r="I1126" s="39" t="str">
        <x:v>پورتفو؛ واگذاری اجرا و تمرکز بر راهبری</x:v>
      </x:c>
      <x:c r="J1126" s="39" t="str">
        <x:v>PMO/عملیات + روابط عمومی</x:v>
      </x:c>
      <x:c r="K1126" s="39" t="str"/>
      <x:c r="L1126" s="39" t="str">
        <x:v>AP:P633</x:v>
      </x:c>
      <x:c r="M1126" s="39" t="str"/>
      <x:c r="N1126" s="39" t="str">
        <x:v>نسخه پایه ۳۱۵۰</x:v>
      </x:c>
    </x:row>
    <x:row r="1127" ht="34" customHeight="1">
      <x:c r="A1127" s="34" t="str">
        <x:v>☐</x:v>
      </x:c>
      <x:c r="B1127" s="34" t="str">
        <x:v>MI-0840</x:v>
      </x:c>
      <x:c r="C1127" s="34" t="str">
        <x:v>M4 — اجرا، دانشگاه، صنعت و پروژه‌های اجتماعی</x:v>
      </x:c>
      <x:c r="D1127" s="34" t="str">
        <x:v>H11</x:v>
      </x:c>
      <x:c r="E1127" s="34" t="str">
        <x:v>دانشگاه؛ صنفی، رفاهی، اجرایی و رسانه‌ای</x:v>
      </x:c>
      <x:c r="F1127" s="34" t="str">
        <x:v>DELEGATE/P2</x:v>
      </x:c>
      <x:c r="G1127" s="34" t="str">
        <x:v>هدف/موضوع</x:v>
      </x:c>
      <x:c r="H1127" s="39" t="str">
        <x:v>صنفی خوابگاه</x:v>
      </x:c>
      <x:c r="I1127" s="39" t="str">
        <x:v>پورتفو؛ واگذاری اجرا و تمرکز بر راهبری</x:v>
      </x:c>
      <x:c r="J1127" s="39" t="str">
        <x:v>PMO/عملیات + روابط عمومی</x:v>
      </x:c>
      <x:c r="K1127" s="39" t="str"/>
      <x:c r="L1127" s="39" t="str">
        <x:v>AP:P634</x:v>
      </x:c>
      <x:c r="M1127" s="39" t="str"/>
      <x:c r="N1127" s="39" t="str">
        <x:v>نسخه پایه ۳۱۵۰</x:v>
      </x:c>
    </x:row>
    <x:row r="1128" ht="34" customHeight="1">
      <x:c r="A1128" s="34" t="str">
        <x:v>☐</x:v>
      </x:c>
      <x:c r="B1128" s="34" t="str">
        <x:v>MI-0841</x:v>
      </x:c>
      <x:c r="C1128" s="34" t="str">
        <x:v>M4 — اجرا، دانشگاه، صنعت و پروژه‌های اجتماعی</x:v>
      </x:c>
      <x:c r="D1128" s="34" t="str">
        <x:v>H11</x:v>
      </x:c>
      <x:c r="E1128" s="34" t="str">
        <x:v>دانشگاه؛ صنفی، رفاهی، اجرایی و رسانه‌ای</x:v>
      </x:c>
      <x:c r="F1128" s="34" t="str">
        <x:v>DELEGATE/P2</x:v>
      </x:c>
      <x:c r="G1128" s="34" t="str">
        <x:v>هدف/موضوع</x:v>
      </x:c>
      <x:c r="H1128" s="39" t="str">
        <x:v>جا شامپو و صابونی حمام ها</x:v>
      </x:c>
      <x:c r="I1128" s="39" t="str">
        <x:v>پورتفو؛ واگذاری اجرا و تمرکز بر راهبری</x:v>
      </x:c>
      <x:c r="J1128" s="39" t="str">
        <x:v>PMO/عملیات + روابط عمومی</x:v>
      </x:c>
      <x:c r="K1128" s="39" t="str"/>
      <x:c r="L1128" s="39" t="str">
        <x:v>AP:P635</x:v>
      </x:c>
      <x:c r="M1128" s="39" t="str"/>
      <x:c r="N1128" s="39" t="str">
        <x:v>نسخه پایه ۳۱۵۰</x:v>
      </x:c>
    </x:row>
    <x:row r="1129" ht="34" customHeight="1">
      <x:c r="A1129" s="34" t="str">
        <x:v>☐</x:v>
      </x:c>
      <x:c r="B1129" s="34" t="str">
        <x:v>MI-0842</x:v>
      </x:c>
      <x:c r="C1129" s="34" t="str">
        <x:v>M4 — اجرا، دانشگاه، صنعت و پروژه‌های اجتماعی</x:v>
      </x:c>
      <x:c r="D1129" s="34" t="str">
        <x:v>H11</x:v>
      </x:c>
      <x:c r="E1129" s="34" t="str">
        <x:v>دانشگاه؛ صنفی، رفاهی، اجرایی و رسانه‌ای</x:v>
      </x:c>
      <x:c r="F1129" s="34" t="str">
        <x:v>DELEGATE/P2</x:v>
      </x:c>
      <x:c r="G1129" s="34" t="str">
        <x:v>هدف/موضوع</x:v>
      </x:c>
      <x:c r="H1129" s="39" t="str">
        <x:v>عکس گرفتن از موتور برق ریحانه</x:v>
      </x:c>
      <x:c r="I1129" s="39" t="str">
        <x:v>پورتفو؛ واگذاری اجرا و تمرکز بر راهبری</x:v>
      </x:c>
      <x:c r="J1129" s="39" t="str">
        <x:v>PMO/عملیات + روابط عمومی</x:v>
      </x:c>
      <x:c r="K1129" s="39" t="str"/>
      <x:c r="L1129" s="39" t="str">
        <x:v>AP:P636</x:v>
      </x:c>
      <x:c r="M1129" s="39" t="str"/>
      <x:c r="N1129" s="39" t="str">
        <x:v>نسخه پایه ۳۱۵۰</x:v>
      </x:c>
    </x:row>
    <x:row r="1130" ht="34" customHeight="1">
      <x:c r="A1130" s="34" t="str">
        <x:v>☐</x:v>
      </x:c>
      <x:c r="B1130" s="34" t="str">
        <x:v>MI-0856</x:v>
      </x:c>
      <x:c r="C1130" s="34" t="str">
        <x:v>M4 — اجرا، دانشگاه، صنعت و پروژه‌های اجتماعی</x:v>
      </x:c>
      <x:c r="D1130" s="34" t="str">
        <x:v>H11</x:v>
      </x:c>
      <x:c r="E1130" s="34" t="str">
        <x:v>دانشگاه؛ صنفی، رفاهی، اجرایی و رسانه‌ای</x:v>
      </x:c>
      <x:c r="F1130" s="34" t="str">
        <x:v>DELEGATE/P2</x:v>
      </x:c>
      <x:c r="G1130" s="34" t="str">
        <x:v>هدف/موضوع</x:v>
      </x:c>
      <x:c r="H1130" s="39" t="str">
        <x:v>نشست ها</x:v>
      </x:c>
      <x:c r="I1130" s="39" t="str">
        <x:v>پورتفو؛ واگذاری اجرا و تمرکز بر راهبری</x:v>
      </x:c>
      <x:c r="J1130" s="39" t="str">
        <x:v>PMO/عملیات + روابط عمومی</x:v>
      </x:c>
      <x:c r="K1130" s="39" t="str"/>
      <x:c r="L1130" s="39" t="str">
        <x:v>AP:P661</x:v>
      </x:c>
      <x:c r="M1130" s="39" t="str"/>
      <x:c r="N1130" s="39" t="str">
        <x:v>نسخه پایه ۳۱۵۰</x:v>
      </x:c>
    </x:row>
    <x:row r="1131" ht="34" customHeight="1">
      <x:c r="A1131" s="34" t="str">
        <x:v>☐</x:v>
      </x:c>
      <x:c r="B1131" s="34" t="str">
        <x:v>MI-0857</x:v>
      </x:c>
      <x:c r="C1131" s="34" t="str">
        <x:v>M4 — اجرا، دانشگاه، صنعت و پروژه‌های اجتماعی</x:v>
      </x:c>
      <x:c r="D1131" s="34" t="str">
        <x:v>H11</x:v>
      </x:c>
      <x:c r="E1131" s="34" t="str">
        <x:v>دانشگاه؛ صنفی، رفاهی، اجرایی و رسانه‌ای</x:v>
      </x:c>
      <x:c r="F1131" s="34" t="str">
        <x:v>DELEGATE/P2</x:v>
      </x:c>
      <x:c r="G1131" s="34" t="str">
        <x:v>هدف/موضوع</x:v>
      </x:c>
      <x:c r="H1131" s="39" t="str">
        <x:v>کارگروه سلف و تغذیه با آقایان غایبی و علیزاده</x:v>
      </x:c>
      <x:c r="I1131" s="39" t="str">
        <x:v>پورتفو؛ واگذاری اجرا و تمرکز بر راهبری</x:v>
      </x:c>
      <x:c r="J1131" s="39" t="str">
        <x:v>PMO/عملیات + روابط عمومی</x:v>
      </x:c>
      <x:c r="K1131" s="39" t="str"/>
      <x:c r="L1131" s="39" t="str">
        <x:v>AP:P662</x:v>
      </x:c>
      <x:c r="M1131" s="39" t="str"/>
      <x:c r="N1131" s="39" t="str">
        <x:v>نسخه پایه ۳۱۵۰</x:v>
      </x:c>
    </x:row>
    <x:row r="1132" ht="34" customHeight="1">
      <x:c r="A1132" s="34" t="str">
        <x:v>☐</x:v>
      </x:c>
      <x:c r="B1132" s="34" t="str">
        <x:v>MI-0858</x:v>
      </x:c>
      <x:c r="C1132" s="34" t="str">
        <x:v>M4 — اجرا، دانشگاه، صنعت و پروژه‌های اجتماعی</x:v>
      </x:c>
      <x:c r="D1132" s="34" t="str">
        <x:v>H11</x:v>
      </x:c>
      <x:c r="E1132" s="34" t="str">
        <x:v>دانشگاه؛ صنفی، رفاهی، اجرایی و رسانه‌ای</x:v>
      </x:c>
      <x:c r="F1132" s="34" t="str">
        <x:v>DELEGATE/P2</x:v>
      </x:c>
      <x:c r="G1132" s="34" t="str">
        <x:v>هدف/موضوع</x:v>
      </x:c>
      <x:c r="H1132" s="39" t="str">
        <x:v>تنوع دورچین</x:v>
      </x:c>
      <x:c r="I1132" s="39" t="str">
        <x:v>پورتفو؛ واگذاری اجرا و تمرکز بر راهبری</x:v>
      </x:c>
      <x:c r="J1132" s="39" t="str">
        <x:v>PMO/عملیات + روابط عمومی</x:v>
      </x:c>
      <x:c r="K1132" s="39" t="str"/>
      <x:c r="L1132" s="39" t="str">
        <x:v>AP:P663</x:v>
      </x:c>
      <x:c r="M1132" s="39" t="str"/>
      <x:c r="N1132" s="39" t="str">
        <x:v>نسخه پایه ۳۱۵۰</x:v>
      </x:c>
    </x:row>
    <x:row r="1133" ht="34" customHeight="1">
      <x:c r="A1133" s="34" t="str">
        <x:v>☐</x:v>
      </x:c>
      <x:c r="B1133" s="34" t="str">
        <x:v>MI-0859</x:v>
      </x:c>
      <x:c r="C1133" s="34" t="str">
        <x:v>M4 — اجرا، دانشگاه، صنعت و پروژه‌های اجتماعی</x:v>
      </x:c>
      <x:c r="D1133" s="34" t="str">
        <x:v>H11</x:v>
      </x:c>
      <x:c r="E1133" s="34" t="str">
        <x:v>دانشگاه؛ صنفی، رفاهی، اجرایی و رسانه‌ای</x:v>
      </x:c>
      <x:c r="F1133" s="34" t="str">
        <x:v>DELEGATE/P2</x:v>
      </x:c>
      <x:c r="G1133" s="34" t="str">
        <x:v>هدف/موضوع</x:v>
      </x:c>
      <x:c r="H1133" s="39" t="str">
        <x:v>پک صبحانه مصوبه وزارت</x:v>
      </x:c>
      <x:c r="I1133" s="39" t="str">
        <x:v>پورتفو؛ واگذاری اجرا و تمرکز بر راهبری</x:v>
      </x:c>
      <x:c r="J1133" s="39" t="str">
        <x:v>PMO/عملیات + روابط عمومی</x:v>
      </x:c>
      <x:c r="K1133" s="39" t="str"/>
      <x:c r="L1133" s="39" t="str">
        <x:v>AP:P664؛ AP:P781</x:v>
      </x:c>
      <x:c r="M1133" s="39" t="str"/>
      <x:c r="N1133" s="39" t="str">
        <x:v>نسخه پایه ۳۱۵۰</x:v>
      </x:c>
    </x:row>
    <x:row r="1134" ht="34" customHeight="1">
      <x:c r="A1134" s="34" t="str">
        <x:v>☐</x:v>
      </x:c>
      <x:c r="B1134" s="34" t="str">
        <x:v>MI-0860</x:v>
      </x:c>
      <x:c r="C1134" s="34" t="str">
        <x:v>M4 — اجرا، دانشگاه، صنعت و پروژه‌های اجتماعی</x:v>
      </x:c>
      <x:c r="D1134" s="34" t="str">
        <x:v>H11</x:v>
      </x:c>
      <x:c r="E1134" s="34" t="str">
        <x:v>دانشگاه؛ صنفی، رفاهی، اجرایی و رسانه‌ای</x:v>
      </x:c>
      <x:c r="F1134" s="34" t="str">
        <x:v>DELEGATE/P2</x:v>
      </x:c>
      <x:c r="G1134" s="34" t="str">
        <x:v>هدف/موضوع</x:v>
      </x:c>
      <x:c r="H1134" s="39" t="str">
        <x:v>کیوآرکد زماندار طراحی کردن برای دانشجویی که نتوانست غذایش را بگیرد</x:v>
      </x:c>
      <x:c r="I1134" s="39" t="str">
        <x:v>پورتفو؛ واگذاری اجرا و تمرکز بر راهبری</x:v>
      </x:c>
      <x:c r="J1134" s="39" t="str">
        <x:v>PMO/عملیات + روابط عمومی</x:v>
      </x:c>
      <x:c r="K1134" s="39" t="str"/>
      <x:c r="L1134" s="39" t="str">
        <x:v>AP:P665</x:v>
      </x:c>
      <x:c r="M1134" s="39" t="str"/>
      <x:c r="N1134" s="39" t="str">
        <x:v>نسخه پایه ۳۱۵۰</x:v>
      </x:c>
    </x:row>
    <x:row r="1135" ht="34" customHeight="1">
      <x:c r="A1135" s="34" t="str">
        <x:v>☐</x:v>
      </x:c>
      <x:c r="B1135" s="34" t="str">
        <x:v>MI-0861</x:v>
      </x:c>
      <x:c r="C1135" s="34" t="str">
        <x:v>M4 — اجرا، دانشگاه، صنعت و پروژه‌های اجتماعی</x:v>
      </x:c>
      <x:c r="D1135" s="34" t="str">
        <x:v>H11</x:v>
      </x:c>
      <x:c r="E1135" s="34" t="str">
        <x:v>دانشگاه؛ صنفی، رفاهی، اجرایی و رسانه‌ای</x:v>
      </x:c>
      <x:c r="F1135" s="34" t="str">
        <x:v>DELEGATE/P2</x:v>
      </x:c>
      <x:c r="G1135" s="34" t="str">
        <x:v>هدف/موضوع</x:v>
      </x:c>
      <x:c r="H1135" s="39" t="str">
        <x:v>شکر بسته بندی برای صبحانه</x:v>
      </x:c>
      <x:c r="I1135" s="39" t="str">
        <x:v>پورتفو؛ واگذاری اجرا و تمرکز بر راهبری</x:v>
      </x:c>
      <x:c r="J1135" s="39" t="str">
        <x:v>PMO/عملیات + روابط عمومی</x:v>
      </x:c>
      <x:c r="K1135" s="39" t="str"/>
      <x:c r="L1135" s="39" t="str">
        <x:v>AP:P666</x:v>
      </x:c>
      <x:c r="M1135" s="39" t="str"/>
      <x:c r="N1135" s="39" t="str">
        <x:v>نسخه پایه ۳۱۵۰</x:v>
      </x:c>
    </x:row>
    <x:row r="1136" ht="34" customHeight="1">
      <x:c r="A1136" s="34" t="str">
        <x:v>☐</x:v>
      </x:c>
      <x:c r="B1136" s="34" t="str">
        <x:v>MI-0863</x:v>
      </x:c>
      <x:c r="C1136" s="34" t="str">
        <x:v>M4 — اجرا، دانشگاه، صنعت و پروژه‌های اجتماعی</x:v>
      </x:c>
      <x:c r="D1136" s="34" t="str">
        <x:v>H11</x:v>
      </x:c>
      <x:c r="E1136" s="34" t="str">
        <x:v>دانشگاه؛ صنفی، رفاهی، اجرایی و رسانه‌ای</x:v>
      </x:c>
      <x:c r="F1136" s="34" t="str">
        <x:v>DELEGATE/P2</x:v>
      </x:c>
      <x:c r="G1136" s="34" t="str">
        <x:v>هدف/موضوع</x:v>
      </x:c>
      <x:c r="H1136" s="39" t="str">
        <x:v>ارایه نوبت دوم میوه با تنوع</x:v>
      </x:c>
      <x:c r="I1136" s="39" t="str">
        <x:v>پورتفو؛ واگذاری اجرا و تمرکز بر راهبری</x:v>
      </x:c>
      <x:c r="J1136" s="39" t="str">
        <x:v>PMO/عملیات + روابط عمومی</x:v>
      </x:c>
      <x:c r="K1136" s="39" t="str"/>
      <x:c r="L1136" s="39" t="str">
        <x:v>AP:P668</x:v>
      </x:c>
      <x:c r="M1136" s="39" t="str"/>
      <x:c r="N1136" s="39" t="str">
        <x:v>نسخه پایه ۳۱۵۰</x:v>
      </x:c>
    </x:row>
    <x:row r="1137" ht="34" customHeight="1">
      <x:c r="A1137" s="34" t="str">
        <x:v>☐</x:v>
      </x:c>
      <x:c r="B1137" s="34" t="str">
        <x:v>MI-0864</x:v>
      </x:c>
      <x:c r="C1137" s="34" t="str">
        <x:v>M4 — اجرا، دانشگاه، صنعت و پروژه‌های اجتماعی</x:v>
      </x:c>
      <x:c r="D1137" s="34" t="str">
        <x:v>H11</x:v>
      </x:c>
      <x:c r="E1137" s="34" t="str">
        <x:v>دانشگاه؛ صنفی، رفاهی، اجرایی و رسانه‌ای</x:v>
      </x:c>
      <x:c r="F1137" s="34" t="str">
        <x:v>DELEGATE/P2</x:v>
      </x:c>
      <x:c r="G1137" s="34" t="str">
        <x:v>هدف/موضوع</x:v>
      </x:c>
      <x:c r="H1137" s="39" t="str">
        <x:v>ارایه پک صبحانه</x:v>
      </x:c>
      <x:c r="I1137" s="39" t="str">
        <x:v>پورتفو؛ واگذاری اجرا و تمرکز بر راهبری</x:v>
      </x:c>
      <x:c r="J1137" s="39" t="str">
        <x:v>PMO/عملیات + روابط عمومی</x:v>
      </x:c>
      <x:c r="K1137" s="39" t="str"/>
      <x:c r="L1137" s="39" t="str">
        <x:v>AP:P669</x:v>
      </x:c>
      <x:c r="M1137" s="39" t="str"/>
      <x:c r="N1137" s="39" t="str">
        <x:v>نسخه پایه ۳۱۵۰</x:v>
      </x:c>
    </x:row>
    <x:row r="1138" ht="34" customHeight="1">
      <x:c r="A1138" s="34" t="str">
        <x:v>☐</x:v>
      </x:c>
      <x:c r="B1138" s="34" t="str">
        <x:v>MI-0866</x:v>
      </x:c>
      <x:c r="C1138" s="34" t="str">
        <x:v>M4 — اجرا، دانشگاه، صنعت و پروژه‌های اجتماعی</x:v>
      </x:c>
      <x:c r="D1138" s="34" t="str">
        <x:v>H11</x:v>
      </x:c>
      <x:c r="E1138" s="34" t="str">
        <x:v>دانشگاه؛ صنفی، رفاهی، اجرایی و رسانه‌ای</x:v>
      </x:c>
      <x:c r="F1138" s="34" t="str">
        <x:v>DELEGATE/P2</x:v>
      </x:c>
      <x:c r="G1138" s="34" t="str">
        <x:v>هدف/موضوع</x:v>
      </x:c>
      <x:c r="H1138" s="39" t="str">
        <x:v>سلف مکمل</x:v>
      </x:c>
      <x:c r="I1138" s="39" t="str">
        <x:v>پورتفو؛ واگذاری اجرا و تمرکز بر راهبری</x:v>
      </x:c>
      <x:c r="J1138" s="39" t="str">
        <x:v>PMO/عملیات + روابط عمومی</x:v>
      </x:c>
      <x:c r="K1138" s="39" t="str"/>
      <x:c r="L1138" s="39" t="str">
        <x:v>AP:P671؛ AP:P718</x:v>
      </x:c>
      <x:c r="M1138" s="39" t="str"/>
      <x:c r="N1138" s="39" t="str">
        <x:v>نسخه پایه ۳۱۵۰</x:v>
      </x:c>
    </x:row>
    <x:row r="1139" ht="34" customHeight="1">
      <x:c r="A1139" s="34" t="str">
        <x:v>☐</x:v>
      </x:c>
      <x:c r="B1139" s="34" t="str">
        <x:v>MI-0867</x:v>
      </x:c>
      <x:c r="C1139" s="34" t="str">
        <x:v>M4 — اجرا، دانشگاه، صنعت و پروژه‌های اجتماعی</x:v>
      </x:c>
      <x:c r="D1139" s="34" t="str">
        <x:v>H11</x:v>
      </x:c>
      <x:c r="E1139" s="34" t="str">
        <x:v>دانشگاه؛ صنفی، رفاهی، اجرایی و رسانه‌ای</x:v>
      </x:c>
      <x:c r="F1139" s="34" t="str">
        <x:v>DELEGATE/P2</x:v>
      </x:c>
      <x:c r="G1139" s="34" t="str">
        <x:v>هدف/موضوع</x:v>
      </x:c>
      <x:c r="H1139" s="39" t="str">
        <x:v>پست اطلاع رسانی اقدامات انجام شده</x:v>
      </x:c>
      <x:c r="I1139" s="39" t="str">
        <x:v>پورتفو؛ واگذاری اجرا و تمرکز بر راهبری</x:v>
      </x:c>
      <x:c r="J1139" s="39" t="str">
        <x:v>PMO/عملیات + روابط عمومی</x:v>
      </x:c>
      <x:c r="K1139" s="39" t="str"/>
      <x:c r="L1139" s="39" t="str">
        <x:v>AP:P673؛ AP:P720</x:v>
      </x:c>
      <x:c r="M1139" s="39" t="str"/>
      <x:c r="N1139" s="39" t="str">
        <x:v>نسخه پایه ۳۱۵۰</x:v>
      </x:c>
    </x:row>
    <x:row r="1140" ht="34" customHeight="1">
      <x:c r="A1140" s="34" t="str">
        <x:v>☐</x:v>
      </x:c>
      <x:c r="B1140" s="34" t="str">
        <x:v>MI-0871</x:v>
      </x:c>
      <x:c r="C1140" s="34" t="str">
        <x:v>M4 — اجرا، دانشگاه، صنعت و پروژه‌های اجتماعی</x:v>
      </x:c>
      <x:c r="D1140" s="34" t="str">
        <x:v>H11</x:v>
      </x:c>
      <x:c r="E1140" s="34" t="str">
        <x:v>دانشگاه؛ صنفی، رفاهی، اجرایی و رسانه‌ای</x:v>
      </x:c>
      <x:c r="F1140" s="34" t="str">
        <x:v>DELEGATE/P2</x:v>
      </x:c>
      <x:c r="G1140" s="34" t="str">
        <x:v>هدف/موضوع</x:v>
      </x:c>
      <x:c r="H1140" s="39" t="str">
        <x:v>نشست شورای صنفی کل با اعضا</x:v>
      </x:c>
      <x:c r="I1140" s="39" t="str">
        <x:v>پورتفو؛ واگذاری اجرا و تمرکز بر راهبری</x:v>
      </x:c>
      <x:c r="J1140" s="39" t="str">
        <x:v>PMO/عملیات + روابط عمومی</x:v>
      </x:c>
      <x:c r="K1140" s="39" t="str"/>
      <x:c r="L1140" s="39" t="str">
        <x:v>AP:P677</x:v>
      </x:c>
      <x:c r="M1140" s="39" t="str"/>
      <x:c r="N1140" s="39" t="str">
        <x:v>نسخه پایه ۳۱۵۰</x:v>
      </x:c>
    </x:row>
    <x:row r="1141" ht="34" customHeight="1">
      <x:c r="A1141" s="34" t="str">
        <x:v>☐</x:v>
      </x:c>
      <x:c r="B1141" s="34" t="str">
        <x:v>MI-0872</x:v>
      </x:c>
      <x:c r="C1141" s="34" t="str">
        <x:v>M4 — اجرا، دانشگاه، صنعت و پروژه‌های اجتماعی</x:v>
      </x:c>
      <x:c r="D1141" s="34" t="str">
        <x:v>H11</x:v>
      </x:c>
      <x:c r="E1141" s="34" t="str">
        <x:v>دانشگاه؛ صنفی، رفاهی، اجرایی و رسانه‌ای</x:v>
      </x:c>
      <x:c r="F1141" s="34" t="str">
        <x:v>DELEGATE/P2</x:v>
      </x:c>
      <x:c r="G1141" s="34" t="str">
        <x:v>هدف/موضوع</x:v>
      </x:c>
      <x:c r="H1141" s="39" t="str">
        <x:v>مرکزی</x:v>
      </x:c>
      <x:c r="I1141" s="39" t="str">
        <x:v>پورتفو؛ واگذاری اجرا و تمرکز بر راهبری</x:v>
      </x:c>
      <x:c r="J1141" s="39" t="str">
        <x:v>PMO/عملیات + روابط عمومی</x:v>
      </x:c>
      <x:c r="K1141" s="39" t="str"/>
      <x:c r="L1141" s="39" t="str">
        <x:v>AP:P678</x:v>
      </x:c>
      <x:c r="M1141" s="39" t="str"/>
      <x:c r="N1141" s="39" t="str">
        <x:v>نسخه پایه ۳۱۵۰</x:v>
      </x:c>
    </x:row>
    <x:row r="1142" ht="34" customHeight="1">
      <x:c r="A1142" s="34" t="str">
        <x:v>☐</x:v>
      </x:c>
      <x:c r="B1142" s="34" t="str">
        <x:v>MI-0873</x:v>
      </x:c>
      <x:c r="C1142" s="34" t="str">
        <x:v>M4 — اجرا، دانشگاه، صنعت و پروژه‌های اجتماعی</x:v>
      </x:c>
      <x:c r="D1142" s="34" t="str">
        <x:v>H11</x:v>
      </x:c>
      <x:c r="E1142" s="34" t="str">
        <x:v>دانشگاه؛ صنفی، رفاهی، اجرایی و رسانه‌ای</x:v>
      </x:c>
      <x:c r="F1142" s="34" t="str">
        <x:v>DELEGATE/P2</x:v>
      </x:c>
      <x:c r="G1142" s="34" t="str">
        <x:v>هدف/موضوع</x:v>
      </x:c>
      <x:c r="H1142" s="39" t="str">
        <x:v>معرفی صنفی دانشکده ها به دانشکده ها و انجمن علمی ها</x:v>
      </x:c>
      <x:c r="I1142" s="39" t="str">
        <x:v>پورتفو؛ واگذاری اجرا و تمرکز بر راهبری</x:v>
      </x:c>
      <x:c r="J1142" s="39" t="str">
        <x:v>PMO/عملیات + روابط عمومی</x:v>
      </x:c>
      <x:c r="K1142" s="39" t="str"/>
      <x:c r="L1142" s="39" t="str">
        <x:v>AP:P679</x:v>
      </x:c>
      <x:c r="M1142" s="39" t="str"/>
      <x:c r="N1142" s="39" t="str">
        <x:v>نسخه پایه ۳۱۵۰</x:v>
      </x:c>
    </x:row>
    <x:row r="1143" ht="34" customHeight="1">
      <x:c r="A1143" s="34" t="str">
        <x:v>☐</x:v>
      </x:c>
      <x:c r="B1143" s="34" t="str">
        <x:v>MI-0874</x:v>
      </x:c>
      <x:c r="C1143" s="34" t="str">
        <x:v>M4 — اجرا، دانشگاه، صنعت و پروژه‌های اجتماعی</x:v>
      </x:c>
      <x:c r="D1143" s="34" t="str">
        <x:v>H11</x:v>
      </x:c>
      <x:c r="E1143" s="34" t="str">
        <x:v>دانشگاه؛ صنفی، رفاهی، اجرایی و رسانه‌ای</x:v>
      </x:c>
      <x:c r="F1143" s="34" t="str">
        <x:v>DELEGATE/P2</x:v>
      </x:c>
      <x:c r="G1143" s="34" t="str">
        <x:v>هدف/موضوع</x:v>
      </x:c>
      <x:c r="H1143" s="39" t="str">
        <x:v>کمیته های دانشگاه</x:v>
      </x:c>
      <x:c r="I1143" s="39" t="str">
        <x:v>پورتفو؛ واگذاری اجرا و تمرکز بر راهبری</x:v>
      </x:c>
      <x:c r="J1143" s="39" t="str">
        <x:v>PMO/عملیات + روابط عمومی</x:v>
      </x:c>
      <x:c r="K1143" s="39" t="str"/>
      <x:c r="L1143" s="39" t="str">
        <x:v>AP:P680</x:v>
      </x:c>
      <x:c r="M1143" s="39" t="str"/>
      <x:c r="N1143" s="39" t="str">
        <x:v>نسخه پایه ۳۱۵۰</x:v>
      </x:c>
    </x:row>
    <x:row r="1144" ht="34" customHeight="1">
      <x:c r="A1144" s="34" t="str">
        <x:v>☐</x:v>
      </x:c>
      <x:c r="B1144" s="34" t="str">
        <x:v>MI-0875</x:v>
      </x:c>
      <x:c r="C1144" s="34" t="str">
        <x:v>M4 — اجرا، دانشگاه، صنعت و پروژه‌های اجتماعی</x:v>
      </x:c>
      <x:c r="D1144" s="34" t="str">
        <x:v>H11</x:v>
      </x:c>
      <x:c r="E1144" s="34" t="str">
        <x:v>دانشگاه؛ صنفی، رفاهی، اجرایی و رسانه‌ای</x:v>
      </x:c>
      <x:c r="F1144" s="34" t="str">
        <x:v>DELEGATE/P2</x:v>
      </x:c>
      <x:c r="G1144" s="34" t="str">
        <x:v>هدف/موضوع</x:v>
      </x:c>
      <x:c r="H1144" s="39" t="str">
        <x:v>استعداد یابی جهت کار و همکاری بیشتر میدانی</x:v>
      </x:c>
      <x:c r="I1144" s="39" t="str">
        <x:v>پورتفو؛ واگذاری اجرا و تمرکز بر راهبری</x:v>
      </x:c>
      <x:c r="J1144" s="39" t="str">
        <x:v>PMO/عملیات + روابط عمومی</x:v>
      </x:c>
      <x:c r="K1144" s="39" t="str"/>
      <x:c r="L1144" s="39" t="str">
        <x:v>AP:P681</x:v>
      </x:c>
      <x:c r="M1144" s="39" t="str"/>
      <x:c r="N1144" s="39" t="str">
        <x:v>نسخه پایه ۳۱۵۰</x:v>
      </x:c>
    </x:row>
    <x:row r="1145" ht="34" customHeight="1">
      <x:c r="A1145" s="34" t="str">
        <x:v>☐</x:v>
      </x:c>
      <x:c r="B1145" s="34" t="str">
        <x:v>MI-0876</x:v>
      </x:c>
      <x:c r="C1145" s="34" t="str">
        <x:v>M4 — اجرا، دانشگاه، صنعت و پروژه‌های اجتماعی</x:v>
      </x:c>
      <x:c r="D1145" s="34" t="str">
        <x:v>H11</x:v>
      </x:c>
      <x:c r="E1145" s="34" t="str">
        <x:v>دانشگاه؛ صنفی، رفاهی، اجرایی و رسانه‌ای</x:v>
      </x:c>
      <x:c r="F1145" s="34" t="str">
        <x:v>DELEGATE/P2</x:v>
      </x:c>
      <x:c r="G1145" s="34" t="str">
        <x:v>هدف/موضوع</x:v>
      </x:c>
      <x:c r="H1145" s="39" t="str">
        <x:v>تقاضا برای بارگزاری صورتجلسات</x:v>
      </x:c>
      <x:c r="I1145" s="39" t="str">
        <x:v>پورتفو؛ واگذاری اجرا و تمرکز بر راهبری</x:v>
      </x:c>
      <x:c r="J1145" s="39" t="str">
        <x:v>PMO/عملیات + روابط عمومی</x:v>
      </x:c>
      <x:c r="K1145" s="39" t="str"/>
      <x:c r="L1145" s="39" t="str">
        <x:v>AP:P682</x:v>
      </x:c>
      <x:c r="M1145" s="39" t="str"/>
      <x:c r="N1145" s="39" t="str">
        <x:v>نسخه پایه ۳۱۵۰</x:v>
      </x:c>
    </x:row>
    <x:row r="1146" ht="34" customHeight="1">
      <x:c r="A1146" s="34" t="str">
        <x:v>☐</x:v>
      </x:c>
      <x:c r="B1146" s="34" t="str">
        <x:v>MI-0878</x:v>
      </x:c>
      <x:c r="C1146" s="34" t="str">
        <x:v>M4 — اجرا، دانشگاه، صنعت و پروژه‌های اجتماعی</x:v>
      </x:c>
      <x:c r="D1146" s="34" t="str">
        <x:v>H11</x:v>
      </x:c>
      <x:c r="E1146" s="34" t="str">
        <x:v>دانشگاه؛ صنفی، رفاهی، اجرایی و رسانه‌ای</x:v>
      </x:c>
      <x:c r="F1146" s="34" t="str">
        <x:v>DELEGATE/P2</x:v>
      </x:c>
      <x:c r="G1146" s="34" t="str">
        <x:v>هدف/موضوع</x:v>
      </x:c>
      <x:c r="H1146" s="39" t="str">
        <x:v>تعیین نماینده مستقیم دانشجویان در خوابگاههای خصوصی (خودگردان).</x:v>
      </x:c>
      <x:c r="I1146" s="39" t="str">
        <x:v>پورتفو؛ واگذاری اجرا و تمرکز بر راهبری</x:v>
      </x:c>
      <x:c r="J1146" s="39" t="str">
        <x:v>PMO/عملیات + روابط عمومی</x:v>
      </x:c>
      <x:c r="K1146" s="39" t="str"/>
      <x:c r="L1146" s="39" t="str">
        <x:v>AP:P684</x:v>
      </x:c>
      <x:c r="M1146" s="39" t="str"/>
      <x:c r="N1146" s="39" t="str">
        <x:v>نسخه پایه ۳۱۵۰</x:v>
      </x:c>
    </x:row>
    <x:row r="1147" ht="34" customHeight="1">
      <x:c r="A1147" s="34" t="str">
        <x:v>☐</x:v>
      </x:c>
      <x:c r="B1147" s="34" t="str">
        <x:v>MI-0882</x:v>
      </x:c>
      <x:c r="C1147" s="34" t="str">
        <x:v>M4 — اجرا، دانشگاه، صنعت و پروژه‌های اجتماعی</x:v>
      </x:c>
      <x:c r="D1147" s="34" t="str">
        <x:v>H11</x:v>
      </x:c>
      <x:c r="E1147" s="34" t="str">
        <x:v>دانشگاه؛ صنفی، رفاهی، اجرایی و رسانه‌ای</x:v>
      </x:c>
      <x:c r="F1147" s="34" t="str">
        <x:v>DELEGATE/P2</x:v>
      </x:c>
      <x:c r="G1147" s="34" t="str">
        <x:v>هدف/موضوع</x:v>
      </x:c>
      <x:c r="H1147" s="39" t="str">
        <x:v>نظر سنجی غذا در کانال سلف و ارایه کامنت ها</x:v>
      </x:c>
      <x:c r="I1147" s="39" t="str">
        <x:v>پورتفو؛ واگذاری اجرا و تمرکز بر راهبری</x:v>
      </x:c>
      <x:c r="J1147" s="39" t="str">
        <x:v>PMO/عملیات + روابط عمومی</x:v>
      </x:c>
      <x:c r="K1147" s="39" t="str"/>
      <x:c r="L1147" s="39" t="str">
        <x:v>AP:P689؛ AP:P742</x:v>
      </x:c>
      <x:c r="M1147" s="39" t="str"/>
      <x:c r="N1147" s="39" t="str">
        <x:v>نسخه پایه ۳۱۵۰</x:v>
      </x:c>
    </x:row>
    <x:row r="1148" ht="34" customHeight="1">
      <x:c r="A1148" s="34" t="str">
        <x:v>☐</x:v>
      </x:c>
      <x:c r="B1148" s="34" t="str">
        <x:v>MI-0886</x:v>
      </x:c>
      <x:c r="C1148" s="34" t="str">
        <x:v>M4 — اجرا، دانشگاه، صنعت و پروژه‌های اجتماعی</x:v>
      </x:c>
      <x:c r="D1148" s="34" t="str">
        <x:v>H11</x:v>
      </x:c>
      <x:c r="E1148" s="34" t="str">
        <x:v>دانشگاه؛ صنفی، رفاهی، اجرایی و رسانه‌ای</x:v>
      </x:c>
      <x:c r="F1148" s="34" t="str">
        <x:v>DELEGATE/P2</x:v>
      </x:c>
      <x:c r="G1148" s="34" t="str">
        <x:v>هدف/موضوع</x:v>
      </x:c>
      <x:c r="H1148" s="39" t="str">
        <x:v>وضعیت مرکز رشد؟؟؟</x:v>
      </x:c>
      <x:c r="I1148" s="39" t="str">
        <x:v>پورتفو؛ واگذاری اجرا و تمرکز بر راهبری</x:v>
      </x:c>
      <x:c r="J1148" s="39" t="str">
        <x:v>PMO/عملیات + روابط عمومی</x:v>
      </x:c>
      <x:c r="K1148" s="39" t="str"/>
      <x:c r="L1148" s="39" t="str">
        <x:v>AP:P693</x:v>
      </x:c>
      <x:c r="M1148" s="39" t="str"/>
      <x:c r="N1148" s="39" t="str">
        <x:v>نسخه پایه ۳۱۵۰</x:v>
      </x:c>
    </x:row>
    <x:row r="1149" ht="34" customHeight="1">
      <x:c r="A1149" s="34" t="str">
        <x:v>☐</x:v>
      </x:c>
      <x:c r="B1149" s="34" t="str">
        <x:v>MI-0888</x:v>
      </x:c>
      <x:c r="C1149" s="34" t="str">
        <x:v>M4 — اجرا، دانشگاه، صنعت و پروژه‌های اجتماعی</x:v>
      </x:c>
      <x:c r="D1149" s="34" t="str">
        <x:v>H11</x:v>
      </x:c>
      <x:c r="E1149" s="34" t="str">
        <x:v>دانشگاه؛ صنفی، رفاهی، اجرایی و رسانه‌ای</x:v>
      </x:c>
      <x:c r="F1149" s="34" t="str">
        <x:v>DELEGATE/P2</x:v>
      </x:c>
      <x:c r="G1149" s="34" t="str">
        <x:v>هدف/موضوع</x:v>
      </x:c>
      <x:c r="H1149" s="39" t="str">
        <x:v>کلی</x:v>
      </x:c>
      <x:c r="I1149" s="39" t="str">
        <x:v>پورتفو؛ واگذاری اجرا و تمرکز بر راهبری</x:v>
      </x:c>
      <x:c r="J1149" s="39" t="str">
        <x:v>PMO/عملیات + روابط عمومی</x:v>
      </x:c>
      <x:c r="K1149" s="39" t="str"/>
      <x:c r="L1149" s="39" t="str">
        <x:v>AP:P697</x:v>
      </x:c>
      <x:c r="M1149" s="39" t="str"/>
      <x:c r="N1149" s="39" t="str">
        <x:v>نسخه پایه ۳۱۵۰</x:v>
      </x:c>
    </x:row>
    <x:row r="1150" ht="34" customHeight="1">
      <x:c r="A1150" s="34" t="str">
        <x:v>☐</x:v>
      </x:c>
      <x:c r="B1150" s="34" t="str">
        <x:v>MI-0889</x:v>
      </x:c>
      <x:c r="C1150" s="34" t="str">
        <x:v>M4 — اجرا، دانشگاه، صنعت و پروژه‌های اجتماعی</x:v>
      </x:c>
      <x:c r="D1150" s="34" t="str">
        <x:v>H11</x:v>
      </x:c>
      <x:c r="E1150" s="34" t="str">
        <x:v>دانشگاه؛ صنفی، رفاهی، اجرایی و رسانه‌ای</x:v>
      </x:c>
      <x:c r="F1150" s="34" t="str">
        <x:v>DELEGATE/P2</x:v>
      </x:c>
      <x:c r="G1150" s="34" t="str">
        <x:v>هدف/موضوع</x:v>
      </x:c>
      <x:c r="H1150" s="39" t="str">
        <x:v>نشست هییت رییسه با دانشجویان</x:v>
      </x:c>
      <x:c r="I1150" s="39" t="str">
        <x:v>پورتفو؛ واگذاری اجرا و تمرکز بر راهبری</x:v>
      </x:c>
      <x:c r="J1150" s="39" t="str">
        <x:v>PMO/عملیات + روابط عمومی</x:v>
      </x:c>
      <x:c r="K1150" s="39" t="str"/>
      <x:c r="L1150" s="39" t="str">
        <x:v>AP:P698</x:v>
      </x:c>
      <x:c r="M1150" s="39" t="str"/>
      <x:c r="N1150" s="39" t="str">
        <x:v>نسخه پایه ۳۱۵۰</x:v>
      </x:c>
    </x:row>
    <x:row r="1151" ht="34" customHeight="1">
      <x:c r="A1151" s="34" t="str">
        <x:v>☐</x:v>
      </x:c>
      <x:c r="B1151" s="34" t="str">
        <x:v>MI-0890</x:v>
      </x:c>
      <x:c r="C1151" s="34" t="str">
        <x:v>M4 — اجرا، دانشگاه، صنعت و پروژه‌های اجتماعی</x:v>
      </x:c>
      <x:c r="D1151" s="34" t="str">
        <x:v>H11</x:v>
      </x:c>
      <x:c r="E1151" s="34" t="str">
        <x:v>دانشگاه؛ صنفی، رفاهی، اجرایی و رسانه‌ای</x:v>
      </x:c>
      <x:c r="F1151" s="34" t="str">
        <x:v>DELEGATE/P2</x:v>
      </x:c>
      <x:c r="G1151" s="34" t="str">
        <x:v>هدف/موضوع</x:v>
      </x:c>
      <x:c r="H1151" s="39" t="str">
        <x:v>نشست شورای صنفی یا حضور انجمن های علمی</x:v>
      </x:c>
      <x:c r="I1151" s="39" t="str">
        <x:v>پورتفو؛ واگذاری اجرا و تمرکز بر راهبری</x:v>
      </x:c>
      <x:c r="J1151" s="39" t="str">
        <x:v>PMO/عملیات + روابط عمومی</x:v>
      </x:c>
      <x:c r="K1151" s="39" t="str"/>
      <x:c r="L1151" s="39" t="str">
        <x:v>AP:P700</x:v>
      </x:c>
      <x:c r="M1151" s="39" t="str"/>
      <x:c r="N1151" s="39" t="str">
        <x:v>نسخه پایه ۳۱۵۰</x:v>
      </x:c>
    </x:row>
    <x:row r="1152" ht="34" customHeight="1">
      <x:c r="A1152" s="34" t="str">
        <x:v>☐</x:v>
      </x:c>
      <x:c r="B1152" s="34" t="str">
        <x:v>MI-0892</x:v>
      </x:c>
      <x:c r="C1152" s="34" t="str">
        <x:v>M4 — اجرا، دانشگاه، صنعت و پروژه‌های اجتماعی</x:v>
      </x:c>
      <x:c r="D1152" s="34" t="str">
        <x:v>H11</x:v>
      </x:c>
      <x:c r="E1152" s="34" t="str">
        <x:v>دانشگاه؛ صنفی، رفاهی، اجرایی و رسانه‌ای</x:v>
      </x:c>
      <x:c r="F1152" s="34" t="str">
        <x:v>DELEGATE/P2</x:v>
      </x:c>
      <x:c r="G1152" s="34" t="str">
        <x:v>هدف/موضوع</x:v>
      </x:c>
      <x:c r="H1152" s="39" t="str">
        <x:v>نشست شورای صنفی و معاونت دانشجویی</x:v>
      </x:c>
      <x:c r="I1152" s="39" t="str">
        <x:v>پورتفو؛ واگذاری اجرا و تمرکز بر راهبری</x:v>
      </x:c>
      <x:c r="J1152" s="39" t="str">
        <x:v>PMO/عملیات + روابط عمومی</x:v>
      </x:c>
      <x:c r="K1152" s="39" t="str"/>
      <x:c r="L1152" s="39" t="str">
        <x:v>AP:P702</x:v>
      </x:c>
      <x:c r="M1152" s="39" t="str"/>
      <x:c r="N1152" s="39" t="str">
        <x:v>نسخه پایه ۳۱۵۰</x:v>
      </x:c>
    </x:row>
    <x:row r="1153" ht="34" customHeight="1">
      <x:c r="A1153" s="34" t="str">
        <x:v>☐</x:v>
      </x:c>
      <x:c r="B1153" s="34" t="str">
        <x:v>MI-0894</x:v>
      </x:c>
      <x:c r="C1153" s="34" t="str">
        <x:v>M4 — اجرا، دانشگاه، صنعت و پروژه‌های اجتماعی</x:v>
      </x:c>
      <x:c r="D1153" s="34" t="str">
        <x:v>H11</x:v>
      </x:c>
      <x:c r="E1153" s="34" t="str">
        <x:v>دانشگاه؛ صنفی، رفاهی، اجرایی و رسانه‌ای</x:v>
      </x:c>
      <x:c r="F1153" s="34" t="str">
        <x:v>DELEGATE/P2</x:v>
      </x:c>
      <x:c r="G1153" s="34" t="str">
        <x:v>هدف/موضوع</x:v>
      </x:c>
      <x:c r="H1153" s="39" t="str">
        <x:v>معرفی مکانی جهت گذاشتن وسایل دانشجوها تخلیه کردن و جا به جایی وسایل سخت است بین دو سال</x:v>
      </x:c>
      <x:c r="I1153" s="39" t="str">
        <x:v>پورتفو؛ واگذاری اجرا و تمرکز بر راهبری</x:v>
      </x:c>
      <x:c r="J1153" s="39" t="str">
        <x:v>PMO/عملیات + روابط عمومی</x:v>
      </x:c>
      <x:c r="K1153" s="39" t="str"/>
      <x:c r="L1153" s="39" t="str">
        <x:v>AP:P705</x:v>
      </x:c>
      <x:c r="M1153" s="39" t="str"/>
      <x:c r="N1153" s="39" t="str">
        <x:v>نسخه پایه ۳۱۵۰</x:v>
      </x:c>
    </x:row>
    <x:row r="1154" ht="34" customHeight="1">
      <x:c r="A1154" s="34" t="str">
        <x:v>☐</x:v>
      </x:c>
      <x:c r="B1154" s="34" t="str">
        <x:v>MI-0897</x:v>
      </x:c>
      <x:c r="C1154" s="34" t="str">
        <x:v>M4 — اجرا، دانشگاه، صنعت و پروژه‌های اجتماعی</x:v>
      </x:c>
      <x:c r="D1154" s="34" t="str">
        <x:v>H11</x:v>
      </x:c>
      <x:c r="E1154" s="34" t="str">
        <x:v>دانشگاه؛ صنفی، رفاهی، اجرایی و رسانه‌ای</x:v>
      </x:c>
      <x:c r="F1154" s="34" t="str">
        <x:v>DELEGATE/P2</x:v>
      </x:c>
      <x:c r="G1154" s="34" t="str">
        <x:v>هدف/موضوع</x:v>
      </x:c>
      <x:c r="H1154" s="39" t="str">
        <x:v>زمین چمن طبیعی و ساعات دردسترس بودن</x:v>
      </x:c>
      <x:c r="I1154" s="39" t="str">
        <x:v>پورتفو؛ واگذاری اجرا و تمرکز بر راهبری</x:v>
      </x:c>
      <x:c r="J1154" s="39" t="str">
        <x:v>PMO/عملیات + روابط عمومی</x:v>
      </x:c>
      <x:c r="K1154" s="39" t="str"/>
      <x:c r="L1154" s="39" t="str">
        <x:v>AP:P708؛ AP:P782</x:v>
      </x:c>
      <x:c r="M1154" s="39" t="str"/>
      <x:c r="N1154" s="39" t="str">
        <x:v>نسخه پایه ۳۱۵۰</x:v>
      </x:c>
    </x:row>
    <x:row r="1155" ht="34" customHeight="1">
      <x:c r="A1155" s="34" t="str">
        <x:v>☐</x:v>
      </x:c>
      <x:c r="B1155" s="34" t="str">
        <x:v>MI-0898</x:v>
      </x:c>
      <x:c r="C1155" s="34" t="str">
        <x:v>M4 — اجرا، دانشگاه، صنعت و پروژه‌های اجتماعی</x:v>
      </x:c>
      <x:c r="D1155" s="34" t="str">
        <x:v>H11</x:v>
      </x:c>
      <x:c r="E1155" s="34" t="str">
        <x:v>دانشگاه؛ صنفی، رفاهی، اجرایی و رسانه‌ای</x:v>
      </x:c>
      <x:c r="F1155" s="34" t="str">
        <x:v>DELEGATE/P2</x:v>
      </x:c>
      <x:c r="G1155" s="34" t="str">
        <x:v>هدف/موضوع</x:v>
      </x:c>
      <x:c r="H1155" s="39" t="str">
        <x:v>فرم پذیرش میهمان برای خوابگاه پسرانه و دخترانه حد اکثر 24 ساعت یا کمتر از چند ساعت</x:v>
      </x:c>
      <x:c r="I1155" s="39" t="str">
        <x:v>پورتفو؛ واگذاری اجرا و تمرکز بر راهبری</x:v>
      </x:c>
      <x:c r="J1155" s="39" t="str">
        <x:v>PMO/عملیات + روابط عمومی</x:v>
      </x:c>
      <x:c r="K1155" s="39" t="str"/>
      <x:c r="L1155" s="39" t="str">
        <x:v>AP:P709</x:v>
      </x:c>
      <x:c r="M1155" s="39" t="str"/>
      <x:c r="N1155" s="39" t="str">
        <x:v>نسخه پایه ۳۱۵۰</x:v>
      </x:c>
    </x:row>
    <x:row r="1156" ht="34" customHeight="1">
      <x:c r="A1156" s="34" t="str">
        <x:v>☐</x:v>
      </x:c>
      <x:c r="B1156" s="34" t="str">
        <x:v>MI-0899</x:v>
      </x:c>
      <x:c r="C1156" s="34" t="str">
        <x:v>M4 — اجرا، دانشگاه، صنعت و پروژه‌های اجتماعی</x:v>
      </x:c>
      <x:c r="D1156" s="34" t="str">
        <x:v>H11</x:v>
      </x:c>
      <x:c r="E1156" s="34" t="str">
        <x:v>دانشگاه؛ صنفی، رفاهی، اجرایی و رسانه‌ای</x:v>
      </x:c>
      <x:c r="F1156" s="34" t="str">
        <x:v>DELEGATE/P2</x:v>
      </x:c>
      <x:c r="G1156" s="34" t="str">
        <x:v>هدف/موضوع</x:v>
      </x:c>
      <x:c r="H1156" s="39" t="str">
        <x:v>بررسی بهبود عملکرد اینکه چه نوع سمی برای انواع سوسک ها با نمونه برداری زنده از این حشرات موذی</x:v>
      </x:c>
      <x:c r="I1156" s="39" t="str">
        <x:v>پورتفو؛ واگذاری اجرا و تمرکز بر راهبری</x:v>
      </x:c>
      <x:c r="J1156" s="39" t="str">
        <x:v>PMO/عملیات + روابط عمومی</x:v>
      </x:c>
      <x:c r="K1156" s="39" t="str"/>
      <x:c r="L1156" s="39" t="str">
        <x:v>AP:P711</x:v>
      </x:c>
      <x:c r="M1156" s="39" t="str"/>
      <x:c r="N1156" s="39" t="str">
        <x:v>نسخه پایه ۳۱۵۰</x:v>
      </x:c>
    </x:row>
    <x:row r="1157" ht="34" customHeight="1">
      <x:c r="A1157" s="34" t="str">
        <x:v>☐</x:v>
      </x:c>
      <x:c r="B1157" s="34" t="str">
        <x:v>MI-0900</x:v>
      </x:c>
      <x:c r="C1157" s="34" t="str">
        <x:v>M4 — اجرا، دانشگاه، صنعت و پروژه‌های اجتماعی</x:v>
      </x:c>
      <x:c r="D1157" s="34" t="str">
        <x:v>H11</x:v>
      </x:c>
      <x:c r="E1157" s="34" t="str">
        <x:v>دانشگاه؛ صنفی، رفاهی، اجرایی و رسانه‌ای</x:v>
      </x:c>
      <x:c r="F1157" s="34" t="str">
        <x:v>DELEGATE/P2</x:v>
      </x:c>
      <x:c r="G1157" s="34" t="str">
        <x:v>هدف/موضوع</x:v>
      </x:c>
      <x:c r="H1157" s="39" t="str">
        <x:v>افزایش نرخ تعرفه کار دانشجویی 2 برابری</x:v>
      </x:c>
      <x:c r="I1157" s="39" t="str">
        <x:v>پورتفو؛ واگذاری اجرا و تمرکز بر راهبری</x:v>
      </x:c>
      <x:c r="J1157" s="39" t="str">
        <x:v>PMO/عملیات + روابط عمومی</x:v>
      </x:c>
      <x:c r="K1157" s="39" t="str"/>
      <x:c r="L1157" s="39" t="str">
        <x:v>AP:P712</x:v>
      </x:c>
      <x:c r="M1157" s="39" t="str"/>
      <x:c r="N1157" s="39" t="str">
        <x:v>نسخه پایه ۳۱۵۰</x:v>
      </x:c>
    </x:row>
    <x:row r="1158" ht="34" customHeight="1">
      <x:c r="A1158" s="34" t="str">
        <x:v>☐</x:v>
      </x:c>
      <x:c r="B1158" s="34" t="str">
        <x:v>MI-0901</x:v>
      </x:c>
      <x:c r="C1158" s="34" t="str">
        <x:v>M4 — اجرا، دانشگاه، صنعت و پروژه‌های اجتماعی</x:v>
      </x:c>
      <x:c r="D1158" s="34" t="str">
        <x:v>H11</x:v>
      </x:c>
      <x:c r="E1158" s="34" t="str">
        <x:v>دانشگاه؛ صنفی، رفاهی، اجرایی و رسانه‌ای</x:v>
      </x:c>
      <x:c r="F1158" s="34" t="str">
        <x:v>DELEGATE/P2</x:v>
      </x:c>
      <x:c r="G1158" s="34" t="str">
        <x:v>هدف/موضوع</x:v>
      </x:c>
      <x:c r="H1158" s="39" t="str">
        <x:v>شورای تخصصی دانشجویی</x:v>
      </x:c>
      <x:c r="I1158" s="39" t="str">
        <x:v>پورتفو؛ واگذاری اجرا و تمرکز بر راهبری</x:v>
      </x:c>
      <x:c r="J1158" s="39" t="str">
        <x:v>PMO/عملیات + روابط عمومی</x:v>
      </x:c>
      <x:c r="K1158" s="39" t="str"/>
      <x:c r="L1158" s="39" t="str">
        <x:v>AP:P714</x:v>
      </x:c>
      <x:c r="M1158" s="39" t="str"/>
      <x:c r="N1158" s="39" t="str">
        <x:v>نسخه پایه ۳۱۵۰</x:v>
      </x:c>
    </x:row>
    <x:row r="1159" ht="34" customHeight="1">
      <x:c r="A1159" s="34" t="str">
        <x:v>☐</x:v>
      </x:c>
      <x:c r="B1159" s="34" t="str">
        <x:v>MI-0902</x:v>
      </x:c>
      <x:c r="C1159" s="34" t="str">
        <x:v>M4 — اجرا، دانشگاه، صنعت و پروژه‌های اجتماعی</x:v>
      </x:c>
      <x:c r="D1159" s="34" t="str">
        <x:v>H11</x:v>
      </x:c>
      <x:c r="E1159" s="34" t="str">
        <x:v>دانشگاه؛ صنفی، رفاهی، اجرایی و رسانه‌ای</x:v>
      </x:c>
      <x:c r="F1159" s="34" t="str">
        <x:v>DELEGATE/P2</x:v>
      </x:c>
      <x:c r="G1159" s="34" t="str">
        <x:v>هدف/موضوع</x:v>
      </x:c>
      <x:c r="H1159" s="39" t="str">
        <x:v>سنواتی ها و مصوبه جدید برای اونها</x:v>
      </x:c>
      <x:c r="I1159" s="39" t="str">
        <x:v>پورتفو؛ واگذاری اجرا و تمرکز بر راهبری</x:v>
      </x:c>
      <x:c r="J1159" s="39" t="str">
        <x:v>PMO/عملیات + روابط عمومی</x:v>
      </x:c>
      <x:c r="K1159" s="39" t="str"/>
      <x:c r="L1159" s="39" t="str">
        <x:v>AP:P715</x:v>
      </x:c>
      <x:c r="M1159" s="39" t="str"/>
      <x:c r="N1159" s="39" t="str">
        <x:v>نسخه پایه ۳۱۵۰</x:v>
      </x:c>
    </x:row>
    <x:row r="1160" ht="34" customHeight="1">
      <x:c r="A1160" s="34" t="str">
        <x:v>☐</x:v>
      </x:c>
      <x:c r="B1160" s="34" t="str">
        <x:v>MI-0904</x:v>
      </x:c>
      <x:c r="C1160" s="34" t="str">
        <x:v>M4 — اجرا، دانشگاه، صنعت و پروژه‌های اجتماعی</x:v>
      </x:c>
      <x:c r="D1160" s="34" t="str">
        <x:v>H11</x:v>
      </x:c>
      <x:c r="E1160" s="34" t="str">
        <x:v>دانشگاه؛ صنفی، رفاهی، اجرایی و رسانه‌ای</x:v>
      </x:c>
      <x:c r="F1160" s="34" t="str">
        <x:v>DELEGATE/P2</x:v>
      </x:c>
      <x:c r="G1160" s="34" t="str">
        <x:v>هدف/موضوع</x:v>
      </x:c>
      <x:c r="H1160" s="39" t="str">
        <x:v>بیمه حوادث دانشجو</x:v>
      </x:c>
      <x:c r="I1160" s="39" t="str">
        <x:v>پورتفو؛ واگذاری اجرا و تمرکز بر راهبری</x:v>
      </x:c>
      <x:c r="J1160" s="39" t="str">
        <x:v>PMO/عملیات + روابط عمومی</x:v>
      </x:c>
      <x:c r="K1160" s="39" t="str"/>
      <x:c r="L1160" s="39" t="str">
        <x:v>AP:P717</x:v>
      </x:c>
      <x:c r="M1160" s="39" t="str"/>
      <x:c r="N1160" s="39" t="str">
        <x:v>نسخه پایه ۳۱۵۰</x:v>
      </x:c>
    </x:row>
    <x:row r="1161" ht="34" customHeight="1">
      <x:c r="A1161" s="34" t="str">
        <x:v>☐</x:v>
      </x:c>
      <x:c r="B1161" s="34" t="str">
        <x:v>MI-0906</x:v>
      </x:c>
      <x:c r="C1161" s="34" t="str">
        <x:v>M4 — اجرا، دانشگاه، صنعت و پروژه‌های اجتماعی</x:v>
      </x:c>
      <x:c r="D1161" s="34" t="str">
        <x:v>H11</x:v>
      </x:c>
      <x:c r="E1161" s="34" t="str">
        <x:v>دانشگاه؛ صنفی، رفاهی، اجرایی و رسانه‌ای</x:v>
      </x:c>
      <x:c r="F1161" s="34" t="str">
        <x:v>DELEGATE/P2</x:v>
      </x:c>
      <x:c r="G1161" s="34" t="str">
        <x:v>هدف/موضوع</x:v>
      </x:c>
      <x:c r="H1161" s="39" t="str">
        <x:v>اضافه کردن پشه بند به چک لیست اتاق ها</x:v>
      </x:c>
      <x:c r="I1161" s="39" t="str">
        <x:v>پورتفو؛ واگذاری اجرا و تمرکز بر راهبری</x:v>
      </x:c>
      <x:c r="J1161" s="39" t="str">
        <x:v>PMO/عملیات + روابط عمومی</x:v>
      </x:c>
      <x:c r="K1161" s="39" t="str"/>
      <x:c r="L1161" s="39" t="str">
        <x:v>AP:P724</x:v>
      </x:c>
      <x:c r="M1161" s="39" t="str"/>
      <x:c r="N1161" s="39" t="str">
        <x:v>نسخه پایه ۳۱۵۰</x:v>
      </x:c>
    </x:row>
    <x:row r="1162" ht="34" customHeight="1">
      <x:c r="A1162" s="34" t="str">
        <x:v>☐</x:v>
      </x:c>
      <x:c r="B1162" s="34" t="str">
        <x:v>MI-0907</x:v>
      </x:c>
      <x:c r="C1162" s="34" t="str">
        <x:v>M4 — اجرا، دانشگاه، صنعت و پروژه‌های اجتماعی</x:v>
      </x:c>
      <x:c r="D1162" s="34" t="str">
        <x:v>H11</x:v>
      </x:c>
      <x:c r="E1162" s="34" t="str">
        <x:v>دانشگاه؛ صنفی، رفاهی، اجرایی و رسانه‌ای</x:v>
      </x:c>
      <x:c r="F1162" s="34" t="str">
        <x:v>DELEGATE/P2</x:v>
      </x:c>
      <x:c r="G1162" s="34" t="str">
        <x:v>هدف/موضوع</x:v>
      </x:c>
      <x:c r="H1162" s="39" t="str">
        <x:v>معرفی همیار سرپرستان خوابگاه ها</x:v>
      </x:c>
      <x:c r="I1162" s="39" t="str">
        <x:v>پورتفو؛ واگذاری اجرا و تمرکز بر راهبری</x:v>
      </x:c>
      <x:c r="J1162" s="39" t="str">
        <x:v>PMO/عملیات + روابط عمومی</x:v>
      </x:c>
      <x:c r="K1162" s="39" t="str"/>
      <x:c r="L1162" s="39" t="str">
        <x:v>AP:P725</x:v>
      </x:c>
      <x:c r="M1162" s="39" t="str"/>
      <x:c r="N1162" s="39" t="str">
        <x:v>نسخه پایه ۳۱۵۰</x:v>
      </x:c>
    </x:row>
    <x:row r="1163" ht="34" customHeight="1">
      <x:c r="A1163" s="34" t="str">
        <x:v>☐</x:v>
      </x:c>
      <x:c r="B1163" s="34" t="str">
        <x:v>MI-0909</x:v>
      </x:c>
      <x:c r="C1163" s="34" t="str">
        <x:v>M4 — اجرا، دانشگاه، صنعت و پروژه‌های اجتماعی</x:v>
      </x:c>
      <x:c r="D1163" s="34" t="str">
        <x:v>H11</x:v>
      </x:c>
      <x:c r="E1163" s="34" t="str">
        <x:v>دانشگاه؛ صنفی، رفاهی، اجرایی و رسانه‌ای</x:v>
      </x:c>
      <x:c r="F1163" s="34" t="str">
        <x:v>DELEGATE/P2</x:v>
      </x:c>
      <x:c r="G1163" s="34" t="str">
        <x:v>هدف/موضوع</x:v>
      </x:c>
      <x:c r="H1163" s="39" t="str">
        <x:v>تمیز کردن دیوار های سرویس های بهداشتی و همچنین پشت درب های سرویس های بهداشتی</x:v>
      </x:c>
      <x:c r="I1163" s="39" t="str">
        <x:v>پورتفو؛ واگذاری اجرا و تمرکز بر راهبری</x:v>
      </x:c>
      <x:c r="J1163" s="39" t="str">
        <x:v>PMO/عملیات + روابط عمومی</x:v>
      </x:c>
      <x:c r="K1163" s="39" t="str"/>
      <x:c r="L1163" s="39" t="str">
        <x:v>AP:P727</x:v>
      </x:c>
      <x:c r="M1163" s="39" t="str"/>
      <x:c r="N1163" s="39" t="str">
        <x:v>نسخه پایه ۳۱۵۰</x:v>
      </x:c>
    </x:row>
    <x:row r="1164" ht="34" customHeight="1">
      <x:c r="A1164" s="34" t="str">
        <x:v>☐</x:v>
      </x:c>
      <x:c r="B1164" s="34" t="str">
        <x:v>MI-0911</x:v>
      </x:c>
      <x:c r="C1164" s="34" t="str">
        <x:v>M4 — اجرا، دانشگاه، صنعت و پروژه‌های اجتماعی</x:v>
      </x:c>
      <x:c r="D1164" s="34" t="str">
        <x:v>H11</x:v>
      </x:c>
      <x:c r="E1164" s="34" t="str">
        <x:v>دانشگاه؛ صنفی، رفاهی، اجرایی و رسانه‌ای</x:v>
      </x:c>
      <x:c r="F1164" s="34" t="str">
        <x:v>DELEGATE/P2</x:v>
      </x:c>
      <x:c r="G1164" s="34" t="str">
        <x:v>هدف/موضوع</x:v>
      </x:c>
      <x:c r="H1164" s="39" t="str">
        <x:v>سفته الکترونیکی</x:v>
      </x:c>
      <x:c r="I1164" s="39" t="str">
        <x:v>پورتفو؛ واگذاری اجرا و تمرکز بر راهبری</x:v>
      </x:c>
      <x:c r="J1164" s="39" t="str">
        <x:v>PMO/عملیات + روابط عمومی</x:v>
      </x:c>
      <x:c r="K1164" s="39" t="str"/>
      <x:c r="L1164" s="39" t="str">
        <x:v>AP:P729</x:v>
      </x:c>
      <x:c r="M1164" s="39" t="str"/>
      <x:c r="N1164" s="39" t="str">
        <x:v>نسخه پایه ۳۱۵۰</x:v>
      </x:c>
    </x:row>
    <x:row r="1165" ht="34" customHeight="1">
      <x:c r="A1165" s="34" t="str">
        <x:v>☐</x:v>
      </x:c>
      <x:c r="B1165" s="34" t="str">
        <x:v>MI-0914</x:v>
      </x:c>
      <x:c r="C1165" s="34" t="str">
        <x:v>M4 — اجرا، دانشگاه، صنعت و پروژه‌های اجتماعی</x:v>
      </x:c>
      <x:c r="D1165" s="34" t="str">
        <x:v>H11</x:v>
      </x:c>
      <x:c r="E1165" s="34" t="str">
        <x:v>دانشگاه؛ صنفی، رفاهی، اجرایی و رسانه‌ای</x:v>
      </x:c>
      <x:c r="F1165" s="34" t="str">
        <x:v>DELEGATE/P2</x:v>
      </x:c>
      <x:c r="G1165" s="34" t="str">
        <x:v>هدف/موضوع</x:v>
      </x:c>
      <x:c r="H1165" s="39" t="str">
        <x:v>برگه پذیرا مهمان سرا و اطلاع رسانی نحوه اقامت و مبلغ اسکان و تعداد روز و شرایط</x:v>
      </x:c>
      <x:c r="I1165" s="39" t="str">
        <x:v>پورتفو؛ واگذاری اجرا و تمرکز بر راهبری</x:v>
      </x:c>
      <x:c r="J1165" s="39" t="str">
        <x:v>PMO/عملیات + روابط عمومی</x:v>
      </x:c>
      <x:c r="K1165" s="39" t="str"/>
      <x:c r="L1165" s="39" t="str">
        <x:v>AP:P732</x:v>
      </x:c>
      <x:c r="M1165" s="39" t="str"/>
      <x:c r="N1165" s="39" t="str">
        <x:v>نسخه پایه ۳۱۵۰</x:v>
      </x:c>
    </x:row>
    <x:row r="1166" ht="34" customHeight="1">
      <x:c r="A1166" s="34" t="str">
        <x:v>☐</x:v>
      </x:c>
      <x:c r="B1166" s="34" t="str">
        <x:v>MI-0916</x:v>
      </x:c>
      <x:c r="C1166" s="34" t="str">
        <x:v>M4 — اجرا، دانشگاه، صنعت و پروژه‌های اجتماعی</x:v>
      </x:c>
      <x:c r="D1166" s="34" t="str">
        <x:v>H11</x:v>
      </x:c>
      <x:c r="E1166" s="34" t="str">
        <x:v>دانشگاه؛ صنفی، رفاهی، اجرایی و رسانه‌ای</x:v>
      </x:c>
      <x:c r="F1166" s="34" t="str">
        <x:v>DELEGATE/P2</x:v>
      </x:c>
      <x:c r="G1166" s="34" t="str">
        <x:v>هدف/موضوع</x:v>
      </x:c>
      <x:c r="H1166" s="39" t="str">
        <x:v>تقدیر تشکر از صنفی توسط دانشجویی</x:v>
      </x:c>
      <x:c r="I1166" s="39" t="str">
        <x:v>پورتفو؛ واگذاری اجرا و تمرکز بر راهبری</x:v>
      </x:c>
      <x:c r="J1166" s="39" t="str">
        <x:v>PMO/عملیات + روابط عمومی</x:v>
      </x:c>
      <x:c r="K1166" s="39" t="str"/>
      <x:c r="L1166" s="39" t="str">
        <x:v>AP:P734</x:v>
      </x:c>
      <x:c r="M1166" s="39" t="str"/>
      <x:c r="N1166" s="39" t="str">
        <x:v>نسخه پایه ۳۱۵۰</x:v>
      </x:c>
    </x:row>
    <x:row r="1167" ht="34" customHeight="1">
      <x:c r="A1167" s="34" t="str">
        <x:v>☐</x:v>
      </x:c>
      <x:c r="B1167" s="34" t="str">
        <x:v>MI-0917</x:v>
      </x:c>
      <x:c r="C1167" s="34" t="str">
        <x:v>M4 — اجرا، دانشگاه، صنعت و پروژه‌های اجتماعی</x:v>
      </x:c>
      <x:c r="D1167" s="34" t="str">
        <x:v>H11</x:v>
      </x:c>
      <x:c r="E1167" s="34" t="str">
        <x:v>دانشگاه؛ صنفی، رفاهی، اجرایی و رسانه‌ای</x:v>
      </x:c>
      <x:c r="F1167" s="34" t="str">
        <x:v>DELEGATE/P2</x:v>
      </x:c>
      <x:c r="G1167" s="34" t="str">
        <x:v>هدف/موضوع</x:v>
      </x:c>
      <x:c r="H1167" s="39" t="str">
        <x:v>فراهم کردن امکان پرداخت قسطی اجاره بهای خوابگاه خودگردان</x:v>
      </x:c>
      <x:c r="I1167" s="39" t="str">
        <x:v>پورتفو؛ واگذاری اجرا و تمرکز بر راهبری</x:v>
      </x:c>
      <x:c r="J1167" s="39" t="str">
        <x:v>PMO/عملیات + روابط عمومی</x:v>
      </x:c>
      <x:c r="K1167" s="39" t="str"/>
      <x:c r="L1167" s="39" t="str">
        <x:v>AP:P735</x:v>
      </x:c>
      <x:c r="M1167" s="39" t="str"/>
      <x:c r="N1167" s="39" t="str">
        <x:v>نسخه پایه ۳۱۵۰</x:v>
      </x:c>
    </x:row>
    <x:row r="1168" ht="34" customHeight="1">
      <x:c r="A1168" s="34" t="str">
        <x:v>☐</x:v>
      </x:c>
      <x:c r="B1168" s="34" t="str">
        <x:v>MI-0920</x:v>
      </x:c>
      <x:c r="C1168" s="34" t="str">
        <x:v>M4 — اجرا، دانشگاه، صنعت و پروژه‌های اجتماعی</x:v>
      </x:c>
      <x:c r="D1168" s="34" t="str">
        <x:v>H11</x:v>
      </x:c>
      <x:c r="E1168" s="34" t="str">
        <x:v>دانشگاه؛ صنفی، رفاهی، اجرایی و رسانه‌ای</x:v>
      </x:c>
      <x:c r="F1168" s="34" t="str">
        <x:v>DELEGATE/P2</x:v>
      </x:c>
      <x:c r="G1168" s="34" t="str">
        <x:v>هدف/موضوع</x:v>
      </x:c>
      <x:c r="H1168" s="39" t="str">
        <x:v>یونیت ارایشگاه</x:v>
      </x:c>
      <x:c r="I1168" s="39" t="str">
        <x:v>پورتفو؛ واگذاری اجرا و تمرکز بر راهبری</x:v>
      </x:c>
      <x:c r="J1168" s="39" t="str">
        <x:v>PMO/عملیات + روابط عمومی</x:v>
      </x:c>
      <x:c r="K1168" s="39" t="str"/>
      <x:c r="L1168" s="39" t="str">
        <x:v>AP:P739</x:v>
      </x:c>
      <x:c r="M1168" s="39" t="str"/>
      <x:c r="N1168" s="39" t="str">
        <x:v>نسخه پایه ۳۱۵۰</x:v>
      </x:c>
    </x:row>
    <x:row r="1169" ht="34" customHeight="1">
      <x:c r="A1169" s="34" t="str">
        <x:v>☐</x:v>
      </x:c>
      <x:c r="B1169" s="34" t="str">
        <x:v>MI-0922</x:v>
      </x:c>
      <x:c r="C1169" s="34" t="str">
        <x:v>M4 — اجرا، دانشگاه، صنعت و پروژه‌های اجتماعی</x:v>
      </x:c>
      <x:c r="D1169" s="34" t="str">
        <x:v>H11</x:v>
      </x:c>
      <x:c r="E1169" s="34" t="str">
        <x:v>دانشگاه؛ صنفی، رفاهی، اجرایی و رسانه‌ای</x:v>
      </x:c>
      <x:c r="F1169" s="34" t="str">
        <x:v>DELEGATE/P2</x:v>
      </x:c>
      <x:c r="G1169" s="34" t="str">
        <x:v>هدف/موضوع</x:v>
      </x:c>
      <x:c r="H1169" s="39" t="str">
        <x:v>دستگیره حمام بلوک 3 طبقه 2 راهرو راست وسطی</x:v>
      </x:c>
      <x:c r="I1169" s="39" t="str">
        <x:v>پورتفو؛ واگذاری اجرا و تمرکز بر راهبری</x:v>
      </x:c>
      <x:c r="J1169" s="39" t="str">
        <x:v>PMO/عملیات + روابط عمومی</x:v>
      </x:c>
      <x:c r="K1169" s="39" t="str"/>
      <x:c r="L1169" s="39" t="str">
        <x:v>AP:P741</x:v>
      </x:c>
      <x:c r="M1169" s="39" t="str"/>
      <x:c r="N1169" s="39" t="str">
        <x:v>نسخه پایه ۳۱۵۰</x:v>
      </x:c>
    </x:row>
    <x:row r="1170" ht="34" customHeight="1">
      <x:c r="A1170" s="34" t="str">
        <x:v>☐</x:v>
      </x:c>
      <x:c r="B1170" s="34" t="str">
        <x:v>MI-0923</x:v>
      </x:c>
      <x:c r="C1170" s="34" t="str">
        <x:v>M4 — اجرا، دانشگاه، صنعت و پروژه‌های اجتماعی</x:v>
      </x:c>
      <x:c r="D1170" s="34" t="str">
        <x:v>H11</x:v>
      </x:c>
      <x:c r="E1170" s="34" t="str">
        <x:v>دانشگاه؛ صنفی، رفاهی، اجرایی و رسانه‌ای</x:v>
      </x:c>
      <x:c r="F1170" s="34" t="str">
        <x:v>DELEGATE/P2</x:v>
      </x:c>
      <x:c r="G1170" s="34" t="str">
        <x:v>هدف/موضوع</x:v>
      </x:c>
      <x:c r="H1170" s="39" t="str">
        <x:v>اسپری فوم لا درز لوله ها</x:v>
      </x:c>
      <x:c r="I1170" s="39" t="str">
        <x:v>پورتفو؛ واگذاری اجرا و تمرکز بر راهبری</x:v>
      </x:c>
      <x:c r="J1170" s="39" t="str">
        <x:v>PMO/عملیات + روابط عمومی</x:v>
      </x:c>
      <x:c r="K1170" s="39" t="str"/>
      <x:c r="L1170" s="39" t="str">
        <x:v>AP:P743</x:v>
      </x:c>
      <x:c r="M1170" s="39" t="str"/>
      <x:c r="N1170" s="39" t="str">
        <x:v>نسخه پایه ۳۱۵۰</x:v>
      </x:c>
    </x:row>
    <x:row r="1171" ht="34" customHeight="1">
      <x:c r="A1171" s="34" t="str">
        <x:v>☐</x:v>
      </x:c>
      <x:c r="B1171" s="34" t="str">
        <x:v>MI-0924</x:v>
      </x:c>
      <x:c r="C1171" s="34" t="str">
        <x:v>M4 — اجرا، دانشگاه، صنعت و پروژه‌های اجتماعی</x:v>
      </x:c>
      <x:c r="D1171" s="34" t="str">
        <x:v>H11</x:v>
      </x:c>
      <x:c r="E1171" s="34" t="str">
        <x:v>دانشگاه؛ صنفی، رفاهی، اجرایی و رسانه‌ای</x:v>
      </x:c>
      <x:c r="F1171" s="34" t="str">
        <x:v>DELEGATE/P2</x:v>
      </x:c>
      <x:c r="G1171" s="34" t="str">
        <x:v>هدف/موضوع</x:v>
      </x:c>
      <x:c r="H1171" s="39" t="str">
        <x:v>نشست با مدیر و رییس اداره خوابگاه ها</x:v>
      </x:c>
      <x:c r="I1171" s="39" t="str">
        <x:v>پورتفو؛ واگذاری اجرا و تمرکز بر راهبری</x:v>
      </x:c>
      <x:c r="J1171" s="39" t="str">
        <x:v>PMO/عملیات + روابط عمومی</x:v>
      </x:c>
      <x:c r="K1171" s="39" t="str"/>
      <x:c r="L1171" s="39" t="str">
        <x:v>AP:P744</x:v>
      </x:c>
      <x:c r="M1171" s="39" t="str"/>
      <x:c r="N1171" s="39" t="str">
        <x:v>نسخه پایه ۳۱۵۰</x:v>
      </x:c>
    </x:row>
    <x:row r="1172" ht="34" customHeight="1">
      <x:c r="A1172" s="34" t="str">
        <x:v>☐</x:v>
      </x:c>
      <x:c r="B1172" s="34" t="str">
        <x:v>MI-0926</x:v>
      </x:c>
      <x:c r="C1172" s="34" t="str">
        <x:v>M4 — اجرا، دانشگاه، صنعت و پروژه‌های اجتماعی</x:v>
      </x:c>
      <x:c r="D1172" s="34" t="str">
        <x:v>H11</x:v>
      </x:c>
      <x:c r="E1172" s="34" t="str">
        <x:v>دانشگاه؛ صنفی، رفاهی، اجرایی و رسانه‌ای</x:v>
      </x:c>
      <x:c r="F1172" s="34" t="str">
        <x:v>DELEGATE/P2</x:v>
      </x:c>
      <x:c r="G1172" s="34" t="str">
        <x:v>هدف/موضوع</x:v>
      </x:c>
      <x:c r="H1172" s="39" t="str">
        <x:v>تجهیز حمام ها به سطل زباله آینه رخت آویز جا صابونی</x:v>
      </x:c>
      <x:c r="I1172" s="39" t="str">
        <x:v>پورتفو؛ واگذاری اجرا و تمرکز بر راهبری</x:v>
      </x:c>
      <x:c r="J1172" s="39" t="str">
        <x:v>PMO/عملیات + روابط عمومی</x:v>
      </x:c>
      <x:c r="K1172" s="39" t="str"/>
      <x:c r="L1172" s="39" t="str">
        <x:v>AP:P746</x:v>
      </x:c>
      <x:c r="M1172" s="39" t="str"/>
      <x:c r="N1172" s="39" t="str">
        <x:v>نسخه پایه ۳۱۵۰</x:v>
      </x:c>
    </x:row>
    <x:row r="1173" ht="34" customHeight="1">
      <x:c r="A1173" s="34" t="str">
        <x:v>☐</x:v>
      </x:c>
      <x:c r="B1173" s="34" t="str">
        <x:v>MI-0927</x:v>
      </x:c>
      <x:c r="C1173" s="34" t="str">
        <x:v>M4 — اجرا، دانشگاه، صنعت و پروژه‌های اجتماعی</x:v>
      </x:c>
      <x:c r="D1173" s="34" t="str">
        <x:v>H11</x:v>
      </x:c>
      <x:c r="E1173" s="34" t="str">
        <x:v>دانشگاه؛ صنفی، رفاهی، اجرایی و رسانه‌ای</x:v>
      </x:c>
      <x:c r="F1173" s="34" t="str">
        <x:v>DELEGATE/P2</x:v>
      </x:c>
      <x:c r="G1173" s="34" t="str">
        <x:v>هدف/موضوع</x:v>
      </x:c>
      <x:c r="H1173" s="39" t="str">
        <x:v>6. هزینه های خوابگاه ها بدون شفافیت افزایش یافته؛ معیار مشخصی برای «درجه اتاق ها» وجود ندا</x:v>
      </x:c>
      <x:c r="I1173" s="39" t="str">
        <x:v>پورتفو؛ واگذاری اجرا و تمرکز بر راهبری</x:v>
      </x:c>
      <x:c r="J1173" s="39" t="str">
        <x:v>PMO/عملیات + روابط عمومی</x:v>
      </x:c>
      <x:c r="K1173" s="39" t="str"/>
      <x:c r="L1173" s="39" t="str">
        <x:v>AP:P747</x:v>
      </x:c>
      <x:c r="M1173" s="39" t="str"/>
      <x:c r="N1173" s="39" t="str">
        <x:v>نسخه پایه ۳۱۵۰</x:v>
      </x:c>
    </x:row>
    <x:row r="1174" ht="34" customHeight="1">
      <x:c r="A1174" s="34" t="str">
        <x:v>☐</x:v>
      </x:c>
      <x:c r="B1174" s="34" t="str">
        <x:v>MI-0928</x:v>
      </x:c>
      <x:c r="C1174" s="34" t="str">
        <x:v>M4 — اجرا، دانشگاه، صنعت و پروژه‌های اجتماعی</x:v>
      </x:c>
      <x:c r="D1174" s="34" t="str">
        <x:v>H11</x:v>
      </x:c>
      <x:c r="E1174" s="34" t="str">
        <x:v>دانشگاه؛ صنفی، رفاهی، اجرایی و رسانه‌ای</x:v>
      </x:c>
      <x:c r="F1174" s="34" t="str">
        <x:v>DELEGATE/P2</x:v>
      </x:c>
      <x:c r="G1174" s="34" t="str">
        <x:v>هدف/موضوع</x:v>
      </x:c>
      <x:c r="H1174" s="39" t="str">
        <x:v>نشست شورای صنفی با ریاست محترم دانشگاه</x:v>
      </x:c>
      <x:c r="I1174" s="39" t="str">
        <x:v>پورتفو؛ واگذاری اجرا و تمرکز بر راهبری</x:v>
      </x:c>
      <x:c r="J1174" s="39" t="str">
        <x:v>PMO/عملیات + روابط عمومی</x:v>
      </x:c>
      <x:c r="K1174" s="39" t="str"/>
      <x:c r="L1174" s="39" t="str">
        <x:v>AP:P748</x:v>
      </x:c>
      <x:c r="M1174" s="39" t="str"/>
      <x:c r="N1174" s="39" t="str">
        <x:v>نسخه پایه ۳۱۵۰</x:v>
      </x:c>
    </x:row>
    <x:row r="1175" ht="34" customHeight="1">
      <x:c r="A1175" s="34" t="str">
        <x:v>☐</x:v>
      </x:c>
      <x:c r="B1175" s="34" t="str">
        <x:v>MI-0929</x:v>
      </x:c>
      <x:c r="C1175" s="34" t="str">
        <x:v>M4 — اجرا، دانشگاه، صنعت و پروژه‌های اجتماعی</x:v>
      </x:c>
      <x:c r="D1175" s="34" t="str">
        <x:v>H11</x:v>
      </x:c>
      <x:c r="E1175" s="34" t="str">
        <x:v>دانشگاه؛ صنفی، رفاهی، اجرایی و رسانه‌ای</x:v>
      </x:c>
      <x:c r="F1175" s="34" t="str">
        <x:v>DELEGATE/P2</x:v>
      </x:c>
      <x:c r="G1175" s="34" t="str">
        <x:v>هدف/موضوع</x:v>
      </x:c>
      <x:c r="H1175" s="39" t="str">
        <x:v>بازدید میدانی از آزمایشگاه ها ، کارگاه ها، کلاس های دانشکده ها، خیام ، مکانیک ، سلف، خوابگاه ها چه پسرانه و چه دخترانه ، حتی ریحانه و کوثر</x:v>
      </x:c>
      <x:c r="I1175" s="39" t="str">
        <x:v>پورتفو؛ واگذاری اجرا و تمرکز بر راهبری</x:v>
      </x:c>
      <x:c r="J1175" s="39" t="str">
        <x:v>PMO/عملیات + روابط عمومی</x:v>
      </x:c>
      <x:c r="K1175" s="39" t="str"/>
      <x:c r="L1175" s="39" t="str">
        <x:v>AP:P749</x:v>
      </x:c>
      <x:c r="M1175" s="39" t="str"/>
      <x:c r="N1175" s="39" t="str">
        <x:v>نسخه پایه ۳۱۵۰</x:v>
      </x:c>
    </x:row>
    <x:row r="1176" ht="34" customHeight="1">
      <x:c r="A1176" s="34" t="str">
        <x:v>☐</x:v>
      </x:c>
      <x:c r="B1176" s="34" t="str">
        <x:v>MI-0930</x:v>
      </x:c>
      <x:c r="C1176" s="34" t="str">
        <x:v>M4 — اجرا، دانشگاه، صنعت و پروژه‌های اجتماعی</x:v>
      </x:c>
      <x:c r="D1176" s="34" t="str">
        <x:v>H11</x:v>
      </x:c>
      <x:c r="E1176" s="34" t="str">
        <x:v>دانشگاه؛ صنفی، رفاهی، اجرایی و رسانه‌ای</x:v>
      </x:c>
      <x:c r="F1176" s="34" t="str">
        <x:v>DELEGATE/P2</x:v>
      </x:c>
      <x:c r="G1176" s="34" t="str">
        <x:v>هدف/موضوع</x:v>
      </x:c>
      <x:c r="H1176" s="39" t="str">
        <x:v>25. نبود نظام اولویت بندی تعمیرات و خرید تجهیزات منجر به فرسودگی فضاهای دانشگاهی شده است</x:v>
      </x:c>
      <x:c r="I1176" s="39" t="str">
        <x:v>پورتفو؛ واگذاری اجرا و تمرکز بر راهبری</x:v>
      </x:c>
      <x:c r="J1176" s="39" t="str">
        <x:v>PMO/عملیات + روابط عمومی</x:v>
      </x:c>
      <x:c r="K1176" s="39" t="str"/>
      <x:c r="L1176" s="39" t="str">
        <x:v>AP:P750</x:v>
      </x:c>
      <x:c r="M1176" s="39" t="str"/>
      <x:c r="N1176" s="39" t="str">
        <x:v>نسخه پایه ۳۱۵۰</x:v>
      </x:c>
    </x:row>
    <x:row r="1177" ht="34" customHeight="1">
      <x:c r="A1177" s="34" t="str">
        <x:v>☐</x:v>
      </x:c>
      <x:c r="B1177" s="34" t="str">
        <x:v>MI-0931</x:v>
      </x:c>
      <x:c r="C1177" s="34" t="str">
        <x:v>M4 — اجرا، دانشگاه، صنعت و پروژه‌های اجتماعی</x:v>
      </x:c>
      <x:c r="D1177" s="34" t="str">
        <x:v>H11</x:v>
      </x:c>
      <x:c r="E1177" s="34" t="str">
        <x:v>دانشگاه؛ صنفی، رفاهی، اجرایی و رسانه‌ای</x:v>
      </x:c>
      <x:c r="F1177" s="34" t="str">
        <x:v>DELEGATE/P2</x:v>
      </x:c>
      <x:c r="G1177" s="34" t="str">
        <x:v>هدف/موضوع</x:v>
      </x:c>
      <x:c r="H1177" s="39" t="str">
        <x:v>33. پیش بینی مشوق ها و امکانات رفاهی برای اعضای شورای صنفی جهت ترغیب استمرار فعالیت دانشجوی</x:v>
      </x:c>
      <x:c r="I1177" s="39" t="str">
        <x:v>پورتفو؛ واگذاری اجرا و تمرکز بر راهبری</x:v>
      </x:c>
      <x:c r="J1177" s="39" t="str">
        <x:v>PMO/عملیات + روابط عمومی</x:v>
      </x:c>
      <x:c r="K1177" s="39" t="str"/>
      <x:c r="L1177" s="39" t="str">
        <x:v>AP:P751</x:v>
      </x:c>
      <x:c r="M1177" s="39" t="str"/>
      <x:c r="N1177" s="39" t="str">
        <x:v>نسخه پایه ۳۱۵۰</x:v>
      </x:c>
    </x:row>
    <x:row r="1178" ht="34" customHeight="1">
      <x:c r="A1178" s="34" t="str">
        <x:v>☐</x:v>
      </x:c>
      <x:c r="B1178" s="34" t="str">
        <x:v>MI-0932</x:v>
      </x:c>
      <x:c r="C1178" s="34" t="str">
        <x:v>M4 — اجرا، دانشگاه، صنعت و پروژه‌های اجتماعی</x:v>
      </x:c>
      <x:c r="D1178" s="34" t="str">
        <x:v>H11</x:v>
      </x:c>
      <x:c r="E1178" s="34" t="str">
        <x:v>دانشگاه؛ صنفی، رفاهی، اجرایی و رسانه‌ای</x:v>
      </x:c>
      <x:c r="F1178" s="34" t="str">
        <x:v>DELEGATE/P2</x:v>
      </x:c>
      <x:c r="G1178" s="34" t="str">
        <x:v>هدف/موضوع</x:v>
      </x:c>
      <x:c r="H1178" s="39" t="str">
        <x:v>17. اجاره اماکن دانشگاهی (مانند مرکز دندان پزشکی) با مبالغی بسیار کمتر از ارزش واقعی انجام می شو</x:v>
      </x:c>
      <x:c r="I1178" s="39" t="str">
        <x:v>پورتفو؛ واگذاری اجرا و تمرکز بر راهبری</x:v>
      </x:c>
      <x:c r="J1178" s="39" t="str">
        <x:v>PMO/عملیات + روابط عمومی</x:v>
      </x:c>
      <x:c r="K1178" s="39" t="str"/>
      <x:c r="L1178" s="39" t="str">
        <x:v>AP:P752</x:v>
      </x:c>
      <x:c r="M1178" s="39" t="str"/>
      <x:c r="N1178" s="39" t="str">
        <x:v>نسخه پایه ۳۱۵۰</x:v>
      </x:c>
    </x:row>
    <x:row r="1179" ht="34" customHeight="1">
      <x:c r="A1179" s="34" t="str">
        <x:v>☐</x:v>
      </x:c>
      <x:c r="B1179" s="34" t="str">
        <x:v>MI-0933</x:v>
      </x:c>
      <x:c r="C1179" s="34" t="str">
        <x:v>M4 — اجرا، دانشگاه، صنعت و پروژه‌های اجتماعی</x:v>
      </x:c>
      <x:c r="D1179" s="34" t="str">
        <x:v>H11</x:v>
      </x:c>
      <x:c r="E1179" s="34" t="str">
        <x:v>دانشگاه؛ صنفی، رفاهی، اجرایی و رسانه‌ای</x:v>
      </x:c>
      <x:c r="F1179" s="34" t="str">
        <x:v>DELEGATE/P2</x:v>
      </x:c>
      <x:c r="G1179" s="34" t="str">
        <x:v>هدف/موضوع</x:v>
      </x:c>
      <x:c r="H1179" s="39" t="str">
        <x:v>ضبظ مکالمات دانشگاهیان مبنی بر اینکه چرا تماس تلفنی دانشجویان پاسخ داده نمیشه.</x:v>
      </x:c>
      <x:c r="I1179" s="39" t="str">
        <x:v>پورتفو؛ واگذاری اجرا و تمرکز بر راهبری</x:v>
      </x:c>
      <x:c r="J1179" s="39" t="str">
        <x:v>PMO/عملیات + روابط عمومی</x:v>
      </x:c>
      <x:c r="K1179" s="39" t="str"/>
      <x:c r="L1179" s="39" t="str">
        <x:v>AP:P753</x:v>
      </x:c>
      <x:c r="M1179" s="39" t="str"/>
      <x:c r="N1179" s="39" t="str">
        <x:v>نسخه پایه ۳۱۵۰</x:v>
      </x:c>
    </x:row>
    <x:row r="1180" ht="34" customHeight="1">
      <x:c r="A1180" s="34" t="str">
        <x:v>☐</x:v>
      </x:c>
      <x:c r="B1180" s="34" t="str">
        <x:v>MI-0934</x:v>
      </x:c>
      <x:c r="C1180" s="34" t="str">
        <x:v>M4 — اجرا، دانشگاه، صنعت و پروژه‌های اجتماعی</x:v>
      </x:c>
      <x:c r="D1180" s="34" t="str">
        <x:v>H11</x:v>
      </x:c>
      <x:c r="E1180" s="34" t="str">
        <x:v>دانشگاه؛ صنفی، رفاهی، اجرایی و رسانه‌ای</x:v>
      </x:c>
      <x:c r="F1180" s="34" t="str">
        <x:v>DELEGATE/P2</x:v>
      </x:c>
      <x:c r="G1180" s="34" t="str">
        <x:v>هدف/موضوع</x:v>
      </x:c>
      <x:c r="H1180" s="39" t="str">
        <x:v>دانشگاه به جای کرایه از بوفه دانشگاه و خوابگاه ، تخفیف روی اجناس بزاره</x:v>
      </x:c>
      <x:c r="I1180" s="39" t="str">
        <x:v>پورتفو؛ واگذاری اجرا و تمرکز بر راهبری</x:v>
      </x:c>
      <x:c r="J1180" s="39" t="str">
        <x:v>PMO/عملیات + روابط عمومی</x:v>
      </x:c>
      <x:c r="K1180" s="39" t="str"/>
      <x:c r="L1180" s="39" t="str">
        <x:v>AP:P754؛ AP:P783</x:v>
      </x:c>
      <x:c r="M1180" s="39" t="str"/>
      <x:c r="N1180" s="39" t="str">
        <x:v>نسخه پایه ۳۱۵۰</x:v>
      </x:c>
    </x:row>
    <x:row r="1181" ht="34" customHeight="1">
      <x:c r="A1181" s="34" t="str">
        <x:v>☐</x:v>
      </x:c>
      <x:c r="B1181" s="34" t="str">
        <x:v>MI-0937</x:v>
      </x:c>
      <x:c r="C1181" s="34" t="str">
        <x:v>M4 — اجرا، دانشگاه، صنعت و پروژه‌های اجتماعی</x:v>
      </x:c>
      <x:c r="D1181" s="34" t="str">
        <x:v>H11</x:v>
      </x:c>
      <x:c r="E1181" s="34" t="str">
        <x:v>دانشگاه؛ صنفی، رفاهی، اجرایی و رسانه‌ای</x:v>
      </x:c>
      <x:c r="F1181" s="34" t="str">
        <x:v>DELEGATE/P2</x:v>
      </x:c>
      <x:c r="G1181" s="34" t="str">
        <x:v>هدف/موضوع</x:v>
      </x:c>
      <x:c r="H1181" s="39" t="str">
        <x:v>تریبون آزاد صنفی و نشست پرسش و پاسخ دانشجو از هییت رییسه</x:v>
      </x:c>
      <x:c r="I1181" s="39" t="str">
        <x:v>پورتفو؛ واگذاری اجرا و تمرکز بر راهبری</x:v>
      </x:c>
      <x:c r="J1181" s="39" t="str">
        <x:v>PMO/عملیات + روابط عمومی</x:v>
      </x:c>
      <x:c r="K1181" s="39" t="str"/>
      <x:c r="L1181" s="39" t="str">
        <x:v>AP:P757</x:v>
      </x:c>
      <x:c r="M1181" s="39" t="str"/>
      <x:c r="N1181" s="39" t="str">
        <x:v>نسخه پایه ۳۱۵۰</x:v>
      </x:c>
    </x:row>
    <x:row r="1182" ht="34" customHeight="1">
      <x:c r="A1182" s="34" t="str">
        <x:v>☐</x:v>
      </x:c>
      <x:c r="B1182" s="34" t="str">
        <x:v>MI-0940</x:v>
      </x:c>
      <x:c r="C1182" s="34" t="str">
        <x:v>M4 — اجرا، دانشگاه، صنعت و پروژه‌های اجتماعی</x:v>
      </x:c>
      <x:c r="D1182" s="34" t="str">
        <x:v>H11</x:v>
      </x:c>
      <x:c r="E1182" s="34" t="str">
        <x:v>دانشگاه؛ صنفی، رفاهی، اجرایی و رسانه‌ای</x:v>
      </x:c>
      <x:c r="F1182" s="34" t="str">
        <x:v>DELEGATE/P2</x:v>
      </x:c>
      <x:c r="G1182" s="34" t="str">
        <x:v>هدف/موضوع</x:v>
      </x:c>
      <x:c r="H1182" s="39" t="str">
        <x:v>امور فارغ التحصیلی</x:v>
      </x:c>
      <x:c r="I1182" s="39" t="str">
        <x:v>پورتفو؛ واگذاری اجرا و تمرکز بر راهبری</x:v>
      </x:c>
      <x:c r="J1182" s="39" t="str">
        <x:v>PMO/عملیات + روابط عمومی</x:v>
      </x:c>
      <x:c r="K1182" s="39" t="str"/>
      <x:c r="L1182" s="39" t="str">
        <x:v>AP:P762</x:v>
      </x:c>
      <x:c r="M1182" s="39" t="str"/>
      <x:c r="N1182" s="39" t="str">
        <x:v>نسخه پایه ۳۱۵۰</x:v>
      </x:c>
    </x:row>
    <x:row r="1183" ht="34" customHeight="1">
      <x:c r="A1183" s="34" t="str">
        <x:v>☐</x:v>
      </x:c>
      <x:c r="B1183" s="34" t="str">
        <x:v>MI-0942</x:v>
      </x:c>
      <x:c r="C1183" s="34" t="str">
        <x:v>M4 — اجرا، دانشگاه، صنعت و پروژه‌های اجتماعی</x:v>
      </x:c>
      <x:c r="D1183" s="34" t="str">
        <x:v>H11</x:v>
      </x:c>
      <x:c r="E1183" s="34" t="str">
        <x:v>دانشگاه؛ صنفی، رفاهی، اجرایی و رسانه‌ای</x:v>
      </x:c>
      <x:c r="F1183" s="34" t="str">
        <x:v>DELEGATE/P2</x:v>
      </x:c>
      <x:c r="G1183" s="34" t="str">
        <x:v>هدف/موضوع</x:v>
      </x:c>
      <x:c r="H1183" s="39" t="str">
        <x:v>امور رفاهی</x:v>
      </x:c>
      <x:c r="I1183" s="39" t="str">
        <x:v>پورتفو؛ واگذاری اجرا و تمرکز بر راهبری</x:v>
      </x:c>
      <x:c r="J1183" s="39" t="str">
        <x:v>PMO/عملیات + روابط عمومی</x:v>
      </x:c>
      <x:c r="K1183" s="39" t="str"/>
      <x:c r="L1183" s="39" t="str">
        <x:v>AP:P764</x:v>
      </x:c>
      <x:c r="M1183" s="39" t="str"/>
      <x:c r="N1183" s="39" t="str">
        <x:v>نسخه پایه ۳۱۵۰</x:v>
      </x:c>
    </x:row>
    <x:row r="1184" ht="34" customHeight="1">
      <x:c r="A1184" s="34" t="str">
        <x:v>☐</x:v>
      </x:c>
      <x:c r="B1184" s="34" t="str">
        <x:v>MI-0943</x:v>
      </x:c>
      <x:c r="C1184" s="34" t="str">
        <x:v>M4 — اجرا، دانشگاه، صنعت و پروژه‌های اجتماعی</x:v>
      </x:c>
      <x:c r="D1184" s="34" t="str">
        <x:v>H11</x:v>
      </x:c>
      <x:c r="E1184" s="34" t="str">
        <x:v>دانشگاه؛ صنفی، رفاهی، اجرایی و رسانه‌ای</x:v>
      </x:c>
      <x:c r="F1184" s="34" t="str">
        <x:v>DELEGATE/P2</x:v>
      </x:c>
      <x:c r="G1184" s="34" t="str">
        <x:v>هدف/موضوع</x:v>
      </x:c>
      <x:c r="H1184" s="39" t="str">
        <x:v>زمین ساحلی</x:v>
      </x:c>
      <x:c r="I1184" s="39" t="str">
        <x:v>پورتفو؛ واگذاری اجرا و تمرکز بر راهبری</x:v>
      </x:c>
      <x:c r="J1184" s="39" t="str">
        <x:v>PMO/عملیات + روابط عمومی</x:v>
      </x:c>
      <x:c r="K1184" s="39" t="str"/>
      <x:c r="L1184" s="39" t="str">
        <x:v>AP:P765؛ AP:P874</x:v>
      </x:c>
      <x:c r="M1184" s="39" t="str"/>
      <x:c r="N1184" s="39" t="str">
        <x:v>نسخه پایه ۳۱۵۰</x:v>
      </x:c>
    </x:row>
    <x:row r="1185" ht="34" customHeight="1">
      <x:c r="A1185" s="34" t="str">
        <x:v>☐</x:v>
      </x:c>
      <x:c r="B1185" s="34" t="str">
        <x:v>MI-0944</x:v>
      </x:c>
      <x:c r="C1185" s="34" t="str">
        <x:v>M4 — اجرا، دانشگاه، صنعت و پروژه‌های اجتماعی</x:v>
      </x:c>
      <x:c r="D1185" s="34" t="str">
        <x:v>H11</x:v>
      </x:c>
      <x:c r="E1185" s="34" t="str">
        <x:v>دانشگاه؛ صنفی، رفاهی، اجرایی و رسانه‌ای</x:v>
      </x:c>
      <x:c r="F1185" s="34" t="str">
        <x:v>DELEGATE/P2</x:v>
      </x:c>
      <x:c r="G1185" s="34" t="str">
        <x:v>هدف/موضوع</x:v>
      </x:c>
      <x:c r="H1185" s="39" t="str">
        <x:v>اتاق ببازی</x:v>
      </x:c>
      <x:c r="I1185" s="39" t="str">
        <x:v>پورتفو؛ واگذاری اجرا و تمرکز بر راهبری</x:v>
      </x:c>
      <x:c r="J1185" s="39" t="str">
        <x:v>PMO/عملیات + روابط عمومی</x:v>
      </x:c>
      <x:c r="K1185" s="39" t="str"/>
      <x:c r="L1185" s="39" t="str">
        <x:v>AP:P766</x:v>
      </x:c>
      <x:c r="M1185" s="39" t="str"/>
      <x:c r="N1185" s="39" t="str">
        <x:v>نسخه پایه ۳۱۵۰</x:v>
      </x:c>
    </x:row>
    <x:row r="1186" ht="34" customHeight="1">
      <x:c r="A1186" s="34" t="str">
        <x:v>☐</x:v>
      </x:c>
      <x:c r="B1186" s="34" t="str">
        <x:v>MI-0945</x:v>
      </x:c>
      <x:c r="C1186" s="34" t="str">
        <x:v>M4 — اجرا، دانشگاه، صنعت و پروژه‌های اجتماعی</x:v>
      </x:c>
      <x:c r="D1186" s="34" t="str">
        <x:v>H11</x:v>
      </x:c>
      <x:c r="E1186" s="34" t="str">
        <x:v>دانشگاه؛ صنفی، رفاهی، اجرایی و رسانه‌ای</x:v>
      </x:c>
      <x:c r="F1186" s="34" t="str">
        <x:v>DELEGATE/P2</x:v>
      </x:c>
      <x:c r="G1186" s="34" t="str">
        <x:v>هدف/موضوع</x:v>
      </x:c>
      <x:c r="H1186" s="39" t="str">
        <x:v>نظافت 5 شنبه و جمعه</x:v>
      </x:c>
      <x:c r="I1186" s="39" t="str">
        <x:v>پورتفو؛ واگذاری اجرا و تمرکز بر راهبری</x:v>
      </x:c>
      <x:c r="J1186" s="39" t="str">
        <x:v>PMO/عملیات + روابط عمومی</x:v>
      </x:c>
      <x:c r="K1186" s="39" t="str"/>
      <x:c r="L1186" s="39" t="str">
        <x:v>AP:P767</x:v>
      </x:c>
      <x:c r="M1186" s="39" t="str"/>
      <x:c r="N1186" s="39" t="str">
        <x:v>نسخه پایه ۳۱۵۰</x:v>
      </x:c>
    </x:row>
    <x:row r="1187" ht="34" customHeight="1">
      <x:c r="A1187" s="34" t="str">
        <x:v>☐</x:v>
      </x:c>
      <x:c r="B1187" s="34" t="str">
        <x:v>MI-0946</x:v>
      </x:c>
      <x:c r="C1187" s="34" t="str">
        <x:v>M4 — اجرا، دانشگاه، صنعت و پروژه‌های اجتماعی</x:v>
      </x:c>
      <x:c r="D1187" s="34" t="str">
        <x:v>H11</x:v>
      </x:c>
      <x:c r="E1187" s="34" t="str">
        <x:v>دانشگاه؛ صنفی، رفاهی، اجرایی و رسانه‌ای</x:v>
      </x:c>
      <x:c r="F1187" s="34" t="str">
        <x:v>DELEGATE/P2</x:v>
      </x:c>
      <x:c r="G1187" s="34" t="str">
        <x:v>هدف/موضوع</x:v>
      </x:c>
      <x:c r="H1187" s="39" t="str">
        <x:v>نظافت پیمانکاری</x:v>
      </x:c>
      <x:c r="I1187" s="39" t="str">
        <x:v>پورتفو؛ واگذاری اجرا و تمرکز بر راهبری</x:v>
      </x:c>
      <x:c r="J1187" s="39" t="str">
        <x:v>PMO/عملیات + روابط عمومی</x:v>
      </x:c>
      <x:c r="K1187" s="39" t="str"/>
      <x:c r="L1187" s="39" t="str">
        <x:v>AP:P768</x:v>
      </x:c>
      <x:c r="M1187" s="39" t="str"/>
      <x:c r="N1187" s="39" t="str">
        <x:v>نسخه پایه ۳۱۵۰</x:v>
      </x:c>
    </x:row>
    <x:row r="1188" ht="34" customHeight="1">
      <x:c r="A1188" s="34" t="str">
        <x:v>☐</x:v>
      </x:c>
      <x:c r="B1188" s="34" t="str">
        <x:v>MI-0948</x:v>
      </x:c>
      <x:c r="C1188" s="34" t="str">
        <x:v>M4 — اجرا، دانشگاه، صنعت و پروژه‌های اجتماعی</x:v>
      </x:c>
      <x:c r="D1188" s="34" t="str">
        <x:v>H11</x:v>
      </x:c>
      <x:c r="E1188" s="34" t="str">
        <x:v>دانشگاه؛ صنفی، رفاهی، اجرایی و رسانه‌ای</x:v>
      </x:c>
      <x:c r="F1188" s="34" t="str">
        <x:v>DELEGATE/P2</x:v>
      </x:c>
      <x:c r="G1188" s="34" t="str">
        <x:v>هدف/موضوع</x:v>
      </x:c>
      <x:c r="H1188" s="39" t="str">
        <x:v>ترابری بومی ها</x:v>
      </x:c>
      <x:c r="I1188" s="39" t="str">
        <x:v>پورتفو؛ واگذاری اجرا و تمرکز بر راهبری</x:v>
      </x:c>
      <x:c r="J1188" s="39" t="str">
        <x:v>PMO/عملیات + روابط عمومی</x:v>
      </x:c>
      <x:c r="K1188" s="39" t="str"/>
      <x:c r="L1188" s="39" t="str">
        <x:v>AP:P770</x:v>
      </x:c>
      <x:c r="M1188" s="39" t="str"/>
      <x:c r="N1188" s="39" t="str">
        <x:v>نسخه پایه ۳۱۵۰</x:v>
      </x:c>
    </x:row>
    <x:row r="1189" ht="34" customHeight="1">
      <x:c r="A1189" s="34" t="str">
        <x:v>☐</x:v>
      </x:c>
      <x:c r="B1189" s="34" t="str">
        <x:v>MI-0950</x:v>
      </x:c>
      <x:c r="C1189" s="34" t="str">
        <x:v>M4 — اجرا، دانشگاه، صنعت و پروژه‌های اجتماعی</x:v>
      </x:c>
      <x:c r="D1189" s="34" t="str">
        <x:v>H11</x:v>
      </x:c>
      <x:c r="E1189" s="34" t="str">
        <x:v>دانشگاه؛ صنفی، رفاهی، اجرایی و رسانه‌ای</x:v>
      </x:c>
      <x:c r="F1189" s="34" t="str">
        <x:v>DELEGATE/P2</x:v>
      </x:c>
      <x:c r="G1189" s="34" t="str">
        <x:v>هدف/موضوع</x:v>
      </x:c>
      <x:c r="H1189" s="39" t="str">
        <x:v>سرویس ساری جدا سرویس قایمشهر جدا</x:v>
      </x:c>
      <x:c r="I1189" s="39" t="str">
        <x:v>پورتفو؛ واگذاری اجرا و تمرکز بر راهبری</x:v>
      </x:c>
      <x:c r="J1189" s="39" t="str">
        <x:v>PMO/عملیات + روابط عمومی</x:v>
      </x:c>
      <x:c r="K1189" s="39" t="str"/>
      <x:c r="L1189" s="39" t="str">
        <x:v>AP:P772</x:v>
      </x:c>
      <x:c r="M1189" s="39" t="str"/>
      <x:c r="N1189" s="39" t="str">
        <x:v>نسخه پایه ۳۱۵۰</x:v>
      </x:c>
    </x:row>
    <x:row r="1190" ht="34" customHeight="1">
      <x:c r="A1190" s="34" t="str">
        <x:v>☐</x:v>
      </x:c>
      <x:c r="B1190" s="34" t="str">
        <x:v>MI-0953</x:v>
      </x:c>
      <x:c r="C1190" s="34" t="str">
        <x:v>M4 — اجرا، دانشگاه، صنعت و پروژه‌های اجتماعی</x:v>
      </x:c>
      <x:c r="D1190" s="34" t="str">
        <x:v>H11</x:v>
      </x:c>
      <x:c r="E1190" s="34" t="str">
        <x:v>دانشگاه؛ صنفی، رفاهی، اجرایی و رسانه‌ای</x:v>
      </x:c>
      <x:c r="F1190" s="34" t="str">
        <x:v>DELEGATE/P2</x:v>
      </x:c>
      <x:c r="G1190" s="34" t="str">
        <x:v>هدف/موضوع</x:v>
      </x:c>
      <x:c r="H1190" s="39" t="str">
        <x:v>آزمایشگاه ها و کارگاه ها</x:v>
      </x:c>
      <x:c r="I1190" s="39" t="str">
        <x:v>پورتفو؛ واگذاری اجرا و تمرکز بر راهبری</x:v>
      </x:c>
      <x:c r="J1190" s="39" t="str">
        <x:v>PMO/عملیات + روابط عمومی</x:v>
      </x:c>
      <x:c r="K1190" s="39" t="str"/>
      <x:c r="L1190" s="39" t="str">
        <x:v>AP:P775؛ AP:P858</x:v>
      </x:c>
      <x:c r="M1190" s="39" t="str"/>
      <x:c r="N1190" s="39" t="str">
        <x:v>نسخه پایه ۳۱۵۰</x:v>
      </x:c>
    </x:row>
    <x:row r="1191" ht="34" customHeight="1">
      <x:c r="A1191" s="34" t="str">
        <x:v>☐</x:v>
      </x:c>
      <x:c r="B1191" s="34" t="str">
        <x:v>MI-0955</x:v>
      </x:c>
      <x:c r="C1191" s="34" t="str">
        <x:v>M4 — اجرا، دانشگاه، صنعت و پروژه‌های اجتماعی</x:v>
      </x:c>
      <x:c r="D1191" s="34" t="str">
        <x:v>H11</x:v>
      </x:c>
      <x:c r="E1191" s="34" t="str">
        <x:v>دانشگاه؛ صنفی، رفاهی، اجرایی و رسانه‌ای</x:v>
      </x:c>
      <x:c r="F1191" s="34" t="str">
        <x:v>DELEGATE/P2</x:v>
      </x:c>
      <x:c r="G1191" s="34" t="str">
        <x:v>هدف/موضوع</x:v>
      </x:c>
      <x:c r="H1191" s="39" t="str">
        <x:v>ابگرمکن سرویس بهداشتی مسجد دانشگاه</x:v>
      </x:c>
      <x:c r="I1191" s="39" t="str">
        <x:v>پورتفو؛ واگذاری اجرا و تمرکز بر راهبری</x:v>
      </x:c>
      <x:c r="J1191" s="39" t="str">
        <x:v>PMO/عملیات + روابط عمومی</x:v>
      </x:c>
      <x:c r="K1191" s="39" t="str"/>
      <x:c r="L1191" s="39" t="str">
        <x:v>AP:P777؛ AP:P798</x:v>
      </x:c>
      <x:c r="M1191" s="39" t="str"/>
      <x:c r="N1191" s="39" t="str">
        <x:v>نسخه پایه ۳۱۵۰</x:v>
      </x:c>
    </x:row>
    <x:row r="1192" ht="34" customHeight="1">
      <x:c r="A1192" s="34" t="str">
        <x:v>☐</x:v>
      </x:c>
      <x:c r="B1192" s="34" t="str">
        <x:v>MI-0956</x:v>
      </x:c>
      <x:c r="C1192" s="34" t="str">
        <x:v>M4 — اجرا، دانشگاه، صنعت و پروژه‌های اجتماعی</x:v>
      </x:c>
      <x:c r="D1192" s="34" t="str">
        <x:v>H11</x:v>
      </x:c>
      <x:c r="E1192" s="34" t="str">
        <x:v>دانشگاه؛ صنفی، رفاهی، اجرایی و رسانه‌ای</x:v>
      </x:c>
      <x:c r="F1192" s="34" t="str">
        <x:v>DELEGATE/P2</x:v>
      </x:c>
      <x:c r="G1192" s="34" t="str">
        <x:v>هدف/موضوع</x:v>
      </x:c>
      <x:c r="H1192" s="39" t="str">
        <x:v>ارتباط با صنعت دانشگاه را با معاونت پژوهشی جلو ببریم و درخواست از سمت انجمن علمی ها باشه.</x:v>
      </x:c>
      <x:c r="I1192" s="39" t="str">
        <x:v>پورتفو؛ واگذاری اجرا و تمرکز بر راهبری</x:v>
      </x:c>
      <x:c r="J1192" s="39" t="str">
        <x:v>PMO/عملیات + روابط عمومی</x:v>
      </x:c>
      <x:c r="K1192" s="39" t="str"/>
      <x:c r="L1192" s="39" t="str">
        <x:v>AP:P778؛ AP:P889</x:v>
      </x:c>
      <x:c r="M1192" s="39" t="str"/>
      <x:c r="N1192" s="39" t="str">
        <x:v>نسخه پایه ۳۱۵۰</x:v>
      </x:c>
    </x:row>
    <x:row r="1193" ht="34" customHeight="1">
      <x:c r="A1193" s="34" t="str">
        <x:v>☐</x:v>
      </x:c>
      <x:c r="B1193" s="34" t="str">
        <x:v>MI-0958</x:v>
      </x:c>
      <x:c r="C1193" s="34" t="str">
        <x:v>M4 — اجرا، دانشگاه، صنعت و پروژه‌های اجتماعی</x:v>
      </x:c>
      <x:c r="D1193" s="34" t="str">
        <x:v>H11</x:v>
      </x:c>
      <x:c r="E1193" s="34" t="str">
        <x:v>دانشگاه؛ صنفی، رفاهی، اجرایی و رسانه‌ای</x:v>
      </x:c>
      <x:c r="F1193" s="34" t="str">
        <x:v>DELEGATE/P2</x:v>
      </x:c>
      <x:c r="G1193" s="34" t="str">
        <x:v>هدف/موضوع</x:v>
      </x:c>
      <x:c r="H1193" s="39" t="str">
        <x:v>فضاسازی دانشکده ها مثلا گلدان های آویز به دیوار های دانشکده علوم پایه شیمی و صنایع</x:v>
      </x:c>
      <x:c r="I1193" s="39" t="str">
        <x:v>پورتفو؛ واگذاری اجرا و تمرکز بر راهبری</x:v>
      </x:c>
      <x:c r="J1193" s="39" t="str">
        <x:v>PMO/عملیات + روابط عمومی</x:v>
      </x:c>
      <x:c r="K1193" s="39" t="str"/>
      <x:c r="L1193" s="39" t="str">
        <x:v>AP:P780</x:v>
      </x:c>
      <x:c r="M1193" s="39" t="str"/>
      <x:c r="N1193" s="39" t="str">
        <x:v>نسخه پایه ۳۱۵۰</x:v>
      </x:c>
    </x:row>
    <x:row r="1194" ht="34" customHeight="1">
      <x:c r="A1194" s="34" t="str">
        <x:v>☐</x:v>
      </x:c>
      <x:c r="B1194" s="34" t="str">
        <x:v>MI-0959</x:v>
      </x:c>
      <x:c r="C1194" s="34" t="str">
        <x:v>M4 — اجرا، دانشگاه، صنعت و پروژه‌های اجتماعی</x:v>
      </x:c>
      <x:c r="D1194" s="34" t="str">
        <x:v>H11</x:v>
      </x:c>
      <x:c r="E1194" s="34" t="str">
        <x:v>دانشگاه؛ صنفی، رفاهی، اجرایی و رسانه‌ای</x:v>
      </x:c>
      <x:c r="F1194" s="34" t="str">
        <x:v>DELEGATE/P2</x:v>
      </x:c>
      <x:c r="G1194" s="34" t="str">
        <x:v>هدف/موضوع</x:v>
      </x:c>
      <x:c r="H1194" s="39" t="str">
        <x:v>سیستم پیشنهادی مدیریت و ارزیابی از اساتید</x:v>
      </x:c>
      <x:c r="I1194" s="39" t="str">
        <x:v>پورتفو؛ واگذاری اجرا و تمرکز بر راهبری</x:v>
      </x:c>
      <x:c r="J1194" s="39" t="str">
        <x:v>PMO/عملیات + روابط عمومی</x:v>
      </x:c>
      <x:c r="K1194" s="39" t="str"/>
      <x:c r="L1194" s="39" t="str">
        <x:v>AP:P784</x:v>
      </x:c>
      <x:c r="M1194" s="39" t="str"/>
      <x:c r="N1194" s="39" t="str">
        <x:v>نسخه پایه ۳۱۵۰</x:v>
      </x:c>
    </x:row>
    <x:row r="1195" ht="34" customHeight="1">
      <x:c r="A1195" s="34" t="str">
        <x:v>☐</x:v>
      </x:c>
      <x:c r="B1195" s="34" t="str">
        <x:v>MI-0962</x:v>
      </x:c>
      <x:c r="C1195" s="34" t="str">
        <x:v>M4 — اجرا، دانشگاه، صنعت و پروژه‌های اجتماعی</x:v>
      </x:c>
      <x:c r="D1195" s="34" t="str">
        <x:v>H11</x:v>
      </x:c>
      <x:c r="E1195" s="34" t="str">
        <x:v>دانشگاه؛ صنفی، رفاهی، اجرایی و رسانه‌ای</x:v>
      </x:c>
      <x:c r="F1195" s="34" t="str">
        <x:v>DELEGATE/P2</x:v>
      </x:c>
      <x:c r="G1195" s="34" t="str">
        <x:v>هدف/موضوع</x:v>
      </x:c>
      <x:c r="H1195" s="39" t="str">
        <x:v>هزینه سرویس بومی ها</x:v>
      </x:c>
      <x:c r="I1195" s="39" t="str">
        <x:v>پورتفو؛ واگذاری اجرا و تمرکز بر راهبری</x:v>
      </x:c>
      <x:c r="J1195" s="39" t="str">
        <x:v>PMO/عملیات + روابط عمومی</x:v>
      </x:c>
      <x:c r="K1195" s="39" t="str"/>
      <x:c r="L1195" s="39" t="str">
        <x:v>AP:P788</x:v>
      </x:c>
      <x:c r="M1195" s="39" t="str"/>
      <x:c r="N1195" s="39" t="str">
        <x:v>نسخه پایه ۳۱۵۰</x:v>
      </x:c>
    </x:row>
    <x:row r="1196" ht="34" customHeight="1">
      <x:c r="A1196" s="34" t="str">
        <x:v>☐</x:v>
      </x:c>
      <x:c r="B1196" s="34" t="str">
        <x:v>MI-0966</x:v>
      </x:c>
      <x:c r="C1196" s="34" t="str">
        <x:v>M4 — اجرا، دانشگاه، صنعت و پروژه‌های اجتماعی</x:v>
      </x:c>
      <x:c r="D1196" s="34" t="str">
        <x:v>H11</x:v>
      </x:c>
      <x:c r="E1196" s="34" t="str">
        <x:v>دانشگاه؛ صنفی، رفاهی، اجرایی و رسانه‌ای</x:v>
      </x:c>
      <x:c r="F1196" s="34" t="str">
        <x:v>DELEGATE/P2</x:v>
      </x:c>
      <x:c r="G1196" s="34" t="str">
        <x:v>هدف/موضوع</x:v>
      </x:c>
      <x:c r="H1196" s="39" t="str">
        <x:v>نشست با دفتر فنی</x:v>
      </x:c>
      <x:c r="I1196" s="39" t="str">
        <x:v>پورتفو؛ واگذاری اجرا و تمرکز بر راهبری</x:v>
      </x:c>
      <x:c r="J1196" s="39" t="str">
        <x:v>PMO/عملیات + روابط عمومی</x:v>
      </x:c>
      <x:c r="K1196" s="39" t="str"/>
      <x:c r="L1196" s="39" t="str">
        <x:v>AP:P792</x:v>
      </x:c>
      <x:c r="M1196" s="39" t="str"/>
      <x:c r="N1196" s="39" t="str">
        <x:v>نسخه پایه ۳۱۵۰</x:v>
      </x:c>
    </x:row>
    <x:row r="1197" ht="34" customHeight="1">
      <x:c r="A1197" s="34" t="str">
        <x:v>☐</x:v>
      </x:c>
      <x:c r="B1197" s="34" t="str">
        <x:v>MI-0968</x:v>
      </x:c>
      <x:c r="C1197" s="34" t="str">
        <x:v>M4 — اجرا، دانشگاه، صنعت و پروژه‌های اجتماعی</x:v>
      </x:c>
      <x:c r="D1197" s="34" t="str">
        <x:v>H11</x:v>
      </x:c>
      <x:c r="E1197" s="34" t="str">
        <x:v>دانشگاه؛ صنفی، رفاهی، اجرایی و رسانه‌ای</x:v>
      </x:c>
      <x:c r="F1197" s="34" t="str">
        <x:v>DELEGATE/P2</x:v>
      </x:c>
      <x:c r="G1197" s="34" t="str">
        <x:v>هدف/موضوع</x:v>
      </x:c>
      <x:c r="H1197" s="39" t="str">
        <x:v>رسیدگی با فضای سبز شیشه ای برق و مکانیک</x:v>
      </x:c>
      <x:c r="I1197" s="39" t="str">
        <x:v>پورتفو؛ واگذاری اجرا و تمرکز بر راهبری</x:v>
      </x:c>
      <x:c r="J1197" s="39" t="str">
        <x:v>PMO/عملیات + روابط عمومی</x:v>
      </x:c>
      <x:c r="K1197" s="39" t="str"/>
      <x:c r="L1197" s="39" t="str">
        <x:v>AP:P794</x:v>
      </x:c>
      <x:c r="M1197" s="39" t="str"/>
      <x:c r="N1197" s="39" t="str">
        <x:v>نسخه پایه ۳۱۵۰</x:v>
      </x:c>
    </x:row>
    <x:row r="1198" ht="34" customHeight="1">
      <x:c r="A1198" s="34" t="str">
        <x:v>☐</x:v>
      </x:c>
      <x:c r="B1198" s="34" t="str">
        <x:v>MI-0978</x:v>
      </x:c>
      <x:c r="C1198" s="34" t="str">
        <x:v>M4 — اجرا، دانشگاه، صنعت و پروژه‌های اجتماعی</x:v>
      </x:c>
      <x:c r="D1198" s="34" t="str">
        <x:v>H11</x:v>
      </x:c>
      <x:c r="E1198" s="34" t="str">
        <x:v>دانشگاه؛ صنفی، رفاهی، اجرایی و رسانه‌ای</x:v>
      </x:c>
      <x:c r="F1198" s="34" t="str">
        <x:v>DELEGATE/P2</x:v>
      </x:c>
      <x:c r="G1198" s="34" t="str">
        <x:v>هدف/موضوع</x:v>
      </x:c>
      <x:c r="H1198" s="39" t="str">
        <x:v>نشست با مرکز بهداشت دانشگاه</x:v>
      </x:c>
      <x:c r="I1198" s="39" t="str">
        <x:v>پورتفو؛ واگذاری اجرا و تمرکز بر راهبری</x:v>
      </x:c>
      <x:c r="J1198" s="39" t="str">
        <x:v>PMO/عملیات + روابط عمومی</x:v>
      </x:c>
      <x:c r="K1198" s="39" t="str"/>
      <x:c r="L1198" s="39" t="str">
        <x:v>AP:P807</x:v>
      </x:c>
      <x:c r="M1198" s="39" t="str"/>
      <x:c r="N1198" s="39" t="str">
        <x:v>نسخه پایه ۳۱۵۰</x:v>
      </x:c>
    </x:row>
    <x:row r="1199" ht="34" customHeight="1">
      <x:c r="A1199" s="34" t="str">
        <x:v>☐</x:v>
      </x:c>
      <x:c r="B1199" s="34" t="str">
        <x:v>MI-0979</x:v>
      </x:c>
      <x:c r="C1199" s="34" t="str">
        <x:v>M4 — اجرا، دانشگاه، صنعت و پروژه‌های اجتماعی</x:v>
      </x:c>
      <x:c r="D1199" s="34" t="str">
        <x:v>H11</x:v>
      </x:c>
      <x:c r="E1199" s="34" t="str">
        <x:v>دانشگاه؛ صنفی، رفاهی، اجرایی و رسانه‌ای</x:v>
      </x:c>
      <x:c r="F1199" s="34" t="str">
        <x:v>DELEGATE/P2</x:v>
      </x:c>
      <x:c r="G1199" s="34" t="str">
        <x:v>هدف/موضوع</x:v>
      </x:c>
      <x:c r="H1199" s="39" t="str">
        <x:v>نظافت لباسشویی ها و اتاق رختشور خانه توسط خدماتی ها</x:v>
      </x:c>
      <x:c r="I1199" s="39" t="str">
        <x:v>پورتفو؛ واگذاری اجرا و تمرکز بر راهبری</x:v>
      </x:c>
      <x:c r="J1199" s="39" t="str">
        <x:v>PMO/عملیات + روابط عمومی</x:v>
      </x:c>
      <x:c r="K1199" s="39" t="str"/>
      <x:c r="L1199" s="39" t="str">
        <x:v>AP:P809؛ AP:P814</x:v>
      </x:c>
      <x:c r="M1199" s="39" t="str"/>
      <x:c r="N1199" s="39" t="str">
        <x:v>نسخه پایه ۳۱۵۰</x:v>
      </x:c>
    </x:row>
    <x:row r="1200" ht="34" customHeight="1">
      <x:c r="A1200" s="34" t="str">
        <x:v>☐</x:v>
      </x:c>
      <x:c r="B1200" s="34" t="str">
        <x:v>MI-0980</x:v>
      </x:c>
      <x:c r="C1200" s="34" t="str">
        <x:v>M4 — اجرا، دانشگاه، صنعت و پروژه‌های اجتماعی</x:v>
      </x:c>
      <x:c r="D1200" s="34" t="str">
        <x:v>H11</x:v>
      </x:c>
      <x:c r="E1200" s="34" t="str">
        <x:v>دانشگاه؛ صنفی، رفاهی، اجرایی و رسانه‌ای</x:v>
      </x:c>
      <x:c r="F1200" s="34" t="str">
        <x:v>DELEGATE/P2</x:v>
      </x:c>
      <x:c r="G1200" s="34" t="str">
        <x:v>هدف/موضوع</x:v>
      </x:c>
      <x:c r="H1200" s="39" t="str">
        <x:v>نشست شورای صنقی با خدمات</x:v>
      </x:c>
      <x:c r="I1200" s="39" t="str">
        <x:v>پورتفو؛ واگذاری اجرا و تمرکز بر راهبری</x:v>
      </x:c>
      <x:c r="J1200" s="39" t="str">
        <x:v>PMO/عملیات + روابط عمومی</x:v>
      </x:c>
      <x:c r="K1200" s="39" t="str"/>
      <x:c r="L1200" s="39" t="str">
        <x:v>AP:P810</x:v>
      </x:c>
      <x:c r="M1200" s="39" t="str"/>
      <x:c r="N1200" s="39" t="str">
        <x:v>نسخه پایه ۳۱۵۰</x:v>
      </x:c>
    </x:row>
    <x:row r="1201" ht="34" customHeight="1">
      <x:c r="A1201" s="34" t="str">
        <x:v>☐</x:v>
      </x:c>
      <x:c r="B1201" s="34" t="str">
        <x:v>MI-0981</x:v>
      </x:c>
      <x:c r="C1201" s="34" t="str">
        <x:v>M4 — اجرا، دانشگاه، صنعت و پروژه‌های اجتماعی</x:v>
      </x:c>
      <x:c r="D1201" s="34" t="str">
        <x:v>H11</x:v>
      </x:c>
      <x:c r="E1201" s="34" t="str">
        <x:v>دانشگاه؛ صنفی، رفاهی، اجرایی و رسانه‌ای</x:v>
      </x:c>
      <x:c r="F1201" s="34" t="str">
        <x:v>DELEGATE/P2</x:v>
      </x:c>
      <x:c r="G1201" s="34" t="str">
        <x:v>هدف/موضوع</x:v>
      </x:c>
      <x:c r="H1201" s="39" t="str">
        <x:v>ساعت کاری، نحوه پاک سازی ، اماکن مورد نظافت</x:v>
      </x:c>
      <x:c r="I1201" s="39" t="str">
        <x:v>پورتفو؛ واگذاری اجرا و تمرکز بر راهبری</x:v>
      </x:c>
      <x:c r="J1201" s="39" t="str">
        <x:v>PMO/عملیات + روابط عمومی</x:v>
      </x:c>
      <x:c r="K1201" s="39" t="str"/>
      <x:c r="L1201" s="39" t="str">
        <x:v>AP:P811</x:v>
      </x:c>
      <x:c r="M1201" s="39" t="str"/>
      <x:c r="N1201" s="39" t="str">
        <x:v>نسخه پایه ۳۱۵۰</x:v>
      </x:c>
    </x:row>
    <x:row r="1202" ht="34" customHeight="1">
      <x:c r="A1202" s="34" t="str">
        <x:v>☐</x:v>
      </x:c>
      <x:c r="B1202" s="34" t="str">
        <x:v>MI-0982</x:v>
      </x:c>
      <x:c r="C1202" s="34" t="str">
        <x:v>M4 — اجرا، دانشگاه، صنعت و پروژه‌های اجتماعی</x:v>
      </x:c>
      <x:c r="D1202" s="34" t="str">
        <x:v>H11</x:v>
      </x:c>
      <x:c r="E1202" s="34" t="str">
        <x:v>دانشگاه؛ صنفی، رفاهی، اجرایی و رسانه‌ای</x:v>
      </x:c>
      <x:c r="F1202" s="34" t="str">
        <x:v>DELEGATE/P2</x:v>
      </x:c>
      <x:c r="G1202" s="34" t="str">
        <x:v>هدف/موضوع</x:v>
      </x:c>
      <x:c r="H1202" s="39" t="str">
        <x:v>رختشور خانه</x:v>
      </x:c>
      <x:c r="I1202" s="39" t="str">
        <x:v>پورتفو؛ واگذاری اجرا و تمرکز بر راهبری</x:v>
      </x:c>
      <x:c r="J1202" s="39" t="str">
        <x:v>PMO/عملیات + روابط عمومی</x:v>
      </x:c>
      <x:c r="K1202" s="39" t="str"/>
      <x:c r="L1202" s="39" t="str">
        <x:v>AP:P813</x:v>
      </x:c>
      <x:c r="M1202" s="39" t="str"/>
      <x:c r="N1202" s="39" t="str">
        <x:v>نسخه پایه ۳۱۵۰</x:v>
      </x:c>
    </x:row>
    <x:row r="1203" ht="34" customHeight="1">
      <x:c r="A1203" s="34" t="str">
        <x:v>☐</x:v>
      </x:c>
      <x:c r="B1203" s="34" t="str">
        <x:v>MI-0983</x:v>
      </x:c>
      <x:c r="C1203" s="34" t="str">
        <x:v>M4 — اجرا، دانشگاه، صنعت و پروژه‌های اجتماعی</x:v>
      </x:c>
      <x:c r="D1203" s="34" t="str">
        <x:v>H11</x:v>
      </x:c>
      <x:c r="E1203" s="34" t="str">
        <x:v>دانشگاه؛ صنفی، رفاهی، اجرایی و رسانه‌ای</x:v>
      </x:c>
      <x:c r="F1203" s="34" t="str">
        <x:v>DELEGATE/P2</x:v>
      </x:c>
      <x:c r="G1203" s="34" t="str">
        <x:v>هدف/موضوع</x:v>
      </x:c>
      <x:c r="H1203" s="39" t="str">
        <x:v>راهرو ها</x:v>
      </x:c>
      <x:c r="I1203" s="39" t="str">
        <x:v>پورتفو؛ واگذاری اجرا و تمرکز بر راهبری</x:v>
      </x:c>
      <x:c r="J1203" s="39" t="str">
        <x:v>PMO/عملیات + روابط عمومی</x:v>
      </x:c>
      <x:c r="K1203" s="39" t="str"/>
      <x:c r="L1203" s="39" t="str">
        <x:v>AP:P815</x:v>
      </x:c>
      <x:c r="M1203" s="39" t="str"/>
      <x:c r="N1203" s="39" t="str">
        <x:v>نسخه پایه ۳۱۵۰</x:v>
      </x:c>
    </x:row>
    <x:row r="1204" ht="34" customHeight="1">
      <x:c r="A1204" s="34" t="str">
        <x:v>☐</x:v>
      </x:c>
      <x:c r="B1204" s="34" t="str">
        <x:v>MI-0984</x:v>
      </x:c>
      <x:c r="C1204" s="34" t="str">
        <x:v>M4 — اجرا، دانشگاه، صنعت و پروژه‌های اجتماعی</x:v>
      </x:c>
      <x:c r="D1204" s="34" t="str">
        <x:v>H11</x:v>
      </x:c>
      <x:c r="E1204" s="34" t="str">
        <x:v>دانشگاه؛ صنفی، رفاهی، اجرایی و رسانه‌ای</x:v>
      </x:c>
      <x:c r="F1204" s="34" t="str">
        <x:v>DELEGATE/P2</x:v>
      </x:c>
      <x:c r="G1204" s="34" t="str">
        <x:v>هدف/موضوع</x:v>
      </x:c>
      <x:c r="H1204" s="39" t="str">
        <x:v>سرویس ها</x:v>
      </x:c>
      <x:c r="I1204" s="39" t="str">
        <x:v>پورتفو؛ واگذاری اجرا و تمرکز بر راهبری</x:v>
      </x:c>
      <x:c r="J1204" s="39" t="str">
        <x:v>PMO/عملیات + روابط عمومی</x:v>
      </x:c>
      <x:c r="K1204" s="39" t="str"/>
      <x:c r="L1204" s="39" t="str">
        <x:v>AP:P816</x:v>
      </x:c>
      <x:c r="M1204" s="39" t="str"/>
      <x:c r="N1204" s="39" t="str">
        <x:v>نسخه پایه ۳۱۵۰</x:v>
      </x:c>
    </x:row>
    <x:row r="1205" ht="34" customHeight="1">
      <x:c r="A1205" s="34" t="str">
        <x:v>☐</x:v>
      </x:c>
      <x:c r="B1205" s="34" t="str">
        <x:v>MI-0985</x:v>
      </x:c>
      <x:c r="C1205" s="34" t="str">
        <x:v>M4 — اجرا، دانشگاه، صنعت و پروژه‌های اجتماعی</x:v>
      </x:c>
      <x:c r="D1205" s="34" t="str">
        <x:v>H11</x:v>
      </x:c>
      <x:c r="E1205" s="34" t="str">
        <x:v>دانشگاه؛ صنفی، رفاهی، اجرایی و رسانه‌ای</x:v>
      </x:c>
      <x:c r="F1205" s="34" t="str">
        <x:v>DELEGATE/P2</x:v>
      </x:c>
      <x:c r="G1205" s="34" t="str">
        <x:v>هدف/موضوع</x:v>
      </x:c>
      <x:c r="H1205" s="39" t="str">
        <x:v>اشپزخانه</x:v>
      </x:c>
      <x:c r="I1205" s="39" t="str">
        <x:v>پورتفو؛ واگذاری اجرا و تمرکز بر راهبری</x:v>
      </x:c>
      <x:c r="J1205" s="39" t="str">
        <x:v>PMO/عملیات + روابط عمومی</x:v>
      </x:c>
      <x:c r="K1205" s="39" t="str"/>
      <x:c r="L1205" s="39" t="str">
        <x:v>AP:P817</x:v>
      </x:c>
      <x:c r="M1205" s="39" t="str"/>
      <x:c r="N1205" s="39" t="str">
        <x:v>نسخه پایه ۳۱۵۰</x:v>
      </x:c>
    </x:row>
    <x:row r="1206" ht="34" customHeight="1">
      <x:c r="A1206" s="34" t="str">
        <x:v>☐</x:v>
      </x:c>
      <x:c r="B1206" s="34" t="str">
        <x:v>MI-0986</x:v>
      </x:c>
      <x:c r="C1206" s="34" t="str">
        <x:v>M4 — اجرا، دانشگاه، صنعت و پروژه‌های اجتماعی</x:v>
      </x:c>
      <x:c r="D1206" s="34" t="str">
        <x:v>H11</x:v>
      </x:c>
      <x:c r="E1206" s="34" t="str">
        <x:v>دانشگاه؛ صنفی، رفاهی، اجرایی و رسانه‌ای</x:v>
      </x:c>
      <x:c r="F1206" s="34" t="str">
        <x:v>DELEGATE/P2</x:v>
      </x:c>
      <x:c r="G1206" s="34" t="str">
        <x:v>هدف/موضوع</x:v>
      </x:c>
      <x:c r="H1206" s="39" t="str">
        <x:v>باشگاه</x:v>
      </x:c>
      <x:c r="I1206" s="39" t="str">
        <x:v>پورتفو؛ واگذاری اجرا و تمرکز بر راهبری</x:v>
      </x:c>
      <x:c r="J1206" s="39" t="str">
        <x:v>PMO/عملیات + روابط عمومی</x:v>
      </x:c>
      <x:c r="K1206" s="39" t="str"/>
      <x:c r="L1206" s="39" t="str">
        <x:v>AP:P818</x:v>
      </x:c>
      <x:c r="M1206" s="39" t="str"/>
      <x:c r="N1206" s="39" t="str">
        <x:v>نسخه پایه ۳۱۵۰</x:v>
      </x:c>
    </x:row>
    <x:row r="1207" ht="34" customHeight="1">
      <x:c r="A1207" s="34" t="str">
        <x:v>☐</x:v>
      </x:c>
      <x:c r="B1207" s="34" t="str">
        <x:v>MI-0987</x:v>
      </x:c>
      <x:c r="C1207" s="34" t="str">
        <x:v>M4 — اجرا، دانشگاه، صنعت و پروژه‌های اجتماعی</x:v>
      </x:c>
      <x:c r="D1207" s="34" t="str">
        <x:v>H11</x:v>
      </x:c>
      <x:c r="E1207" s="34" t="str">
        <x:v>دانشگاه؛ صنفی، رفاهی، اجرایی و رسانه‌ای</x:v>
      </x:c>
      <x:c r="F1207" s="34" t="str">
        <x:v>DELEGATE/P2</x:v>
      </x:c>
      <x:c r="G1207" s="34" t="str">
        <x:v>هدف/موضوع</x:v>
      </x:c>
      <x:c r="H1207" s="39" t="str">
        <x:v>فاضی محیط سبز</x:v>
      </x:c>
      <x:c r="I1207" s="39" t="str">
        <x:v>پورتفو؛ واگذاری اجرا و تمرکز بر راهبری</x:v>
      </x:c>
      <x:c r="J1207" s="39" t="str">
        <x:v>PMO/عملیات + روابط عمومی</x:v>
      </x:c>
      <x:c r="K1207" s="39" t="str"/>
      <x:c r="L1207" s="39" t="str">
        <x:v>AP:P819</x:v>
      </x:c>
      <x:c r="M1207" s="39" t="str"/>
      <x:c r="N1207" s="39" t="str">
        <x:v>نسخه پایه ۳۱۵۰</x:v>
      </x:c>
    </x:row>
    <x:row r="1208" ht="34" customHeight="1">
      <x:c r="A1208" s="34" t="str">
        <x:v>☐</x:v>
      </x:c>
      <x:c r="B1208" s="34" t="str">
        <x:v>MI-0988</x:v>
      </x:c>
      <x:c r="C1208" s="34" t="str">
        <x:v>M4 — اجرا، دانشگاه، صنعت و پروژه‌های اجتماعی</x:v>
      </x:c>
      <x:c r="D1208" s="34" t="str">
        <x:v>H11</x:v>
      </x:c>
      <x:c r="E1208" s="34" t="str">
        <x:v>دانشگاه؛ صنفی، رفاهی، اجرایی و رسانه‌ای</x:v>
      </x:c>
      <x:c r="F1208" s="34" t="str">
        <x:v>DELEGATE/P2</x:v>
      </x:c>
      <x:c r="G1208" s="34" t="str">
        <x:v>هدف/موضوع</x:v>
      </x:c>
      <x:c r="H1208" s="39" t="str">
        <x:v>شنست با ریاست فناوری دانشگاه</x:v>
      </x:c>
      <x:c r="I1208" s="39" t="str">
        <x:v>پورتفو؛ واگذاری اجرا و تمرکز بر راهبری</x:v>
      </x:c>
      <x:c r="J1208" s="39" t="str">
        <x:v>PMO/عملیات + روابط عمومی</x:v>
      </x:c>
      <x:c r="K1208" s="39" t="str"/>
      <x:c r="L1208" s="39" t="str">
        <x:v>AP:P820</x:v>
      </x:c>
      <x:c r="M1208" s="39" t="str"/>
      <x:c r="N1208" s="39" t="str">
        <x:v>نسخه پایه ۳۱۵۰</x:v>
      </x:c>
    </x:row>
    <x:row r="1209" ht="34" customHeight="1">
      <x:c r="A1209" s="34" t="str">
        <x:v>☐</x:v>
      </x:c>
      <x:c r="B1209" s="34" t="str">
        <x:v>MI-0989</x:v>
      </x:c>
      <x:c r="C1209" s="34" t="str">
        <x:v>M4 — اجرا، دانشگاه، صنعت و پروژه‌های اجتماعی</x:v>
      </x:c>
      <x:c r="D1209" s="34" t="str">
        <x:v>H11</x:v>
      </x:c>
      <x:c r="E1209" s="34" t="str">
        <x:v>دانشگاه؛ صنفی، رفاهی، اجرایی و رسانه‌ای</x:v>
      </x:c>
      <x:c r="F1209" s="34" t="str">
        <x:v>DELEGATE/P2</x:v>
      </x:c>
      <x:c r="G1209" s="34" t="str">
        <x:v>هدف/موضوع</x:v>
      </x:c>
      <x:c r="H1209" s="39" t="str">
        <x:v>مسایل و مشکلات اینترنت</x:v>
      </x:c>
      <x:c r="I1209" s="39" t="str">
        <x:v>پورتفو؛ واگذاری اجرا و تمرکز بر راهبری</x:v>
      </x:c>
      <x:c r="J1209" s="39" t="str">
        <x:v>PMO/عملیات + روابط عمومی</x:v>
      </x:c>
      <x:c r="K1209" s="39" t="str"/>
      <x:c r="L1209" s="39" t="str">
        <x:v>AP:P821</x:v>
      </x:c>
      <x:c r="M1209" s="39" t="str"/>
      <x:c r="N1209" s="39" t="str">
        <x:v>نسخه پایه ۳۱۵۰</x:v>
      </x:c>
    </x:row>
    <x:row r="1210" ht="34" customHeight="1">
      <x:c r="A1210" s="34" t="str">
        <x:v>☐</x:v>
      </x:c>
      <x:c r="B1210" s="34" t="str">
        <x:v>MI-0991</x:v>
      </x:c>
      <x:c r="C1210" s="34" t="str">
        <x:v>M4 — اجرا، دانشگاه، صنعت و پروژه‌های اجتماعی</x:v>
      </x:c>
      <x:c r="D1210" s="34" t="str">
        <x:v>H11</x:v>
      </x:c>
      <x:c r="E1210" s="34" t="str">
        <x:v>دانشگاه؛ صنفی، رفاهی، اجرایی و رسانه‌ای</x:v>
      </x:c>
      <x:c r="F1210" s="34" t="str">
        <x:v>DELEGATE/P2</x:v>
      </x:c>
      <x:c r="G1210" s="34" t="str">
        <x:v>هدف/موضوع</x:v>
      </x:c>
      <x:c r="H1210" s="39" t="str">
        <x:v>- تعیین میزان حجم ترافیک مختص هر شخص</x:v>
      </x:c>
      <x:c r="I1210" s="39" t="str">
        <x:v>پورتفو؛ واگذاری اجرا و تمرکز بر راهبری</x:v>
      </x:c>
      <x:c r="J1210" s="39" t="str">
        <x:v>PMO/عملیات + روابط عمومی</x:v>
      </x:c>
      <x:c r="K1210" s="39" t="str"/>
      <x:c r="L1210" s="39" t="str">
        <x:v>AP:P823</x:v>
      </x:c>
      <x:c r="M1210" s="39" t="str"/>
      <x:c r="N1210" s="39" t="str">
        <x:v>نسخه پایه ۳۱۵۰</x:v>
      </x:c>
    </x:row>
    <x:row r="1211" ht="34" customHeight="1">
      <x:c r="A1211" s="34" t="str">
        <x:v>☐</x:v>
      </x:c>
      <x:c r="B1211" s="34" t="str">
        <x:v>MI-0992</x:v>
      </x:c>
      <x:c r="C1211" s="34" t="str">
        <x:v>M4 — اجرا، دانشگاه، صنعت و پروژه‌های اجتماعی</x:v>
      </x:c>
      <x:c r="D1211" s="34" t="str">
        <x:v>H11</x:v>
      </x:c>
      <x:c r="E1211" s="34" t="str">
        <x:v>دانشگاه؛ صنفی، رفاهی، اجرایی و رسانه‌ای</x:v>
      </x:c>
      <x:c r="F1211" s="34" t="str">
        <x:v>DELEGATE/P2</x:v>
      </x:c>
      <x:c r="G1211" s="34" t="str">
        <x:v>هدف/موضوع</x:v>
      </x:c>
      <x:c r="H1211" s="39" t="str">
        <x:v>- مودم های دانشکده ها</x:v>
      </x:c>
      <x:c r="I1211" s="39" t="str">
        <x:v>پورتفو؛ واگذاری اجرا و تمرکز بر راهبری</x:v>
      </x:c>
      <x:c r="J1211" s="39" t="str">
        <x:v>PMO/عملیات + روابط عمومی</x:v>
      </x:c>
      <x:c r="K1211" s="39" t="str"/>
      <x:c r="L1211" s="39" t="str">
        <x:v>AP:P824</x:v>
      </x:c>
      <x:c r="M1211" s="39" t="str"/>
      <x:c r="N1211" s="39" t="str">
        <x:v>نسخه پایه ۳۱۵۰</x:v>
      </x:c>
    </x:row>
    <x:row r="1212" ht="34" customHeight="1">
      <x:c r="A1212" s="34" t="str">
        <x:v>☐</x:v>
      </x:c>
      <x:c r="B1212" s="34" t="str">
        <x:v>MI-0993</x:v>
      </x:c>
      <x:c r="C1212" s="34" t="str">
        <x:v>M4 — اجرا، دانشگاه، صنعت و پروژه‌های اجتماعی</x:v>
      </x:c>
      <x:c r="D1212" s="34" t="str">
        <x:v>H11</x:v>
      </x:c>
      <x:c r="E1212" s="34" t="str">
        <x:v>دانشگاه؛ صنفی، رفاهی، اجرایی و رسانه‌ای</x:v>
      </x:c>
      <x:c r="F1212" s="34" t="str">
        <x:v>DELEGATE/P2</x:v>
      </x:c>
      <x:c r="G1212" s="34" t="str">
        <x:v>هدف/موضوع</x:v>
      </x:c>
      <x:c r="H1212" s="39" t="str">
        <x:v>- اینترنت دفتر صنفی</x:v>
      </x:c>
      <x:c r="I1212" s="39" t="str">
        <x:v>پورتفو؛ واگذاری اجرا و تمرکز بر راهبری</x:v>
      </x:c>
      <x:c r="J1212" s="39" t="str">
        <x:v>PMO/عملیات + روابط عمومی</x:v>
      </x:c>
      <x:c r="K1212" s="39" t="str"/>
      <x:c r="L1212" s="39" t="str">
        <x:v>AP:P825</x:v>
      </x:c>
      <x:c r="M1212" s="39" t="str"/>
      <x:c r="N1212" s="39" t="str">
        <x:v>نسخه پایه ۳۱۵۰</x:v>
      </x:c>
    </x:row>
    <x:row r="1213" ht="34" customHeight="1">
      <x:c r="A1213" s="34" t="str">
        <x:v>☐</x:v>
      </x:c>
      <x:c r="B1213" s="34" t="str">
        <x:v>MI-0995</x:v>
      </x:c>
      <x:c r="C1213" s="34" t="str">
        <x:v>M4 — اجرا، دانشگاه، صنعت و پروژه‌های اجتماعی</x:v>
      </x:c>
      <x:c r="D1213" s="34" t="str">
        <x:v>H11</x:v>
      </x:c>
      <x:c r="E1213" s="34" t="str">
        <x:v>دانشگاه؛ صنفی، رفاهی، اجرایی و رسانه‌ای</x:v>
      </x:c>
      <x:c r="F1213" s="34" t="str">
        <x:v>DELEGATE/P2</x:v>
      </x:c>
      <x:c r="G1213" s="34" t="str">
        <x:v>هدف/موضوع</x:v>
      </x:c>
      <x:c r="H1213" s="39" t="str">
        <x:v>تغییر در نحوه اتصال به اینترنت دانشگاه</x:v>
      </x:c>
      <x:c r="I1213" s="39" t="str">
        <x:v>پورتفو؛ واگذاری اجرا و تمرکز بر راهبری</x:v>
      </x:c>
      <x:c r="J1213" s="39" t="str">
        <x:v>PMO/عملیات + روابط عمومی</x:v>
      </x:c>
      <x:c r="K1213" s="39" t="str"/>
      <x:c r="L1213" s="39" t="str">
        <x:v>AP:P828</x:v>
      </x:c>
      <x:c r="M1213" s="39" t="str"/>
      <x:c r="N1213" s="39" t="str">
        <x:v>نسخه پایه ۳۱۵۰</x:v>
      </x:c>
    </x:row>
    <x:row r="1214" ht="34" customHeight="1">
      <x:c r="A1214" s="34" t="str">
        <x:v>☐</x:v>
      </x:c>
      <x:c r="B1214" s="34" t="str">
        <x:v>MI-0997</x:v>
      </x:c>
      <x:c r="C1214" s="34" t="str">
        <x:v>M4 — اجرا، دانشگاه، صنعت و پروژه‌های اجتماعی</x:v>
      </x:c>
      <x:c r="D1214" s="34" t="str">
        <x:v>H11</x:v>
      </x:c>
      <x:c r="E1214" s="34" t="str">
        <x:v>دانشگاه؛ صنفی، رفاهی، اجرایی و رسانه‌ای</x:v>
      </x:c>
      <x:c r="F1214" s="34" t="str">
        <x:v>DELEGATE/P2</x:v>
      </x:c>
      <x:c r="G1214" s="34" t="str">
        <x:v>هدف/موضوع</x:v>
      </x:c>
      <x:c r="H1214" s="39" t="str">
        <x:v>رعت ساینترنت</x:v>
      </x:c>
      <x:c r="I1214" s="39" t="str">
        <x:v>پورتفو؛ واگذاری اجرا و تمرکز بر راهبری</x:v>
      </x:c>
      <x:c r="J1214" s="39" t="str">
        <x:v>PMO/عملیات + روابط عمومی</x:v>
      </x:c>
      <x:c r="K1214" s="39" t="str"/>
      <x:c r="L1214" s="39" t="str">
        <x:v>AP:P830</x:v>
      </x:c>
      <x:c r="M1214" s="39" t="str"/>
      <x:c r="N1214" s="39" t="str">
        <x:v>نسخه پایه ۳۱۵۰</x:v>
      </x:c>
    </x:row>
    <x:row r="1215" ht="34" customHeight="1">
      <x:c r="A1215" s="34" t="str">
        <x:v>☐</x:v>
      </x:c>
      <x:c r="B1215" s="34" t="str">
        <x:v>MI-0998</x:v>
      </x:c>
      <x:c r="C1215" s="34" t="str">
        <x:v>M4 — اجرا، دانشگاه، صنعت و پروژه‌های اجتماعی</x:v>
      </x:c>
      <x:c r="D1215" s="34" t="str">
        <x:v>H11</x:v>
      </x:c>
      <x:c r="E1215" s="34" t="str">
        <x:v>دانشگاه؛ صنفی، رفاهی، اجرایی و رسانه‌ای</x:v>
      </x:c>
      <x:c r="F1215" s="34" t="str">
        <x:v>DELEGATE/P2</x:v>
      </x:c>
      <x:c r="G1215" s="34" t="str">
        <x:v>هدف/موضوع</x:v>
      </x:c>
      <x:c r="H1215" s="39" t="str">
        <x:v>نحوه اتصال</x:v>
      </x:c>
      <x:c r="I1215" s="39" t="str">
        <x:v>پورتفو؛ واگذاری اجرا و تمرکز بر راهبری</x:v>
      </x:c>
      <x:c r="J1215" s="39" t="str">
        <x:v>PMO/عملیات + روابط عمومی</x:v>
      </x:c>
      <x:c r="K1215" s="39" t="str"/>
      <x:c r="L1215" s="39" t="str">
        <x:v>AP:P831</x:v>
      </x:c>
      <x:c r="M1215" s="39" t="str"/>
      <x:c r="N1215" s="39" t="str">
        <x:v>نسخه پایه ۳۱۵۰</x:v>
      </x:c>
    </x:row>
    <x:row r="1216" ht="34" customHeight="1">
      <x:c r="A1216" s="34" t="str">
        <x:v>☐</x:v>
      </x:c>
      <x:c r="B1216" s="34" t="str">
        <x:v>MI-0999</x:v>
      </x:c>
      <x:c r="C1216" s="34" t="str">
        <x:v>M4 — اجرا، دانشگاه، صنعت و پروژه‌های اجتماعی</x:v>
      </x:c>
      <x:c r="D1216" s="34" t="str">
        <x:v>H11</x:v>
      </x:c>
      <x:c r="E1216" s="34" t="str">
        <x:v>دانشگاه؛ صنفی، رفاهی، اجرایی و رسانه‌ای</x:v>
      </x:c>
      <x:c r="F1216" s="34" t="str">
        <x:v>DELEGATE/P2</x:v>
      </x:c>
      <x:c r="G1216" s="34" t="str">
        <x:v>هدف/موضوع</x:v>
      </x:c>
      <x:c r="H1216" s="39" t="str">
        <x:v>ارتقای پهنا باند</x:v>
      </x:c>
      <x:c r="I1216" s="39" t="str">
        <x:v>پورتفو؛ واگذاری اجرا و تمرکز بر راهبری</x:v>
      </x:c>
      <x:c r="J1216" s="39" t="str">
        <x:v>PMO/عملیات + روابط عمومی</x:v>
      </x:c>
      <x:c r="K1216" s="39" t="str"/>
      <x:c r="L1216" s="39" t="str">
        <x:v>AP:P832</x:v>
      </x:c>
      <x:c r="M1216" s="39" t="str"/>
      <x:c r="N1216" s="39" t="str">
        <x:v>نسخه پایه ۳۱۵۰</x:v>
      </x:c>
    </x:row>
    <x:row r="1217" ht="34" customHeight="1">
      <x:c r="A1217" s="34" t="str">
        <x:v>☐</x:v>
      </x:c>
      <x:c r="B1217" s="34" t="str">
        <x:v>MI-1000</x:v>
      </x:c>
      <x:c r="C1217" s="34" t="str">
        <x:v>M4 — اجرا، دانشگاه، صنعت و پروژه‌های اجتماعی</x:v>
      </x:c>
      <x:c r="D1217" s="34" t="str">
        <x:v>H11</x:v>
      </x:c>
      <x:c r="E1217" s="34" t="str">
        <x:v>دانشگاه؛ صنفی، رفاهی، اجرایی و رسانه‌ای</x:v>
      </x:c>
      <x:c r="F1217" s="34" t="str">
        <x:v>DELEGATE/P2</x:v>
      </x:c>
      <x:c r="G1217" s="34" t="str">
        <x:v>هدف/موضوع</x:v>
      </x:c>
      <x:c r="H1217" s="39" t="str">
        <x:v>الگو برداری از نمونه های موفق سایر دانشگا ها</x:v>
      </x:c>
      <x:c r="I1217" s="39" t="str">
        <x:v>پورتفو؛ واگذاری اجرا و تمرکز بر راهبری</x:v>
      </x:c>
      <x:c r="J1217" s="39" t="str">
        <x:v>PMO/عملیات + روابط عمومی</x:v>
      </x:c>
      <x:c r="K1217" s="39" t="str"/>
      <x:c r="L1217" s="39" t="str">
        <x:v>AP:P833</x:v>
      </x:c>
      <x:c r="M1217" s="39" t="str"/>
      <x:c r="N1217" s="39" t="str">
        <x:v>نسخه پایه ۳۱۵۰</x:v>
      </x:c>
    </x:row>
    <x:row r="1218" ht="34" customHeight="1">
      <x:c r="A1218" s="34" t="str">
        <x:v>☐</x:v>
      </x:c>
      <x:c r="B1218" s="34" t="str">
        <x:v>MI-1001</x:v>
      </x:c>
      <x:c r="C1218" s="34" t="str">
        <x:v>M4 — اجرا، دانشگاه، صنعت و پروژه‌های اجتماعی</x:v>
      </x:c>
      <x:c r="D1218" s="34" t="str">
        <x:v>H11</x:v>
      </x:c>
      <x:c r="E1218" s="34" t="str">
        <x:v>دانشگاه؛ صنفی، رفاهی، اجرایی و رسانه‌ای</x:v>
      </x:c>
      <x:c r="F1218" s="34" t="str">
        <x:v>DELEGATE/P2</x:v>
      </x:c>
      <x:c r="G1218" s="34" t="str">
        <x:v>هدف/موضوع</x:v>
      </x:c>
      <x:c r="H1218" s="39" t="str">
        <x:v>اینترنت دانشکده ها و اطلاع رسانی برای نحوه اتصال همه دانشجویان</x:v>
      </x:c>
      <x:c r="I1218" s="39" t="str">
        <x:v>پورتفو؛ واگذاری اجرا و تمرکز بر راهبری</x:v>
      </x:c>
      <x:c r="J1218" s="39" t="str">
        <x:v>PMO/عملیات + روابط عمومی</x:v>
      </x:c>
      <x:c r="K1218" s="39" t="str"/>
      <x:c r="L1218" s="39" t="str">
        <x:v>AP:P834</x:v>
      </x:c>
      <x:c r="M1218" s="39" t="str"/>
      <x:c r="N1218" s="39" t="str">
        <x:v>نسخه پایه ۳۱۵۰</x:v>
      </x:c>
    </x:row>
    <x:row r="1219" ht="34" customHeight="1">
      <x:c r="A1219" s="34" t="str">
        <x:v>☐</x:v>
      </x:c>
      <x:c r="B1219" s="34" t="str">
        <x:v>MI-1003</x:v>
      </x:c>
      <x:c r="C1219" s="34" t="str">
        <x:v>M4 — اجرا، دانشگاه، صنعت و پروژه‌های اجتماعی</x:v>
      </x:c>
      <x:c r="D1219" s="34" t="str">
        <x:v>H11</x:v>
      </x:c>
      <x:c r="E1219" s="34" t="str">
        <x:v>دانشگاه؛ صنفی، رفاهی، اجرایی و رسانه‌ای</x:v>
      </x:c>
      <x:c r="F1219" s="34" t="str">
        <x:v>DELEGATE/P2</x:v>
      </x:c>
      <x:c r="G1219" s="34" t="str">
        <x:v>هدف/موضوع</x:v>
      </x:c>
      <x:c r="H1219" s="39" t="str">
        <x:v>نوسازی روتور ها</x:v>
      </x:c>
      <x:c r="I1219" s="39" t="str">
        <x:v>پورتفو؛ واگذاری اجرا و تمرکز بر راهبری</x:v>
      </x:c>
      <x:c r="J1219" s="39" t="str">
        <x:v>PMO/عملیات + روابط عمومی</x:v>
      </x:c>
      <x:c r="K1219" s="39" t="str"/>
      <x:c r="L1219" s="39" t="str">
        <x:v>AP:P836؛ AP:P844</x:v>
      </x:c>
      <x:c r="M1219" s="39" t="str"/>
      <x:c r="N1219" s="39" t="str">
        <x:v>نسخه پایه ۳۱۵۰</x:v>
      </x:c>
    </x:row>
    <x:row r="1220" ht="34" customHeight="1">
      <x:c r="A1220" s="34" t="str">
        <x:v>☐</x:v>
      </x:c>
      <x:c r="B1220" s="34" t="str">
        <x:v>MI-1005</x:v>
      </x:c>
      <x:c r="C1220" s="34" t="str">
        <x:v>M4 — اجرا، دانشگاه، صنعت و پروژه‌های اجتماعی</x:v>
      </x:c>
      <x:c r="D1220" s="34" t="str">
        <x:v>H11</x:v>
      </x:c>
      <x:c r="E1220" s="34" t="str">
        <x:v>دانشگاه؛ صنفی، رفاهی، اجرایی و رسانه‌ای</x:v>
      </x:c>
      <x:c r="F1220" s="34" t="str">
        <x:v>DELEGATE/P2</x:v>
      </x:c>
      <x:c r="G1220" s="34" t="str">
        <x:v>هدف/موضوع</x:v>
      </x:c>
      <x:c r="H1220" s="39" t="str">
        <x:v>افزایش سرعت نت</x:v>
      </x:c>
      <x:c r="I1220" s="39" t="str">
        <x:v>پورتفو؛ واگذاری اجرا و تمرکز بر راهبری</x:v>
      </x:c>
      <x:c r="J1220" s="39" t="str">
        <x:v>PMO/عملیات + روابط عمومی</x:v>
      </x:c>
      <x:c r="K1220" s="39" t="str"/>
      <x:c r="L1220" s="39" t="str">
        <x:v>AP:P838؛ AP:P846</x:v>
      </x:c>
      <x:c r="M1220" s="39" t="str"/>
      <x:c r="N1220" s="39" t="str">
        <x:v>نسخه پایه ۳۱۵۰</x:v>
      </x:c>
    </x:row>
    <x:row r="1221" ht="34" customHeight="1">
      <x:c r="A1221" s="34" t="str">
        <x:v>☐</x:v>
      </x:c>
      <x:c r="B1221" s="34" t="str">
        <x:v>MI-1006</x:v>
      </x:c>
      <x:c r="C1221" s="34" t="str">
        <x:v>M4 — اجرا، دانشگاه، صنعت و پروژه‌های اجتماعی</x:v>
      </x:c>
      <x:c r="D1221" s="34" t="str">
        <x:v>H11</x:v>
      </x:c>
      <x:c r="E1221" s="34" t="str">
        <x:v>دانشگاه؛ صنفی، رفاهی، اجرایی و رسانه‌ای</x:v>
      </x:c>
      <x:c r="F1221" s="34" t="str">
        <x:v>DELEGATE/P2</x:v>
      </x:c>
      <x:c r="G1221" s="34" t="str">
        <x:v>هدف/موضوع</x:v>
      </x:c>
      <x:c r="H1221" s="39" t="str">
        <x:v>افزایش تعداد وای فای ها</x:v>
      </x:c>
      <x:c r="I1221" s="39" t="str">
        <x:v>پورتفو؛ واگذاری اجرا و تمرکز بر راهبری</x:v>
      </x:c>
      <x:c r="J1221" s="39" t="str">
        <x:v>PMO/عملیات + روابط عمومی</x:v>
      </x:c>
      <x:c r="K1221" s="39" t="str"/>
      <x:c r="L1221" s="39" t="str">
        <x:v>AP:P839؛ AP:P847</x:v>
      </x:c>
      <x:c r="M1221" s="39" t="str"/>
      <x:c r="N1221" s="39" t="str">
        <x:v>نسخه پایه ۳۱۵۰</x:v>
      </x:c>
    </x:row>
    <x:row r="1222" ht="34" customHeight="1">
      <x:c r="A1222" s="34" t="str">
        <x:v>☐</x:v>
      </x:c>
      <x:c r="B1222" s="34" t="str">
        <x:v>MI-1009</x:v>
      </x:c>
      <x:c r="C1222" s="34" t="str">
        <x:v>M4 — اجرا، دانشگاه، صنعت و پروژه‌های اجتماعی</x:v>
      </x:c>
      <x:c r="D1222" s="34" t="str">
        <x:v>H11</x:v>
      </x:c>
      <x:c r="E1222" s="34" t="str">
        <x:v>دانشگاه؛ صنفی، رفاهی، اجرایی و رسانه‌ای</x:v>
      </x:c>
      <x:c r="F1222" s="34" t="str">
        <x:v>DELEGATE/P2</x:v>
      </x:c>
      <x:c r="G1222" s="34" t="str">
        <x:v>هدف/موضوع</x:v>
      </x:c>
      <x:c r="H1222" s="39" t="str">
        <x:v>وای فای های خوابگاه امینیان</x:v>
      </x:c>
      <x:c r="I1222" s="39" t="str">
        <x:v>پورتفو؛ واگذاری اجرا و تمرکز بر راهبری</x:v>
      </x:c>
      <x:c r="J1222" s="39" t="str">
        <x:v>PMO/عملیات + روابط عمومی</x:v>
      </x:c>
      <x:c r="K1222" s="39" t="str"/>
      <x:c r="L1222" s="39" t="str">
        <x:v>AP:P842</x:v>
      </x:c>
      <x:c r="M1222" s="39" t="str"/>
      <x:c r="N1222" s="39" t="str">
        <x:v>نسخه پایه ۳۱۵۰</x:v>
      </x:c>
    </x:row>
    <x:row r="1223" ht="34" customHeight="1">
      <x:c r="A1223" s="34" t="str">
        <x:v>☐</x:v>
      </x:c>
      <x:c r="B1223" s="34" t="str">
        <x:v>MI-1011</x:v>
      </x:c>
      <x:c r="C1223" s="34" t="str">
        <x:v>M4 — اجرا، دانشگاه، صنعت و پروژه‌های اجتماعی</x:v>
      </x:c>
      <x:c r="D1223" s="34" t="str">
        <x:v>H11</x:v>
      </x:c>
      <x:c r="E1223" s="34" t="str">
        <x:v>دانشگاه؛ صنفی، رفاهی، اجرایی و رسانه‌ای</x:v>
      </x:c>
      <x:c r="F1223" s="34" t="str">
        <x:v>DELEGATE/P2</x:v>
      </x:c>
      <x:c r="G1223" s="34" t="str">
        <x:v>هدف/موضوع</x:v>
      </x:c>
      <x:c r="H1223" s="39" t="str">
        <x:v>گزاشتن مسیول سرور در خوابگاه</x:v>
      </x:c>
      <x:c r="I1223" s="39" t="str">
        <x:v>پورتفو؛ واگذاری اجرا و تمرکز بر راهبری</x:v>
      </x:c>
      <x:c r="J1223" s="39" t="str">
        <x:v>PMO/عملیات + روابط عمومی</x:v>
      </x:c>
      <x:c r="K1223" s="39" t="str"/>
      <x:c r="L1223" s="39" t="str">
        <x:v>AP:P848</x:v>
      </x:c>
      <x:c r="M1223" s="39" t="str"/>
      <x:c r="N1223" s="39" t="str">
        <x:v>نسخه پایه ۳۱۵۰</x:v>
      </x:c>
    </x:row>
    <x:row r="1224" ht="34" customHeight="1">
      <x:c r="A1224" s="34" t="str">
        <x:v>☐</x:v>
      </x:c>
      <x:c r="B1224" s="34" t="str">
        <x:v>MI-1013</x:v>
      </x:c>
      <x:c r="C1224" s="34" t="str">
        <x:v>M4 — اجرا، دانشگاه، صنعت و پروژه‌های اجتماعی</x:v>
      </x:c>
      <x:c r="D1224" s="34" t="str">
        <x:v>H11</x:v>
      </x:c>
      <x:c r="E1224" s="34" t="str">
        <x:v>دانشگاه؛ صنفی، رفاهی، اجرایی و رسانه‌ای</x:v>
      </x:c>
      <x:c r="F1224" s="34" t="str">
        <x:v>DELEGATE/P2</x:v>
      </x:c>
      <x:c r="G1224" s="34" t="str">
        <x:v>هدف/موضوع</x:v>
      </x:c>
      <x:c r="H1224" s="39" t="str">
        <x:v>دفتر امام جمعه</x:v>
      </x:c>
      <x:c r="I1224" s="39" t="str">
        <x:v>پورتفو؛ واگذاری اجرا و تمرکز بر راهبری</x:v>
      </x:c>
      <x:c r="J1224" s="39" t="str">
        <x:v>PMO/عملیات + روابط عمومی</x:v>
      </x:c>
      <x:c r="K1224" s="39" t="str"/>
      <x:c r="L1224" s="39" t="str">
        <x:v>AP:P850</x:v>
      </x:c>
      <x:c r="M1224" s="39" t="str"/>
      <x:c r="N1224" s="39" t="str">
        <x:v>نسخه پایه ۳۱۵۰</x:v>
      </x:c>
    </x:row>
    <x:row r="1225" ht="34" customHeight="1">
      <x:c r="A1225" s="34" t="str">
        <x:v>☐</x:v>
      </x:c>
      <x:c r="B1225" s="34" t="str">
        <x:v>MI-1014</x:v>
      </x:c>
      <x:c r="C1225" s="34" t="str">
        <x:v>M4 — اجرا، دانشگاه، صنعت و پروژه‌های اجتماعی</x:v>
      </x:c>
      <x:c r="D1225" s="34" t="str">
        <x:v>H11</x:v>
      </x:c>
      <x:c r="E1225" s="34" t="str">
        <x:v>دانشگاه؛ صنفی، رفاهی، اجرایی و رسانه‌ای</x:v>
      </x:c>
      <x:c r="F1225" s="34" t="str">
        <x:v>DELEGATE/P2</x:v>
      </x:c>
      <x:c r="G1225" s="34" t="str">
        <x:v>هدف/موضوع</x:v>
      </x:c>
      <x:c r="H1225" s="39" t="str">
        <x:v>نشست علمی</x:v>
      </x:c>
      <x:c r="I1225" s="39" t="str">
        <x:v>پورتفو؛ واگذاری اجرا و تمرکز بر راهبری</x:v>
      </x:c>
      <x:c r="J1225" s="39" t="str">
        <x:v>PMO/عملیات + روابط عمومی</x:v>
      </x:c>
      <x:c r="K1225" s="39" t="str"/>
      <x:c r="L1225" s="39" t="str">
        <x:v>AP:P851</x:v>
      </x:c>
      <x:c r="M1225" s="39" t="str"/>
      <x:c r="N1225" s="39" t="str">
        <x:v>نسخه پایه ۳۱۵۰</x:v>
      </x:c>
    </x:row>
    <x:row r="1226" ht="34" customHeight="1">
      <x:c r="A1226" s="34" t="str">
        <x:v>☐</x:v>
      </x:c>
      <x:c r="B1226" s="34" t="str">
        <x:v>MI-1015</x:v>
      </x:c>
      <x:c r="C1226" s="34" t="str">
        <x:v>M4 — اجرا، دانشگاه، صنعت و پروژه‌های اجتماعی</x:v>
      </x:c>
      <x:c r="D1226" s="34" t="str">
        <x:v>H11</x:v>
      </x:c>
      <x:c r="E1226" s="34" t="str">
        <x:v>دانشگاه؛ صنفی، رفاهی، اجرایی و رسانه‌ای</x:v>
      </x:c>
      <x:c r="F1226" s="34" t="str">
        <x:v>DELEGATE/P2</x:v>
      </x:c>
      <x:c r="G1226" s="34" t="str">
        <x:v>هدف/موضوع</x:v>
      </x:c>
      <x:c r="H1226" s="39" t="str">
        <x:v>ارتباط حوزه و دانشگاه</x:v>
      </x:c>
      <x:c r="I1226" s="39" t="str">
        <x:v>پورتفو؛ واگذاری اجرا و تمرکز بر راهبری</x:v>
      </x:c>
      <x:c r="J1226" s="39" t="str">
        <x:v>PMO/عملیات + روابط عمومی</x:v>
      </x:c>
      <x:c r="K1226" s="39" t="str"/>
      <x:c r="L1226" s="39" t="str">
        <x:v>AP:P852</x:v>
      </x:c>
      <x:c r="M1226" s="39" t="str"/>
      <x:c r="N1226" s="39" t="str">
        <x:v>نسخه پایه ۳۱۵۰</x:v>
      </x:c>
    </x:row>
    <x:row r="1227" ht="34" customHeight="1">
      <x:c r="A1227" s="34" t="str">
        <x:v>☐</x:v>
      </x:c>
      <x:c r="B1227" s="34" t="str">
        <x:v>MI-1016</x:v>
      </x:c>
      <x:c r="C1227" s="34" t="str">
        <x:v>M4 — اجرا، دانشگاه، صنعت و پروژه‌های اجتماعی</x:v>
      </x:c>
      <x:c r="D1227" s="34" t="str">
        <x:v>H11</x:v>
      </x:c>
      <x:c r="E1227" s="34" t="str">
        <x:v>دانشگاه؛ صنفی، رفاهی، اجرایی و رسانه‌ای</x:v>
      </x:c>
      <x:c r="F1227" s="34" t="str">
        <x:v>DELEGATE/P2</x:v>
      </x:c>
      <x:c r="G1227" s="34" t="str">
        <x:v>هدف/موضوع</x:v>
      </x:c>
      <x:c r="H1227" s="39" t="str">
        <x:v>استفاده از دانشجویان دانشگاه در جریانات و تصمیم گیری ها ومشورت</x:v>
      </x:c>
      <x:c r="I1227" s="39" t="str">
        <x:v>پورتفو؛ واگذاری اجرا و تمرکز بر راهبری</x:v>
      </x:c>
      <x:c r="J1227" s="39" t="str">
        <x:v>PMO/عملیات + روابط عمومی</x:v>
      </x:c>
      <x:c r="K1227" s="39" t="str"/>
      <x:c r="L1227" s="39" t="str">
        <x:v>AP:P853</x:v>
      </x:c>
      <x:c r="M1227" s="39" t="str"/>
      <x:c r="N1227" s="39" t="str">
        <x:v>نسخه پایه ۳۱۵۰</x:v>
      </x:c>
    </x:row>
    <x:row r="1228" ht="34" customHeight="1">
      <x:c r="A1228" s="34" t="str">
        <x:v>☐</x:v>
      </x:c>
      <x:c r="B1228" s="34" t="str">
        <x:v>MI-1026</x:v>
      </x:c>
      <x:c r="C1228" s="34" t="str">
        <x:v>M4 — اجرا، دانشگاه، صنعت و پروژه‌های اجتماعی</x:v>
      </x:c>
      <x:c r="D1228" s="34" t="str">
        <x:v>H11</x:v>
      </x:c>
      <x:c r="E1228" s="34" t="str">
        <x:v>دانشگاه؛ صنفی، رفاهی، اجرایی و رسانه‌ای</x:v>
      </x:c>
      <x:c r="F1228" s="34" t="str">
        <x:v>DELEGATE/P2</x:v>
      </x:c>
      <x:c r="G1228" s="34" t="str">
        <x:v>هدف/موضوع</x:v>
      </x:c>
      <x:c r="H1228" s="39" t="str">
        <x:v>غذای نیک</x:v>
      </x:c>
      <x:c r="I1228" s="39" t="str">
        <x:v>پورتفو؛ واگذاری اجرا و تمرکز بر راهبری</x:v>
      </x:c>
      <x:c r="J1228" s="39" t="str">
        <x:v>PMO/عملیات + روابط عمومی</x:v>
      </x:c>
      <x:c r="K1228" s="39" t="str"/>
      <x:c r="L1228" s="39" t="str">
        <x:v>AP:P866</x:v>
      </x:c>
      <x:c r="M1228" s="39" t="str"/>
      <x:c r="N1228" s="39" t="str">
        <x:v>نسخه پایه ۳۱۵۰</x:v>
      </x:c>
    </x:row>
    <x:row r="1229" ht="34" customHeight="1">
      <x:c r="A1229" s="34" t="str">
        <x:v>☐</x:v>
      </x:c>
      <x:c r="B1229" s="34" t="str">
        <x:v>MI-1037</x:v>
      </x:c>
      <x:c r="C1229" s="34" t="str">
        <x:v>M4 — اجرا، دانشگاه، صنعت و پروژه‌های اجتماعی</x:v>
      </x:c>
      <x:c r="D1229" s="34" t="str">
        <x:v>H11</x:v>
      </x:c>
      <x:c r="E1229" s="34" t="str">
        <x:v>دانشگاه؛ صنفی، رفاهی، اجرایی و رسانه‌ای</x:v>
      </x:c>
      <x:c r="F1229" s="34" t="str">
        <x:v>DELEGATE/P2</x:v>
      </x:c>
      <x:c r="G1229" s="34" t="str">
        <x:v>هدف/موضوع</x:v>
      </x:c>
      <x:c r="H1229" s="39" t="str">
        <x:v>معاونت پژوهشی</x:v>
      </x:c>
      <x:c r="I1229" s="39" t="str">
        <x:v>پورتفو؛ واگذاری اجرا و تمرکز بر راهبری</x:v>
      </x:c>
      <x:c r="J1229" s="39" t="str">
        <x:v>PMO/عملیات + روابط عمومی</x:v>
      </x:c>
      <x:c r="K1229" s="39" t="str"/>
      <x:c r="L1229" s="39" t="str">
        <x:v>AP:P878</x:v>
      </x:c>
      <x:c r="M1229" s="39" t="str"/>
      <x:c r="N1229" s="39" t="str">
        <x:v>نسخه پایه ۳۱۵۰</x:v>
      </x:c>
    </x:row>
    <x:row r="1230" ht="34" customHeight="1">
      <x:c r="A1230" s="34" t="str">
        <x:v>☐</x:v>
      </x:c>
      <x:c r="B1230" s="34" t="str">
        <x:v>MI-1046</x:v>
      </x:c>
      <x:c r="C1230" s="34" t="str">
        <x:v>M4 — اجرا، دانشگاه، صنعت و پروژه‌های اجتماعی</x:v>
      </x:c>
      <x:c r="D1230" s="34" t="str">
        <x:v>H11</x:v>
      </x:c>
      <x:c r="E1230" s="34" t="str">
        <x:v>دانشگاه؛ صنفی، رفاهی، اجرایی و رسانه‌ای</x:v>
      </x:c>
      <x:c r="F1230" s="34" t="str">
        <x:v>DELEGATE/P2</x:v>
      </x:c>
      <x:c r="G1230" s="34" t="str">
        <x:v>هدف/موضوع</x:v>
      </x:c>
      <x:c r="H1230" s="39" t="str">
        <x:v>مهر کردن پوستر ها برای همه فعالین دانشگاهی بسیج و نهاد و کانون و انجمن و</x:v>
      </x:c>
      <x:c r="I1230" s="39" t="str">
        <x:v>پورتفو؛ واگذاری اجرا و تمرکز بر راهبری</x:v>
      </x:c>
      <x:c r="J1230" s="39" t="str">
        <x:v>PMO/عملیات + روابط عمومی</x:v>
      </x:c>
      <x:c r="K1230" s="39" t="str"/>
      <x:c r="L1230" s="39" t="str">
        <x:v>AP:P888</x:v>
      </x:c>
      <x:c r="M1230" s="39" t="str"/>
      <x:c r="N1230" s="39" t="str">
        <x:v>نسخه پایه ۳۱۵۰</x:v>
      </x:c>
    </x:row>
    <x:row r="1231" ht="34" customHeight="1">
      <x:c r="A1231" s="34" t="str">
        <x:v>☐</x:v>
      </x:c>
      <x:c r="B1231" s="34" t="str">
        <x:v>MI-1078</x:v>
      </x:c>
      <x:c r="C1231" s="34" t="str">
        <x:v>M4 — اجرا، دانشگاه، صنعت و پروژه‌های اجتماعی</x:v>
      </x:c>
      <x:c r="D1231" s="34" t="str">
        <x:v>H11</x:v>
      </x:c>
      <x:c r="E1231" s="34" t="str">
        <x:v>دانشگاه؛ صنفی، رفاهی، اجرایی و رسانه‌ای</x:v>
      </x:c>
      <x:c r="F1231" s="34" t="str">
        <x:v>DELEGATE/P2</x:v>
      </x:c>
      <x:c r="G1231" s="34" t="str">
        <x:v>هدف/موضوع</x:v>
      </x:c>
      <x:c r="H1231" s="39" t="str">
        <x:v>تحلیلگر دانشجو</x:v>
      </x:c>
      <x:c r="I1231" s="39" t="str">
        <x:v>پورتفو؛ واگذاری اجرا و تمرکز بر راهبری</x:v>
      </x:c>
      <x:c r="J1231" s="39" t="str">
        <x:v>PMO/عملیات + روابط عمومی</x:v>
      </x:c>
      <x:c r="K1231" s="39" t="str"/>
      <x:c r="L1231" s="39" t="str">
        <x:v>AP:P924</x:v>
      </x:c>
      <x:c r="M1231" s="39" t="str"/>
      <x:c r="N1231" s="39" t="str">
        <x:v>نسخه پایه ۳۱۵۰</x:v>
      </x:c>
    </x:row>
    <x:row r="1232" ht="34" customHeight="1">
      <x:c r="A1232" s="34" t="str">
        <x:v>☐</x:v>
      </x:c>
      <x:c r="B1232" s="34" t="str">
        <x:v>MI-1133</x:v>
      </x:c>
      <x:c r="C1232" s="34" t="str">
        <x:v>M4 — اجرا، دانشگاه، صنعت و پروژه‌های اجتماعی</x:v>
      </x:c>
      <x:c r="D1232" s="34" t="str">
        <x:v>H11</x:v>
      </x:c>
      <x:c r="E1232" s="34" t="str">
        <x:v>دانشگاه؛ صنفی، رفاهی، اجرایی و رسانه‌ای</x:v>
      </x:c>
      <x:c r="F1232" s="34" t="str">
        <x:v>DELEGATE/P2</x:v>
      </x:c>
      <x:c r="G1232" s="34" t="str">
        <x:v>هدف/موضوع</x:v>
      </x:c>
      <x:c r="H1232" s="39" t="str">
        <x:v>بیایید بسیج بشیم و تحکیم وحدت کنیم</x:v>
      </x:c>
      <x:c r="I1232" s="39" t="str">
        <x:v>پورتفو؛ واگذاری اجرا و تمرکز بر راهبری</x:v>
      </x:c>
      <x:c r="J1232" s="39" t="str">
        <x:v>PMO/عملیات + روابط عمومی</x:v>
      </x:c>
      <x:c r="K1232" s="39" t="str"/>
      <x:c r="L1232" s="39" t="str">
        <x:v>AP:P982</x:v>
      </x:c>
      <x:c r="M1232" s="39" t="str"/>
      <x:c r="N1232" s="39" t="str">
        <x:v>نسخه پایه ۳۱۵۰</x:v>
      </x:c>
    </x:row>
    <x:row r="1233" ht="34" customHeight="1">
      <x:c r="A1233" s="34" t="str">
        <x:v>☐</x:v>
      </x:c>
      <x:c r="B1233" s="34" t="str">
        <x:v>MI-1134</x:v>
      </x:c>
      <x:c r="C1233" s="34" t="str">
        <x:v>M4 — اجرا، دانشگاه، صنعت و پروژه‌های اجتماعی</x:v>
      </x:c>
      <x:c r="D1233" s="34" t="str">
        <x:v>H11</x:v>
      </x:c>
      <x:c r="E1233" s="34" t="str">
        <x:v>دانشگاه؛ صنفی، رفاهی، اجرایی و رسانه‌ای</x:v>
      </x:c>
      <x:c r="F1233" s="34" t="str">
        <x:v>DELEGATE/P2</x:v>
      </x:c>
      <x:c r="G1233" s="34" t="str">
        <x:v>هدف/موضوع</x:v>
      </x:c>
      <x:c r="H1233" s="39" t="str">
        <x:v>کانون ها استفاده کنید.</x:v>
      </x:c>
      <x:c r="I1233" s="39" t="str">
        <x:v>پورتفو؛ واگذاری اجرا و تمرکز بر راهبری</x:v>
      </x:c>
      <x:c r="J1233" s="39" t="str">
        <x:v>PMO/عملیات + روابط عمومی</x:v>
      </x:c>
      <x:c r="K1233" s="39" t="str"/>
      <x:c r="L1233" s="39" t="str">
        <x:v>AP:P983</x:v>
      </x:c>
      <x:c r="M1233" s="39" t="str"/>
      <x:c r="N1233" s="39" t="str">
        <x:v>نسخه پایه ۳۱۵۰</x:v>
      </x:c>
    </x:row>
    <x:row r="1234" ht="34" customHeight="1">
      <x:c r="A1234" s="34" t="str">
        <x:v>☐</x:v>
      </x:c>
      <x:c r="B1234" s="34" t="str">
        <x:v>MI-1135</x:v>
      </x:c>
      <x:c r="C1234" s="34" t="str">
        <x:v>M4 — اجرا، دانشگاه، صنعت و پروژه‌های اجتماعی</x:v>
      </x:c>
      <x:c r="D1234" s="34" t="str">
        <x:v>H11</x:v>
      </x:c>
      <x:c r="E1234" s="34" t="str">
        <x:v>دانشگاه؛ صنفی، رفاهی، اجرایی و رسانه‌ای</x:v>
      </x:c>
      <x:c r="F1234" s="34" t="str">
        <x:v>DELEGATE/P2</x:v>
      </x:c>
      <x:c r="G1234" s="34" t="str">
        <x:v>هدف/موضوع</x:v>
      </x:c>
      <x:c r="H1234" s="39" t="str">
        <x:v>از پتانسیل بسیج و تحکیم وحدت و سایر</x:v>
      </x:c>
      <x:c r="I1234" s="39" t="str">
        <x:v>پورتفو؛ واگذاری اجرا و تمرکز بر راهبری</x:v>
      </x:c>
      <x:c r="J1234" s="39" t="str">
        <x:v>PMO/عملیات + روابط عمومی</x:v>
      </x:c>
      <x:c r="K1234" s="39" t="str"/>
      <x:c r="L1234" s="39" t="str">
        <x:v>AP:P984</x:v>
      </x:c>
      <x:c r="M1234" s="39" t="str"/>
      <x:c r="N1234" s="39" t="str">
        <x:v>نسخه پایه ۳۱۵۰</x:v>
      </x:c>
    </x:row>
    <x:row r="1235" ht="34" customHeight="1">
      <x:c r="A1235" s="34" t="str">
        <x:v>☐</x:v>
      </x:c>
      <x:c r="B1235" s="34" t="str">
        <x:v>MI-1147</x:v>
      </x:c>
      <x:c r="C1235" s="34" t="str">
        <x:v>M4 — اجرا، دانشگاه، صنعت و پروژه‌های اجتماعی</x:v>
      </x:c>
      <x:c r="D1235" s="34" t="str">
        <x:v>H11</x:v>
      </x:c>
      <x:c r="E1235" s="34" t="str">
        <x:v>دانشگاه؛ صنفی، رفاهی، اجرایی و رسانه‌ای</x:v>
      </x:c>
      <x:c r="F1235" s="34" t="str">
        <x:v>DELEGATE/P2</x:v>
      </x:c>
      <x:c r="G1235" s="34" t="str">
        <x:v>هدف/موضوع</x:v>
      </x:c>
      <x:c r="H1235" s="39" t="str">
        <x:v>ذکر مناجات درخوابگاه ها</x:v>
      </x:c>
      <x:c r="I1235" s="39" t="str">
        <x:v>پورتفو؛ واگذاری اجرا و تمرکز بر راهبری</x:v>
      </x:c>
      <x:c r="J1235" s="39" t="str">
        <x:v>PMO/عملیات + روابط عمومی</x:v>
      </x:c>
      <x:c r="K1235" s="39" t="str"/>
      <x:c r="L1235" s="39" t="str">
        <x:v>AP:P997</x:v>
      </x:c>
      <x:c r="M1235" s="39" t="str"/>
      <x:c r="N1235" s="39" t="str">
        <x:v>نسخه پایه ۳۱۵۰</x:v>
      </x:c>
    </x:row>
    <x:row r="1236" ht="34" customHeight="1">
      <x:c r="A1236" s="34" t="str">
        <x:v>☐</x:v>
      </x:c>
      <x:c r="B1236" s="34" t="str">
        <x:v>MI-1148</x:v>
      </x:c>
      <x:c r="C1236" s="34" t="str">
        <x:v>M4 — اجرا، دانشگاه، صنعت و پروژه‌های اجتماعی</x:v>
      </x:c>
      <x:c r="D1236" s="34" t="str">
        <x:v>H11</x:v>
      </x:c>
      <x:c r="E1236" s="34" t="str">
        <x:v>دانشگاه؛ صنفی، رفاهی، اجرایی و رسانه‌ای</x:v>
      </x:c>
      <x:c r="F1236" s="34" t="str">
        <x:v>DELEGATE/P2</x:v>
      </x:c>
      <x:c r="G1236" s="34" t="str">
        <x:v>هدف/موضوع</x:v>
      </x:c>
      <x:c r="H1236" s="39" t="str">
        <x:v>مسجد دانشگاه و نمازخانه خوابگاه</x:v>
      </x:c>
      <x:c r="I1236" s="39" t="str">
        <x:v>پورتفو؛ واگذاری اجرا و تمرکز بر راهبری</x:v>
      </x:c>
      <x:c r="J1236" s="39" t="str">
        <x:v>PMO/عملیات + روابط عمومی</x:v>
      </x:c>
      <x:c r="K1236" s="39" t="str"/>
      <x:c r="L1236" s="39" t="str">
        <x:v>AP:P998</x:v>
      </x:c>
      <x:c r="M1236" s="39" t="str"/>
      <x:c r="N1236" s="39" t="str">
        <x:v>نسخه پایه ۳۱۵۰</x:v>
      </x:c>
    </x:row>
    <x:row r="1237" ht="34" customHeight="1">
      <x:c r="A1237" s="34" t="str">
        <x:v>☐</x:v>
      </x:c>
      <x:c r="B1237" s="34" t="str">
        <x:v>MI-1150</x:v>
      </x:c>
      <x:c r="C1237" s="34" t="str">
        <x:v>M4 — اجرا، دانشگاه، صنعت و پروژه‌های اجتماعی</x:v>
      </x:c>
      <x:c r="D1237" s="34" t="str">
        <x:v>H11</x:v>
      </x:c>
      <x:c r="E1237" s="34" t="str">
        <x:v>دانشگاه؛ صنفی، رفاهی، اجرایی و رسانه‌ای</x:v>
      </x:c>
      <x:c r="F1237" s="34" t="str">
        <x:v>DELEGATE/P2</x:v>
      </x:c>
      <x:c r="G1237" s="34" t="str">
        <x:v>هدف/موضوع</x:v>
      </x:c>
      <x:c r="H1237" s="39" t="str">
        <x:v>پخش کلیپ بین دو نماز</x:v>
      </x:c>
      <x:c r="I1237" s="39" t="str">
        <x:v>پورتفو؛ واگذاری اجرا و تمرکز بر راهبری</x:v>
      </x:c>
      <x:c r="J1237" s="39" t="str">
        <x:v>PMO/عملیات + روابط عمومی</x:v>
      </x:c>
      <x:c r="K1237" s="39" t="str"/>
      <x:c r="L1237" s="39" t="str">
        <x:v>AP:P1000</x:v>
      </x:c>
      <x:c r="M1237" s="39" t="str"/>
      <x:c r="N1237" s="39" t="str">
        <x:v>نسخه پایه ۳۱۵۰</x:v>
      </x:c>
    </x:row>
    <x:row r="1238" ht="34" customHeight="1">
      <x:c r="A1238" s="34" t="str">
        <x:v>☐</x:v>
      </x:c>
      <x:c r="B1238" s="34" t="str">
        <x:v>MI-1151</x:v>
      </x:c>
      <x:c r="C1238" s="34" t="str">
        <x:v>M4 — اجرا، دانشگاه، صنعت و پروژه‌های اجتماعی</x:v>
      </x:c>
      <x:c r="D1238" s="34" t="str">
        <x:v>H11</x:v>
      </x:c>
      <x:c r="E1238" s="34" t="str">
        <x:v>دانشگاه؛ صنفی، رفاهی، اجرایی و رسانه‌ای</x:v>
      </x:c>
      <x:c r="F1238" s="34" t="str">
        <x:v>DELEGATE/P2</x:v>
      </x:c>
      <x:c r="G1238" s="34" t="str">
        <x:v>هدف/موضوع</x:v>
      </x:c>
      <x:c r="H1238" s="39" t="str">
        <x:v>بررسی سیستم صوتی دانشگاه</x:v>
      </x:c>
      <x:c r="I1238" s="39" t="str">
        <x:v>پورتفو؛ واگذاری اجرا و تمرکز بر راهبری</x:v>
      </x:c>
      <x:c r="J1238" s="39" t="str">
        <x:v>PMO/عملیات + روابط عمومی</x:v>
      </x:c>
      <x:c r="K1238" s="39" t="str"/>
      <x:c r="L1238" s="39" t="str">
        <x:v>AP:P1001</x:v>
      </x:c>
      <x:c r="M1238" s="39" t="str"/>
      <x:c r="N1238" s="39" t="str">
        <x:v>نسخه پایه ۳۱۵۰</x:v>
      </x:c>
    </x:row>
    <x:row r="1239" ht="34" customHeight="1">
      <x:c r="A1239" s="34" t="str">
        <x:v>☐</x:v>
      </x:c>
      <x:c r="B1239" s="34" t="str">
        <x:v>MI-1152</x:v>
      </x:c>
      <x:c r="C1239" s="34" t="str">
        <x:v>M4 — اجرا، دانشگاه، صنعت و پروژه‌های اجتماعی</x:v>
      </x:c>
      <x:c r="D1239" s="34" t="str">
        <x:v>H11</x:v>
      </x:c>
      <x:c r="E1239" s="34" t="str">
        <x:v>دانشگاه؛ صنفی، رفاهی، اجرایی و رسانه‌ای</x:v>
      </x:c>
      <x:c r="F1239" s="34" t="str">
        <x:v>DELEGATE/P2</x:v>
      </x:c>
      <x:c r="G1239" s="34" t="str">
        <x:v>هدف/موضوع</x:v>
      </x:c>
      <x:c r="H1239" s="39" t="str">
        <x:v>پخش کننده اذان در خوابگاه امینیان</x:v>
      </x:c>
      <x:c r="I1239" s="39" t="str">
        <x:v>پورتفو؛ واگذاری اجرا و تمرکز بر راهبری</x:v>
      </x:c>
      <x:c r="J1239" s="39" t="str">
        <x:v>PMO/عملیات + روابط عمومی</x:v>
      </x:c>
      <x:c r="K1239" s="39" t="str"/>
      <x:c r="L1239" s="39" t="str">
        <x:v>AP:P1002</x:v>
      </x:c>
      <x:c r="M1239" s="39" t="str"/>
      <x:c r="N1239" s="39" t="str">
        <x:v>نسخه پایه ۳۱۵۰</x:v>
      </x:c>
    </x:row>
    <x:row r="1240" ht="34" customHeight="1">
      <x:c r="A1240" s="34" t="str">
        <x:v>☐</x:v>
      </x:c>
      <x:c r="B1240" s="34" t="str">
        <x:v>MI-1153</x:v>
      </x:c>
      <x:c r="C1240" s="34" t="str">
        <x:v>M4 — اجرا، دانشگاه، صنعت و پروژه‌های اجتماعی</x:v>
      </x:c>
      <x:c r="D1240" s="34" t="str">
        <x:v>H11</x:v>
      </x:c>
      <x:c r="E1240" s="34" t="str">
        <x:v>دانشگاه؛ صنفی، رفاهی، اجرایی و رسانه‌ای</x:v>
      </x:c>
      <x:c r="F1240" s="34" t="str">
        <x:v>DELEGATE/P2</x:v>
      </x:c>
      <x:c r="G1240" s="34" t="str">
        <x:v>هدف/موضوع</x:v>
      </x:c>
      <x:c r="H1240" s="39" t="str">
        <x:v>نظافت مسجد و نمازخانه</x:v>
      </x:c>
      <x:c r="I1240" s="39" t="str">
        <x:v>پورتفو؛ واگذاری اجرا و تمرکز بر راهبری</x:v>
      </x:c>
      <x:c r="J1240" s="39" t="str">
        <x:v>PMO/عملیات + روابط عمومی</x:v>
      </x:c>
      <x:c r="K1240" s="39" t="str"/>
      <x:c r="L1240" s="39" t="str">
        <x:v>AP:P1003</x:v>
      </x:c>
      <x:c r="M1240" s="39" t="str"/>
      <x:c r="N1240" s="39" t="str">
        <x:v>نسخه پایه ۳۱۵۰</x:v>
      </x:c>
    </x:row>
    <x:row r="1241" ht="34" customHeight="1">
      <x:c r="A1241" s="34" t="str">
        <x:v>☐</x:v>
      </x:c>
      <x:c r="B1241" s="34" t="str">
        <x:v>MI-1154</x:v>
      </x:c>
      <x:c r="C1241" s="34" t="str">
        <x:v>M4 — اجرا، دانشگاه، صنعت و پروژه‌های اجتماعی</x:v>
      </x:c>
      <x:c r="D1241" s="34" t="str">
        <x:v>H11</x:v>
      </x:c>
      <x:c r="E1241" s="34" t="str">
        <x:v>دانشگاه؛ صنفی، رفاهی، اجرایی و رسانه‌ای</x:v>
      </x:c>
      <x:c r="F1241" s="34" t="str">
        <x:v>DELEGATE/P2</x:v>
      </x:c>
      <x:c r="G1241" s="34" t="str">
        <x:v>هدف/موضوع</x:v>
      </x:c>
      <x:c r="H1241" s="39" t="str">
        <x:v>سرویس های بهداشتی مسجد دانشگاه</x:v>
      </x:c>
      <x:c r="I1241" s="39" t="str">
        <x:v>پورتفو؛ واگذاری اجرا و تمرکز بر راهبری</x:v>
      </x:c>
      <x:c r="J1241" s="39" t="str">
        <x:v>PMO/عملیات + روابط عمومی</x:v>
      </x:c>
      <x:c r="K1241" s="39" t="str"/>
      <x:c r="L1241" s="39" t="str">
        <x:v>AP:P1004</x:v>
      </x:c>
      <x:c r="M1241" s="39" t="str"/>
      <x:c r="N1241" s="39" t="str">
        <x:v>نسخه پایه ۳۱۵۰</x:v>
      </x:c>
    </x:row>
    <x:row r="1242" ht="34" customHeight="1">
      <x:c r="A1242" s="34" t="str">
        <x:v>☐</x:v>
      </x:c>
      <x:c r="B1242" s="34" t="str">
        <x:v>MI-1155</x:v>
      </x:c>
      <x:c r="C1242" s="34" t="str">
        <x:v>M4 — اجرا، دانشگاه، صنعت و پروژه‌های اجتماعی</x:v>
      </x:c>
      <x:c r="D1242" s="34" t="str">
        <x:v>H11</x:v>
      </x:c>
      <x:c r="E1242" s="34" t="str">
        <x:v>دانشگاه؛ صنفی، رفاهی، اجرایی و رسانه‌ای</x:v>
      </x:c>
      <x:c r="F1242" s="34" t="str">
        <x:v>DELEGATE/P2</x:v>
      </x:c>
      <x:c r="G1242" s="34" t="str">
        <x:v>هدف/موضوع</x:v>
      </x:c>
      <x:c r="H1242" s="39" t="str">
        <x:v>ابگرمکن سرویس بهداشتی دانشگاه</x:v>
      </x:c>
      <x:c r="I1242" s="39" t="str">
        <x:v>پورتفو؛ واگذاری اجرا و تمرکز بر راهبری</x:v>
      </x:c>
      <x:c r="J1242" s="39" t="str">
        <x:v>PMO/عملیات + روابط عمومی</x:v>
      </x:c>
      <x:c r="K1242" s="39" t="str"/>
      <x:c r="L1242" s="39" t="str">
        <x:v>AP:P1005</x:v>
      </x:c>
      <x:c r="M1242" s="39" t="str"/>
      <x:c r="N1242" s="39" t="str">
        <x:v>نسخه پایه ۳۱۵۰</x:v>
      </x:c>
    </x:row>
    <x:row r="1243" ht="34" customHeight="1">
      <x:c r="A1243" s="34" t="str">
        <x:v>☐</x:v>
      </x:c>
      <x:c r="B1243" s="34" t="str">
        <x:v>MI-1156</x:v>
      </x:c>
      <x:c r="C1243" s="34" t="str">
        <x:v>M4 — اجرا، دانشگاه، صنعت و پروژه‌های اجتماعی</x:v>
      </x:c>
      <x:c r="D1243" s="34" t="str">
        <x:v>H11</x:v>
      </x:c>
      <x:c r="E1243" s="34" t="str">
        <x:v>دانشگاه؛ صنفی، رفاهی، اجرایی و رسانه‌ای</x:v>
      </x:c>
      <x:c r="F1243" s="34" t="str">
        <x:v>DELEGATE/P2</x:v>
      </x:c>
      <x:c r="G1243" s="34" t="str">
        <x:v>هدف/موضوع</x:v>
      </x:c>
      <x:c r="H1243" s="39" t="str">
        <x:v>استخر منابع انسانی</x:v>
      </x:c>
      <x:c r="I1243" s="39" t="str">
        <x:v>پورتفو؛ واگذاری اجرا و تمرکز بر راهبری</x:v>
      </x:c>
      <x:c r="J1243" s="39" t="str">
        <x:v>PMO/عملیات + روابط عمومی</x:v>
      </x:c>
      <x:c r="K1243" s="39" t="str"/>
      <x:c r="L1243" s="39" t="str">
        <x:v>AP:P1006</x:v>
      </x:c>
      <x:c r="M1243" s="39" t="str"/>
      <x:c r="N1243" s="39" t="str">
        <x:v>نسخه پایه ۳۱۵۰</x:v>
      </x:c>
    </x:row>
    <x:row r="1244" ht="34" customHeight="1">
      <x:c r="A1244" s="34" t="str">
        <x:v>☐</x:v>
      </x:c>
      <x:c r="B1244" s="34" t="str">
        <x:v>MI-1159</x:v>
      </x:c>
      <x:c r="C1244" s="34" t="str">
        <x:v>M4 — اجرا، دانشگاه، صنعت و پروژه‌های اجتماعی</x:v>
      </x:c>
      <x:c r="D1244" s="34" t="str">
        <x:v>H11</x:v>
      </x:c>
      <x:c r="E1244" s="34" t="str">
        <x:v>دانشگاه؛ صنفی، رفاهی، اجرایی و رسانه‌ای</x:v>
      </x:c>
      <x:c r="F1244" s="34" t="str">
        <x:v>DELEGATE/P2</x:v>
      </x:c>
      <x:c r="G1244" s="34" t="str">
        <x:v>هدف/موضوع</x:v>
      </x:c>
      <x:c r="H1244" s="39" t="str">
        <x:v>حوزه ها</x:v>
      </x:c>
      <x:c r="I1244" s="39" t="str">
        <x:v>پورتفو؛ واگذاری اجرا و تمرکز بر راهبری</x:v>
      </x:c>
      <x:c r="J1244" s="39" t="str">
        <x:v>PMO/عملیات + روابط عمومی</x:v>
      </x:c>
      <x:c r="K1244" s="39" t="str"/>
      <x:c r="L1244" s="39" t="str">
        <x:v>AP:P1011؛ E112:P1290</x:v>
      </x:c>
      <x:c r="M1244" s="39" t="str"/>
      <x:c r="N1244" s="39" t="str">
        <x:v>نسخه پایه ۳۱۵۰</x:v>
      </x:c>
    </x:row>
    <x:row r="1245" ht="34" customHeight="1">
      <x:c r="A1245" s="34" t="str">
        <x:v>☐</x:v>
      </x:c>
      <x:c r="B1245" s="34" t="str">
        <x:v>MI-1163</x:v>
      </x:c>
      <x:c r="C1245" s="34" t="str">
        <x:v>M4 — اجرا، دانشگاه، صنعت و پروژه‌های اجتماعی</x:v>
      </x:c>
      <x:c r="D1245" s="34" t="str">
        <x:v>H11</x:v>
      </x:c>
      <x:c r="E1245" s="34" t="str">
        <x:v>دانشگاه؛ صنفی، رفاهی، اجرایی و رسانه‌ای</x:v>
      </x:c>
      <x:c r="F1245" s="34" t="str">
        <x:v>DELEGATE/P2</x:v>
      </x:c>
      <x:c r="G1245" s="34" t="str">
        <x:v>هدف/موضوع</x:v>
      </x:c>
      <x:c r="H1245" s="39" t="str">
        <x:v>حوزه رشد</x:v>
      </x:c>
      <x:c r="I1245" s="39" t="str">
        <x:v>پورتفو؛ واگذاری اجرا و تمرکز بر راهبری</x:v>
      </x:c>
      <x:c r="J1245" s="39" t="str">
        <x:v>PMO/عملیات + روابط عمومی</x:v>
      </x:c>
      <x:c r="K1245" s="39" t="str"/>
      <x:c r="L1245" s="39" t="str">
        <x:v>AP:P1016</x:v>
      </x:c>
      <x:c r="M1245" s="39" t="str"/>
      <x:c r="N1245" s="39" t="str">
        <x:v>نسخه پایه ۳۱۵۰</x:v>
      </x:c>
    </x:row>
    <x:row r="1246" ht="34" customHeight="1">
      <x:c r="A1246" s="34" t="str">
        <x:v>☐</x:v>
      </x:c>
      <x:c r="B1246" s="34" t="str">
        <x:v>MI-1164</x:v>
      </x:c>
      <x:c r="C1246" s="34" t="str">
        <x:v>M4 — اجرا، دانشگاه، صنعت و پروژه‌های اجتماعی</x:v>
      </x:c>
      <x:c r="D1246" s="34" t="str">
        <x:v>H11</x:v>
      </x:c>
      <x:c r="E1246" s="34" t="str">
        <x:v>دانشگاه؛ صنفی، رفاهی، اجرایی و رسانه‌ای</x:v>
      </x:c>
      <x:c r="F1246" s="34" t="str">
        <x:v>DELEGATE/P2</x:v>
      </x:c>
      <x:c r="G1246" s="34" t="str">
        <x:v>هدف/موضوع</x:v>
      </x:c>
      <x:c r="H1246" s="39" t="str">
        <x:v>فرهودی</x:v>
      </x:c>
      <x:c r="I1246" s="39" t="str">
        <x:v>پورتفو؛ واگذاری اجرا و تمرکز بر راهبری</x:v>
      </x:c>
      <x:c r="J1246" s="39" t="str">
        <x:v>PMO/عملیات + روابط عمومی</x:v>
      </x:c>
      <x:c r="K1246" s="39" t="str"/>
      <x:c r="L1246" s="39" t="str">
        <x:v>AP:P1017</x:v>
      </x:c>
      <x:c r="M1246" s="39" t="str"/>
      <x:c r="N1246" s="39" t="str">
        <x:v>نسخه پایه ۳۱۵۰</x:v>
      </x:c>
    </x:row>
    <x:row r="1247" ht="34" customHeight="1">
      <x:c r="A1247" s="34" t="str">
        <x:v>☐</x:v>
      </x:c>
      <x:c r="B1247" s="34" t="str">
        <x:v>MI-1165</x:v>
      </x:c>
      <x:c r="C1247" s="34" t="str">
        <x:v>M4 — اجرا، دانشگاه، صنعت و پروژه‌های اجتماعی</x:v>
      </x:c>
      <x:c r="D1247" s="34" t="str">
        <x:v>H11</x:v>
      </x:c>
      <x:c r="E1247" s="34" t="str">
        <x:v>دانشگاه؛ صنفی، رفاهی، اجرایی و رسانه‌ای</x:v>
      </x:c>
      <x:c r="F1247" s="34" t="str">
        <x:v>DELEGATE/P2</x:v>
      </x:c>
      <x:c r="G1247" s="34" t="str">
        <x:v>هدف/موضوع</x:v>
      </x:c>
      <x:c r="H1247" s="39" t="str">
        <x:v>فنجو</x:v>
      </x:c>
      <x:c r="I1247" s="39" t="str">
        <x:v>پورتفو؛ واگذاری اجرا و تمرکز بر راهبری</x:v>
      </x:c>
      <x:c r="J1247" s="39" t="str">
        <x:v>PMO/عملیات + روابط عمومی</x:v>
      </x:c>
      <x:c r="K1247" s="39" t="str"/>
      <x:c r="L1247" s="39" t="str">
        <x:v>AP:P1018</x:v>
      </x:c>
      <x:c r="M1247" s="39" t="str"/>
      <x:c r="N1247" s="39" t="str">
        <x:v>نسخه پایه ۳۱۵۰</x:v>
      </x:c>
    </x:row>
    <x:row r="1248" ht="34" customHeight="1">
      <x:c r="A1248" s="34" t="str">
        <x:v>☐</x:v>
      </x:c>
      <x:c r="B1248" s="34" t="str">
        <x:v>MI-1170</x:v>
      </x:c>
      <x:c r="C1248" s="34" t="str">
        <x:v>M4 — اجرا، دانشگاه، صنعت و پروژه‌های اجتماعی</x:v>
      </x:c>
      <x:c r="D1248" s="34" t="str">
        <x:v>H11</x:v>
      </x:c>
      <x:c r="E1248" s="34" t="str">
        <x:v>دانشگاه؛ صنفی، رفاهی، اجرایی و رسانه‌ای</x:v>
      </x:c>
      <x:c r="F1248" s="34" t="str">
        <x:v>DELEGATE/P2</x:v>
      </x:c>
      <x:c r="G1248" s="34" t="str">
        <x:v>هدف/موضوع</x:v>
      </x:c>
      <x:c r="H1248" s="39" t="str">
        <x:v>ریاضی</x:v>
      </x:c>
      <x:c r="I1248" s="39" t="str">
        <x:v>پورتفو؛ واگذاری اجرا و تمرکز بر راهبری</x:v>
      </x:c>
      <x:c r="J1248" s="39" t="str">
        <x:v>PMO/عملیات + روابط عمومی</x:v>
      </x:c>
      <x:c r="K1248" s="39" t="str"/>
      <x:c r="L1248" s="39" t="str">
        <x:v>AP:P1024</x:v>
      </x:c>
      <x:c r="M1248" s="39" t="str"/>
      <x:c r="N1248" s="39" t="str">
        <x:v>نسخه پایه ۳۱۵۰</x:v>
      </x:c>
    </x:row>
    <x:row r="1249" ht="34" customHeight="1">
      <x:c r="A1249" s="34" t="str">
        <x:v>☐</x:v>
      </x:c>
      <x:c r="B1249" s="34" t="str">
        <x:v>MI-1171</x:v>
      </x:c>
      <x:c r="C1249" s="34" t="str">
        <x:v>M4 — اجرا، دانشگاه، صنعت و پروژه‌های اجتماعی</x:v>
      </x:c>
      <x:c r="D1249" s="34" t="str">
        <x:v>H11</x:v>
      </x:c>
      <x:c r="E1249" s="34" t="str">
        <x:v>دانشگاه؛ صنفی، رفاهی، اجرایی و رسانه‌ای</x:v>
      </x:c>
      <x:c r="F1249" s="34" t="str">
        <x:v>DELEGATE/P2</x:v>
      </x:c>
      <x:c r="G1249" s="34" t="str">
        <x:v>هدف/موضوع</x:v>
      </x:c>
      <x:c r="H1249" s="39" t="str">
        <x:v>فیزیک</x:v>
      </x:c>
      <x:c r="I1249" s="39" t="str">
        <x:v>پورتفو؛ واگذاری اجرا و تمرکز بر راهبری</x:v>
      </x:c>
      <x:c r="J1249" s="39" t="str">
        <x:v>PMO/عملیات + روابط عمومی</x:v>
      </x:c>
      <x:c r="K1249" s="39" t="str"/>
      <x:c r="L1249" s="39" t="str">
        <x:v>AP:P1025</x:v>
      </x:c>
      <x:c r="M1249" s="39" t="str"/>
      <x:c r="N1249" s="39" t="str">
        <x:v>نسخه پایه ۳۱۵۰</x:v>
      </x:c>
    </x:row>
    <x:row r="1250" ht="34" customHeight="1">
      <x:c r="A1250" s="34" t="str">
        <x:v>☐</x:v>
      </x:c>
      <x:c r="B1250" s="34" t="str">
        <x:v>MI-1172</x:v>
      </x:c>
      <x:c r="C1250" s="34" t="str">
        <x:v>M4 — اجرا، دانشگاه، صنعت و پروژه‌های اجتماعی</x:v>
      </x:c>
      <x:c r="D1250" s="34" t="str">
        <x:v>H11</x:v>
      </x:c>
      <x:c r="E1250" s="34" t="str">
        <x:v>دانشگاه؛ صنفی، رفاهی، اجرایی و رسانه‌ای</x:v>
      </x:c>
      <x:c r="F1250" s="34" t="str">
        <x:v>DELEGATE/P2</x:v>
      </x:c>
      <x:c r="G1250" s="34" t="str">
        <x:v>هدف/موضوع</x:v>
      </x:c>
      <x:c r="H1250" s="39" t="str">
        <x:v>علم و فناوری</x:v>
      </x:c>
      <x:c r="I1250" s="39" t="str">
        <x:v>پورتفو؛ واگذاری اجرا و تمرکز بر راهبری</x:v>
      </x:c>
      <x:c r="J1250" s="39" t="str">
        <x:v>PMO/عملیات + روابط عمومی</x:v>
      </x:c>
      <x:c r="K1250" s="39" t="str"/>
      <x:c r="L1250" s="39" t="str">
        <x:v>AP:P1026؛ E112:P475</x:v>
      </x:c>
      <x:c r="M1250" s="39" t="str"/>
      <x:c r="N1250" s="39" t="str">
        <x:v>نسخه پایه ۳۱۵۰</x:v>
      </x:c>
    </x:row>
    <x:row r="1251" ht="34" customHeight="1">
      <x:c r="A1251" s="34" t="str">
        <x:v>☐</x:v>
      </x:c>
      <x:c r="B1251" s="34" t="str">
        <x:v>MI-1173</x:v>
      </x:c>
      <x:c r="C1251" s="34" t="str">
        <x:v>M4 — اجرا، دانشگاه، صنعت و پروژه‌های اجتماعی</x:v>
      </x:c>
      <x:c r="D1251" s="34" t="str">
        <x:v>H11</x:v>
      </x:c>
      <x:c r="E1251" s="34" t="str">
        <x:v>دانشگاه؛ صنفی، رفاهی، اجرایی و رسانه‌ای</x:v>
      </x:c>
      <x:c r="F1251" s="34" t="str">
        <x:v>DELEGATE/P2</x:v>
      </x:c>
      <x:c r="G1251" s="34" t="str">
        <x:v>هدف/موضوع</x:v>
      </x:c>
      <x:c r="H1251" s="39" t="str">
        <x:v>معین</x:v>
      </x:c>
      <x:c r="I1251" s="39" t="str">
        <x:v>پورتفو؛ واگذاری اجرا و تمرکز بر راهبری</x:v>
      </x:c>
      <x:c r="J1251" s="39" t="str">
        <x:v>PMO/عملیات + روابط عمومی</x:v>
      </x:c>
      <x:c r="K1251" s="39" t="str"/>
      <x:c r="L1251" s="39" t="str">
        <x:v>AP:P1027</x:v>
      </x:c>
      <x:c r="M1251" s="39" t="str"/>
      <x:c r="N1251" s="39" t="str">
        <x:v>نسخه پایه ۳۱۵۰</x:v>
      </x:c>
    </x:row>
    <x:row r="1252" ht="34" customHeight="1">
      <x:c r="A1252" s="34" t="str">
        <x:v>☐</x:v>
      </x:c>
      <x:c r="B1252" s="34" t="str">
        <x:v>MI-1174</x:v>
      </x:c>
      <x:c r="C1252" s="34" t="str">
        <x:v>M4 — اجرا، دانشگاه، صنعت و پروژه‌های اجتماعی</x:v>
      </x:c>
      <x:c r="D1252" s="34" t="str">
        <x:v>H11</x:v>
      </x:c>
      <x:c r="E1252" s="34" t="str">
        <x:v>دانشگاه؛ صنفی، رفاهی، اجرایی و رسانه‌ای</x:v>
      </x:c>
      <x:c r="F1252" s="34" t="str">
        <x:v>DELEGATE/P2</x:v>
      </x:c>
      <x:c r="G1252" s="34" t="str">
        <x:v>هدف/موضوع</x:v>
      </x:c>
      <x:c r="H1252" s="39" t="str">
        <x:v>جعفری</x:v>
      </x:c>
      <x:c r="I1252" s="39" t="str">
        <x:v>پورتفو؛ واگذاری اجرا و تمرکز بر راهبری</x:v>
      </x:c>
      <x:c r="J1252" s="39" t="str">
        <x:v>PMO/عملیات + روابط عمومی</x:v>
      </x:c>
      <x:c r="K1252" s="39" t="str"/>
      <x:c r="L1252" s="39" t="str">
        <x:v>AP:P1028</x:v>
      </x:c>
      <x:c r="M1252" s="39" t="str"/>
      <x:c r="N1252" s="39" t="str">
        <x:v>نسخه پایه ۳۱۵۰</x:v>
      </x:c>
    </x:row>
    <x:row r="1253" ht="34" customHeight="1">
      <x:c r="A1253" s="34" t="str">
        <x:v>☐</x:v>
      </x:c>
      <x:c r="B1253" s="34" t="str">
        <x:v>MI-1175</x:v>
      </x:c>
      <x:c r="C1253" s="34" t="str">
        <x:v>M4 — اجرا، دانشگاه، صنعت و پروژه‌های اجتماعی</x:v>
      </x:c>
      <x:c r="D1253" s="34" t="str">
        <x:v>H11</x:v>
      </x:c>
      <x:c r="E1253" s="34" t="str">
        <x:v>دانشگاه؛ صنفی، رفاهی، اجرایی و رسانه‌ای</x:v>
      </x:c>
      <x:c r="F1253" s="34" t="str">
        <x:v>DELEGATE/P2</x:v>
      </x:c>
      <x:c r="G1253" s="34" t="str">
        <x:v>هدف/موضوع</x:v>
      </x:c>
      <x:c r="H1253" s="39" t="str">
        <x:v>صادقی</x:v>
      </x:c>
      <x:c r="I1253" s="39" t="str">
        <x:v>پورتفو؛ واگذاری اجرا و تمرکز بر راهبری</x:v>
      </x:c>
      <x:c r="J1253" s="39" t="str">
        <x:v>PMO/عملیات + روابط عمومی</x:v>
      </x:c>
      <x:c r="K1253" s="39" t="str"/>
      <x:c r="L1253" s="39" t="str">
        <x:v>AP:P1029</x:v>
      </x:c>
      <x:c r="M1253" s="39" t="str"/>
      <x:c r="N1253" s="39" t="str">
        <x:v>نسخه پایه ۳۱۵۰</x:v>
      </x:c>
    </x:row>
    <x:row r="1254" ht="34" customHeight="1">
      <x:c r="A1254" s="34" t="str">
        <x:v>☐</x:v>
      </x:c>
      <x:c r="B1254" s="34" t="str">
        <x:v>MI-1176</x:v>
      </x:c>
      <x:c r="C1254" s="34" t="str">
        <x:v>M4 — اجرا، دانشگاه، صنعت و پروژه‌های اجتماعی</x:v>
      </x:c>
      <x:c r="D1254" s="34" t="str">
        <x:v>H11</x:v>
      </x:c>
      <x:c r="E1254" s="34" t="str">
        <x:v>دانشگاه؛ صنفی، رفاهی، اجرایی و رسانه‌ای</x:v>
      </x:c>
      <x:c r="F1254" s="34" t="str">
        <x:v>DELEGATE/P2</x:v>
      </x:c>
      <x:c r="G1254" s="34" t="str">
        <x:v>هدف/موضوع</x:v>
      </x:c>
      <x:c r="H1254" s="39" t="str">
        <x:v>چراغعلی</x:v>
      </x:c>
      <x:c r="I1254" s="39" t="str">
        <x:v>پورتفو؛ واگذاری اجرا و تمرکز بر راهبری</x:v>
      </x:c>
      <x:c r="J1254" s="39" t="str">
        <x:v>PMO/عملیات + روابط عمومی</x:v>
      </x:c>
      <x:c r="K1254" s="39" t="str"/>
      <x:c r="L1254" s="39" t="str">
        <x:v>AP:P1030</x:v>
      </x:c>
      <x:c r="M1254" s="39" t="str"/>
      <x:c r="N1254" s="39" t="str">
        <x:v>نسخه پایه ۳۱۵۰</x:v>
      </x:c>
    </x:row>
    <x:row r="1255" ht="34" customHeight="1">
      <x:c r="A1255" s="34" t="str">
        <x:v>☐</x:v>
      </x:c>
      <x:c r="B1255" s="34" t="str">
        <x:v>MI-1177</x:v>
      </x:c>
      <x:c r="C1255" s="34" t="str">
        <x:v>M4 — اجرا، دانشگاه، صنعت و پروژه‌های اجتماعی</x:v>
      </x:c>
      <x:c r="D1255" s="34" t="str">
        <x:v>H11</x:v>
      </x:c>
      <x:c r="E1255" s="34" t="str">
        <x:v>دانشگاه؛ صنفی، رفاهی، اجرایی و رسانه‌ای</x:v>
      </x:c>
      <x:c r="F1255" s="34" t="str">
        <x:v>DELEGATE/P2</x:v>
      </x:c>
      <x:c r="G1255" s="34" t="str">
        <x:v>هدف/موضوع</x:v>
      </x:c>
      <x:c r="H1255" s="39" t="str">
        <x:v>اسدی</x:v>
      </x:c>
      <x:c r="I1255" s="39" t="str">
        <x:v>پورتفو؛ واگذاری اجرا و تمرکز بر راهبری</x:v>
      </x:c>
      <x:c r="J1255" s="39" t="str">
        <x:v>PMO/عملیات + روابط عمومی</x:v>
      </x:c>
      <x:c r="K1255" s="39" t="str"/>
      <x:c r="L1255" s="39" t="str">
        <x:v>AP:P1031</x:v>
      </x:c>
      <x:c r="M1255" s="39" t="str"/>
      <x:c r="N1255" s="39" t="str">
        <x:v>نسخه پایه ۳۱۵۰</x:v>
      </x:c>
    </x:row>
    <x:row r="1256" ht="34" customHeight="1">
      <x:c r="A1256" s="34" t="str">
        <x:v>☐</x:v>
      </x:c>
      <x:c r="B1256" s="34" t="str">
        <x:v>MI-1178</x:v>
      </x:c>
      <x:c r="C1256" s="34" t="str">
        <x:v>M4 — اجرا، دانشگاه، صنعت و پروژه‌های اجتماعی</x:v>
      </x:c>
      <x:c r="D1256" s="34" t="str">
        <x:v>H11</x:v>
      </x:c>
      <x:c r="E1256" s="34" t="str">
        <x:v>دانشگاه؛ صنفی، رفاهی، اجرایی و رسانه‌ای</x:v>
      </x:c>
      <x:c r="F1256" s="34" t="str">
        <x:v>DELEGATE/P2</x:v>
      </x:c>
      <x:c r="G1256" s="34" t="str">
        <x:v>هدف/موضوع</x:v>
      </x:c>
      <x:c r="H1256" s="39" t="str">
        <x:v>مشاوره و صحبت</x:v>
      </x:c>
      <x:c r="I1256" s="39" t="str">
        <x:v>پورتفو؛ واگذاری اجرا و تمرکز بر راهبری</x:v>
      </x:c>
      <x:c r="J1256" s="39" t="str">
        <x:v>PMO/عملیات + روابط عمومی</x:v>
      </x:c>
      <x:c r="K1256" s="39" t="str"/>
      <x:c r="L1256" s="39" t="str">
        <x:v>AP:P1033</x:v>
      </x:c>
      <x:c r="M1256" s="39" t="str"/>
      <x:c r="N1256" s="39" t="str">
        <x:v>نسخه پایه ۳۱۵۰</x:v>
      </x:c>
    </x:row>
    <x:row r="1257" ht="34" customHeight="1">
      <x:c r="A1257" s="34" t="str">
        <x:v>☐</x:v>
      </x:c>
      <x:c r="B1257" s="34" t="str">
        <x:v>MI-1179</x:v>
      </x:c>
      <x:c r="C1257" s="34" t="str">
        <x:v>M4 — اجرا، دانشگاه، صنعت و پروژه‌های اجتماعی</x:v>
      </x:c>
      <x:c r="D1257" s="34" t="str">
        <x:v>H11</x:v>
      </x:c>
      <x:c r="E1257" s="34" t="str">
        <x:v>دانشگاه؛ صنفی، رفاهی، اجرایی و رسانه‌ای</x:v>
      </x:c>
      <x:c r="F1257" s="34" t="str">
        <x:v>DELEGATE/P2</x:v>
      </x:c>
      <x:c r="G1257" s="34" t="str">
        <x:v>هدف/موضوع</x:v>
      </x:c>
      <x:c r="H1257" s="39" t="str">
        <x:v>حوزه دعای توسل</x:v>
      </x:c>
      <x:c r="I1257" s="39" t="str">
        <x:v>پورتفو؛ واگذاری اجرا و تمرکز بر راهبری</x:v>
      </x:c>
      <x:c r="J1257" s="39" t="str">
        <x:v>PMO/عملیات + روابط عمومی</x:v>
      </x:c>
      <x:c r="K1257" s="39" t="str"/>
      <x:c r="L1257" s="39" t="str">
        <x:v>AP:P1034</x:v>
      </x:c>
      <x:c r="M1257" s="39" t="str"/>
      <x:c r="N1257" s="39" t="str">
        <x:v>نسخه پایه ۳۱۵۰</x:v>
      </x:c>
    </x:row>
    <x:row r="1258" ht="34" customHeight="1">
      <x:c r="A1258" s="34" t="str">
        <x:v>☐</x:v>
      </x:c>
      <x:c r="B1258" s="34" t="str">
        <x:v>MI-1182</x:v>
      </x:c>
      <x:c r="C1258" s="34" t="str">
        <x:v>M4 — اجرا، دانشگاه، صنعت و پروژه‌های اجتماعی</x:v>
      </x:c>
      <x:c r="D1258" s="34" t="str">
        <x:v>H11</x:v>
      </x:c>
      <x:c r="E1258" s="34" t="str">
        <x:v>دانشگاه؛ صنفی، رفاهی، اجرایی و رسانه‌ای</x:v>
      </x:c>
      <x:c r="F1258" s="34" t="str">
        <x:v>DELEGATE/P2</x:v>
      </x:c>
      <x:c r="G1258" s="34" t="str">
        <x:v>هدف/موضوع</x:v>
      </x:c>
      <x:c r="H1258" s="39" t="str">
        <x:v>حزوه سراج</x:v>
      </x:c>
      <x:c r="I1258" s="39" t="str">
        <x:v>پورتفو؛ واگذاری اجرا و تمرکز بر راهبری</x:v>
      </x:c>
      <x:c r="J1258" s="39" t="str">
        <x:v>PMO/عملیات + روابط عمومی</x:v>
      </x:c>
      <x:c r="K1258" s="39" t="str"/>
      <x:c r="L1258" s="39" t="str">
        <x:v>AP:P1037</x:v>
      </x:c>
      <x:c r="M1258" s="39" t="str"/>
      <x:c r="N1258" s="39" t="str">
        <x:v>نسخه پایه ۳۱۵۰</x:v>
      </x:c>
    </x:row>
    <x:row r="1259" ht="34" customHeight="1">
      <x:c r="A1259" s="34" t="str">
        <x:v>☐</x:v>
      </x:c>
      <x:c r="B1259" s="34" t="str">
        <x:v>MI-1183</x:v>
      </x:c>
      <x:c r="C1259" s="34" t="str">
        <x:v>M4 — اجرا، دانشگاه، صنعت و پروژه‌های اجتماعی</x:v>
      </x:c>
      <x:c r="D1259" s="34" t="str">
        <x:v>H11</x:v>
      </x:c>
      <x:c r="E1259" s="34" t="str">
        <x:v>دانشگاه؛ صنفی، رفاهی، اجرایی و رسانه‌ای</x:v>
      </x:c>
      <x:c r="F1259" s="34" t="str">
        <x:v>DELEGATE/P2</x:v>
      </x:c>
      <x:c r="G1259" s="34" t="str">
        <x:v>هدف/موضوع</x:v>
      </x:c>
      <x:c r="H1259" s="39" t="str">
        <x:v>متین رضایی</x:v>
      </x:c>
      <x:c r="I1259" s="39" t="str">
        <x:v>پورتفو؛ واگذاری اجرا و تمرکز بر راهبری</x:v>
      </x:c>
      <x:c r="J1259" s="39" t="str">
        <x:v>PMO/عملیات + روابط عمومی</x:v>
      </x:c>
      <x:c r="K1259" s="39" t="str"/>
      <x:c r="L1259" s="39" t="str">
        <x:v>AP:P1038</x:v>
      </x:c>
      <x:c r="M1259" s="39" t="str"/>
      <x:c r="N1259" s="39" t="str">
        <x:v>نسخه پایه ۳۱۵۰</x:v>
      </x:c>
    </x:row>
    <x:row r="1260" ht="34" customHeight="1">
      <x:c r="A1260" s="34" t="str">
        <x:v>☐</x:v>
      </x:c>
      <x:c r="B1260" s="34" t="str">
        <x:v>MI-1184</x:v>
      </x:c>
      <x:c r="C1260" s="34" t="str">
        <x:v>M4 — اجرا، دانشگاه، صنعت و پروژه‌های اجتماعی</x:v>
      </x:c>
      <x:c r="D1260" s="34" t="str">
        <x:v>H11</x:v>
      </x:c>
      <x:c r="E1260" s="34" t="str">
        <x:v>دانشگاه؛ صنفی، رفاهی، اجرایی و رسانه‌ای</x:v>
      </x:c>
      <x:c r="F1260" s="34" t="str">
        <x:v>DELEGATE/P2</x:v>
      </x:c>
      <x:c r="G1260" s="34" t="str">
        <x:v>هدف/موضوع</x:v>
      </x:c>
      <x:c r="H1260" s="39" t="str">
        <x:v>کوروش</x:v>
      </x:c>
      <x:c r="I1260" s="39" t="str">
        <x:v>پورتفو؛ واگذاری اجرا و تمرکز بر راهبری</x:v>
      </x:c>
      <x:c r="J1260" s="39" t="str">
        <x:v>PMO/عملیات + روابط عمومی</x:v>
      </x:c>
      <x:c r="K1260" s="39" t="str"/>
      <x:c r="L1260" s="39" t="str">
        <x:v>AP:P1039</x:v>
      </x:c>
      <x:c r="M1260" s="39" t="str"/>
      <x:c r="N1260" s="39" t="str">
        <x:v>نسخه پایه ۳۱۵۰</x:v>
      </x:c>
    </x:row>
    <x:row r="1261" ht="34" customHeight="1">
      <x:c r="A1261" s="34" t="str">
        <x:v>☐</x:v>
      </x:c>
      <x:c r="B1261" s="34" t="str">
        <x:v>MI-1189</x:v>
      </x:c>
      <x:c r="C1261" s="34" t="str">
        <x:v>M4 — اجرا، دانشگاه، صنعت و پروژه‌های اجتماعی</x:v>
      </x:c>
      <x:c r="D1261" s="34" t="str">
        <x:v>H11</x:v>
      </x:c>
      <x:c r="E1261" s="34" t="str">
        <x:v>دانشگاه؛ صنفی، رفاهی، اجرایی و رسانه‌ای</x:v>
      </x:c>
      <x:c r="F1261" s="34" t="str">
        <x:v>DELEGATE/P2</x:v>
      </x:c>
      <x:c r="G1261" s="34" t="str">
        <x:v>هدف/موضوع</x:v>
      </x:c>
      <x:c r="H1261" s="39" t="str">
        <x:v>حوزه صنفی</x:v>
      </x:c>
      <x:c r="I1261" s="39" t="str">
        <x:v>پورتفو؛ واگذاری اجرا و تمرکز بر راهبری</x:v>
      </x:c>
      <x:c r="J1261" s="39" t="str">
        <x:v>PMO/عملیات + روابط عمومی</x:v>
      </x:c>
      <x:c r="K1261" s="39" t="str"/>
      <x:c r="L1261" s="39" t="str">
        <x:v>AP:P1044</x:v>
      </x:c>
      <x:c r="M1261" s="39" t="str"/>
      <x:c r="N1261" s="39" t="str">
        <x:v>نسخه پایه ۳۱۵۰</x:v>
      </x:c>
    </x:row>
    <x:row r="1262" ht="34" customHeight="1">
      <x:c r="A1262" s="34" t="str">
        <x:v>☐</x:v>
      </x:c>
      <x:c r="B1262" s="34" t="str">
        <x:v>MI-1190</x:v>
      </x:c>
      <x:c r="C1262" s="34" t="str">
        <x:v>M4 — اجرا، دانشگاه، صنعت و پروژه‌های اجتماعی</x:v>
      </x:c>
      <x:c r="D1262" s="34" t="str">
        <x:v>H11</x:v>
      </x:c>
      <x:c r="E1262" s="34" t="str">
        <x:v>دانشگاه؛ صنفی، رفاهی، اجرایی و رسانه‌ای</x:v>
      </x:c>
      <x:c r="F1262" s="34" t="str">
        <x:v>DELEGATE/P2</x:v>
      </x:c>
      <x:c r="G1262" s="34" t="str">
        <x:v>هدف/موضوع</x:v>
      </x:c>
      <x:c r="H1262" s="39" t="str">
        <x:v>فرهاد یاس</x:v>
      </x:c>
      <x:c r="I1262" s="39" t="str">
        <x:v>پورتفو؛ واگذاری اجرا و تمرکز بر راهبری</x:v>
      </x:c>
      <x:c r="J1262" s="39" t="str">
        <x:v>PMO/عملیات + روابط عمومی</x:v>
      </x:c>
      <x:c r="K1262" s="39" t="str"/>
      <x:c r="L1262" s="39" t="str">
        <x:v>AP:P1045</x:v>
      </x:c>
      <x:c r="M1262" s="39" t="str"/>
      <x:c r="N1262" s="39" t="str">
        <x:v>نسخه پایه ۳۱۵۰</x:v>
      </x:c>
    </x:row>
    <x:row r="1263" ht="34" customHeight="1">
      <x:c r="A1263" s="34" t="str">
        <x:v>☐</x:v>
      </x:c>
      <x:c r="B1263" s="34" t="str">
        <x:v>MI-1192</x:v>
      </x:c>
      <x:c r="C1263" s="34" t="str">
        <x:v>M4 — اجرا، دانشگاه، صنعت و پروژه‌های اجتماعی</x:v>
      </x:c>
      <x:c r="D1263" s="34" t="str">
        <x:v>H11</x:v>
      </x:c>
      <x:c r="E1263" s="34" t="str">
        <x:v>دانشگاه؛ صنفی، رفاهی، اجرایی و رسانه‌ای</x:v>
      </x:c>
      <x:c r="F1263" s="34" t="str">
        <x:v>DELEGATE/P2</x:v>
      </x:c>
      <x:c r="G1263" s="34" t="str">
        <x:v>هدف/موضوع</x:v>
      </x:c>
      <x:c r="H1263" s="39" t="str">
        <x:v>سامان</x:v>
      </x:c>
      <x:c r="I1263" s="39" t="str">
        <x:v>پورتفو؛ واگذاری اجرا و تمرکز بر راهبری</x:v>
      </x:c>
      <x:c r="J1263" s="39" t="str">
        <x:v>PMO/عملیات + روابط عمومی</x:v>
      </x:c>
      <x:c r="K1263" s="39" t="str"/>
      <x:c r="L1263" s="39" t="str">
        <x:v>AP:P1047</x:v>
      </x:c>
      <x:c r="M1263" s="39" t="str"/>
      <x:c r="N1263" s="39" t="str">
        <x:v>نسخه پایه ۳۱۵۰</x:v>
      </x:c>
    </x:row>
    <x:row r="1264" ht="34" customHeight="1">
      <x:c r="A1264" s="34" t="str">
        <x:v>☐</x:v>
      </x:c>
      <x:c r="B1264" s="34" t="str">
        <x:v>MI-1193</x:v>
      </x:c>
      <x:c r="C1264" s="34" t="str">
        <x:v>M4 — اجرا، دانشگاه، صنعت و پروژه‌های اجتماعی</x:v>
      </x:c>
      <x:c r="D1264" s="34" t="str">
        <x:v>H11</x:v>
      </x:c>
      <x:c r="E1264" s="34" t="str">
        <x:v>دانشگاه؛ صنفی، رفاهی، اجرایی و رسانه‌ای</x:v>
      </x:c>
      <x:c r="F1264" s="34" t="str">
        <x:v>DELEGATE/P2</x:v>
      </x:c>
      <x:c r="G1264" s="34" t="str">
        <x:v>هدف/موضوع</x:v>
      </x:c>
      <x:c r="H1264" s="39" t="str">
        <x:v>کمک گرفتن در امورات بوتکمپ</x:v>
      </x:c>
      <x:c r="I1264" s="39" t="str">
        <x:v>پورتفو؛ واگذاری اجرا و تمرکز بر راهبری</x:v>
      </x:c>
      <x:c r="J1264" s="39" t="str">
        <x:v>PMO/عملیات + روابط عمومی</x:v>
      </x:c>
      <x:c r="K1264" s="39" t="str"/>
      <x:c r="L1264" s="39" t="str">
        <x:v>AP:P1048</x:v>
      </x:c>
      <x:c r="M1264" s="39" t="str"/>
      <x:c r="N1264" s="39" t="str">
        <x:v>نسخه پایه ۳۱۵۰</x:v>
      </x:c>
    </x:row>
    <x:row r="1265" ht="34" customHeight="1">
      <x:c r="A1265" s="34" t="str">
        <x:v>☐</x:v>
      </x:c>
      <x:c r="B1265" s="34" t="str">
        <x:v>MI-1194</x:v>
      </x:c>
      <x:c r="C1265" s="34" t="str">
        <x:v>M4 — اجرا، دانشگاه، صنعت و پروژه‌های اجتماعی</x:v>
      </x:c>
      <x:c r="D1265" s="34" t="str">
        <x:v>H11</x:v>
      </x:c>
      <x:c r="E1265" s="34" t="str">
        <x:v>دانشگاه؛ صنفی، رفاهی، اجرایی و رسانه‌ای</x:v>
      </x:c>
      <x:c r="F1265" s="34" t="str">
        <x:v>DELEGATE/P2</x:v>
      </x:c>
      <x:c r="G1265" s="34" t="str">
        <x:v>هدف/موضوع</x:v>
      </x:c>
      <x:c r="H1265" s="39" t="str">
        <x:v>حسین بینایی</x:v>
      </x:c>
      <x:c r="I1265" s="39" t="str">
        <x:v>پورتفو؛ واگذاری اجرا و تمرکز بر راهبری</x:v>
      </x:c>
      <x:c r="J1265" s="39" t="str">
        <x:v>PMO/عملیات + روابط عمومی</x:v>
      </x:c>
      <x:c r="K1265" s="39" t="str"/>
      <x:c r="L1265" s="39" t="str">
        <x:v>AP:P1049</x:v>
      </x:c>
      <x:c r="M1265" s="39" t="str"/>
      <x:c r="N1265" s="39" t="str">
        <x:v>نسخه پایه ۳۱۵۰</x:v>
      </x:c>
    </x:row>
    <x:row r="1266" ht="34" customHeight="1">
      <x:c r="A1266" s="34" t="str">
        <x:v>☐</x:v>
      </x:c>
      <x:c r="B1266" s="34" t="str">
        <x:v>MI-1195</x:v>
      </x:c>
      <x:c r="C1266" s="34" t="str">
        <x:v>M4 — اجرا، دانشگاه، صنعت و پروژه‌های اجتماعی</x:v>
      </x:c>
      <x:c r="D1266" s="34" t="str">
        <x:v>H11</x:v>
      </x:c>
      <x:c r="E1266" s="34" t="str">
        <x:v>دانشگاه؛ صنفی، رفاهی، اجرایی و رسانه‌ای</x:v>
      </x:c>
      <x:c r="F1266" s="34" t="str">
        <x:v>DELEGATE/P2</x:v>
      </x:c>
      <x:c r="G1266" s="34" t="str">
        <x:v>هدف/موضوع</x:v>
      </x:c>
      <x:c r="H1266" s="39" t="str">
        <x:v>تعیین تکلیف بسته های پستی خوابگاه امینیان</x:v>
      </x:c>
      <x:c r="I1266" s="39" t="str">
        <x:v>پورتفو؛ واگذاری اجرا و تمرکز بر راهبری</x:v>
      </x:c>
      <x:c r="J1266" s="39" t="str">
        <x:v>PMO/عملیات + روابط عمومی</x:v>
      </x:c>
      <x:c r="K1266" s="39" t="str"/>
      <x:c r="L1266" s="39" t="str">
        <x:v>AP:P1052</x:v>
      </x:c>
      <x:c r="M1266" s="39" t="str"/>
      <x:c r="N1266" s="39" t="str">
        <x:v>نسخه پایه ۳۱۵۰</x:v>
      </x:c>
    </x:row>
    <x:row r="1267" ht="34" customHeight="1">
      <x:c r="A1267" s="34" t="str">
        <x:v>☐</x:v>
      </x:c>
      <x:c r="B1267" s="34" t="str">
        <x:v>MI-1196</x:v>
      </x:c>
      <x:c r="C1267" s="34" t="str">
        <x:v>M4 — اجرا، دانشگاه، صنعت و پروژه‌های اجتماعی</x:v>
      </x:c>
      <x:c r="D1267" s="34" t="str">
        <x:v>H11</x:v>
      </x:c>
      <x:c r="E1267" s="34" t="str">
        <x:v>دانشگاه؛ صنفی، رفاهی، اجرایی و رسانه‌ای</x:v>
      </x:c>
      <x:c r="F1267" s="34" t="str">
        <x:v>DELEGATE/P2</x:v>
      </x:c>
      <x:c r="G1267" s="34" t="str">
        <x:v>هدف/موضوع</x:v>
      </x:c>
      <x:c r="H1267" s="39" t="str">
        <x:v>افتتاح قسمت گمشدگان و تعیین تکلیف ساعت و نحوه اداره آن</x:v>
      </x:c>
      <x:c r="I1267" s="39" t="str">
        <x:v>پورتفو؛ واگذاری اجرا و تمرکز بر راهبری</x:v>
      </x:c>
      <x:c r="J1267" s="39" t="str">
        <x:v>PMO/عملیات + روابط عمومی</x:v>
      </x:c>
      <x:c r="K1267" s="39" t="str"/>
      <x:c r="L1267" s="39" t="str">
        <x:v>AP:P1053</x:v>
      </x:c>
      <x:c r="M1267" s="39" t="str"/>
      <x:c r="N1267" s="39" t="str">
        <x:v>نسخه پایه ۳۱۵۰</x:v>
      </x:c>
    </x:row>
    <x:row r="1268" ht="34" customHeight="1">
      <x:c r="A1268" s="34" t="str">
        <x:v>☐</x:v>
      </x:c>
      <x:c r="B1268" s="34" t="str">
        <x:v>MI-1202</x:v>
      </x:c>
      <x:c r="C1268" s="34" t="str">
        <x:v>M4 — اجرا، دانشگاه، صنعت و پروژه‌های اجتماعی</x:v>
      </x:c>
      <x:c r="D1268" s="34" t="str">
        <x:v>H11</x:v>
      </x:c>
      <x:c r="E1268" s="34" t="str">
        <x:v>دانشگاه؛ صنفی، رفاهی، اجرایی و رسانه‌ای</x:v>
      </x:c>
      <x:c r="F1268" s="34" t="str">
        <x:v>DELEGATE/P2</x:v>
      </x:c>
      <x:c r="G1268" s="34" t="str">
        <x:v>هدف/موضوع</x:v>
      </x:c>
      <x:c r="H1268" s="39" t="str">
        <x:v>اسفندیاری</x:v>
      </x:c>
      <x:c r="I1268" s="39" t="str">
        <x:v>پورتفو؛ واگذاری اجرا و تمرکز بر راهبری</x:v>
      </x:c>
      <x:c r="J1268" s="39" t="str">
        <x:v>PMO/عملیات + روابط عمومی</x:v>
      </x:c>
      <x:c r="K1268" s="39" t="str"/>
      <x:c r="L1268" s="39" t="str">
        <x:v>AP:P1062</x:v>
      </x:c>
      <x:c r="M1268" s="39" t="str"/>
      <x:c r="N1268" s="39" t="str">
        <x:v>نسخه پایه ۳۱۵۰</x:v>
      </x:c>
    </x:row>
    <x:row r="1269" ht="34" customHeight="1">
      <x:c r="A1269" s="34" t="str">
        <x:v>☐</x:v>
      </x:c>
      <x:c r="B1269" s="34" t="str">
        <x:v>MI-1203</x:v>
      </x:c>
      <x:c r="C1269" s="34" t="str">
        <x:v>M4 — اجرا، دانشگاه، صنعت و پروژه‌های اجتماعی</x:v>
      </x:c>
      <x:c r="D1269" s="34" t="str">
        <x:v>H11</x:v>
      </x:c>
      <x:c r="E1269" s="34" t="str">
        <x:v>دانشگاه؛ صنفی، رفاهی، اجرایی و رسانه‌ای</x:v>
      </x:c>
      <x:c r="F1269" s="34" t="str">
        <x:v>DELEGATE/P2</x:v>
      </x:c>
      <x:c r="G1269" s="34" t="str">
        <x:v>هدف/موضوع</x:v>
      </x:c>
      <x:c r="H1269" s="39" t="str">
        <x:v>پست اطلاع رسانی خوابگاه کوثر برای بردن غذا در ایام فرجه</x:v>
      </x:c>
      <x:c r="I1269" s="39" t="str">
        <x:v>پورتفو؛ واگذاری اجرا و تمرکز بر راهبری</x:v>
      </x:c>
      <x:c r="J1269" s="39" t="str">
        <x:v>PMO/عملیات + روابط عمومی</x:v>
      </x:c>
      <x:c r="K1269" s="39" t="str"/>
      <x:c r="L1269" s="39" t="str">
        <x:v>AP:P1063</x:v>
      </x:c>
      <x:c r="M1269" s="39" t="str"/>
      <x:c r="N1269" s="39" t="str">
        <x:v>نسخه پایه ۳۱۵۰</x:v>
      </x:c>
    </x:row>
    <x:row r="1270" ht="34" customHeight="1">
      <x:c r="A1270" s="34" t="str">
        <x:v>☐</x:v>
      </x:c>
      <x:c r="B1270" s="34" t="str">
        <x:v>MI-1205</x:v>
      </x:c>
      <x:c r="C1270" s="34" t="str">
        <x:v>M4 — اجرا، دانشگاه، صنعت و پروژه‌های اجتماعی</x:v>
      </x:c>
      <x:c r="D1270" s="34" t="str">
        <x:v>H11</x:v>
      </x:c>
      <x:c r="E1270" s="34" t="str">
        <x:v>دانشگاه؛ صنفی، رفاهی، اجرایی و رسانه‌ای</x:v>
      </x:c>
      <x:c r="F1270" s="34" t="str">
        <x:v>DELEGATE/P2</x:v>
      </x:c>
      <x:c r="G1270" s="34" t="str">
        <x:v>هدف/موضوع</x:v>
      </x:c>
      <x:c r="H1270" s="39" t="str">
        <x:v>حوزه سه شنبه های مهدوی</x:v>
      </x:c>
      <x:c r="I1270" s="39" t="str">
        <x:v>پورتفو؛ واگذاری اجرا و تمرکز بر راهبری</x:v>
      </x:c>
      <x:c r="J1270" s="39" t="str">
        <x:v>PMO/عملیات + روابط عمومی</x:v>
      </x:c>
      <x:c r="K1270" s="39" t="str"/>
      <x:c r="L1270" s="39" t="str">
        <x:v>AP:P1065</x:v>
      </x:c>
      <x:c r="M1270" s="39" t="str"/>
      <x:c r="N1270" s="39" t="str">
        <x:v>نسخه پایه ۳۱۵۰</x:v>
      </x:c>
    </x:row>
    <x:row r="1271" ht="34" customHeight="1">
      <x:c r="A1271" s="34" t="str">
        <x:v>☐</x:v>
      </x:c>
      <x:c r="B1271" s="34" t="str">
        <x:v>MI-1529</x:v>
      </x:c>
      <x:c r="C1271" s="34" t="str">
        <x:v>M4 — اجرا، دانشگاه، صنعت و پروژه‌های اجتماعی</x:v>
      </x:c>
      <x:c r="D1271" s="34" t="str">
        <x:v>H11</x:v>
      </x:c>
      <x:c r="E1271" s="34" t="str">
        <x:v>دانشگاه؛ صنفی، رفاهی، اجرایی و رسانه‌ای</x:v>
      </x:c>
      <x:c r="F1271" s="34" t="str">
        <x:v>DELEGATE/P2</x:v>
      </x:c>
      <x:c r="G1271" s="34" t="str">
        <x:v>هدف/موضوع</x:v>
      </x:c>
      <x:c r="H1271" s="39" t="str">
        <x:v>فعالیت های بسیج دانشجویی:</x:v>
      </x:c>
      <x:c r="I1271" s="39" t="str">
        <x:v>پورتفو؛ واگذاری اجرا و تمرکز بر راهبری</x:v>
      </x:c>
      <x:c r="J1271" s="39" t="str">
        <x:v>PMO/عملیات + روابط عمومی</x:v>
      </x:c>
      <x:c r="K1271" s="39" t="str"/>
      <x:c r="L1271" s="39" t="str">
        <x:v>AP:P1501</x:v>
      </x:c>
      <x:c r="M1271" s="39" t="str"/>
      <x:c r="N1271" s="39" t="str">
        <x:v>نسخه پایه ۳۱۵۰</x:v>
      </x:c>
    </x:row>
    <x:row r="1272" ht="34" customHeight="1">
      <x:c r="A1272" s="34" t="str">
        <x:v>☐</x:v>
      </x:c>
      <x:c r="B1272" s="34" t="str">
        <x:v>MI-1548</x:v>
      </x:c>
      <x:c r="C1272" s="34" t="str">
        <x:v>M4 — اجرا، دانشگاه، صنعت و پروژه‌های اجتماعی</x:v>
      </x:c>
      <x:c r="D1272" s="34" t="str">
        <x:v>H11</x:v>
      </x:c>
      <x:c r="E1272" s="34" t="str">
        <x:v>دانشگاه؛ صنفی، رفاهی، اجرایی و رسانه‌ای</x:v>
      </x:c>
      <x:c r="F1272" s="34" t="str">
        <x:v>DELEGATE/P2</x:v>
      </x:c>
      <x:c r="G1272" s="34" t="str">
        <x:v>هدف/موضوع</x:v>
      </x:c>
      <x:c r="H1272" s="39" t="str">
        <x:v>جهادی بسیج</x:v>
      </x:c>
      <x:c r="I1272" s="39" t="str">
        <x:v>پورتفو؛ واگذاری اجرا و تمرکز بر راهبری</x:v>
      </x:c>
      <x:c r="J1272" s="39" t="str">
        <x:v>PMO/عملیات + روابط عمومی</x:v>
      </x:c>
      <x:c r="K1272" s="39" t="str"/>
      <x:c r="L1272" s="39" t="str">
        <x:v>AP:P1532</x:v>
      </x:c>
      <x:c r="M1272" s="39" t="str"/>
      <x:c r="N1272" s="39" t="str">
        <x:v>نسخه پایه ۳۱۵۰</x:v>
      </x:c>
    </x:row>
    <x:row r="1273" ht="34" customHeight="1">
      <x:c r="A1273" s="34" t="str">
        <x:v>☐</x:v>
      </x:c>
      <x:c r="B1273" s="34" t="str">
        <x:v>MI-1549</x:v>
      </x:c>
      <x:c r="C1273" s="34" t="str">
        <x:v>M4 — اجرا، دانشگاه، صنعت و پروژه‌های اجتماعی</x:v>
      </x:c>
      <x:c r="D1273" s="34" t="str">
        <x:v>H11</x:v>
      </x:c>
      <x:c r="E1273" s="34" t="str">
        <x:v>دانشگاه؛ صنفی، رفاهی، اجرایی و رسانه‌ای</x:v>
      </x:c>
      <x:c r="F1273" s="34" t="str">
        <x:v>DELEGATE/P2</x:v>
      </x:c>
      <x:c r="G1273" s="34" t="str">
        <x:v>هدف/موضوع</x:v>
      </x:c>
      <x:c r="H1273" s="39" t="str">
        <x:v>جهادی عمرانی</x:v>
      </x:c>
      <x:c r="I1273" s="39" t="str">
        <x:v>پورتفو؛ واگذاری اجرا و تمرکز بر راهبری</x:v>
      </x:c>
      <x:c r="J1273" s="39" t="str">
        <x:v>PMO/عملیات + روابط عمومی</x:v>
      </x:c>
      <x:c r="K1273" s="39" t="str"/>
      <x:c r="L1273" s="39" t="str">
        <x:v>AP:P1533</x:v>
      </x:c>
      <x:c r="M1273" s="39" t="str"/>
      <x:c r="N1273" s="39" t="str">
        <x:v>نسخه پایه ۳۱۵۰</x:v>
      </x:c>
    </x:row>
    <x:row r="1274" ht="34" customHeight="1">
      <x:c r="A1274" s="34" t="str">
        <x:v>☐</x:v>
      </x:c>
      <x:c r="B1274" s="34" t="str">
        <x:v>MI-1551</x:v>
      </x:c>
      <x:c r="C1274" s="34" t="str">
        <x:v>M4 — اجرا، دانشگاه، صنعت و پروژه‌های اجتماعی</x:v>
      </x:c>
      <x:c r="D1274" s="34" t="str">
        <x:v>H11</x:v>
      </x:c>
      <x:c r="E1274" s="34" t="str">
        <x:v>دانشگاه؛ صنفی، رفاهی، اجرایی و رسانه‌ای</x:v>
      </x:c>
      <x:c r="F1274" s="34" t="str">
        <x:v>DELEGATE/P2</x:v>
      </x:c>
      <x:c r="G1274" s="34" t="str">
        <x:v>هدف/موضوع</x:v>
      </x:c>
      <x:c r="H1274" s="39" t="str">
        <x:v>اسکان</x:v>
      </x:c>
      <x:c r="I1274" s="39" t="str">
        <x:v>پورتفو؛ واگذاری اجرا و تمرکز بر راهبری</x:v>
      </x:c>
      <x:c r="J1274" s="39" t="str">
        <x:v>PMO/عملیات + روابط عمومی</x:v>
      </x:c>
      <x:c r="K1274" s="39" t="str"/>
      <x:c r="L1274" s="39" t="str">
        <x:v>AP:P1537</x:v>
      </x:c>
      <x:c r="M1274" s="39" t="str"/>
      <x:c r="N1274" s="39" t="str">
        <x:v>نسخه پایه ۳۱۵۰</x:v>
      </x:c>
    </x:row>
    <x:row r="1275" ht="34" customHeight="1">
      <x:c r="A1275" s="34" t="str">
        <x:v>☐</x:v>
      </x:c>
      <x:c r="B1275" s="34" t="str">
        <x:v>MI-1552</x:v>
      </x:c>
      <x:c r="C1275" s="34" t="str">
        <x:v>M4 — اجرا، دانشگاه، صنعت و پروژه‌های اجتماعی</x:v>
      </x:c>
      <x:c r="D1275" s="34" t="str">
        <x:v>H11</x:v>
      </x:c>
      <x:c r="E1275" s="34" t="str">
        <x:v>دانشگاه؛ صنفی، رفاهی، اجرایی و رسانه‌ای</x:v>
      </x:c>
      <x:c r="F1275" s="34" t="str">
        <x:v>DELEGATE/P2</x:v>
      </x:c>
      <x:c r="G1275" s="34" t="str">
        <x:v>هدف/موضوع</x:v>
      </x:c>
      <x:c r="H1275" s="39" t="str">
        <x:v>باردید میدانی</x:v>
      </x:c>
      <x:c r="I1275" s="39" t="str">
        <x:v>پورتفو؛ واگذاری اجرا و تمرکز بر راهبری</x:v>
      </x:c>
      <x:c r="J1275" s="39" t="str">
        <x:v>PMO/عملیات + روابط عمومی</x:v>
      </x:c>
      <x:c r="K1275" s="39" t="str"/>
      <x:c r="L1275" s="39" t="str">
        <x:v>AP:P1538</x:v>
      </x:c>
      <x:c r="M1275" s="39" t="str"/>
      <x:c r="N1275" s="39" t="str">
        <x:v>نسخه پایه ۳۱۵۰</x:v>
      </x:c>
    </x:row>
    <x:row r="1276" ht="34" customHeight="1">
      <x:c r="A1276" s="34" t="str">
        <x:v>☐</x:v>
      </x:c>
      <x:c r="B1276" s="34" t="str">
        <x:v>MI-1553</x:v>
      </x:c>
      <x:c r="C1276" s="34" t="str">
        <x:v>M4 — اجرا، دانشگاه، صنعت و پروژه‌های اجتماعی</x:v>
      </x:c>
      <x:c r="D1276" s="34" t="str">
        <x:v>H11</x:v>
      </x:c>
      <x:c r="E1276" s="34" t="str">
        <x:v>دانشگاه؛ صنفی، رفاهی، اجرایی و رسانه‌ای</x:v>
      </x:c>
      <x:c r="F1276" s="34" t="str">
        <x:v>DELEGATE/P2</x:v>
      </x:c>
      <x:c r="G1276" s="34" t="str">
        <x:v>هدف/موضوع</x:v>
      </x:c>
      <x:c r="H1276" s="39" t="str">
        <x:v>ابزار و و سایل جهادی ثابت از خود بسیج</x:v>
      </x:c>
      <x:c r="I1276" s="39" t="str">
        <x:v>پورتفو؛ واگذاری اجرا و تمرکز بر راهبری</x:v>
      </x:c>
      <x:c r="J1276" s="39" t="str">
        <x:v>PMO/عملیات + روابط عمومی</x:v>
      </x:c>
      <x:c r="K1276" s="39" t="str"/>
      <x:c r="L1276" s="39" t="str">
        <x:v>AP:P1539</x:v>
      </x:c>
      <x:c r="M1276" s="39" t="str"/>
      <x:c r="N1276" s="39" t="str">
        <x:v>نسخه پایه ۳۱۵۰</x:v>
      </x:c>
    </x:row>
    <x:row r="1277" ht="34" customHeight="1">
      <x:c r="A1277" s="34" t="str">
        <x:v>☐</x:v>
      </x:c>
      <x:c r="B1277" s="34" t="str">
        <x:v>MI-1584</x:v>
      </x:c>
      <x:c r="C1277" s="34" t="str">
        <x:v>M4 — اجرا، دانشگاه، صنعت و پروژه‌های اجتماعی</x:v>
      </x:c>
      <x:c r="D1277" s="34" t="str">
        <x:v>H11</x:v>
      </x:c>
      <x:c r="E1277" s="34" t="str">
        <x:v>دانشگاه؛ صنفی، رفاهی، اجرایی و رسانه‌ای</x:v>
      </x:c>
      <x:c r="F1277" s="34" t="str">
        <x:v>DELEGATE/P2</x:v>
      </x:c>
      <x:c r="G1277" s="34" t="str">
        <x:v>هدف/موضوع</x:v>
      </x:c>
      <x:c r="H1277" s="39" t="str">
        <x:v>ایده استخراج کنی</x:v>
      </x:c>
      <x:c r="I1277" s="39" t="str">
        <x:v>پورتفو؛ واگذاری اجرا و تمرکز بر راهبری</x:v>
      </x:c>
      <x:c r="J1277" s="39" t="str">
        <x:v>PMO/عملیات + روابط عمومی</x:v>
      </x:c>
      <x:c r="K1277" s="39" t="str"/>
      <x:c r="L1277" s="39" t="str">
        <x:v>E112:P25؛ E112:P1805؛ E112:P2271</x:v>
      </x:c>
      <x:c r="M1277" s="39" t="str"/>
      <x:c r="N1277" s="39" t="str">
        <x:v>نسخه پایه ۳۱۵۰</x:v>
      </x:c>
    </x:row>
    <x:row r="1278" ht="34" customHeight="1">
      <x:c r="A1278" s="34" t="str">
        <x:v>☐</x:v>
      </x:c>
      <x:c r="B1278" s="34" t="str">
        <x:v>MI-1759</x:v>
      </x:c>
      <x:c r="C1278" s="34" t="str">
        <x:v>M4 — اجرا، دانشگاه، صنعت و پروژه‌های اجتماعی</x:v>
      </x:c>
      <x:c r="D1278" s="34" t="str">
        <x:v>H11</x:v>
      </x:c>
      <x:c r="E1278" s="34" t="str">
        <x:v>دانشگاه؛ صنفی، رفاهی، اجرایی و رسانه‌ای</x:v>
      </x:c>
      <x:c r="F1278" s="34" t="str">
        <x:v>DELEGATE/P2</x:v>
      </x:c>
      <x:c r="G1278" s="34" t="str">
        <x:v>هدف/موضوع</x:v>
      </x:c>
      <x:c r="H1278" s="39" t="str">
        <x:v>دانشجوها</x:v>
      </x:c>
      <x:c r="I1278" s="39" t="str">
        <x:v>پورتفو؛ واگذاری اجرا و تمرکز بر راهبری</x:v>
      </x:c>
      <x:c r="J1278" s="39" t="str">
        <x:v>PMO/عملیات + روابط عمومی</x:v>
      </x:c>
      <x:c r="K1278" s="39" t="str"/>
      <x:c r="L1278" s="39" t="str">
        <x:v>E112:P244</x:v>
      </x:c>
      <x:c r="M1278" s="39" t="str"/>
      <x:c r="N1278" s="39" t="str">
        <x:v>نسخه پایه ۳۱۵۰</x:v>
      </x:c>
    </x:row>
    <x:row r="1279" ht="34" customHeight="1">
      <x:c r="A1279" s="34" t="str">
        <x:v>☐</x:v>
      </x:c>
      <x:c r="B1279" s="34" t="str">
        <x:v>MI-1765</x:v>
      </x:c>
      <x:c r="C1279" s="34" t="str">
        <x:v>M4 — اجرا، دانشگاه، صنعت و پروژه‌های اجتماعی</x:v>
      </x:c>
      <x:c r="D1279" s="34" t="str">
        <x:v>H11</x:v>
      </x:c>
      <x:c r="E1279" s="34" t="str">
        <x:v>دانشگاه؛ صنفی، رفاهی، اجرایی و رسانه‌ای</x:v>
      </x:c>
      <x:c r="F1279" s="34" t="str">
        <x:v>DELEGATE/P2</x:v>
      </x:c>
      <x:c r="G1279" s="34" t="str">
        <x:v>هدف/موضوع</x:v>
      </x:c>
      <x:c r="H1279" s="39" t="str">
        <x:v>دانشگاه ها و دانشکده ها</x:v>
      </x:c>
      <x:c r="I1279" s="39" t="str">
        <x:v>پورتفو؛ واگذاری اجرا و تمرکز بر راهبری</x:v>
      </x:c>
      <x:c r="J1279" s="39" t="str">
        <x:v>PMO/عملیات + روابط عمومی</x:v>
      </x:c>
      <x:c r="K1279" s="39" t="str"/>
      <x:c r="L1279" s="39" t="str">
        <x:v>E112:P252</x:v>
      </x:c>
      <x:c r="M1279" s="39" t="str"/>
      <x:c r="N1279" s="39" t="str">
        <x:v>نسخه پایه ۳۱۵۰</x:v>
      </x:c>
    </x:row>
    <x:row r="1280" ht="34" customHeight="1">
      <x:c r="A1280" s="34" t="str">
        <x:v>☐</x:v>
      </x:c>
      <x:c r="B1280" s="34" t="str">
        <x:v>MI-1786</x:v>
      </x:c>
      <x:c r="C1280" s="34" t="str">
        <x:v>M4 — اجرا، دانشگاه، صنعت و پروژه‌های اجتماعی</x:v>
      </x:c>
      <x:c r="D1280" s="34" t="str">
        <x:v>H11</x:v>
      </x:c>
      <x:c r="E1280" s="34" t="str">
        <x:v>دانشگاه؛ صنفی، رفاهی، اجرایی و رسانه‌ای</x:v>
      </x:c>
      <x:c r="F1280" s="34" t="str">
        <x:v>DELEGATE/P2</x:v>
      </x:c>
      <x:c r="G1280" s="34" t="str">
        <x:v>هدف/موضوع</x:v>
      </x:c>
      <x:c r="H1280" s="39" t="str">
        <x:v>انجمن های صنفی</x:v>
      </x:c>
      <x:c r="I1280" s="39" t="str">
        <x:v>پورتفو؛ واگذاری اجرا و تمرکز بر راهبری</x:v>
      </x:c>
      <x:c r="J1280" s="39" t="str">
        <x:v>PMO/عملیات + روابط عمومی</x:v>
      </x:c>
      <x:c r="K1280" s="39" t="str"/>
      <x:c r="L1280" s="39" t="str">
        <x:v>E112:P283</x:v>
      </x:c>
      <x:c r="M1280" s="39" t="str"/>
      <x:c r="N1280" s="39" t="str">
        <x:v>نسخه پایه ۳۱۵۰</x:v>
      </x:c>
    </x:row>
    <x:row r="1281" ht="34" customHeight="1">
      <x:c r="A1281" s="34" t="str">
        <x:v>☐</x:v>
      </x:c>
      <x:c r="B1281" s="34" t="str">
        <x:v>MI-1791</x:v>
      </x:c>
      <x:c r="C1281" s="34" t="str">
        <x:v>M4 — اجرا، دانشگاه، صنعت و پروژه‌های اجتماعی</x:v>
      </x:c>
      <x:c r="D1281" s="34" t="str">
        <x:v>H11</x:v>
      </x:c>
      <x:c r="E1281" s="34" t="str">
        <x:v>دانشگاه؛ صنفی، رفاهی، اجرایی و رسانه‌ای</x:v>
      </x:c>
      <x:c r="F1281" s="34" t="str">
        <x:v>DELEGATE/P2</x:v>
      </x:c>
      <x:c r="G1281" s="34" t="str">
        <x:v>هدف/موضوع</x:v>
      </x:c>
      <x:c r="H1281" s="39" t="str">
        <x:v>دانشگاه ها</x:v>
      </x:c>
      <x:c r="I1281" s="39" t="str">
        <x:v>پورتفو؛ واگذاری اجرا و تمرکز بر راهبری</x:v>
      </x:c>
      <x:c r="J1281" s="39" t="str">
        <x:v>PMO/عملیات + روابط عمومی</x:v>
      </x:c>
      <x:c r="K1281" s="39" t="str"/>
      <x:c r="L1281" s="39" t="str">
        <x:v>E112:P296؛ E112:P497؛ E112:P903؛ E112:P1179؛ E112:P2938؛ E112:P3326؛ E112:P3553</x:v>
      </x:c>
      <x:c r="M1281" s="39" t="str"/>
      <x:c r="N1281" s="39" t="str">
        <x:v>نسخه پایه ۳۱۵۰</x:v>
      </x:c>
    </x:row>
    <x:row r="1282" ht="34" customHeight="1">
      <x:c r="A1282" s="34" t="str">
        <x:v>☐</x:v>
      </x:c>
      <x:c r="B1282" s="34" t="str">
        <x:v>MI-1886</x:v>
      </x:c>
      <x:c r="C1282" s="34" t="str">
        <x:v>M4 — اجرا، دانشگاه، صنعت و پروژه‌های اجتماعی</x:v>
      </x:c>
      <x:c r="D1282" s="34" t="str">
        <x:v>H11</x:v>
      </x:c>
      <x:c r="E1282" s="34" t="str">
        <x:v>دانشگاه؛ صنفی، رفاهی، اجرایی و رسانه‌ای</x:v>
      </x:c>
      <x:c r="F1282" s="34" t="str">
        <x:v>DELEGATE/P2</x:v>
      </x:c>
      <x:c r="G1282" s="34" t="str">
        <x:v>هدف/موضوع</x:v>
      </x:c>
      <x:c r="H1282" s="39" t="str">
        <x:v>کارگروه فناوری</x:v>
      </x:c>
      <x:c r="I1282" s="39" t="str">
        <x:v>پورتفو؛ واگذاری اجرا و تمرکز بر راهبری</x:v>
      </x:c>
      <x:c r="J1282" s="39" t="str">
        <x:v>PMO/عملیات + روابط عمومی</x:v>
      </x:c>
      <x:c r="K1282" s="39" t="str"/>
      <x:c r="L1282" s="39" t="str">
        <x:v>E112:P472؛ E112:P545؛ E112:P695</x:v>
      </x:c>
      <x:c r="M1282" s="39" t="str"/>
      <x:c r="N1282" s="39" t="str">
        <x:v>نسخه پایه ۳۱۵۰</x:v>
      </x:c>
    </x:row>
    <x:row r="1283" ht="34" customHeight="1">
      <x:c r="A1283" s="34" t="str">
        <x:v>☐</x:v>
      </x:c>
      <x:c r="B1283" s="34" t="str">
        <x:v>MI-1905</x:v>
      </x:c>
      <x:c r="C1283" s="34" t="str">
        <x:v>M4 — اجرا، دانشگاه، صنعت و پروژه‌های اجتماعی</x:v>
      </x:c>
      <x:c r="D1283" s="34" t="str">
        <x:v>H11</x:v>
      </x:c>
      <x:c r="E1283" s="34" t="str">
        <x:v>دانشگاه؛ صنفی، رفاهی، اجرایی و رسانه‌ای</x:v>
      </x:c>
      <x:c r="F1283" s="34" t="str">
        <x:v>DELEGATE/P2</x:v>
      </x:c>
      <x:c r="G1283" s="34" t="str">
        <x:v>هدف/موضوع</x:v>
      </x:c>
      <x:c r="H1283" s="39" t="str">
        <x:v>دانشکده های فنی</x:v>
      </x:c>
      <x:c r="I1283" s="39" t="str">
        <x:v>پورتفو؛ واگذاری اجرا و تمرکز بر راهبری</x:v>
      </x:c>
      <x:c r="J1283" s="39" t="str">
        <x:v>PMO/عملیات + روابط عمومی</x:v>
      </x:c>
      <x:c r="K1283" s="39" t="str"/>
      <x:c r="L1283" s="39" t="str">
        <x:v>E112:P498</x:v>
      </x:c>
      <x:c r="M1283" s="39" t="str"/>
      <x:c r="N1283" s="39" t="str">
        <x:v>نسخه پایه ۳۱۵۰</x:v>
      </x:c>
    </x:row>
    <x:row r="1284" ht="34" customHeight="1">
      <x:c r="A1284" s="34" t="str">
        <x:v>☐</x:v>
      </x:c>
      <x:c r="B1284" s="34" t="str">
        <x:v>MI-1908</x:v>
      </x:c>
      <x:c r="C1284" s="34" t="str">
        <x:v>M4 — اجرا، دانشگاه، صنعت و پروژه‌های اجتماعی</x:v>
      </x:c>
      <x:c r="D1284" s="34" t="str">
        <x:v>H11</x:v>
      </x:c>
      <x:c r="E1284" s="34" t="str">
        <x:v>دانشگاه؛ صنفی، رفاهی، اجرایی و رسانه‌ای</x:v>
      </x:c>
      <x:c r="F1284" s="34" t="str">
        <x:v>DELEGATE/P2</x:v>
      </x:c>
      <x:c r="G1284" s="34" t="str">
        <x:v>هدف/موضوع</x:v>
      </x:c>
      <x:c r="H1284" s="39" t="str">
        <x:v>دانشگاه آزاد</x:v>
      </x:c>
      <x:c r="I1284" s="39" t="str">
        <x:v>پورتفو؛ واگذاری اجرا و تمرکز بر راهبری</x:v>
      </x:c>
      <x:c r="J1284" s="39" t="str">
        <x:v>PMO/عملیات + روابط عمومی</x:v>
      </x:c>
      <x:c r="K1284" s="39" t="str"/>
      <x:c r="L1284" s="39" t="str">
        <x:v>E112:P501</x:v>
      </x:c>
      <x:c r="M1284" s="39" t="str"/>
      <x:c r="N1284" s="39" t="str">
        <x:v>نسخه پایه ۳۱۵۰</x:v>
      </x:c>
    </x:row>
    <x:row r="1285" ht="34" customHeight="1">
      <x:c r="A1285" s="34" t="str">
        <x:v>☐</x:v>
      </x:c>
      <x:c r="B1285" s="34" t="str">
        <x:v>MI-1909</x:v>
      </x:c>
      <x:c r="C1285" s="34" t="str">
        <x:v>M4 — اجرا، دانشگاه، صنعت و پروژه‌های اجتماعی</x:v>
      </x:c>
      <x:c r="D1285" s="34" t="str">
        <x:v>H11</x:v>
      </x:c>
      <x:c r="E1285" s="34" t="str">
        <x:v>دانشگاه؛ صنفی، رفاهی، اجرایی و رسانه‌ای</x:v>
      </x:c>
      <x:c r="F1285" s="34" t="str">
        <x:v>DELEGATE/P2</x:v>
      </x:c>
      <x:c r="G1285" s="34" t="str">
        <x:v>هدف/موضوع</x:v>
      </x:c>
      <x:c r="H1285" s="39" t="str">
        <x:v>دانشگاه پیام نور</x:v>
      </x:c>
      <x:c r="I1285" s="39" t="str">
        <x:v>پورتفو؛ واگذاری اجرا و تمرکز بر راهبری</x:v>
      </x:c>
      <x:c r="J1285" s="39" t="str">
        <x:v>PMO/عملیات + روابط عمومی</x:v>
      </x:c>
      <x:c r="K1285" s="39" t="str"/>
      <x:c r="L1285" s="39" t="str">
        <x:v>E112:P502</x:v>
      </x:c>
      <x:c r="M1285" s="39" t="str"/>
      <x:c r="N1285" s="39" t="str">
        <x:v>نسخه پایه ۳۱۵۰</x:v>
      </x:c>
    </x:row>
    <x:row r="1286" ht="34" customHeight="1">
      <x:c r="A1286" s="34" t="str">
        <x:v>☐</x:v>
      </x:c>
      <x:c r="B1286" s="34" t="str">
        <x:v>MI-1936</x:v>
      </x:c>
      <x:c r="C1286" s="34" t="str">
        <x:v>M4 — اجرا، دانشگاه، صنعت و پروژه‌های اجتماعی</x:v>
      </x:c>
      <x:c r="D1286" s="34" t="str">
        <x:v>H11</x:v>
      </x:c>
      <x:c r="E1286" s="34" t="str">
        <x:v>دانشگاه؛ صنفی، رفاهی، اجرایی و رسانه‌ای</x:v>
      </x:c>
      <x:c r="F1286" s="34" t="str">
        <x:v>DELEGATE/P2</x:v>
      </x:c>
      <x:c r="G1286" s="34" t="str">
        <x:v>هدف/موضوع</x:v>
      </x:c>
      <x:c r="H1286" s="39" t="str">
        <x:v>مراکز رشد دانشگاهی</x:v>
      </x:c>
      <x:c r="I1286" s="39" t="str">
        <x:v>پورتفو؛ واگذاری اجرا و تمرکز بر راهبری</x:v>
      </x:c>
      <x:c r="J1286" s="39" t="str">
        <x:v>PMO/عملیات + روابط عمومی</x:v>
      </x:c>
      <x:c r="K1286" s="39" t="str"/>
      <x:c r="L1286" s="39" t="str">
        <x:v>E112:P544؛ E112:P1012</x:v>
      </x:c>
      <x:c r="M1286" s="39" t="str"/>
      <x:c r="N1286" s="39" t="str">
        <x:v>نسخه پایه ۳۱۵۰</x:v>
      </x:c>
    </x:row>
    <x:row r="1287" ht="34" customHeight="1">
      <x:c r="A1287" s="34" t="str">
        <x:v>☐</x:v>
      </x:c>
      <x:c r="B1287" s="34" t="str">
        <x:v>MI-1965</x:v>
      </x:c>
      <x:c r="C1287" s="34" t="str">
        <x:v>M4 — اجرا، دانشگاه، صنعت و پروژه‌های اجتماعی</x:v>
      </x:c>
      <x:c r="D1287" s="34" t="str">
        <x:v>H11</x:v>
      </x:c>
      <x:c r="E1287" s="34" t="str">
        <x:v>دانشگاه؛ صنفی، رفاهی، اجرایی و رسانه‌ای</x:v>
      </x:c>
      <x:c r="F1287" s="34" t="str">
        <x:v>DELEGATE/P2</x:v>
      </x:c>
      <x:c r="G1287" s="34" t="str">
        <x:v>هدف/موضوع</x:v>
      </x:c>
      <x:c r="H1287" s="39" t="str">
        <x:v>گروه های پژوهشی دانشگاهی</x:v>
      </x:c>
      <x:c r="I1287" s="39" t="str">
        <x:v>پورتفو؛ واگذاری اجرا و تمرکز بر راهبری</x:v>
      </x:c>
      <x:c r="J1287" s="39" t="str">
        <x:v>PMO/عملیات + روابط عمومی</x:v>
      </x:c>
      <x:c r="K1287" s="39" t="str"/>
      <x:c r="L1287" s="39" t="str">
        <x:v>E112:P589</x:v>
      </x:c>
      <x:c r="M1287" s="39" t="str"/>
      <x:c r="N1287" s="39" t="str">
        <x:v>نسخه پایه ۳۱۵۰</x:v>
      </x:c>
    </x:row>
    <x:row r="1288" ht="34" customHeight="1">
      <x:c r="A1288" s="34" t="str">
        <x:v>☐</x:v>
      </x:c>
      <x:c r="B1288" s="34" t="str">
        <x:v>MI-2014</x:v>
      </x:c>
      <x:c r="C1288" s="34" t="str">
        <x:v>M4 — اجرا، دانشگاه، صنعت و پروژه‌های اجتماعی</x:v>
      </x:c>
      <x:c r="D1288" s="34" t="str">
        <x:v>H11</x:v>
      </x:c>
      <x:c r="E1288" s="34" t="str">
        <x:v>دانشگاه؛ صنفی، رفاهی، اجرایی و رسانه‌ای</x:v>
      </x:c>
      <x:c r="F1288" s="34" t="str">
        <x:v>DELEGATE/P2</x:v>
      </x:c>
      <x:c r="G1288" s="34" t="str">
        <x:v>هدف/موضوع</x:v>
      </x:c>
      <x:c r="H1288" s="39" t="str">
        <x:v>سازمان نظام صنفی</x:v>
      </x:c>
      <x:c r="I1288" s="39" t="str">
        <x:v>پورتفو؛ واگذاری اجرا و تمرکز بر راهبری</x:v>
      </x:c>
      <x:c r="J1288" s="39" t="str">
        <x:v>PMO/عملیات + روابط عمومی</x:v>
      </x:c>
      <x:c r="K1288" s="39" t="str"/>
      <x:c r="L1288" s="39" t="str">
        <x:v>E112:P670</x:v>
      </x:c>
      <x:c r="M1288" s="39" t="str"/>
      <x:c r="N1288" s="39" t="str">
        <x:v>نسخه پایه ۳۱۵۰</x:v>
      </x:c>
    </x:row>
    <x:row r="1289" ht="34" customHeight="1">
      <x:c r="A1289" s="34" t="str">
        <x:v>☐</x:v>
      </x:c>
      <x:c r="B1289" s="34" t="str">
        <x:v>MI-2063</x:v>
      </x:c>
      <x:c r="C1289" s="34" t="str">
        <x:v>M4 — اجرا، دانشگاه، صنعت و پروژه‌های اجتماعی</x:v>
      </x:c>
      <x:c r="D1289" s="34" t="str">
        <x:v>H11</x:v>
      </x:c>
      <x:c r="E1289" s="34" t="str">
        <x:v>دانشگاه؛ صنفی، رفاهی، اجرایی و رسانه‌ای</x:v>
      </x:c>
      <x:c r="F1289" s="34" t="str">
        <x:v>DELEGATE/P2</x:v>
      </x:c>
      <x:c r="G1289" s="34" t="str">
        <x:v>هدف/موضوع</x:v>
      </x:c>
      <x:c r="H1289" s="39" t="str">
        <x:v>1. دانشگاه های بزرگ استان</x:v>
      </x:c>
      <x:c r="I1289" s="39" t="str">
        <x:v>پورتفو؛ واگذاری اجرا و تمرکز بر راهبری</x:v>
      </x:c>
      <x:c r="J1289" s="39" t="str">
        <x:v>PMO/عملیات + روابط عمومی</x:v>
      </x:c>
      <x:c r="K1289" s="39" t="str"/>
      <x:c r="L1289" s="39" t="str">
        <x:v>E112:P764</x:v>
      </x:c>
      <x:c r="M1289" s="39" t="str"/>
      <x:c r="N1289" s="39" t="str">
        <x:v>نسخه پایه ۳۱۵۰</x:v>
      </x:c>
    </x:row>
    <x:row r="1290" ht="34" customHeight="1">
      <x:c r="A1290" s="34" t="str">
        <x:v>☐</x:v>
      </x:c>
      <x:c r="B1290" s="34" t="str">
        <x:v>MI-2066</x:v>
      </x:c>
      <x:c r="C1290" s="34" t="str">
        <x:v>M4 — اجرا، دانشگاه، صنعت و پروژه‌های اجتماعی</x:v>
      </x:c>
      <x:c r="D1290" s="34" t="str">
        <x:v>H11</x:v>
      </x:c>
      <x:c r="E1290" s="34" t="str">
        <x:v>دانشگاه؛ صنفی، رفاهی، اجرایی و رسانه‌ای</x:v>
      </x:c>
      <x:c r="F1290" s="34" t="str">
        <x:v>DELEGATE/P2</x:v>
      </x:c>
      <x:c r="G1290" s="34" t="str">
        <x:v>هدف/موضوع</x:v>
      </x:c>
      <x:c r="H1290" s="39" t="str">
        <x:v>دانشگاه مازندران</x:v>
      </x:c>
      <x:c r="I1290" s="39" t="str">
        <x:v>پورتفو؛ واگذاری اجرا و تمرکز بر راهبری</x:v>
      </x:c>
      <x:c r="J1290" s="39" t="str">
        <x:v>PMO/عملیات + روابط عمومی</x:v>
      </x:c>
      <x:c r="K1290" s="39" t="str"/>
      <x:c r="L1290" s="39" t="str">
        <x:v>E112:P770؛ E112:P3587</x:v>
      </x:c>
      <x:c r="M1290" s="39" t="str"/>
      <x:c r="N1290" s="39" t="str">
        <x:v>نسخه پایه ۳۱۵۰</x:v>
      </x:c>
    </x:row>
    <x:row r="1291" ht="34" customHeight="1">
      <x:c r="A1291" s="34" t="str">
        <x:v>☐</x:v>
      </x:c>
      <x:c r="B1291" s="34" t="str">
        <x:v>MI-2071</x:v>
      </x:c>
      <x:c r="C1291" s="34" t="str">
        <x:v>M4 — اجرا، دانشگاه، صنعت و پروژه‌های اجتماعی</x:v>
      </x:c>
      <x:c r="D1291" s="34" t="str">
        <x:v>H11</x:v>
      </x:c>
      <x:c r="E1291" s="34" t="str">
        <x:v>دانشگاه؛ صنفی، رفاهی، اجرایی و رسانه‌ای</x:v>
      </x:c>
      <x:c r="F1291" s="34" t="str">
        <x:v>DELEGATE/P2</x:v>
      </x:c>
      <x:c r="G1291" s="34" t="str">
        <x:v>هدف/موضوع</x:v>
      </x:c>
      <x:c r="H1291" s="39" t="str">
        <x:v>جریان دانشجو</x:v>
      </x:c>
      <x:c r="I1291" s="39" t="str">
        <x:v>پورتفو؛ واگذاری اجرا و تمرکز بر راهبری</x:v>
      </x:c>
      <x:c r="J1291" s="39" t="str">
        <x:v>PMO/عملیات + روابط عمومی</x:v>
      </x:c>
      <x:c r="K1291" s="39" t="str"/>
      <x:c r="L1291" s="39" t="str">
        <x:v>E112:P777</x:v>
      </x:c>
      <x:c r="M1291" s="39" t="str"/>
      <x:c r="N1291" s="39" t="str">
        <x:v>نسخه پایه ۳۱۵۰</x:v>
      </x:c>
    </x:row>
    <x:row r="1292" ht="34" customHeight="1">
      <x:c r="A1292" s="34" t="str">
        <x:v>☐</x:v>
      </x:c>
      <x:c r="B1292" s="34" t="str">
        <x:v>MI-2150</x:v>
      </x:c>
      <x:c r="C1292" s="34" t="str">
        <x:v>M4 — اجرا، دانشگاه، صنعت و پروژه‌های اجتماعی</x:v>
      </x:c>
      <x:c r="D1292" s="34" t="str">
        <x:v>H11</x:v>
      </x:c>
      <x:c r="E1292" s="34" t="str">
        <x:v>دانشگاه؛ صنفی، رفاهی، اجرایی و رسانه‌ای</x:v>
      </x:c>
      <x:c r="F1292" s="34" t="str">
        <x:v>DELEGATE/P2</x:v>
      </x:c>
      <x:c r="G1292" s="34" t="str">
        <x:v>هدف/موضوع</x:v>
      </x:c>
      <x:c r="H1292" s="39" t="str">
        <x:v>دانشجویان و دانش آموزان.</x:v>
      </x:c>
      <x:c r="I1292" s="39" t="str">
        <x:v>پورتفو؛ واگذاری اجرا و تمرکز بر راهبری</x:v>
      </x:c>
      <x:c r="J1292" s="39" t="str">
        <x:v>PMO/عملیات + روابط عمومی</x:v>
      </x:c>
      <x:c r="K1292" s="39" t="str"/>
      <x:c r="L1292" s="39" t="str">
        <x:v>E112:P929</x:v>
      </x:c>
      <x:c r="M1292" s="39" t="str"/>
      <x:c r="N1292" s="39" t="str">
        <x:v>نسخه پایه ۳۱۵۰</x:v>
      </x:c>
    </x:row>
    <x:row r="1293" ht="34" customHeight="1">
      <x:c r="A1293" s="34" t="str">
        <x:v>☐</x:v>
      </x:c>
      <x:c r="B1293" s="34" t="str">
        <x:v>MI-2186</x:v>
      </x:c>
      <x:c r="C1293" s="34" t="str">
        <x:v>M4 — اجرا، دانشگاه، صنعت و پروژه‌های اجتماعی</x:v>
      </x:c>
      <x:c r="D1293" s="34" t="str">
        <x:v>H11</x:v>
      </x:c>
      <x:c r="E1293" s="34" t="str">
        <x:v>دانشگاه؛ صنفی، رفاهی، اجرایی و رسانه‌ای</x:v>
      </x:c>
      <x:c r="F1293" s="34" t="str">
        <x:v>DELEGATE/P2</x:v>
      </x:c>
      <x:c r="G1293" s="34" t="str">
        <x:v>هدف/موضوع</x:v>
      </x:c>
      <x:c r="H1293" s="39" t="str">
        <x:v>دانشگاه مازندران (بابلسر)</x:v>
      </x:c>
      <x:c r="I1293" s="39" t="str">
        <x:v>پورتفو؛ واگذاری اجرا و تمرکز بر راهبری</x:v>
      </x:c>
      <x:c r="J1293" s="39" t="str">
        <x:v>PMO/عملیات + روابط عمومی</x:v>
      </x:c>
      <x:c r="K1293" s="39" t="str"/>
      <x:c r="L1293" s="39" t="str">
        <x:v>E112:P998</x:v>
      </x:c>
      <x:c r="M1293" s="39" t="str"/>
      <x:c r="N1293" s="39" t="str">
        <x:v>نسخه پایه ۳۱۵۰</x:v>
      </x:c>
    </x:row>
    <x:row r="1294" ht="34" customHeight="1">
      <x:c r="A1294" s="34" t="str">
        <x:v>☐</x:v>
      </x:c>
      <x:c r="B1294" s="34" t="str">
        <x:v>MI-2189</x:v>
      </x:c>
      <x:c r="C1294" s="34" t="str">
        <x:v>M4 — اجرا، دانشگاه، صنعت و پروژه‌های اجتماعی</x:v>
      </x:c>
      <x:c r="D1294" s="34" t="str">
        <x:v>H11</x:v>
      </x:c>
      <x:c r="E1294" s="34" t="str">
        <x:v>دانشگاه؛ صنفی، رفاهی، اجرایی و رسانه‌ای</x:v>
      </x:c>
      <x:c r="F1294" s="34" t="str">
        <x:v>DELEGATE/P2</x:v>
      </x:c>
      <x:c r="G1294" s="34" t="str">
        <x:v>هدف/موضوع</x:v>
      </x:c>
      <x:c r="H1294" s="39" t="str">
        <x:v>دانشگاه آزاد واحدهای بزرگ</x:v>
      </x:c>
      <x:c r="I1294" s="39" t="str">
        <x:v>پورتفو؛ واگذاری اجرا و تمرکز بر راهبری</x:v>
      </x:c>
      <x:c r="J1294" s="39" t="str">
        <x:v>PMO/عملیات + روابط عمومی</x:v>
      </x:c>
      <x:c r="K1294" s="39" t="str"/>
      <x:c r="L1294" s="39" t="str">
        <x:v>E112:P1001</x:v>
      </x:c>
      <x:c r="M1294" s="39" t="str"/>
      <x:c r="N1294" s="39" t="str">
        <x:v>نسخه پایه ۳۱۵۰</x:v>
      </x:c>
    </x:row>
    <x:row r="1295" ht="34" customHeight="1">
      <x:c r="A1295" s="34" t="str">
        <x:v>☐</x:v>
      </x:c>
      <x:c r="B1295" s="34" t="str">
        <x:v>MI-2214</x:v>
      </x:c>
      <x:c r="C1295" s="34" t="str">
        <x:v>M4 — اجرا، دانشگاه، صنعت و پروژه‌های اجتماعی</x:v>
      </x:c>
      <x:c r="D1295" s="34" t="str">
        <x:v>H11</x:v>
      </x:c>
      <x:c r="E1295" s="34" t="str">
        <x:v>دانشگاه؛ صنفی، رفاهی، اجرایی و رسانه‌ای</x:v>
      </x:c>
      <x:c r="F1295" s="34" t="str">
        <x:v>DELEGATE/P2</x:v>
      </x:c>
      <x:c r="G1295" s="34" t="str">
        <x:v>هدف/موضوع</x:v>
      </x:c>
      <x:c r="H1295" s="39" t="str">
        <x:v>دانشگاه گیلان</x:v>
      </x:c>
      <x:c r="I1295" s="39" t="str">
        <x:v>پورتفو؛ واگذاری اجرا و تمرکز بر راهبری</x:v>
      </x:c>
      <x:c r="J1295" s="39" t="str">
        <x:v>PMO/عملیات + روابط عمومی</x:v>
      </x:c>
      <x:c r="K1295" s="39" t="str"/>
      <x:c r="L1295" s="39" t="str">
        <x:v>E112:P1053</x:v>
      </x:c>
      <x:c r="M1295" s="39" t="str"/>
      <x:c r="N1295" s="39" t="str">
        <x:v>نسخه پایه ۳۱۵۰</x:v>
      </x:c>
    </x:row>
    <x:row r="1296" ht="34" customHeight="1">
      <x:c r="A1296" s="34" t="str">
        <x:v>☐</x:v>
      </x:c>
      <x:c r="B1296" s="34" t="str">
        <x:v>MI-2221</x:v>
      </x:c>
      <x:c r="C1296" s="34" t="str">
        <x:v>M4 — اجرا، دانشگاه، صنعت و پروژه‌های اجتماعی</x:v>
      </x:c>
      <x:c r="D1296" s="34" t="str">
        <x:v>H11</x:v>
      </x:c>
      <x:c r="E1296" s="34" t="str">
        <x:v>دانشگاه؛ صنفی، رفاهی، اجرایی و رسانه‌ای</x:v>
      </x:c>
      <x:c r="F1296" s="34" t="str">
        <x:v>DELEGATE/P2</x:v>
      </x:c>
      <x:c r="G1296" s="34" t="str">
        <x:v>هدف/موضوع</x:v>
      </x:c>
      <x:c r="H1296" s="39" t="str">
        <x:v>دانشگاه های فعال</x:v>
      </x:c>
      <x:c r="I1296" s="39" t="str">
        <x:v>پورتفو؛ واگذاری اجرا و تمرکز بر راهبری</x:v>
      </x:c>
      <x:c r="J1296" s="39" t="str">
        <x:v>PMO/عملیات + روابط عمومی</x:v>
      </x:c>
      <x:c r="K1296" s="39" t="str"/>
      <x:c r="L1296" s="39" t="str">
        <x:v>E112:P1067</x:v>
      </x:c>
      <x:c r="M1296" s="39" t="str"/>
      <x:c r="N1296" s="39" t="str">
        <x:v>نسخه پایه ۳۱۵۰</x:v>
      </x:c>
    </x:row>
    <x:row r="1297" ht="34" customHeight="1">
      <x:c r="A1297" s="34" t="str">
        <x:v>☐</x:v>
      </x:c>
      <x:c r="B1297" s="34" t="str">
        <x:v>MI-2255</x:v>
      </x:c>
      <x:c r="C1297" s="34" t="str">
        <x:v>M4 — اجرا، دانشگاه، صنعت و پروژه‌های اجتماعی</x:v>
      </x:c>
      <x:c r="D1297" s="34" t="str">
        <x:v>H11</x:v>
      </x:c>
      <x:c r="E1297" s="34" t="str">
        <x:v>دانشگاه؛ صنفی، رفاهی، اجرایی و رسانه‌ای</x:v>
      </x:c>
      <x:c r="F1297" s="34" t="str">
        <x:v>DELEGATE/P2</x:v>
      </x:c>
      <x:c r="G1297" s="34" t="str">
        <x:v>هدف/موضوع</x:v>
      </x:c>
      <x:c r="H1297" s="39" t="str">
        <x:v>دانشگاه های قوی هستند اما:</x:v>
      </x:c>
      <x:c r="I1297" s="39" t="str">
        <x:v>پورتفو؛ واگذاری اجرا و تمرکز بر راهبری</x:v>
      </x:c>
      <x:c r="J1297" s="39" t="str">
        <x:v>PMO/عملیات + روابط عمومی</x:v>
      </x:c>
      <x:c r="K1297" s="39" t="str"/>
      <x:c r="L1297" s="39" t="str">
        <x:v>E112:P1159</x:v>
      </x:c>
      <x:c r="M1297" s="39" t="str"/>
      <x:c r="N1297" s="39" t="str">
        <x:v>نسخه پایه ۳۱۵۰</x:v>
      </x:c>
    </x:row>
    <x:row r="1298" ht="34" customHeight="1">
      <x:c r="A1298" s="34" t="str">
        <x:v>☐</x:v>
      </x:c>
      <x:c r="B1298" s="34" t="str">
        <x:v>MI-2349</x:v>
      </x:c>
      <x:c r="C1298" s="34" t="str">
        <x:v>M4 — اجرا، دانشگاه، صنعت و پروژه‌های اجتماعی</x:v>
      </x:c>
      <x:c r="D1298" s="34" t="str">
        <x:v>H11</x:v>
      </x:c>
      <x:c r="E1298" s="34" t="str">
        <x:v>دانشگاه؛ صنفی، رفاهی، اجرایی و رسانه‌ای</x:v>
      </x:c>
      <x:c r="F1298" s="34" t="str">
        <x:v>DELEGATE/P2</x:v>
      </x:c>
      <x:c r="G1298" s="34" t="str">
        <x:v>هدف/موضوع</x:v>
      </x:c>
      <x:c r="H1298" s="39" t="str">
        <x:v>صادرات غذا</x:v>
      </x:c>
      <x:c r="I1298" s="39" t="str">
        <x:v>پورتفو؛ واگذاری اجرا و تمرکز بر راهبری</x:v>
      </x:c>
      <x:c r="J1298" s="39" t="str">
        <x:v>PMO/عملیات + روابط عمومی</x:v>
      </x:c>
      <x:c r="K1298" s="39" t="str"/>
      <x:c r="L1298" s="39" t="str">
        <x:v>E112:P1367</x:v>
      </x:c>
      <x:c r="M1298" s="39" t="str"/>
      <x:c r="N1298" s="39" t="str">
        <x:v>نسخه پایه ۳۱۵۰</x:v>
      </x:c>
    </x:row>
    <x:row r="1299" ht="34" customHeight="1">
      <x:c r="A1299" s="34" t="str">
        <x:v>☐</x:v>
      </x:c>
      <x:c r="B1299" s="34" t="str">
        <x:v>MI-2515</x:v>
      </x:c>
      <x:c r="C1299" s="34" t="str">
        <x:v>M4 — اجرا، دانشگاه، صنعت و پروژه‌های اجتماعی</x:v>
      </x:c>
      <x:c r="D1299" s="34" t="str">
        <x:v>H11</x:v>
      </x:c>
      <x:c r="E1299" s="34" t="str">
        <x:v>دانشگاه؛ صنفی، رفاهی، اجرایی و رسانه‌ای</x:v>
      </x:c>
      <x:c r="F1299" s="34" t="str">
        <x:v>DELEGATE/P2</x:v>
      </x:c>
      <x:c r="G1299" s="34" t="str">
        <x:v>هدف/موضوع</x:v>
      </x:c>
      <x:c r="H1299" s="39" t="str">
        <x:v>مراکز نوآوری دانشگاهی</x:v>
      </x:c>
      <x:c r="I1299" s="39" t="str">
        <x:v>پورتفو؛ واگذاری اجرا و تمرکز بر راهبری</x:v>
      </x:c>
      <x:c r="J1299" s="39" t="str">
        <x:v>PMO/عملیات + روابط عمومی</x:v>
      </x:c>
      <x:c r="K1299" s="39" t="str"/>
      <x:c r="L1299" s="39" t="str">
        <x:v>E112:P2028</x:v>
      </x:c>
      <x:c r="M1299" s="39" t="str"/>
      <x:c r="N1299" s="39" t="str">
        <x:v>نسخه پایه ۳۱۵۰</x:v>
      </x:c>
    </x:row>
    <x:row r="1300" ht="34" customHeight="1">
      <x:c r="A1300" s="34" t="str">
        <x:v>☐</x:v>
      </x:c>
      <x:c r="B1300" s="34" t="str">
        <x:v>MI-2523</x:v>
      </x:c>
      <x:c r="C1300" s="34" t="str">
        <x:v>M4 — اجرا، دانشگاه، صنعت و پروژه‌های اجتماعی</x:v>
      </x:c>
      <x:c r="D1300" s="34" t="str">
        <x:v>H11</x:v>
      </x:c>
      <x:c r="E1300" s="34" t="str">
        <x:v>دانشگاه؛ صنفی، رفاهی، اجرایی و رسانه‌ای</x:v>
      </x:c>
      <x:c r="F1300" s="34" t="str">
        <x:v>DELEGATE/P2</x:v>
      </x:c>
      <x:c r="G1300" s="34" t="str">
        <x:v>هدف/موضوع</x:v>
      </x:c>
      <x:c r="H1300" s="39" t="str">
        <x:v>اساتید دانشگاه</x:v>
      </x:c>
      <x:c r="I1300" s="39" t="str">
        <x:v>پورتفو؛ واگذاری اجرا و تمرکز بر راهبری</x:v>
      </x:c>
      <x:c r="J1300" s="39" t="str">
        <x:v>PMO/عملیات + روابط عمومی</x:v>
      </x:c>
      <x:c r="K1300" s="39" t="str"/>
      <x:c r="L1300" s="39" t="str">
        <x:v>E112:P2045؛ E112:P2613؛ E112:P3030</x:v>
      </x:c>
      <x:c r="M1300" s="39" t="str"/>
      <x:c r="N1300" s="39" t="str">
        <x:v>نسخه پایه ۳۱۵۰</x:v>
      </x:c>
    </x:row>
    <x:row r="1301" ht="34" customHeight="1">
      <x:c r="A1301" s="34" t="str">
        <x:v>☐</x:v>
      </x:c>
      <x:c r="B1301" s="34" t="str">
        <x:v>MI-2587</x:v>
      </x:c>
      <x:c r="C1301" s="34" t="str">
        <x:v>M4 — اجرا، دانشگاه، صنعت و پروژه‌های اجتماعی</x:v>
      </x:c>
      <x:c r="D1301" s="34" t="str">
        <x:v>H11</x:v>
      </x:c>
      <x:c r="E1301" s="34" t="str">
        <x:v>دانشگاه؛ صنفی، رفاهی، اجرایی و رسانه‌ای</x:v>
      </x:c>
      <x:c r="F1301" s="34" t="str">
        <x:v>DELEGATE/P2</x:v>
      </x:c>
      <x:c r="G1301" s="34" t="str">
        <x:v>هدف/موضوع</x:v>
      </x:c>
      <x:c r="H1301" s="39" t="str">
        <x:v>کارگروه فناوری دانش آموزی</x:v>
      </x:c>
      <x:c r="I1301" s="39" t="str">
        <x:v>پورتفو؛ واگذاری اجرا و تمرکز بر راهبری</x:v>
      </x:c>
      <x:c r="J1301" s="39" t="str">
        <x:v>PMO/عملیات + روابط عمومی</x:v>
      </x:c>
      <x:c r="K1301" s="39" t="str"/>
      <x:c r="L1301" s="39" t="str">
        <x:v>E112:P2182</x:v>
      </x:c>
      <x:c r="M1301" s="39" t="str"/>
      <x:c r="N1301" s="39" t="str">
        <x:v>نسخه پایه ۳۱۵۰</x:v>
      </x:c>
    </x:row>
    <x:row r="1302" ht="34" customHeight="1">
      <x:c r="A1302" s="34" t="str">
        <x:v>☐</x:v>
      </x:c>
      <x:c r="B1302" s="34" t="str">
        <x:v>MI-2707</x:v>
      </x:c>
      <x:c r="C1302" s="34" t="str">
        <x:v>M4 — اجرا، دانشگاه، صنعت و پروژه‌های اجتماعی</x:v>
      </x:c>
      <x:c r="D1302" s="34" t="str">
        <x:v>H11</x:v>
      </x:c>
      <x:c r="E1302" s="34" t="str">
        <x:v>دانشگاه؛ صنفی، رفاهی، اجرایی و رسانه‌ای</x:v>
      </x:c>
      <x:c r="F1302" s="34" t="str">
        <x:v>DELEGATE/P2</x:v>
      </x:c>
      <x:c r="G1302" s="34" t="str">
        <x:v>هدف/موضوع</x:v>
      </x:c>
      <x:c r="H1302" s="39" t="str">
        <x:v>دانشجویان</x:v>
      </x:c>
      <x:c r="I1302" s="39" t="str">
        <x:v>پورتفو؛ واگذاری اجرا و تمرکز بر راهبری</x:v>
      </x:c>
      <x:c r="J1302" s="39" t="str">
        <x:v>PMO/عملیات + روابط عمومی</x:v>
      </x:c>
      <x:c r="K1302" s="39" t="str"/>
      <x:c r="L1302" s="39" t="str">
        <x:v>E112:P2696</x:v>
      </x:c>
      <x:c r="M1302" s="39" t="str"/>
      <x:c r="N1302" s="39" t="str">
        <x:v>نسخه پایه ۳۱۵۰</x:v>
      </x:c>
    </x:row>
    <x:row r="1303" ht="34" customHeight="1">
      <x:c r="A1303" s="34" t="str">
        <x:v>☐</x:v>
      </x:c>
      <x:c r="B1303" s="34" t="str">
        <x:v>MI-2717</x:v>
      </x:c>
      <x:c r="C1303" s="34" t="str">
        <x:v>M4 — اجرا، دانشگاه، صنعت و پروژه‌های اجتماعی</x:v>
      </x:c>
      <x:c r="D1303" s="34" t="str">
        <x:v>H11</x:v>
      </x:c>
      <x:c r="E1303" s="34" t="str">
        <x:v>دانشگاه؛ صنفی، رفاهی، اجرایی و رسانه‌ای</x:v>
      </x:c>
      <x:c r="F1303" s="34" t="str">
        <x:v>DELEGATE/P2</x:v>
      </x:c>
      <x:c r="G1303" s="34" t="str">
        <x:v>هدف/موضوع</x:v>
      </x:c>
      <x:c r="H1303" s="39" t="str">
        <x:v>مسایل می توانند از منابع زیر استخراج شوند:</x:v>
      </x:c>
      <x:c r="I1303" s="39" t="str">
        <x:v>پورتفو؛ واگذاری اجرا و تمرکز بر راهبری</x:v>
      </x:c>
      <x:c r="J1303" s="39" t="str">
        <x:v>PMO/عملیات + روابط عمومی</x:v>
      </x:c>
      <x:c r="K1303" s="39" t="str"/>
      <x:c r="L1303" s="39" t="str">
        <x:v>E112:P2721</x:v>
      </x:c>
      <x:c r="M1303" s="39" t="str"/>
      <x:c r="N1303" s="39" t="str">
        <x:v>نسخه پایه ۳۱۵۰</x:v>
      </x:c>
    </x:row>
    <x:row r="1304" ht="34" customHeight="1">
      <x:c r="A1304" s="34" t="str">
        <x:v>☐</x:v>
      </x:c>
      <x:c r="B1304" s="34" t="str">
        <x:v>MI-2833</x:v>
      </x:c>
      <x:c r="C1304" s="34" t="str">
        <x:v>M4 — اجرا، دانشگاه، صنعت و پروژه‌های اجتماعی</x:v>
      </x:c>
      <x:c r="D1304" s="34" t="str">
        <x:v>H11</x:v>
      </x:c>
      <x:c r="E1304" s="34" t="str">
        <x:v>دانشگاه؛ صنفی، رفاهی، اجرایی و رسانه‌ای</x:v>
      </x:c>
      <x:c r="F1304" s="34" t="str">
        <x:v>DELEGATE/P2</x:v>
      </x:c>
      <x:c r="G1304" s="34" t="str">
        <x:v>هدف/موضوع</x:v>
      </x:c>
      <x:c r="H1304" s="39" t="str">
        <x:v>مسایل از اینجا استخراج می شوند:</x:v>
      </x:c>
      <x:c r="I1304" s="39" t="str">
        <x:v>پورتفو؛ واگذاری اجرا و تمرکز بر راهبری</x:v>
      </x:c>
      <x:c r="J1304" s="39" t="str">
        <x:v>PMO/عملیات + روابط عمومی</x:v>
      </x:c>
      <x:c r="K1304" s="39" t="str"/>
      <x:c r="L1304" s="39" t="str">
        <x:v>E112:P3044</x:v>
      </x:c>
      <x:c r="M1304" s="39" t="str"/>
      <x:c r="N1304" s="39" t="str">
        <x:v>نسخه پایه ۳۱۵۰</x:v>
      </x:c>
    </x:row>
    <x:row r="1305" ht="34" customHeight="1">
      <x:c r="A1305" s="34" t="str">
        <x:v>☐</x:v>
      </x:c>
      <x:c r="B1305" s="34" t="str">
        <x:v>MI-2877</x:v>
      </x:c>
      <x:c r="C1305" s="34" t="str">
        <x:v>M4 — اجرا، دانشگاه، صنعت و پروژه‌های اجتماعی</x:v>
      </x:c>
      <x:c r="D1305" s="34" t="str">
        <x:v>H11</x:v>
      </x:c>
      <x:c r="E1305" s="34" t="str">
        <x:v>دانشگاه؛ صنفی، رفاهی، اجرایی و رسانه‌ای</x:v>
      </x:c>
      <x:c r="F1305" s="34" t="str">
        <x:v>DELEGATE/P2</x:v>
      </x:c>
      <x:c r="G1305" s="34" t="str">
        <x:v>هدف/موضوع</x:v>
      </x:c>
      <x:c r="H1305" s="39" t="str">
        <x:v>(مدارس، دانشگاه ها، سمن ها)</x:v>
      </x:c>
      <x:c r="I1305" s="39" t="str">
        <x:v>پورتفو؛ واگذاری اجرا و تمرکز بر راهبری</x:v>
      </x:c>
      <x:c r="J1305" s="39" t="str">
        <x:v>PMO/عملیات + روابط عمومی</x:v>
      </x:c>
      <x:c r="K1305" s="39" t="str"/>
      <x:c r="L1305" s="39" t="str">
        <x:v>E112:P3197</x:v>
      </x:c>
      <x:c r="M1305" s="39" t="str"/>
      <x:c r="N1305" s="39" t="str">
        <x:v>نسخه پایه ۳۱۵۰</x:v>
      </x:c>
    </x:row>
    <x:row r="1306" ht="34" customHeight="1">
      <x:c r="A1306" s="34" t="str">
        <x:v>☐</x:v>
      </x:c>
      <x:c r="B1306" s="34" t="str">
        <x:v>MI-3031</x:v>
      </x:c>
      <x:c r="C1306" s="34" t="str">
        <x:v>M4 — اجرا، دانشگاه، صنعت و پروژه‌های اجتماعی</x:v>
      </x:c>
      <x:c r="D1306" s="34" t="str">
        <x:v>H11</x:v>
      </x:c>
      <x:c r="E1306" s="34" t="str">
        <x:v>دانشگاه؛ صنفی، رفاهی، اجرایی و رسانه‌ای</x:v>
      </x:c>
      <x:c r="F1306" s="34" t="str">
        <x:v>DELEGATE/P2</x:v>
      </x:c>
      <x:c r="G1306" s="34" t="str">
        <x:v>هدف/موضوع</x:v>
      </x:c>
      <x:c r="H1306" s="39" t="str">
        <x:v>دانشگاه نوشیروانی بابل</x:v>
      </x:c>
      <x:c r="I1306" s="39" t="str">
        <x:v>پورتفو؛ واگذاری اجرا و تمرکز بر راهبری</x:v>
      </x:c>
      <x:c r="J1306" s="39" t="str">
        <x:v>PMO/عملیات + روابط عمومی</x:v>
      </x:c>
      <x:c r="K1306" s="39" t="str"/>
      <x:c r="L1306" s="39" t="str">
        <x:v>E112:P3585</x:v>
      </x:c>
      <x:c r="M1306" s="39" t="str"/>
      <x:c r="N1306" s="39" t="str">
        <x:v>نسخه پایه ۳۱۵۰</x:v>
      </x:c>
    </x:row>
    <x:row r="1307" ht="34" customHeight="1">
      <x:c r="A1307" s="34" t="str">
        <x:v>☐</x:v>
      </x:c>
      <x:c r="B1307" s="34" t="str">
        <x:v>MI-3033</x:v>
      </x:c>
      <x:c r="C1307" s="34" t="str">
        <x:v>M4 — اجرا، دانشگاه، صنعت و پروژه‌های اجتماعی</x:v>
      </x:c>
      <x:c r="D1307" s="34" t="str">
        <x:v>H11</x:v>
      </x:c>
      <x:c r="E1307" s="34" t="str">
        <x:v>دانشگاه؛ صنفی، رفاهی، اجرایی و رسانه‌ای</x:v>
      </x:c>
      <x:c r="F1307" s="34" t="str">
        <x:v>DELEGATE/P2</x:v>
      </x:c>
      <x:c r="G1307" s="34" t="str">
        <x:v>هدف/موضوع</x:v>
      </x:c>
      <x:c r="H1307" s="39" t="str">
        <x:v>این ها باید در شورای راهبری اکوسیستم باشند.</x:v>
      </x:c>
      <x:c r="I1307" s="39" t="str">
        <x:v>پورتفو؛ واگذاری اجرا و تمرکز بر راهبری</x:v>
      </x:c>
      <x:c r="J1307" s="39" t="str">
        <x:v>PMO/عملیات + روابط عمومی</x:v>
      </x:c>
      <x:c r="K1307" s="39" t="str"/>
      <x:c r="L1307" s="39" t="str">
        <x:v>E112:P3597</x:v>
      </x:c>
      <x:c r="M1307" s="39" t="str"/>
      <x:c r="N1307" s="39" t="str">
        <x:v>نسخه پایه ۳۱۵۰</x:v>
      </x:c>
    </x:row>
    <x:row r="1308" ht="34" customHeight="1">
      <x:c r="A1308" s="34" t="str">
        <x:v>☐</x:v>
      </x:c>
      <x:c r="B1308" s="34" t="str">
        <x:v>MI-3116</x:v>
      </x:c>
      <x:c r="C1308" s="34" t="str">
        <x:v>M4 — اجرا، دانشگاه، صنعت و پروژه‌های اجتماعی</x:v>
      </x:c>
      <x:c r="D1308" s="34" t="str">
        <x:v>H11</x:v>
      </x:c>
      <x:c r="E1308" s="34" t="str">
        <x:v>دانشگاه؛ صنفی، رفاهی، اجرایی و رسانه‌ای</x:v>
      </x:c>
      <x:c r="F1308" s="34" t="str">
        <x:v>DELEGATE/P2</x:v>
      </x:c>
      <x:c r="G1308" s="34" t="str">
        <x:v>هدف/موضوع</x:v>
      </x:c>
      <x:c r="H1308" s="39" t="str">
        <x:v>درآمدم حاصل یه بخشی تدریس میکردم ، کوتاه مدت، یه بخشی کار دانشجویی داشتم، یه بخشی هم از خانواده ماهیانه دریافت میکردم.</x:v>
      </x:c>
      <x:c r="I1308" s="39" t="str">
        <x:v>پورتفو؛ واگذاری اجرا و تمرکز بر راهبری</x:v>
      </x:c>
      <x:c r="J1308" s="39" t="str">
        <x:v>PMO/عملیات + روابط عمومی</x:v>
      </x:c>
      <x:c r="K1308" s="39" t="str"/>
      <x:c r="L1308" s="39" t="str">
        <x:v>INT:T39 R2</x:v>
      </x:c>
      <x:c r="M1308" s="39" t="str"/>
      <x:c r="N1308" s="39" t="str">
        <x:v>نسخه پایه ۳۱۵۰</x:v>
      </x:c>
    </x:row>
    <x:row r="1309" ht="34" customHeight="1">
      <x:c r="A1309" s="34" t="str">
        <x:v>☐</x:v>
      </x:c>
      <x:c r="B1309" s="34" t="str">
        <x:v>MI-0236</x:v>
      </x:c>
      <x:c r="C1309" s="34" t="str">
        <x:v>M4 — اجرا، دانشگاه، صنعت و پروژه‌های اجتماعی</x:v>
      </x:c>
      <x:c r="D1309" s="34" t="str">
        <x:v>H11</x:v>
      </x:c>
      <x:c r="E1309" s="34" t="str">
        <x:v>دانشگاه؛ صنفی، رفاهی، اجرایی و رسانه‌ای</x:v>
      </x:c>
      <x:c r="F1309" s="34" t="str">
        <x:v>DELEGATE/P2</x:v>
      </x:c>
      <x:c r="G1309" s="34" t="str">
        <x:v>فرد/ارتباط</x:v>
      </x:c>
      <x:c r="H1309" s="39" t="str">
        <x:v>مسجد امام حسن مجتبی علیه السلام</x:v>
      </x:c>
      <x:c r="I1309" s="39" t="str">
        <x:v>پورتفو؛ واگذاری اجرا و تمرکز بر راهبری</x:v>
      </x:c>
      <x:c r="J1309" s="39" t="str">
        <x:v>PMO/عملیات + روابط عمومی</x:v>
      </x:c>
      <x:c r="K1309" s="39" t="str"/>
      <x:c r="L1309" s="39" t="str">
        <x:v>AP:P6</x:v>
      </x:c>
      <x:c r="M1309" s="39" t="str"/>
      <x:c r="N1309" s="39" t="str">
        <x:v>نسخه پایه ۳۱۵۰</x:v>
      </x:c>
    </x:row>
    <x:row r="1310" ht="34" customHeight="1">
      <x:c r="A1310" s="34" t="str">
        <x:v>☐</x:v>
      </x:c>
      <x:c r="B1310" s="34" t="str">
        <x:v>MI-0781</x:v>
      </x:c>
      <x:c r="C1310" s="34" t="str">
        <x:v>M4 — اجرا، دانشگاه، صنعت و پروژه‌های اجتماعی</x:v>
      </x:c>
      <x:c r="D1310" s="34" t="str">
        <x:v>H11</x:v>
      </x:c>
      <x:c r="E1310" s="34" t="str">
        <x:v>دانشگاه؛ صنفی، رفاهی، اجرایی و رسانه‌ای</x:v>
      </x:c>
      <x:c r="F1310" s="34" t="str">
        <x:v>DELEGATE/P2</x:v>
      </x:c>
      <x:c r="G1310" s="34" t="str">
        <x:v>فرد/ارتباط</x:v>
      </x:c>
      <x:c r="H1310" s="39" t="str">
        <x:v>- دورچین ها</x:v>
      </x:c>
      <x:c r="I1310" s="39" t="str">
        <x:v>پورتفو؛ واگذاری اجرا و تمرکز بر راهبری</x:v>
      </x:c>
      <x:c r="J1310" s="39" t="str">
        <x:v>PMO/عملیات + روابط عمومی</x:v>
      </x:c>
      <x:c r="K1310" s="39" t="str"/>
      <x:c r="L1310" s="39" t="str">
        <x:v>AP:P573؛ AP:P1059</x:v>
      </x:c>
      <x:c r="M1310" s="39" t="str"/>
      <x:c r="N1310" s="39" t="str">
        <x:v>نسخه پایه ۳۱۵۰</x:v>
      </x:c>
    </x:row>
    <x:row r="1311" ht="34" customHeight="1">
      <x:c r="A1311" s="34" t="str">
        <x:v>☐</x:v>
      </x:c>
      <x:c r="B1311" s="34" t="str">
        <x:v>MI-0862</x:v>
      </x:c>
      <x:c r="C1311" s="34" t="str">
        <x:v>M4 — اجرا، دانشگاه، صنعت و پروژه‌های اجتماعی</x:v>
      </x:c>
      <x:c r="D1311" s="34" t="str">
        <x:v>H11</x:v>
      </x:c>
      <x:c r="E1311" s="34" t="str">
        <x:v>دانشگاه؛ صنفی، رفاهی، اجرایی و رسانه‌ای</x:v>
      </x:c>
      <x:c r="F1311" s="34" t="str">
        <x:v>DELEGATE/P2</x:v>
      </x:c>
      <x:c r="G1311" s="34" t="str">
        <x:v>فرد/ارتباط</x:v>
      </x:c>
      <x:c r="H1311" s="39" t="str">
        <x:v>تنوع غذا</x:v>
      </x:c>
      <x:c r="I1311" s="39" t="str">
        <x:v>پورتفو؛ واگذاری اجرا و تمرکز بر راهبری</x:v>
      </x:c>
      <x:c r="J1311" s="39" t="str">
        <x:v>PMO/عملیات + روابط عمومی</x:v>
      </x:c>
      <x:c r="K1311" s="39" t="str"/>
      <x:c r="L1311" s="39" t="str">
        <x:v>AP:P667؛ AP:P1058</x:v>
      </x:c>
      <x:c r="M1311" s="39" t="str"/>
      <x:c r="N1311" s="39" t="str">
        <x:v>نسخه پایه ۳۱۵۰</x:v>
      </x:c>
    </x:row>
    <x:row r="1312" ht="34" customHeight="1">
      <x:c r="A1312" s="34" t="str">
        <x:v>☐</x:v>
      </x:c>
      <x:c r="B1312" s="34" t="str">
        <x:v>MI-1199</x:v>
      </x:c>
      <x:c r="C1312" s="34" t="str">
        <x:v>M4 — اجرا، دانشگاه، صنعت و پروژه‌های اجتماعی</x:v>
      </x:c>
      <x:c r="D1312" s="34" t="str">
        <x:v>H11</x:v>
      </x:c>
      <x:c r="E1312" s="34" t="str">
        <x:v>دانشگاه؛ صنفی، رفاهی، اجرایی و رسانه‌ای</x:v>
      </x:c>
      <x:c r="F1312" s="34" t="str">
        <x:v>DELEGATE/P2</x:v>
      </x:c>
      <x:c r="G1312" s="34" t="str">
        <x:v>فرد/ارتباط</x:v>
      </x:c>
      <x:c r="H1312" s="39" t="str">
        <x:v>سپردن کار به اعضا کارگروه</x:v>
      </x:c>
      <x:c r="I1312" s="39" t="str">
        <x:v>پورتفو؛ واگذاری اجرا و تمرکز بر راهبری</x:v>
      </x:c>
      <x:c r="J1312" s="39" t="str">
        <x:v>PMO/عملیات + روابط عمومی</x:v>
      </x:c>
      <x:c r="K1312" s="39" t="str"/>
      <x:c r="L1312" s="39" t="str">
        <x:v>AP:P1057</x:v>
      </x:c>
      <x:c r="M1312" s="39" t="str"/>
      <x:c r="N1312" s="39" t="str">
        <x:v>نسخه پایه ۳۱۵۰</x:v>
      </x:c>
    </x:row>
    <x:row r="1313" ht="34" customHeight="1">
      <x:c r="A1313" s="34" t="str">
        <x:v>☐</x:v>
      </x:c>
      <x:c r="B1313" s="34" t="str">
        <x:v>MI-1200</x:v>
      </x:c>
      <x:c r="C1313" s="34" t="str">
        <x:v>M4 — اجرا، دانشگاه، صنعت و پروژه‌های اجتماعی</x:v>
      </x:c>
      <x:c r="D1313" s="34" t="str">
        <x:v>H11</x:v>
      </x:c>
      <x:c r="E1313" s="34" t="str">
        <x:v>دانشگاه؛ صنفی، رفاهی، اجرایی و رسانه‌ای</x:v>
      </x:c>
      <x:c r="F1313" s="34" t="str">
        <x:v>DELEGATE/P2</x:v>
      </x:c>
      <x:c r="G1313" s="34" t="str">
        <x:v>فرد/ارتباط</x:v>
      </x:c>
      <x:c r="H1313" s="39" t="str">
        <x:v>وعده دوم میوه</x:v>
      </x:c>
      <x:c r="I1313" s="39" t="str">
        <x:v>پورتفو؛ واگذاری اجرا و تمرکز بر راهبری</x:v>
      </x:c>
      <x:c r="J1313" s="39" t="str">
        <x:v>PMO/عملیات + روابط عمومی</x:v>
      </x:c>
      <x:c r="K1313" s="39" t="str"/>
      <x:c r="L1313" s="39" t="str">
        <x:v>AP:P1060</x:v>
      </x:c>
      <x:c r="M1313" s="39" t="str"/>
      <x:c r="N1313" s="39" t="str">
        <x:v>نسخه پایه ۳۱۵۰</x:v>
      </x:c>
    </x:row>
    <x:row r="1314" ht="34" customHeight="1">
      <x:c r="A1314" s="34" t="str">
        <x:v>☐</x:v>
      </x:c>
      <x:c r="B1314" s="34" t="str">
        <x:v>MI-1201</x:v>
      </x:c>
      <x:c r="C1314" s="34" t="str">
        <x:v>M4 — اجرا، دانشگاه، صنعت و پروژه‌های اجتماعی</x:v>
      </x:c>
      <x:c r="D1314" s="34" t="str">
        <x:v>H11</x:v>
      </x:c>
      <x:c r="E1314" s="34" t="str">
        <x:v>دانشگاه؛ صنفی، رفاهی، اجرایی و رسانه‌ای</x:v>
      </x:c>
      <x:c r="F1314" s="34" t="str">
        <x:v>DELEGATE/P2</x:v>
      </x:c>
      <x:c r="G1314" s="34" t="str">
        <x:v>فرد/ارتباط</x:v>
      </x:c>
      <x:c r="H1314" s="39" t="str">
        <x:v>پست سلف مکمل از دکتر پایدار بخواه اطلاعاتش رو</x:v>
      </x:c>
      <x:c r="I1314" s="39" t="str">
        <x:v>پورتفو؛ واگذاری اجرا و تمرکز بر راهبری</x:v>
      </x:c>
      <x:c r="J1314" s="39" t="str">
        <x:v>PMO/عملیات + روابط عمومی</x:v>
      </x:c>
      <x:c r="K1314" s="39" t="str"/>
      <x:c r="L1314" s="39" t="str">
        <x:v>AP:P1061</x:v>
      </x:c>
      <x:c r="M1314" s="39" t="str"/>
      <x:c r="N1314" s="39" t="str">
        <x:v>نسخه پایه ۳۱۵۰</x:v>
      </x:c>
    </x:row>
    <x:row r="1315" ht="34" customHeight="1">
      <x:c r="A1315" s="34" t="str">
        <x:v>☐</x:v>
      </x:c>
      <x:c r="B1315" s="34" t="str">
        <x:v>MI-0885</x:v>
      </x:c>
      <x:c r="C1315" s="34" t="str">
        <x:v>M4 — اجرا، دانشگاه، صنعت و پروژه‌های اجتماعی</x:v>
      </x:c>
      <x:c r="D1315" s="34" t="str">
        <x:v>H11</x:v>
      </x:c>
      <x:c r="E1315" s="34" t="str">
        <x:v>دانشگاه؛ صنفی، رفاهی، اجرایی و رسانه‌ای</x:v>
      </x:c>
      <x:c r="F1315" s="34" t="str">
        <x:v>DELEGATE/P2</x:v>
      </x:c>
      <x:c r="G1315" s="34" t="str">
        <x:v>یادداشت/تحلیل</x:v>
      </x:c>
      <x:c r="H1315" s="39" t="str">
        <x:v>مثل کاری که صنفی عمران کرد که به پیشنهاد شجاع پور یه برگه طراحی کردن با کیو آر کدو لینک کانالشون که مستقیما ارتباط میگیره با ادمین کانال جهت دریافت این موارد نظرات پیشنهادات و انتقادات</x:v>
      </x:c>
      <x:c r="I1315" s="39" t="str">
        <x:v>پورتفو؛ واگذاری اجرا و تمرکز بر راهبری</x:v>
      </x:c>
      <x:c r="J1315" s="39" t="str">
        <x:v>PMO/عملیات + روابط عمومی</x:v>
      </x:c>
      <x:c r="K1315" s="39" t="str"/>
      <x:c r="L1315" s="39" t="str">
        <x:v>AP:P692</x:v>
      </x:c>
      <x:c r="M1315" s="39" t="str"/>
      <x:c r="N1315" s="39" t="str">
        <x:v>نسخه پایه ۳۱۵۰</x:v>
      </x:c>
    </x:row>
    <x:row r="1316" ht="34" customHeight="1">
      <x:c r="A1316" s="34" t="str">
        <x:v>☐</x:v>
      </x:c>
      <x:c r="B1316" s="34" t="str">
        <x:v>MI-3074</x:v>
      </x:c>
      <x:c r="C1316" s="34" t="str">
        <x:v>M4 — اجرا، دانشگاه، صنعت و پروژه‌های اجتماعی</x:v>
      </x:c>
      <x:c r="D1316" s="34" t="str">
        <x:v>H11</x:v>
      </x:c>
      <x:c r="E1316" s="34" t="str">
        <x:v>دانشگاه؛ صنفی، رفاهی، اجرایی و رسانه‌ای</x:v>
      </x:c>
      <x:c r="F1316" s="34" t="str">
        <x:v>DELEGATE/P2</x:v>
      </x:c>
      <x:c r="G1316" s="34" t="str">
        <x:v>یادداشت/تحلیل</x:v>
      </x:c>
      <x:c r="H1316"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I1316" s="39" t="str">
        <x:v>پورتفو؛ واگذاری اجرا و تمرکز بر راهبری</x:v>
      </x:c>
      <x:c r="J1316" s="39" t="str">
        <x:v>PMO/عملیات + روابط عمومی</x:v>
      </x:c>
      <x:c r="K1316" s="39" t="str"/>
      <x:c r="L1316" s="39" t="str">
        <x:v>INT:T13 R2</x:v>
      </x:c>
      <x:c r="M1316" s="39" t="str"/>
      <x:c r="N1316" s="39" t="str">
        <x:v>نسخه پایه ۳۱۵۰</x:v>
      </x:c>
    </x:row>
    <x:row r="1317" ht="34" customHeight="1">
      <x:c r="A1317" s="34" t="str">
        <x:v>☐</x:v>
      </x:c>
      <x:c r="B1317" s="34" t="str">
        <x:v>MI-0262</x:v>
      </x:c>
      <x:c r="C1317" s="34" t="str">
        <x:v>M4 — اجرا، دانشگاه، صنعت و پروژه‌های اجتماعی</x:v>
      </x:c>
      <x:c r="D1317" s="34" t="str">
        <x:v>H11</x:v>
      </x:c>
      <x:c r="E1317" s="34" t="str">
        <x:v>دانشگاه؛ صنفی، رفاهی، اجرایی و رسانه‌ای</x:v>
      </x:c>
      <x:c r="F1317" s="34" t="str">
        <x:v>BANK</x:v>
      </x:c>
      <x:c r="G1317" s="34" t="str">
        <x:v>مطالعه/منبع</x:v>
      </x:c>
      <x:c r="H1317" s="39" t="str">
        <x:v>طرح اهدا کتاب به کتابخانه سردار و طرح پوستر متناسب با مناسبت خاص</x:v>
      </x:c>
      <x:c r="I1317" s="39" t="str">
        <x:v>بانک مطالعه؛ سقف زمانی</x:v>
      </x:c>
      <x:c r="J1317" s="39" t="str">
        <x:v>PMO/عملیات + روابط عمومی</x:v>
      </x:c>
      <x:c r="K1317" s="39" t="str"/>
      <x:c r="L1317" s="39" t="str">
        <x:v>AP:P33</x:v>
      </x:c>
      <x:c r="M1317" s="39" t="str"/>
      <x:c r="N1317" s="39" t="str">
        <x:v>نسخه پایه ۳۱۵۰</x:v>
      </x:c>
    </x:row>
    <x:row r="1318" ht="34" customHeight="1">
      <x:c r="A1318" s="34" t="str">
        <x:v>☐</x:v>
      </x:c>
      <x:c r="B1318" s="34" t="str">
        <x:v>MI-0693</x:v>
      </x:c>
      <x:c r="C1318" s="34" t="str">
        <x:v>M4 — اجرا، دانشگاه، صنعت و پروژه‌های اجتماعی</x:v>
      </x:c>
      <x:c r="D1318" s="34" t="str">
        <x:v>H11</x:v>
      </x:c>
      <x:c r="E1318" s="34" t="str">
        <x:v>دانشگاه؛ صنفی، رفاهی، اجرایی و رسانه‌ای</x:v>
      </x:c>
      <x:c r="F1318" s="34" t="str">
        <x:v>BANK</x:v>
      </x:c>
      <x:c r="G1318" s="34" t="str">
        <x:v>مطالعه/منبع</x:v>
      </x:c>
      <x:c r="H1318" s="39" t="str">
        <x:v>دوربین مدار بسته سالن مطالعه کتابخانه سردار و سالن های مطالعه خوابگاه ها</x:v>
      </x:c>
      <x:c r="I1318" s="39" t="str">
        <x:v>بانک مطالعه؛ سقف زمانی</x:v>
      </x:c>
      <x:c r="J1318" s="39" t="str">
        <x:v>PMO/عملیات + روابط عمومی</x:v>
      </x:c>
      <x:c r="K1318" s="39" t="str"/>
      <x:c r="L1318" s="39" t="str">
        <x:v>AP:P483؛ AP:P638</x:v>
      </x:c>
      <x:c r="M1318" s="39" t="str"/>
      <x:c r="N1318" s="39" t="str">
        <x:v>نسخه پایه ۳۱۵۰</x:v>
      </x:c>
    </x:row>
    <x:row r="1319" ht="34" customHeight="1">
      <x:c r="A1319" s="34" t="str">
        <x:v>☐</x:v>
      </x:c>
      <x:c r="B1319" s="34" t="str">
        <x:v>MI-0694</x:v>
      </x:c>
      <x:c r="C1319" s="34" t="str">
        <x:v>M4 — اجرا، دانشگاه، صنعت و پروژه‌های اجتماعی</x:v>
      </x:c>
      <x:c r="D1319" s="34" t="str">
        <x:v>H11</x:v>
      </x:c>
      <x:c r="E1319" s="34" t="str">
        <x:v>دانشگاه؛ صنفی، رفاهی، اجرایی و رسانه‌ای</x:v>
      </x:c>
      <x:c r="F1319" s="34" t="str">
        <x:v>BANK</x:v>
      </x:c>
      <x:c r="G1319" s="34" t="str">
        <x:v>مطالعه/منبع</x:v>
      </x:c>
      <x:c r="H1319" s="39" t="str">
        <x:v>نصب دوربین در کتابخانه ها و سالن های مطالعاتی جهت افزایش امنیت و اطمینان خاطر دانشجویان در صورت توافق اعضا مثال دزدیده شدن لپ تاپ سالن مطالعاتی بلوک3 دزدیده شدن صندلی به جای هزینه جوشکاری و شما دوربین رو بزاری دیگه علاوه بر صندلی الباقی وسایل هم امنیتشون حفظ میشه دانشجو دیگه علاوه بر استرس امتحان و بقیه موارد لاقال استرس وسایلش رو نداره</x:v>
      </x:c>
      <x:c r="I1319" s="39" t="str">
        <x:v>بانک مطالعه؛ سقف زمانی</x:v>
      </x:c>
      <x:c r="J1319" s="39" t="str">
        <x:v>PMO/عملیات + روابط عمومی</x:v>
      </x:c>
      <x:c r="K1319" s="39" t="str"/>
      <x:c r="L1319" s="39" t="str">
        <x:v>AP:P484؛ AP:P639</x:v>
      </x:c>
      <x:c r="M1319" s="39" t="str"/>
      <x:c r="N1319" s="39" t="str">
        <x:v>نسخه پایه ۳۱۵۰</x:v>
      </x:c>
    </x:row>
    <x:row r="1320" ht="34" customHeight="1">
      <x:c r="A1320" s="34" t="str">
        <x:v>☐</x:v>
      </x:c>
      <x:c r="B1320" s="34" t="str">
        <x:v>MI-0713</x:v>
      </x:c>
      <x:c r="C1320" s="34" t="str">
        <x:v>M4 — اجرا، دانشگاه، صنعت و پروژه‌های اجتماعی</x:v>
      </x:c>
      <x:c r="D1320" s="34" t="str">
        <x:v>H11</x:v>
      </x:c>
      <x:c r="E1320" s="34" t="str">
        <x:v>دانشگاه؛ صنفی، رفاهی، اجرایی و رسانه‌ای</x:v>
      </x:c>
      <x:c r="F1320" s="34" t="str">
        <x:v>BANK</x:v>
      </x:c>
      <x:c r="G1320" s="34" t="str">
        <x:v>مطالعه/منبع</x:v>
      </x:c>
      <x:c r="H1320" s="39" t="str">
        <x:v>کتابفروشی ها</x:v>
      </x:c>
      <x:c r="I1320" s="39" t="str">
        <x:v>بانک مطالعه؛ سقف زمانی</x:v>
      </x:c>
      <x:c r="J1320" s="39" t="str">
        <x:v>PMO/عملیات + روابط عمومی</x:v>
      </x:c>
      <x:c r="K1320" s="39" t="str"/>
      <x:c r="L1320" s="39" t="str">
        <x:v>AP:P504</x:v>
      </x:c>
      <x:c r="M1320" s="39" t="str"/>
      <x:c r="N1320" s="39" t="str">
        <x:v>نسخه پایه ۳۱۵۰</x:v>
      </x:c>
    </x:row>
    <x:row r="1321" ht="34" customHeight="1">
      <x:c r="A1321" s="34" t="str">
        <x:v>☐</x:v>
      </x:c>
      <x:c r="B1321" s="34" t="str">
        <x:v>MI-0775</x:v>
      </x:c>
      <x:c r="C1321" s="34" t="str">
        <x:v>M4 — اجرا، دانشگاه، صنعت و پروژه‌های اجتماعی</x:v>
      </x:c>
      <x:c r="D1321" s="34" t="str">
        <x:v>H11</x:v>
      </x:c>
      <x:c r="E1321" s="34" t="str">
        <x:v>دانشگاه؛ صنفی، رفاهی، اجرایی و رسانه‌ای</x:v>
      </x:c>
      <x:c r="F1321" s="34" t="str">
        <x:v>BANK</x:v>
      </x:c>
      <x:c r="G1321" s="34" t="str">
        <x:v>مطالعه/منبع</x:v>
      </x:c>
      <x:c r="H1321" s="39" t="str">
        <x:v>اضافه کردن دورچین به منوی سایت جهت رزرو کردن دانشجویان</x:v>
      </x:c>
      <x:c r="I1321" s="39" t="str">
        <x:v>بانک مطالعه؛ سقف زمانی</x:v>
      </x:c>
      <x:c r="J1321" s="39" t="str">
        <x:v>PMO/عملیات + روابط عمومی</x:v>
      </x:c>
      <x:c r="K1321" s="39" t="str"/>
      <x:c r="L1321" s="39" t="str">
        <x:v>AP:P567</x:v>
      </x:c>
      <x:c r="M1321" s="39" t="str"/>
      <x:c r="N1321" s="39" t="str">
        <x:v>نسخه پایه ۳۱۵۰</x:v>
      </x:c>
    </x:row>
    <x:row r="1322" ht="34" customHeight="1">
      <x:c r="A1322" s="34" t="str">
        <x:v>☐</x:v>
      </x:c>
      <x:c r="B1322" s="34" t="str">
        <x:v>MI-0801</x:v>
      </x:c>
      <x:c r="C1322" s="34" t="str">
        <x:v>M4 — اجرا، دانشگاه، صنعت و پروژه‌های اجتماعی</x:v>
      </x:c>
      <x:c r="D1322" s="34" t="str">
        <x:v>H11</x:v>
      </x:c>
      <x:c r="E1322" s="34" t="str">
        <x:v>دانشگاه؛ صنفی، رفاهی، اجرایی و رسانه‌ای</x:v>
      </x:c>
      <x:c r="F1322" s="34" t="str">
        <x:v>BANK</x:v>
      </x:c>
      <x:c r="G1322" s="34" t="str">
        <x:v>مطالعه/منبع</x:v>
      </x:c>
      <x:c r="H1322" s="39" t="str">
        <x:v>نظر سنجی در سایت رزرو سلف در مورد دو غذایی که کمترین رای را بیاورد و جایگزینی آن دو</x:v>
      </x:c>
      <x:c r="I1322" s="39" t="str">
        <x:v>بانک مطالعه؛ سقف زمانی</x:v>
      </x:c>
      <x:c r="J1322" s="39" t="str">
        <x:v>PMO/عملیات + روابط عمومی</x:v>
      </x:c>
      <x:c r="K1322" s="39" t="str"/>
      <x:c r="L1322" s="39" t="str">
        <x:v>AP:P593؛ AP:P649</x:v>
      </x:c>
      <x:c r="M1322" s="39" t="str"/>
      <x:c r="N1322" s="39" t="str">
        <x:v>نسخه پایه ۳۱۵۰</x:v>
      </x:c>
    </x:row>
    <x:row r="1323" ht="34" customHeight="1">
      <x:c r="A1323" s="34" t="str">
        <x:v>☐</x:v>
      </x:c>
      <x:c r="B1323" s="34" t="str">
        <x:v>MI-0817</x:v>
      </x:c>
      <x:c r="C1323" s="34" t="str">
        <x:v>M4 — اجرا، دانشگاه، صنعت و پروژه‌های اجتماعی</x:v>
      </x:c>
      <x:c r="D1323" s="34" t="str">
        <x:v>H11</x:v>
      </x:c>
      <x:c r="E1323" s="34" t="str">
        <x:v>دانشگاه؛ صنفی، رفاهی، اجرایی و رسانه‌ای</x:v>
      </x:c>
      <x:c r="F1323" s="34" t="str">
        <x:v>BANK</x:v>
      </x:c>
      <x:c r="G1323" s="34" t="str">
        <x:v>مطالعه/منبع</x:v>
      </x:c>
      <x:c r="H1323" s="39" t="str">
        <x:v>- تهیه و انتشار نشریات، وبسایت و سایر ابزارهای اطلاع رسانی</x:v>
      </x:c>
      <x:c r="I1323" s="39" t="str">
        <x:v>بانک مطالعه؛ سقف زمانی</x:v>
      </x:c>
      <x:c r="J1323" s="39" t="str">
        <x:v>PMO/عملیات + روابط عمومی</x:v>
      </x:c>
      <x:c r="K1323" s="39" t="str"/>
      <x:c r="L1323" s="39" t="str">
        <x:v>AP:P609</x:v>
      </x:c>
      <x:c r="M1323" s="39" t="str"/>
      <x:c r="N1323" s="39" t="str">
        <x:v>نسخه پایه ۳۱۵۰</x:v>
      </x:c>
    </x:row>
    <x:row r="1324" ht="34" customHeight="1">
      <x:c r="A1324" s="34" t="str">
        <x:v>☐</x:v>
      </x:c>
      <x:c r="B1324" s="34" t="str">
        <x:v>MI-0833</x:v>
      </x:c>
      <x:c r="C1324" s="34" t="str">
        <x:v>M4 — اجرا، دانشگاه، صنعت و پروژه‌های اجتماعی</x:v>
      </x:c>
      <x:c r="D1324" s="34" t="str">
        <x:v>H11</x:v>
      </x:c>
      <x:c r="E1324" s="34" t="str">
        <x:v>دانشگاه؛ صنفی، رفاهی، اجرایی و رسانه‌ای</x:v>
      </x:c>
      <x:c r="F1324" s="34" t="str">
        <x:v>BANK</x:v>
      </x:c>
      <x:c r="G1324" s="34" t="str">
        <x:v>مطالعه/منبع</x:v>
      </x:c>
      <x:c r="H1324" s="39" t="str">
        <x:v>سایت و اینترنت</x:v>
      </x:c>
      <x:c r="I1324" s="39" t="str">
        <x:v>بانک مطالعه؛ سقف زمانی</x:v>
      </x:c>
      <x:c r="J1324" s="39" t="str">
        <x:v>PMO/عملیات + روابط عمومی</x:v>
      </x:c>
      <x:c r="K1324" s="39" t="str"/>
      <x:c r="L1324" s="39" t="str">
        <x:v>AP:P627</x:v>
      </x:c>
      <x:c r="M1324" s="39" t="str"/>
      <x:c r="N1324" s="39" t="str">
        <x:v>نسخه پایه ۳۱۵۰</x:v>
      </x:c>
    </x:row>
    <x:row r="1325" ht="34" customHeight="1">
      <x:c r="A1325" s="34" t="str">
        <x:v>☐</x:v>
      </x:c>
      <x:c r="B1325" s="34" t="str">
        <x:v>MI-0850</x:v>
      </x:c>
      <x:c r="C1325" s="34" t="str">
        <x:v>M4 — اجرا، دانشگاه، صنعت و پروژه‌های اجتماعی</x:v>
      </x:c>
      <x:c r="D1325" s="34" t="str">
        <x:v>H11</x:v>
      </x:c>
      <x:c r="E1325" s="34" t="str">
        <x:v>دانشگاه؛ صنفی، رفاهی، اجرایی و رسانه‌ای</x:v>
      </x:c>
      <x:c r="F1325" s="34" t="str">
        <x:v>BANK</x:v>
      </x:c>
      <x:c r="G1325" s="34" t="str">
        <x:v>مطالعه/منبع</x:v>
      </x:c>
      <x:c r="H1325" s="39" t="str">
        <x:v>بخش پایش خوابگاه ها</x:v>
      </x:c>
      <x:c r="I1325" s="39" t="str">
        <x:v>بانک مطالعه؛ سقف زمانی</x:v>
      </x:c>
      <x:c r="J1325" s="39" t="str">
        <x:v>PMO/عملیات + روابط عمومی</x:v>
      </x:c>
      <x:c r="K1325" s="39" t="str"/>
      <x:c r="L1325" s="39" t="str">
        <x:v>AP:P655</x:v>
      </x:c>
      <x:c r="M1325" s="39" t="str"/>
      <x:c r="N1325" s="39" t="str">
        <x:v>نسخه پایه ۳۱۵۰</x:v>
      </x:c>
    </x:row>
    <x:row r="1326" ht="34" customHeight="1">
      <x:c r="A1326" s="34" t="str">
        <x:v>☐</x:v>
      </x:c>
      <x:c r="B1326" s="34" t="str">
        <x:v>MI-0851</x:v>
      </x:c>
      <x:c r="C1326" s="34" t="str">
        <x:v>M4 — اجرا، دانشگاه، صنعت و پروژه‌های اجتماعی</x:v>
      </x:c>
      <x:c r="D1326" s="34" t="str">
        <x:v>H11</x:v>
      </x:c>
      <x:c r="E1326" s="34" t="str">
        <x:v>دانشگاه؛ صنفی، رفاهی، اجرایی و رسانه‌ای</x:v>
      </x:c>
      <x:c r="F1326" s="34" t="str">
        <x:v>BANK</x:v>
      </x:c>
      <x:c r="G1326" s="34" t="str">
        <x:v>مطالعه/منبع</x:v>
      </x:c>
      <x:c r="H1326" s="39" t="str">
        <x:v>بخش پایش دانشکده ها</x:v>
      </x:c>
      <x:c r="I1326" s="39" t="str">
        <x:v>بانک مطالعه؛ سقف زمانی</x:v>
      </x:c>
      <x:c r="J1326" s="39" t="str">
        <x:v>PMO/عملیات + روابط عمومی</x:v>
      </x:c>
      <x:c r="K1326" s="39" t="str"/>
      <x:c r="L1326" s="39" t="str">
        <x:v>AP:P656</x:v>
      </x:c>
      <x:c r="M1326" s="39" t="str"/>
      <x:c r="N1326" s="39" t="str">
        <x:v>نسخه پایه ۳۱۵۰</x:v>
      </x:c>
    </x:row>
    <x:row r="1327" ht="34" customHeight="1">
      <x:c r="A1327" s="34" t="str">
        <x:v>☐</x:v>
      </x:c>
      <x:c r="B1327" s="34" t="str">
        <x:v>MI-0852</x:v>
      </x:c>
      <x:c r="C1327" s="34" t="str">
        <x:v>M4 — اجرا، دانشگاه، صنعت و پروژه‌های اجتماعی</x:v>
      </x:c>
      <x:c r="D1327" s="34" t="str">
        <x:v>H11</x:v>
      </x:c>
      <x:c r="E1327" s="34" t="str">
        <x:v>دانشگاه؛ صنفی، رفاهی، اجرایی و رسانه‌ای</x:v>
      </x:c>
      <x:c r="F1327" s="34" t="str">
        <x:v>BANK</x:v>
      </x:c>
      <x:c r="G1327" s="34" t="str">
        <x:v>مطالعه/منبع</x:v>
      </x:c>
      <x:c r="H1327" s="39" t="str">
        <x:v>سلف</x:v>
      </x:c>
      <x:c r="I1327" s="39" t="str">
        <x:v>بانک مطالعه؛ سقف زمانی</x:v>
      </x:c>
      <x:c r="J1327" s="39" t="str">
        <x:v>PMO/عملیات + روابط عمومی</x:v>
      </x:c>
      <x:c r="K1327" s="39" t="str"/>
      <x:c r="L1327" s="39" t="str">
        <x:v>AP:P657؛ AP:P703</x:v>
      </x:c>
      <x:c r="M1327" s="39" t="str"/>
      <x:c r="N1327" s="39" t="str">
        <x:v>نسخه پایه ۳۱۵۰</x:v>
      </x:c>
    </x:row>
    <x:row r="1328" ht="34" customHeight="1">
      <x:c r="A1328" s="34" t="str">
        <x:v>☐</x:v>
      </x:c>
      <x:c r="B1328" s="34" t="str">
        <x:v>MI-0853</x:v>
      </x:c>
      <x:c r="C1328" s="34" t="str">
        <x:v>M4 — اجرا، دانشگاه، صنعت و پروژه‌های اجتماعی</x:v>
      </x:c>
      <x:c r="D1328" s="34" t="str">
        <x:v>H11</x:v>
      </x:c>
      <x:c r="E1328" s="34" t="str">
        <x:v>دانشگاه؛ صنفی، رفاهی، اجرایی و رسانه‌ای</x:v>
      </x:c>
      <x:c r="F1328" s="34" t="str">
        <x:v>BANK</x:v>
      </x:c>
      <x:c r="G1328" s="34" t="str">
        <x:v>مطالعه/منبع</x:v>
      </x:c>
      <x:c r="H1328" s="39" t="str">
        <x:v>تهیه بلیط استخر</x:v>
      </x:c>
      <x:c r="I1328" s="39" t="str">
        <x:v>بانک مطالعه؛ سقف زمانی</x:v>
      </x:c>
      <x:c r="J1328" s="39" t="str">
        <x:v>PMO/عملیات + روابط عمومی</x:v>
      </x:c>
      <x:c r="K1328" s="39" t="str"/>
      <x:c r="L1328" s="39" t="str">
        <x:v>AP:P658</x:v>
      </x:c>
      <x:c r="M1328" s="39" t="str"/>
      <x:c r="N1328" s="39" t="str">
        <x:v>نسخه پایه ۳۱۵۰</x:v>
      </x:c>
    </x:row>
    <x:row r="1329" ht="34" customHeight="1">
      <x:c r="A1329" s="34" t="str">
        <x:v>☐</x:v>
      </x:c>
      <x:c r="B1329" s="34" t="str">
        <x:v>MI-0855</x:v>
      </x:c>
      <x:c r="C1329" s="34" t="str">
        <x:v>M4 — اجرا، دانشگاه، صنعت و پروژه‌های اجتماعی</x:v>
      </x:c>
      <x:c r="D1329" s="34" t="str">
        <x:v>H11</x:v>
      </x:c>
      <x:c r="E1329" s="34" t="str">
        <x:v>دانشگاه؛ صنفی، رفاهی، اجرایی و رسانه‌ای</x:v>
      </x:c>
      <x:c r="F1329" s="34" t="str">
        <x:v>BANK</x:v>
      </x:c>
      <x:c r="G1329" s="34" t="str">
        <x:v>مطالعه/منبع</x:v>
      </x:c>
      <x:c r="H1329" s="39" t="str">
        <x:v>ایجاد پایگاه داده کل اساتید بر بستر سایت دانشگاه برای دسترسی های محلی و بدون نیاز به اینترنت صرف اتصال به وای فای و یا خود سایت دانشگاه برای هر استاد یه صفحه باز باشه و یا یه صفحه بزنن برای پایگاه داده اساتید برای جزوه و حلتمرین و فیلم و ایناشون</x:v>
      </x:c>
      <x:c r="I1329" s="39" t="str">
        <x:v>بانک مطالعه؛ سقف زمانی</x:v>
      </x:c>
      <x:c r="J1329" s="39" t="str">
        <x:v>PMO/عملیات + روابط عمومی</x:v>
      </x:c>
      <x:c r="K1329" s="39" t="str"/>
      <x:c r="L1329" s="39" t="str">
        <x:v>AP:P660؛ AP:P758</x:v>
      </x:c>
      <x:c r="M1329" s="39" t="str"/>
      <x:c r="N1329" s="39" t="str">
        <x:v>نسخه پایه ۳۱۵۰</x:v>
      </x:c>
    </x:row>
    <x:row r="1330" ht="34" customHeight="1">
      <x:c r="A1330" s="34" t="str">
        <x:v>☐</x:v>
      </x:c>
      <x:c r="B1330" s="34" t="str">
        <x:v>MI-0870</x:v>
      </x:c>
      <x:c r="C1330" s="34" t="str">
        <x:v>M4 — اجرا، دانشگاه، صنعت و پروژه‌های اجتماعی</x:v>
      </x:c>
      <x:c r="D1330" s="34" t="str">
        <x:v>H11</x:v>
      </x:c>
      <x:c r="E1330" s="34" t="str">
        <x:v>دانشگاه؛ صنفی، رفاهی، اجرایی و رسانه‌ای</x:v>
      </x:c>
      <x:c r="F1330" s="34" t="str">
        <x:v>BANK</x:v>
      </x:c>
      <x:c r="G1330" s="34" t="str">
        <x:v>مطالعه/منبع</x:v>
      </x:c>
      <x:c r="H1330" s="39" t="str">
        <x:v>وندینگ خوراکی در دانشگاه یا کتابخانه سردار</x:v>
      </x:c>
      <x:c r="I1330" s="39" t="str">
        <x:v>بانک مطالعه؛ سقف زمانی</x:v>
      </x:c>
      <x:c r="J1330" s="39" t="str">
        <x:v>PMO/عملیات + روابط عمومی</x:v>
      </x:c>
      <x:c r="K1330" s="39" t="str"/>
      <x:c r="L1330" s="39" t="str">
        <x:v>AP:P676</x:v>
      </x:c>
      <x:c r="M1330" s="39" t="str"/>
      <x:c r="N1330" s="39" t="str">
        <x:v>نسخه پایه ۳۱۵۰</x:v>
      </x:c>
    </x:row>
    <x:row r="1331" ht="34" customHeight="1">
      <x:c r="A1331" s="34" t="str">
        <x:v>☐</x:v>
      </x:c>
      <x:c r="B1331" s="34" t="str">
        <x:v>MI-0883</x:v>
      </x:c>
      <x:c r="C1331" s="34" t="str">
        <x:v>M4 — اجرا، دانشگاه، صنعت و پروژه‌های اجتماعی</x:v>
      </x:c>
      <x:c r="D1331" s="34" t="str">
        <x:v>H11</x:v>
      </x:c>
      <x:c r="E1331" s="34" t="str">
        <x:v>دانشگاه؛ صنفی، رفاهی، اجرایی و رسانه‌ای</x:v>
      </x:c>
      <x:c r="F1331" s="34" t="str">
        <x:v>BANK</x:v>
      </x:c>
      <x:c r="G1331" s="34" t="str">
        <x:v>مطالعه/منبع</x:v>
      </x:c>
      <x:c r="H1331" s="39" t="str">
        <x:v>حساب کتاب های طراحی لوگو و سربرگ و واریز وجه</x:v>
      </x:c>
      <x:c r="I1331" s="39" t="str">
        <x:v>بانک مطالعه؛ سقف زمانی</x:v>
      </x:c>
      <x:c r="J1331" s="39" t="str">
        <x:v>PMO/عملیات + روابط عمومی</x:v>
      </x:c>
      <x:c r="K1331" s="39" t="str"/>
      <x:c r="L1331" s="39" t="str">
        <x:v>AP:P690؛ AP:P696</x:v>
      </x:c>
      <x:c r="M1331" s="39" t="str"/>
      <x:c r="N1331" s="39" t="str">
        <x:v>نسخه پایه ۳۱۵۰</x:v>
      </x:c>
    </x:row>
    <x:row r="1332" ht="34" customHeight="1">
      <x:c r="A1332" s="34" t="str">
        <x:v>☐</x:v>
      </x:c>
      <x:c r="B1332" s="34" t="str">
        <x:v>MI-0884</x:v>
      </x:c>
      <x:c r="C1332" s="34" t="str">
        <x:v>M4 — اجرا، دانشگاه، صنعت و پروژه‌های اجتماعی</x:v>
      </x:c>
      <x:c r="D1332" s="34" t="str">
        <x:v>H11</x:v>
      </x:c>
      <x:c r="E1332" s="34" t="str">
        <x:v>دانشگاه؛ صنفی، رفاهی، اجرایی و رسانه‌ای</x:v>
      </x:c>
      <x:c r="F1332" s="34" t="str">
        <x:v>BANK</x:v>
      </x:c>
      <x:c r="G1332" s="34" t="str">
        <x:v>مطالعه/منبع</x:v>
      </x:c>
      <x:c r="H1332" s="39" t="str">
        <x:v>برای سایت معرفی کارمندان و نحوه ارتباط ، شماره تماس برای خود اعضا جهت ارتباط برای حوادث و اتفاقات</x:v>
      </x:c>
      <x:c r="I1332" s="39" t="str">
        <x:v>بانک مطالعه؛ سقف زمانی</x:v>
      </x:c>
      <x:c r="J1332" s="39" t="str">
        <x:v>PMO/عملیات + روابط عمومی</x:v>
      </x:c>
      <x:c r="K1332" s="39" t="str"/>
      <x:c r="L1332" s="39" t="str">
        <x:v>AP:P691؛ AP:P695</x:v>
      </x:c>
      <x:c r="M1332" s="39" t="str"/>
      <x:c r="N1332" s="39" t="str">
        <x:v>نسخه پایه ۳۱۵۰</x:v>
      </x:c>
    </x:row>
    <x:row r="1333" ht="34" customHeight="1">
      <x:c r="A1333" s="34" t="str">
        <x:v>☐</x:v>
      </x:c>
      <x:c r="B1333" s="34" t="str">
        <x:v>MI-0893</x:v>
      </x:c>
      <x:c r="C1333" s="34" t="str">
        <x:v>M4 — اجرا، دانشگاه، صنعت و پروژه‌های اجتماعی</x:v>
      </x:c>
      <x:c r="D1333" s="34" t="str">
        <x:v>H11</x:v>
      </x:c>
      <x:c r="E1333" s="34" t="str">
        <x:v>دانشگاه؛ صنفی، رفاهی، اجرایی و رسانه‌ای</x:v>
      </x:c>
      <x:c r="F1333" s="34" t="str">
        <x:v>BANK</x:v>
      </x:c>
      <x:c r="G1333" s="34" t="str">
        <x:v>مطالعه/منبع</x:v>
      </x:c>
      <x:c r="H1333" s="39" t="str">
        <x:v>11. لزوم تعریف آیین نامه شفاف برای همیار سرپرست ها؛ در حال حاضر اجرا یا مستند مشخصی ندار</x:v>
      </x:c>
      <x:c r="I1333" s="39" t="str">
        <x:v>بانک مطالعه؛ سقف زمانی</x:v>
      </x:c>
      <x:c r="J1333" s="39" t="str">
        <x:v>PMO/عملیات + روابط عمومی</x:v>
      </x:c>
      <x:c r="K1333" s="39" t="str"/>
      <x:c r="L1333" s="39" t="str">
        <x:v>AP:P704</x:v>
      </x:c>
      <x:c r="M1333" s="39" t="str"/>
      <x:c r="N1333" s="39" t="str">
        <x:v>نسخه پایه ۳۱۵۰</x:v>
      </x:c>
    </x:row>
    <x:row r="1334" ht="34" customHeight="1">
      <x:c r="A1334" s="34" t="str">
        <x:v>☐</x:v>
      </x:c>
      <x:c r="B1334" s="34" t="str">
        <x:v>MI-0905</x:v>
      </x:c>
      <x:c r="C1334" s="34" t="str">
        <x:v>M4 — اجرا، دانشگاه، صنعت و پروژه‌های اجتماعی</x:v>
      </x:c>
      <x:c r="D1334" s="34" t="str">
        <x:v>H11</x:v>
      </x:c>
      <x:c r="E1334" s="34" t="str">
        <x:v>دانشگاه؛ صنفی، رفاهی، اجرایی و رسانه‌ای</x:v>
      </x:c>
      <x:c r="F1334" s="34" t="str">
        <x:v>BANK</x:v>
      </x:c>
      <x:c r="G1334" s="34" t="str">
        <x:v>مطالعه/منبع</x:v>
      </x:c>
      <x:c r="H1334" s="39" t="str">
        <x:v>آرام بند برای سالن مطالعه بلوک 2 و بلوک 3 و سالن مطالعه سردار</x:v>
      </x:c>
      <x:c r="I1334" s="39" t="str">
        <x:v>بانک مطالعه؛ سقف زمانی</x:v>
      </x:c>
      <x:c r="J1334" s="39" t="str">
        <x:v>PMO/عملیات + روابط عمومی</x:v>
      </x:c>
      <x:c r="K1334" s="39" t="str"/>
      <x:c r="L1334" s="39" t="str">
        <x:v>AP:P723</x:v>
      </x:c>
      <x:c r="M1334" s="39" t="str"/>
      <x:c r="N1334" s="39" t="str">
        <x:v>نسخه پایه ۳۱۵۰</x:v>
      </x:c>
    </x:row>
    <x:row r="1335" ht="34" customHeight="1">
      <x:c r="A1335" s="34" t="str">
        <x:v>☐</x:v>
      </x:c>
      <x:c r="B1335" s="34" t="str">
        <x:v>MI-0921</x:v>
      </x:c>
      <x:c r="C1335" s="34" t="str">
        <x:v>M4 — اجرا، دانشگاه، صنعت و پروژه‌های اجتماعی</x:v>
      </x:c>
      <x:c r="D1335" s="34" t="str">
        <x:v>H11</x:v>
      </x:c>
      <x:c r="E1335" s="34" t="str">
        <x:v>دانشگاه؛ صنفی، رفاهی، اجرایی و رسانه‌ای</x:v>
      </x:c>
      <x:c r="F1335" s="34" t="str">
        <x:v>BANK</x:v>
      </x:c>
      <x:c r="G1335" s="34" t="str">
        <x:v>مطالعه/منبع</x:v>
      </x:c>
      <x:c r="H1335" s="39" t="str">
        <x:v>کنترل اسپیلت برای سالن های مطالعه</x:v>
      </x:c>
      <x:c r="I1335" s="39" t="str">
        <x:v>بانک مطالعه؛ سقف زمانی</x:v>
      </x:c>
      <x:c r="J1335" s="39" t="str">
        <x:v>PMO/عملیات + روابط عمومی</x:v>
      </x:c>
      <x:c r="K1335" s="39" t="str"/>
      <x:c r="L1335" s="39" t="str">
        <x:v>AP:P740؛ AP:P802</x:v>
      </x:c>
      <x:c r="M1335" s="39" t="str"/>
      <x:c r="N1335" s="39" t="str">
        <x:v>نسخه پایه ۳۱۵۰</x:v>
      </x:c>
    </x:row>
    <x:row r="1336" ht="34" customHeight="1">
      <x:c r="A1336" s="34" t="str">
        <x:v>☐</x:v>
      </x:c>
      <x:c r="B1336" s="34" t="str">
        <x:v>MI-0938</x:v>
      </x:c>
      <x:c r="C1336" s="34" t="str">
        <x:v>M4 — اجرا، دانشگاه، صنعت و پروژه‌های اجتماعی</x:v>
      </x:c>
      <x:c r="D1336" s="34" t="str">
        <x:v>H11</x:v>
      </x:c>
      <x:c r="E1336" s="34" t="str">
        <x:v>دانشگاه؛ صنفی، رفاهی، اجرایی و رسانه‌ای</x:v>
      </x:c>
      <x:c r="F1336" s="34" t="str">
        <x:v>BANK</x:v>
      </x:c>
      <x:c r="G1336" s="34" t="str">
        <x:v>مطالعه/منبع</x:v>
      </x:c>
      <x:c r="H1336" s="39" t="str">
        <x:v>ایجاد دسترسی محلی به سایت دانشگاه در زمان اطلاع رسانی دانشجویان از طریق سایت و بالا اوردن سایت از طریق اتصال به وای فای حتی بدون نیاز به اینترنت و همچنین میتوان در این بستر با توجه به رشته ها پایگاه های داده مختلف در همان بخش نرم افزارهایی که میتوان ان ها را در ان پایگاه داده نصب نمود قرار داد برای استفاده عمومی</x:v>
      </x:c>
      <x:c r="I1336" s="39" t="str">
        <x:v>بانک مطالعه؛ سقف زمانی</x:v>
      </x:c>
      <x:c r="J1336" s="39" t="str">
        <x:v>PMO/عملیات + روابط عمومی</x:v>
      </x:c>
      <x:c r="K1336" s="39" t="str"/>
      <x:c r="L1336" s="39" t="str">
        <x:v>AP:P760</x:v>
      </x:c>
      <x:c r="M1336" s="39" t="str"/>
      <x:c r="N1336" s="39" t="str">
        <x:v>نسخه پایه ۳۱۵۰</x:v>
      </x:c>
    </x:row>
    <x:row r="1337" ht="34" customHeight="1">
      <x:c r="A1337" s="34" t="str">
        <x:v>☐</x:v>
      </x:c>
      <x:c r="B1337" s="34" t="str">
        <x:v>MI-0974</x:v>
      </x:c>
      <x:c r="C1337" s="34" t="str">
        <x:v>M4 — اجرا، دانشگاه، صنعت و پروژه‌های اجتماعی</x:v>
      </x:c>
      <x:c r="D1337" s="34" t="str">
        <x:v>H11</x:v>
      </x:c>
      <x:c r="E1337" s="34" t="str">
        <x:v>دانشگاه؛ صنفی، رفاهی، اجرایی و رسانه‌ای</x:v>
      </x:c>
      <x:c r="F1337" s="34" t="str">
        <x:v>BANK</x:v>
      </x:c>
      <x:c r="G1337" s="34" t="str">
        <x:v>مطالعه/منبع</x:v>
      </x:c>
      <x:c r="H1337" s="39" t="str">
        <x:v>سالن مطالعه خوابگاه بلوک 2 امینیان</x:v>
      </x:c>
      <x:c r="I1337" s="39" t="str">
        <x:v>بانک مطالعه؛ سقف زمانی</x:v>
      </x:c>
      <x:c r="J1337" s="39" t="str">
        <x:v>PMO/عملیات + روابط عمومی</x:v>
      </x:c>
      <x:c r="K1337" s="39" t="str"/>
      <x:c r="L1337" s="39" t="str">
        <x:v>AP:P803</x:v>
      </x:c>
      <x:c r="M1337" s="39" t="str"/>
      <x:c r="N1337" s="39" t="str">
        <x:v>نسخه پایه ۳۱۵۰</x:v>
      </x:c>
    </x:row>
    <x:row r="1338" ht="34" customHeight="1">
      <x:c r="A1338" s="34" t="str">
        <x:v>☐</x:v>
      </x:c>
      <x:c r="B1338" s="34" t="str">
        <x:v>MI-0975</x:v>
      </x:c>
      <x:c r="C1338" s="34" t="str">
        <x:v>M4 — اجرا، دانشگاه، صنعت و پروژه‌های اجتماعی</x:v>
      </x:c>
      <x:c r="D1338" s="34" t="str">
        <x:v>H11</x:v>
      </x:c>
      <x:c r="E1338" s="34" t="str">
        <x:v>دانشگاه؛ صنفی، رفاهی، اجرایی و رسانه‌ای</x:v>
      </x:c>
      <x:c r="F1338" s="34" t="str">
        <x:v>BANK</x:v>
      </x:c>
      <x:c r="G1338" s="34" t="str">
        <x:v>مطالعه/منبع</x:v>
      </x:c>
      <x:c r="H1338" s="39" t="str">
        <x:v>نامه جهت بهبود روشنایی سالن مطالعه بلوک 2</x:v>
      </x:c>
      <x:c r="I1338" s="39" t="str">
        <x:v>بانک مطالعه؛ سقف زمانی</x:v>
      </x:c>
      <x:c r="J1338" s="39" t="str">
        <x:v>PMO/عملیات + روابط عمومی</x:v>
      </x:c>
      <x:c r="K1338" s="39" t="str"/>
      <x:c r="L1338" s="39" t="str">
        <x:v>AP:P804</x:v>
      </x:c>
      <x:c r="M1338" s="39" t="str"/>
      <x:c r="N1338" s="39" t="str">
        <x:v>نسخه پایه ۳۱۵۰</x:v>
      </x:c>
    </x:row>
    <x:row r="1339" ht="34" customHeight="1">
      <x:c r="A1339" s="34" t="str">
        <x:v>☐</x:v>
      </x:c>
      <x:c r="B1339" s="34" t="str">
        <x:v>MI-0990</x:v>
      </x:c>
      <x:c r="C1339" s="34" t="str">
        <x:v>M4 — اجرا، دانشگاه، صنعت و پروژه‌های اجتماعی</x:v>
      </x:c>
      <x:c r="D1339" s="34" t="str">
        <x:v>H11</x:v>
      </x:c>
      <x:c r="E1339" s="34" t="str">
        <x:v>دانشگاه؛ صنفی، رفاهی، اجرایی و رسانه‌ای</x:v>
      </x:c>
      <x:c r="F1339" s="34" t="str">
        <x:v>BANK</x:v>
      </x:c>
      <x:c r="G1339" s="34" t="str">
        <x:v>مطالعه/منبع</x:v>
      </x:c>
      <x:c r="H1339" s="39" t="str">
        <x:v>جریان access point با ظرفیت 450 گیگ کتابخانه سردار</x:v>
      </x:c>
      <x:c r="I1339" s="39" t="str">
        <x:v>بانک مطالعه؛ سقف زمانی</x:v>
      </x:c>
      <x:c r="J1339" s="39" t="str">
        <x:v>PMO/عملیات + روابط عمومی</x:v>
      </x:c>
      <x:c r="K1339" s="39" t="str"/>
      <x:c r="L1339" s="39" t="str">
        <x:v>AP:P822</x:v>
      </x:c>
      <x:c r="M1339" s="39" t="str"/>
      <x:c r="N1339" s="39" t="str">
        <x:v>نسخه پایه ۳۱۵۰</x:v>
      </x:c>
    </x:row>
    <x:row r="1340" ht="34" customHeight="1">
      <x:c r="A1340" s="34" t="str">
        <x:v>☐</x:v>
      </x:c>
      <x:c r="B1340" s="34" t="str">
        <x:v>MI-1197</x:v>
      </x:c>
      <x:c r="C1340" s="34" t="str">
        <x:v>M4 — اجرا، دانشگاه، صنعت و پروژه‌های اجتماعی</x:v>
      </x:c>
      <x:c r="D1340" s="34" t="str">
        <x:v>H11</x:v>
      </x:c>
      <x:c r="E1340" s="34" t="str">
        <x:v>دانشگاه؛ صنفی، رفاهی، اجرایی و رسانه‌ای</x:v>
      </x:c>
      <x:c r="F1340" s="34" t="str">
        <x:v>BANK</x:v>
      </x:c>
      <x:c r="G1340" s="34" t="str">
        <x:v>مطالعه/منبع</x:v>
      </x:c>
      <x:c r="H1340" s="39" t="str">
        <x:v>باز بودن کتابخانه سردار</x:v>
      </x:c>
      <x:c r="I1340" s="39" t="str">
        <x:v>بانک مطالعه؛ سقف زمانی</x:v>
      </x:c>
      <x:c r="J1340" s="39" t="str">
        <x:v>PMO/عملیات + روابط عمومی</x:v>
      </x:c>
      <x:c r="K1340" s="39" t="str"/>
      <x:c r="L1340" s="39" t="str">
        <x:v>AP:P1054</x:v>
      </x:c>
      <x:c r="M1340" s="39" t="str"/>
      <x:c r="N1340" s="39" t="str">
        <x:v>نسخه پایه ۳۱۵۰</x:v>
      </x:c>
    </x:row>
    <x:row r="1341" ht="34" customHeight="1">
      <x:c r="A1341" s="34" t="str">
        <x:v>☐</x:v>
      </x:c>
      <x:c r="B1341" s="34" t="str">
        <x:v>MI-1198</x:v>
      </x:c>
      <x:c r="C1341" s="34" t="str">
        <x:v>M4 — اجرا، دانشگاه، صنعت و پروژه‌های اجتماعی</x:v>
      </x:c>
      <x:c r="D1341" s="34" t="str">
        <x:v>H11</x:v>
      </x:c>
      <x:c r="E1341" s="34" t="str">
        <x:v>دانشگاه؛ صنفی، رفاهی، اجرایی و رسانه‌ای</x:v>
      </x:c>
      <x:c r="F1341" s="34" t="str">
        <x:v>BANK</x:v>
      </x:c>
      <x:c r="G1341" s="34" t="str">
        <x:v>مطالعه/منبع</x:v>
      </x:c>
      <x:c r="H1341" s="39" t="str">
        <x:v>حتی پنجشنبه ها تا سعت 8 شب یا نهایت 2 ظهر</x:v>
      </x:c>
      <x:c r="I1341" s="39" t="str">
        <x:v>بانک مطالعه؛ سقف زمانی</x:v>
      </x:c>
      <x:c r="J1341" s="39" t="str">
        <x:v>PMO/عملیات + روابط عمومی</x:v>
      </x:c>
      <x:c r="K1341" s="39" t="str"/>
      <x:c r="L1341" s="39" t="str">
        <x:v>AP:P1055</x:v>
      </x:c>
      <x:c r="M1341" s="39" t="str"/>
      <x:c r="N1341" s="39" t="str">
        <x:v>نسخه پایه ۳۱۵۰</x:v>
      </x:c>
    </x:row>
    <x:row r="1342" ht="34" customHeight="1">
      <x:c r="A1342" s="34" t="str">
        <x:v>☐</x:v>
      </x:c>
      <x:c r="B1342" s="34" t="str">
        <x:v>MI-1216</x:v>
      </x:c>
      <x:c r="C1342" s="34" t="str">
        <x:v>M4 — اجرا، دانشگاه، صنعت و پروژه‌های اجتماعی</x:v>
      </x:c>
      <x:c r="D1342" s="34" t="str">
        <x:v>H11</x:v>
      </x:c>
      <x:c r="E1342" s="34" t="str">
        <x:v>دانشگاه؛ صنفی، رفاهی، اجرایی و رسانه‌ای</x:v>
      </x:c>
      <x:c r="F1342" s="34" t="str">
        <x:v>BANK</x:v>
      </x:c>
      <x:c r="G1342" s="34" t="str">
        <x:v>مطالعه/منبع</x:v>
      </x:c>
      <x:c r="H1342" s="39" t="str">
        <x:v>پاسخگویی آنلاین مسیولین دانشگاهیی</x:v>
      </x:c>
      <x:c r="I1342" s="39" t="str">
        <x:v>بانک مطالعه؛ سقف زمانی</x:v>
      </x:c>
      <x:c r="J1342" s="39" t="str">
        <x:v>PMO/عملیات + روابط عمومی</x:v>
      </x:c>
      <x:c r="K1342" s="39" t="str"/>
      <x:c r="L1342" s="39" t="str">
        <x:v>AP:P1079</x:v>
      </x:c>
      <x:c r="M1342" s="39" t="str"/>
      <x:c r="N1342" s="39" t="str">
        <x:v>نسخه پایه ۳۱۵۰</x:v>
      </x:c>
    </x:row>
    <x:row r="1343" ht="34" customHeight="1">
      <x:c r="A1343" s="34" t="str">
        <x:v>☐</x:v>
      </x:c>
      <x:c r="B1343" s="34" t="str">
        <x:v>MI-1433</x:v>
      </x:c>
      <x:c r="C1343" s="34" t="str">
        <x:v>M4 — اجرا، دانشگاه، صنعت و پروژه‌های اجتماعی</x:v>
      </x:c>
      <x:c r="D1343" s="34" t="str">
        <x:v>H11</x:v>
      </x:c>
      <x:c r="E1343" s="34" t="str">
        <x:v>دانشگاه؛ صنفی، رفاهی، اجرایی و رسانه‌ای</x:v>
      </x:c>
      <x:c r="F1343" s="34" t="str">
        <x:v>BANK</x:v>
      </x:c>
      <x:c r="G1343" s="34" t="str">
        <x:v>مطالعه/منبع</x:v>
      </x:c>
      <x:c r="H1343" s="39" t="str">
        <x:v>الهام گرفتن از دانشگاه های دیگه برای این بخش ها</x:v>
      </x:c>
      <x:c r="I1343" s="39" t="str">
        <x:v>بانک مطالعه؛ سقف زمانی</x:v>
      </x:c>
      <x:c r="J1343" s="39" t="str">
        <x:v>PMO/عملیات + روابط عمومی</x:v>
      </x:c>
      <x:c r="K1343" s="39" t="str"/>
      <x:c r="L1343" s="39" t="str">
        <x:v>AP:P1332</x:v>
      </x:c>
      <x:c r="M1343" s="39" t="str"/>
      <x:c r="N1343" s="39" t="str">
        <x:v>نسخه پایه ۳۱۵۰</x:v>
      </x:c>
    </x:row>
    <x:row r="1344" ht="34" customHeight="1">
      <x:c r="A1344" s="34" t="str">
        <x:v>☐</x:v>
      </x:c>
      <x:c r="B1344" s="34" t="str">
        <x:v>MI-0973</x:v>
      </x:c>
      <x:c r="C1344" s="34" t="str">
        <x:v>M4 — اجرا، دانشگاه، صنعت و پروژه‌های اجتماعی</x:v>
      </x:c>
      <x:c r="D1344" s="34" t="str">
        <x:v>H12</x:v>
      </x:c>
      <x:c r="E1344" s="34" t="str">
        <x:v>صنعت، انرژی، محیط‌زیست، کشاورزی و پروژه‌های تولیدی</x:v>
      </x:c>
      <x:c r="F1344" s="34" t="str">
        <x:v>P2</x:v>
      </x:c>
      <x:c r="G1344" s="34" t="str">
        <x:v>اقدام اجرایی</x:v>
      </x:c>
      <x:c r="H1344" s="39" t="str">
        <x:v>تهیه اسپری فوم درز گیر برای پوشاندن درز راه لوله های آبگرم بین اتاق ها</x:v>
      </x:c>
      <x:c r="I1344" s="39" t="str">
        <x:v>پس از تثبیت پایه‌ها؛ پروژه‌محور</x:v>
      </x:c>
      <x:c r="J1344" s="39" t="str">
        <x:v>منتور صنعت/امکان‌سنجی</x:v>
      </x:c>
      <x:c r="K1344" s="39" t="str"/>
      <x:c r="L1344" s="39" t="str">
        <x:v>AP:P801</x:v>
      </x:c>
      <x:c r="M1344" s="39" t="str"/>
      <x:c r="N1344" s="39" t="str">
        <x:v>نسخه پایه ۳۱۵۰</x:v>
      </x:c>
    </x:row>
    <x:row r="1345" ht="34" customHeight="1">
      <x:c r="A1345" s="34" t="str">
        <x:v>☐</x:v>
      </x:c>
      <x:c r="B1345" s="34" t="str">
        <x:v>MI-0046</x:v>
      </x:c>
      <x:c r="C1345" s="34" t="str">
        <x:v>M4 — اجرا، دانشگاه، صنعت و پروژه‌های اجتماعی</x:v>
      </x:c>
      <x:c r="D1345" s="34" t="str">
        <x:v>H12</x:v>
      </x:c>
      <x:c r="E1345" s="34" t="str">
        <x:v>صنعت، انرژی، محیط‌زیست، کشاورزی و پروژه‌های تولیدی</x:v>
      </x:c>
      <x:c r="F1345" s="34" t="str">
        <x:v>P2</x:v>
      </x:c>
      <x:c r="G1345" s="34" t="str">
        <x:v>پروژه/طرح</x:v>
      </x:c>
      <x:c r="H1345" s="39" t="str">
        <x:v>طرح ریزی کارخانه بازیافت و تولید پرک و ماده اولیه برای شرکت های تولید محصولات پلاستیکی</x:v>
      </x:c>
      <x:c r="I1345" s="39" t="str">
        <x:v>پس از تثبیت پایه‌ها؛ پروژه‌محور</x:v>
      </x:c>
      <x:c r="J1345" s="39" t="str">
        <x:v>منتور صنعت/امکان‌سنجی</x:v>
      </x:c>
      <x:c r="K1345" s="39" t="str"/>
      <x:c r="L1345" s="39" t="str">
        <x:v>PL:R47؛ AP:P1491</x:v>
      </x:c>
      <x:c r="M1345" s="39" t="str"/>
      <x:c r="N1345" s="39" t="str">
        <x:v>نسخه پایه ۳۱۵۰</x:v>
      </x:c>
    </x:row>
    <x:row r="1346" ht="34" customHeight="1">
      <x:c r="A1346" s="34" t="str">
        <x:v>☐</x:v>
      </x:c>
      <x:c r="B1346" s="34" t="str">
        <x:v>MI-0047</x:v>
      </x:c>
      <x:c r="C1346" s="34" t="str">
        <x:v>M4 — اجرا، دانشگاه، صنعت و پروژه‌های اجتماعی</x:v>
      </x:c>
      <x:c r="D1346" s="34" t="str">
        <x:v>H12</x:v>
      </x:c>
      <x:c r="E1346" s="34" t="str">
        <x:v>صنعت، انرژی، محیط‌زیست، کشاورزی و پروژه‌های تولیدی</x:v>
      </x:c>
      <x:c r="F1346" s="34" t="str">
        <x:v>P2</x:v>
      </x:c>
      <x:c r="G1346" s="34" t="str">
        <x:v>پروژه/طرح</x:v>
      </x:c>
      <x:c r="H1346" s="39" t="str">
        <x:v>طرح ریزی کارخانه تولید مرکبات و نوشیدنی ها از اضافات و محصولات روی دست مانده کشاورزان</x:v>
      </x:c>
      <x:c r="I1346" s="39" t="str">
        <x:v>پس از تثبیت پایه‌ها؛ پروژه‌محور</x:v>
      </x:c>
      <x:c r="J1346" s="39" t="str">
        <x:v>منتور صنعت/امکان‌سنجی</x:v>
      </x:c>
      <x:c r="K1346" s="39" t="str"/>
      <x:c r="L1346" s="39" t="str">
        <x:v>PL:R48؛ AP:P1489</x:v>
      </x:c>
      <x:c r="M1346" s="39" t="str"/>
      <x:c r="N1346" s="39" t="str">
        <x:v>نسخه پایه ۳۱۵۰</x:v>
      </x:c>
    </x:row>
    <x:row r="1347" ht="34" customHeight="1">
      <x:c r="A1347" s="34" t="str">
        <x:v>☐</x:v>
      </x:c>
      <x:c r="B1347" s="34" t="str">
        <x:v>MI-0088</x:v>
      </x:c>
      <x:c r="C1347" s="34" t="str">
        <x:v>M4 — اجرا، دانشگاه، صنعت و پروژه‌های اجتماعی</x:v>
      </x:c>
      <x:c r="D1347" s="34" t="str">
        <x:v>H12</x:v>
      </x:c>
      <x:c r="E1347" s="34" t="str">
        <x:v>صنعت، انرژی، محیط‌زیست، کشاورزی و پروژه‌های تولیدی</x:v>
      </x:c>
      <x:c r="F1347" s="34" t="str">
        <x:v>P2</x:v>
      </x:c>
      <x:c r="G1347" s="34" t="str">
        <x:v>پروژه/طرح</x:v>
      </x:c>
      <x:c r="H1347" s="39" t="str">
        <x:v>پروژه تفکیک زباله</x:v>
      </x:c>
      <x:c r="I1347" s="39" t="str">
        <x:v>پس از تثبیت پایه‌ها؛ پروژه‌محور</x:v>
      </x:c>
      <x:c r="J1347" s="39" t="str">
        <x:v>منتور صنعت/امکان‌سنجی</x:v>
      </x:c>
      <x:c r="K1347" s="39" t="str"/>
      <x:c r="L1347" s="39" t="str">
        <x:v>PL:R89</x:v>
      </x:c>
      <x:c r="M1347" s="39" t="str"/>
      <x:c r="N1347" s="39" t="str">
        <x:v>نسخه پایه ۳۱۵۰</x:v>
      </x:c>
    </x:row>
    <x:row r="1348" ht="34" customHeight="1">
      <x:c r="A1348" s="34" t="str">
        <x:v>☐</x:v>
      </x:c>
      <x:c r="B1348" s="34" t="str">
        <x:v>MI-0107</x:v>
      </x:c>
      <x:c r="C1348" s="34" t="str">
        <x:v>M4 — اجرا، دانشگاه، صنعت و پروژه‌های اجتماعی</x:v>
      </x:c>
      <x:c r="D1348" s="34" t="str">
        <x:v>H12</x:v>
      </x:c>
      <x:c r="E1348" s="34" t="str">
        <x:v>صنعت، انرژی، محیط‌زیست، کشاورزی و پروژه‌های تولیدی</x:v>
      </x:c>
      <x:c r="F1348" s="34" t="str">
        <x:v>P2</x:v>
      </x:c>
      <x:c r="G1348" s="34" t="str">
        <x:v>پروژه/طرح</x:v>
      </x:c>
      <x:c r="H1348" s="39" t="str">
        <x:v>خرید و ساخت کالای نیروگاهی</x:v>
      </x:c>
      <x:c r="I1348" s="39" t="str">
        <x:v>پس از تثبیت پایه‌ها؛ پروژه‌محور</x:v>
      </x:c>
      <x:c r="J1348" s="39" t="str">
        <x:v>منتور صنعت/امکان‌سنجی</x:v>
      </x:c>
      <x:c r="K1348" s="39" t="str"/>
      <x:c r="L1348" s="39" t="str">
        <x:v>PL:R109</x:v>
      </x:c>
      <x:c r="M1348" s="39" t="str"/>
      <x:c r="N1348" s="39" t="str">
        <x:v>نسخه پایه ۳۱۵۰</x:v>
      </x:c>
    </x:row>
    <x:row r="1349" ht="34" customHeight="1">
      <x:c r="A1349" s="34" t="str">
        <x:v>☐</x:v>
      </x:c>
      <x:c r="B1349" s="34" t="str">
        <x:v>MI-0175</x:v>
      </x:c>
      <x:c r="C1349" s="34" t="str">
        <x:v>M4 — اجرا، دانشگاه، صنعت و پروژه‌های اجتماعی</x:v>
      </x:c>
      <x:c r="D1349" s="34" t="str">
        <x:v>H12</x:v>
      </x:c>
      <x:c r="E1349" s="34" t="str">
        <x:v>صنعت، انرژی، محیط‌زیست، کشاورزی و پروژه‌های تولیدی</x:v>
      </x:c>
      <x:c r="F1349" s="34" t="str">
        <x:v>P2</x:v>
      </x:c>
      <x:c r="G1349" s="34" t="str">
        <x:v>پروژه/طرح</x:v>
      </x:c>
      <x:c r="H1349" s="39" t="str">
        <x:v>حل مشکلات صنعتی و کارخانه جات از طریق جستجو در پایگاه داده اختراعات</x:v>
      </x:c>
      <x:c r="I1349" s="39" t="str">
        <x:v>پس از تثبیت پایه‌ها؛ پروژه‌محور</x:v>
      </x:c>
      <x:c r="J1349" s="39" t="str">
        <x:v>منتور صنعت/امکان‌سنجی</x:v>
      </x:c>
      <x:c r="K1349" s="39" t="str"/>
      <x:c r="L1349" s="39" t="str">
        <x:v>PL:R180</x:v>
      </x:c>
      <x:c r="M1349" s="39" t="str"/>
      <x:c r="N1349" s="39" t="str">
        <x:v>نسخه پایه ۳۱۵۰</x:v>
      </x:c>
    </x:row>
    <x:row r="1350" ht="34" customHeight="1">
      <x:c r="A1350" s="34" t="str">
        <x:v>☐</x:v>
      </x:c>
      <x:c r="B1350" s="34" t="str">
        <x:v>MI-0176</x:v>
      </x:c>
      <x:c r="C1350" s="34" t="str">
        <x:v>M4 — اجرا، دانشگاه، صنعت و پروژه‌های اجتماعی</x:v>
      </x:c>
      <x:c r="D1350" s="34" t="str">
        <x:v>H12</x:v>
      </x:c>
      <x:c r="E1350" s="34" t="str">
        <x:v>صنعت، انرژی، محیط‌زیست، کشاورزی و پروژه‌های تولیدی</x:v>
      </x:c>
      <x:c r="F1350" s="34" t="str">
        <x:v>P2</x:v>
      </x:c>
      <x:c r="G1350" s="34" t="str">
        <x:v>پروژه/طرح</x:v>
      </x:c>
      <x:c r="H1350" s="39" t="str">
        <x:v>سوژه یابی طرح های جدید صنعتی جهت اجرا و امکان سنجی از پایگاه داده اختراعات</x:v>
      </x:c>
      <x:c r="I1350" s="39" t="str">
        <x:v>پس از تثبیت پایه‌ها؛ پروژه‌محور</x:v>
      </x:c>
      <x:c r="J1350" s="39" t="str">
        <x:v>منتور صنعت/امکان‌سنجی</x:v>
      </x:c>
      <x:c r="K1350" s="39" t="str"/>
      <x:c r="L1350" s="39" t="str">
        <x:v>PL:R181</x:v>
      </x:c>
      <x:c r="M1350" s="39" t="str"/>
      <x:c r="N1350" s="39" t="str">
        <x:v>نسخه پایه ۳۱۵۰</x:v>
      </x:c>
    </x:row>
    <x:row r="1351" ht="34" customHeight="1">
      <x:c r="A1351" s="34" t="str">
        <x:v>☐</x:v>
      </x:c>
      <x:c r="B1351" s="34" t="str">
        <x:v>MI-0692</x:v>
      </x:c>
      <x:c r="C1351" s="34" t="str">
        <x:v>M4 — اجرا، دانشگاه، صنعت و پروژه‌های اجتماعی</x:v>
      </x:c>
      <x:c r="D1351" s="34" t="str">
        <x:v>H12</x:v>
      </x:c>
      <x:c r="E1351" s="34" t="str">
        <x:v>صنعت، انرژی، محیط‌زیست، کشاورزی و پروژه‌های تولیدی</x:v>
      </x:c>
      <x:c r="F1351" s="34" t="str">
        <x:v>P2</x:v>
      </x:c>
      <x:c r="G1351" s="34" t="str">
        <x:v>پروژه/طرح</x:v>
      </x:c>
      <x:c r="H1351" s="39" t="str">
        <x:v>تعویض فیلتراسیون تصفیه آب ماهانه</x:v>
      </x:c>
      <x:c r="I1351" s="39" t="str">
        <x:v>پس از تثبیت پایه‌ها؛ پروژه‌محور</x:v>
      </x:c>
      <x:c r="J1351" s="39" t="str">
        <x:v>منتور صنعت/امکان‌سنجی</x:v>
      </x:c>
      <x:c r="K1351" s="39" t="str"/>
      <x:c r="L1351" s="39" t="str">
        <x:v>AP:P482؛ AP:P640</x:v>
      </x:c>
      <x:c r="M1351" s="39" t="str"/>
      <x:c r="N1351" s="39" t="str">
        <x:v>نسخه پایه ۳۱۵۰</x:v>
      </x:c>
    </x:row>
    <x:row r="1352" ht="34" customHeight="1">
      <x:c r="A1352" s="34" t="str">
        <x:v>☐</x:v>
      </x:c>
      <x:c r="B1352" s="34" t="str">
        <x:v>MI-0695</x:v>
      </x:c>
      <x:c r="C1352" s="34" t="str">
        <x:v>M4 — اجرا، دانشگاه، صنعت و پروژه‌های اجتماعی</x:v>
      </x:c>
      <x:c r="D1352" s="34" t="str">
        <x:v>H12</x:v>
      </x:c>
      <x:c r="E1352" s="34" t="str">
        <x:v>صنعت، انرژی، محیط‌زیست، کشاورزی و پروژه‌های تولیدی</x:v>
      </x:c>
      <x:c r="F1352" s="34" t="str">
        <x:v>P2</x:v>
      </x:c>
      <x:c r="G1352" s="34" t="str">
        <x:v>پروژه/طرح</x:v>
      </x:c>
      <x:c r="H1352" s="39" t="str">
        <x:v>نظر کارشناسی فیلتر آب تصفیه</x:v>
      </x:c>
      <x:c r="I1352" s="39" t="str">
        <x:v>پس از تثبیت پایه‌ها؛ پروژه‌محور</x:v>
      </x:c>
      <x:c r="J1352" s="39" t="str">
        <x:v>منتور صنعت/امکان‌سنجی</x:v>
      </x:c>
      <x:c r="K1352" s="39" t="str"/>
      <x:c r="L1352" s="39" t="str">
        <x:v>AP:P485</x:v>
      </x:c>
      <x:c r="M1352" s="39" t="str"/>
      <x:c r="N1352" s="39" t="str">
        <x:v>نسخه پایه ۳۱۵۰</x:v>
      </x:c>
    </x:row>
    <x:row r="1353" ht="34" customHeight="1">
      <x:c r="A1353" s="34" t="str">
        <x:v>☐</x:v>
      </x:c>
      <x:c r="B1353" s="34" t="str">
        <x:v>MI-1028</x:v>
      </x:c>
      <x:c r="C1353" s="34" t="str">
        <x:v>M4 — اجرا، دانشگاه، صنعت و پروژه‌های اجتماعی</x:v>
      </x:c>
      <x:c r="D1353" s="34" t="str">
        <x:v>H12</x:v>
      </x:c>
      <x:c r="E1353" s="34" t="str">
        <x:v>صنعت، انرژی، محیط‌زیست، کشاورزی و پروژه‌های تولیدی</x:v>
      </x:c>
      <x:c r="F1353" s="34" t="str">
        <x:v>P2</x:v>
      </x:c>
      <x:c r="G1353" s="34" t="str">
        <x:v>پروژه/طرح</x:v>
      </x:c>
      <x:c r="H1353" s="39" t="str">
        <x:v>تفکیک زباله و پسماند و ارایه طرح های نوین</x:v>
      </x:c>
      <x:c r="I1353" s="39" t="str">
        <x:v>پس از تثبیت پایه‌ها؛ پروژه‌محور</x:v>
      </x:c>
      <x:c r="J1353" s="39" t="str">
        <x:v>منتور صنعت/امکان‌سنجی</x:v>
      </x:c>
      <x:c r="K1353" s="39" t="str"/>
      <x:c r="L1353" s="39" t="str">
        <x:v>AP:P868</x:v>
      </x:c>
      <x:c r="M1353" s="39" t="str"/>
      <x:c r="N1353" s="39" t="str">
        <x:v>نسخه پایه ۳۱۵۰</x:v>
      </x:c>
    </x:row>
    <x:row r="1354" ht="34" customHeight="1">
      <x:c r="A1354" s="34" t="str">
        <x:v>☐</x:v>
      </x:c>
      <x:c r="B1354" s="34" t="str">
        <x:v>MI-1029</x:v>
      </x:c>
      <x:c r="C1354" s="34" t="str">
        <x:v>M4 — اجرا، دانشگاه، صنعت و پروژه‌های اجتماعی</x:v>
      </x:c>
      <x:c r="D1354" s="34" t="str">
        <x:v>H12</x:v>
      </x:c>
      <x:c r="E1354" s="34" t="str">
        <x:v>صنعت، انرژی، محیط‌زیست، کشاورزی و پروژه‌های تولیدی</x:v>
      </x:c>
      <x:c r="F1354" s="34" t="str">
        <x:v>P2</x:v>
      </x:c>
      <x:c r="G1354" s="34" t="str">
        <x:v>پروژه/طرح</x:v>
      </x:c>
      <x:c r="H1354" s="39" t="str">
        <x:v>ساخت دستگاه دریافت کننده انواع زباله</x:v>
      </x:c>
      <x:c r="I1354" s="39" t="str">
        <x:v>پس از تثبیت پایه‌ها؛ پروژه‌محور</x:v>
      </x:c>
      <x:c r="J1354" s="39" t="str">
        <x:v>منتور صنعت/امکان‌سنجی</x:v>
      </x:c>
      <x:c r="K1354" s="39" t="str"/>
      <x:c r="L1354" s="39" t="str">
        <x:v>AP:P869</x:v>
      </x:c>
      <x:c r="M1354" s="39" t="str"/>
      <x:c r="N1354" s="39" t="str">
        <x:v>نسخه پایه ۳۱۵۰</x:v>
      </x:c>
    </x:row>
    <x:row r="1355" ht="34" customHeight="1">
      <x:c r="A1355" s="34" t="str">
        <x:v>☐</x:v>
      </x:c>
      <x:c r="B1355" s="34" t="str">
        <x:v>MI-1213</x:v>
      </x:c>
      <x:c r="C1355" s="34" t="str">
        <x:v>M4 — اجرا، دانشگاه، صنعت و پروژه‌های اجتماعی</x:v>
      </x:c>
      <x:c r="D1355" s="34" t="str">
        <x:v>H12</x:v>
      </x:c>
      <x:c r="E1355" s="34" t="str">
        <x:v>صنعت، انرژی، محیط‌زیست، کشاورزی و پروژه‌های تولیدی</x:v>
      </x:c>
      <x:c r="F1355" s="34" t="str">
        <x:v>P2</x:v>
      </x:c>
      <x:c r="G1355" s="34" t="str">
        <x:v>پروژه/طرح</x:v>
      </x:c>
      <x:c r="H1355" s="39" t="str">
        <x:v>بازیافت شاهمرادیان به همراهی احمد فرهودی</x:v>
      </x:c>
      <x:c r="I1355" s="39" t="str">
        <x:v>پس از تثبیت پایه‌ها؛ پروژه‌محور</x:v>
      </x:c>
      <x:c r="J1355" s="39" t="str">
        <x:v>منتور صنعت/امکان‌سنجی</x:v>
      </x:c>
      <x:c r="K1355" s="39" t="str"/>
      <x:c r="L1355" s="39" t="str">
        <x:v>AP:P1076</x:v>
      </x:c>
      <x:c r="M1355" s="39" t="str"/>
      <x:c r="N1355" s="39" t="str">
        <x:v>نسخه پایه ۳۱۵۰</x:v>
      </x:c>
    </x:row>
    <x:row r="1356" ht="34" customHeight="1">
      <x:c r="A1356" s="34" t="str">
        <x:v>☐</x:v>
      </x:c>
      <x:c r="B1356" s="34" t="str">
        <x:v>MI-1234</x:v>
      </x:c>
      <x:c r="C1356" s="34" t="str">
        <x:v>M4 — اجرا، دانشگاه، صنعت و پروژه‌های اجتماعی</x:v>
      </x:c>
      <x:c r="D1356" s="34" t="str">
        <x:v>H12</x:v>
      </x:c>
      <x:c r="E1356" s="34" t="str">
        <x:v>صنعت، انرژی، محیط‌زیست، کشاورزی و پروژه‌های تولیدی</x:v>
      </x:c>
      <x:c r="F1356" s="34" t="str">
        <x:v>P2</x:v>
      </x:c>
      <x:c r="G1356" s="34" t="str">
        <x:v>پروژه/طرح</x:v>
      </x:c>
      <x:c r="H1356" s="39" t="str">
        <x:v>کانال تولید محتوا</x:v>
      </x:c>
      <x:c r="I1356" s="39" t="str">
        <x:v>پس از تثبیت پایه‌ها؛ پروژه‌محور</x:v>
      </x:c>
      <x:c r="J1356" s="39" t="str">
        <x:v>منتور صنعت/امکان‌سنجی</x:v>
      </x:c>
      <x:c r="K1356" s="39" t="str"/>
      <x:c r="L1356" s="39" t="str">
        <x:v>AP:P1100</x:v>
      </x:c>
      <x:c r="M1356" s="39" t="str"/>
      <x:c r="N1356" s="39" t="str">
        <x:v>نسخه پایه ۳۱۵۰</x:v>
      </x:c>
    </x:row>
    <x:row r="1357" ht="34" customHeight="1">
      <x:c r="A1357" s="34" t="str">
        <x:v>☐</x:v>
      </x:c>
      <x:c r="B1357" s="34" t="str">
        <x:v>MI-1235</x:v>
      </x:c>
      <x:c r="C1357" s="34" t="str">
        <x:v>M4 — اجرا، دانشگاه، صنعت و پروژه‌های اجتماعی</x:v>
      </x:c>
      <x:c r="D1357" s="34" t="str">
        <x:v>H12</x:v>
      </x:c>
      <x:c r="E1357" s="34" t="str">
        <x:v>صنعت، انرژی، محیط‌زیست، کشاورزی و پروژه‌های تولیدی</x:v>
      </x:c>
      <x:c r="F1357" s="34" t="str">
        <x:v>P2</x:v>
      </x:c>
      <x:c r="G1357" s="34" t="str">
        <x:v>پروژه/طرح</x:v>
      </x:c>
      <x:c r="H1357" s="39" t="str">
        <x:v>پادکست جهاد تبیین</x:v>
      </x:c>
      <x:c r="I1357" s="39" t="str">
        <x:v>پس از تثبیت پایه‌ها؛ پروژه‌محور</x:v>
      </x:c>
      <x:c r="J1357" s="39" t="str">
        <x:v>منتور صنعت/امکان‌سنجی</x:v>
      </x:c>
      <x:c r="K1357" s="39" t="str"/>
      <x:c r="L1357" s="39" t="str">
        <x:v>AP:P1101</x:v>
      </x:c>
      <x:c r="M1357" s="39" t="str"/>
      <x:c r="N1357" s="39" t="str">
        <x:v>نسخه پایه ۳۱۵۰</x:v>
      </x:c>
    </x:row>
    <x:row r="1358" ht="34" customHeight="1">
      <x:c r="A1358" s="34" t="str">
        <x:v>☐</x:v>
      </x:c>
      <x:c r="B1358" s="34" t="str">
        <x:v>MI-1236</x:v>
      </x:c>
      <x:c r="C1358" s="34" t="str">
        <x:v>M4 — اجرا، دانشگاه، صنعت و پروژه‌های اجتماعی</x:v>
      </x:c>
      <x:c r="D1358" s="34" t="str">
        <x:v>H12</x:v>
      </x:c>
      <x:c r="E1358" s="34" t="str">
        <x:v>صنعت، انرژی، محیط‌زیست، کشاورزی و پروژه‌های تولیدی</x:v>
      </x:c>
      <x:c r="F1358" s="34" t="str">
        <x:v>P2</x:v>
      </x:c>
      <x:c r="G1358" s="34" t="str">
        <x:v>پروژه/طرح</x:v>
      </x:c>
      <x:c r="H1358" s="39" t="str">
        <x:v>ایران</x:v>
      </x:c>
      <x:c r="I1358" s="39" t="str">
        <x:v>پس از تثبیت پایه‌ها؛ پروژه‌محور</x:v>
      </x:c>
      <x:c r="J1358" s="39" t="str">
        <x:v>منتور صنعت/امکان‌سنجی</x:v>
      </x:c>
      <x:c r="K1358" s="39" t="str"/>
      <x:c r="L1358" s="39" t="str">
        <x:v>AP:P1103</x:v>
      </x:c>
      <x:c r="M1358" s="39" t="str"/>
      <x:c r="N1358" s="39" t="str">
        <x:v>نسخه پایه ۳۱۵۰</x:v>
      </x:c>
    </x:row>
    <x:row r="1359" ht="34" customHeight="1">
      <x:c r="A1359" s="34" t="str">
        <x:v>☐</x:v>
      </x:c>
      <x:c r="B1359" s="34" t="str">
        <x:v>MI-1237</x:v>
      </x:c>
      <x:c r="C1359" s="34" t="str">
        <x:v>M4 — اجرا، دانشگاه، صنعت و پروژه‌های اجتماعی</x:v>
      </x:c>
      <x:c r="D1359" s="34" t="str">
        <x:v>H12</x:v>
      </x:c>
      <x:c r="E1359" s="34" t="str">
        <x:v>صنعت، انرژی، محیط‌زیست، کشاورزی و پروژه‌های تولیدی</x:v>
      </x:c>
      <x:c r="F1359" s="34" t="str">
        <x:v>P2</x:v>
      </x:c>
      <x:c r="G1359" s="34" t="str">
        <x:v>پروژه/طرح</x:v>
      </x:c>
      <x:c r="H1359" s="39" t="str">
        <x:v>کلیپ های پاسخگویی شرعی به احکام برای نهاد</x:v>
      </x:c>
      <x:c r="I1359" s="39" t="str">
        <x:v>پس از تثبیت پایه‌ها؛ پروژه‌محور</x:v>
      </x:c>
      <x:c r="J1359" s="39" t="str">
        <x:v>منتور صنعت/امکان‌سنجی</x:v>
      </x:c>
      <x:c r="K1359" s="39" t="str"/>
      <x:c r="L1359" s="39" t="str">
        <x:v>AP:P1104</x:v>
      </x:c>
      <x:c r="M1359" s="39" t="str"/>
      <x:c r="N1359" s="39" t="str">
        <x:v>نسخه پایه ۳۱۵۰</x:v>
      </x:c>
    </x:row>
    <x:row r="1360" ht="34" customHeight="1">
      <x:c r="A1360" s="34" t="str">
        <x:v>☐</x:v>
      </x:c>
      <x:c r="B1360" s="34" t="str">
        <x:v>MI-1245</x:v>
      </x:c>
      <x:c r="C1360" s="34" t="str">
        <x:v>M4 — اجرا، دانشگاه، صنعت و پروژه‌های اجتماعی</x:v>
      </x:c>
      <x:c r="D1360" s="34" t="str">
        <x:v>H12</x:v>
      </x:c>
      <x:c r="E1360" s="34" t="str">
        <x:v>صنعت، انرژی، محیط‌زیست، کشاورزی و پروژه‌های تولیدی</x:v>
      </x:c>
      <x:c r="F1360" s="34" t="str">
        <x:v>P2</x:v>
      </x:c>
      <x:c r="G1360" s="34" t="str">
        <x:v>پروژه/طرح</x:v>
      </x:c>
      <x:c r="H1360" s="39" t="str">
        <x:v>اَبَر پروژه بازیافت</x:v>
      </x:c>
      <x:c r="I1360" s="39" t="str">
        <x:v>پس از تثبیت پایه‌ها؛ پروژه‌محور</x:v>
      </x:c>
      <x:c r="J1360" s="39" t="str">
        <x:v>منتور صنعت/امکان‌سنجی</x:v>
      </x:c>
      <x:c r="K1360" s="39" t="str"/>
      <x:c r="L1360" s="39" t="str">
        <x:v>AP:P1113</x:v>
      </x:c>
      <x:c r="M1360" s="39" t="str"/>
      <x:c r="N1360" s="39" t="str">
        <x:v>نسخه پایه ۳۱۵۰</x:v>
      </x:c>
    </x:row>
    <x:row r="1361" ht="34" customHeight="1">
      <x:c r="A1361" s="34" t="str">
        <x:v>☐</x:v>
      </x:c>
      <x:c r="B1361" s="34" t="str">
        <x:v>MI-1246</x:v>
      </x:c>
      <x:c r="C1361" s="34" t="str">
        <x:v>M4 — اجرا، دانشگاه، صنعت و پروژه‌های اجتماعی</x:v>
      </x:c>
      <x:c r="D1361" s="34" t="str">
        <x:v>H12</x:v>
      </x:c>
      <x:c r="E1361" s="34" t="str">
        <x:v>صنعت، انرژی، محیط‌زیست، کشاورزی و پروژه‌های تولیدی</x:v>
      </x:c>
      <x:c r="F1361" s="34" t="str">
        <x:v>P2</x:v>
      </x:c>
      <x:c r="G1361" s="34" t="str">
        <x:v>پروژه/طرح</x:v>
      </x:c>
      <x:c r="H1361" s="39" t="str">
        <x:v>فاز ها</x:v>
      </x:c>
      <x:c r="I1361" s="39" t="str">
        <x:v>پس از تثبیت پایه‌ها؛ پروژه‌محور</x:v>
      </x:c>
      <x:c r="J1361" s="39" t="str">
        <x:v>منتور صنعت/امکان‌سنجی</x:v>
      </x:c>
      <x:c r="K1361" s="39" t="str"/>
      <x:c r="L1361" s="39" t="str">
        <x:v>AP:P1114</x:v>
      </x:c>
      <x:c r="M1361" s="39" t="str"/>
      <x:c r="N1361" s="39" t="str">
        <x:v>نسخه پایه ۳۱۵۰</x:v>
      </x:c>
    </x:row>
    <x:row r="1362" ht="34" customHeight="1">
      <x:c r="A1362" s="34" t="str">
        <x:v>☐</x:v>
      </x:c>
      <x:c r="B1362" s="34" t="str">
        <x:v>MI-1247</x:v>
      </x:c>
      <x:c r="C1362" s="34" t="str">
        <x:v>M4 — اجرا، دانشگاه، صنعت و پروژه‌های اجتماعی</x:v>
      </x:c>
      <x:c r="D1362" s="34" t="str">
        <x:v>H12</x:v>
      </x:c>
      <x:c r="E1362" s="34" t="str">
        <x:v>صنعت، انرژی، محیط‌زیست، کشاورزی و پروژه‌های تولیدی</x:v>
      </x:c>
      <x:c r="F1362" s="34" t="str">
        <x:v>P2</x:v>
      </x:c>
      <x:c r="G1362" s="34" t="str">
        <x:v>پروژه/طرح</x:v>
      </x:c>
      <x:c r="H1362" s="39" t="str">
        <x:v>پلاستیک</x:v>
      </x:c>
      <x:c r="I1362" s="39" t="str">
        <x:v>پس از تثبیت پایه‌ها؛ پروژه‌محور</x:v>
      </x:c>
      <x:c r="J1362" s="39" t="str">
        <x:v>منتور صنعت/امکان‌سنجی</x:v>
      </x:c>
      <x:c r="K1362" s="39" t="str"/>
      <x:c r="L1362" s="39" t="str">
        <x:v>AP:P1115</x:v>
      </x:c>
      <x:c r="M1362" s="39" t="str"/>
      <x:c r="N1362" s="39" t="str">
        <x:v>نسخه پایه ۳۱۵۰</x:v>
      </x:c>
    </x:row>
    <x:row r="1363" ht="34" customHeight="1">
      <x:c r="A1363" s="34" t="str">
        <x:v>☐</x:v>
      </x:c>
      <x:c r="B1363" s="34" t="str">
        <x:v>MI-1248</x:v>
      </x:c>
      <x:c r="C1363" s="34" t="str">
        <x:v>M4 — اجرا، دانشگاه، صنعت و پروژه‌های اجتماعی</x:v>
      </x:c>
      <x:c r="D1363" s="34" t="str">
        <x:v>H12</x:v>
      </x:c>
      <x:c r="E1363" s="34" t="str">
        <x:v>صنعت، انرژی، محیط‌زیست، کشاورزی و پروژه‌های تولیدی</x:v>
      </x:c>
      <x:c r="F1363" s="34" t="str">
        <x:v>P2</x:v>
      </x:c>
      <x:c r="G1363" s="34" t="str">
        <x:v>پروژه/طرح</x:v>
      </x:c>
      <x:c r="H1363" s="39" t="str">
        <x:v>روش بازیافت</x:v>
      </x:c>
      <x:c r="I1363" s="39" t="str">
        <x:v>پس از تثبیت پایه‌ها؛ پروژه‌محور</x:v>
      </x:c>
      <x:c r="J1363" s="39" t="str">
        <x:v>منتور صنعت/امکان‌سنجی</x:v>
      </x:c>
      <x:c r="K1363" s="39" t="str"/>
      <x:c r="L1363" s="39" t="str">
        <x:v>AP:P1116؛ AP:P1127؛ AP:P1141؛ AP:P1146؛ AP:P1150؛ AP:P1159؛ AP:P1163؛ AP:P1171؛ AP:P1176؛ AP:P1179؛ AP:P1183؛ AP:P1187</x:v>
      </x:c>
      <x:c r="M1363" s="39" t="str"/>
      <x:c r="N1363" s="39" t="str">
        <x:v>نسخه پایه ۳۱۵۰</x:v>
      </x:c>
    </x:row>
    <x:row r="1364" ht="34" customHeight="1">
      <x:c r="A1364" s="34" t="str">
        <x:v>☐</x:v>
      </x:c>
      <x:c r="B1364" s="34" t="str">
        <x:v>MI-1249</x:v>
      </x:c>
      <x:c r="C1364" s="34" t="str">
        <x:v>M4 — اجرا، دانشگاه، صنعت و پروژه‌های اجتماعی</x:v>
      </x:c>
      <x:c r="D1364" s="34" t="str">
        <x:v>H12</x:v>
      </x:c>
      <x:c r="E1364" s="34" t="str">
        <x:v>صنعت، انرژی، محیط‌زیست، کشاورزی و پروژه‌های تولیدی</x:v>
      </x:c>
      <x:c r="F1364" s="34" t="str">
        <x:v>P2</x:v>
      </x:c>
      <x:c r="G1364" s="34" t="str">
        <x:v>پروژه/طرح</x:v>
      </x:c>
      <x:c r="H1364" s="39" t="str">
        <x:v>روش شیمیایی</x:v>
      </x:c>
      <x:c r="I1364" s="39" t="str">
        <x:v>پس از تثبیت پایه‌ها؛ پروژه‌محور</x:v>
      </x:c>
      <x:c r="J1364" s="39" t="str">
        <x:v>منتور صنعت/امکان‌سنجی</x:v>
      </x:c>
      <x:c r="K1364" s="39" t="str"/>
      <x:c r="L1364" s="39" t="str">
        <x:v>AP:P1117</x:v>
      </x:c>
      <x:c r="M1364" s="39" t="str"/>
      <x:c r="N1364" s="39" t="str">
        <x:v>نسخه پایه ۳۱۵۰</x:v>
      </x:c>
    </x:row>
    <x:row r="1365" ht="34" customHeight="1">
      <x:c r="A1365" s="34" t="str">
        <x:v>☐</x:v>
      </x:c>
      <x:c r="B1365" s="34" t="str">
        <x:v>MI-1250</x:v>
      </x:c>
      <x:c r="C1365" s="34" t="str">
        <x:v>M4 — اجرا، دانشگاه، صنعت و پروژه‌های اجتماعی</x:v>
      </x:c>
      <x:c r="D1365" s="34" t="str">
        <x:v>H12</x:v>
      </x:c>
      <x:c r="E1365" s="34" t="str">
        <x:v>صنعت، انرژی، محیط‌زیست، کشاورزی و پروژه‌های تولیدی</x:v>
      </x:c>
      <x:c r="F1365" s="34" t="str">
        <x:v>P2</x:v>
      </x:c>
      <x:c r="G1365" s="34" t="str">
        <x:v>پروژه/طرح</x:v>
      </x:c>
      <x:c r="H1365" s="39" t="str">
        <x:v>امروزه با استفاده از کاتالیزور های بهینه و کم هزینه قیمت بازیافت پلاستیک به روش شیمیایی کمی پایین تر آمده و همین موضوع باعث شده است که این روش به یک روش پراستفاده تبدیل شود. توجه نمایید که در این روش همان طور که پیش تر نیز گفتیم، مولکول های پلاستیک از یکدیگر تجزیه می شوند و دوباره به حالت پلاستیک بازگردانی می شوند.</x:v>
      </x:c>
      <x:c r="I1365" s="39" t="str">
        <x:v>پس از تثبیت پایه‌ها؛ پروژه‌محور</x:v>
      </x:c>
      <x:c r="J1365" s="39" t="str">
        <x:v>منتور صنعت/امکان‌سنجی</x:v>
      </x:c>
      <x:c r="K1365" s="39" t="str"/>
      <x:c r="L1365" s="39" t="str">
        <x:v>AP:P1118</x:v>
      </x:c>
      <x:c r="M1365" s="39" t="str"/>
      <x:c r="N1365" s="39" t="str">
        <x:v>نسخه پایه ۳۱۵۰</x:v>
      </x:c>
    </x:row>
    <x:row r="1366" ht="34" customHeight="1">
      <x:c r="A1366" s="34" t="str">
        <x:v>☐</x:v>
      </x:c>
      <x:c r="B1366" s="34" t="str">
        <x:v>MI-1251</x:v>
      </x:c>
      <x:c r="C1366" s="34" t="str">
        <x:v>M4 — اجرا، دانشگاه، صنعت و پروژه‌های اجتماعی</x:v>
      </x:c>
      <x:c r="D1366" s="34" t="str">
        <x:v>H12</x:v>
      </x:c>
      <x:c r="E1366" s="34" t="str">
        <x:v>صنعت، انرژی، محیط‌زیست، کشاورزی و پروژه‌های تولیدی</x:v>
      </x:c>
      <x:c r="F1366" s="34" t="str">
        <x:v>P2</x:v>
      </x:c>
      <x:c r="G1366" s="34" t="str">
        <x:v>پروژه/طرح</x:v>
      </x:c>
      <x:c r="H1366" s="39" t="str">
        <x:v>این روش بازیافت حتی تا حدی می تواند پیش برود که باعث شود مواد بازیافتی قابل خوراکی باشند و در انواع غذا ها مورد استفاده قرار بگیرند.</x:v>
      </x:c>
      <x:c r="I1366" s="39" t="str">
        <x:v>پس از تثبیت پایه‌ها؛ پروژه‌محور</x:v>
      </x:c>
      <x:c r="J1366" s="39" t="str">
        <x:v>منتور صنعت/امکان‌سنجی</x:v>
      </x:c>
      <x:c r="K1366" s="39" t="str"/>
      <x:c r="L1366" s="39" t="str">
        <x:v>AP:P1119</x:v>
      </x:c>
      <x:c r="M1366" s="39" t="str"/>
      <x:c r="N1366" s="39" t="str">
        <x:v>نسخه پایه ۳۱۵۰</x:v>
      </x:c>
    </x:row>
    <x:row r="1367" ht="34" customHeight="1">
      <x:c r="A1367" s="34" t="str">
        <x:v>☐</x:v>
      </x:c>
      <x:c r="B1367" s="34" t="str">
        <x:v>MI-1252</x:v>
      </x:c>
      <x:c r="C1367" s="34" t="str">
        <x:v>M4 — اجرا، دانشگاه، صنعت و پروژه‌های اجتماعی</x:v>
      </x:c>
      <x:c r="D1367" s="34" t="str">
        <x:v>H12</x:v>
      </x:c>
      <x:c r="E1367" s="34" t="str">
        <x:v>صنعت، انرژی، محیط‌زیست، کشاورزی و پروژه‌های تولیدی</x:v>
      </x:c>
      <x:c r="F1367" s="34" t="str">
        <x:v>P2</x:v>
      </x:c>
      <x:c r="G1367" s="34" t="str">
        <x:v>پروژه/طرح</x:v>
      </x:c>
      <x:c r="H1367" s="39" t="str">
        <x:v>درصد خلوص پلاستیک های بازیافت شده در این روش بسیار بالا می باشد که باعث شده پلاستیک هایی که در این روش بازیافت می شوند برای موارد حساس تر و صنعت های حیاتی تر بدون هیچ گونه مشکل و آسیبی مورد استفاده قرار بگیرند.</x:v>
      </x:c>
      <x:c r="I1367" s="39" t="str">
        <x:v>پس از تثبیت پایه‌ها؛ پروژه‌محور</x:v>
      </x:c>
      <x:c r="J1367" s="39" t="str">
        <x:v>منتور صنعت/امکان‌سنجی</x:v>
      </x:c>
      <x:c r="K1367" s="39" t="str"/>
      <x:c r="L1367" s="39" t="str">
        <x:v>AP:P1120</x:v>
      </x:c>
      <x:c r="M1367" s="39" t="str"/>
      <x:c r="N1367" s="39" t="str">
        <x:v>نسخه پایه ۳۱۵۰</x:v>
      </x:c>
    </x:row>
    <x:row r="1368" ht="34" customHeight="1">
      <x:c r="A1368" s="34" t="str">
        <x:v>☐</x:v>
      </x:c>
      <x:c r="B1368" s="34" t="str">
        <x:v>MI-1253</x:v>
      </x:c>
      <x:c r="C1368" s="34" t="str">
        <x:v>M4 — اجرا، دانشگاه، صنعت و پروژه‌های اجتماعی</x:v>
      </x:c>
      <x:c r="D1368" s="34" t="str">
        <x:v>H12</x:v>
      </x:c>
      <x:c r="E1368" s="34" t="str">
        <x:v>صنعت، انرژی، محیط‌زیست، کشاورزی و پروژه‌های تولیدی</x:v>
      </x:c>
      <x:c r="F1368" s="34" t="str">
        <x:v>P2</x:v>
      </x:c>
      <x:c r="G1368" s="34" t="str">
        <x:v>پروژه/طرح</x:v>
      </x:c>
      <x:c r="H1368" s="39" t="str">
        <x:v>روش مکانیکی</x:v>
      </x:c>
      <x:c r="I1368" s="39" t="str">
        <x:v>پس از تثبیت پایه‌ها؛ پروژه‌محور</x:v>
      </x:c>
      <x:c r="J1368" s="39" t="str">
        <x:v>منتور صنعت/امکان‌سنجی</x:v>
      </x:c>
      <x:c r="K1368" s="39" t="str"/>
      <x:c r="L1368" s="39" t="str">
        <x:v>AP:P1121</x:v>
      </x:c>
      <x:c r="M1368" s="39" t="str"/>
      <x:c r="N1368" s="39" t="str">
        <x:v>نسخه پایه ۳۱۵۰</x:v>
      </x:c>
    </x:row>
    <x:row r="1369" ht="34" customHeight="1">
      <x:c r="A1369" s="34" t="str">
        <x:v>☐</x:v>
      </x:c>
      <x:c r="B1369" s="34" t="str">
        <x:v>MI-1254</x:v>
      </x:c>
      <x:c r="C1369" s="34" t="str">
        <x:v>M4 — اجرا، دانشگاه، صنعت و پروژه‌های اجتماعی</x:v>
      </x:c>
      <x:c r="D1369" s="34" t="str">
        <x:v>H12</x:v>
      </x:c>
      <x:c r="E1369" s="34" t="str">
        <x:v>صنعت، انرژی، محیط‌زیست، کشاورزی و پروژه‌های تولیدی</x:v>
      </x:c>
      <x:c r="F1369" s="34" t="str">
        <x:v>P2</x:v>
      </x:c>
      <x:c r="G1369" s="34" t="str">
        <x:v>پروژه/طرح</x:v>
      </x:c>
      <x:c r="H1369" s="39" t="str">
        <x:v>پلاستیک ها با مراحل مکانیکی گوناگونی مانند شست و شو، خرد کردن، آب گیری، خشک کردن، ذوب کردن و قالب دهی به پلاستیک های تازه ای تبدیل می شوند.</x:v>
      </x:c>
      <x:c r="I1369" s="39" t="str">
        <x:v>پس از تثبیت پایه‌ها؛ پروژه‌محور</x:v>
      </x:c>
      <x:c r="J1369" s="39" t="str">
        <x:v>منتور صنعت/امکان‌سنجی</x:v>
      </x:c>
      <x:c r="K1369" s="39" t="str"/>
      <x:c r="L1369" s="39" t="str">
        <x:v>AP:P1122</x:v>
      </x:c>
      <x:c r="M1369" s="39" t="str"/>
      <x:c r="N1369" s="39" t="str">
        <x:v>نسخه پایه ۳۱۵۰</x:v>
      </x:c>
    </x:row>
    <x:row r="1370" ht="34" customHeight="1">
      <x:c r="A1370" s="34" t="str">
        <x:v>☐</x:v>
      </x:c>
      <x:c r="B1370" s="34" t="str">
        <x:v>MI-1255</x:v>
      </x:c>
      <x:c r="C1370" s="34" t="str">
        <x:v>M4 — اجرا، دانشگاه، صنعت و پروژه‌های اجتماعی</x:v>
      </x:c>
      <x:c r="D1370" s="34" t="str">
        <x:v>H12</x:v>
      </x:c>
      <x:c r="E1370" s="34" t="str">
        <x:v>صنعت، انرژی، محیط‌زیست، کشاورزی و پروژه‌های تولیدی</x:v>
      </x:c>
      <x:c r="F1370" s="34" t="str">
        <x:v>P2</x:v>
      </x:c>
      <x:c r="G1370" s="34" t="str">
        <x:v>پروژه/طرح</x:v>
      </x:c>
      <x:c r="H1370" s="39" t="str">
        <x:v>محصولات بازیافت</x:v>
      </x:c>
      <x:c r="I1370" s="39" t="str">
        <x:v>پس از تثبیت پایه‌ها؛ پروژه‌محور</x:v>
      </x:c>
      <x:c r="J1370" s="39" t="str">
        <x:v>منتور صنعت/امکان‌سنجی</x:v>
      </x:c>
      <x:c r="K1370" s="39" t="str"/>
      <x:c r="L1370" s="39" t="str">
        <x:v>AP:P1123؛ AP:P1129؛ AP:P1133؛ AP:P1148؛ AP:P1153؛ AP:P1161؛ AP:P1165؛ AP:P1173؛ AP:P1177؛ AP:P1181؛ AP:P1185؛ AP:P1188</x:v>
      </x:c>
      <x:c r="M1370" s="39" t="str"/>
      <x:c r="N1370" s="39" t="str">
        <x:v>نسخه پایه ۳۱۵۰</x:v>
      </x:c>
    </x:row>
    <x:row r="1371" ht="34" customHeight="1">
      <x:c r="A1371" s="34" t="str">
        <x:v>☐</x:v>
      </x:c>
      <x:c r="B1371" s="34" t="str">
        <x:v>MI-1256</x:v>
      </x:c>
      <x:c r="C1371" s="34" t="str">
        <x:v>M4 — اجرا، دانشگاه، صنعت و پروژه‌های اجتماعی</x:v>
      </x:c>
      <x:c r="D1371" s="34" t="str">
        <x:v>H12</x:v>
      </x:c>
      <x:c r="E1371" s="34" t="str">
        <x:v>صنعت، انرژی، محیط‌زیست، کشاورزی و پروژه‌های تولیدی</x:v>
      </x:c>
      <x:c r="F1371" s="34" t="str">
        <x:v>P2</x:v>
      </x:c>
      <x:c r="G1371" s="34" t="str">
        <x:v>پروژه/طرح</x:v>
      </x:c>
      <x:c r="H1371" s="39" t="str">
        <x:v>لیوان ، قاشق ، چنگال ، ظرف ، سطل</x:v>
      </x:c>
      <x:c r="I1371" s="39" t="str">
        <x:v>پس از تثبیت پایه‌ها؛ پروژه‌محور</x:v>
      </x:c>
      <x:c r="J1371" s="39" t="str">
        <x:v>منتور صنعت/امکان‌سنجی</x:v>
      </x:c>
      <x:c r="K1371" s="39" t="str"/>
      <x:c r="L1371" s="39" t="str">
        <x:v>AP:P1124</x:v>
      </x:c>
      <x:c r="M1371" s="39" t="str"/>
      <x:c r="N1371" s="39" t="str">
        <x:v>نسخه پایه ۳۱۵۰</x:v>
      </x:c>
    </x:row>
    <x:row r="1372" ht="34" customHeight="1">
      <x:c r="A1372" s="34" t="str">
        <x:v>☐</x:v>
      </x:c>
      <x:c r="B1372" s="34" t="str">
        <x:v>MI-1257</x:v>
      </x:c>
      <x:c r="C1372" s="34" t="str">
        <x:v>M4 — اجرا، دانشگاه، صنعت و پروژه‌های اجتماعی</x:v>
      </x:c>
      <x:c r="D1372" s="34" t="str">
        <x:v>H12</x:v>
      </x:c>
      <x:c r="E1372" s="34" t="str">
        <x:v>صنعت، انرژی، محیط‌زیست، کشاورزی و پروژه‌های تولیدی</x:v>
      </x:c>
      <x:c r="F1372" s="34" t="str">
        <x:v>P2</x:v>
      </x:c>
      <x:c r="G1372" s="34" t="str">
        <x:v>پروژه/طرح</x:v>
      </x:c>
      <x:c r="H1372" s="39" t="str">
        <x:v>پلاستیک های بازیافتی در موکت سازی و نیمکت های پارک</x:v>
      </x:c>
      <x:c r="I1372" s="39" t="str">
        <x:v>پس از تثبیت پایه‌ها؛ پروژه‌محور</x:v>
      </x:c>
      <x:c r="J1372" s="39" t="str">
        <x:v>منتور صنعت/امکان‌سنجی</x:v>
      </x:c>
      <x:c r="K1372" s="39" t="str"/>
      <x:c r="L1372" s="39" t="str">
        <x:v>AP:P1125</x:v>
      </x:c>
      <x:c r="M1372" s="39" t="str"/>
      <x:c r="N1372" s="39" t="str">
        <x:v>نسخه پایه ۳۱۵۰</x:v>
      </x:c>
    </x:row>
    <x:row r="1373" ht="34" customHeight="1">
      <x:c r="A1373" s="34" t="str">
        <x:v>☐</x:v>
      </x:c>
      <x:c r="B1373" s="34" t="str">
        <x:v>MI-1258</x:v>
      </x:c>
      <x:c r="C1373" s="34" t="str">
        <x:v>M4 — اجرا، دانشگاه، صنعت و پروژه‌های اجتماعی</x:v>
      </x:c>
      <x:c r="D1373" s="34" t="str">
        <x:v>H12</x:v>
      </x:c>
      <x:c r="E1373" s="34" t="str">
        <x:v>صنعت، انرژی، محیط‌زیست، کشاورزی و پروژه‌های تولیدی</x:v>
      </x:c>
      <x:c r="F1373" s="34" t="str">
        <x:v>P2</x:v>
      </x:c>
      <x:c r="G1373" s="34" t="str">
        <x:v>پروژه/طرح</x:v>
      </x:c>
      <x:c r="H1373" s="39" t="str">
        <x:v>ضایعات مصالح ساختمانی</x:v>
      </x:c>
      <x:c r="I1373" s="39" t="str">
        <x:v>پس از تثبیت پایه‌ها؛ پروژه‌محور</x:v>
      </x:c>
      <x:c r="J1373" s="39" t="str">
        <x:v>منتور صنعت/امکان‌سنجی</x:v>
      </x:c>
      <x:c r="K1373" s="39" t="str"/>
      <x:c r="L1373" s="39" t="str">
        <x:v>AP:P1126</x:v>
      </x:c>
      <x:c r="M1373" s="39" t="str"/>
      <x:c r="N1373" s="39" t="str">
        <x:v>نسخه پایه ۳۱۵۰</x:v>
      </x:c>
    </x:row>
    <x:row r="1374" ht="34" customHeight="1">
      <x:c r="A1374" s="34" t="str">
        <x:v>☐</x:v>
      </x:c>
      <x:c r="B1374" s="34" t="str">
        <x:v>MI-1259</x:v>
      </x:c>
      <x:c r="C1374" s="34" t="str">
        <x:v>M4 — اجرا، دانشگاه، صنعت و پروژه‌های اجتماعی</x:v>
      </x:c>
      <x:c r="D1374" s="34" t="str">
        <x:v>H12</x:v>
      </x:c>
      <x:c r="E1374" s="34" t="str">
        <x:v>صنعت، انرژی، محیط‌زیست، کشاورزی و پروژه‌های تولیدی</x:v>
      </x:c>
      <x:c r="F1374" s="34" t="str">
        <x:v>P2</x:v>
      </x:c>
      <x:c r="G1374" s="34" t="str">
        <x:v>پروژه/طرح</x:v>
      </x:c>
      <x:c r="H1374" s="39" t="str">
        <x:v>مکنده ضایعات مصالح ساختمانی</x:v>
      </x:c>
      <x:c r="I1374" s="39" t="str">
        <x:v>پس از تثبیت پایه‌ها؛ پروژه‌محور</x:v>
      </x:c>
      <x:c r="J1374" s="39" t="str">
        <x:v>منتور صنعت/امکان‌سنجی</x:v>
      </x:c>
      <x:c r="K1374" s="39" t="str"/>
      <x:c r="L1374" s="39" t="str">
        <x:v>AP:P1128</x:v>
      </x:c>
      <x:c r="M1374" s="39" t="str"/>
      <x:c r="N1374" s="39" t="str">
        <x:v>نسخه پایه ۳۱۵۰</x:v>
      </x:c>
    </x:row>
    <x:row r="1375" ht="34" customHeight="1">
      <x:c r="A1375" s="34" t="str">
        <x:v>☐</x:v>
      </x:c>
      <x:c r="B1375" s="34" t="str">
        <x:v>MI-1260</x:v>
      </x:c>
      <x:c r="C1375" s="34" t="str">
        <x:v>M4 — اجرا، دانشگاه، صنعت و پروژه‌های اجتماعی</x:v>
      </x:c>
      <x:c r="D1375" s="34" t="str">
        <x:v>H12</x:v>
      </x:c>
      <x:c r="E1375" s="34" t="str">
        <x:v>صنعت، انرژی، محیط‌زیست، کشاورزی و پروژه‌های تولیدی</x:v>
      </x:c>
      <x:c r="F1375" s="34" t="str">
        <x:v>P2</x:v>
      </x:c>
      <x:c r="G1375" s="34" t="str">
        <x:v>پروژه/طرح</x:v>
      </x:c>
      <x:c r="H1375" s="39" t="str">
        <x:v>زیرسازی جاده ها</x:v>
      </x:c>
      <x:c r="I1375" s="39" t="str">
        <x:v>پس از تثبیت پایه‌ها؛ پروژه‌محور</x:v>
      </x:c>
      <x:c r="J1375" s="39" t="str">
        <x:v>منتور صنعت/امکان‌سنجی</x:v>
      </x:c>
      <x:c r="K1375" s="39" t="str"/>
      <x:c r="L1375" s="39" t="str">
        <x:v>AP:P1130</x:v>
      </x:c>
      <x:c r="M1375" s="39" t="str"/>
      <x:c r="N1375" s="39" t="str">
        <x:v>نسخه پایه ۳۱۵۰</x:v>
      </x:c>
    </x:row>
    <x:row r="1376" ht="34" customHeight="1">
      <x:c r="A1376" s="34" t="str">
        <x:v>☐</x:v>
      </x:c>
      <x:c r="B1376" s="34" t="str">
        <x:v>MI-1261</x:v>
      </x:c>
      <x:c r="C1376" s="34" t="str">
        <x:v>M4 — اجرا، دانشگاه، صنعت و پروژه‌های اجتماعی</x:v>
      </x:c>
      <x:c r="D1376" s="34" t="str">
        <x:v>H12</x:v>
      </x:c>
      <x:c r="E1376" s="34" t="str">
        <x:v>صنعت، انرژی، محیط‌زیست، کشاورزی و پروژه‌های تولیدی</x:v>
      </x:c>
      <x:c r="F1376" s="34" t="str">
        <x:v>P2</x:v>
      </x:c>
      <x:c r="G1376" s="34" t="str">
        <x:v>پروژه/طرح</x:v>
      </x:c>
      <x:c r="H1376" s="39" t="str">
        <x:v>آجر</x:v>
      </x:c>
      <x:c r="I1376" s="39" t="str">
        <x:v>پس از تثبیت پایه‌ها؛ پروژه‌محور</x:v>
      </x:c>
      <x:c r="J1376" s="39" t="str">
        <x:v>منتور صنعت/امکان‌سنجی</x:v>
      </x:c>
      <x:c r="K1376" s="39" t="str"/>
      <x:c r="L1376" s="39" t="str">
        <x:v>AP:P1131</x:v>
      </x:c>
      <x:c r="M1376" s="39" t="str"/>
      <x:c r="N1376" s="39" t="str">
        <x:v>نسخه پایه ۳۱۵۰</x:v>
      </x:c>
    </x:row>
    <x:row r="1377" ht="34" customHeight="1">
      <x:c r="A1377" s="34" t="str">
        <x:v>☐</x:v>
      </x:c>
      <x:c r="B1377" s="34" t="str">
        <x:v>MI-1262</x:v>
      </x:c>
      <x:c r="C1377" s="34" t="str">
        <x:v>M4 — اجرا، دانشگاه، صنعت و پروژه‌های اجتماعی</x:v>
      </x:c>
      <x:c r="D1377" s="34" t="str">
        <x:v>H12</x:v>
      </x:c>
      <x:c r="E1377" s="34" t="str">
        <x:v>صنعت، انرژی، محیط‌زیست، کشاورزی و پروژه‌های تولیدی</x:v>
      </x:c>
      <x:c r="F1377" s="34" t="str">
        <x:v>P2</x:v>
      </x:c>
      <x:c r="G1377" s="34" t="str">
        <x:v>پروژه/طرح</x:v>
      </x:c>
      <x:c r="H1377" s="39" t="str">
        <x:v>مواد غذایی ، پسماند گیاهی و جانوری</x:v>
      </x:c>
      <x:c r="I1377" s="39" t="str">
        <x:v>پس از تثبیت پایه‌ها؛ پروژه‌محور</x:v>
      </x:c>
      <x:c r="J1377" s="39" t="str">
        <x:v>منتور صنعت/امکان‌سنجی</x:v>
      </x:c>
      <x:c r="K1377" s="39" t="str"/>
      <x:c r="L1377" s="39" t="str">
        <x:v>AP:P1132</x:v>
      </x:c>
      <x:c r="M1377" s="39" t="str"/>
      <x:c r="N1377" s="39" t="str">
        <x:v>نسخه پایه ۳۱۵۰</x:v>
      </x:c>
    </x:row>
    <x:row r="1378" ht="34" customHeight="1">
      <x:c r="A1378" s="34" t="str">
        <x:v>☐</x:v>
      </x:c>
      <x:c r="B1378" s="34" t="str">
        <x:v>MI-1263</x:v>
      </x:c>
      <x:c r="C1378" s="34" t="str">
        <x:v>M4 — اجرا، دانشگاه، صنعت و پروژه‌های اجتماعی</x:v>
      </x:c>
      <x:c r="D1378" s="34" t="str">
        <x:v>H12</x:v>
      </x:c>
      <x:c r="E1378" s="34" t="str">
        <x:v>صنعت، انرژی، محیط‌زیست، کشاورزی و پروژه‌های تولیدی</x:v>
      </x:c>
      <x:c r="F1378" s="34" t="str">
        <x:v>P2</x:v>
      </x:c>
      <x:c r="G1378" s="34" t="str">
        <x:v>پروژه/طرح</x:v>
      </x:c>
      <x:c r="H1378" s="39" t="str">
        <x:v>BSF</x:v>
      </x:c>
      <x:c r="I1378" s="39" t="str">
        <x:v>پس از تثبیت پایه‌ها؛ پروژه‌محور</x:v>
      </x:c>
      <x:c r="J1378" s="39" t="str">
        <x:v>منتور صنعت/امکان‌سنجی</x:v>
      </x:c>
      <x:c r="K1378" s="39" t="str"/>
      <x:c r="L1378" s="39" t="str">
        <x:v>AP:P1134؛ AP:P1142</x:v>
      </x:c>
      <x:c r="M1378" s="39" t="str"/>
      <x:c r="N1378" s="39" t="str">
        <x:v>نسخه پایه ۳۱۵۰</x:v>
      </x:c>
    </x:row>
    <x:row r="1379" ht="34" customHeight="1">
      <x:c r="A1379" s="34" t="str">
        <x:v>☐</x:v>
      </x:c>
      <x:c r="B1379" s="34" t="str">
        <x:v>MI-1264</x:v>
      </x:c>
      <x:c r="C1379" s="34" t="str">
        <x:v>M4 — اجرا، دانشگاه، صنعت و پروژه‌های اجتماعی</x:v>
      </x:c>
      <x:c r="D1379" s="34" t="str">
        <x:v>H12</x:v>
      </x:c>
      <x:c r="E1379" s="34" t="str">
        <x:v>صنعت، انرژی، محیط‌زیست، کشاورزی و پروژه‌های تولیدی</x:v>
      </x:c>
      <x:c r="F1379" s="34" t="str">
        <x:v>P2</x:v>
      </x:c>
      <x:c r="G1379" s="34" t="str">
        <x:v>پروژه/طرح</x:v>
      </x:c>
      <x:c r="H1379" s="39" t="str">
        <x:v>شیر خشک</x:v>
      </x:c>
      <x:c r="I1379" s="39" t="str">
        <x:v>پس از تثبیت پایه‌ها؛ پروژه‌محور</x:v>
      </x:c>
      <x:c r="J1379" s="39" t="str">
        <x:v>منتور صنعت/امکان‌سنجی</x:v>
      </x:c>
      <x:c r="K1379" s="39" t="str"/>
      <x:c r="L1379" s="39" t="str">
        <x:v>AP:P1135</x:v>
      </x:c>
      <x:c r="M1379" s="39" t="str"/>
      <x:c r="N1379" s="39" t="str">
        <x:v>نسخه پایه ۳۱۵۰</x:v>
      </x:c>
    </x:row>
    <x:row r="1380" ht="34" customHeight="1">
      <x:c r="A1380" s="34" t="str">
        <x:v>☐</x:v>
      </x:c>
      <x:c r="B1380" s="34" t="str">
        <x:v>MI-1265</x:v>
      </x:c>
      <x:c r="C1380" s="34" t="str">
        <x:v>M4 — اجرا، دانشگاه، صنعت و پروژه‌های اجتماعی</x:v>
      </x:c>
      <x:c r="D1380" s="34" t="str">
        <x:v>H12</x:v>
      </x:c>
      <x:c r="E1380" s="34" t="str">
        <x:v>صنعت، انرژی، محیط‌زیست، کشاورزی و پروژه‌های تولیدی</x:v>
      </x:c>
      <x:c r="F1380" s="34" t="str">
        <x:v>P2</x:v>
      </x:c>
      <x:c r="G1380" s="34" t="str">
        <x:v>پروژه/طرح</x:v>
      </x:c>
      <x:c r="H1380" s="39" t="str">
        <x:v>پودر بدنسازی</x:v>
      </x:c>
      <x:c r="I1380" s="39" t="str">
        <x:v>پس از تثبیت پایه‌ها؛ پروژه‌محور</x:v>
      </x:c>
      <x:c r="J1380" s="39" t="str">
        <x:v>منتور صنعت/امکان‌سنجی</x:v>
      </x:c>
      <x:c r="K1380" s="39" t="str"/>
      <x:c r="L1380" s="39" t="str">
        <x:v>AP:P1136</x:v>
      </x:c>
      <x:c r="M1380" s="39" t="str"/>
      <x:c r="N1380" s="39" t="str">
        <x:v>نسخه پایه ۳۱۵۰</x:v>
      </x:c>
    </x:row>
    <x:row r="1381" ht="34" customHeight="1">
      <x:c r="A1381" s="34" t="str">
        <x:v>☐</x:v>
      </x:c>
      <x:c r="B1381" s="34" t="str">
        <x:v>MI-1266</x:v>
      </x:c>
      <x:c r="C1381" s="34" t="str">
        <x:v>M4 — اجرا، دانشگاه، صنعت و پروژه‌های اجتماعی</x:v>
      </x:c>
      <x:c r="D1381" s="34" t="str">
        <x:v>H12</x:v>
      </x:c>
      <x:c r="E1381" s="34" t="str">
        <x:v>صنعت، انرژی، محیط‌زیست، کشاورزی و پروژه‌های تولیدی</x:v>
      </x:c>
      <x:c r="F1381" s="34" t="str">
        <x:v>P2</x:v>
      </x:c>
      <x:c r="G1381" s="34" t="str">
        <x:v>پروژه/طرح</x:v>
      </x:c>
      <x:c r="H1381" s="39" t="str">
        <x:v>پروتیین غذایی ماهی</x:v>
      </x:c>
      <x:c r="I1381" s="39" t="str">
        <x:v>پس از تثبیت پایه‌ها؛ پروژه‌محور</x:v>
      </x:c>
      <x:c r="J1381" s="39" t="str">
        <x:v>منتور صنعت/امکان‌سنجی</x:v>
      </x:c>
      <x:c r="K1381" s="39" t="str"/>
      <x:c r="L1381" s="39" t="str">
        <x:v>AP:P1137</x:v>
      </x:c>
      <x:c r="M1381" s="39" t="str"/>
      <x:c r="N1381" s="39" t="str">
        <x:v>نسخه پایه ۳۱۵۰</x:v>
      </x:c>
    </x:row>
    <x:row r="1382" ht="34" customHeight="1">
      <x:c r="A1382" s="34" t="str">
        <x:v>☐</x:v>
      </x:c>
      <x:c r="B1382" s="34" t="str">
        <x:v>MI-1267</x:v>
      </x:c>
      <x:c r="C1382" s="34" t="str">
        <x:v>M4 — اجرا، دانشگاه، صنعت و پروژه‌های اجتماعی</x:v>
      </x:c>
      <x:c r="D1382" s="34" t="str">
        <x:v>H12</x:v>
      </x:c>
      <x:c r="E1382" s="34" t="str">
        <x:v>صنعت، انرژی، محیط‌زیست، کشاورزی و پروژه‌های تولیدی</x:v>
      </x:c>
      <x:c r="F1382" s="34" t="str">
        <x:v>P2</x:v>
      </x:c>
      <x:c r="G1382" s="34" t="str">
        <x:v>پروژه/طرح</x:v>
      </x:c>
      <x:c r="H1382" s="39" t="str">
        <x:v>کمپوست</x:v>
      </x:c>
      <x:c r="I1382" s="39" t="str">
        <x:v>پس از تثبیت پایه‌ها؛ پروژه‌محور</x:v>
      </x:c>
      <x:c r="J1382" s="39" t="str">
        <x:v>منتور صنعت/امکان‌سنجی</x:v>
      </x:c>
      <x:c r="K1382" s="39" t="str"/>
      <x:c r="L1382" s="39" t="str">
        <x:v>AP:P1138؛ AP:P1143</x:v>
      </x:c>
      <x:c r="M1382" s="39" t="str"/>
      <x:c r="N1382" s="39" t="str">
        <x:v>نسخه پایه ۳۱۵۰</x:v>
      </x:c>
    </x:row>
    <x:row r="1383" ht="34" customHeight="1">
      <x:c r="A1383" s="34" t="str">
        <x:v>☐</x:v>
      </x:c>
      <x:c r="B1383" s="34" t="str">
        <x:v>MI-1268</x:v>
      </x:c>
      <x:c r="C1383" s="34" t="str">
        <x:v>M4 — اجرا، دانشگاه، صنعت و پروژه‌های اجتماعی</x:v>
      </x:c>
      <x:c r="D1383" s="34" t="str">
        <x:v>H12</x:v>
      </x:c>
      <x:c r="E1383" s="34" t="str">
        <x:v>صنعت، انرژی، محیط‌زیست، کشاورزی و پروژه‌های تولیدی</x:v>
      </x:c>
      <x:c r="F1383" s="34" t="str">
        <x:v>P2</x:v>
      </x:c>
      <x:c r="G1383" s="34" t="str">
        <x:v>پروژه/طرح</x:v>
      </x:c>
      <x:c r="H1383" s="39" t="str">
        <x:v>متان ( بیوگاز)</x:v>
      </x:c>
      <x:c r="I1383" s="39" t="str">
        <x:v>پس از تثبیت پایه‌ها؛ پروژه‌محور</x:v>
      </x:c>
      <x:c r="J1383" s="39" t="str">
        <x:v>منتور صنعت/امکان‌سنجی</x:v>
      </x:c>
      <x:c r="K1383" s="39" t="str"/>
      <x:c r="L1383" s="39" t="str">
        <x:v>AP:P1139</x:v>
      </x:c>
      <x:c r="M1383" s="39" t="str"/>
      <x:c r="N1383" s="39" t="str">
        <x:v>نسخه پایه ۳۱۵۰</x:v>
      </x:c>
    </x:row>
    <x:row r="1384" ht="34" customHeight="1">
      <x:c r="A1384" s="34" t="str">
        <x:v>☐</x:v>
      </x:c>
      <x:c r="B1384" s="34" t="str">
        <x:v>MI-1269</x:v>
      </x:c>
      <x:c r="C1384" s="34" t="str">
        <x:v>M4 — اجرا، دانشگاه، صنعت و پروژه‌های اجتماعی</x:v>
      </x:c>
      <x:c r="D1384" s="34" t="str">
        <x:v>H12</x:v>
      </x:c>
      <x:c r="E1384" s="34" t="str">
        <x:v>صنعت، انرژی، محیط‌زیست، کشاورزی و پروژه‌های تولیدی</x:v>
      </x:c>
      <x:c r="F1384" s="34" t="str">
        <x:v>P2</x:v>
      </x:c>
      <x:c r="G1384" s="34" t="str">
        <x:v>پروژه/طرح</x:v>
      </x:c>
      <x:c r="H1384" s="39" t="str">
        <x:v>مواد خوراکی مرطوب ، مانند ضایعات مواد غذایی به عنوان مثال ، در مخازن بسته شده قرار می گیرند و در آنجا پوسیده می شوند و گاز متان تولید می کنند که بیوگاز نیز نامیده می شود. برای تولید برق می توان این گاز را سوزاند یا می تواند مستقیما به شبکه گاز ملی تزریق شود و برای پخت و پز و گرمایش استفاده شود.</x:v>
      </x:c>
      <x:c r="I1384" s="39" t="str">
        <x:v>پس از تثبیت پایه‌ها؛ پروژه‌محور</x:v>
      </x:c>
      <x:c r="J1384" s="39" t="str">
        <x:v>منتور صنعت/امکان‌سنجی</x:v>
      </x:c>
      <x:c r="K1384" s="39" t="str"/>
      <x:c r="L1384" s="39" t="str">
        <x:v>AP:P1140</x:v>
      </x:c>
      <x:c r="M1384" s="39" t="str"/>
      <x:c r="N1384" s="39" t="str">
        <x:v>نسخه پایه ۳۱۵۰</x:v>
      </x:c>
    </x:row>
    <x:row r="1385" ht="34" customHeight="1">
      <x:c r="A1385" s="34" t="str">
        <x:v>☐</x:v>
      </x:c>
      <x:c r="B1385" s="34" t="str">
        <x:v>MI-1270</x:v>
      </x:c>
      <x:c r="C1385" s="34" t="str">
        <x:v>M4 — اجرا، دانشگاه، صنعت و پروژه‌های اجتماعی</x:v>
      </x:c>
      <x:c r="D1385" s="34" t="str">
        <x:v>H12</x:v>
      </x:c>
      <x:c r="E1385" s="34" t="str">
        <x:v>صنعت، انرژی، محیط‌زیست، کشاورزی و پروژه‌های تولیدی</x:v>
      </x:c>
      <x:c r="F1385" s="34" t="str">
        <x:v>P2</x:v>
      </x:c>
      <x:c r="G1385" s="34" t="str">
        <x:v>پروژه/طرح</x:v>
      </x:c>
      <x:c r="H1385" s="39" t="str">
        <x:v>واژه ی کمپوست از پوسیدن می آید و حاصل تجزیه شدن مواد آلی توسط میکروارگانیسم ها است. زباله ها، پسماند های کشاورزی و دیگر مواد آلی مثل بقایای بدن حیوانات و جانوران، توسط برخی میکروارگانیسم ها تجزیه شده و کود به وجود آورند، که در کشاورزی مورد استفاده قرار می گیرد. این کود منیزیم و فسفات زیادی دارد، بسیار غنی است و به عنوان یک آفت کش طبیعی برای خاک محسوب می شود. کمپوست کردن به صورت صنعتی، تحت شرایط خاص و روش های مختلف انجام می گیرد، البته این روش می تواند توسط کشاورزان یا افراد غیر متخصص هم انجام گیرد.</x:v>
      </x:c>
      <x:c r="I1385" s="39" t="str">
        <x:v>پس از تثبیت پایه‌ها؛ پروژه‌محور</x:v>
      </x:c>
      <x:c r="J1385" s="39" t="str">
        <x:v>منتور صنعت/امکان‌سنجی</x:v>
      </x:c>
      <x:c r="K1385" s="39" t="str"/>
      <x:c r="L1385" s="39" t="str">
        <x:v>AP:P1144</x:v>
      </x:c>
      <x:c r="M1385" s="39" t="str"/>
      <x:c r="N1385" s="39" t="str">
        <x:v>نسخه پایه ۳۱۵۰</x:v>
      </x:c>
    </x:row>
    <x:row r="1386" ht="34" customHeight="1">
      <x:c r="A1386" s="34" t="str">
        <x:v>☐</x:v>
      </x:c>
      <x:c r="B1386" s="34" t="str">
        <x:v>MI-1271</x:v>
      </x:c>
      <x:c r="C1386" s="34" t="str">
        <x:v>M4 — اجرا، دانشگاه، صنعت و پروژه‌های اجتماعی</x:v>
      </x:c>
      <x:c r="D1386" s="34" t="str">
        <x:v>H12</x:v>
      </x:c>
      <x:c r="E1386" s="34" t="str">
        <x:v>صنعت، انرژی، محیط‌زیست، کشاورزی و پروژه‌های تولیدی</x:v>
      </x:c>
      <x:c r="F1386" s="34" t="str">
        <x:v>P2</x:v>
      </x:c>
      <x:c r="G1386" s="34" t="str">
        <x:v>پروژه/طرح</x:v>
      </x:c>
      <x:c r="H1386" s="39" t="str">
        <x:v>فلزات</x:v>
      </x:c>
      <x:c r="I1386" s="39" t="str">
        <x:v>پس از تثبیت پایه‌ها؛ پروژه‌محور</x:v>
      </x:c>
      <x:c r="J1386" s="39" t="str">
        <x:v>منتور صنعت/امکان‌سنجی</x:v>
      </x:c>
      <x:c r="K1386" s="39" t="str"/>
      <x:c r="L1386" s="39" t="str">
        <x:v>AP:P1145</x:v>
      </x:c>
      <x:c r="M1386" s="39" t="str"/>
      <x:c r="N1386" s="39" t="str">
        <x:v>نسخه پایه ۳۱۵۰</x:v>
      </x:c>
    </x:row>
    <x:row r="1387" ht="34" customHeight="1">
      <x:c r="A1387" s="34" t="str">
        <x:v>☐</x:v>
      </x:c>
      <x:c r="B1387" s="34" t="str">
        <x:v>MI-1273</x:v>
      </x:c>
      <x:c r="C1387" s="34" t="str">
        <x:v>M4 — اجرا، دانشگاه، صنعت و پروژه‌های اجتماعی</x:v>
      </x:c>
      <x:c r="D1387" s="34" t="str">
        <x:v>H12</x:v>
      </x:c>
      <x:c r="E1387" s="34" t="str">
        <x:v>صنعت، انرژی، محیط‌زیست، کشاورزی و پروژه‌های تولیدی</x:v>
      </x:c>
      <x:c r="F1387" s="34" t="str">
        <x:v>P2</x:v>
      </x:c>
      <x:c r="G1387" s="34" t="str">
        <x:v>پروژه/طرح</x:v>
      </x:c>
      <x:c r="H1387" s="39" t="str">
        <x:v>کارتن و مقوا و کاغذ</x:v>
      </x:c>
      <x:c r="I1387" s="39" t="str">
        <x:v>پس از تثبیت پایه‌ها؛ پروژه‌محور</x:v>
      </x:c>
      <x:c r="J1387" s="39" t="str">
        <x:v>منتور صنعت/امکان‌سنجی</x:v>
      </x:c>
      <x:c r="K1387" s="39" t="str"/>
      <x:c r="L1387" s="39" t="str">
        <x:v>AP:P1149</x:v>
      </x:c>
      <x:c r="M1387" s="39" t="str"/>
      <x:c r="N1387" s="39" t="str">
        <x:v>نسخه پایه ۳۱۵۰</x:v>
      </x:c>
    </x:row>
    <x:row r="1388" ht="34" customHeight="1">
      <x:c r="A1388" s="34" t="str">
        <x:v>☐</x:v>
      </x:c>
      <x:c r="B1388" s="34" t="str">
        <x:v>MI-1274</x:v>
      </x:c>
      <x:c r="C1388" s="34" t="str">
        <x:v>M4 — اجرا، دانشگاه، صنعت و پروژه‌های اجتماعی</x:v>
      </x:c>
      <x:c r="D1388" s="34" t="str">
        <x:v>H12</x:v>
      </x:c>
      <x:c r="E1388" s="34" t="str">
        <x:v>صنعت، انرژی، محیط‌زیست، کشاورزی و پروژه‌های تولیدی</x:v>
      </x:c>
      <x:c r="F1388" s="34" t="str">
        <x:v>P2</x:v>
      </x:c>
      <x:c r="G1388" s="34" t="str">
        <x:v>پروژه/طرح</x:v>
      </x:c>
      <x:c r="H1388" s="39" t="str">
        <x:v>تهیه ی کاغذ بازیافتی موجب صرفه جویی در مصرف درخت ها و حفظ آن ها، کاهش 75 درصدی مصرف انرژی، 74 درصدی آلودگی هوا و 34 درصدی آلودگی آب می شود.</x:v>
      </x:c>
      <x:c r="I1388" s="39" t="str">
        <x:v>پس از تثبیت پایه‌ها؛ پروژه‌محور</x:v>
      </x:c>
      <x:c r="J1388" s="39" t="str">
        <x:v>منتور صنعت/امکان‌سنجی</x:v>
      </x:c>
      <x:c r="K1388" s="39" t="str"/>
      <x:c r="L1388" s="39" t="str">
        <x:v>AP:P1151</x:v>
      </x:c>
      <x:c r="M1388" s="39" t="str"/>
      <x:c r="N1388" s="39" t="str">
        <x:v>نسخه پایه ۳۱۵۰</x:v>
      </x:c>
    </x:row>
    <x:row r="1389" ht="34" customHeight="1">
      <x:c r="A1389" s="34" t="str">
        <x:v>☐</x:v>
      </x:c>
      <x:c r="B1389" s="34" t="str">
        <x:v>MI-1275</x:v>
      </x:c>
      <x:c r="C1389" s="34" t="str">
        <x:v>M4 — اجرا، دانشگاه، صنعت و پروژه‌های اجتماعی</x:v>
      </x:c>
      <x:c r="D1389" s="34" t="str">
        <x:v>H12</x:v>
      </x:c>
      <x:c r="E1389" s="34" t="str">
        <x:v>صنعت، انرژی، محیط‌زیست، کشاورزی و پروژه‌های تولیدی</x:v>
      </x:c>
      <x:c r="F1389" s="34" t="str">
        <x:v>P2</x:v>
      </x:c>
      <x:c r="G1389" s="34" t="str">
        <x:v>پروژه/طرح</x:v>
      </x:c>
      <x:c r="H1389" s="39" t="str">
        <x:v>ساختکاغذاز خمیر کاغذ بازیافتی، نسبت به ساخت آن از الیاف چوب تازه، 40 درصد انرژی کمتری مصرف می کند.</x:v>
      </x:c>
      <x:c r="I1389" s="39" t="str">
        <x:v>پس از تثبیت پایه‌ها؛ پروژه‌محور</x:v>
      </x:c>
      <x:c r="J1389" s="39" t="str">
        <x:v>منتور صنعت/امکان‌سنجی</x:v>
      </x:c>
      <x:c r="K1389" s="39" t="str"/>
      <x:c r="L1389" s="39" t="str">
        <x:v>AP:P1152</x:v>
      </x:c>
      <x:c r="M1389" s="39" t="str"/>
      <x:c r="N1389" s="39" t="str">
        <x:v>نسخه پایه ۳۱۵۰</x:v>
      </x:c>
    </x:row>
    <x:row r="1390" ht="34" customHeight="1">
      <x:c r="A1390" s="34" t="str">
        <x:v>☐</x:v>
      </x:c>
      <x:c r="B1390" s="34" t="str">
        <x:v>MI-1276</x:v>
      </x:c>
      <x:c r="C1390" s="34" t="str">
        <x:v>M4 — اجرا، دانشگاه، صنعت و پروژه‌های اجتماعی</x:v>
      </x:c>
      <x:c r="D1390" s="34" t="str">
        <x:v>H12</x:v>
      </x:c>
      <x:c r="E1390" s="34" t="str">
        <x:v>صنعت، انرژی، محیط‌زیست، کشاورزی و پروژه‌های تولیدی</x:v>
      </x:c>
      <x:c r="F1390" s="34" t="str">
        <x:v>P2</x:v>
      </x:c>
      <x:c r="G1390" s="34" t="str">
        <x:v>پروژه/طرح</x:v>
      </x:c>
      <x:c r="H1390" s="39" t="str">
        <x:v>کاغذ روزنامه</x:v>
      </x:c>
      <x:c r="I1390" s="39" t="str">
        <x:v>پس از تثبیت پایه‌ها؛ پروژه‌محور</x:v>
      </x:c>
      <x:c r="J1390" s="39" t="str">
        <x:v>منتور صنعت/امکان‌سنجی</x:v>
      </x:c>
      <x:c r="K1390" s="39" t="str"/>
      <x:c r="L1390" s="39" t="str">
        <x:v>AP:P1154</x:v>
      </x:c>
      <x:c r="M1390" s="39" t="str"/>
      <x:c r="N1390" s="39" t="str">
        <x:v>نسخه پایه ۳۱۵۰</x:v>
      </x:c>
    </x:row>
    <x:row r="1391" ht="34" customHeight="1">
      <x:c r="A1391" s="34" t="str">
        <x:v>☐</x:v>
      </x:c>
      <x:c r="B1391" s="34" t="str">
        <x:v>MI-1277</x:v>
      </x:c>
      <x:c r="C1391" s="34" t="str">
        <x:v>M4 — اجرا، دانشگاه، صنعت و پروژه‌های اجتماعی</x:v>
      </x:c>
      <x:c r="D1391" s="34" t="str">
        <x:v>H12</x:v>
      </x:c>
      <x:c r="E1391" s="34" t="str">
        <x:v>صنعت، انرژی، محیط‌زیست، کشاورزی و پروژه‌های تولیدی</x:v>
      </x:c>
      <x:c r="F1391" s="34" t="str">
        <x:v>P2</x:v>
      </x:c>
      <x:c r="G1391" s="34" t="str">
        <x:v>پروژه/طرح</x:v>
      </x:c>
      <x:c r="H1391" s="39" t="str">
        <x:v>کاغذ کاهی</x:v>
      </x:c>
      <x:c r="I1391" s="39" t="str">
        <x:v>پس از تثبیت پایه‌ها؛ پروژه‌محور</x:v>
      </x:c>
      <x:c r="J1391" s="39" t="str">
        <x:v>منتور صنعت/امکان‌سنجی</x:v>
      </x:c>
      <x:c r="K1391" s="39" t="str"/>
      <x:c r="L1391" s="39" t="str">
        <x:v>AP:P1155</x:v>
      </x:c>
      <x:c r="M1391" s="39" t="str"/>
      <x:c r="N1391" s="39" t="str">
        <x:v>نسخه پایه ۳۱۵۰</x:v>
      </x:c>
    </x:row>
    <x:row r="1392" ht="34" customHeight="1">
      <x:c r="A1392" s="34" t="str">
        <x:v>☐</x:v>
      </x:c>
      <x:c r="B1392" s="34" t="str">
        <x:v>MI-1278</x:v>
      </x:c>
      <x:c r="C1392" s="34" t="str">
        <x:v>M4 — اجرا، دانشگاه، صنعت و پروژه‌های اجتماعی</x:v>
      </x:c>
      <x:c r="D1392" s="34" t="str">
        <x:v>H12</x:v>
      </x:c>
      <x:c r="E1392" s="34" t="str">
        <x:v>صنعت، انرژی، محیط‌زیست، کشاورزی و پروژه‌های تولیدی</x:v>
      </x:c>
      <x:c r="F1392" s="34" t="str">
        <x:v>P2</x:v>
      </x:c>
      <x:c r="G1392" s="34" t="str">
        <x:v>پروژه/طرح</x:v>
      </x:c>
      <x:c r="H1392" s="39" t="str">
        <x:v>مقوا بازیافتی</x:v>
      </x:c>
      <x:c r="I1392" s="39" t="str">
        <x:v>پس از تثبیت پایه‌ها؛ پروژه‌محور</x:v>
      </x:c>
      <x:c r="J1392" s="39" t="str">
        <x:v>منتور صنعت/امکان‌سنجی</x:v>
      </x:c>
      <x:c r="K1392" s="39" t="str"/>
      <x:c r="L1392" s="39" t="str">
        <x:v>AP:P1156</x:v>
      </x:c>
      <x:c r="M1392" s="39" t="str"/>
      <x:c r="N1392" s="39" t="str">
        <x:v>نسخه پایه ۳۱۵۰</x:v>
      </x:c>
    </x:row>
    <x:row r="1393" ht="34" customHeight="1">
      <x:c r="A1393" s="34" t="str">
        <x:v>☐</x:v>
      </x:c>
      <x:c r="B1393" s="34" t="str">
        <x:v>MI-1279</x:v>
      </x:c>
      <x:c r="C1393" s="34" t="str">
        <x:v>M4 — اجرا، دانشگاه، صنعت و پروژه‌های اجتماعی</x:v>
      </x:c>
      <x:c r="D1393" s="34" t="str">
        <x:v>H12</x:v>
      </x:c>
      <x:c r="E1393" s="34" t="str">
        <x:v>صنعت، انرژی، محیط‌زیست، کشاورزی و پروژه‌های تولیدی</x:v>
      </x:c>
      <x:c r="F1393" s="34" t="str">
        <x:v>P2</x:v>
      </x:c>
      <x:c r="G1393" s="34" t="str">
        <x:v>پروژه/طرح</x:v>
      </x:c>
      <x:c r="H1393" s="39" t="str">
        <x:v>شانه تخم مرغ</x:v>
      </x:c>
      <x:c r="I1393" s="39" t="str">
        <x:v>پس از تثبیت پایه‌ها؛ پروژه‌محور</x:v>
      </x:c>
      <x:c r="J1393" s="39" t="str">
        <x:v>منتور صنعت/امکان‌سنجی</x:v>
      </x:c>
      <x:c r="K1393" s="39" t="str"/>
      <x:c r="L1393" s="39" t="str">
        <x:v>AP:P1157</x:v>
      </x:c>
      <x:c r="M1393" s="39" t="str"/>
      <x:c r="N1393" s="39" t="str">
        <x:v>نسخه پایه ۳۱۵۰</x:v>
      </x:c>
    </x:row>
    <x:row r="1394" ht="34" customHeight="1">
      <x:c r="A1394" s="34" t="str">
        <x:v>☐</x:v>
      </x:c>
      <x:c r="B1394" s="34" t="str">
        <x:v>MI-1280</x:v>
      </x:c>
      <x:c r="C1394" s="34" t="str">
        <x:v>M4 — اجرا، دانشگاه، صنعت و پروژه‌های اجتماعی</x:v>
      </x:c>
      <x:c r="D1394" s="34" t="str">
        <x:v>H12</x:v>
      </x:c>
      <x:c r="E1394" s="34" t="str">
        <x:v>صنعت، انرژی، محیط‌زیست، کشاورزی و پروژه‌های تولیدی</x:v>
      </x:c>
      <x:c r="F1394" s="34" t="str">
        <x:v>P2</x:v>
      </x:c>
      <x:c r="G1394" s="34" t="str">
        <x:v>پروژه/طرح</x:v>
      </x:c>
      <x:c r="H1394" s="39" t="str">
        <x:v>باتری</x:v>
      </x:c>
      <x:c r="I1394" s="39" t="str">
        <x:v>پس از تثبیت پایه‌ها؛ پروژه‌محور</x:v>
      </x:c>
      <x:c r="J1394" s="39" t="str">
        <x:v>منتور صنعت/امکان‌سنجی</x:v>
      </x:c>
      <x:c r="K1394" s="39" t="str"/>
      <x:c r="L1394" s="39" t="str">
        <x:v>AP:P1158</x:v>
      </x:c>
      <x:c r="M1394" s="39" t="str"/>
      <x:c r="N1394" s="39" t="str">
        <x:v>نسخه پایه ۳۱۵۰</x:v>
      </x:c>
    </x:row>
    <x:row r="1395" ht="34" customHeight="1">
      <x:c r="A1395" s="34" t="str">
        <x:v>☐</x:v>
      </x:c>
      <x:c r="B1395" s="34" t="str">
        <x:v>MI-1281</x:v>
      </x:c>
      <x:c r="C1395" s="34" t="str">
        <x:v>M4 — اجرا، دانشگاه، صنعت و پروژه‌های اجتماعی</x:v>
      </x:c>
      <x:c r="D1395" s="34" t="str">
        <x:v>H12</x:v>
      </x:c>
      <x:c r="E1395" s="34" t="str">
        <x:v>صنعت، انرژی، محیط‌زیست، کشاورزی و پروژه‌های تولیدی</x:v>
      </x:c>
      <x:c r="F1395" s="34" t="str">
        <x:v>P2</x:v>
      </x:c>
      <x:c r="G1395" s="34" t="str">
        <x:v>پروژه/طرح</x:v>
      </x:c>
      <x:c r="H1395" s="39" t="str">
        <x:v>لیتیم</x:v>
      </x:c>
      <x:c r="I1395" s="39" t="str">
        <x:v>پس از تثبیت پایه‌ها؛ پروژه‌محور</x:v>
      </x:c>
      <x:c r="J1395" s="39" t="str">
        <x:v>منتور صنعت/امکان‌سنجی</x:v>
      </x:c>
      <x:c r="K1395" s="39" t="str"/>
      <x:c r="L1395" s="39" t="str">
        <x:v>AP:P1160</x:v>
      </x:c>
      <x:c r="M1395" s="39" t="str"/>
      <x:c r="N1395" s="39" t="str">
        <x:v>نسخه پایه ۳۱۵۰</x:v>
      </x:c>
    </x:row>
    <x:row r="1396" ht="34" customHeight="1">
      <x:c r="A1396" s="34" t="str">
        <x:v>☐</x:v>
      </x:c>
      <x:c r="B1396" s="34" t="str">
        <x:v>MI-1282</x:v>
      </x:c>
      <x:c r="C1396" s="34" t="str">
        <x:v>M4 — اجرا، دانشگاه، صنعت و پروژه‌های اجتماعی</x:v>
      </x:c>
      <x:c r="D1396" s="34" t="str">
        <x:v>H12</x:v>
      </x:c>
      <x:c r="E1396" s="34" t="str">
        <x:v>صنعت، انرژی، محیط‌زیست، کشاورزی و پروژه‌های تولیدی</x:v>
      </x:c>
      <x:c r="F1396" s="34" t="str">
        <x:v>P2</x:v>
      </x:c>
      <x:c r="G1396" s="34" t="str">
        <x:v>پروژه/طرح</x:v>
      </x:c>
      <x:c r="H1396" s="39" t="str">
        <x:v>شیشه</x:v>
      </x:c>
      <x:c r="I1396" s="39" t="str">
        <x:v>پس از تثبیت پایه‌ها؛ پروژه‌محور</x:v>
      </x:c>
      <x:c r="J1396" s="39" t="str">
        <x:v>منتور صنعت/امکان‌سنجی</x:v>
      </x:c>
      <x:c r="K1396" s="39" t="str"/>
      <x:c r="L1396" s="39" t="str">
        <x:v>AP:P1162</x:v>
      </x:c>
      <x:c r="M1396" s="39" t="str"/>
      <x:c r="N1396" s="39" t="str">
        <x:v>نسخه پایه ۳۱۵۰</x:v>
      </x:c>
    </x:row>
    <x:row r="1397" ht="34" customHeight="1">
      <x:c r="A1397" s="34" t="str">
        <x:v>☐</x:v>
      </x:c>
      <x:c r="B1397" s="34" t="str">
        <x:v>MI-1283</x:v>
      </x:c>
      <x:c r="C1397" s="34" t="str">
        <x:v>M4 — اجرا، دانشگاه، صنعت و پروژه‌های اجتماعی</x:v>
      </x:c>
      <x:c r="D1397" s="34" t="str">
        <x:v>H12</x:v>
      </x:c>
      <x:c r="E1397" s="34" t="str">
        <x:v>صنعت، انرژی، محیط‌زیست، کشاورزی و پروژه‌های تولیدی</x:v>
      </x:c>
      <x:c r="F1397" s="34" t="str">
        <x:v>P2</x:v>
      </x:c>
      <x:c r="G1397" s="34" t="str">
        <x:v>پروژه/طرح</x:v>
      </x:c>
      <x:c r="H1397" s="39" t="str">
        <x:v>مقدار انرژی صرفه جویی شده در بازیافت یکبطری شیشه ایمی تواند یک لامپ قدیمی 100 وات را به مدت 4 ساعت و یک لامپ LED جدید با انرژی کم را برای مدت بسیار طولانی تری روشن نگه دارد.</x:v>
      </x:c>
      <x:c r="I1397" s="39" t="str">
        <x:v>پس از تثبیت پایه‌ها؛ پروژه‌محور</x:v>
      </x:c>
      <x:c r="J1397" s="39" t="str">
        <x:v>منتور صنعت/امکان‌سنجی</x:v>
      </x:c>
      <x:c r="K1397" s="39" t="str"/>
      <x:c r="L1397" s="39" t="str">
        <x:v>AP:P1164</x:v>
      </x:c>
      <x:c r="M1397" s="39" t="str"/>
      <x:c r="N1397" s="39" t="str">
        <x:v>نسخه پایه ۳۱۵۰</x:v>
      </x:c>
    </x:row>
    <x:row r="1398" ht="34" customHeight="1">
      <x:c r="A1398" s="34" t="str">
        <x:v>☐</x:v>
      </x:c>
      <x:c r="B1398" s="34" t="str">
        <x:v>MI-1284</x:v>
      </x:c>
      <x:c r="C1398" s="34" t="str">
        <x:v>M4 — اجرا، دانشگاه، صنعت و پروژه‌های اجتماعی</x:v>
      </x:c>
      <x:c r="D1398" s="34" t="str">
        <x:v>H12</x:v>
      </x:c>
      <x:c r="E1398" s="34" t="str">
        <x:v>صنعت، انرژی، محیط‌زیست، کشاورزی و پروژه‌های تولیدی</x:v>
      </x:c>
      <x:c r="F1398" s="34" t="str">
        <x:v>P2</x:v>
      </x:c>
      <x:c r="G1398" s="34" t="str">
        <x:v>پروژه/طرح</x:v>
      </x:c>
      <x:c r="H1398" s="39" t="str">
        <x:v>ظروف</x:v>
      </x:c>
      <x:c r="I1398" s="39" t="str">
        <x:v>پس از تثبیت پایه‌ها؛ پروژه‌محور</x:v>
      </x:c>
      <x:c r="J1398" s="39" t="str">
        <x:v>منتور صنعت/امکان‌سنجی</x:v>
      </x:c>
      <x:c r="K1398" s="39" t="str"/>
      <x:c r="L1398" s="39" t="str">
        <x:v>AP:P1166</x:v>
      </x:c>
      <x:c r="M1398" s="39" t="str"/>
      <x:c r="N1398" s="39" t="str">
        <x:v>نسخه پایه ۳۱۵۰</x:v>
      </x:c>
    </x:row>
    <x:row r="1399" ht="34" customHeight="1">
      <x:c r="A1399" s="34" t="str">
        <x:v>☐</x:v>
      </x:c>
      <x:c r="B1399" s="34" t="str">
        <x:v>MI-1285</x:v>
      </x:c>
      <x:c r="C1399" s="34" t="str">
        <x:v>M4 — اجرا، دانشگاه، صنعت و پروژه‌های اجتماعی</x:v>
      </x:c>
      <x:c r="D1399" s="34" t="str">
        <x:v>H12</x:v>
      </x:c>
      <x:c r="E1399" s="34" t="str">
        <x:v>صنعت، انرژی، محیط‌زیست، کشاورزی و پروژه‌های تولیدی</x:v>
      </x:c>
      <x:c r="F1399" s="34" t="str">
        <x:v>P2</x:v>
      </x:c>
      <x:c r="G1399" s="34" t="str">
        <x:v>پروژه/طرح</x:v>
      </x:c>
      <x:c r="H1399" s="39" t="str">
        <x:v>لامپ</x:v>
      </x:c>
      <x:c r="I1399" s="39" t="str">
        <x:v>پس از تثبیت پایه‌ها؛ پروژه‌محور</x:v>
      </x:c>
      <x:c r="J1399" s="39" t="str">
        <x:v>منتور صنعت/امکان‌سنجی</x:v>
      </x:c>
      <x:c r="K1399" s="39" t="str"/>
      <x:c r="L1399" s="39" t="str">
        <x:v>AP:P1167</x:v>
      </x:c>
      <x:c r="M1399" s="39" t="str"/>
      <x:c r="N1399" s="39" t="str">
        <x:v>نسخه پایه ۳۱۵۰</x:v>
      </x:c>
    </x:row>
    <x:row r="1400" ht="34" customHeight="1">
      <x:c r="A1400" s="34" t="str">
        <x:v>☐</x:v>
      </x:c>
      <x:c r="B1400" s="34" t="str">
        <x:v>MI-1286</x:v>
      </x:c>
      <x:c r="C1400" s="34" t="str">
        <x:v>M4 — اجرا، دانشگاه، صنعت و پروژه‌های اجتماعی</x:v>
      </x:c>
      <x:c r="D1400" s="34" t="str">
        <x:v>H12</x:v>
      </x:c>
      <x:c r="E1400" s="34" t="str">
        <x:v>صنعت، انرژی، محیط‌زیست، کشاورزی و پروژه‌های تولیدی</x:v>
      </x:c>
      <x:c r="F1400" s="34" t="str">
        <x:v>P2</x:v>
      </x:c>
      <x:c r="G1400" s="34" t="str">
        <x:v>پروژه/طرح</x:v>
      </x:c>
      <x:c r="H1400" s="39" t="str">
        <x:v>لوستر</x:v>
      </x:c>
      <x:c r="I1400" s="39" t="str">
        <x:v>پس از تثبیت پایه‌ها؛ پروژه‌محور</x:v>
      </x:c>
      <x:c r="J1400" s="39" t="str">
        <x:v>منتور صنعت/امکان‌سنجی</x:v>
      </x:c>
      <x:c r="K1400" s="39" t="str"/>
      <x:c r="L1400" s="39" t="str">
        <x:v>AP:P1168</x:v>
      </x:c>
      <x:c r="M1400" s="39" t="str"/>
      <x:c r="N1400" s="39" t="str">
        <x:v>نسخه پایه ۳۱۵۰</x:v>
      </x:c>
    </x:row>
    <x:row r="1401" ht="34" customHeight="1">
      <x:c r="A1401" s="34" t="str">
        <x:v>☐</x:v>
      </x:c>
      <x:c r="B1401" s="34" t="str">
        <x:v>MI-1287</x:v>
      </x:c>
      <x:c r="C1401" s="34" t="str">
        <x:v>M4 — اجرا، دانشگاه، صنعت و پروژه‌های اجتماعی</x:v>
      </x:c>
      <x:c r="D1401" s="34" t="str">
        <x:v>H12</x:v>
      </x:c>
      <x:c r="E1401" s="34" t="str">
        <x:v>صنعت، انرژی، محیط‌زیست، کشاورزی و پروژه‌های تولیدی</x:v>
      </x:c>
      <x:c r="F1401" s="34" t="str">
        <x:v>P2</x:v>
      </x:c>
      <x:c r="G1401" s="34" t="str">
        <x:v>پروژه/طرح</x:v>
      </x:c>
      <x:c r="H1401" s="39" t="str">
        <x:v>شیشه های بازیافتی در آسفالت جاده ها</x:v>
      </x:c>
      <x:c r="I1401" s="39" t="str">
        <x:v>پس از تثبیت پایه‌ها؛ پروژه‌محور</x:v>
      </x:c>
      <x:c r="J1401" s="39" t="str">
        <x:v>منتور صنعت/امکان‌سنجی</x:v>
      </x:c>
      <x:c r="K1401" s="39" t="str"/>
      <x:c r="L1401" s="39" t="str">
        <x:v>AP:P1169</x:v>
      </x:c>
      <x:c r="M1401" s="39" t="str"/>
      <x:c r="N1401" s="39" t="str">
        <x:v>نسخه پایه ۳۱۵۰</x:v>
      </x:c>
    </x:row>
    <x:row r="1402" ht="34" customHeight="1">
      <x:c r="A1402" s="34" t="str">
        <x:v>☐</x:v>
      </x:c>
      <x:c r="B1402" s="34" t="str">
        <x:v>MI-1288</x:v>
      </x:c>
      <x:c r="C1402" s="34" t="str">
        <x:v>M4 — اجرا، دانشگاه، صنعت و پروژه‌های اجتماعی</x:v>
      </x:c>
      <x:c r="D1402" s="34" t="str">
        <x:v>H12</x:v>
      </x:c>
      <x:c r="E1402" s="34" t="str">
        <x:v>صنعت، انرژی، محیط‌زیست، کشاورزی و پروژه‌های تولیدی</x:v>
      </x:c>
      <x:c r="F1402" s="34" t="str">
        <x:v>P2</x:v>
      </x:c>
      <x:c r="G1402" s="34" t="str">
        <x:v>پروژه/طرح</x:v>
      </x:c>
      <x:c r="H1402" s="39" t="str">
        <x:v>فاضلاب</x:v>
      </x:c>
      <x:c r="I1402" s="39" t="str">
        <x:v>پس از تثبیت پایه‌ها؛ پروژه‌محور</x:v>
      </x:c>
      <x:c r="J1402" s="39" t="str">
        <x:v>منتور صنعت/امکان‌سنجی</x:v>
      </x:c>
      <x:c r="K1402" s="39" t="str"/>
      <x:c r="L1402" s="39" t="str">
        <x:v>AP:P1170</x:v>
      </x:c>
      <x:c r="M1402" s="39" t="str"/>
      <x:c r="N1402" s="39" t="str">
        <x:v>نسخه پایه ۳۱۵۰</x:v>
      </x:c>
    </x:row>
    <x:row r="1403" ht="34" customHeight="1">
      <x:c r="A1403" s="34" t="str">
        <x:v>☐</x:v>
      </x:c>
      <x:c r="B1403" s="34" t="str">
        <x:v>MI-1289</x:v>
      </x:c>
      <x:c r="C1403" s="34" t="str">
        <x:v>M4 — اجرا، دانشگاه، صنعت و پروژه‌های اجتماعی</x:v>
      </x:c>
      <x:c r="D1403" s="34" t="str">
        <x:v>H12</x:v>
      </x:c>
      <x:c r="E1403" s="34" t="str">
        <x:v>صنعت، انرژی، محیط‌زیست، کشاورزی و پروژه‌های تولیدی</x:v>
      </x:c>
      <x:c r="F1403" s="34" t="str">
        <x:v>P2</x:v>
      </x:c>
      <x:c r="G1403" s="34" t="str">
        <x:v>پروژه/طرح</x:v>
      </x:c>
      <x:c r="H1403" s="39" t="str">
        <x:v>پلی الکترولیت موسوم به لخته ساز یا به اصطلاح فلوکولانت می باشد. در واقع پلی الکترولیت ها، پلیمرهای زنجیر بلند آلی هستند که به صورت معمول وزن مولکولی این پلیمرهای شیمیایی بالغ بر یک میلیون بوده وهم به صورت طبیعی و هم سنتزی یافت می شوند. این نوع از ماده شیمیایی کمک می کند که مواد معلقی که در آب شناور هستند منعقد شده و به شکل راحت تری از آب جدا گردند.</x:v>
      </x:c>
      <x:c r="I1403" s="39" t="str">
        <x:v>پس از تثبیت پایه‌ها؛ پروژه‌محور</x:v>
      </x:c>
      <x:c r="J1403" s="39" t="str">
        <x:v>منتور صنعت/امکان‌سنجی</x:v>
      </x:c>
      <x:c r="K1403" s="39" t="str"/>
      <x:c r="L1403" s="39" t="str">
        <x:v>AP:P1172</x:v>
      </x:c>
      <x:c r="M1403" s="39" t="str"/>
      <x:c r="N1403" s="39" t="str">
        <x:v>نسخه پایه ۳۱۵۰</x:v>
      </x:c>
    </x:row>
    <x:row r="1404" ht="34" customHeight="1">
      <x:c r="A1404" s="34" t="str">
        <x:v>☐</x:v>
      </x:c>
      <x:c r="B1404" s="34" t="str">
        <x:v>MI-1290</x:v>
      </x:c>
      <x:c r="C1404" s="34" t="str">
        <x:v>M4 — اجرا، دانشگاه، صنعت و پروژه‌های اجتماعی</x:v>
      </x:c>
      <x:c r="D1404" s="34" t="str">
        <x:v>H12</x:v>
      </x:c>
      <x:c r="E1404" s="34" t="str">
        <x:v>صنعت، انرژی، محیط‌زیست، کشاورزی و پروژه‌های تولیدی</x:v>
      </x:c>
      <x:c r="F1404" s="34" t="str">
        <x:v>P2</x:v>
      </x:c>
      <x:c r="G1404" s="34" t="str">
        <x:v>پروژه/طرح</x:v>
      </x:c>
      <x:c r="H1404" s="39" t="str">
        <x:v>بیومتان</x:v>
      </x:c>
      <x:c r="I1404" s="39" t="str">
        <x:v>پس از تثبیت پایه‌ها؛ پروژه‌محور</x:v>
      </x:c>
      <x:c r="J1404" s="39" t="str">
        <x:v>منتور صنعت/امکان‌سنجی</x:v>
      </x:c>
      <x:c r="K1404" s="39" t="str"/>
      <x:c r="L1404" s="39" t="str">
        <x:v>AP:P1174</x:v>
      </x:c>
      <x:c r="M1404" s="39" t="str"/>
      <x:c r="N1404" s="39" t="str">
        <x:v>نسخه پایه ۳۱۵۰</x:v>
      </x:c>
    </x:row>
    <x:row r="1405" ht="34" customHeight="1">
      <x:c r="A1405" s="34" t="str">
        <x:v>☐</x:v>
      </x:c>
      <x:c r="B1405" s="34" t="str">
        <x:v>MI-1291</x:v>
      </x:c>
      <x:c r="C1405" s="34" t="str">
        <x:v>M4 — اجرا، دانشگاه، صنعت و پروژه‌های اجتماعی</x:v>
      </x:c>
      <x:c r="D1405" s="34" t="str">
        <x:v>H12</x:v>
      </x:c>
      <x:c r="E1405" s="34" t="str">
        <x:v>صنعت، انرژی، محیط‌زیست، کشاورزی و پروژه‌های تولیدی</x:v>
      </x:c>
      <x:c r="F1405" s="34" t="str">
        <x:v>P2</x:v>
      </x:c>
      <x:c r="G1405" s="34" t="str">
        <x:v>پروژه/طرح</x:v>
      </x:c>
      <x:c r="H1405" s="39" t="str">
        <x:v>طلا</x:v>
      </x:c>
      <x:c r="I1405" s="39" t="str">
        <x:v>پس از تثبیت پایه‌ها؛ پروژه‌محور</x:v>
      </x:c>
      <x:c r="J1405" s="39" t="str">
        <x:v>منتور صنعت/امکان‌سنجی</x:v>
      </x:c>
      <x:c r="K1405" s="39" t="str"/>
      <x:c r="L1405" s="39" t="str">
        <x:v>AP:P1175</x:v>
      </x:c>
      <x:c r="M1405" s="39" t="str"/>
      <x:c r="N1405" s="39" t="str">
        <x:v>نسخه پایه ۳۱۵۰</x:v>
      </x:c>
    </x:row>
    <x:row r="1406" ht="34" customHeight="1">
      <x:c r="A1406" s="34" t="str">
        <x:v>☐</x:v>
      </x:c>
      <x:c r="B1406" s="34" t="str">
        <x:v>MI-1292</x:v>
      </x:c>
      <x:c r="C1406" s="34" t="str">
        <x:v>M4 — اجرا، دانشگاه، صنعت و پروژه‌های اجتماعی</x:v>
      </x:c>
      <x:c r="D1406" s="34" t="str">
        <x:v>H12</x:v>
      </x:c>
      <x:c r="E1406" s="34" t="str">
        <x:v>صنعت، انرژی، محیط‌زیست، کشاورزی و پروژه‌های تولیدی</x:v>
      </x:c>
      <x:c r="F1406" s="34" t="str">
        <x:v>P2</x:v>
      </x:c>
      <x:c r="G1406" s="34" t="str">
        <x:v>پروژه/طرح</x:v>
      </x:c>
      <x:c r="H1406" s="39" t="str">
        <x:v>قطعات برد های کامپیوتری</x:v>
      </x:c>
      <x:c r="I1406" s="39" t="str">
        <x:v>پس از تثبیت پایه‌ها؛ پروژه‌محور</x:v>
      </x:c>
      <x:c r="J1406" s="39" t="str">
        <x:v>منتور صنعت/امکان‌سنجی</x:v>
      </x:c>
      <x:c r="K1406" s="39" t="str"/>
      <x:c r="L1406" s="39" t="str">
        <x:v>AP:P1178</x:v>
      </x:c>
      <x:c r="M1406" s="39" t="str"/>
      <x:c r="N1406" s="39" t="str">
        <x:v>نسخه پایه ۳۱۵۰</x:v>
      </x:c>
    </x:row>
    <x:row r="1407" ht="34" customHeight="1">
      <x:c r="A1407" s="34" t="str">
        <x:v>☐</x:v>
      </x:c>
      <x:c r="B1407" s="34" t="str">
        <x:v>MI-1293</x:v>
      </x:c>
      <x:c r="C1407" s="34" t="str">
        <x:v>M4 — اجرا، دانشگاه، صنعت و پروژه‌های اجتماعی</x:v>
      </x:c>
      <x:c r="D1407" s="34" t="str">
        <x:v>H12</x:v>
      </x:c>
      <x:c r="E1407" s="34" t="str">
        <x:v>صنعت، انرژی، محیط‌زیست، کشاورزی و پروژه‌های تولیدی</x:v>
      </x:c>
      <x:c r="F1407" s="34" t="str">
        <x:v>P2</x:v>
      </x:c>
      <x:c r="G1407" s="34" t="str">
        <x:v>پروژه/طرح</x:v>
      </x:c>
      <x:c r="H1407" s="39" t="str">
        <x:v>انواع باتری ها، CD و DVD، شارژر موبایل و وسایلی از این دست، قابل بازیافت هستند.</x:v>
      </x:c>
      <x:c r="I1407" s="39" t="str">
        <x:v>پس از تثبیت پایه‌ها؛ پروژه‌محور</x:v>
      </x:c>
      <x:c r="J1407" s="39" t="str">
        <x:v>منتور صنعت/امکان‌سنجی</x:v>
      </x:c>
      <x:c r="K1407" s="39" t="str"/>
      <x:c r="L1407" s="39" t="str">
        <x:v>AP:P1180</x:v>
      </x:c>
      <x:c r="M1407" s="39" t="str"/>
      <x:c r="N1407" s="39" t="str">
        <x:v>نسخه پایه ۳۱۵۰</x:v>
      </x:c>
    </x:row>
    <x:row r="1408" ht="34" customHeight="1">
      <x:c r="A1408" s="34" t="str">
        <x:v>☐</x:v>
      </x:c>
      <x:c r="B1408" s="34" t="str">
        <x:v>MI-1294</x:v>
      </x:c>
      <x:c r="C1408" s="34" t="str">
        <x:v>M4 — اجرا، دانشگاه، صنعت و پروژه‌های اجتماعی</x:v>
      </x:c>
      <x:c r="D1408" s="34" t="str">
        <x:v>H12</x:v>
      </x:c>
      <x:c r="E1408" s="34" t="str">
        <x:v>صنعت، انرژی، محیط‌زیست، کشاورزی و پروژه‌های تولیدی</x:v>
      </x:c>
      <x:c r="F1408" s="34" t="str">
        <x:v>P2</x:v>
      </x:c>
      <x:c r="G1408" s="34" t="str">
        <x:v>پروژه/طرح</x:v>
      </x:c>
      <x:c r="H1408" s="39" t="str">
        <x:v>تولید برق</x:v>
      </x:c>
      <x:c r="I1408" s="39" t="str">
        <x:v>پس از تثبیت پایه‌ها؛ پروژه‌محور</x:v>
      </x:c>
      <x:c r="J1408" s="39" t="str">
        <x:v>منتور صنعت/امکان‌سنجی</x:v>
      </x:c>
      <x:c r="K1408" s="39" t="str"/>
      <x:c r="L1408" s="39" t="str">
        <x:v>AP:P1182</x:v>
      </x:c>
      <x:c r="M1408" s="39" t="str"/>
      <x:c r="N1408" s="39" t="str">
        <x:v>نسخه پایه ۳۱۵۰</x:v>
      </x:c>
    </x:row>
    <x:row r="1409" ht="34" customHeight="1">
      <x:c r="A1409" s="34" t="str">
        <x:v>☐</x:v>
      </x:c>
      <x:c r="B1409" s="34" t="str">
        <x:v>MI-1295</x:v>
      </x:c>
      <x:c r="C1409" s="34" t="str">
        <x:v>M4 — اجرا، دانشگاه، صنعت و پروژه‌های اجتماعی</x:v>
      </x:c>
      <x:c r="D1409" s="34" t="str">
        <x:v>H12</x:v>
      </x:c>
      <x:c r="E1409" s="34" t="str">
        <x:v>صنعت، انرژی، محیط‌زیست، کشاورزی و پروژه‌های تولیدی</x:v>
      </x:c>
      <x:c r="F1409" s="34" t="str">
        <x:v>P2</x:v>
      </x:c>
      <x:c r="G1409" s="34" t="str">
        <x:v>پروژه/طرح</x:v>
      </x:c>
      <x:c r="H1409" s="39" t="str">
        <x:v>زباله های غیر قابل بازیافت می توانند به عنوان منبع سوخت برای تولید برق استفاده شوند. این معمولاً پایدارترین راه برای دفع زباله های عمومی است که قابل بازیافت نیستند.</x:v>
      </x:c>
      <x:c r="I1409" s="39" t="str">
        <x:v>پس از تثبیت پایه‌ها؛ پروژه‌محور</x:v>
      </x:c>
      <x:c r="J1409" s="39" t="str">
        <x:v>منتور صنعت/امکان‌سنجی</x:v>
      </x:c>
      <x:c r="K1409" s="39" t="str"/>
      <x:c r="L1409" s="39" t="str">
        <x:v>AP:P1184</x:v>
      </x:c>
      <x:c r="M1409" s="39" t="str"/>
      <x:c r="N1409" s="39" t="str">
        <x:v>نسخه پایه ۳۱۵۰</x:v>
      </x:c>
    </x:row>
    <x:row r="1410" ht="34" customHeight="1">
      <x:c r="A1410" s="34" t="str">
        <x:v>☐</x:v>
      </x:c>
      <x:c r="B1410" s="34" t="str">
        <x:v>MI-1296</x:v>
      </x:c>
      <x:c r="C1410" s="34" t="str">
        <x:v>M4 — اجرا، دانشگاه، صنعت و پروژه‌های اجتماعی</x:v>
      </x:c>
      <x:c r="D1410" s="34" t="str">
        <x:v>H12</x:v>
      </x:c>
      <x:c r="E1410" s="34" t="str">
        <x:v>صنعت، انرژی، محیط‌زیست، کشاورزی و پروژه‌های تولیدی</x:v>
      </x:c>
      <x:c r="F1410" s="34" t="str">
        <x:v>P2</x:v>
      </x:c>
      <x:c r="G1410" s="34" t="str">
        <x:v>پروژه/طرح</x:v>
      </x:c>
      <x:c r="H1410" s="39" t="str">
        <x:v>چوب</x:v>
      </x:c>
      <x:c r="I1410" s="39" t="str">
        <x:v>پس از تثبیت پایه‌ها؛ پروژه‌محور</x:v>
      </x:c>
      <x:c r="J1410" s="39" t="str">
        <x:v>منتور صنعت/امکان‌سنجی</x:v>
      </x:c>
      <x:c r="K1410" s="39" t="str"/>
      <x:c r="L1410" s="39" t="str">
        <x:v>AP:P1186</x:v>
      </x:c>
      <x:c r="M1410" s="39" t="str"/>
      <x:c r="N1410" s="39" t="str">
        <x:v>نسخه پایه ۳۱۵۰</x:v>
      </x:c>
    </x:row>
    <x:row r="1411" ht="34" customHeight="1">
      <x:c r="A1411" s="34" t="str">
        <x:v>☐</x:v>
      </x:c>
      <x:c r="B1411" s="34" t="str">
        <x:v>MI-1297</x:v>
      </x:c>
      <x:c r="C1411" s="34" t="str">
        <x:v>M4 — اجرا، دانشگاه، صنعت و پروژه‌های اجتماعی</x:v>
      </x:c>
      <x:c r="D1411" s="34" t="str">
        <x:v>H12</x:v>
      </x:c>
      <x:c r="E1411" s="34" t="str">
        <x:v>صنعت، انرژی، محیط‌زیست، کشاورزی و پروژه‌های تولیدی</x:v>
      </x:c>
      <x:c r="F1411" s="34" t="str">
        <x:v>P2</x:v>
      </x:c>
      <x:c r="G1411" s="34" t="str">
        <x:v>پروژه/طرح</x:v>
      </x:c>
      <x:c r="H1411" s="39" t="str">
        <x:v>مواد آلی و روغن های موتو</x:v>
      </x:c>
      <x:c r="I1411" s="39" t="str">
        <x:v>پس از تثبیت پایه‌ها؛ پروژه‌محور</x:v>
      </x:c>
      <x:c r="J1411" s="39" t="str">
        <x:v>منتور صنعت/امکان‌سنجی</x:v>
      </x:c>
      <x:c r="K1411" s="39" t="str"/>
      <x:c r="L1411" s="39" t="str">
        <x:v>AP:P1189</x:v>
      </x:c>
      <x:c r="M1411" s="39" t="str"/>
      <x:c r="N1411" s="39" t="str">
        <x:v>نسخه پایه ۳۱۵۰</x:v>
      </x:c>
    </x:row>
    <x:row r="1412" ht="34" customHeight="1">
      <x:c r="A1412" s="34" t="str">
        <x:v>☐</x:v>
      </x:c>
      <x:c r="B1412" s="34" t="str">
        <x:v>MI-1298</x:v>
      </x:c>
      <x:c r="C1412" s="34" t="str">
        <x:v>M4 — اجرا، دانشگاه، صنعت و پروژه‌های اجتماعی</x:v>
      </x:c>
      <x:c r="D1412" s="34" t="str">
        <x:v>H12</x:v>
      </x:c>
      <x:c r="E1412" s="34" t="str">
        <x:v>صنعت، انرژی، محیط‌زیست، کشاورزی و پروژه‌های تولیدی</x:v>
      </x:c>
      <x:c r="F1412" s="34" t="str">
        <x:v>P2</x:v>
      </x:c>
      <x:c r="G1412" s="34" t="str">
        <x:v>پروژه/طرح</x:v>
      </x:c>
      <x:c r="H1412" s="39" t="str">
        <x:v>برخی از بازیافت کنندگان، مواد ارگانیک مانند زباله های حیاط و آشپزخانه را در لیست خدمات خود قرار می دهند. انواع روغن های فرسوده مانند روغن موتور، مایعات هیدرولیک و روغن دنده نیز در این گروه، جای می گیرند. این مواد هیدروکربنی، در صورت دفع نشدن صحیح، باعث آلودگی محیط می شوند.</x:v>
      </x:c>
      <x:c r="I1412" s="39" t="str">
        <x:v>پس از تثبیت پایه‌ها؛ پروژه‌محور</x:v>
      </x:c>
      <x:c r="J1412" s="39" t="str">
        <x:v>منتور صنعت/امکان‌سنجی</x:v>
      </x:c>
      <x:c r="K1412" s="39" t="str"/>
      <x:c r="L1412" s="39" t="str">
        <x:v>AP:P1190</x:v>
      </x:c>
      <x:c r="M1412" s="39" t="str"/>
      <x:c r="N1412" s="39" t="str">
        <x:v>نسخه پایه ۳۱۵۰</x:v>
      </x:c>
    </x:row>
    <x:row r="1413" ht="34" customHeight="1">
      <x:c r="A1413" s="34" t="str">
        <x:v>☐</x:v>
      </x:c>
      <x:c r="B1413" s="34" t="str">
        <x:v>MI-1299</x:v>
      </x:c>
      <x:c r="C1413" s="34" t="str">
        <x:v>M4 — اجرا، دانشگاه، صنعت و پروژه‌های اجتماعی</x:v>
      </x:c>
      <x:c r="D1413" s="34" t="str">
        <x:v>H12</x:v>
      </x:c>
      <x:c r="E1413" s="34" t="str">
        <x:v>صنعت، انرژی، محیط‌زیست، کشاورزی و پروژه‌های تولیدی</x:v>
      </x:c>
      <x:c r="F1413" s="34" t="str">
        <x:v>P2</x:v>
      </x:c>
      <x:c r="G1413" s="34" t="str">
        <x:v>پروژه/طرح</x:v>
      </x:c>
      <x:c r="H1413" s="39" t="str">
        <x:v>طرح ها</x:v>
      </x:c>
      <x:c r="I1413" s="39" t="str">
        <x:v>پس از تثبیت پایه‌ها؛ پروژه‌محور</x:v>
      </x:c>
      <x:c r="J1413" s="39" t="str">
        <x:v>منتور صنعت/امکان‌سنجی</x:v>
      </x:c>
      <x:c r="K1413" s="39" t="str"/>
      <x:c r="L1413" s="39" t="str">
        <x:v>AP:P1191</x:v>
      </x:c>
      <x:c r="M1413" s="39" t="str"/>
      <x:c r="N1413" s="39" t="str">
        <x:v>نسخه پایه ۳۱۵۰</x:v>
      </x:c>
    </x:row>
    <x:row r="1414" ht="34" customHeight="1">
      <x:c r="A1414" s="34" t="str">
        <x:v>☐</x:v>
      </x:c>
      <x:c r="B1414" s="34" t="str">
        <x:v>MI-1300</x:v>
      </x:c>
      <x:c r="C1414" s="34" t="str">
        <x:v>M4 — اجرا، دانشگاه، صنعت و پروژه‌های اجتماعی</x:v>
      </x:c>
      <x:c r="D1414" s="34" t="str">
        <x:v>H12</x:v>
      </x:c>
      <x:c r="E1414" s="34" t="str">
        <x:v>صنعت، انرژی، محیط‌زیست، کشاورزی و پروژه‌های تولیدی</x:v>
      </x:c>
      <x:c r="F1414" s="34" t="str">
        <x:v>P2</x:v>
      </x:c>
      <x:c r="G1414" s="34" t="str">
        <x:v>پروژه/طرح</x:v>
      </x:c>
      <x:c r="H1414" s="39" t="str">
        <x:v>تشویقی</x:v>
      </x:c>
      <x:c r="I1414" s="39" t="str">
        <x:v>پس از تثبیت پایه‌ها؛ پروژه‌محور</x:v>
      </x:c>
      <x:c r="J1414" s="39" t="str">
        <x:v>منتور صنعت/امکان‌سنجی</x:v>
      </x:c>
      <x:c r="K1414" s="39" t="str"/>
      <x:c r="L1414" s="39" t="str">
        <x:v>AP:P1192</x:v>
      </x:c>
      <x:c r="M1414" s="39" t="str"/>
      <x:c r="N1414" s="39" t="str">
        <x:v>نسخه پایه ۳۱۵۰</x:v>
      </x:c>
    </x:row>
    <x:row r="1415" ht="34" customHeight="1">
      <x:c r="A1415" s="34" t="str">
        <x:v>☐</x:v>
      </x:c>
      <x:c r="B1415" s="34" t="str">
        <x:v>MI-1301</x:v>
      </x:c>
      <x:c r="C1415" s="34" t="str">
        <x:v>M4 — اجرا، دانشگاه، صنعت و پروژه‌های اجتماعی</x:v>
      </x:c>
      <x:c r="D1415" s="34" t="str">
        <x:v>H12</x:v>
      </x:c>
      <x:c r="E1415" s="34" t="str">
        <x:v>صنعت، انرژی، محیط‌زیست، کشاورزی و پروژه‌های تولیدی</x:v>
      </x:c>
      <x:c r="F1415" s="34" t="str">
        <x:v>P2</x:v>
      </x:c>
      <x:c r="G1415" s="34" t="str">
        <x:v>پروژه/طرح</x:v>
      </x:c>
      <x:c r="H1415" s="39" t="str">
        <x:v>معافیت از مالیات</x:v>
      </x:c>
      <x:c r="I1415" s="39" t="str">
        <x:v>پس از تثبیت پایه‌ها؛ پروژه‌محور</x:v>
      </x:c>
      <x:c r="J1415" s="39" t="str">
        <x:v>منتور صنعت/امکان‌سنجی</x:v>
      </x:c>
      <x:c r="K1415" s="39" t="str"/>
      <x:c r="L1415" s="39" t="str">
        <x:v>AP:P1193</x:v>
      </x:c>
      <x:c r="M1415" s="39" t="str"/>
      <x:c r="N1415" s="39" t="str">
        <x:v>نسخه پایه ۳۱۵۰</x:v>
      </x:c>
    </x:row>
    <x:row r="1416" ht="34" customHeight="1">
      <x:c r="A1416" s="34" t="str">
        <x:v>☐</x:v>
      </x:c>
      <x:c r="B1416" s="34" t="str">
        <x:v>MI-1302</x:v>
      </x:c>
      <x:c r="C1416" s="34" t="str">
        <x:v>M4 — اجرا، دانشگاه، صنعت و پروژه‌های اجتماعی</x:v>
      </x:c>
      <x:c r="D1416" s="34" t="str">
        <x:v>H12</x:v>
      </x:c>
      <x:c r="E1416" s="34" t="str">
        <x:v>صنعت، انرژی، محیط‌زیست، کشاورزی و پروژه‌های تولیدی</x:v>
      </x:c>
      <x:c r="F1416" s="34" t="str">
        <x:v>P2</x:v>
      </x:c>
      <x:c r="G1416" s="34" t="str">
        <x:v>پروژه/طرح</x:v>
      </x:c>
      <x:c r="H1416" s="39" t="str">
        <x:v>تبلیغ اصناف عضو این طرح در سطح شهر با حمایت سازمان محیط زیست</x:v>
      </x:c>
      <x:c r="I1416" s="39" t="str">
        <x:v>پس از تثبیت پایه‌ها؛ پروژه‌محور</x:v>
      </x:c>
      <x:c r="J1416" s="39" t="str">
        <x:v>منتور صنعت/امکان‌سنجی</x:v>
      </x:c>
      <x:c r="K1416" s="39" t="str"/>
      <x:c r="L1416" s="39" t="str">
        <x:v>AP:P1194</x:v>
      </x:c>
      <x:c r="M1416" s="39" t="str"/>
      <x:c r="N1416" s="39" t="str">
        <x:v>نسخه پایه ۳۱۵۰</x:v>
      </x:c>
    </x:row>
    <x:row r="1417" ht="34" customHeight="1">
      <x:c r="A1417" s="34" t="str">
        <x:v>☐</x:v>
      </x:c>
      <x:c r="B1417" s="34" t="str">
        <x:v>MI-1305</x:v>
      </x:c>
      <x:c r="C1417" s="34" t="str">
        <x:v>M4 — اجرا، دانشگاه، صنعت و پروژه‌های اجتماعی</x:v>
      </x:c>
      <x:c r="D1417" s="34" t="str">
        <x:v>H12</x:v>
      </x:c>
      <x:c r="E1417" s="34" t="str">
        <x:v>صنعت، انرژی، محیط‌زیست، کشاورزی و پروژه‌های تولیدی</x:v>
      </x:c>
      <x:c r="F1417" s="34" t="str">
        <x:v>P2</x:v>
      </x:c>
      <x:c r="G1417" s="34" t="str">
        <x:v>پروژه/طرح</x:v>
      </x:c>
      <x:c r="H1417" s="39" t="str">
        <x:v>ایجاد پروژه های متنوع در رشته های تحصیلی برای کسب ایده ها و نوآوری های محصلان و دانشجویان جهت بهره برداری هرچه بهتر و خلاق تر از مواد بازیافتی</x:v>
      </x:c>
      <x:c r="I1417" s="39" t="str">
        <x:v>پس از تثبیت پایه‌ها؛ پروژه‌محور</x:v>
      </x:c>
      <x:c r="J1417" s="39" t="str">
        <x:v>منتور صنعت/امکان‌سنجی</x:v>
      </x:c>
      <x:c r="K1417" s="39" t="str"/>
      <x:c r="L1417" s="39" t="str">
        <x:v>AP:P1197</x:v>
      </x:c>
      <x:c r="M1417" s="39" t="str"/>
      <x:c r="N1417" s="39" t="str">
        <x:v>نسخه پایه ۳۱۵۰</x:v>
      </x:c>
    </x:row>
    <x:row r="1418" ht="34" customHeight="1">
      <x:c r="A1418" s="34" t="str">
        <x:v>☐</x:v>
      </x:c>
      <x:c r="B1418" s="34" t="str">
        <x:v>MI-1306</x:v>
      </x:c>
      <x:c r="C1418" s="34" t="str">
        <x:v>M4 — اجرا، دانشگاه، صنعت و پروژه‌های اجتماعی</x:v>
      </x:c>
      <x:c r="D1418" s="34" t="str">
        <x:v>H12</x:v>
      </x:c>
      <x:c r="E1418" s="34" t="str">
        <x:v>صنعت، انرژی، محیط‌زیست، کشاورزی و پروژه‌های تولیدی</x:v>
      </x:c>
      <x:c r="F1418" s="34" t="str">
        <x:v>P2</x:v>
      </x:c>
      <x:c r="G1418" s="34" t="str">
        <x:v>پروژه/طرح</x:v>
      </x:c>
      <x:c r="H1418" s="39" t="str">
        <x:v>قضایی</x:v>
      </x:c>
      <x:c r="I1418" s="39" t="str">
        <x:v>پس از تثبیت پایه‌ها؛ پروژه‌محور</x:v>
      </x:c>
      <x:c r="J1418" s="39" t="str">
        <x:v>منتور صنعت/امکان‌سنجی</x:v>
      </x:c>
      <x:c r="K1418" s="39" t="str"/>
      <x:c r="L1418" s="39" t="str">
        <x:v>AP:P1198</x:v>
      </x:c>
      <x:c r="M1418" s="39" t="str"/>
      <x:c r="N1418" s="39" t="str">
        <x:v>نسخه پایه ۳۱۵۰</x:v>
      </x:c>
    </x:row>
    <x:row r="1419" ht="34" customHeight="1">
      <x:c r="A1419" s="34" t="str">
        <x:v>☐</x:v>
      </x:c>
      <x:c r="B1419" s="34" t="str">
        <x:v>MI-1308</x:v>
      </x:c>
      <x:c r="C1419" s="34" t="str">
        <x:v>M4 — اجرا، دانشگاه، صنعت و پروژه‌های اجتماعی</x:v>
      </x:c>
      <x:c r="D1419" s="34" t="str">
        <x:v>H12</x:v>
      </x:c>
      <x:c r="E1419" s="34" t="str">
        <x:v>صنعت، انرژی، محیط‌زیست، کشاورزی و پروژه‌های تولیدی</x:v>
      </x:c>
      <x:c r="F1419" s="34" t="str">
        <x:v>P2</x:v>
      </x:c>
      <x:c r="G1419" s="34" t="str">
        <x:v>پروژه/طرح</x:v>
      </x:c>
      <x:c r="H1419" s="39" t="str">
        <x:v>حقوقی</x:v>
      </x:c>
      <x:c r="I1419" s="39" t="str">
        <x:v>پس از تثبیت پایه‌ها؛ پروژه‌محور</x:v>
      </x:c>
      <x:c r="J1419" s="39" t="str">
        <x:v>منتور صنعت/امکان‌سنجی</x:v>
      </x:c>
      <x:c r="K1419" s="39" t="str"/>
      <x:c r="L1419" s="39" t="str">
        <x:v>AP:P1200</x:v>
      </x:c>
      <x:c r="M1419" s="39" t="str"/>
      <x:c r="N1419" s="39" t="str">
        <x:v>نسخه پایه ۳۱۵۰</x:v>
      </x:c>
    </x:row>
    <x:row r="1420" ht="34" customHeight="1">
      <x:c r="A1420" s="34" t="str">
        <x:v>☐</x:v>
      </x:c>
      <x:c r="B1420" s="34" t="str">
        <x:v>MI-1309</x:v>
      </x:c>
      <x:c r="C1420" s="34" t="str">
        <x:v>M4 — اجرا، دانشگاه، صنعت و پروژه‌های اجتماعی</x:v>
      </x:c>
      <x:c r="D1420" s="34" t="str">
        <x:v>H12</x:v>
      </x:c>
      <x:c r="E1420" s="34" t="str">
        <x:v>صنعت، انرژی، محیط‌زیست، کشاورزی و پروژه‌های تولیدی</x:v>
      </x:c>
      <x:c r="F1420" s="34" t="str">
        <x:v>P2</x:v>
      </x:c>
      <x:c r="G1420" s="34" t="str">
        <x:v>پروژه/طرح</x:v>
      </x:c>
      <x:c r="H1420" s="39" t="str">
        <x:v>محیط زیست</x:v>
      </x:c>
      <x:c r="I1420" s="39" t="str">
        <x:v>پس از تثبیت پایه‌ها؛ پروژه‌محور</x:v>
      </x:c>
      <x:c r="J1420" s="39" t="str">
        <x:v>منتور صنعت/امکان‌سنجی</x:v>
      </x:c>
      <x:c r="K1420" s="39" t="str"/>
      <x:c r="L1420" s="39" t="str">
        <x:v>AP:P1201</x:v>
      </x:c>
      <x:c r="M1420" s="39" t="str"/>
      <x:c r="N1420" s="39" t="str">
        <x:v>نسخه پایه ۳۱۵۰</x:v>
      </x:c>
    </x:row>
    <x:row r="1421" ht="34" customHeight="1">
      <x:c r="A1421" s="34" t="str">
        <x:v>☐</x:v>
      </x:c>
      <x:c r="B1421" s="34" t="str">
        <x:v>MI-1310</x:v>
      </x:c>
      <x:c r="C1421" s="34" t="str">
        <x:v>M4 — اجرا، دانشگاه، صنعت و پروژه‌های اجتماعی</x:v>
      </x:c>
      <x:c r="D1421" s="34" t="str">
        <x:v>H12</x:v>
      </x:c>
      <x:c r="E1421" s="34" t="str">
        <x:v>صنعت، انرژی، محیط‌زیست، کشاورزی و پروژه‌های تولیدی</x:v>
      </x:c>
      <x:c r="F1421" s="34" t="str">
        <x:v>P2</x:v>
      </x:c>
      <x:c r="G1421" s="34" t="str">
        <x:v>پروژه/طرح</x:v>
      </x:c>
      <x:c r="H1421" s="39" t="str">
        <x:v>عرضه و تقاضا</x:v>
      </x:c>
      <x:c r="I1421" s="39" t="str">
        <x:v>پس از تثبیت پایه‌ها؛ پروژه‌محور</x:v>
      </x:c>
      <x:c r="J1421" s="39" t="str">
        <x:v>منتور صنعت/امکان‌سنجی</x:v>
      </x:c>
      <x:c r="K1421" s="39" t="str"/>
      <x:c r="L1421" s="39" t="str">
        <x:v>AP:P1202</x:v>
      </x:c>
      <x:c r="M1421" s="39" t="str"/>
      <x:c r="N1421" s="39" t="str">
        <x:v>نسخه پایه ۳۱۵۰</x:v>
      </x:c>
    </x:row>
    <x:row r="1422" ht="34" customHeight="1">
      <x:c r="A1422" s="34" t="str">
        <x:v>☐</x:v>
      </x:c>
      <x:c r="B1422" s="34" t="str">
        <x:v>MI-1311</x:v>
      </x:c>
      <x:c r="C1422" s="34" t="str">
        <x:v>M4 — اجرا، دانشگاه، صنعت و پروژه‌های اجتماعی</x:v>
      </x:c>
      <x:c r="D1422" s="34" t="str">
        <x:v>H12</x:v>
      </x:c>
      <x:c r="E1422" s="34" t="str">
        <x:v>صنعت، انرژی، محیط‌زیست، کشاورزی و پروژه‌های تولیدی</x:v>
      </x:c>
      <x:c r="F1422" s="34" t="str">
        <x:v>P2</x:v>
      </x:c>
      <x:c r="G1422" s="34" t="str">
        <x:v>پروژه/طرح</x:v>
      </x:c>
      <x:c r="H1422" s="39" t="str">
        <x:v>عرضه متناسب با نیازسنجی و مواد مصرفی کارخانجات و اصناف و رستوران ها و فست فود ها و ... مقاصد هدف</x:v>
      </x:c>
      <x:c r="I1422" s="39" t="str">
        <x:v>پس از تثبیت پایه‌ها؛ پروژه‌محور</x:v>
      </x:c>
      <x:c r="J1422" s="39" t="str">
        <x:v>منتور صنعت/امکان‌سنجی</x:v>
      </x:c>
      <x:c r="K1422" s="39" t="str"/>
      <x:c r="L1422" s="39" t="str">
        <x:v>AP:P1203</x:v>
      </x:c>
      <x:c r="M1422" s="39" t="str"/>
      <x:c r="N1422" s="39" t="str">
        <x:v>نسخه پایه ۳۱۵۰</x:v>
      </x:c>
    </x:row>
    <x:row r="1423" ht="34" customHeight="1">
      <x:c r="A1423" s="34" t="str">
        <x:v>☐</x:v>
      </x:c>
      <x:c r="B1423" s="34" t="str">
        <x:v>MI-1312</x:v>
      </x:c>
      <x:c r="C1423" s="34" t="str">
        <x:v>M4 — اجرا، دانشگاه، صنعت و پروژه‌های اجتماعی</x:v>
      </x:c>
      <x:c r="D1423" s="34" t="str">
        <x:v>H12</x:v>
      </x:c>
      <x:c r="E1423" s="34" t="str">
        <x:v>صنعت، انرژی، محیط‌زیست، کشاورزی و پروژه‌های تولیدی</x:v>
      </x:c>
      <x:c r="F1423" s="34" t="str">
        <x:v>P2</x:v>
      </x:c>
      <x:c r="G1423" s="34" t="str">
        <x:v>پروژه/طرح</x:v>
      </x:c>
      <x:c r="H1423" s="39" t="str">
        <x:v>فرهنگ سازی عمومی</x:v>
      </x:c>
      <x:c r="I1423" s="39" t="str">
        <x:v>پس از تثبیت پایه‌ها؛ پروژه‌محور</x:v>
      </x:c>
      <x:c r="J1423" s="39" t="str">
        <x:v>منتور صنعت/امکان‌سنجی</x:v>
      </x:c>
      <x:c r="K1423" s="39" t="str"/>
      <x:c r="L1423" s="39" t="str">
        <x:v>AP:P1204</x:v>
      </x:c>
      <x:c r="M1423" s="39" t="str"/>
      <x:c r="N1423" s="39" t="str">
        <x:v>نسخه پایه ۳۱۵۰</x:v>
      </x:c>
    </x:row>
    <x:row r="1424" ht="34" customHeight="1">
      <x:c r="A1424" s="34" t="str">
        <x:v>☐</x:v>
      </x:c>
      <x:c r="B1424" s="34" t="str">
        <x:v>MI-1314</x:v>
      </x:c>
      <x:c r="C1424" s="34" t="str">
        <x:v>M4 — اجرا، دانشگاه، صنعت و پروژه‌های اجتماعی</x:v>
      </x:c>
      <x:c r="D1424" s="34" t="str">
        <x:v>H12</x:v>
      </x:c>
      <x:c r="E1424" s="34" t="str">
        <x:v>صنعت، انرژی، محیط‌زیست، کشاورزی و پروژه‌های تولیدی</x:v>
      </x:c>
      <x:c r="F1424" s="34" t="str">
        <x:v>P2</x:v>
      </x:c>
      <x:c r="G1424" s="34" t="str">
        <x:v>پروژه/طرح</x:v>
      </x:c>
      <x:c r="H1424" s="39" t="str">
        <x:v>تشویق فرزند جهت تفکیک زباله در منزل</x:v>
      </x:c>
      <x:c r="I1424" s="39" t="str">
        <x:v>پس از تثبیت پایه‌ها؛ پروژه‌محور</x:v>
      </x:c>
      <x:c r="J1424" s="39" t="str">
        <x:v>منتور صنعت/امکان‌سنجی</x:v>
      </x:c>
      <x:c r="K1424" s="39" t="str"/>
      <x:c r="L1424" s="39" t="str">
        <x:v>AP:P1206</x:v>
      </x:c>
      <x:c r="M1424" s="39" t="str"/>
      <x:c r="N1424" s="39" t="str">
        <x:v>نسخه پایه ۳۱۵۰</x:v>
      </x:c>
    </x:row>
    <x:row r="1425" ht="34" customHeight="1">
      <x:c r="A1425" s="34" t="str">
        <x:v>☐</x:v>
      </x:c>
      <x:c r="B1425" s="34" t="str">
        <x:v>MI-1315</x:v>
      </x:c>
      <x:c r="C1425" s="34" t="str">
        <x:v>M4 — اجرا، دانشگاه، صنعت و پروژه‌های اجتماعی</x:v>
      </x:c>
      <x:c r="D1425" s="34" t="str">
        <x:v>H12</x:v>
      </x:c>
      <x:c r="E1425" s="34" t="str">
        <x:v>صنعت، انرژی، محیط‌زیست، کشاورزی و پروژه‌های تولیدی</x:v>
      </x:c>
      <x:c r="F1425" s="34" t="str">
        <x:v>P2</x:v>
      </x:c>
      <x:c r="G1425" s="34" t="str">
        <x:v>پروژه/طرح</x:v>
      </x:c>
      <x:c r="H1425" s="39" t="str">
        <x:v>طرح های تشویقی جهت جمع آوری و تفکیک و تحویل زباله های بازیافتی توسط خانوار به مکان های خاص</x:v>
      </x:c>
      <x:c r="I1425" s="39" t="str">
        <x:v>پس از تثبیت پایه‌ها؛ پروژه‌محور</x:v>
      </x:c>
      <x:c r="J1425" s="39" t="str">
        <x:v>منتور صنعت/امکان‌سنجی</x:v>
      </x:c>
      <x:c r="K1425" s="39" t="str"/>
      <x:c r="L1425" s="39" t="str">
        <x:v>AP:P1207</x:v>
      </x:c>
      <x:c r="M1425" s="39" t="str"/>
      <x:c r="N1425" s="39" t="str">
        <x:v>نسخه پایه ۳۱۵۰</x:v>
      </x:c>
    </x:row>
    <x:row r="1426" ht="34" customHeight="1">
      <x:c r="A1426" s="34" t="str">
        <x:v>☐</x:v>
      </x:c>
      <x:c r="B1426" s="34" t="str">
        <x:v>MI-1316</x:v>
      </x:c>
      <x:c r="C1426" s="34" t="str">
        <x:v>M4 — اجرا، دانشگاه، صنعت و پروژه‌های اجتماعی</x:v>
      </x:c>
      <x:c r="D1426" s="34" t="str">
        <x:v>H12</x:v>
      </x:c>
      <x:c r="E1426" s="34" t="str">
        <x:v>صنعت، انرژی، محیط‌زیست، کشاورزی و پروژه‌های تولیدی</x:v>
      </x:c>
      <x:c r="F1426" s="34" t="str">
        <x:v>P2</x:v>
      </x:c>
      <x:c r="G1426" s="34" t="str">
        <x:v>پروژه/طرح</x:v>
      </x:c>
      <x:c r="H1426" s="39" t="str">
        <x:v>منابع جمع آوری</x:v>
      </x:c>
      <x:c r="I1426" s="39" t="str">
        <x:v>پس از تثبیت پایه‌ها؛ پروژه‌محور</x:v>
      </x:c>
      <x:c r="J1426" s="39" t="str">
        <x:v>منتور صنعت/امکان‌سنجی</x:v>
      </x:c>
      <x:c r="K1426" s="39" t="str"/>
      <x:c r="L1426" s="39" t="str">
        <x:v>AP:P1208</x:v>
      </x:c>
      <x:c r="M1426" s="39" t="str"/>
      <x:c r="N1426" s="39" t="str">
        <x:v>نسخه پایه ۳۱۵۰</x:v>
      </x:c>
    </x:row>
    <x:row r="1427" ht="34" customHeight="1">
      <x:c r="A1427" s="34" t="str">
        <x:v>☐</x:v>
      </x:c>
      <x:c r="B1427" s="34" t="str">
        <x:v>MI-1317</x:v>
      </x:c>
      <x:c r="C1427" s="34" t="str">
        <x:v>M4 — اجرا، دانشگاه، صنعت و پروژه‌های اجتماعی</x:v>
      </x:c>
      <x:c r="D1427" s="34" t="str">
        <x:v>H12</x:v>
      </x:c>
      <x:c r="E1427" s="34" t="str">
        <x:v>صنعت، انرژی، محیط‌زیست، کشاورزی و پروژه‌های تولیدی</x:v>
      </x:c>
      <x:c r="F1427" s="34" t="str">
        <x:v>P2</x:v>
      </x:c>
      <x:c r="G1427" s="34" t="str">
        <x:v>پروژه/طرح</x:v>
      </x:c>
      <x:c r="H1427" s="39" t="str">
        <x:v>سلف کارخانه جات</x:v>
      </x:c>
      <x:c r="I1427" s="39" t="str">
        <x:v>پس از تثبیت پایه‌ها؛ پروژه‌محور</x:v>
      </x:c>
      <x:c r="J1427" s="39" t="str">
        <x:v>منتور صنعت/امکان‌سنجی</x:v>
      </x:c>
      <x:c r="K1427" s="39" t="str"/>
      <x:c r="L1427" s="39" t="str">
        <x:v>AP:P1209</x:v>
      </x:c>
      <x:c r="M1427" s="39" t="str"/>
      <x:c r="N1427" s="39" t="str">
        <x:v>نسخه پایه ۳۱۵۰</x:v>
      </x:c>
    </x:row>
    <x:row r="1428" ht="34" customHeight="1">
      <x:c r="A1428" s="34" t="str">
        <x:v>☐</x:v>
      </x:c>
      <x:c r="B1428" s="34" t="str">
        <x:v>MI-1318</x:v>
      </x:c>
      <x:c r="C1428" s="34" t="str">
        <x:v>M4 — اجرا، دانشگاه، صنعت و پروژه‌های اجتماعی</x:v>
      </x:c>
      <x:c r="D1428" s="34" t="str">
        <x:v>H12</x:v>
      </x:c>
      <x:c r="E1428" s="34" t="str">
        <x:v>صنعت، انرژی، محیط‌زیست، کشاورزی و پروژه‌های تولیدی</x:v>
      </x:c>
      <x:c r="F1428" s="34" t="str">
        <x:v>P2</x:v>
      </x:c>
      <x:c r="G1428" s="34" t="str">
        <x:v>پروژه/طرح</x:v>
      </x:c>
      <x:c r="H1428" s="39" t="str">
        <x:v>رستوران ها</x:v>
      </x:c>
      <x:c r="I1428" s="39" t="str">
        <x:v>پس از تثبیت پایه‌ها؛ پروژه‌محور</x:v>
      </x:c>
      <x:c r="J1428" s="39" t="str">
        <x:v>منتور صنعت/امکان‌سنجی</x:v>
      </x:c>
      <x:c r="K1428" s="39" t="str"/>
      <x:c r="L1428" s="39" t="str">
        <x:v>AP:P1211</x:v>
      </x:c>
      <x:c r="M1428" s="39" t="str"/>
      <x:c r="N1428" s="39" t="str">
        <x:v>نسخه پایه ۳۱۵۰</x:v>
      </x:c>
    </x:row>
    <x:row r="1429" ht="34" customHeight="1">
      <x:c r="A1429" s="34" t="str">
        <x:v>☐</x:v>
      </x:c>
      <x:c r="B1429" s="34" t="str">
        <x:v>MI-1319</x:v>
      </x:c>
      <x:c r="C1429" s="34" t="str">
        <x:v>M4 — اجرا، دانشگاه، صنعت و پروژه‌های اجتماعی</x:v>
      </x:c>
      <x:c r="D1429" s="34" t="str">
        <x:v>H12</x:v>
      </x:c>
      <x:c r="E1429" s="34" t="str">
        <x:v>صنعت، انرژی، محیط‌زیست، کشاورزی و پروژه‌های تولیدی</x:v>
      </x:c>
      <x:c r="F1429" s="34" t="str">
        <x:v>P2</x:v>
      </x:c>
      <x:c r="G1429" s="34" t="str">
        <x:v>پروژه/طرح</x:v>
      </x:c>
      <x:c r="H1429" s="39" t="str">
        <x:v>فست فود ها</x:v>
      </x:c>
      <x:c r="I1429" s="39" t="str">
        <x:v>پس از تثبیت پایه‌ها؛ پروژه‌محور</x:v>
      </x:c>
      <x:c r="J1429" s="39" t="str">
        <x:v>منتور صنعت/امکان‌سنجی</x:v>
      </x:c>
      <x:c r="K1429" s="39" t="str"/>
      <x:c r="L1429" s="39" t="str">
        <x:v>AP:P1212</x:v>
      </x:c>
      <x:c r="M1429" s="39" t="str"/>
      <x:c r="N1429" s="39" t="str">
        <x:v>نسخه پایه ۳۱۵۰</x:v>
      </x:c>
    </x:row>
    <x:row r="1430" ht="34" customHeight="1">
      <x:c r="A1430" s="34" t="str">
        <x:v>☐</x:v>
      </x:c>
      <x:c r="B1430" s="34" t="str">
        <x:v>MI-1321</x:v>
      </x:c>
      <x:c r="C1430" s="34" t="str">
        <x:v>M4 — اجرا، دانشگاه، صنعت و پروژه‌های اجتماعی</x:v>
      </x:c>
      <x:c r="D1430" s="34" t="str">
        <x:v>H12</x:v>
      </x:c>
      <x:c r="E1430" s="34" t="str">
        <x:v>صنعت، انرژی، محیط‌زیست، کشاورزی و پروژه‌های تولیدی</x:v>
      </x:c>
      <x:c r="F1430" s="34" t="str">
        <x:v>P2</x:v>
      </x:c>
      <x:c r="G1430" s="34" t="str">
        <x:v>پروژه/طرح</x:v>
      </x:c>
      <x:c r="H1430" s="39" t="str">
        <x:v>امکان ذخیره سازی</x:v>
      </x:c>
      <x:c r="I1430" s="39" t="str">
        <x:v>پس از تثبیت پایه‌ها؛ پروژه‌محور</x:v>
      </x:c>
      <x:c r="J1430" s="39" t="str">
        <x:v>منتور صنعت/امکان‌سنجی</x:v>
      </x:c>
      <x:c r="K1430" s="39" t="str"/>
      <x:c r="L1430" s="39" t="str">
        <x:v>AP:P1214</x:v>
      </x:c>
      <x:c r="M1430" s="39" t="str"/>
      <x:c r="N1430" s="39" t="str">
        <x:v>نسخه پایه ۳۱۵۰</x:v>
      </x:c>
    </x:row>
    <x:row r="1431" ht="34" customHeight="1">
      <x:c r="A1431" s="34" t="str">
        <x:v>☐</x:v>
      </x:c>
      <x:c r="B1431" s="34" t="str">
        <x:v>MI-1322</x:v>
      </x:c>
      <x:c r="C1431" s="34" t="str">
        <x:v>M4 — اجرا، دانشگاه، صنعت و پروژه‌های اجتماعی</x:v>
      </x:c>
      <x:c r="D1431" s="34" t="str">
        <x:v>H12</x:v>
      </x:c>
      <x:c r="E1431" s="34" t="str">
        <x:v>صنعت، انرژی، محیط‌زیست، کشاورزی و پروژه‌های تولیدی</x:v>
      </x:c>
      <x:c r="F1431" s="34" t="str">
        <x:v>P2</x:v>
      </x:c>
      <x:c r="G1431" s="34" t="str">
        <x:v>پروژه/طرح</x:v>
      </x:c>
      <x:c r="H1431" s="39" t="str">
        <x:v>سوله ها</x:v>
      </x:c>
      <x:c r="I1431" s="39" t="str">
        <x:v>پس از تثبیت پایه‌ها؛ پروژه‌محور</x:v>
      </x:c>
      <x:c r="J1431" s="39" t="str">
        <x:v>منتور صنعت/امکان‌سنجی</x:v>
      </x:c>
      <x:c r="K1431" s="39" t="str"/>
      <x:c r="L1431" s="39" t="str">
        <x:v>AP:P1215</x:v>
      </x:c>
      <x:c r="M1431" s="39" t="str"/>
      <x:c r="N1431" s="39" t="str">
        <x:v>نسخه پایه ۳۱۵۰</x:v>
      </x:c>
    </x:row>
    <x:row r="1432" ht="34" customHeight="1">
      <x:c r="A1432" s="34" t="str">
        <x:v>☐</x:v>
      </x:c>
      <x:c r="B1432" s="34" t="str">
        <x:v>MI-1323</x:v>
      </x:c>
      <x:c r="C1432" s="34" t="str">
        <x:v>M4 — اجرا، دانشگاه، صنعت و پروژه‌های اجتماعی</x:v>
      </x:c>
      <x:c r="D1432" s="34" t="str">
        <x:v>H12</x:v>
      </x:c>
      <x:c r="E1432" s="34" t="str">
        <x:v>صنعت، انرژی، محیط‌زیست، کشاورزی و پروژه‌های تولیدی</x:v>
      </x:c>
      <x:c r="F1432" s="34" t="str">
        <x:v>P2</x:v>
      </x:c>
      <x:c r="G1432" s="34" t="str">
        <x:v>پروژه/طرح</x:v>
      </x:c>
      <x:c r="H1432" s="39" t="str">
        <x:v>ترابری</x:v>
      </x:c>
      <x:c r="I1432" s="39" t="str">
        <x:v>پس از تثبیت پایه‌ها؛ پروژه‌محور</x:v>
      </x:c>
      <x:c r="J1432" s="39" t="str">
        <x:v>منتور صنعت/امکان‌سنجی</x:v>
      </x:c>
      <x:c r="K1432" s="39" t="str"/>
      <x:c r="L1432" s="39" t="str">
        <x:v>AP:P1216</x:v>
      </x:c>
      <x:c r="M1432" s="39" t="str"/>
      <x:c r="N1432" s="39" t="str">
        <x:v>نسخه پایه ۳۱۵۰</x:v>
      </x:c>
    </x:row>
    <x:row r="1433" ht="34" customHeight="1">
      <x:c r="A1433" s="34" t="str">
        <x:v>☐</x:v>
      </x:c>
      <x:c r="B1433" s="34" t="str">
        <x:v>MI-1324</x:v>
      </x:c>
      <x:c r="C1433" s="34" t="str">
        <x:v>M4 — اجرا، دانشگاه، صنعت و پروژه‌های اجتماعی</x:v>
      </x:c>
      <x:c r="D1433" s="34" t="str">
        <x:v>H12</x:v>
      </x:c>
      <x:c r="E1433" s="34" t="str">
        <x:v>صنعت، انرژی، محیط‌زیست، کشاورزی و پروژه‌های تولیدی</x:v>
      </x:c>
      <x:c r="F1433" s="34" t="str">
        <x:v>P2</x:v>
      </x:c>
      <x:c r="G1433" s="34" t="str">
        <x:v>پروژه/طرح</x:v>
      </x:c>
      <x:c r="H1433" s="39" t="str">
        <x:v>وانت</x:v>
      </x:c>
      <x:c r="I1433" s="39" t="str">
        <x:v>پس از تثبیت پایه‌ها؛ پروژه‌محور</x:v>
      </x:c>
      <x:c r="J1433" s="39" t="str">
        <x:v>منتور صنعت/امکان‌سنجی</x:v>
      </x:c>
      <x:c r="K1433" s="39" t="str"/>
      <x:c r="L1433" s="39" t="str">
        <x:v>AP:P1217</x:v>
      </x:c>
      <x:c r="M1433" s="39" t="str"/>
      <x:c r="N1433" s="39" t="str">
        <x:v>نسخه پایه ۳۱۵۰</x:v>
      </x:c>
    </x:row>
    <x:row r="1434" ht="34" customHeight="1">
      <x:c r="A1434" s="34" t="str">
        <x:v>☐</x:v>
      </x:c>
      <x:c r="B1434" s="34" t="str">
        <x:v>MI-1325</x:v>
      </x:c>
      <x:c r="C1434" s="34" t="str">
        <x:v>M4 — اجرا، دانشگاه، صنعت و پروژه‌های اجتماعی</x:v>
      </x:c>
      <x:c r="D1434" s="34" t="str">
        <x:v>H12</x:v>
      </x:c>
      <x:c r="E1434" s="34" t="str">
        <x:v>صنعت، انرژی، محیط‌زیست، کشاورزی و پروژه‌های تولیدی</x:v>
      </x:c>
      <x:c r="F1434" s="34" t="str">
        <x:v>P2</x:v>
      </x:c>
      <x:c r="G1434" s="34" t="str">
        <x:v>پروژه/طرح</x:v>
      </x:c>
      <x:c r="H1434" s="39" t="str">
        <x:v>کامیونت</x:v>
      </x:c>
      <x:c r="I1434" s="39" t="str">
        <x:v>پس از تثبیت پایه‌ها؛ پروژه‌محور</x:v>
      </x:c>
      <x:c r="J1434" s="39" t="str">
        <x:v>منتور صنعت/امکان‌سنجی</x:v>
      </x:c>
      <x:c r="K1434" s="39" t="str"/>
      <x:c r="L1434" s="39" t="str">
        <x:v>AP:P1218</x:v>
      </x:c>
      <x:c r="M1434" s="39" t="str"/>
      <x:c r="N1434" s="39" t="str">
        <x:v>نسخه پایه ۳۱۵۰</x:v>
      </x:c>
    </x:row>
    <x:row r="1435" ht="34" customHeight="1">
      <x:c r="A1435" s="34" t="str">
        <x:v>☐</x:v>
      </x:c>
      <x:c r="B1435" s="34" t="str">
        <x:v>MI-1326</x:v>
      </x:c>
      <x:c r="C1435" s="34" t="str">
        <x:v>M4 — اجرا، دانشگاه، صنعت و پروژه‌های اجتماعی</x:v>
      </x:c>
      <x:c r="D1435" s="34" t="str">
        <x:v>H12</x:v>
      </x:c>
      <x:c r="E1435" s="34" t="str">
        <x:v>صنعت، انرژی، محیط‌زیست، کشاورزی و پروژه‌های تولیدی</x:v>
      </x:c>
      <x:c r="F1435" s="34" t="str">
        <x:v>P2</x:v>
      </x:c>
      <x:c r="G1435" s="34" t="str">
        <x:v>پروژه/طرح</x:v>
      </x:c>
      <x:c r="H1435" s="39" t="str">
        <x:v>تریلر</x:v>
      </x:c>
      <x:c r="I1435" s="39" t="str">
        <x:v>پس از تثبیت پایه‌ها؛ پروژه‌محور</x:v>
      </x:c>
      <x:c r="J1435" s="39" t="str">
        <x:v>منتور صنعت/امکان‌سنجی</x:v>
      </x:c>
      <x:c r="K1435" s="39" t="str"/>
      <x:c r="L1435" s="39" t="str">
        <x:v>AP:P1219</x:v>
      </x:c>
      <x:c r="M1435" s="39" t="str"/>
      <x:c r="N1435" s="39" t="str">
        <x:v>نسخه پایه ۳۱۵۰</x:v>
      </x:c>
    </x:row>
    <x:row r="1436" ht="34" customHeight="1">
      <x:c r="A1436" s="34" t="str">
        <x:v>☐</x:v>
      </x:c>
      <x:c r="B1436" s="34" t="str">
        <x:v>MI-1327</x:v>
      </x:c>
      <x:c r="C1436" s="34" t="str">
        <x:v>M4 — اجرا، دانشگاه، صنعت و پروژه‌های اجتماعی</x:v>
      </x:c>
      <x:c r="D1436" s="34" t="str">
        <x:v>H12</x:v>
      </x:c>
      <x:c r="E1436" s="34" t="str">
        <x:v>صنعت، انرژی، محیط‌زیست، کشاورزی و پروژه‌های تولیدی</x:v>
      </x:c>
      <x:c r="F1436" s="34" t="str">
        <x:v>P2</x:v>
      </x:c>
      <x:c r="G1436" s="34" t="str">
        <x:v>پروژه/طرح</x:v>
      </x:c>
      <x:c r="H1436" s="39" t="str">
        <x:v>توضیحات</x:v>
      </x:c>
      <x:c r="I1436" s="39" t="str">
        <x:v>پس از تثبیت پایه‌ها؛ پروژه‌محور</x:v>
      </x:c>
      <x:c r="J1436" s="39" t="str">
        <x:v>منتور صنعت/امکان‌سنجی</x:v>
      </x:c>
      <x:c r="K1436" s="39" t="str"/>
      <x:c r="L1436" s="39" t="str">
        <x:v>AP:P1220</x:v>
      </x:c>
      <x:c r="M1436" s="39" t="str"/>
      <x:c r="N1436" s="39" t="str">
        <x:v>نسخه پایه ۳۱۵۰</x:v>
      </x:c>
    </x:row>
    <x:row r="1437" ht="34" customHeight="1">
      <x:c r="A1437" s="34" t="str">
        <x:v>☐</x:v>
      </x:c>
      <x:c r="B1437" s="34" t="str">
        <x:v>MI-1328</x:v>
      </x:c>
      <x:c r="C1437" s="34" t="str">
        <x:v>M4 — اجرا، دانشگاه، صنعت و پروژه‌های اجتماعی</x:v>
      </x:c>
      <x:c r="D1437" s="34" t="str">
        <x:v>H12</x:v>
      </x:c>
      <x:c r="E1437" s="34" t="str">
        <x:v>صنعت، انرژی، محیط‌زیست، کشاورزی و پروژه‌های تولیدی</x:v>
      </x:c>
      <x:c r="F1437" s="34" t="str">
        <x:v>P2</x:v>
      </x:c>
      <x:c r="G1437" s="34" t="str">
        <x:v>پروژه/طرح</x:v>
      </x:c>
      <x:c r="H1437" s="39" t="str">
        <x:v>انواع برچسب ها</x:v>
      </x:c>
      <x:c r="I1437" s="39" t="str">
        <x:v>پس از تثبیت پایه‌ها؛ پروژه‌محور</x:v>
      </x:c>
      <x:c r="J1437" s="39" t="str">
        <x:v>منتور صنعت/امکان‌سنجی</x:v>
      </x:c>
      <x:c r="K1437" s="39" t="str"/>
      <x:c r="L1437" s="39" t="str">
        <x:v>AP:P1221</x:v>
      </x:c>
      <x:c r="M1437" s="39" t="str"/>
      <x:c r="N1437" s="39" t="str">
        <x:v>نسخه پایه ۳۱۵۰</x:v>
      </x:c>
    </x:row>
    <x:row r="1438" ht="34" customHeight="1">
      <x:c r="A1438" s="34" t="str">
        <x:v>☐</x:v>
      </x:c>
      <x:c r="B1438" s="34" t="str">
        <x:v>MI-1329</x:v>
      </x:c>
      <x:c r="C1438" s="34" t="str">
        <x:v>M4 — اجرا، دانشگاه، صنعت و پروژه‌های اجتماعی</x:v>
      </x:c>
      <x:c r="D1438" s="34" t="str">
        <x:v>H12</x:v>
      </x:c>
      <x:c r="E1438" s="34" t="str">
        <x:v>صنعت، انرژی، محیط‌زیست، کشاورزی و پروژه‌های تولیدی</x:v>
      </x:c>
      <x:c r="F1438" s="34" t="str">
        <x:v>P2</x:v>
      </x:c>
      <x:c r="G1438" s="34" t="str">
        <x:v>پروژه/طرح</x:v>
      </x:c>
      <x:c r="H1438" s="39" t="str">
        <x:v>محصول با محتوای بازیافتی (Recycled-Content Product)</x:v>
      </x:c>
      <x:c r="I1438" s="39" t="str">
        <x:v>پس از تثبیت پایه‌ها؛ پروژه‌محور</x:v>
      </x:c>
      <x:c r="J1438" s="39" t="str">
        <x:v>منتور صنعت/امکان‌سنجی</x:v>
      </x:c>
      <x:c r="K1438" s="39" t="str"/>
      <x:c r="L1438" s="39" t="str">
        <x:v>AP:P1222</x:v>
      </x:c>
      <x:c r="M1438" s="39" t="str"/>
      <x:c r="N1438" s="39" t="str">
        <x:v>نسخه پایه ۳۱۵۰</x:v>
      </x:c>
    </x:row>
    <x:row r="1439" ht="34" customHeight="1">
      <x:c r="A1439" s="34" t="str">
        <x:v>☐</x:v>
      </x:c>
      <x:c r="B1439" s="34" t="str">
        <x:v>MI-1330</x:v>
      </x:c>
      <x:c r="C1439" s="34" t="str">
        <x:v>M4 — اجرا، دانشگاه، صنعت و پروژه‌های اجتماعی</x:v>
      </x:c>
      <x:c r="D1439" s="34" t="str">
        <x:v>H12</x:v>
      </x:c>
      <x:c r="E1439" s="34" t="str">
        <x:v>صنعت، انرژی، محیط‌زیست، کشاورزی و پروژه‌های تولیدی</x:v>
      </x:c>
      <x:c r="F1439" s="34" t="str">
        <x:v>P2</x:v>
      </x:c>
      <x:c r="G1439" s="34" t="str">
        <x:v>پروژه/طرح</x:v>
      </x:c>
      <x:c r="H1439" s="39" t="str">
        <x:v>نصب این برچسب، بر روی یک محصول، به این معنی است که آن محصول، از مواد بازیافتی تولید شده است که یا به واسطه یک برنامه بازیافت، جمع آوری شده اند یا از زباله های بازیافت شده، در طی فرایند تولید عادی، ساخته شده اند. گاهی اوقات، در این برچسب، قید می شود که چند درصد از این کالا، از مواد بازیافتی تشکیل شده است.</x:v>
      </x:c>
      <x:c r="I1439" s="39" t="str">
        <x:v>پس از تثبیت پایه‌ها؛ پروژه‌محور</x:v>
      </x:c>
      <x:c r="J1439" s="39" t="str">
        <x:v>منتور صنعت/امکان‌سنجی</x:v>
      </x:c>
      <x:c r="K1439" s="39" t="str"/>
      <x:c r="L1439" s="39" t="str">
        <x:v>AP:P1223</x:v>
      </x:c>
      <x:c r="M1439" s="39" t="str"/>
      <x:c r="N1439" s="39" t="str">
        <x:v>نسخه پایه ۳۱۵۰</x:v>
      </x:c>
    </x:row>
    <x:row r="1440" ht="34" customHeight="1">
      <x:c r="A1440" s="34" t="str">
        <x:v>☐</x:v>
      </x:c>
      <x:c r="B1440" s="34" t="str">
        <x:v>MI-1331</x:v>
      </x:c>
      <x:c r="C1440" s="34" t="str">
        <x:v>M4 — اجرا، دانشگاه، صنعت و پروژه‌های اجتماعی</x:v>
      </x:c>
      <x:c r="D1440" s="34" t="str">
        <x:v>H12</x:v>
      </x:c>
      <x:c r="E1440" s="34" t="str">
        <x:v>صنعت، انرژی، محیط‌زیست، کشاورزی و پروژه‌های تولیدی</x:v>
      </x:c>
      <x:c r="F1440" s="34" t="str">
        <x:v>P2</x:v>
      </x:c>
      <x:c r="G1440" s="34" t="str">
        <x:v>پروژه/طرح</x:v>
      </x:c>
      <x:c r="H1440" s="39" t="str">
        <x:v>محتوای پس از مصرف (Post-Consumer Content)</x:v>
      </x:c>
      <x:c r="I1440" s="39" t="str">
        <x:v>پس از تثبیت پایه‌ها؛ پروژه‌محور</x:v>
      </x:c>
      <x:c r="J1440" s="39" t="str">
        <x:v>منتور صنعت/امکان‌سنجی</x:v>
      </x:c>
      <x:c r="K1440" s="39" t="str"/>
      <x:c r="L1440" s="39" t="str">
        <x:v>AP:P1224</x:v>
      </x:c>
      <x:c r="M1440" s="39" t="str"/>
      <x:c r="N1440" s="39" t="str">
        <x:v>نسخه پایه ۳۱۵۰</x:v>
      </x:c>
    </x:row>
    <x:row r="1441" ht="34" customHeight="1">
      <x:c r="A1441" s="34" t="str">
        <x:v>☐</x:v>
      </x:c>
      <x:c r="B1441" s="34" t="str">
        <x:v>MI-1332</x:v>
      </x:c>
      <x:c r="C1441" s="34" t="str">
        <x:v>M4 — اجرا، دانشگاه، صنعت و پروژه‌های اجتماعی</x:v>
      </x:c>
      <x:c r="D1441" s="34" t="str">
        <x:v>H12</x:v>
      </x:c>
      <x:c r="E1441" s="34" t="str">
        <x:v>صنعت، انرژی، محیط‌زیست، کشاورزی و پروژه‌های تولیدی</x:v>
      </x:c>
      <x:c r="F1441" s="34" t="str">
        <x:v>P2</x:v>
      </x:c>
      <x:c r="G1441" s="34" t="str">
        <x:v>پروژه/طرح</x:v>
      </x:c>
      <x:c r="H1441" s="39" t="str">
        <x:v>این محصولات، بسیار شبیه به محصولات با محتوای بازیافتی هستند، که در بالا به آن پرداختیم. با این تفاوت که در تولید این محصولات، فقط از موادی استقفاده می شود که از طریق برنامه های بازیافت، از مصرف کنندگان یا مشاغل، جمع آوری شده اند. این برچسب، به معنی آن است که ماده بازیافتی به کار رفته در تولید این محصول، در جریان فرایند تولید یک محصول دیگر، ایجاد نشده است، بلکه مستقیما از یک مصرف کننده نهایی، دریافت شده است. این ویژگی، برای صاحبان مشاغل مختلف، از اهمیت خاصی برخوردار است.</x:v>
      </x:c>
      <x:c r="I1441" s="39" t="str">
        <x:v>پس از تثبیت پایه‌ها؛ پروژه‌محور</x:v>
      </x:c>
      <x:c r="J1441" s="39" t="str">
        <x:v>منتور صنعت/امکان‌سنجی</x:v>
      </x:c>
      <x:c r="K1441" s="39" t="str"/>
      <x:c r="L1441" s="39" t="str">
        <x:v>AP:P1225</x:v>
      </x:c>
      <x:c r="M1441" s="39" t="str"/>
      <x:c r="N1441" s="39" t="str">
        <x:v>نسخه پایه ۳۱۵۰</x:v>
      </x:c>
    </x:row>
    <x:row r="1442" ht="34" customHeight="1">
      <x:c r="A1442" s="34" t="str">
        <x:v>☐</x:v>
      </x:c>
      <x:c r="B1442" s="34" t="str">
        <x:v>MI-1333</x:v>
      </x:c>
      <x:c r="C1442" s="34" t="str">
        <x:v>M4 — اجرا، دانشگاه، صنعت و پروژه‌های اجتماعی</x:v>
      </x:c>
      <x:c r="D1442" s="34" t="str">
        <x:v>H12</x:v>
      </x:c>
      <x:c r="E1442" s="34" t="str">
        <x:v>صنعت، انرژی، محیط‌زیست، کشاورزی و پروژه‌های تولیدی</x:v>
      </x:c>
      <x:c r="F1442" s="34" t="str">
        <x:v>P2</x:v>
      </x:c>
      <x:c r="G1442" s="34" t="str">
        <x:v>پروژه/طرح</x:v>
      </x:c>
      <x:c r="H1442" s="39" t="str">
        <x:v>محصول قابل بازیافت (Recyclable product)</x:v>
      </x:c>
      <x:c r="I1442" s="39" t="str">
        <x:v>پس از تثبیت پایه‌ها؛ پروژه‌محور</x:v>
      </x:c>
      <x:c r="J1442" s="39" t="str">
        <x:v>منتور صنعت/امکان‌سنجی</x:v>
      </x:c>
      <x:c r="K1442" s="39" t="str"/>
      <x:c r="L1442" s="39" t="str">
        <x:v>AP:P1226</x:v>
      </x:c>
      <x:c r="M1442" s="39" t="str"/>
      <x:c r="N1442" s="39" t="str">
        <x:v>نسخه پایه ۳۱۵۰</x:v>
      </x:c>
    </x:row>
    <x:row r="1443" ht="34" customHeight="1">
      <x:c r="A1443" s="34" t="str">
        <x:v>☐</x:v>
      </x:c>
      <x:c r="B1443" s="34" t="str">
        <x:v>MI-1334</x:v>
      </x:c>
      <x:c r="C1443" s="34" t="str">
        <x:v>M4 — اجرا، دانشگاه، صنعت و پروژه‌های اجتماعی</x:v>
      </x:c>
      <x:c r="D1443" s="34" t="str">
        <x:v>H12</x:v>
      </x:c>
      <x:c r="E1443" s="34" t="str">
        <x:v>صنعت، انرژی، محیط‌زیست، کشاورزی و پروژه‌های تولیدی</x:v>
      </x:c>
      <x:c r="F1443" s="34" t="str">
        <x:v>P2</x:v>
      </x:c>
      <x:c r="G1443" s="34" t="str">
        <x:v>پروژه/طرح</x:v>
      </x:c>
      <x:c r="H1443" s="39" t="str">
        <x:v>محصولاتی که پس از استفاده، قابل جمع آوری، فرآوری و تولید در قالب محصولات جدید هستند. خود این محصولات، لزوماً حاوی مواد بازیافتی نیستند.</x:v>
      </x:c>
      <x:c r="I1443" s="39" t="str">
        <x:v>پس از تثبیت پایه‌ها؛ پروژه‌محور</x:v>
      </x:c>
      <x:c r="J1443" s="39" t="str">
        <x:v>منتور صنعت/امکان‌سنجی</x:v>
      </x:c>
      <x:c r="K1443" s="39" t="str"/>
      <x:c r="L1443" s="39" t="str">
        <x:v>AP:P1227</x:v>
      </x:c>
      <x:c r="M1443" s="39" t="str"/>
      <x:c r="N1443" s="39" t="str">
        <x:v>نسخه پایه ۳۱۵۰</x:v>
      </x:c>
    </x:row>
    <x:row r="1444" ht="34" customHeight="1">
      <x:c r="A1444" s="34" t="str">
        <x:v>☐</x:v>
      </x:c>
      <x:c r="B1444" s="34" t="str">
        <x:v>MI-1335</x:v>
      </x:c>
      <x:c r="C1444" s="34" t="str">
        <x:v>M4 — اجرا، دانشگاه، صنعت و پروژه‌های اجتماعی</x:v>
      </x:c>
      <x:c r="D1444" s="34" t="str">
        <x:v>H12</x:v>
      </x:c>
      <x:c r="E1444" s="34" t="str">
        <x:v>صنعت، انرژی، محیط‌زیست، کشاورزی و پروژه‌های تولیدی</x:v>
      </x:c>
      <x:c r="F1444" s="34" t="str">
        <x:v>P2</x:v>
      </x:c>
      <x:c r="G1444" s="34" t="str">
        <x:v>پروژه/طرح</x:v>
      </x:c>
      <x:c r="H1444" s="39" t="str">
        <x:v>ایجاد شغل</x:v>
      </x:c>
      <x:c r="I1444" s="39" t="str">
        <x:v>پس از تثبیت پایه‌ها؛ پروژه‌محور</x:v>
      </x:c>
      <x:c r="J1444" s="39" t="str">
        <x:v>منتور صنعت/امکان‌سنجی</x:v>
      </x:c>
      <x:c r="K1444" s="39" t="str"/>
      <x:c r="L1444" s="39" t="str">
        <x:v>AP:P1228</x:v>
      </x:c>
      <x:c r="M1444" s="39" t="str"/>
      <x:c r="N1444" s="39" t="str">
        <x:v>نسخه پایه ۳۱۵۰</x:v>
      </x:c>
    </x:row>
    <x:row r="1445" ht="34" customHeight="1">
      <x:c r="A1445" s="34" t="str">
        <x:v>☐</x:v>
      </x:c>
      <x:c r="B1445" s="34" t="str">
        <x:v>MI-1336</x:v>
      </x:c>
      <x:c r="C1445" s="34" t="str">
        <x:v>M4 — اجرا، دانشگاه، صنعت و پروژه‌های اجتماعی</x:v>
      </x:c>
      <x:c r="D1445" s="34" t="str">
        <x:v>H12</x:v>
      </x:c>
      <x:c r="E1445" s="34" t="str">
        <x:v>صنعت، انرژی، محیط‌زیست، کشاورزی و پروژه‌های تولیدی</x:v>
      </x:c>
      <x:c r="F1445" s="34" t="str">
        <x:v>P2</x:v>
      </x:c>
      <x:c r="G1445" s="34" t="str">
        <x:v>پروژه/طرح</x:v>
      </x:c>
      <x:c r="H1445" s="39" t="str">
        <x:v>گزارشی که چند سال پیش، توسط گروه دوستداران محیط زیست در انگلیس، منتشر شد، تخمین می زند که در صورت دستیابی به هدف بازیافت 70 درصد از زباله ها، تا سال 2025، حداقل 50 هزارشغلجدید در این کشور، ایجاد خواهد شد. از این تعداد، تقریبا 30 هزار شغل جدید، مستقیما در بازیافت و 20 هزار شغل دیگر، در حلقه های بعدی این زنجیره، قرار دارند.</x:v>
      </x:c>
      <x:c r="I1445" s="39" t="str">
        <x:v>پس از تثبیت پایه‌ها؛ پروژه‌محور</x:v>
      </x:c>
      <x:c r="J1445" s="39" t="str">
        <x:v>منتور صنعت/امکان‌سنجی</x:v>
      </x:c>
      <x:c r="K1445" s="39" t="str"/>
      <x:c r="L1445" s="39" t="str">
        <x:v>AP:P1229</x:v>
      </x:c>
      <x:c r="M1445" s="39" t="str"/>
      <x:c r="N1445" s="39" t="str">
        <x:v>نسخه پایه ۳۱۵۰</x:v>
      </x:c>
    </x:row>
    <x:row r="1446" ht="34" customHeight="1">
      <x:c r="A1446" s="34" t="str">
        <x:v>☐</x:v>
      </x:c>
      <x:c r="B1446" s="34" t="str">
        <x:v>MI-1337</x:v>
      </x:c>
      <x:c r="C1446" s="34" t="str">
        <x:v>M4 — اجرا، دانشگاه، صنعت و پروژه‌های اجتماعی</x:v>
      </x:c>
      <x:c r="D1446" s="34" t="str">
        <x:v>H12</x:v>
      </x:c>
      <x:c r="E1446" s="34" t="str">
        <x:v>صنعت، انرژی، محیط‌زیست، کشاورزی و پروژه‌های تولیدی</x:v>
      </x:c>
      <x:c r="F1446" s="34" t="str">
        <x:v>P2</x:v>
      </x:c>
      <x:c r="G1446" s="34" t="str">
        <x:v>پروژه/طرح</x:v>
      </x:c>
      <x:c r="H1446" s="39" t="str">
        <x:v>برخی از محصولات رایجی که ممکن است با محتوای بازیافتی ساخته شده باشند، عبارتند از:</x:v>
      </x:c>
      <x:c r="I1446" s="39" t="str">
        <x:v>پس از تثبیت پایه‌ها؛ پروژه‌محور</x:v>
      </x:c>
      <x:c r="J1446" s="39" t="str">
        <x:v>منتور صنعت/امکان‌سنجی</x:v>
      </x:c>
      <x:c r="K1446" s="39" t="str"/>
      <x:c r="L1446" s="39" t="str">
        <x:v>AP:P1230</x:v>
      </x:c>
      <x:c r="M1446" s="39" t="str"/>
      <x:c r="N1446" s="39" t="str">
        <x:v>نسخه پایه ۳۱۵۰</x:v>
      </x:c>
    </x:row>
    <x:row r="1447" ht="34" customHeight="1">
      <x:c r="A1447" s="34" t="str">
        <x:v>☐</x:v>
      </x:c>
      <x:c r="B1447" s="34" t="str">
        <x:v>MI-1338</x:v>
      </x:c>
      <x:c r="C1447" s="34" t="str">
        <x:v>M4 — اجرا، دانشگاه، صنعت و پروژه‌های اجتماعی</x:v>
      </x:c>
      <x:c r="D1447" s="34" t="str">
        <x:v>H12</x:v>
      </x:c>
      <x:c r="E1447" s="34" t="str">
        <x:v>صنعت، انرژی، محیط‌زیست، کشاورزی و پروژه‌های تولیدی</x:v>
      </x:c>
      <x:c r="F1447" s="34" t="str">
        <x:v>P2</x:v>
      </x:c>
      <x:c r="G1447" s="34" t="str">
        <x:v>پروژه/طرح</x:v>
      </x:c>
      <x:c r="H1447" s="39" t="str">
        <x:v>سپرهای اتومبیل</x:v>
      </x:c>
      <x:c r="I1447" s="39" t="str">
        <x:v>پس از تثبیت پایه‌ها؛ پروژه‌محور</x:v>
      </x:c>
      <x:c r="J1447" s="39" t="str">
        <x:v>منتور صنعت/امکان‌سنجی</x:v>
      </x:c>
      <x:c r="K1447" s="39" t="str"/>
      <x:c r="L1447" s="39" t="str">
        <x:v>AP:P1231</x:v>
      </x:c>
      <x:c r="M1447" s="39" t="str"/>
      <x:c r="N1447" s="39" t="str">
        <x:v>نسخه پایه ۳۱۵۰</x:v>
      </x:c>
    </x:row>
    <x:row r="1448" ht="34" customHeight="1">
      <x:c r="A1448" s="34" t="str">
        <x:v>☐</x:v>
      </x:c>
      <x:c r="B1448" s="34" t="str">
        <x:v>MI-1339</x:v>
      </x:c>
      <x:c r="C1448" s="34" t="str">
        <x:v>M4 — اجرا، دانشگاه، صنعت و پروژه‌های اجتماعی</x:v>
      </x:c>
      <x:c r="D1448" s="34" t="str">
        <x:v>H12</x:v>
      </x:c>
      <x:c r="E1448" s="34" t="str">
        <x:v>صنعت، انرژی، محیط‌زیست، کشاورزی و پروژه‌های تولیدی</x:v>
      </x:c>
      <x:c r="F1448" s="34" t="str">
        <x:v>P2</x:v>
      </x:c>
      <x:c r="G1448" s="34" t="str">
        <x:v>پروژه/طرح</x:v>
      </x:c>
      <x:c r="H1448" s="39" t="str">
        <x:v>فرش</x:v>
      </x:c>
      <x:c r="I1448" s="39" t="str">
        <x:v>پس از تثبیت پایه‌ها؛ پروژه‌محور</x:v>
      </x:c>
      <x:c r="J1448" s="39" t="str">
        <x:v>منتور صنعت/امکان‌سنجی</x:v>
      </x:c>
      <x:c r="K1448" s="39" t="str"/>
      <x:c r="L1448" s="39" t="str">
        <x:v>AP:P1232</x:v>
      </x:c>
      <x:c r="M1448" s="39" t="str"/>
      <x:c r="N1448" s="39" t="str">
        <x:v>نسخه پایه ۳۱۵۰</x:v>
      </x:c>
    </x:row>
    <x:row r="1449" ht="34" customHeight="1">
      <x:c r="A1449" s="34" t="str">
        <x:v>☐</x:v>
      </x:c>
      <x:c r="B1449" s="34" t="str">
        <x:v>MI-1340</x:v>
      </x:c>
      <x:c r="C1449" s="34" t="str">
        <x:v>M4 — اجرا، دانشگاه، صنعت و پروژه‌های اجتماعی</x:v>
      </x:c>
      <x:c r="D1449" s="34" t="str">
        <x:v>H12</x:v>
      </x:c>
      <x:c r="E1449" s="34" t="str">
        <x:v>صنعت، انرژی، محیط‌زیست، کشاورزی و پروژه‌های تولیدی</x:v>
      </x:c>
      <x:c r="F1449" s="34" t="str">
        <x:v>P2</x:v>
      </x:c>
      <x:c r="G1449" s="34" t="str">
        <x:v>پروژه/طرح</x:v>
      </x:c>
      <x:c r="H1449" s="39" t="str">
        <x:v>جعبه های غلات</x:v>
      </x:c>
      <x:c r="I1449" s="39" t="str">
        <x:v>پس از تثبیت پایه‌ها؛ پروژه‌محور</x:v>
      </x:c>
      <x:c r="J1449" s="39" t="str">
        <x:v>منتور صنعت/امکان‌سنجی</x:v>
      </x:c>
      <x:c r="K1449" s="39" t="str"/>
      <x:c r="L1449" s="39" t="str">
        <x:v>AP:P1233</x:v>
      </x:c>
      <x:c r="M1449" s="39" t="str"/>
      <x:c r="N1449" s="39" t="str">
        <x:v>نسخه پایه ۳۱۵۰</x:v>
      </x:c>
    </x:row>
    <x:row r="1450" ht="34" customHeight="1">
      <x:c r="A1450" s="34" t="str">
        <x:v>☐</x:v>
      </x:c>
      <x:c r="B1450" s="34" t="str">
        <x:v>MI-1342</x:v>
      </x:c>
      <x:c r="C1450" s="34" t="str">
        <x:v>M4 — اجرا، دانشگاه، صنعت و پروژه‌های اجتماعی</x:v>
      </x:c>
      <x:c r="D1450" s="34" t="str">
        <x:v>H12</x:v>
      </x:c>
      <x:c r="E1450" s="34" t="str">
        <x:v>صنعت، انرژی، محیط‌زیست، کشاورزی و پروژه‌های تولیدی</x:v>
      </x:c>
      <x:c r="F1450" s="34" t="str">
        <x:v>P2</x:v>
      </x:c>
      <x:c r="G1450" s="34" t="str">
        <x:v>پروژه/طرح</x:v>
      </x:c>
      <x:c r="H1450" s="39" t="str">
        <x:v>کارتن تخم مرغ</x:v>
      </x:c>
      <x:c r="I1450" s="39" t="str">
        <x:v>پس از تثبیت پایه‌ها؛ پروژه‌محور</x:v>
      </x:c>
      <x:c r="J1450" s="39" t="str">
        <x:v>منتور صنعت/امکان‌سنجی</x:v>
      </x:c>
      <x:c r="K1450" s="39" t="str"/>
      <x:c r="L1450" s="39" t="str">
        <x:v>AP:P1235</x:v>
      </x:c>
      <x:c r="M1450" s="39" t="str"/>
      <x:c r="N1450" s="39" t="str">
        <x:v>نسخه پایه ۳۱۵۰</x:v>
      </x:c>
    </x:row>
    <x:row r="1451" ht="34" customHeight="1">
      <x:c r="A1451" s="34" t="str">
        <x:v>☐</x:v>
      </x:c>
      <x:c r="B1451" s="34" t="str">
        <x:v>MI-1343</x:v>
      </x:c>
      <x:c r="C1451" s="34" t="str">
        <x:v>M4 — اجرا، دانشگاه، صنعت و پروژه‌های اجتماعی</x:v>
      </x:c>
      <x:c r="D1451" s="34" t="str">
        <x:v>H12</x:v>
      </x:c>
      <x:c r="E1451" s="34" t="str">
        <x:v>صنعت، انرژی، محیط‌زیست، کشاورزی و پروژه‌های تولیدی</x:v>
      </x:c>
      <x:c r="F1451" s="34" t="str">
        <x:v>P2</x:v>
      </x:c>
      <x:c r="G1451" s="34" t="str">
        <x:v>پروژه/طرح</x:v>
      </x:c>
      <x:c r="H1451" s="39" t="str">
        <x:v>ظروف شیشه ای</x:v>
      </x:c>
      <x:c r="I1451" s="39" t="str">
        <x:v>پس از تثبیت پایه‌ها؛ پروژه‌محور</x:v>
      </x:c>
      <x:c r="J1451" s="39" t="str">
        <x:v>منتور صنعت/امکان‌سنجی</x:v>
      </x:c>
      <x:c r="K1451" s="39" t="str"/>
      <x:c r="L1451" s="39" t="str">
        <x:v>AP:P1236</x:v>
      </x:c>
      <x:c r="M1451" s="39" t="str"/>
      <x:c r="N1451" s="39" t="str">
        <x:v>نسخه پایه ۳۱۵۰</x:v>
      </x:c>
    </x:row>
    <x:row r="1452" ht="34" customHeight="1">
      <x:c r="A1452" s="34" t="str">
        <x:v>☐</x:v>
      </x:c>
      <x:c r="B1452" s="34" t="str">
        <x:v>MI-1344</x:v>
      </x:c>
      <x:c r="C1452" s="34" t="str">
        <x:v>M4 — اجرا، دانشگاه، صنعت و پروژه‌های اجتماعی</x:v>
      </x:c>
      <x:c r="D1452" s="34" t="str">
        <x:v>H12</x:v>
      </x:c>
      <x:c r="E1452" s="34" t="str">
        <x:v>صنعت، انرژی، محیط‌زیست، کشاورزی و پروژه‌های تولیدی</x:v>
      </x:c>
      <x:c r="F1452" s="34" t="str">
        <x:v>P2</x:v>
      </x:c>
      <x:c r="G1452" s="34" t="str">
        <x:v>پروژه/طرح</x:v>
      </x:c>
      <x:c r="H1452" s="39" t="str">
        <x:v>بطری های مواد شوینده لباسشویی</x:v>
      </x:c>
      <x:c r="I1452" s="39" t="str">
        <x:v>پس از تثبیت پایه‌ها؛ پروژه‌محور</x:v>
      </x:c>
      <x:c r="J1452" s="39" t="str">
        <x:v>منتور صنعت/امکان‌سنجی</x:v>
      </x:c>
      <x:c r="K1452" s="39" t="str"/>
      <x:c r="L1452" s="39" t="str">
        <x:v>AP:P1237</x:v>
      </x:c>
      <x:c r="M1452" s="39" t="str"/>
      <x:c r="N1452" s="39" t="str">
        <x:v>نسخه پایه ۳۱۵۰</x:v>
      </x:c>
    </x:row>
    <x:row r="1453" ht="34" customHeight="1">
      <x:c r="A1453" s="34" t="str">
        <x:v>☐</x:v>
      </x:c>
      <x:c r="B1453" s="34" t="str">
        <x:v>MI-1345</x:v>
      </x:c>
      <x:c r="C1453" s="34" t="str">
        <x:v>M4 — اجرا، دانشگاه، صنعت و پروژه‌های اجتماعی</x:v>
      </x:c>
      <x:c r="D1453" s="34" t="str">
        <x:v>H12</x:v>
      </x:c>
      <x:c r="E1453" s="34" t="str">
        <x:v>صنعت، انرژی، محیط‌زیست، کشاورزی و پروژه‌های تولیدی</x:v>
      </x:c>
      <x:c r="F1453" s="34" t="str">
        <x:v>P2</x:v>
      </x:c>
      <x:c r="G1453" s="34" t="str">
        <x:v>پروژه/طرح</x:v>
      </x:c>
      <x:c r="H1453" s="39" t="str">
        <x:v>روغن موتور</x:v>
      </x:c>
      <x:c r="I1453" s="39" t="str">
        <x:v>پس از تثبیت پایه‌ها؛ پروژه‌محور</x:v>
      </x:c>
      <x:c r="J1453" s="39" t="str">
        <x:v>منتور صنعت/امکان‌سنجی</x:v>
      </x:c>
      <x:c r="K1453" s="39" t="str"/>
      <x:c r="L1453" s="39" t="str">
        <x:v>AP:P1238</x:v>
      </x:c>
      <x:c r="M1453" s="39" t="str"/>
      <x:c r="N1453" s="39" t="str">
        <x:v>نسخه پایه ۳۱۵۰</x:v>
      </x:c>
    </x:row>
    <x:row r="1454" ht="34" customHeight="1">
      <x:c r="A1454" s="34" t="str">
        <x:v>☐</x:v>
      </x:c>
      <x:c r="B1454" s="34" t="str">
        <x:v>MI-1346</x:v>
      </x:c>
      <x:c r="C1454" s="34" t="str">
        <x:v>M4 — اجرا، دانشگاه، صنعت و پروژه‌های اجتماعی</x:v>
      </x:c>
      <x:c r="D1454" s="34" t="str">
        <x:v>H12</x:v>
      </x:c>
      <x:c r="E1454" s="34" t="str">
        <x:v>صنعت، انرژی، محیط‌زیست، کشاورزی و پروژه‌های تولیدی</x:v>
      </x:c>
      <x:c r="F1454" s="34" t="str">
        <x:v>P2</x:v>
      </x:c>
      <x:c r="G1454" s="34" t="str">
        <x:v>پروژه/طرح</x:v>
      </x:c>
      <x:c r="H1454" s="39" t="str">
        <x:v>ناخن های مصنوعی</x:v>
      </x:c>
      <x:c r="I1454" s="39" t="str">
        <x:v>پس از تثبیت پایه‌ها؛ پروژه‌محور</x:v>
      </x:c>
      <x:c r="J1454" s="39" t="str">
        <x:v>منتور صنعت/امکان‌سنجی</x:v>
      </x:c>
      <x:c r="K1454" s="39" t="str"/>
      <x:c r="L1454" s="39" t="str">
        <x:v>AP:P1239</x:v>
      </x:c>
      <x:c r="M1454" s="39" t="str"/>
      <x:c r="N1454" s="39" t="str">
        <x:v>نسخه پایه ۳۱۵۰</x:v>
      </x:c>
    </x:row>
    <x:row r="1455" ht="34" customHeight="1">
      <x:c r="A1455" s="34" t="str">
        <x:v>☐</x:v>
      </x:c>
      <x:c r="B1455" s="34" t="str">
        <x:v>MI-1347</x:v>
      </x:c>
      <x:c r="C1455" s="34" t="str">
        <x:v>M4 — اجرا، دانشگاه، صنعت و پروژه‌های اجتماعی</x:v>
      </x:c>
      <x:c r="D1455" s="34" t="str">
        <x:v>H12</x:v>
      </x:c>
      <x:c r="E1455" s="34" t="str">
        <x:v>صنعت، انرژی، محیط‌زیست، کشاورزی و پروژه‌های تولیدی</x:v>
      </x:c>
      <x:c r="F1455" s="34" t="str">
        <x:v>P2</x:v>
      </x:c>
      <x:c r="G1455" s="34" t="str">
        <x:v>پروژه/طرح</x:v>
      </x:c>
      <x:c r="H1455" s="39" t="str">
        <x:v>روزنامه ها</x:v>
      </x:c>
      <x:c r="I1455" s="39" t="str">
        <x:v>پس از تثبیت پایه‌ها؛ پروژه‌محور</x:v>
      </x:c>
      <x:c r="J1455" s="39" t="str">
        <x:v>منتور صنعت/امکان‌سنجی</x:v>
      </x:c>
      <x:c r="K1455" s="39" t="str"/>
      <x:c r="L1455" s="39" t="str">
        <x:v>AP:P1240</x:v>
      </x:c>
      <x:c r="M1455" s="39" t="str"/>
      <x:c r="N1455" s="39" t="str">
        <x:v>نسخه پایه ۳۱۵۰</x:v>
      </x:c>
    </x:row>
    <x:row r="1456" ht="34" customHeight="1">
      <x:c r="A1456" s="34" t="str">
        <x:v>☐</x:v>
      </x:c>
      <x:c r="B1456" s="34" t="str">
        <x:v>MI-1348</x:v>
      </x:c>
      <x:c r="C1456" s="34" t="str">
        <x:v>M4 — اجرا، دانشگاه، صنعت و پروژه‌های اجتماعی</x:v>
      </x:c>
      <x:c r="D1456" s="34" t="str">
        <x:v>H12</x:v>
      </x:c>
      <x:c r="E1456" s="34" t="str">
        <x:v>صنعت، انرژی، محیط‌زیست، کشاورزی و پروژه‌های تولیدی</x:v>
      </x:c>
      <x:c r="F1456" s="34" t="str">
        <x:v>P2</x:v>
      </x:c>
      <x:c r="G1456" s="34" t="str">
        <x:v>پروژه/طرح</x:v>
      </x:c>
      <x:c r="H1456" s="39" t="str">
        <x:v>دستمال توالت</x:v>
      </x:c>
      <x:c r="I1456" s="39" t="str">
        <x:v>پس از تثبیت پایه‌ها؛ پروژه‌محور</x:v>
      </x:c>
      <x:c r="J1456" s="39" t="str">
        <x:v>منتور صنعت/امکان‌سنجی</x:v>
      </x:c>
      <x:c r="K1456" s="39" t="str"/>
      <x:c r="L1456" s="39" t="str">
        <x:v>AP:P1241</x:v>
      </x:c>
      <x:c r="M1456" s="39" t="str"/>
      <x:c r="N1456" s="39" t="str">
        <x:v>نسخه پایه ۳۱۵۰</x:v>
      </x:c>
    </x:row>
    <x:row r="1457" ht="34" customHeight="1">
      <x:c r="A1457" s="34" t="str">
        <x:v>☐</x:v>
      </x:c>
      <x:c r="B1457" s="34" t="str">
        <x:v>MI-1349</x:v>
      </x:c>
      <x:c r="C1457" s="34" t="str">
        <x:v>M4 — اجرا، دانشگاه، صنعت و پروژه‌های اجتماعی</x:v>
      </x:c>
      <x:c r="D1457" s="34" t="str">
        <x:v>H12</x:v>
      </x:c>
      <x:c r="E1457" s="34" t="str">
        <x:v>صنعت، انرژی، محیط‌زیست، کشاورزی و پروژه‌های تولیدی</x:v>
      </x:c>
      <x:c r="F1457" s="34" t="str">
        <x:v>P2</x:v>
      </x:c>
      <x:c r="G1457" s="34" t="str">
        <x:v>پروژه/طرح</x:v>
      </x:c>
      <x:c r="H1457" s="39" t="str">
        <x:v>محصولات فولادی</x:v>
      </x:c>
      <x:c r="I1457" s="39" t="str">
        <x:v>پس از تثبیت پایه‌ها؛ پروژه‌محور</x:v>
      </x:c>
      <x:c r="J1457" s="39" t="str">
        <x:v>منتور صنعت/امکان‌سنجی</x:v>
      </x:c>
      <x:c r="K1457" s="39" t="str"/>
      <x:c r="L1457" s="39" t="str">
        <x:v>AP:P1242</x:v>
      </x:c>
      <x:c r="M1457" s="39" t="str"/>
      <x:c r="N1457" s="39" t="str">
        <x:v>نسخه پایه ۳۱۵۰</x:v>
      </x:c>
    </x:row>
    <x:row r="1458" ht="34" customHeight="1">
      <x:c r="A1458" s="34" t="str">
        <x:v>☐</x:v>
      </x:c>
      <x:c r="B1458" s="34" t="str">
        <x:v>MI-1350</x:v>
      </x:c>
      <x:c r="C1458" s="34" t="str">
        <x:v>M4 — اجرا، دانشگاه، صنعت و پروژه‌های اجتماعی</x:v>
      </x:c>
      <x:c r="D1458" s="34" t="str">
        <x:v>H12</x:v>
      </x:c>
      <x:c r="E1458" s="34" t="str">
        <x:v>صنعت، انرژی، محیط‌زیست، کشاورزی و پروژه‌های تولیدی</x:v>
      </x:c>
      <x:c r="F1458" s="34" t="str">
        <x:v>P2</x:v>
      </x:c>
      <x:c r="G1458" s="34" t="str">
        <x:v>پروژه/طرح</x:v>
      </x:c>
      <x:c r="H1458" s="39" t="str">
        <x:v>کیسه های زباله</x:v>
      </x:c>
      <x:c r="I1458" s="39" t="str">
        <x:v>پس از تثبیت پایه‌ها؛ پروژه‌محور</x:v>
      </x:c>
      <x:c r="J1458" s="39" t="str">
        <x:v>منتور صنعت/امکان‌سنجی</x:v>
      </x:c>
      <x:c r="K1458" s="39" t="str"/>
      <x:c r="L1458" s="39" t="str">
        <x:v>AP:P1243</x:v>
      </x:c>
      <x:c r="M1458" s="39" t="str"/>
      <x:c r="N1458" s="39" t="str">
        <x:v>نسخه پایه ۳۱۵۰</x:v>
      </x:c>
    </x:row>
    <x:row r="1459" ht="34" customHeight="1">
      <x:c r="A1459" s="34" t="str">
        <x:v>☐</x:v>
      </x:c>
      <x:c r="B1459" s="34" t="str">
        <x:v>MI-1351</x:v>
      </x:c>
      <x:c r="C1459" s="34" t="str">
        <x:v>M4 — اجرا، دانشگاه، صنعت و پروژه‌های اجتماعی</x:v>
      </x:c>
      <x:c r="D1459" s="34" t="str">
        <x:v>H12</x:v>
      </x:c>
      <x:c r="E1459" s="34" t="str">
        <x:v>صنعت، انرژی، محیط‌زیست، کشاورزی و پروژه‌های تولیدی</x:v>
      </x:c>
      <x:c r="F1459" s="34" t="str">
        <x:v>P2</x:v>
      </x:c>
      <x:c r="G1459" s="34" t="str">
        <x:v>پروژه/طرح</x:v>
      </x:c>
      <x:c r="H1459" s="39" t="str">
        <x:v>قوطی های آلومینیومی</x:v>
      </x:c>
      <x:c r="I1459" s="39" t="str">
        <x:v>پس از تثبیت پایه‌ها؛ پروژه‌محور</x:v>
      </x:c>
      <x:c r="J1459" s="39" t="str">
        <x:v>منتور صنعت/امکان‌سنجی</x:v>
      </x:c>
      <x:c r="K1459" s="39" t="str"/>
      <x:c r="L1459" s="39" t="str">
        <x:v>AP:P1244</x:v>
      </x:c>
      <x:c r="M1459" s="39" t="str"/>
      <x:c r="N1459" s="39" t="str">
        <x:v>نسخه پایه ۳۱۵۰</x:v>
      </x:c>
    </x:row>
    <x:row r="1460" ht="34" customHeight="1">
      <x:c r="A1460" s="34" t="str">
        <x:v>☐</x:v>
      </x:c>
      <x:c r="B1460" s="34" t="str">
        <x:v>MI-1352</x:v>
      </x:c>
      <x:c r="C1460" s="34" t="str">
        <x:v>M4 — اجرا، دانشگاه، صنعت و پروژه‌های اجتماعی</x:v>
      </x:c>
      <x:c r="D1460" s="34" t="str">
        <x:v>H12</x:v>
      </x:c>
      <x:c r="E1460" s="34" t="str">
        <x:v>صنعت، انرژی، محیط‌زیست، کشاورزی و پروژه‌های تولیدی</x:v>
      </x:c>
      <x:c r="F1460" s="34" t="str">
        <x:v>P2</x:v>
      </x:c>
      <x:c r="G1460" s="34" t="str">
        <x:v>پروژه/طرح</x:v>
      </x:c>
      <x:c r="H1460" s="39" t="str">
        <x:v>انواع روش های بازیافت</x:v>
      </x:c>
      <x:c r="I1460" s="39" t="str">
        <x:v>پس از تثبیت پایه‌ها؛ پروژه‌محور</x:v>
      </x:c>
      <x:c r="J1460" s="39" t="str">
        <x:v>منتور صنعت/امکان‌سنجی</x:v>
      </x:c>
      <x:c r="K1460" s="39" t="str"/>
      <x:c r="L1460" s="39" t="str">
        <x:v>AP:P1245</x:v>
      </x:c>
      <x:c r="M1460" s="39" t="str"/>
      <x:c r="N1460" s="39" t="str">
        <x:v>نسخه پایه ۳۱۵۰</x:v>
      </x:c>
    </x:row>
    <x:row r="1461" ht="34" customHeight="1">
      <x:c r="A1461" s="34" t="str">
        <x:v>☐</x:v>
      </x:c>
      <x:c r="B1461" s="34" t="str">
        <x:v>MI-1353</x:v>
      </x:c>
      <x:c r="C1461" s="34" t="str">
        <x:v>M4 — اجرا، دانشگاه، صنعت و پروژه‌های اجتماعی</x:v>
      </x:c>
      <x:c r="D1461" s="34" t="str">
        <x:v>H12</x:v>
      </x:c>
      <x:c r="E1461" s="34" t="str">
        <x:v>صنعت، انرژی، محیط‌زیست، کشاورزی و پروژه‌های تولیدی</x:v>
      </x:c>
      <x:c r="F1461" s="34" t="str">
        <x:v>P2</x:v>
      </x:c>
      <x:c r="G1461" s="34" t="str">
        <x:v>پروژه/طرح</x:v>
      </x:c>
      <x:c r="H1461" s="39" t="str">
        <x:v>بازیافت اول</x:v>
      </x:c>
      <x:c r="I1461" s="39" t="str">
        <x:v>پس از تثبیت پایه‌ها؛ پروژه‌محور</x:v>
      </x:c>
      <x:c r="J1461" s="39" t="str">
        <x:v>منتور صنعت/امکان‌سنجی</x:v>
      </x:c>
      <x:c r="K1461" s="39" t="str"/>
      <x:c r="L1461" s="39" t="str">
        <x:v>AP:P1246</x:v>
      </x:c>
      <x:c r="M1461" s="39" t="str"/>
      <x:c r="N1461" s="39" t="str">
        <x:v>نسخه پایه ۳۱۵۰</x:v>
      </x:c>
    </x:row>
    <x:row r="1462" ht="34" customHeight="1">
      <x:c r="A1462" s="34" t="str">
        <x:v>☐</x:v>
      </x:c>
      <x:c r="B1462" s="34" t="str">
        <x:v>MI-1354</x:v>
      </x:c>
      <x:c r="C1462" s="34" t="str">
        <x:v>M4 — اجرا، دانشگاه، صنعت و پروژه‌های اجتماعی</x:v>
      </x:c>
      <x:c r="D1462" s="34" t="str">
        <x:v>H12</x:v>
      </x:c>
      <x:c r="E1462" s="34" t="str">
        <x:v>صنعت، انرژی، محیط‌زیست، کشاورزی و پروژه‌های تولیدی</x:v>
      </x:c>
      <x:c r="F1462" s="34" t="str">
        <x:v>P2</x:v>
      </x:c>
      <x:c r="G1462" s="34" t="str">
        <x:v>پروژه/طرح</x:v>
      </x:c>
      <x:c r="H1462" s="39" t="str">
        <x:v>بازیافت اولیه (Primary Recycling) که به آن «بازیافت حلقه بسته» (Closed Loop Recycling) نیز گفته می شود، فرایند تبدیل یک چیز به موارد مشابه بیشتر است. به عنوان مثال، با این روش، کاغذ به کاغذ یا قوطی های نوشابه به قوطی های نوشیدنی دیگر، تبدیل می شوند.</x:v>
      </x:c>
      <x:c r="I1462" s="39" t="str">
        <x:v>پس از تثبیت پایه‌ها؛ پروژه‌محور</x:v>
      </x:c>
      <x:c r="J1462" s="39" t="str">
        <x:v>منتور صنعت/امکان‌سنجی</x:v>
      </x:c>
      <x:c r="K1462" s="39" t="str"/>
      <x:c r="L1462" s="39" t="str">
        <x:v>AP:P1247</x:v>
      </x:c>
      <x:c r="M1462" s="39" t="str"/>
      <x:c r="N1462" s="39" t="str">
        <x:v>نسخه پایه ۳۱۵۰</x:v>
      </x:c>
    </x:row>
    <x:row r="1463" ht="34" customHeight="1">
      <x:c r="A1463" s="34" t="str">
        <x:v>☐</x:v>
      </x:c>
      <x:c r="B1463" s="34" t="str">
        <x:v>MI-1355</x:v>
      </x:c>
      <x:c r="C1463" s="34" t="str">
        <x:v>M4 — اجرا، دانشگاه، صنعت و پروژه‌های اجتماعی</x:v>
      </x:c>
      <x:c r="D1463" s="34" t="str">
        <x:v>H12</x:v>
      </x:c>
      <x:c r="E1463" s="34" t="str">
        <x:v>صنعت، انرژی، محیط‌زیست، کشاورزی و پروژه‌های تولیدی</x:v>
      </x:c>
      <x:c r="F1463" s="34" t="str">
        <x:v>P2</x:v>
      </x:c>
      <x:c r="G1463" s="34" t="str">
        <x:v>پروژه/طرح</x:v>
      </x:c>
      <x:c r="H1463" s="39" t="str">
        <x:v>بازیافت دوم</x:v>
      </x:c>
      <x:c r="I1463" s="39" t="str">
        <x:v>پس از تثبیت پایه‌ها؛ پروژه‌محور</x:v>
      </x:c>
      <x:c r="J1463" s="39" t="str">
        <x:v>منتور صنعت/امکان‌سنجی</x:v>
      </x:c>
      <x:c r="K1463" s="39" t="str"/>
      <x:c r="L1463" s="39" t="str">
        <x:v>AP:P1248</x:v>
      </x:c>
      <x:c r="M1463" s="39" t="str"/>
      <x:c r="N1463" s="39" t="str">
        <x:v>نسخه پایه ۳۱۵۰</x:v>
      </x:c>
    </x:row>
    <x:row r="1464" ht="34" customHeight="1">
      <x:c r="A1464" s="34" t="str">
        <x:v>☐</x:v>
      </x:c>
      <x:c r="B1464" s="34" t="str">
        <x:v>MI-1356</x:v>
      </x:c>
      <x:c r="C1464" s="34" t="str">
        <x:v>M4 — اجرا، دانشگاه، صنعت و پروژه‌های اجتماعی</x:v>
      </x:c>
      <x:c r="D1464" s="34" t="str">
        <x:v>H12</x:v>
      </x:c>
      <x:c r="E1464" s="34" t="str">
        <x:v>صنعت، انرژی، محیط‌زیست، کشاورزی و پروژه‌های تولیدی</x:v>
      </x:c>
      <x:c r="F1464" s="34" t="str">
        <x:v>P2</x:v>
      </x:c>
      <x:c r="G1464" s="34" t="str">
        <x:v>پروژه/طرح</x:v>
      </x:c>
      <x:c r="H1464" s="39" t="str">
        <x:v>در بازیافت دوم (Secondary Recycling)، یک کالا به مواد سازنده خود، تجزیه می شود و سپس، این ماده اولیه، بدون نیاز به تغییرات شیمیایی، دوباره در ساخت فراورده هایی از همان جنس، به کار می رود.</x:v>
      </x:c>
      <x:c r="I1464" s="39" t="str">
        <x:v>پس از تثبیت پایه‌ها؛ پروژه‌محور</x:v>
      </x:c>
      <x:c r="J1464" s="39" t="str">
        <x:v>منتور صنعت/امکان‌سنجی</x:v>
      </x:c>
      <x:c r="K1464" s="39" t="str"/>
      <x:c r="L1464" s="39" t="str">
        <x:v>AP:P1249</x:v>
      </x:c>
      <x:c r="M1464" s="39" t="str"/>
      <x:c r="N1464" s="39" t="str">
        <x:v>نسخه پایه ۳۱۵۰</x:v>
      </x:c>
    </x:row>
    <x:row r="1465" ht="34" customHeight="1">
      <x:c r="A1465" s="34" t="str">
        <x:v>☐</x:v>
      </x:c>
      <x:c r="B1465" s="34" t="str">
        <x:v>MI-1357</x:v>
      </x:c>
      <x:c r="C1465" s="34" t="str">
        <x:v>M4 — اجرا، دانشگاه، صنعت و پروژه‌های اجتماعی</x:v>
      </x:c>
      <x:c r="D1465" s="34" t="str">
        <x:v>H12</x:v>
      </x:c>
      <x:c r="E1465" s="34" t="str">
        <x:v>صنعت، انرژی، محیط‌زیست، کشاورزی و پروژه‌های تولیدی</x:v>
      </x:c>
      <x:c r="F1465" s="34" t="str">
        <x:v>P2</x:v>
      </x:c>
      <x:c r="G1465" s="34" t="str">
        <x:v>پروژه/طرح</x:v>
      </x:c>
      <x:c r="H1465" s="39" t="str">
        <x:v>بازیافت تایر، یک نمونه کلاسیک از فرایند بازیافت ثانویه است که طی آن، تایر به لاستیک تبدیل می شود و مجددا در تولید محصولات لاستیکی دیگر، به کار گرفته می رود. از آنجا که در این روش، هیچ تغییر شیمیایی دیگری برای به کارگیری محصول بازیافتی، مورد نیاز نیست، ماشین آلات مناسب می توانند لاستیک استفاده شده را مستقیماً به مواد قابل استفاده تبدیل کنند.</x:v>
      </x:c>
      <x:c r="I1465" s="39" t="str">
        <x:v>پس از تثبیت پایه‌ها؛ پروژه‌محور</x:v>
      </x:c>
      <x:c r="J1465" s="39" t="str">
        <x:v>منتور صنعت/امکان‌سنجی</x:v>
      </x:c>
      <x:c r="K1465" s="39" t="str"/>
      <x:c r="L1465" s="39" t="str">
        <x:v>AP:P1250</x:v>
      </x:c>
      <x:c r="M1465" s="39" t="str"/>
      <x:c r="N1465" s="39" t="str">
        <x:v>نسخه پایه ۳۱۵۰</x:v>
      </x:c>
    </x:row>
    <x:row r="1466" ht="34" customHeight="1">
      <x:c r="A1466" s="34" t="str">
        <x:v>☐</x:v>
      </x:c>
      <x:c r="B1466" s="34" t="str">
        <x:v>MI-1358</x:v>
      </x:c>
      <x:c r="C1466" s="34" t="str">
        <x:v>M4 — اجرا، دانشگاه، صنعت و پروژه‌های اجتماعی</x:v>
      </x:c>
      <x:c r="D1466" s="34" t="str">
        <x:v>H12</x:v>
      </x:c>
      <x:c r="E1466" s="34" t="str">
        <x:v>صنعت، انرژی، محیط‌زیست، کشاورزی و پروژه‌های تولیدی</x:v>
      </x:c>
      <x:c r="F1466" s="34" t="str">
        <x:v>P2</x:v>
      </x:c>
      <x:c r="G1466" s="34" t="str">
        <x:v>پروژه/طرح</x:v>
      </x:c>
      <x:c r="H1466" s="39" t="str">
        <x:v>بازیافت سوم</x:v>
      </x:c>
      <x:c r="I1466" s="39" t="str">
        <x:v>پس از تثبیت پایه‌ها؛ پروژه‌محور</x:v>
      </x:c>
      <x:c r="J1466" s="39" t="str">
        <x:v>منتور صنعت/امکان‌سنجی</x:v>
      </x:c>
      <x:c r="K1466" s="39" t="str"/>
      <x:c r="L1466" s="39" t="str">
        <x:v>AP:P1251</x:v>
      </x:c>
      <x:c r="M1466" s="39" t="str"/>
      <x:c r="N1466" s="39" t="str">
        <x:v>نسخه پایه ۳۱۵۰</x:v>
      </x:c>
    </x:row>
    <x:row r="1467" ht="34" customHeight="1">
      <x:c r="A1467" s="34" t="str">
        <x:v>☐</x:v>
      </x:c>
      <x:c r="B1467" s="34" t="str">
        <x:v>MI-1359</x:v>
      </x:c>
      <x:c r="C1467" s="34" t="str">
        <x:v>M4 — اجرا، دانشگاه، صنعت و پروژه‌های اجتماعی</x:v>
      </x:c>
      <x:c r="D1467" s="34" t="str">
        <x:v>H12</x:v>
      </x:c>
      <x:c r="E1467" s="34" t="str">
        <x:v>صنعت، انرژی، محیط‌زیست، کشاورزی و پروژه‌های تولیدی</x:v>
      </x:c>
      <x:c r="F1467" s="34" t="str">
        <x:v>P2</x:v>
      </x:c>
      <x:c r="G1467" s="34" t="str">
        <x:v>پروژه/طرح</x:v>
      </x:c>
      <x:c r="H1467" s="39" t="str">
        <x:v>بازیافت سوم (Tertiary) که به آن بازیافت شیمیایی نیز گفته می شود، به کمک تجزیه شیمیایی مواد، آن ها را به فراورده های بسیار متفاوتی تبدیل می کند. بازیافت پلاستیک ها و تبدیل آن ها به سوخت و الوار، نمونه هایی از بازیافت نوع سوم به شمار می روند.</x:v>
      </x:c>
      <x:c r="I1467" s="39" t="str">
        <x:v>پس از تثبیت پایه‌ها؛ پروژه‌محور</x:v>
      </x:c>
      <x:c r="J1467" s="39" t="str">
        <x:v>منتور صنعت/امکان‌سنجی</x:v>
      </x:c>
      <x:c r="K1467" s="39" t="str"/>
      <x:c r="L1467" s="39" t="str">
        <x:v>AP:P1252</x:v>
      </x:c>
      <x:c r="M1467" s="39" t="str"/>
      <x:c r="N1467" s="39" t="str">
        <x:v>نسخه پایه ۳۱۵۰</x:v>
      </x:c>
    </x:row>
    <x:row r="1468" ht="34" customHeight="1">
      <x:c r="A1468" s="34" t="str">
        <x:v>☐</x:v>
      </x:c>
      <x:c r="B1468" s="34" t="str">
        <x:v>MI-1360</x:v>
      </x:c>
      <x:c r="C1468" s="34" t="str">
        <x:v>M4 — اجرا، دانشگاه، صنعت و پروژه‌های اجتماعی</x:v>
      </x:c>
      <x:c r="D1468" s="34" t="str">
        <x:v>H12</x:v>
      </x:c>
      <x:c r="E1468" s="34" t="str">
        <x:v>صنعت، انرژی، محیط‌زیست، کشاورزی و پروژه‌های تولیدی</x:v>
      </x:c>
      <x:c r="F1468" s="34" t="str">
        <x:v>P2</x:v>
      </x:c>
      <x:c r="G1468" s="34" t="str">
        <x:v>پروژه/طرح</x:v>
      </x:c>
      <x:c r="H1468" s="39" t="str">
        <x:v>بازیافت سوم، نیازمند فرایندهای شیمیایی پیچیده است که با پویایی های خاصی همراه هستند. کنترل این فرایندها در حوزه مهندسی شیمی، از اهمیت فراوانی برخوردار است.</x:v>
      </x:c>
      <x:c r="I1468" s="39" t="str">
        <x:v>پس از تثبیت پایه‌ها؛ پروژه‌محور</x:v>
      </x:c>
      <x:c r="J1468" s="39" t="str">
        <x:v>منتور صنعت/امکان‌سنجی</x:v>
      </x:c>
      <x:c r="K1468" s="39" t="str"/>
      <x:c r="L1468" s="39" t="str">
        <x:v>AP:P1253</x:v>
      </x:c>
      <x:c r="M1468" s="39" t="str"/>
      <x:c r="N1468" s="39" t="str">
        <x:v>نسخه پایه ۳۱۵۰</x:v>
      </x:c>
    </x:row>
    <x:row r="1469" ht="34" customHeight="1">
      <x:c r="A1469" s="34" t="str">
        <x:v>☐</x:v>
      </x:c>
      <x:c r="B1469" s="34" t="str">
        <x:v>MI-1361</x:v>
      </x:c>
      <x:c r="C1469" s="34" t="str">
        <x:v>M4 — اجرا، دانشگاه، صنعت و پروژه‌های اجتماعی</x:v>
      </x:c>
      <x:c r="D1469" s="34" t="str">
        <x:v>H12</x:v>
      </x:c>
      <x:c r="E1469" s="34" t="str">
        <x:v>صنعت، انرژی، محیط‌زیست، کشاورزی و پروژه‌های تولیدی</x:v>
      </x:c>
      <x:c r="F1469" s="34" t="str">
        <x:v>P2</x:v>
      </x:c>
      <x:c r="G1469" s="34" t="str">
        <x:v>پروژه/طرح</x:v>
      </x:c>
      <x:c r="H1469" s="39" t="str">
        <x:v>کد بازیافت پلاستیک ها</x:v>
      </x:c>
      <x:c r="I1469" s="39" t="str">
        <x:v>پس از تثبیت پایه‌ها؛ پروژه‌محور</x:v>
      </x:c>
      <x:c r="J1469" s="39" t="str">
        <x:v>منتور صنعت/امکان‌سنجی</x:v>
      </x:c>
      <x:c r="K1469" s="39" t="str"/>
      <x:c r="L1469" s="39" t="str">
        <x:v>AP:P1254</x:v>
      </x:c>
      <x:c r="M1469" s="39" t="str"/>
      <x:c r="N1469" s="39" t="str">
        <x:v>نسخه پایه ۳۱۵۰</x:v>
      </x:c>
    </x:row>
    <x:row r="1470" ht="34" customHeight="1">
      <x:c r="A1470" s="34" t="str">
        <x:v>☐</x:v>
      </x:c>
      <x:c r="B1470" s="34" t="str">
        <x:v>MI-1362</x:v>
      </x:c>
      <x:c r="C1470" s="34" t="str">
        <x:v>M4 — اجرا، دانشگاه، صنعت و پروژه‌های اجتماعی</x:v>
      </x:c>
      <x:c r="D1470" s="34" t="str">
        <x:v>H12</x:v>
      </x:c>
      <x:c r="E1470" s="34" t="str">
        <x:v>صنعت، انرژی، محیط‌زیست، کشاورزی و پروژه‌های تولیدی</x:v>
      </x:c>
      <x:c r="F1470" s="34" t="str">
        <x:v>P2</x:v>
      </x:c>
      <x:c r="G1470" s="34" t="str">
        <x:v>پروژه/طرح</x:v>
      </x:c>
      <x:c r="H1470" s="39" t="str">
        <x:v>در ادامه، هفت کد مورد قبول در طبقه بندی استاندارد پلاستیک، به همراه اطلاعات بازیافت و استفاده مجدد برای هر یک از آن ها آورده شده است.</x:v>
      </x:c>
      <x:c r="I1470" s="39" t="str">
        <x:v>پس از تثبیت پایه‌ها؛ پروژه‌محور</x:v>
      </x:c>
      <x:c r="J1470" s="39" t="str">
        <x:v>منتور صنعت/امکان‌سنجی</x:v>
      </x:c>
      <x:c r="K1470" s="39" t="str"/>
      <x:c r="L1470" s="39" t="str">
        <x:v>AP:P1255</x:v>
      </x:c>
      <x:c r="M1470" s="39" t="str"/>
      <x:c r="N1470" s="39" t="str">
        <x:v>نسخه پایه ۳۱۵۰</x:v>
      </x:c>
    </x:row>
    <x:row r="1471" ht="34" customHeight="1">
      <x:c r="A1471" s="34" t="str">
        <x:v>☐</x:v>
      </x:c>
      <x:c r="B1471" s="34" t="str">
        <x:v>MI-1363</x:v>
      </x:c>
      <x:c r="C1471" s="34" t="str">
        <x:v>M4 — اجرا، دانشگاه، صنعت و پروژه‌های اجتماعی</x:v>
      </x:c>
      <x:c r="D1471" s="34" t="str">
        <x:v>H12</x:v>
      </x:c>
      <x:c r="E1471" s="34" t="str">
        <x:v>صنعت، انرژی، محیط‌زیست، کشاورزی و پروژه‌های تولیدی</x:v>
      </x:c>
      <x:c r="F1471" s="34" t="str">
        <x:v>P2</x:v>
      </x:c>
      <x:c r="G1471" s="34" t="str">
        <x:v>پروژه/طرح</x:v>
      </x:c>
      <x:c r="H1471" s="39" t="str">
        <x:v>شماره 1: PET, PETE (پلی اتیلن ترفتالات)</x:v>
      </x:c>
      <x:c r="I1471" s="39" t="str">
        <x:v>پس از تثبیت پایه‌ها؛ پروژه‌محور</x:v>
      </x:c>
      <x:c r="J1471" s="39" t="str">
        <x:v>منتور صنعت/امکان‌سنجی</x:v>
      </x:c>
      <x:c r="K1471" s="39" t="str"/>
      <x:c r="L1471" s="39" t="str">
        <x:v>AP:P1257</x:v>
      </x:c>
      <x:c r="M1471" s="39" t="str"/>
      <x:c r="N1471" s="39" t="str">
        <x:v>نسخه پایه ۳۱۵۰</x:v>
      </x:c>
    </x:row>
    <x:row r="1472" ht="34" customHeight="1">
      <x:c r="A1472" s="34" t="str">
        <x:v>☐</x:v>
      </x:c>
      <x:c r="B1472" s="34" t="str">
        <x:v>MI-1364</x:v>
      </x:c>
      <x:c r="C1472" s="34" t="str">
        <x:v>M4 — اجرا، دانشگاه، صنعت و پروژه‌های اجتماعی</x:v>
      </x:c>
      <x:c r="D1472" s="34" t="str">
        <x:v>H12</x:v>
      </x:c>
      <x:c r="E1472" s="34" t="str">
        <x:v>صنعت، انرژی، محیط‌زیست، کشاورزی و پروژه‌های تولیدی</x:v>
      </x:c>
      <x:c r="F1472" s="34" t="str">
        <x:v>P2</x:v>
      </x:c>
      <x:c r="G1472" s="34" t="str">
        <x:v>پروژه/طرح</x:v>
      </x:c>
      <x:c r="H1472" s="39" t="str">
        <x:v>پلاستیک PET (مخفف Polyethylene Terephthalate) یکی از رایج ترین پلاستیک ها در محصولات مصرفی است و در بیشتر بطری های آب و نوشابه ها و همچنین برخی از بسته بندی ها وجود دارد. این ترکیب، برای کاربرد های یک بار مصرف در نظر گرفته شده است. استفاده چندباره از آن، خطر نشت ماده پلاستیکی در محلول و همچنین، رشد باکتری را افزایش می دهد. ضد عفونی کردن پلاستیک PET دشوار است و تمیز کردن مناسب آن، به مواد شیمیایی مضر احتیاج دارد. پلی اتیلن ترفتالات ممکن است موجب نشت مواد سرطان زا به محلول درون آن شود. بنابراین از نگهداری مایعات، به مدت طولانی، در بطری های آب معدنی، جدا خودداری کنید.</x:v>
      </x:c>
      <x:c r="I1472" s="39" t="str">
        <x:v>پس از تثبیت پایه‌ها؛ پروژه‌محور</x:v>
      </x:c>
      <x:c r="J1472" s="39" t="str">
        <x:v>منتور صنعت/امکان‌سنجی</x:v>
      </x:c>
      <x:c r="K1472" s="39" t="str"/>
      <x:c r="L1472" s="39" t="str">
        <x:v>AP:P1258</x:v>
      </x:c>
      <x:c r="M1472" s="39" t="str"/>
      <x:c r="N1472" s="39" t="str">
        <x:v>نسخه پایه ۳۱۵۰</x:v>
      </x:c>
    </x:row>
    <x:row r="1473" ht="34" customHeight="1">
      <x:c r="A1473" s="34" t="str">
        <x:v>☐</x:v>
      </x:c>
      <x:c r="B1473" s="34" t="str">
        <x:v>MI-1365</x:v>
      </x:c>
      <x:c r="C1473" s="34" t="str">
        <x:v>M4 — اجرا، دانشگاه، صنعت و پروژه‌های اجتماعی</x:v>
      </x:c>
      <x:c r="D1473" s="34" t="str">
        <x:v>H12</x:v>
      </x:c>
      <x:c r="E1473" s="34" t="str">
        <x:v>صنعت، انرژی، محیط‌زیست، کشاورزی و پروژه‌های تولیدی</x:v>
      </x:c>
      <x:c r="F1473" s="34" t="str">
        <x:v>P2</x:v>
      </x:c>
      <x:c r="G1473" s="34" t="str">
        <x:v>پروژه/طرح</x:v>
      </x:c>
      <x:c r="H1473" s="39" t="str">
        <x:v>پلاستیک PET قابل بازیافت است و امروزه حدود 25 درصد از بطری های PET در ایالات متحده بازیافت می شوند. این بطری های پلاستیکی، در اثر فشار، تکه تکه و خرد شده و سپس به صورت پوسته های فلسی کوچک، برای تولید بطری های جدید PET مورد فراوری قرار می گیرند یا به رشته های پلی استر تبدیل می شوند. این رشته های بازیافتی، برای ساخت منسوجاتی مانند انواع لباس، فرش، آستر بالش، جلیقه نجات و محصولات دیگر، استفاده می شود.</x:v>
      </x:c>
      <x:c r="I1473" s="39" t="str">
        <x:v>پس از تثبیت پایه‌ها؛ پروژه‌محور</x:v>
      </x:c>
      <x:c r="J1473" s="39" t="str">
        <x:v>منتور صنعت/امکان‌سنجی</x:v>
      </x:c>
      <x:c r="K1473" s="39" t="str"/>
      <x:c r="L1473" s="39" t="str">
        <x:v>AP:P1259</x:v>
      </x:c>
      <x:c r="M1473" s="39" t="str"/>
      <x:c r="N1473" s="39" t="str">
        <x:v>نسخه پایه ۳۱۵۰</x:v>
      </x:c>
    </x:row>
    <x:row r="1474" ht="34" customHeight="1">
      <x:c r="A1474" s="34" t="str">
        <x:v>☐</x:v>
      </x:c>
      <x:c r="B1474" s="34" t="str">
        <x:v>MI-1366</x:v>
      </x:c>
      <x:c r="C1474" s="34" t="str">
        <x:v>M4 — اجرا، دانشگاه، صنعت و پروژه‌های اجتماعی</x:v>
      </x:c>
      <x:c r="D1474" s="34" t="str">
        <x:v>H12</x:v>
      </x:c>
      <x:c r="E1474" s="34" t="str">
        <x:v>صنعت، انرژی، محیط‌زیست، کشاورزی و پروژه‌های تولیدی</x:v>
      </x:c>
      <x:c r="F1474" s="34" t="str">
        <x:v>P2</x:v>
      </x:c>
      <x:c r="G1474" s="34" t="str">
        <x:v>پروژه/طرح</x:v>
      </x:c>
      <x:c r="H1474" s="39" t="str">
        <x:v>محصولات ساخته شده از پلاستیک شماره 1 (PET) باید بازیافت شوند و در تولید محصولی به کار گرفته شوند که با ماد خوراکی د رارتباط نیست. استفاده دوباره از آن ها برای نگهداری مایعات خوراکی، بسیار خطرناک است.</x:v>
      </x:c>
      <x:c r="I1474" s="39" t="str">
        <x:v>پس از تثبیت پایه‌ها؛ پروژه‌محور</x:v>
      </x:c>
      <x:c r="J1474" s="39" t="str">
        <x:v>منتور صنعت/امکان‌سنجی</x:v>
      </x:c>
      <x:c r="K1474" s="39" t="str"/>
      <x:c r="L1474" s="39" t="str">
        <x:v>AP:P1260</x:v>
      </x:c>
      <x:c r="M1474" s="39" t="str"/>
      <x:c r="N1474" s="39" t="str">
        <x:v>نسخه پایه ۳۱۵۰</x:v>
      </x:c>
    </x:row>
    <x:row r="1475" ht="34" customHeight="1">
      <x:c r="A1475" s="34" t="str">
        <x:v>☐</x:v>
      </x:c>
      <x:c r="B1475" s="34" t="str">
        <x:v>MI-1367</x:v>
      </x:c>
      <x:c r="C1475" s="34" t="str">
        <x:v>M4 — اجرا، دانشگاه، صنعت و پروژه‌های اجتماعی</x:v>
      </x:c>
      <x:c r="D1475" s="34" t="str">
        <x:v>H12</x:v>
      </x:c>
      <x:c r="E1475" s="34" t="str">
        <x:v>صنعت، انرژی، محیط‌زیست، کشاورزی و پروژه‌های تولیدی</x:v>
      </x:c>
      <x:c r="F1475" s="34" t="str">
        <x:v>P2</x:v>
      </x:c>
      <x:c r="G1475" s="34" t="str">
        <x:v>پروژه/طرح</x:v>
      </x:c>
      <x:c r="H1475" s="39" t="str">
        <x:v>برای استفاده کمتر از پلاستیک PET، پیشنهاد می کنیم برای نگهداری نوشیدنی ها، از ظروف قابل استفاده مجدد، استفاده کنید و برای بسته بندی مواد غذایی، به جای پلاستیک های یک بار مصرف، گزینه های قابل استفاده مجدد را در نظر بگیرید.</x:v>
      </x:c>
      <x:c r="I1475" s="39" t="str">
        <x:v>پس از تثبیت پایه‌ها؛ پروژه‌محور</x:v>
      </x:c>
      <x:c r="J1475" s="39" t="str">
        <x:v>منتور صنعت/امکان‌سنجی</x:v>
      </x:c>
      <x:c r="K1475" s="39" t="str"/>
      <x:c r="L1475" s="39" t="str">
        <x:v>AP:P1261</x:v>
      </x:c>
      <x:c r="M1475" s="39" t="str"/>
      <x:c r="N1475" s="39" t="str">
        <x:v>نسخه پایه ۳۱۵۰</x:v>
      </x:c>
    </x:row>
    <x:row r="1476" ht="34" customHeight="1">
      <x:c r="A1476" s="34" t="str">
        <x:v>☐</x:v>
      </x:c>
      <x:c r="B1476" s="34" t="str">
        <x:v>MI-1368</x:v>
      </x:c>
      <x:c r="C1476" s="34" t="str">
        <x:v>M4 — اجرا، دانشگاه، صنعت و پروژه‌های اجتماعی</x:v>
      </x:c>
      <x:c r="D1476" s="34" t="str">
        <x:v>H12</x:v>
      </x:c>
      <x:c r="E1476" s="34" t="str">
        <x:v>صنعت، انرژی، محیط‌زیست، کشاورزی و پروژه‌های تولیدی</x:v>
      </x:c>
      <x:c r="F1476" s="34" t="str">
        <x:v>P2</x:v>
      </x:c>
      <x:c r="G1476" s="34" t="str">
        <x:v>پروژه/طرح</x:v>
      </x:c>
      <x:c r="H1476" s="39" t="str">
        <x:v>شماره 2: HDPE (پلی اتیلن با چگالی بالا)</x:v>
      </x:c>
      <x:c r="I1476" s="39" t="str">
        <x:v>پس از تثبیت پایه‌ها؛ پروژه‌محور</x:v>
      </x:c>
      <x:c r="J1476" s="39" t="str">
        <x:v>منتور صنعت/امکان‌سنجی</x:v>
      </x:c>
      <x:c r="K1476" s="39" t="str"/>
      <x:c r="L1476" s="39" t="str">
        <x:v>AP:P1262</x:v>
      </x:c>
      <x:c r="M1476" s="39" t="str"/>
      <x:c r="N1476" s="39" t="str">
        <x:v>نسخه پایه ۳۱۵۰</x:v>
      </x:c>
    </x:row>
    <x:row r="1477" ht="34" customHeight="1">
      <x:c r="A1477" s="34" t="str">
        <x:v>☐</x:v>
      </x:c>
      <x:c r="B1477" s="34" t="str">
        <x:v>MI-1369</x:v>
      </x:c>
      <x:c r="C1477" s="34" t="str">
        <x:v>M4 — اجرا، دانشگاه، صنعت و پروژه‌های اجتماعی</x:v>
      </x:c>
      <x:c r="D1477" s="34" t="str">
        <x:v>H12</x:v>
      </x:c>
      <x:c r="E1477" s="34" t="str">
        <x:v>صنعت، انرژی، محیط‌زیست، کشاورزی و پروژه‌های تولیدی</x:v>
      </x:c>
      <x:c r="F1477" s="34" t="str">
        <x:v>P2</x:v>
      </x:c>
      <x:c r="G1477" s="34" t="str">
        <x:v>پروژه/طرح</x:v>
      </x:c>
      <x:c r="H1477" s="39" t="str">
        <x:v>پلاستیک HDPE (مخفف High-Density Polyethylene) پلاستیک سفتی است که برای ساخت بطری های شیر، بطری های مواد شوینده و بطری های روغن، اسباب بازی ها و برخی کیسه های پلاستیکی استفاده می شود. HDPE رایج ترین پلاستیک بازیافتی است و یکی از ایمن ترین پلاستیک ها به حساب می آید. بازیافت پلاستیک HDPE برای استفاده ثانویه، یک فرایند نسبتاً ساده و مقرون به صرفه است.</x:v>
      </x:c>
      <x:c r="I1477" s="39" t="str">
        <x:v>پس از تثبیت پایه‌ها؛ پروژه‌محور</x:v>
      </x:c>
      <x:c r="J1477" s="39" t="str">
        <x:v>منتور صنعت/امکان‌سنجی</x:v>
      </x:c>
      <x:c r="K1477" s="39" t="str"/>
      <x:c r="L1477" s="39" t="str">
        <x:v>AP:P1263</x:v>
      </x:c>
      <x:c r="M1477" s="39" t="str"/>
      <x:c r="N1477" s="39" t="str">
        <x:v>نسخه پایه ۳۱۵۰</x:v>
      </x:c>
    </x:row>
    <x:row r="1478" ht="34" customHeight="1">
      <x:c r="A1478" s="34" t="str">
        <x:v>☐</x:v>
      </x:c>
      <x:c r="B1478" s="34" t="str">
        <x:v>MI-1370</x:v>
      </x:c>
      <x:c r="C1478" s="34" t="str">
        <x:v>M4 — اجرا، دانشگاه، صنعت و پروژه‌های اجتماعی</x:v>
      </x:c>
      <x:c r="D1478" s="34" t="str">
        <x:v>H12</x:v>
      </x:c>
      <x:c r="E1478" s="34" t="str">
        <x:v>صنعت، انرژی، محیط‌زیست، کشاورزی و پروژه‌های تولیدی</x:v>
      </x:c>
      <x:c r="F1478" s="34" t="str">
        <x:v>P2</x:v>
      </x:c>
      <x:c r="G1478" s="34" t="str">
        <x:v>پروژه/طرح</x:v>
      </x:c>
      <x:c r="H1478" s="39" t="str">
        <x:v>پلاستیک HDPE یک پوشش بسیار سخت برای محتویات درونی خود، ایجاد می کند و در اثر قرار گرفتن در معرض نور خورشید یا گرما یا یخ زدگی، تجزیه نمی شود. به همین دلیل، از HDPE برای ساخت میزهای پیک نیک، الوارهای پلاستیکی، سطل های زباله، نیمکت های پارک، کف پوش کابین کامیون ها و سایر محصولاتی که به دوام و مقاومت در برابر هوا نیاز دارند، استفاده می شود. این ترکیب، همچنین یک ماده محبوب برای تولید حفاظ های پلاستیکی مورد استفاده در باغچه ها به شمار می رود.</x:v>
      </x:c>
      <x:c r="I1478" s="39" t="str">
        <x:v>پس از تثبیت پایه‌ها؛ پروژه‌محور</x:v>
      </x:c>
      <x:c r="J1478" s="39" t="str">
        <x:v>منتور صنعت/امکان‌سنجی</x:v>
      </x:c>
      <x:c r="K1478" s="39" t="str"/>
      <x:c r="L1478" s="39" t="str">
        <x:v>AP:P1264</x:v>
      </x:c>
      <x:c r="M1478" s="39" t="str"/>
      <x:c r="N1478" s="39" t="str">
        <x:v>نسخه پایه ۳۱۵۰</x:v>
      </x:c>
    </x:row>
    <x:row r="1479" ht="34" customHeight="1">
      <x:c r="A1479" s="34" t="str">
        <x:v>☐</x:v>
      </x:c>
      <x:c r="B1479" s="34" t="str">
        <x:v>MI-1371</x:v>
      </x:c>
      <x:c r="C1479" s="34" t="str">
        <x:v>M4 — اجرا، دانشگاه، صنعت و پروژه‌های اجتماعی</x:v>
      </x:c>
      <x:c r="D1479" s="34" t="str">
        <x:v>H12</x:v>
      </x:c>
      <x:c r="E1479" s="34" t="str">
        <x:v>صنعت، انرژی، محیط‌زیست، کشاورزی و پروژه‌های تولیدی</x:v>
      </x:c>
      <x:c r="F1479" s="34" t="str">
        <x:v>P2</x:v>
      </x:c>
      <x:c r="G1479" s="34" t="str">
        <x:v>پروژه/طرح</x:v>
      </x:c>
      <x:c r="H1479" s="39" t="str">
        <x:v>محصولات ساخته شده از HDPE قابل استفاده مجدد و قابل بازیافت هستند.</x:v>
      </x:c>
      <x:c r="I1479" s="39" t="str">
        <x:v>پس از تثبیت پایه‌ها؛ پروژه‌محور</x:v>
      </x:c>
      <x:c r="J1479" s="39" t="str">
        <x:v>منتور صنعت/امکان‌سنجی</x:v>
      </x:c>
      <x:c r="K1479" s="39" t="str"/>
      <x:c r="L1479" s="39" t="str">
        <x:v>AP:P1265</x:v>
      </x:c>
      <x:c r="M1479" s="39" t="str"/>
      <x:c r="N1479" s="39" t="str">
        <x:v>نسخه پایه ۳۱۵۰</x:v>
      </x:c>
    </x:row>
    <x:row r="1480" ht="34" customHeight="1">
      <x:c r="A1480" s="34" t="str">
        <x:v>☐</x:v>
      </x:c>
      <x:c r="B1480" s="34" t="str">
        <x:v>MI-1372</x:v>
      </x:c>
      <x:c r="C1480" s="34" t="str">
        <x:v>M4 — اجرا، دانشگاه، صنعت و پروژه‌های اجتماعی</x:v>
      </x:c>
      <x:c r="D1480" s="34" t="str">
        <x:v>H12</x:v>
      </x:c>
      <x:c r="E1480" s="34" t="str">
        <x:v>صنعت، انرژی، محیط‌زیست، کشاورزی و پروژه‌های تولیدی</x:v>
      </x:c>
      <x:c r="F1480" s="34" t="str">
        <x:v>P2</x:v>
      </x:c>
      <x:c r="G1480" s="34" t="str">
        <x:v>پروژه/طرح</x:v>
      </x:c>
      <x:c r="H1480" s="39" t="str">
        <x:v>با این حال، از آنجا که هر ساله، تنها حدود 30 تا 35 درصد از پلاستیک HDPE مورد استفاده در آمریکا بازیافت می شود، می بایست، مصرف این نوع پلاستیک، تا حد ممکن، کاهش یابد. برای این کار، توصیه می کنیم مصرف این کیسه ها را با انواع گزینه های قابل استفاده مجدد، جایگزین کنید.</x:v>
      </x:c>
      <x:c r="I1480" s="39" t="str">
        <x:v>پس از تثبیت پایه‌ها؛ پروژه‌محور</x:v>
      </x:c>
      <x:c r="J1480" s="39" t="str">
        <x:v>منتور صنعت/امکان‌سنجی</x:v>
      </x:c>
      <x:c r="K1480" s="39" t="str"/>
      <x:c r="L1480" s="39" t="str">
        <x:v>AP:P1266</x:v>
      </x:c>
      <x:c r="M1480" s="39" t="str"/>
      <x:c r="N1480" s="39" t="str">
        <x:v>نسخه پایه ۳۱۵۰</x:v>
      </x:c>
    </x:row>
    <x:row r="1481" ht="34" customHeight="1">
      <x:c r="A1481" s="34" t="str">
        <x:v>☐</x:v>
      </x:c>
      <x:c r="B1481" s="34" t="str">
        <x:v>MI-1373</x:v>
      </x:c>
      <x:c r="C1481" s="34" t="str">
        <x:v>M4 — اجرا، دانشگاه، صنعت و پروژه‌های اجتماعی</x:v>
      </x:c>
      <x:c r="D1481" s="34" t="str">
        <x:v>H12</x:v>
      </x:c>
      <x:c r="E1481" s="34" t="str">
        <x:v>صنعت، انرژی، محیط‌زیست، کشاورزی و پروژه‌های تولیدی</x:v>
      </x:c>
      <x:c r="F1481" s="34" t="str">
        <x:v>P2</x:v>
      </x:c>
      <x:c r="G1481" s="34" t="str">
        <x:v>پروژه/طرح</x:v>
      </x:c>
      <x:c r="H1481" s="39" t="str">
        <x:v>شماره 3: PVC (پلی وینیل کلراید)</x:v>
      </x:c>
      <x:c r="I1481" s="39" t="str">
        <x:v>پس از تثبیت پایه‌ها؛ پروژه‌محور</x:v>
      </x:c>
      <x:c r="J1481" s="39" t="str">
        <x:v>منتور صنعت/امکان‌سنجی</x:v>
      </x:c>
      <x:c r="K1481" s="39" t="str"/>
      <x:c r="L1481" s="39" t="str">
        <x:v>AP:P1267</x:v>
      </x:c>
      <x:c r="M1481" s="39" t="str"/>
      <x:c r="N1481" s="39" t="str">
        <x:v>نسخه پایه ۳۱۵۰</x:v>
      </x:c>
    </x:row>
    <x:row r="1482" ht="34" customHeight="1">
      <x:c r="A1482" s="34" t="str">
        <x:v>☐</x:v>
      </x:c>
      <x:c r="B1482" s="34" t="str">
        <x:v>MI-1374</x:v>
      </x:c>
      <x:c r="C1482" s="34" t="str">
        <x:v>M4 — اجرا، دانشگاه، صنعت و پروژه‌های اجتماعی</x:v>
      </x:c>
      <x:c r="D1482" s="34" t="str">
        <x:v>H12</x:v>
      </x:c>
      <x:c r="E1482" s="34" t="str">
        <x:v>صنعت، انرژی، محیط‌زیست، کشاورزی و پروژه‌های تولیدی</x:v>
      </x:c>
      <x:c r="F1482" s="34" t="str">
        <x:v>P2</x:v>
      </x:c>
      <x:c r="G1482" s="34" t="str">
        <x:v>پروژه/طرح</x:v>
      </x:c>
      <x:c r="H1482" s="39" t="str">
        <x:v>پلاستیک PVC (مخفف Polyvinyl Chloride) پلاستیکی نرم و انعطاف پذیر است که برای ساختن بسته بندی مواد غذایی پلاستیکی شفاف، بطری های روغن غذا، دندان گیر کودکان، اسباب بازی های کودکان و حیوانات خانگی و انواع بسته بندی های حباب دار برای طیف گسترده ای از محصولات مصرفی، استفاده می شود. این ماده، همچنین کاربرد گسترده ای به عنوان پوشش کابل های رایانه، لوله های پلاستیکی و قطعات لوله کشی دارد. از آنجا که پی وی سی نسبتاً در برابر نور خورشید و هوا نفوذ ناپذیر است، از آن برای ساخت قاب پنجره، شلنگ باغ، گلدان، حفاظ های اطراف باغچه و توری های پلاستیکی استفاده می شود.</x:v>
      </x:c>
      <x:c r="I1482" s="39" t="str">
        <x:v>پس از تثبیت پایه‌ها؛ پروژه‌محور</x:v>
      </x:c>
      <x:c r="J1482" s="39" t="str">
        <x:v>منتور صنعت/امکان‌سنجی</x:v>
      </x:c>
      <x:c r="K1482" s="39" t="str"/>
      <x:c r="L1482" s="39" t="str">
        <x:v>AP:P1268</x:v>
      </x:c>
      <x:c r="M1482" s="39" t="str"/>
      <x:c r="N1482" s="39" t="str">
        <x:v>نسخه پایه ۳۱۵۰</x:v>
      </x:c>
    </x:row>
    <x:row r="1483" ht="34" customHeight="1">
      <x:c r="A1483" s="34" t="str">
        <x:v>☐</x:v>
      </x:c>
      <x:c r="B1483" s="34" t="str">
        <x:v>MI-1375</x:v>
      </x:c>
      <x:c r="C1483" s="34" t="str">
        <x:v>M4 — اجرا، دانشگاه، صنعت و پروژه‌های اجتماعی</x:v>
      </x:c>
      <x:c r="D1483" s="34" t="str">
        <x:v>H12</x:v>
      </x:c>
      <x:c r="E1483" s="34" t="str">
        <x:v>صنعت، انرژی، محیط‌زیست، کشاورزی و پروژه‌های تولیدی</x:v>
      </x:c>
      <x:c r="F1483" s="34" t="str">
        <x:v>P2</x:v>
      </x:c>
      <x:c r="G1483" s="34" t="str">
        <x:v>پروژه/طرح</x:v>
      </x:c>
      <x:c r="H1483" s="39" t="str">
        <x:v>پی وی سی «پلاستیک سمی» (Poison Plastic) لقب گرفته است زیرا حاوی سموم زیادی است که در کل طول عمر این ترکیب، از آن نشت می کنند. تقریباً برای ساخت تمام محصولات حاوی PVC باید از ماده جدید استفاده شود. کمتر از یک درصد ماده PVC بازیافت می شود.</x:v>
      </x:c>
      <x:c r="I1483" s="39" t="str">
        <x:v>پس از تثبیت پایه‌ها؛ پروژه‌محور</x:v>
      </x:c>
      <x:c r="J1483" s="39" t="str">
        <x:v>منتور صنعت/امکان‌سنجی</x:v>
      </x:c>
      <x:c r="K1483" s="39" t="str"/>
      <x:c r="L1483" s="39" t="str">
        <x:v>AP:P1269</x:v>
      </x:c>
      <x:c r="M1483" s="39" t="str"/>
      <x:c r="N1483" s="39" t="str">
        <x:v>نسخه پایه ۳۱۵۰</x:v>
      </x:c>
    </x:row>
    <x:row r="1484" ht="34" customHeight="1">
      <x:c r="A1484" s="34" t="str">
        <x:v>☐</x:v>
      </x:c>
      <x:c r="B1484" s="34" t="str">
        <x:v>MI-1376</x:v>
      </x:c>
      <x:c r="C1484" s="34" t="str">
        <x:v>M4 — اجرا، دانشگاه، صنعت و پروژه‌های اجتماعی</x:v>
      </x:c>
      <x:c r="D1484" s="34" t="str">
        <x:v>H12</x:v>
      </x:c>
      <x:c r="E1484" s="34" t="str">
        <x:v>صنعت، انرژی، محیط‌زیست، کشاورزی و پروژه‌های تولیدی</x:v>
      </x:c>
      <x:c r="F1484" s="34" t="str">
        <x:v>P2</x:v>
      </x:c>
      <x:c r="G1484" s="34" t="str">
        <x:v>پروژه/طرح</x:v>
      </x:c>
      <x:c r="H1484" s="39" t="str">
        <x:v>محصولات ساخته شده با استفاده از پلاستیک PVC عملا قابل بازیافت نیستند. اما برخی از آن ها قابل استفاده مجدد هستند. نکته بسیار مهم اینجاست که در صورت استفاده مجدد از محصولات PVC، نباید به هیچ عنوان، آن ها را در تولید اقلام مرتبط با مصارف خوراکی یا وسایل کودکان، به کار گرفت.</x:v>
      </x:c>
      <x:c r="I1484" s="39" t="str">
        <x:v>پس از تثبیت پایه‌ها؛ پروژه‌محور</x:v>
      </x:c>
      <x:c r="J1484" s="39" t="str">
        <x:v>منتور صنعت/امکان‌سنجی</x:v>
      </x:c>
      <x:c r="K1484" s="39" t="str"/>
      <x:c r="L1484" s="39" t="str">
        <x:v>AP:P1270</x:v>
      </x:c>
      <x:c r="M1484" s="39" t="str"/>
      <x:c r="N1484" s="39" t="str">
        <x:v>نسخه پایه ۳۱۵۰</x:v>
      </x:c>
    </x:row>
    <x:row r="1485" ht="34" customHeight="1">
      <x:c r="A1485" s="34" t="str">
        <x:v>☐</x:v>
      </x:c>
      <x:c r="B1485" s="34" t="str">
        <x:v>MI-1377</x:v>
      </x:c>
      <x:c r="C1485" s="34" t="str">
        <x:v>M4 — اجرا، دانشگاه، صنعت و پروژه‌های اجتماعی</x:v>
      </x:c>
      <x:c r="D1485" s="34" t="str">
        <x:v>H12</x:v>
      </x:c>
      <x:c r="E1485" s="34" t="str">
        <x:v>صنعت، انرژی، محیط‌زیست، کشاورزی و پروژه‌های تولیدی</x:v>
      </x:c>
      <x:c r="F1485" s="34" t="str">
        <x:v>P2</x:v>
      </x:c>
      <x:c r="G1485" s="34" t="str">
        <x:v>پروژه/طرح</x:v>
      </x:c>
      <x:c r="H1485" s="39" t="str">
        <x:v>برای جلوگیری از تولید بی رویه فراورده های پلاستیک پی وی سی، به جای روکش های پلاستیکی غذا از بسته بندی های تجزیه پذیر استفاده کنید و اسباب بازی های پلاستیکی را با عروسک های پارچه ای و نمدی جایگزین کنید.</x:v>
      </x:c>
      <x:c r="I1485" s="39" t="str">
        <x:v>پس از تثبیت پایه‌ها؛ پروژه‌محور</x:v>
      </x:c>
      <x:c r="J1485" s="39" t="str">
        <x:v>منتور صنعت/امکان‌سنجی</x:v>
      </x:c>
      <x:c r="K1485" s="39" t="str"/>
      <x:c r="L1485" s="39" t="str">
        <x:v>AP:P1271</x:v>
      </x:c>
      <x:c r="M1485" s="39" t="str"/>
      <x:c r="N1485" s="39" t="str">
        <x:v>نسخه پایه ۳۱۵۰</x:v>
      </x:c>
    </x:row>
    <x:row r="1486" ht="34" customHeight="1">
      <x:c r="A1486" s="34" t="str">
        <x:v>☐</x:v>
      </x:c>
      <x:c r="B1486" s="34" t="str">
        <x:v>MI-1378</x:v>
      </x:c>
      <x:c r="C1486" s="34" t="str">
        <x:v>M4 — اجرا، دانشگاه، صنعت و پروژه‌های اجتماعی</x:v>
      </x:c>
      <x:c r="D1486" s="34" t="str">
        <x:v>H12</x:v>
      </x:c>
      <x:c r="E1486" s="34" t="str">
        <x:v>صنعت، انرژی، محیط‌زیست، کشاورزی و پروژه‌های تولیدی</x:v>
      </x:c>
      <x:c r="F1486" s="34" t="str">
        <x:v>P2</x:v>
      </x:c>
      <x:c r="G1486" s="34" t="str">
        <x:v>پروژه/طرح</x:v>
      </x:c>
      <x:c r="H1486" s="39" t="str">
        <x:v>شماره 4: LDPE (پلی اتیلن با چگالی کم)</x:v>
      </x:c>
      <x:c r="I1486" s="39" t="str">
        <x:v>پس از تثبیت پایه‌ها؛ پروژه‌محور</x:v>
      </x:c>
      <x:c r="J1486" s="39" t="str">
        <x:v>منتور صنعت/امکان‌سنجی</x:v>
      </x:c>
      <x:c r="K1486" s="39" t="str"/>
      <x:c r="L1486" s="39" t="str">
        <x:v>AP:P1272</x:v>
      </x:c>
      <x:c r="M1486" s="39" t="str"/>
      <x:c r="N1486" s="39" t="str">
        <x:v>نسخه پایه ۳۱۵۰</x:v>
      </x:c>
    </x:row>
    <x:row r="1487" ht="34" customHeight="1">
      <x:c r="A1487" s="34" t="str">
        <x:v>☐</x:v>
      </x:c>
      <x:c r="B1487" s="34" t="str">
        <x:v>MI-1379</x:v>
      </x:c>
      <x:c r="C1487" s="34" t="str">
        <x:v>M4 — اجرا، دانشگاه، صنعت و پروژه‌های اجتماعی</x:v>
      </x:c>
      <x:c r="D1487" s="34" t="str">
        <x:v>H12</x:v>
      </x:c>
      <x:c r="E1487" s="34" t="str">
        <x:v>صنعت، انرژی، محیط‌زیست، کشاورزی و پروژه‌های تولیدی</x:v>
      </x:c>
      <x:c r="F1487" s="34" t="str">
        <x:v>P2</x:v>
      </x:c>
      <x:c r="G1487" s="34" t="str">
        <x:v>پروژه/طرح</x:v>
      </x:c>
      <x:c r="H1487" s="39" t="str">
        <x:v>پلاستیک LDPE (مخفف Low-Density Polyethylene) اغلب در پوشش های فشرده ساز (Shrink Wrap)، کاورهای لباس های تمیز در خشکشویی ها، قوطی سس های فشاری و انواعی از کیسه های پلاستیکی مورد استفاده برای بسته بندی نان، به کار گرفته می شود. کیسه های پلاستیکی مواد غذایی که امروزه در بیشتر فروشگاه ها وجود دارند، از پلاستیک LDPE ساخته شده اند. در ساخت برخی از لباس ها و مبلمان نیز از این نوع پلاستیک استفاده می شود.</x:v>
      </x:c>
      <x:c r="I1487" s="39" t="str">
        <x:v>پس از تثبیت پایه‌ها؛ پروژه‌محور</x:v>
      </x:c>
      <x:c r="J1487" s="39" t="str">
        <x:v>منتور صنعت/امکان‌سنجی</x:v>
      </x:c>
      <x:c r="K1487" s="39" t="str"/>
      <x:c r="L1487" s="39" t="str">
        <x:v>AP:P1273</x:v>
      </x:c>
      <x:c r="M1487" s="39" t="str"/>
      <x:c r="N1487" s="39" t="str">
        <x:v>نسخه پایه ۳۱۵۰</x:v>
      </x:c>
    </x:row>
    <x:row r="1488" ht="34" customHeight="1">
      <x:c r="A1488" s="34" t="str">
        <x:v>☐</x:v>
      </x:c>
      <x:c r="B1488" s="34" t="str">
        <x:v>MI-1380</x:v>
      </x:c>
      <x:c r="C1488" s="34" t="str">
        <x:v>M4 — اجرا، دانشگاه، صنعت و پروژه‌های اجتماعی</x:v>
      </x:c>
      <x:c r="D1488" s="34" t="str">
        <x:v>H12</x:v>
      </x:c>
      <x:c r="E1488" s="34" t="str">
        <x:v>صنعت، انرژی، محیط‌زیست، کشاورزی و پروژه‌های تولیدی</x:v>
      </x:c>
      <x:c r="F1488" s="34" t="str">
        <x:v>P2</x:v>
      </x:c>
      <x:c r="G1488" s="34" t="str">
        <x:v>پروژه/طرح</x:v>
      </x:c>
      <x:c r="H1488" s="39" t="str">
        <x:v>LDPE نسبت به پلاستیک های دیگر، کمتر سمی و برای استفاده، نسبتاً بی خطر در نظر گرفته می شود. با این وجود همیشه بازیافت نمی شود، اگرچه امروزه، در بسیاری از جوامع، با آماده سازی بسترهای مناسب بازیافت، این روند، در حال تغییر است. در صورت بازیافت، پلاستیک LDPE برای ساخت الوارهای پلاستیکی، تخته های محوطه سازی، کیسه زباله و کف پوش استفاده می شود. محصولات ساخته شده با استفاده ازLDPEبازیافتی، به سختی محصولات ساخته شده با استفاده از پلاستیکHDPEبازیافتی نیستند.</x:v>
      </x:c>
      <x:c r="I1488" s="39" t="str">
        <x:v>پس از تثبیت پایه‌ها؛ پروژه‌محور</x:v>
      </x:c>
      <x:c r="J1488" s="39" t="str">
        <x:v>منتور صنعت/امکان‌سنجی</x:v>
      </x:c>
      <x:c r="K1488" s="39" t="str"/>
      <x:c r="L1488" s="39" t="str">
        <x:v>AP:P1274</x:v>
      </x:c>
      <x:c r="M1488" s="39" t="str"/>
      <x:c r="N1488" s="39" t="str">
        <x:v>نسخه پایه ۳۱۵۰</x:v>
      </x:c>
    </x:row>
    <x:row r="1489" ht="34" customHeight="1">
      <x:c r="A1489" s="34" t="str">
        <x:v>☐</x:v>
      </x:c>
      <x:c r="B1489" s="34" t="str">
        <x:v>MI-1381</x:v>
      </x:c>
      <x:c r="C1489" s="34" t="str">
        <x:v>M4 — اجرا، دانشگاه، صنعت و پروژه‌های اجتماعی</x:v>
      </x:c>
      <x:c r="D1489" s="34" t="str">
        <x:v>H12</x:v>
      </x:c>
      <x:c r="E1489" s="34" t="str">
        <x:v>صنعت، انرژی، محیط‌زیست، کشاورزی و پروژه‌های تولیدی</x:v>
      </x:c>
      <x:c r="F1489" s="34" t="str">
        <x:v>P2</x:v>
      </x:c>
      <x:c r="G1489" s="34" t="str">
        <x:v>پروژه/طرح</x:v>
      </x:c>
      <x:c r="H1489" s="39" t="str">
        <x:v>محصولات ساخته شده با استفاده از پلاستیک LDPE قابل استفاده مجدد هستند، اما همیشه قابل بازیافت نیستند. برای کاهش میزان LDPE مصرفی، سعی کنید کیسه های پلاستیکی مواد غذایی و نان را با کیسه های پارچه ای، جایگزین کنید. همچنین می توانید کیسه های پلاستیکی ساندویچ را جایگزین سیلیکون پلاتین کنید که از نظر گرما ایمن نیستند.</x:v>
      </x:c>
      <x:c r="I1489" s="39" t="str">
        <x:v>پس از تثبیت پایه‌ها؛ پروژه‌محور</x:v>
      </x:c>
      <x:c r="J1489" s="39" t="str">
        <x:v>منتور صنعت/امکان‌سنجی</x:v>
      </x:c>
      <x:c r="K1489" s="39" t="str"/>
      <x:c r="L1489" s="39" t="str">
        <x:v>AP:P1275</x:v>
      </x:c>
      <x:c r="M1489" s="39" t="str"/>
      <x:c r="N1489" s="39" t="str">
        <x:v>نسخه پایه ۳۱۵۰</x:v>
      </x:c>
    </x:row>
    <x:row r="1490" ht="34" customHeight="1">
      <x:c r="A1490" s="34" t="str">
        <x:v>☐</x:v>
      </x:c>
      <x:c r="B1490" s="34" t="str">
        <x:v>MI-1382</x:v>
      </x:c>
      <x:c r="C1490" s="34" t="str">
        <x:v>M4 — اجرا، دانشگاه، صنعت و پروژه‌های اجتماعی</x:v>
      </x:c>
      <x:c r="D1490" s="34" t="str">
        <x:v>H12</x:v>
      </x:c>
      <x:c r="E1490" s="34" t="str">
        <x:v>صنعت، انرژی، محیط‌زیست، کشاورزی و پروژه‌های تولیدی</x:v>
      </x:c>
      <x:c r="F1490" s="34" t="str">
        <x:v>P2</x:v>
      </x:c>
      <x:c r="G1490" s="34" t="str">
        <x:v>پروژه/طرح</x:v>
      </x:c>
      <x:c r="H1490" s="39" t="str">
        <x:v>شماره 5: PP (پلی پروپیلن)</x:v>
      </x:c>
      <x:c r="I1490" s="39" t="str">
        <x:v>پس از تثبیت پایه‌ها؛ پروژه‌محور</x:v>
      </x:c>
      <x:c r="J1490" s="39" t="str">
        <x:v>منتور صنعت/امکان‌سنجی</x:v>
      </x:c>
      <x:c r="K1490" s="39" t="str"/>
      <x:c r="L1490" s="39" t="str">
        <x:v>AP:P1276</x:v>
      </x:c>
      <x:c r="M1490" s="39" t="str"/>
      <x:c r="N1490" s="39" t="str">
        <x:v>نسخه پایه ۳۱۵۰</x:v>
      </x:c>
    </x:row>
    <x:row r="1491" ht="34" customHeight="1">
      <x:c r="A1491" s="34" t="str">
        <x:v>☐</x:v>
      </x:c>
      <x:c r="B1491" s="34" t="str">
        <x:v>MI-1383</x:v>
      </x:c>
      <x:c r="C1491" s="34" t="str">
        <x:v>M4 — اجرا، دانشگاه، صنعت و پروژه‌های اجتماعی</x:v>
      </x:c>
      <x:c r="D1491" s="34" t="str">
        <x:v>H12</x:v>
      </x:c>
      <x:c r="E1491" s="34" t="str">
        <x:v>صنعت، انرژی، محیط‌زیست، کشاورزی و پروژه‌های تولیدی</x:v>
      </x:c>
      <x:c r="F1491" s="34" t="str">
        <x:v>P2</x:v>
      </x:c>
      <x:c r="G1491" s="34" t="str">
        <x:v>پروژه/طرح</x:v>
      </x:c>
      <x:c r="H1491" s="39" t="str">
        <x:v>پلاستیک پلی پروپیلن (Polypropylene) سخت و سبک است و دارای کیفیت عالی در برابر حرارت است. به عنوان سدی در برابر رطوبت، چربی و مواد شیمیایی عمل می کند. بخش نازک و داخلی کیسه های بسته بندی غلات، از جنس پلی پروپیلن است. این پوشش، غلات را خشک و تازه نگه می دارد. PP همچنین معمولاً در تولید پوشک های یکبار مصرف، سطل ، درپوش بطری های پلاستیکی، سطل های ماست، بسته بندی های کره، کیسه های چیپس سیب زمینی، انواع نی، نوار بسته بندی و طناب استفاده می شود.</x:v>
      </x:c>
      <x:c r="I1491" s="39" t="str">
        <x:v>پس از تثبیت پایه‌ها؛ پروژه‌محور</x:v>
      </x:c>
      <x:c r="J1491" s="39" t="str">
        <x:v>منتور صنعت/امکان‌سنجی</x:v>
      </x:c>
      <x:c r="K1491" s="39" t="str"/>
      <x:c r="L1491" s="39" t="str">
        <x:v>AP:P1277</x:v>
      </x:c>
      <x:c r="M1491" s="39" t="str"/>
      <x:c r="N1491" s="39" t="str">
        <x:v>نسخه پایه ۳۱۵۰</x:v>
      </x:c>
    </x:row>
    <x:row r="1492" ht="34" customHeight="1">
      <x:c r="A1492" s="34" t="str">
        <x:v>☐</x:v>
      </x:c>
      <x:c r="B1492" s="34" t="str">
        <x:v>MI-1384</x:v>
      </x:c>
      <x:c r="C1492" s="34" t="str">
        <x:v>M4 — اجرا، دانشگاه، صنعت و پروژه‌های اجتماعی</x:v>
      </x:c>
      <x:c r="D1492" s="34" t="str">
        <x:v>H12</x:v>
      </x:c>
      <x:c r="E1492" s="34" t="str">
        <x:v>صنعت، انرژی، محیط‌زیست، کشاورزی و پروژه‌های تولیدی</x:v>
      </x:c>
      <x:c r="F1492" s="34" t="str">
        <x:v>P2</x:v>
      </x:c>
      <x:c r="G1492" s="34" t="str">
        <x:v>پروژه/طرح</x:v>
      </x:c>
      <x:c r="H1492" s="39" t="str">
        <x:v>استفاده مجدد از PP بی خطر تلقی می شود و امکان بازیافت آن نیز وجود دارد. پلی پروپیلن از طریق برخی از برنامه های تفکیک از مبدا، قابل بازیافت است، اما در حال حاضر تنها حدود 3 درصد از محصولات PP در ایالات متحده بازیافت می شود. PP بازیافتی برای ساخت تخته های محوطه سازی، جای باتری، جاروی دستی، سطل های زباله و انواع محفظه های دیگر به کار می رود. امروزه، پلاستیک شماره 5، از محبوبیت روزافزونی در بین بازیافت کنندگان برخوردار است.</x:v>
      </x:c>
      <x:c r="I1492" s="39" t="str">
        <x:v>پس از تثبیت پایه‌ها؛ پروژه‌محور</x:v>
      </x:c>
      <x:c r="J1492" s="39" t="str">
        <x:v>منتور صنعت/امکان‌سنجی</x:v>
      </x:c>
      <x:c r="K1492" s="39" t="str"/>
      <x:c r="L1492" s="39" t="str">
        <x:v>AP:P1278</x:v>
      </x:c>
      <x:c r="M1492" s="39" t="str"/>
      <x:c r="N1492" s="39" t="str">
        <x:v>نسخه پایه ۳۱۵۰</x:v>
      </x:c>
    </x:row>
    <x:row r="1493" ht="34" customHeight="1">
      <x:c r="A1493" s="34" t="str">
        <x:v>☐</x:v>
      </x:c>
      <x:c r="B1493" s="34" t="str">
        <x:v>MI-1385</x:v>
      </x:c>
      <x:c r="C1493" s="34" t="str">
        <x:v>M4 — اجرا، دانشگاه، صنعت و پروژه‌های اجتماعی</x:v>
      </x:c>
      <x:c r="D1493" s="34" t="str">
        <x:v>H12</x:v>
      </x:c>
      <x:c r="E1493" s="34" t="str">
        <x:v>صنعت، انرژی، محیط‌زیست، کشاورزی و پروژه‌های تولیدی</x:v>
      </x:c>
      <x:c r="F1493" s="34" t="str">
        <x:v>P2</x:v>
      </x:c>
      <x:c r="G1493" s="34" t="str">
        <x:v>پروژه/طرح</x:v>
      </x:c>
      <x:c r="H1493" s="39" t="str">
        <x:v>برای کاهش میزان PP مصرفی، به جای بطری های پلاستیکی، از بطری های آب چندبار مصرف، استفاده کنید.</x:v>
      </x:c>
      <x:c r="I1493" s="39" t="str">
        <x:v>پس از تثبیت پایه‌ها؛ پروژه‌محور</x:v>
      </x:c>
      <x:c r="J1493" s="39" t="str">
        <x:v>منتور صنعت/امکان‌سنجی</x:v>
      </x:c>
      <x:c r="K1493" s="39" t="str"/>
      <x:c r="L1493" s="39" t="str">
        <x:v>AP:P1279</x:v>
      </x:c>
      <x:c r="M1493" s="39" t="str"/>
      <x:c r="N1493" s="39" t="str">
        <x:v>نسخه پایه ۳۱۵۰</x:v>
      </x:c>
    </x:row>
    <x:row r="1494" ht="34" customHeight="1">
      <x:c r="A1494" s="34" t="str">
        <x:v>☐</x:v>
      </x:c>
      <x:c r="B1494" s="34" t="str">
        <x:v>MI-1386</x:v>
      </x:c>
      <x:c r="C1494" s="34" t="str">
        <x:v>M4 — اجرا، دانشگاه، صنعت و پروژه‌های اجتماعی</x:v>
      </x:c>
      <x:c r="D1494" s="34" t="str">
        <x:v>H12</x:v>
      </x:c>
      <x:c r="E1494" s="34" t="str">
        <x:v>صنعت، انرژی، محیط‌زیست، کشاورزی و پروژه‌های تولیدی</x:v>
      </x:c>
      <x:c r="F1494" s="34" t="str">
        <x:v>P2</x:v>
      </x:c>
      <x:c r="G1494" s="34" t="str">
        <x:v>پروژه/طرح</x:v>
      </x:c>
      <x:c r="H1494" s="39" t="str">
        <x:v>شماره 6: PS (پلی استایرن)</x:v>
      </x:c>
      <x:c r="I1494" s="39" t="str">
        <x:v>پس از تثبیت پایه‌ها؛ پروژه‌محور</x:v>
      </x:c>
      <x:c r="J1494" s="39" t="str">
        <x:v>منتور صنعت/امکان‌سنجی</x:v>
      </x:c>
      <x:c r="K1494" s="39" t="str"/>
      <x:c r="L1494" s="39" t="str">
        <x:v>AP:P1280</x:v>
      </x:c>
      <x:c r="M1494" s="39" t="str"/>
      <x:c r="N1494" s="39" t="str">
        <x:v>نسخه پایه ۳۱۵۰</x:v>
      </x:c>
    </x:row>
    <x:row r="1495" ht="34" customHeight="1">
      <x:c r="A1495" s="34" t="str">
        <x:v>☐</x:v>
      </x:c>
      <x:c r="B1495" s="34" t="str">
        <x:v>MI-1387</x:v>
      </x:c>
      <x:c r="C1495" s="34" t="str">
        <x:v>M4 — اجرا، دانشگاه، صنعت و پروژه‌های اجتماعی</x:v>
      </x:c>
      <x:c r="D1495" s="34" t="str">
        <x:v>H12</x:v>
      </x:c>
      <x:c r="E1495" s="34" t="str">
        <x:v>صنعت، انرژی، محیط‌زیست، کشاورزی و پروژه‌های تولیدی</x:v>
      </x:c>
      <x:c r="F1495" s="34" t="str">
        <x:v>P2</x:v>
      </x:c>
      <x:c r="G1495" s="34" t="str">
        <x:v>پروژه/طرح</x:v>
      </x:c>
      <x:c r="H1495" s="39" t="str">
        <x:v>پلی استایرن (Polystyrene) پلاستیکی ارزان قیمت و سبک است که به راحتی شکل می گیرد و کاربردهای بسیار گوناگونی دارد. بیشتر اوقات، برای تهیه لیوان های یکبار مصرف، ظروف غذای درب دار، شانه های تخم مرغ، کارد و چنگال پلاستیکی پیک نیک و حفاظ های فومی داخل کارتن ها استفاده می شود. کاربرد دیگر آن به عنوان آن تراشه های فومی به شکل «بادام زمینی» است که برای پر کردن فضای جعبه های حمل و نقل و محافظت از محتویات آن، به کار می رود. از پلی استایرن، همچنین به طور گسترده ای برای ساخت عایق فوم سفت و سخت و ورق های کف پوش مورد استفاده در ساخت و ساز خانه استفاده می شود.</x:v>
      </x:c>
      <x:c r="I1495" s="39" t="str">
        <x:v>پس از تثبیت پایه‌ها؛ پروژه‌محور</x:v>
      </x:c>
      <x:c r="J1495" s="39" t="str">
        <x:v>منتور صنعت/امکان‌سنجی</x:v>
      </x:c>
      <x:c r="K1495" s="39" t="str"/>
      <x:c r="L1495" s="39" t="str">
        <x:v>AP:P1281</x:v>
      </x:c>
      <x:c r="M1495" s="39" t="str"/>
      <x:c r="N1495" s="39" t="str">
        <x:v>نسخه پایه ۳۱۵۰</x:v>
      </x:c>
    </x:row>
    <x:row r="1496" ht="34" customHeight="1">
      <x:c r="A1496" s="34" t="str">
        <x:v>☐</x:v>
      </x:c>
      <x:c r="B1496" s="34" t="str">
        <x:v>MI-1388</x:v>
      </x:c>
      <x:c r="C1496" s="34" t="str">
        <x:v>M4 — اجرا، دانشگاه، صنعت و پروژه‌های اجتماعی</x:v>
      </x:c>
      <x:c r="D1496" s="34" t="str">
        <x:v>H12</x:v>
      </x:c>
      <x:c r="E1496" s="34" t="str">
        <x:v>صنعت، انرژی، محیط‌زیست، کشاورزی و پروژه‌های تولیدی</x:v>
      </x:c>
      <x:c r="F1496" s="34" t="str">
        <x:v>P2</x:v>
      </x:c>
      <x:c r="G1496" s="34" t="str">
        <x:v>پروژه/طرح</x:v>
      </x:c>
      <x:c r="H1496" s="39" t="str">
        <x:v>از آنجا که پلی استایرن، از نظر ساختاری، ضعیف و بسیار سبک وزن است، به راحتی شکسته و در محیط، پراکنده می شود. سواحل دریاها در سراسر جهان، دست کم در بخش هایی از خود، آکنده از پلی استایرن شده اند و تعداد زیادی از گونه های دریایی، هر روز مقداری از این پلاستیک را همراه با غذای خود، می بلعند، در حالی که این عمل، عواقب ناگوار بی شماری برای سلامتی آن ها دارد.</x:v>
      </x:c>
      <x:c r="I1496" s="39" t="str">
        <x:v>پس از تثبیت پایه‌ها؛ پروژه‌محور</x:v>
      </x:c>
      <x:c r="J1496" s="39" t="str">
        <x:v>منتور صنعت/امکان‌سنجی</x:v>
      </x:c>
      <x:c r="K1496" s="39" t="str"/>
      <x:c r="L1496" s="39" t="str">
        <x:v>AP:P1282</x:v>
      </x:c>
      <x:c r="M1496" s="39" t="str"/>
      <x:c r="N1496" s="39" t="str">
        <x:v>نسخه پایه ۳۱۵۰</x:v>
      </x:c>
    </x:row>
    <x:row r="1497" ht="34" customHeight="1">
      <x:c r="A1497" s="34" t="str">
        <x:v>☐</x:v>
      </x:c>
      <x:c r="B1497" s="34" t="str">
        <x:v>MI-1389</x:v>
      </x:c>
      <x:c r="C1497" s="34" t="str">
        <x:v>M4 — اجرا، دانشگاه، صنعت و پروژه‌های اجتماعی</x:v>
      </x:c>
      <x:c r="D1497" s="34" t="str">
        <x:v>H12</x:v>
      </x:c>
      <x:c r="E1497" s="34" t="str">
        <x:v>صنعت، انرژی، محیط‌زیست، کشاورزی و پروژه‌های تولیدی</x:v>
      </x:c>
      <x:c r="F1497" s="34" t="str">
        <x:v>P2</x:v>
      </x:c>
      <x:c r="G1497" s="34" t="str">
        <x:v>پروژه/طرح</x:v>
      </x:c>
      <x:c r="H1497" s="39" t="str">
        <x:v>پلی استایرن، ممکن است منجر به نشت استایرن در محصولات غذایی شود، ماده ای که به عنوان یک ترکیب سرطان زای احتمالی برای انسان، مورد توجه است. نشت این ترکیب در مواد غذایی، به ویژه هنگامی افزایش می یابد که ظرف یک بار مصرف پلی استایرنی درمایکروویوگرم شود. مواد شیمیایی موجود در پلی استایرن با سلامت انسان و اختلال در عملکرد سیستم تولید مثل، ارتباط دارند.</x:v>
      </x:c>
      <x:c r="I1497" s="39" t="str">
        <x:v>پس از تثبیت پایه‌ها؛ پروژه‌محور</x:v>
      </x:c>
      <x:c r="J1497" s="39" t="str">
        <x:v>منتور صنعت/امکان‌سنجی</x:v>
      </x:c>
      <x:c r="K1497" s="39" t="str"/>
      <x:c r="L1497" s="39" t="str">
        <x:v>AP:P1283</x:v>
      </x:c>
      <x:c r="M1497" s="39" t="str"/>
      <x:c r="N1497" s="39" t="str">
        <x:v>نسخه پایه ۳۱۵۰</x:v>
      </x:c>
    </x:row>
    <x:row r="1498" ht="34" customHeight="1">
      <x:c r="A1498" s="34" t="str">
        <x:v>☐</x:v>
      </x:c>
      <x:c r="B1498" s="34" t="str">
        <x:v>MI-1390</x:v>
      </x:c>
      <x:c r="C1498" s="34" t="str">
        <x:v>M4 — اجرا، دانشگاه، صنعت و پروژه‌های اجتماعی</x:v>
      </x:c>
      <x:c r="D1498" s="34" t="str">
        <x:v>H12</x:v>
      </x:c>
      <x:c r="E1498" s="34" t="str">
        <x:v>صنعت، انرژی، محیط‌زیست، کشاورزی و پروژه‌های تولیدی</x:v>
      </x:c>
      <x:c r="F1498" s="34" t="str">
        <x:v>P2</x:v>
      </x:c>
      <x:c r="G1498" s="34" t="str">
        <x:v>پروژه/طرح</x:v>
      </x:c>
      <x:c r="H1498" s="39" t="str">
        <x:v>بازیافت، به طور گسترده برای محصولات پلی استایرن، در دسترس نیست. اکثر مراکز بازیافت، پلی استایرن را نمی پذیرند، به همین دلیل، این ترکیب، حدود 35 درصد از موارد دفن زباله ایالات متحده را تشکیل می دهد. در حالی که فناوری بازیافت پلی استایرن در دسترس است، اما بازار بازیافت آن کوچک است.</x:v>
      </x:c>
      <x:c r="I1498" s="39" t="str">
        <x:v>پس از تثبیت پایه‌ها؛ پروژه‌محور</x:v>
      </x:c>
      <x:c r="J1498" s="39" t="str">
        <x:v>منتور صنعت/امکان‌سنجی</x:v>
      </x:c>
      <x:c r="K1498" s="39" t="str"/>
      <x:c r="L1498" s="39" t="str">
        <x:v>AP:P1284</x:v>
      </x:c>
      <x:c r="M1498" s="39" t="str"/>
      <x:c r="N1498" s="39" t="str">
        <x:v>نسخه پایه ۳۱۵۰</x:v>
      </x:c>
    </x:row>
    <x:row r="1499" ht="34" customHeight="1">
      <x:c r="A1499" s="34" t="str">
        <x:v>☐</x:v>
      </x:c>
      <x:c r="B1499" s="34" t="str">
        <x:v>MI-1391</x:v>
      </x:c>
      <x:c r="C1499" s="34" t="str">
        <x:v>M4 — اجرا، دانشگاه، صنعت و پروژه‌های اجتماعی</x:v>
      </x:c>
      <x:c r="D1499" s="34" t="str">
        <x:v>H12</x:v>
      </x:c>
      <x:c r="E1499" s="34" t="str">
        <x:v>صنعت، انرژی، محیط‌زیست، کشاورزی و پروژه‌های تولیدی</x:v>
      </x:c>
      <x:c r="F1499" s="34" t="str">
        <x:v>P2</x:v>
      </x:c>
      <x:c r="G1499" s="34" t="str">
        <x:v>پروژه/طرح</x:v>
      </x:c>
      <x:c r="H1499" s="39" t="str">
        <x:v>هرچند سطح آگاهی در بین مصرف کنندگان، افزایش یافته است، اما امروزه، بیشتر مردم، استفاده مجدد از محصولات پلی استایرنی را بر تحویل آن برای بازیافت، ترجیح می دهند. در هر صورت، باید تا آنجا که ممکن است از مصرف محصولات پلی استایرن، خودداری شود. برای این کار، سعی کنید همیشه از لیوان، قاشق و چنگال و ظروف چندبار مصرف، استفاده کنید.</x:v>
      </x:c>
      <x:c r="I1499" s="39" t="str">
        <x:v>پس از تثبیت پایه‌ها؛ پروژه‌محور</x:v>
      </x:c>
      <x:c r="J1499" s="39" t="str">
        <x:v>منتور صنعت/امکان‌سنجی</x:v>
      </x:c>
      <x:c r="K1499" s="39" t="str"/>
      <x:c r="L1499" s="39" t="str">
        <x:v>AP:P1285</x:v>
      </x:c>
      <x:c r="M1499" s="39" t="str"/>
      <x:c r="N1499" s="39" t="str">
        <x:v>نسخه پایه ۳۱۵۰</x:v>
      </x:c>
    </x:row>
    <x:row r="1500" ht="34" customHeight="1">
      <x:c r="A1500" s="34" t="str">
        <x:v>☐</x:v>
      </x:c>
      <x:c r="B1500" s="34" t="str">
        <x:v>MI-1392</x:v>
      </x:c>
      <x:c r="C1500" s="34" t="str">
        <x:v>M4 — اجرا، دانشگاه، صنعت و پروژه‌های اجتماعی</x:v>
      </x:c>
      <x:c r="D1500" s="34" t="str">
        <x:v>H12</x:v>
      </x:c>
      <x:c r="E1500" s="34" t="str">
        <x:v>صنعت، انرژی، محیط‌زیست، کشاورزی و پروژه‌های تولیدی</x:v>
      </x:c>
      <x:c r="F1500" s="34" t="str">
        <x:v>P2</x:v>
      </x:c>
      <x:c r="G1500" s="34" t="str">
        <x:v>پروژه/طرح</x:v>
      </x:c>
      <x:c r="H1500" s="39" t="str">
        <x:v>شماره 7: سایر موارد (BPA، پلی کربنات و لِکسان)</x:v>
      </x:c>
      <x:c r="I1500" s="39" t="str">
        <x:v>پس از تثبیت پایه‌ها؛ پروژه‌محور</x:v>
      </x:c>
      <x:c r="J1500" s="39" t="str">
        <x:v>منتور صنعت/امکان‌سنجی</x:v>
      </x:c>
      <x:c r="K1500" s="39" t="str"/>
      <x:c r="L1500" s="39" t="str">
        <x:v>AP:P1286</x:v>
      </x:c>
      <x:c r="M1500" s="39" t="str"/>
      <x:c r="N1500" s="39" t="str">
        <x:v>نسخه پایه ۳۱۵۰</x:v>
      </x:c>
    </x:row>
    <x:row r="1501" ht="34" customHeight="1">
      <x:c r="A1501" s="34" t="str">
        <x:v>☐</x:v>
      </x:c>
      <x:c r="B1501" s="34" t="str">
        <x:v>MI-1393</x:v>
      </x:c>
      <x:c r="C1501" s="34" t="str">
        <x:v>M4 — اجرا، دانشگاه، صنعت و پروژه‌های اجتماعی</x:v>
      </x:c>
      <x:c r="D1501" s="34" t="str">
        <x:v>H12</x:v>
      </x:c>
      <x:c r="E1501" s="34" t="str">
        <x:v>صنعت، انرژی، محیط‌زیست، کشاورزی و پروژه‌های تولیدی</x:v>
      </x:c>
      <x:c r="F1501" s="34" t="str">
        <x:v>P2</x:v>
      </x:c>
      <x:c r="G1501" s="34" t="str">
        <x:v>پروژه/طرح</x:v>
      </x:c>
      <x:c r="H1501" s="39" t="str">
        <x:v>گروه شماره 7 به عنوان گروه برگیرنده پلی کربنات (PC) و «دیگر» پلاستیک ها در نظر گرفته شده است. بنابراین پروتکل های استفاده مجدد و بازیافت در این گروه، هنوز استاندارد نیستند. با این حال، مسیله اصلی پلاستیک های شماره 7، احتمال نشت مواد شیمیایی به مواد غذایی یا نوشیدنی بسته بندی شده در ظروف پلی کربنات است که با استفاده از BPA (بیس فنل A) ساخته شده است. BPA یک زنو استروژن است که نقش آن در ایجاد اختلال در غدد درون ریز، شناخته شده است.</x:v>
      </x:c>
      <x:c r="I1501" s="39" t="str">
        <x:v>پس از تثبیت پایه‌ها؛ پروژه‌محور</x:v>
      </x:c>
      <x:c r="J1501" s="39" t="str">
        <x:v>منتور صنعت/امکان‌سنجی</x:v>
      </x:c>
      <x:c r="K1501" s="39" t="str"/>
      <x:c r="L1501" s="39" t="str">
        <x:v>AP:P1287</x:v>
      </x:c>
      <x:c r="M1501" s="39" t="str"/>
      <x:c r="N1501" s="39" t="str">
        <x:v>نسخه پایه ۳۱۵۰</x:v>
      </x:c>
    </x:row>
    <x:row r="1502" ht="34" customHeight="1">
      <x:c r="A1502" s="34" t="str">
        <x:v>☐</x:v>
      </x:c>
      <x:c r="B1502" s="34" t="str">
        <x:v>MI-1394</x:v>
      </x:c>
      <x:c r="C1502" s="34" t="str">
        <x:v>M4 — اجرا، دانشگاه، صنعت و پروژه‌های اجتماعی</x:v>
      </x:c>
      <x:c r="D1502" s="34" t="str">
        <x:v>H12</x:v>
      </x:c>
      <x:c r="E1502" s="34" t="str">
        <x:v>صنعت، انرژی، محیط‌زیست، کشاورزی و پروژه‌های تولیدی</x:v>
      </x:c>
      <x:c r="F1502" s="34" t="str">
        <x:v>P2</x:v>
      </x:c>
      <x:c r="G1502" s="34" t="str">
        <x:v>پروژه/طرح</x:v>
      </x:c>
      <x:c r="H1502" s="39" t="str">
        <x:v>از پلاستیک های شماره 7 برای ساخت شیشه شیر کودک، لیوان های نی دار (Sippy Cups)، محفظه های آب سرد کن و برخی از قطعات خودرو استفاده می شود.اگر ظروف غذای پلاستیکی پلی کربناتی، حاوی BPA باشند، معمولا در پشت ظرف، با درج حروف "PC" در کنار علامت بازیافت شماره 7، مشخص می شوند. برخی از بطری های آب پلی کربناتی با نام «غیر نشت دهنده» (Non-Leaching) به فروش می رسند و گویای این هستند که طعم یا بوی پلاستیک، در حداقل میزان ممکن، به ماده غذایی یا نوشیدنی منتقل می شود. اما هنوز هم احتمال نشت مقادیر کمی از BPA از این ظروف وجود دارد، به خصوص اگر از آن ها برای گرم کردن مایعات استفاده شود.</x:v>
      </x:c>
      <x:c r="I1502" s="39" t="str">
        <x:v>پس از تثبیت پایه‌ها؛ پروژه‌محور</x:v>
      </x:c>
      <x:c r="J1502" s="39" t="str">
        <x:v>منتور صنعت/امکان‌سنجی</x:v>
      </x:c>
      <x:c r="K1502" s="39" t="str"/>
      <x:c r="L1502" s="39" t="str">
        <x:v>AP:P1288</x:v>
      </x:c>
      <x:c r="M1502" s="39" t="str"/>
      <x:c r="N1502" s="39" t="str">
        <x:v>نسخه پایه ۳۱۵۰</x:v>
      </x:c>
    </x:row>
    <x:row r="1503" ht="34" customHeight="1">
      <x:c r="A1503" s="34" t="str">
        <x:v>☐</x:v>
      </x:c>
      <x:c r="B1503" s="34" t="str">
        <x:v>MI-1395</x:v>
      </x:c>
      <x:c r="C1503" s="34" t="str">
        <x:v>M4 — اجرا، دانشگاه، صنعت و پروژه‌های اجتماعی</x:v>
      </x:c>
      <x:c r="D1503" s="34" t="str">
        <x:v>H12</x:v>
      </x:c>
      <x:c r="E1503" s="34" t="str">
        <x:v>صنعت، انرژی، محیط‌زیست، کشاورزی و پروژه‌های تولیدی</x:v>
      </x:c>
      <x:c r="F1503" s="34" t="str">
        <x:v>P2</x:v>
      </x:c>
      <x:c r="G1503" s="34" t="str">
        <x:v>پروژه/طرح</x:v>
      </x:c>
      <x:c r="H1503" s="39" t="str">
        <x:v>امروزه، نسل جدیدی از پلاستیک های تجزیه پذیر، ساخته شده از پلیمرهای زیستی، مانند نشاسته ذرت، در حال تولید است تا جایگزین پلی کربنات شود. این پلاستیک ها، پس از مصرف، به کمپوست (کود) تبدیل می شود و به همین دلیل، در اصطلاح، به آن ها زیست تخریب پذیر (Compostable) گفته می شود. این پلاستیک ها نیز در گروه شماره 7 گنجانده شده اند که می تواند برای مصرف کننده، گیج کننده باشد. در نزدیکی نماد بازیافت، در پشت ظرف هایی از این دست، حروف PLA و در برخی موارد هم عبارت Compostable درج شده است.</x:v>
      </x:c>
      <x:c r="I1503" s="39" t="str">
        <x:v>پس از تثبیت پایه‌ها؛ پروژه‌محور</x:v>
      </x:c>
      <x:c r="J1503" s="39" t="str">
        <x:v>منتور صنعت/امکان‌سنجی</x:v>
      </x:c>
      <x:c r="K1503" s="39" t="str"/>
      <x:c r="L1503" s="39" t="str">
        <x:v>AP:P1289</x:v>
      </x:c>
      <x:c r="M1503" s="39" t="str"/>
      <x:c r="N1503" s="39" t="str">
        <x:v>نسخه پایه ۳۱۵۰</x:v>
      </x:c>
    </x:row>
    <x:row r="1504" ht="34" customHeight="1">
      <x:c r="A1504" s="34" t="str">
        <x:v>☐</x:v>
      </x:c>
      <x:c r="B1504" s="34" t="str">
        <x:v>MI-1396</x:v>
      </x:c>
      <x:c r="C1504" s="34" t="str">
        <x:v>M4 — اجرا، دانشگاه، صنعت و پروژه‌های اجتماعی</x:v>
      </x:c>
      <x:c r="D1504" s="34" t="str">
        <x:v>H12</x:v>
      </x:c>
      <x:c r="E1504" s="34" t="str">
        <x:v>صنعت، انرژی، محیط‌زیست، کشاورزی و پروژه‌های تولیدی</x:v>
      </x:c>
      <x:c r="F1504" s="34" t="str">
        <x:v>P2</x:v>
      </x:c>
      <x:c r="G1504" s="34" t="str">
        <x:v>پروژه/طرح</x:v>
      </x:c>
      <x:c r="H1504" s="39" t="str">
        <x:v>پلاستیک های شماره 7 قابل استفاده مجدد نیستند، مگر اینکه دارای کد PLA باشند. بهتر است، تا آنجا که ممکن است از مصرف پلاستیک های گروه 7، به ویژه برای غذای کودکان خودداری کنید.پلاستیک های دارای برچسب بازیافت شماره 1، 2 و 4، گزینه های ایمن تری هستند و حاوی BPA نیستند. پلاستیک های دارای کد PLA باید به جای انتقال به سطل های بازیافت، همراه با زباله های تر خانگی، مثل پوست میوه ها و ساقه سبزیجات، دور ریخته و به عنوان کود گیاهی مصرف شوند.</x:v>
      </x:c>
      <x:c r="I1504" s="39" t="str">
        <x:v>پس از تثبیت پایه‌ها؛ پروژه‌محور</x:v>
      </x:c>
      <x:c r="J1504" s="39" t="str">
        <x:v>منتور صنعت/امکان‌سنجی</x:v>
      </x:c>
      <x:c r="K1504" s="39" t="str"/>
      <x:c r="L1504" s="39" t="str">
        <x:v>AP:P1290</x:v>
      </x:c>
      <x:c r="M1504" s="39" t="str"/>
      <x:c r="N1504" s="39" t="str">
        <x:v>نسخه پایه ۳۱۵۰</x:v>
      </x:c>
    </x:row>
    <x:row r="1505" ht="34" customHeight="1">
      <x:c r="A1505" s="34" t="str">
        <x:v>☐</x:v>
      </x:c>
      <x:c r="B1505" s="34" t="str">
        <x:v>MI-1397</x:v>
      </x:c>
      <x:c r="C1505" s="34" t="str">
        <x:v>M4 — اجرا، دانشگاه، صنعت و پروژه‌های اجتماعی</x:v>
      </x:c>
      <x:c r="D1505" s="34" t="str">
        <x:v>H12</x:v>
      </x:c>
      <x:c r="E1505" s="34" t="str">
        <x:v>صنعت، انرژی، محیط‌زیست، کشاورزی و پروژه‌های تولیدی</x:v>
      </x:c>
      <x:c r="F1505" s="34" t="str">
        <x:v>P2</x:v>
      </x:c>
      <x:c r="G1505" s="34" t="str">
        <x:v>پروژه/طرح</x:v>
      </x:c>
      <x:c r="H1505" s="39" t="str">
        <x:v>بدانیم</x:v>
      </x:c>
      <x:c r="I1505" s="39" t="str">
        <x:v>پس از تثبیت پایه‌ها؛ پروژه‌محور</x:v>
      </x:c>
      <x:c r="J1505" s="39" t="str">
        <x:v>منتور صنعت/امکان‌سنجی</x:v>
      </x:c>
      <x:c r="K1505" s="39" t="str"/>
      <x:c r="L1505" s="39" t="str">
        <x:v>AP:P1291</x:v>
      </x:c>
      <x:c r="M1505" s="39" t="str"/>
      <x:c r="N1505" s="39" t="str">
        <x:v>نسخه پایه ۳۱۵۰</x:v>
      </x:c>
    </x:row>
    <x:row r="1506" ht="34" customHeight="1">
      <x:c r="A1506" s="34" t="str">
        <x:v>☐</x:v>
      </x:c>
      <x:c r="B1506" s="34" t="str">
        <x:v>MI-1398</x:v>
      </x:c>
      <x:c r="C1506" s="34" t="str">
        <x:v>M4 — اجرا، دانشگاه، صنعت و پروژه‌های اجتماعی</x:v>
      </x:c>
      <x:c r="D1506" s="34" t="str">
        <x:v>H12</x:v>
      </x:c>
      <x:c r="E1506" s="34" t="str">
        <x:v>صنعت، انرژی، محیط‌زیست، کشاورزی و پروژه‌های تولیدی</x:v>
      </x:c>
      <x:c r="F1506" s="34" t="str">
        <x:v>P2</x:v>
      </x:c>
      <x:c r="G1506" s="34" t="str">
        <x:v>پروژه/طرح</x:v>
      </x:c>
      <x:c r="H1506" s="39" t="str">
        <x:v>حدود سه چهارم از انرژی های تجدید پذیر در جهان شامل انرژی زیستی است که بیش از نیمی از آن شامل استفاده از زیست توده سنتی است. انرژی زیستی حدود 10٪ کل مصرف نهایی انرژی و 1.4٪ تولید برق جهانی را در سال 2015 به خود اختصاص داده است.</x:v>
      </x:c>
      <x:c r="I1506" s="39" t="str">
        <x:v>پس از تثبیت پایه‌ها؛ پروژه‌محور</x:v>
      </x:c>
      <x:c r="J1506" s="39" t="str">
        <x:v>منتور صنعت/امکان‌سنجی</x:v>
      </x:c>
      <x:c r="K1506" s="39" t="str"/>
      <x:c r="L1506" s="39" t="str">
        <x:v>AP:P1292</x:v>
      </x:c>
      <x:c r="M1506" s="39" t="str"/>
      <x:c r="N1506" s="39" t="str">
        <x:v>نسخه پایه ۳۱۵۰</x:v>
      </x:c>
    </x:row>
    <x:row r="1507" ht="34" customHeight="1">
      <x:c r="A1507" s="34" t="str">
        <x:v>☐</x:v>
      </x:c>
      <x:c r="B1507" s="34" t="str">
        <x:v>MI-1399</x:v>
      </x:c>
      <x:c r="C1507" s="34" t="str">
        <x:v>M4 — اجرا، دانشگاه، صنعت و پروژه‌های اجتماعی</x:v>
      </x:c>
      <x:c r="D1507" s="34" t="str">
        <x:v>H12</x:v>
      </x:c>
      <x:c r="E1507" s="34" t="str">
        <x:v>صنعت، انرژی، محیط‌زیست، کشاورزی و پروژه‌های تولیدی</x:v>
      </x:c>
      <x:c r="F1507" s="34" t="str">
        <x:v>P2</x:v>
      </x:c>
      <x:c r="G1507" s="34" t="str">
        <x:v>پروژه/طرح</x:v>
      </x:c>
      <x:c r="H1507" s="39" t="str">
        <x:v>زیست توده پتانسیل قابل توجهی برای تقویت انرژی در کشورهای پرجمعیت با افزایش تقاضا مانند برزیل ، هند و چین دارد و می تواند مستقیماً برای گرمایش یا تولید برق بسوزد ، یا به جایگزین های نفت یا گاز تبدیل شود. سوخت های زیستی مایع ، یک جایگزین تجدید پذیر مناسب برایبنزینهستند که بیشتر در بخش حمل و نقل استفاده می شود.</x:v>
      </x:c>
      <x:c r="I1507" s="39" t="str">
        <x:v>پس از تثبیت پایه‌ها؛ پروژه‌محور</x:v>
      </x:c>
      <x:c r="J1507" s="39" t="str">
        <x:v>منتور صنعت/امکان‌سنجی</x:v>
      </x:c>
      <x:c r="K1507" s="39" t="str"/>
      <x:c r="L1507" s="39" t="str">
        <x:v>AP:P1293</x:v>
      </x:c>
      <x:c r="M1507" s="39" t="str"/>
      <x:c r="N1507" s="39" t="str">
        <x:v>نسخه پایه ۳۱۵۰</x:v>
      </x:c>
    </x:row>
    <x:row r="1508" ht="34" customHeight="1">
      <x:c r="A1508" s="34" t="str">
        <x:v>☐</x:v>
      </x:c>
      <x:c r="B1508" s="34" t="str">
        <x:v>MI-1400</x:v>
      </x:c>
      <x:c r="C1508" s="34" t="str">
        <x:v>M4 — اجرا، دانشگاه، صنعت و پروژه‌های اجتماعی</x:v>
      </x:c>
      <x:c r="D1508" s="34" t="str">
        <x:v>H12</x:v>
      </x:c>
      <x:c r="E1508" s="34" t="str">
        <x:v>صنعت، انرژی، محیط‌زیست، کشاورزی و پروژه‌های تولیدی</x:v>
      </x:c>
      <x:c r="F1508" s="34" t="str">
        <x:v>P2</x:v>
      </x:c>
      <x:c r="G1508" s="34" t="str">
        <x:v>پروژه/طرح</x:v>
      </x:c>
      <x:c r="H1508" s="39" t="str">
        <x:v>برزیل پیشرو استفاده از سوختهای زیستی مایع است و بزرگترین ناوگان وسایل نقلیه قابل انعطاف را دارد که می توانند با اتانول زیستی کار کنند - الکلی که بیشتر از تخمیر کربوهیدرات موجود در محصولات قندی یانشاستهای مانند ذرت ، نیشکر یا سورگوم شیرین ساخته می شود.</x:v>
      </x:c>
      <x:c r="I1508" s="39" t="str">
        <x:v>پس از تثبیت پایه‌ها؛ پروژه‌محور</x:v>
      </x:c>
      <x:c r="J1508" s="39" t="str">
        <x:v>منتور صنعت/امکان‌سنجی</x:v>
      </x:c>
      <x:c r="K1508" s="39" t="str"/>
      <x:c r="L1508" s="39" t="str">
        <x:v>AP:P1294</x:v>
      </x:c>
      <x:c r="M1508" s="39" t="str"/>
      <x:c r="N1508" s="39" t="str">
        <x:v>نسخه پایه ۳۱۵۰</x:v>
      </x:c>
    </x:row>
    <x:row r="1509" ht="34" customHeight="1">
      <x:c r="A1509" s="34" t="str">
        <x:v>☐</x:v>
      </x:c>
      <x:c r="B1509" s="34" t="str">
        <x:v>MI-1401</x:v>
      </x:c>
      <x:c r="C1509" s="34" t="str">
        <x:v>M4 — اجرا، دانشگاه، صنعت و پروژه‌های اجتماعی</x:v>
      </x:c>
      <x:c r="D1509" s="34" t="str">
        <x:v>H12</x:v>
      </x:c>
      <x:c r="E1509" s="34" t="str">
        <x:v>صنعت، انرژی، محیط‌زیست، کشاورزی و پروژه‌های تولیدی</x:v>
      </x:c>
      <x:c r="F1509" s="34" t="str">
        <x:v>P2</x:v>
      </x:c>
      <x:c r="G1509" s="34" t="str">
        <x:v>پروژه/طرح</x:v>
      </x:c>
      <x:c r="H1509" s="39" t="str">
        <x:v>کاربردهای بیوانرژی</x:v>
      </x:c>
      <x:c r="I1509" s="39" t="str">
        <x:v>پس از تثبیت پایه‌ها؛ پروژه‌محور</x:v>
      </x:c>
      <x:c r="J1509" s="39" t="str">
        <x:v>منتور صنعت/امکان‌سنجی</x:v>
      </x:c>
      <x:c r="K1509" s="39" t="str"/>
      <x:c r="L1509" s="39" t="str">
        <x:v>AP:P1295</x:v>
      </x:c>
      <x:c r="M1509" s="39" t="str"/>
      <x:c r="N1509" s="39" t="str">
        <x:v>نسخه پایه ۳۱۵۰</x:v>
      </x:c>
    </x:row>
    <x:row r="1510" ht="34" customHeight="1">
      <x:c r="A1510" s="34" t="str">
        <x:v>☐</x:v>
      </x:c>
      <x:c r="B1510" s="34" t="str">
        <x:v>MI-1402</x:v>
      </x:c>
      <x:c r="C1510" s="34" t="str">
        <x:v>M4 — اجرا، دانشگاه، صنعت و پروژه‌های اجتماعی</x:v>
      </x:c>
      <x:c r="D1510" s="34" t="str">
        <x:v>H12</x:v>
      </x:c>
      <x:c r="E1510" s="34" t="str">
        <x:v>صنعت، انرژی، محیط‌زیست، کشاورزی و پروژه‌های تولیدی</x:v>
      </x:c>
      <x:c r="F1510" s="34" t="str">
        <x:v>P2</x:v>
      </x:c>
      <x:c r="G1510" s="34" t="str">
        <x:v>پروژه/طرح</x:v>
      </x:c>
      <x:c r="H1510" s="39" t="str">
        <x:v>تولید انرژی برای حمل و نقل</x:v>
      </x:c>
      <x:c r="I1510" s="39" t="str">
        <x:v>پس از تثبیت پایه‌ها؛ پروژه‌محور</x:v>
      </x:c>
      <x:c r="J1510" s="39" t="str">
        <x:v>منتور صنعت/امکان‌سنجی</x:v>
      </x:c>
      <x:c r="K1510" s="39" t="str"/>
      <x:c r="L1510" s="39" t="str">
        <x:v>AP:P1296</x:v>
      </x:c>
      <x:c r="M1510" s="39" t="str"/>
      <x:c r="N1510" s="39" t="str">
        <x:v>نسخه پایه ۳۱۵۰</x:v>
      </x:c>
    </x:row>
    <x:row r="1511" ht="34" customHeight="1">
      <x:c r="A1511" s="34" t="str">
        <x:v>☐</x:v>
      </x:c>
      <x:c r="B1511" s="34" t="str">
        <x:v>MI-1403</x:v>
      </x:c>
      <x:c r="C1511" s="34" t="str">
        <x:v>M4 — اجرا، دانشگاه، صنعت و پروژه‌های اجتماعی</x:v>
      </x:c>
      <x:c r="D1511" s="34" t="str">
        <x:v>H12</x:v>
      </x:c>
      <x:c r="E1511" s="34" t="str">
        <x:v>صنعت، انرژی، محیط‌زیست، کشاورزی و پروژه‌های تولیدی</x:v>
      </x:c>
      <x:c r="F1511" s="34" t="str">
        <x:v>P2</x:v>
      </x:c>
      <x:c r="G1511" s="34" t="str">
        <x:v>پروژه/طرح</x:v>
      </x:c>
      <x:c r="H1511" s="39" t="str">
        <x:v>زیست توده یکی از انواع منابع تجدیدپذیر است که می تواند برای حمل و نقل به سوخت های مایع تبدیل شود. سوخت های زیستی شامل اتانول سلولزی ، بیودیزل و سوخت های “قطره ای” هیدروکربن تجدیدپذیر است. دو نوع متداول سوخت های زیستی که امروزه استفاده می شوند ، اتانول و بیودیزل هستند. از سوخت های زیستی می توان در هواپیماها و بیشتر وسایل نقلیه موجود در جاده استفاده کرد. سوخت های تجدیدپذیر حمل و نقل که از نظر عملکردی معادل سوخت های نفتی هستند میزان انتشار کربن از وسایل نقلیه و هواپیماها را کاهش می دهند.</x:v>
      </x:c>
      <x:c r="I1511" s="39" t="str">
        <x:v>پس از تثبیت پایه‌ها؛ پروژه‌محور</x:v>
      </x:c>
      <x:c r="J1511" s="39" t="str">
        <x:v>منتور صنعت/امکان‌سنجی</x:v>
      </x:c>
      <x:c r="K1511" s="39" t="str"/>
      <x:c r="L1511" s="39" t="str">
        <x:v>AP:P1297</x:v>
      </x:c>
      <x:c r="M1511" s="39" t="str"/>
      <x:c r="N1511" s="39" t="str">
        <x:v>نسخه پایه ۳۱۵۰</x:v>
      </x:c>
    </x:row>
    <x:row r="1512" ht="34" customHeight="1">
      <x:c r="A1512" s="34" t="str">
        <x:v>☐</x:v>
      </x:c>
      <x:c r="B1512" s="34" t="str">
        <x:v>MI-1404</x:v>
      </x:c>
      <x:c r="C1512" s="34" t="str">
        <x:v>M4 — اجرا، دانشگاه، صنعت و پروژه‌های اجتماعی</x:v>
      </x:c>
      <x:c r="D1512" s="34" t="str">
        <x:v>H12</x:v>
      </x:c>
      <x:c r="E1512" s="34" t="str">
        <x:v>صنعت، انرژی، محیط‌زیست، کشاورزی و پروژه‌های تولیدی</x:v>
      </x:c>
      <x:c r="F1512" s="34" t="str">
        <x:v>P2</x:v>
      </x:c>
      <x:c r="G1512" s="34" t="str">
        <x:v>پروژه/طرح</x:v>
      </x:c>
      <x:c r="H1512" s="39" t="str">
        <x:v>تولید انرژی برای گرما و برق</x:v>
      </x:c>
      <x:c r="I1512" s="39" t="str">
        <x:v>پس از تثبیت پایه‌ها؛ پروژه‌محور</x:v>
      </x:c>
      <x:c r="J1512" s="39" t="str">
        <x:v>منتور صنعت/امکان‌سنجی</x:v>
      </x:c>
      <x:c r="K1512" s="39" t="str"/>
      <x:c r="L1512" s="39" t="str">
        <x:v>AP:P1298</x:v>
      </x:c>
      <x:c r="M1512" s="39" t="str"/>
      <x:c r="N1512" s="39" t="str">
        <x:v>نسخه پایه ۳۱۵۰</x:v>
      </x:c>
    </x:row>
    <x:row r="1513" ht="34" customHeight="1">
      <x:c r="A1513" s="34" t="str">
        <x:v>☐</x:v>
      </x:c>
      <x:c r="B1513" s="34" t="str">
        <x:v>MI-1405</x:v>
      </x:c>
      <x:c r="C1513" s="34" t="str">
        <x:v>M4 — اجرا، دانشگاه، صنعت و پروژه‌های اجتماعی</x:v>
      </x:c>
      <x:c r="D1513" s="34" t="str">
        <x:v>H12</x:v>
      </x:c>
      <x:c r="E1513" s="34" t="str">
        <x:v>صنعت، انرژی، محیط‌زیست، کشاورزی و پروژه‌های تولیدی</x:v>
      </x:c>
      <x:c r="F1513" s="34" t="str">
        <x:v>P2</x:v>
      </x:c>
      <x:c r="G1513" s="34" t="str">
        <x:v>پروژه/طرح</x:v>
      </x:c>
      <x:c r="H1513" s="39" t="str">
        <x:v>فناوری های زیست نیرو با استفاده از فرایندهایی مانند سوخت های فسیلی ، سوخت های زیست توده تجدید پذیر را به گرما و برق تبدیل می کنند. سه روش برای جمع آوری انرژی ذخیره شده در زیست توده برای تولید انرژی زیستی وجود دارد: سوزاندن ، پوسیدگی باکتریها و تبدیل به سوخت گاز یا مایع. انرژی زیستی می تواند نیاز به سوخت های کربنی سوزانده شده در نیروگاه ها را جبران کند ، بنابراین از شدت کربن تولید شده می کاهد. برخلاف برخی از اشکال انرژی های تجدید پذیر متناوب ، انرژی زیستی می تواند انعطاف پذیری تولید برق را افزایش دهد و قابلیت اطمینان شبکه الکتریکی را افزایش دهد.</x:v>
      </x:c>
      <x:c r="I1513" s="39" t="str">
        <x:v>پس از تثبیت پایه‌ها؛ پروژه‌محور</x:v>
      </x:c>
      <x:c r="J1513" s="39" t="str">
        <x:v>منتور صنعت/امکان‌سنجی</x:v>
      </x:c>
      <x:c r="K1513" s="39" t="str"/>
      <x:c r="L1513" s="39" t="str">
        <x:v>AP:P1299</x:v>
      </x:c>
      <x:c r="M1513" s="39" t="str"/>
      <x:c r="N1513" s="39" t="str">
        <x:v>نسخه پایه ۳۱۵۰</x:v>
      </x:c>
    </x:row>
    <x:row r="1514" ht="34" customHeight="1">
      <x:c r="A1514" s="34" t="str">
        <x:v>☐</x:v>
      </x:c>
      <x:c r="B1514" s="34" t="str">
        <x:v>MI-1406</x:v>
      </x:c>
      <x:c r="C1514" s="34" t="str">
        <x:v>M4 — اجرا، دانشگاه، صنعت و پروژه‌های اجتماعی</x:v>
      </x:c>
      <x:c r="D1514" s="34" t="str">
        <x:v>H12</x:v>
      </x:c>
      <x:c r="E1514" s="34" t="str">
        <x:v>صنعت، انرژی، محیط‌زیست، کشاورزی و پروژه‌های تولیدی</x:v>
      </x:c>
      <x:c r="F1514" s="34" t="str">
        <x:v>P2</x:v>
      </x:c>
      <x:c r="G1514" s="34" t="str">
        <x:v>پروژه/طرح</x:v>
      </x:c>
      <x:c r="H1514" s="39" t="str">
        <x:v>تولید محصولات زیستی</x:v>
      </x:c>
      <x:c r="I1514" s="39" t="str">
        <x:v>پس از تثبیت پایه‌ها؛ پروژه‌محور</x:v>
      </x:c>
      <x:c r="J1514" s="39" t="str">
        <x:v>منتور صنعت/امکان‌سنجی</x:v>
      </x:c>
      <x:c r="K1514" s="39" t="str"/>
      <x:c r="L1514" s="39" t="str">
        <x:v>AP:P1300</x:v>
      </x:c>
      <x:c r="M1514" s="39" t="str"/>
      <x:c r="N1514" s="39" t="str">
        <x:v>نسخه پایه ۳۱۵۰</x:v>
      </x:c>
    </x:row>
    <x:row r="1515" ht="34" customHeight="1">
      <x:c r="A1515" s="34" t="str">
        <x:v>☐</x:v>
      </x:c>
      <x:c r="B1515" s="34" t="str">
        <x:v>MI-1407</x:v>
      </x:c>
      <x:c r="C1515" s="34" t="str">
        <x:v>M4 — اجرا، دانشگاه، صنعت و پروژه‌های اجتماعی</x:v>
      </x:c>
      <x:c r="D1515" s="34" t="str">
        <x:v>H12</x:v>
      </x:c>
      <x:c r="E1515" s="34" t="str">
        <x:v>صنعت، انرژی، محیط‌زیست، کشاورزی و پروژه‌های تولیدی</x:v>
      </x:c>
      <x:c r="F1515" s="34" t="str">
        <x:v>P2</x:v>
      </x:c>
      <x:c r="G1515" s="34" t="str">
        <x:v>پروژه/طرح</x:v>
      </x:c>
      <x:c r="H1515" s="39" t="str">
        <x:v>زیست توده یک منبع انرژی همه کاره است ، دقیقاً مانند نفت. فراتر از تبدیل زیست توده به سوخت زیستی برای استفاده در وسیله نقلیه ، این منبع انرژی می تواند به عنوان یک جایگزین تجدیدپذیر برای سوخت های فسیلی در تولید محصولات زیستی مانند پلاستیک ها ، روان کننده ها ، مواد شیمیایی صنعتی و بسیاری از محصولات دیگر که در حال حاضر از نفت یا گاز طبیعی تولید می شوند ، مورد استفاده قرار بگیرد.</x:v>
      </x:c>
      <x:c r="I1515" s="39" t="str">
        <x:v>پس از تثبیت پایه‌ها؛ پروژه‌محور</x:v>
      </x:c>
      <x:c r="J1515" s="39" t="str">
        <x:v>منتور صنعت/امکان‌سنجی</x:v>
      </x:c>
      <x:c r="K1515" s="39" t="str"/>
      <x:c r="L1515" s="39" t="str">
        <x:v>AP:P1301</x:v>
      </x:c>
      <x:c r="M1515" s="39" t="str"/>
      <x:c r="N1515" s="39" t="str">
        <x:v>نسخه پایه ۳۱۵۰</x:v>
      </x:c>
    </x:row>
    <x:row r="1516" ht="34" customHeight="1">
      <x:c r="A1516" s="34" t="str">
        <x:v>☐</x:v>
      </x:c>
      <x:c r="B1516" s="34" t="str">
        <x:v>MI-1689</x:v>
      </x:c>
      <x:c r="C1516" s="34" t="str">
        <x:v>M4 — اجرا، دانشگاه، صنعت و پروژه‌های اجتماعی</x:v>
      </x:c>
      <x:c r="D1516" s="34" t="str">
        <x:v>H12</x:v>
      </x:c>
      <x:c r="E1516" s="34" t="str">
        <x:v>صنعت، انرژی، محیط‌زیست، کشاورزی و پروژه‌های تولیدی</x:v>
      </x:c>
      <x:c r="F1516" s="34" t="str">
        <x:v>P2</x:v>
      </x:c>
      <x:c r="G1516" s="34" t="str">
        <x:v>پروژه/طرح</x:v>
      </x:c>
      <x:c r="H1516" s="39" t="str">
        <x:v>o راه اندازی پروژه مشترک با یک صنعت محلی</x:v>
      </x:c>
      <x:c r="I1516" s="39" t="str">
        <x:v>پس از تثبیت پایه‌ها؛ پروژه‌محور</x:v>
      </x:c>
      <x:c r="J1516" s="39" t="str">
        <x:v>منتور صنعت/امکان‌سنجی</x:v>
      </x:c>
      <x:c r="K1516" s="39" t="str"/>
      <x:c r="L1516" s="39" t="str">
        <x:v>E112:P155؛ E112:P1666؛ E112:P1937؛ E112:P2403</x:v>
      </x:c>
      <x:c r="M1516" s="39" t="str"/>
      <x:c r="N1516" s="39" t="str">
        <x:v>نسخه پایه ۳۱۵۰</x:v>
      </x:c>
    </x:row>
    <x:row r="1517" ht="34" customHeight="1">
      <x:c r="A1517" s="34" t="str">
        <x:v>☐</x:v>
      </x:c>
      <x:c r="B1517" s="34" t="str">
        <x:v>MI-1700</x:v>
      </x:c>
      <x:c r="C1517" s="34" t="str">
        <x:v>M4 — اجرا، دانشگاه، صنعت و پروژه‌های اجتماعی</x:v>
      </x:c>
      <x:c r="D1517" s="34" t="str">
        <x:v>H12</x:v>
      </x:c>
      <x:c r="E1517" s="34" t="str">
        <x:v>صنعت، انرژی، محیط‌زیست، کشاورزی و پروژه‌های تولیدی</x:v>
      </x:c>
      <x:c r="F1517" s="34" t="str">
        <x:v>P2</x:v>
      </x:c>
      <x:c r="G1517" s="34" t="str">
        <x:v>پروژه/طرح</x:v>
      </x:c>
      <x:c r="H1517" s="39" t="str">
        <x:v>• تمرکز روی پروژه های صادرات محور (مثلاً فرآوری مرکبات، کیوی، آبزیان).</x:v>
      </x:c>
      <x:c r="I1517" s="39" t="str">
        <x:v>پس از تثبیت پایه‌ها؛ پروژه‌محور</x:v>
      </x:c>
      <x:c r="J1517" s="39" t="str">
        <x:v>منتور صنعت/امکان‌سنجی</x:v>
      </x:c>
      <x:c r="K1517" s="39" t="str"/>
      <x:c r="L1517" s="39" t="str">
        <x:v>E112:P166؛ E112:P1681؛ E112:P1948؛ E112:P2414</x:v>
      </x:c>
      <x:c r="M1517" s="39" t="str"/>
      <x:c r="N1517" s="39" t="str">
        <x:v>نسخه پایه ۳۱۵۰</x:v>
      </x:c>
    </x:row>
    <x:row r="1518" ht="34" customHeight="1">
      <x:c r="A1518" s="34" t="str">
        <x:v>☐</x:v>
      </x:c>
      <x:c r="B1518" s="34" t="str">
        <x:v>MI-1929</x:v>
      </x:c>
      <x:c r="C1518" s="34" t="str">
        <x:v>M4 — اجرا، دانشگاه، صنعت و پروژه‌های اجتماعی</x:v>
      </x:c>
      <x:c r="D1518" s="34" t="str">
        <x:v>H12</x:v>
      </x:c>
      <x:c r="E1518" s="34" t="str">
        <x:v>صنعت، انرژی، محیط‌زیست، کشاورزی و پروژه‌های تولیدی</x:v>
      </x:c>
      <x:c r="F1518" s="34" t="str">
        <x:v>P2</x:v>
      </x:c>
      <x:c r="G1518" s="34" t="str">
        <x:v>پروژه/طرح</x:v>
      </x:c>
      <x:c r="H1518" s="39" t="str">
        <x:v>کارخانه نوآوری</x:v>
      </x:c>
      <x:c r="I1518" s="39" t="str">
        <x:v>پس از تثبیت پایه‌ها؛ پروژه‌محور</x:v>
      </x:c>
      <x:c r="J1518" s="39" t="str">
        <x:v>منتور صنعت/امکان‌سنجی</x:v>
      </x:c>
      <x:c r="K1518" s="39" t="str"/>
      <x:c r="L1518" s="39" t="str">
        <x:v>E112:P534</x:v>
      </x:c>
      <x:c r="M1518" s="39" t="str"/>
      <x:c r="N1518" s="39" t="str">
        <x:v>نسخه پایه ۳۱۵۰</x:v>
      </x:c>
    </x:row>
    <x:row r="1519" ht="34" customHeight="1">
      <x:c r="A1519" s="34" t="str">
        <x:v>☐</x:v>
      </x:c>
      <x:c r="B1519" s="34" t="str">
        <x:v>MI-2237</x:v>
      </x:c>
      <x:c r="C1519" s="34" t="str">
        <x:v>M4 — اجرا، دانشگاه، صنعت و پروژه‌های اجتماعی</x:v>
      </x:c>
      <x:c r="D1519" s="34" t="str">
        <x:v>H12</x:v>
      </x:c>
      <x:c r="E1519" s="34" t="str">
        <x:v>صنعت، انرژی، محیط‌زیست، کشاورزی و پروژه‌های تولیدی</x:v>
      </x:c>
      <x:c r="F1519" s="34" t="str">
        <x:v>P2</x:v>
      </x:c>
      <x:c r="G1519" s="34" t="str">
        <x:v>پروژه/طرح</x:v>
      </x:c>
      <x:c r="H1519" s="39" t="str">
        <x:v>کارخانه نوآوری آزادی</x:v>
      </x:c>
      <x:c r="I1519" s="39" t="str">
        <x:v>پس از تثبیت پایه‌ها؛ پروژه‌محور</x:v>
      </x:c>
      <x:c r="J1519" s="39" t="str">
        <x:v>منتور صنعت/امکان‌سنجی</x:v>
      </x:c>
      <x:c r="K1519" s="39" t="str"/>
      <x:c r="L1519" s="39" t="str">
        <x:v>E112:P1108</x:v>
      </x:c>
      <x:c r="M1519" s="39" t="str"/>
      <x:c r="N1519" s="39" t="str">
        <x:v>نسخه پایه ۳۱۵۰</x:v>
      </x:c>
    </x:row>
    <x:row r="1520" ht="34" customHeight="1">
      <x:c r="A1520" s="34" t="str">
        <x:v>☐</x:v>
      </x:c>
      <x:c r="B1520" s="34" t="str">
        <x:v>MI-2468</x:v>
      </x:c>
      <x:c r="C1520" s="34" t="str">
        <x:v>M4 — اجرا، دانشگاه، صنعت و پروژه‌های اجتماعی</x:v>
      </x:c>
      <x:c r="D1520" s="34" t="str">
        <x:v>H12</x:v>
      </x:c>
      <x:c r="E1520" s="34" t="str">
        <x:v>صنعت، انرژی، محیط‌زیست، کشاورزی و پروژه‌های تولیدی</x:v>
      </x:c>
      <x:c r="F1520" s="34" t="str">
        <x:v>P2</x:v>
      </x:c>
      <x:c r="G1520" s="34" t="str">
        <x:v>پروژه/طرح</x:v>
      </x:c>
      <x:c r="H1520" s="39" t="str">
        <x:v>ایجاد پروژه های مشترک صنعتی</x:v>
      </x:c>
      <x:c r="I1520" s="39" t="str">
        <x:v>پس از تثبیت پایه‌ها؛ پروژه‌محور</x:v>
      </x:c>
      <x:c r="J1520" s="39" t="str">
        <x:v>منتور صنعت/امکان‌سنجی</x:v>
      </x:c>
      <x:c r="K1520" s="39" t="str"/>
      <x:c r="L1520" s="39" t="str">
        <x:v>E112:P1766</x:v>
      </x:c>
      <x:c r="M1520" s="39" t="str"/>
      <x:c r="N1520" s="39" t="str">
        <x:v>نسخه پایه ۳۱۵۰</x:v>
      </x:c>
    </x:row>
    <x:row r="1521" ht="34" customHeight="1">
      <x:c r="A1521" s="34" t="str">
        <x:v>☐</x:v>
      </x:c>
      <x:c r="B1521" s="34" t="str">
        <x:v>MI-2476</x:v>
      </x:c>
      <x:c r="C1521" s="34" t="str">
        <x:v>M4 — اجرا، دانشگاه، صنعت و پروژه‌های اجتماعی</x:v>
      </x:c>
      <x:c r="D1521" s="34" t="str">
        <x:v>H12</x:v>
      </x:c>
      <x:c r="E1521" s="34" t="str">
        <x:v>صنعت، انرژی، محیط‌زیست، کشاورزی و پروژه‌های تولیدی</x:v>
      </x:c>
      <x:c r="F1521" s="34" t="str">
        <x:v>P2</x:v>
      </x:c>
      <x:c r="G1521" s="34" t="str">
        <x:v>پروژه/طرح</x:v>
      </x:c>
      <x:c r="H1521" s="39" t="str">
        <x:v>ایجاد پایلوت های صنعتی و استارتاپی</x:v>
      </x:c>
      <x:c r="I1521" s="39" t="str">
        <x:v>پس از تثبیت پایه‌ها؛ پروژه‌محور</x:v>
      </x:c>
      <x:c r="J1521" s="39" t="str">
        <x:v>منتور صنعت/امکان‌سنجی</x:v>
      </x:c>
      <x:c r="K1521" s="39" t="str"/>
      <x:c r="L1521" s="39" t="str">
        <x:v>E112:P1778</x:v>
      </x:c>
      <x:c r="M1521" s="39" t="str"/>
      <x:c r="N1521" s="39" t="str">
        <x:v>نسخه پایه ۳۱۵۰</x:v>
      </x:c>
    </x:row>
    <x:row r="1522" ht="34" customHeight="1">
      <x:c r="A1522" s="34" t="str">
        <x:v>☐</x:v>
      </x:c>
      <x:c r="B1522" s="34" t="str">
        <x:v>MI-2617</x:v>
      </x:c>
      <x:c r="C1522" s="34" t="str">
        <x:v>M4 — اجرا، دانشگاه، صنعت و پروژه‌های اجتماعی</x:v>
      </x:c>
      <x:c r="D1522" s="34" t="str">
        <x:v>H12</x:v>
      </x:c>
      <x:c r="E1522" s="34" t="str">
        <x:v>صنعت، انرژی، محیط‌زیست، کشاورزی و پروژه‌های تولیدی</x:v>
      </x:c>
      <x:c r="F1522" s="34" t="str">
        <x:v>P2</x:v>
      </x:c>
      <x:c r="G1522" s="34" t="str">
        <x:v>پروژه/طرح</x:v>
      </x:c>
      <x:c r="H1522" s="39" t="str">
        <x:v>مسایل واقعی صنعت به پروژه تبدیل شوند</x:v>
      </x:c>
      <x:c r="I1522" s="39" t="str">
        <x:v>پس از تثبیت پایه‌ها؛ پروژه‌محور</x:v>
      </x:c>
      <x:c r="J1522" s="39" t="str">
        <x:v>منتور صنعت/امکان‌سنجی</x:v>
      </x:c>
      <x:c r="K1522" s="39" t="str"/>
      <x:c r="L1522" s="39" t="str">
        <x:v>E112:P2452</x:v>
      </x:c>
      <x:c r="M1522" s="39" t="str"/>
      <x:c r="N1522" s="39" t="str">
        <x:v>نسخه پایه ۳۱۵۰</x:v>
      </x:c>
    </x:row>
    <x:row r="1523" ht="34" customHeight="1">
      <x:c r="A1523" s="34" t="str">
        <x:v>☐</x:v>
      </x:c>
      <x:c r="B1523" s="34" t="str">
        <x:v>MI-2715</x:v>
      </x:c>
      <x:c r="C1523" s="34" t="str">
        <x:v>M4 — اجرا، دانشگاه، صنعت و پروژه‌های اجتماعی</x:v>
      </x:c>
      <x:c r="D1523" s="34" t="str">
        <x:v>H12</x:v>
      </x:c>
      <x:c r="E1523" s="34" t="str">
        <x:v>صنعت، انرژی، محیط‌زیست، کشاورزی و پروژه‌های تولیدی</x:v>
      </x:c>
      <x:c r="F1523" s="34" t="str">
        <x:v>P2</x:v>
      </x:c>
      <x:c r="G1523" s="34" t="str">
        <x:v>پروژه/طرح</x:v>
      </x:c>
      <x:c r="H1523" s="39" t="str">
        <x:v>11. پروژه های مسیله محور صنعتی</x:v>
      </x:c>
      <x:c r="I1523" s="39" t="str">
        <x:v>پس از تثبیت پایه‌ها؛ پروژه‌محور</x:v>
      </x:c>
      <x:c r="J1523" s="39" t="str">
        <x:v>منتور صنعت/امکان‌سنجی</x:v>
      </x:c>
      <x:c r="K1523" s="39" t="str"/>
      <x:c r="L1523" s="39" t="str">
        <x:v>E112:P2717</x:v>
      </x:c>
      <x:c r="M1523" s="39" t="str"/>
      <x:c r="N1523" s="39" t="str">
        <x:v>نسخه پایه ۳۱۵۰</x:v>
      </x:c>
    </x:row>
    <x:row r="1524" ht="34" customHeight="1">
      <x:c r="A1524" s="34" t="str">
        <x:v>☐</x:v>
      </x:c>
      <x:c r="B1524" s="34" t="str">
        <x:v>MI-2820</x:v>
      </x:c>
      <x:c r="C1524" s="34" t="str">
        <x:v>M4 — اجرا، دانشگاه، صنعت و پروژه‌های اجتماعی</x:v>
      </x:c>
      <x:c r="D1524" s="34" t="str">
        <x:v>H12</x:v>
      </x:c>
      <x:c r="E1524" s="34" t="str">
        <x:v>صنعت، انرژی، محیط‌زیست، کشاورزی و پروژه‌های تولیدی</x:v>
      </x:c>
      <x:c r="F1524" s="34" t="str">
        <x:v>P2</x:v>
      </x:c>
      <x:c r="G1524" s="34" t="str">
        <x:v>پروژه/طرح</x:v>
      </x:c>
      <x:c r="H1524" s="39" t="str">
        <x:v>این آکادمی بر اساس نیاز بازار و پروژه ها محتوا تولید می کند.</x:v>
      </x:c>
      <x:c r="I1524" s="39" t="str">
        <x:v>پس از تثبیت پایه‌ها؛ پروژه‌محور</x:v>
      </x:c>
      <x:c r="J1524" s="39" t="str">
        <x:v>منتور صنعت/امکان‌سنجی</x:v>
      </x:c>
      <x:c r="K1524" s="39" t="str"/>
      <x:c r="L1524" s="39" t="str">
        <x:v>E112:P2999</x:v>
      </x:c>
      <x:c r="M1524" s="39" t="str"/>
      <x:c r="N1524" s="39" t="str">
        <x:v>نسخه پایه ۳۱۵۰</x:v>
      </x:c>
    </x:row>
    <x:row r="1525" ht="34" customHeight="1">
      <x:c r="A1525" s="34" t="str">
        <x:v>☐</x:v>
      </x:c>
      <x:c r="B1525" s="34" t="str">
        <x:v>MI-2879</x:v>
      </x:c>
      <x:c r="C1525" s="34" t="str">
        <x:v>M4 — اجرا، دانشگاه، صنعت و پروژه‌های اجتماعی</x:v>
      </x:c>
      <x:c r="D1525" s="34" t="str">
        <x:v>H12</x:v>
      </x:c>
      <x:c r="E1525" s="34" t="str">
        <x:v>صنعت، انرژی، محیط‌زیست، کشاورزی و پروژه‌های تولیدی</x:v>
      </x:c>
      <x:c r="F1525" s="34" t="str">
        <x:v>P2</x:v>
      </x:c>
      <x:c r="G1525" s="34" t="str">
        <x:v>پروژه/طرح</x:v>
      </x:c>
      <x:c r="H1525" s="39" t="str">
        <x:v>پروژه های صنعتی</x:v>
      </x:c>
      <x:c r="I1525" s="39" t="str">
        <x:v>پس از تثبیت پایه‌ها؛ پروژه‌محور</x:v>
      </x:c>
      <x:c r="J1525" s="39" t="str">
        <x:v>منتور صنعت/امکان‌سنجی</x:v>
      </x:c>
      <x:c r="K1525" s="39" t="str"/>
      <x:c r="L1525" s="39" t="str">
        <x:v>E112:P3207</x:v>
      </x:c>
      <x:c r="M1525" s="39" t="str"/>
      <x:c r="N1525" s="39" t="str">
        <x:v>نسخه پایه ۳۱۵۰</x:v>
      </x:c>
    </x:row>
    <x:row r="1526" ht="34" customHeight="1">
      <x:c r="A1526" s="34" t="str">
        <x:v>☐</x:v>
      </x:c>
      <x:c r="B1526" s="34" t="str">
        <x:v>MI-2912</x:v>
      </x:c>
      <x:c r="C1526" s="34" t="str">
        <x:v>M4 — اجرا، دانشگاه، صنعت و پروژه‌های اجتماعی</x:v>
      </x:c>
      <x:c r="D1526" s="34" t="str">
        <x:v>H12</x:v>
      </x:c>
      <x:c r="E1526" s="34" t="str">
        <x:v>صنعت، انرژی، محیط‌زیست، کشاورزی و پروژه‌های تولیدی</x:v>
      </x:c>
      <x:c r="F1526" s="34" t="str">
        <x:v>P2</x:v>
      </x:c>
      <x:c r="G1526" s="34" t="str">
        <x:v>پروژه/طرح</x:v>
      </x:c>
      <x:c r="H1526" s="39" t="str">
        <x:v>واحد صنعت و پروژه ها</x:v>
      </x:c>
      <x:c r="I1526" s="39" t="str">
        <x:v>پس از تثبیت پایه‌ها؛ پروژه‌محور</x:v>
      </x:c>
      <x:c r="J1526" s="39" t="str">
        <x:v>منتور صنعت/امکان‌سنجی</x:v>
      </x:c>
      <x:c r="K1526" s="39" t="str"/>
      <x:c r="L1526" s="39" t="str">
        <x:v>E112:P3263</x:v>
      </x:c>
      <x:c r="M1526" s="39" t="str"/>
      <x:c r="N1526" s="39" t="str">
        <x:v>نسخه پایه ۳۱۵۰</x:v>
      </x:c>
    </x:row>
    <x:row r="1527" ht="34" customHeight="1">
      <x:c r="A1527" s="34" t="str">
        <x:v>☐</x:v>
      </x:c>
      <x:c r="B1527" s="34" t="str">
        <x:v>MI-2940</x:v>
      </x:c>
      <x:c r="C1527" s="34" t="str">
        <x:v>M4 — اجرا، دانشگاه، صنعت و پروژه‌های اجتماعی</x:v>
      </x:c>
      <x:c r="D1527" s="34" t="str">
        <x:v>H12</x:v>
      </x:c>
      <x:c r="E1527" s="34" t="str">
        <x:v>صنعت، انرژی، محیط‌زیست، کشاورزی و پروژه‌های تولیدی</x:v>
      </x:c>
      <x:c r="F1527" s="34" t="str">
        <x:v>P2</x:v>
      </x:c>
      <x:c r="G1527" s="34" t="str">
        <x:v>پروژه/طرح</x:v>
      </x:c>
      <x:c r="H1527" s="39" t="str">
        <x:v>مدیر صنعت و پروژه ها (Industry Programs)</x:v>
      </x:c>
      <x:c r="I1527" s="39" t="str">
        <x:v>پس از تثبیت پایه‌ها؛ پروژه‌محور</x:v>
      </x:c>
      <x:c r="J1527" s="39" t="str">
        <x:v>منتور صنعت/امکان‌سنجی</x:v>
      </x:c>
      <x:c r="K1527" s="39" t="str"/>
      <x:c r="L1527" s="39" t="str">
        <x:v>E112:P3308</x:v>
      </x:c>
      <x:c r="M1527" s="39" t="str"/>
      <x:c r="N1527" s="39" t="str">
        <x:v>نسخه پایه ۳۱۵۰</x:v>
      </x:c>
    </x:row>
    <x:row r="1528" ht="34" customHeight="1">
      <x:c r="A1528" s="34" t="str">
        <x:v>☐</x:v>
      </x:c>
      <x:c r="B1528" s="34" t="str">
        <x:v>MI-2982</x:v>
      </x:c>
      <x:c r="C1528" s="34" t="str">
        <x:v>M4 — اجرا، دانشگاه، صنعت و پروژه‌های اجتماعی</x:v>
      </x:c>
      <x:c r="D1528" s="34" t="str">
        <x:v>H12</x:v>
      </x:c>
      <x:c r="E1528" s="34" t="str">
        <x:v>صنعت، انرژی، محیط‌زیست، کشاورزی و پروژه‌های تولیدی</x:v>
      </x:c>
      <x:c r="F1528" s="34" t="str">
        <x:v>P2</x:v>
      </x:c>
      <x:c r="G1528" s="34" t="str">
        <x:v>پروژه/طرح</x:v>
      </x:c>
      <x:c r="H1528" s="39" t="str">
        <x:v>پروژه های نوآوری صنعتی.</x:v>
      </x:c>
      <x:c r="I1528" s="39" t="str">
        <x:v>پس از تثبیت پایه‌ها؛ پروژه‌محور</x:v>
      </x:c>
      <x:c r="J1528" s="39" t="str">
        <x:v>منتور صنعت/امکان‌سنجی</x:v>
      </x:c>
      <x:c r="K1528" s="39" t="str"/>
      <x:c r="L1528" s="39" t="str">
        <x:v>E112:P3442</x:v>
      </x:c>
      <x:c r="M1528" s="39" t="str"/>
      <x:c r="N1528" s="39" t="str">
        <x:v>نسخه پایه ۳۱۵۰</x:v>
      </x:c>
    </x:row>
    <x:row r="1529" ht="34" customHeight="1">
      <x:c r="A1529" s="34" t="str">
        <x:v>☐</x:v>
      </x:c>
      <x:c r="B1529" s="34" t="str">
        <x:v>N115-0097</x:v>
      </x:c>
      <x:c r="C1529" s="34" t="str">
        <x:v>M4 — اجرا، دانشگاه، صنعت و پروژه‌های اجتماعی</x:v>
      </x:c>
      <x:c r="D1529" s="34" t="str">
        <x:v>H12</x:v>
      </x:c>
      <x:c r="E1529" s="34" t="str">
        <x:v>صنعت، انرژی، محیط‌زیست، کشاورزی و پروژه‌های تولیدی</x:v>
      </x:c>
      <x:c r="F1529" s="34" t="str">
        <x:v>P2</x:v>
      </x:c>
      <x:c r="G1529" s="34" t="str">
        <x:v>پروژه/طرح</x:v>
      </x:c>
      <x:c r="H1529" s="39" t="str">
        <x:v>مدل فرهنگ‌سازی و مشوق خانوار برای تفکیک و تحویل زباله</x:v>
      </x:c>
      <x:c r="I1529" s="39" t="str">
        <x:v>پایلوت کوچک و سنجش‌پذیر</x:v>
      </x:c>
      <x:c r="J1529" s="39" t="str">
        <x:v>منتور صنعت/امکان‌سنجی</x:v>
      </x:c>
      <x:c r="K1529" s="39" t="str">
        <x:v>بازیافت/رفتار</x:v>
      </x:c>
      <x:c r="L1529" s="39" t="str">
        <x:v>115:بخش بازیافت</x:v>
      </x:c>
      <x:c r="M1529" s="39" t="str"/>
      <x:c r="N1529" s="39" t="str">
        <x:v>1154878548.docx / ممیزی جدید</x:v>
      </x:c>
    </x:row>
    <x:row r="1530" ht="34" customHeight="1">
      <x:c r="A1530" s="34" t="str">
        <x:v>☐</x:v>
      </x:c>
      <x:c r="B1530" s="34" t="str">
        <x:v>N115-0098</x:v>
      </x:c>
      <x:c r="C1530" s="34" t="str">
        <x:v>M4 — اجرا، دانشگاه، صنعت و پروژه‌های اجتماعی</x:v>
      </x:c>
      <x:c r="D1530" s="34" t="str">
        <x:v>H12</x:v>
      </x:c>
      <x:c r="E1530" s="34" t="str">
        <x:v>صنعت، انرژی، محیط‌زیست، کشاورزی و پروژه‌های تولیدی</x:v>
      </x:c>
      <x:c r="F1530" s="34" t="str">
        <x:v>P2</x:v>
      </x:c>
      <x:c r="G1530" s="34" t="str">
        <x:v>پروژه/طرح</x:v>
      </x:c>
      <x:c r="H1530" s="39" t="str">
        <x:v>مدل مشوق اصناف برای بازیافت: مالیات سبک‌تر/تبلیغ/اقدام محیط‌زیستی</x:v>
      </x:c>
      <x:c r="I1530" s="39" t="str">
        <x:v>نیازمند بررسی حقوقی و اقتصادی</x:v>
      </x:c>
      <x:c r="J1530" s="39" t="str">
        <x:v>منتور صنعت/امکان‌سنجی</x:v>
      </x:c>
      <x:c r="K1530" s="39" t="str">
        <x:v>بازیافت/سیاست مشوق</x:v>
      </x:c>
      <x:c r="L1530" s="39" t="str">
        <x:v>115:بخش بازیافت</x:v>
      </x:c>
      <x:c r="M1530" s="39" t="str"/>
      <x:c r="N1530" s="39" t="str">
        <x:v>1154878548.docx / ممیزی جدید</x:v>
      </x:c>
    </x:row>
    <x:row r="1531" ht="34" customHeight="1">
      <x:c r="A1531" s="34" t="str">
        <x:v>☐</x:v>
      </x:c>
      <x:c r="B1531" s="34" t="str">
        <x:v>MI-0098</x:v>
      </x:c>
      <x:c r="C1531" s="34" t="str">
        <x:v>M4 — اجرا، دانشگاه، صنعت و پروژه‌های اجتماعی</x:v>
      </x:c>
      <x:c r="D1531" s="34" t="str">
        <x:v>H12</x:v>
      </x:c>
      <x:c r="E1531" s="34" t="str">
        <x:v>صنعت، انرژی، محیط‌زیست، کشاورزی و پروژه‌های تولیدی</x:v>
      </x:c>
      <x:c r="F1531" s="34" t="str">
        <x:v>P2</x:v>
      </x:c>
      <x:c r="G1531" s="34" t="str">
        <x:v>مهارت/یادگیری</x:v>
      </x:c>
      <x:c r="H1531" s="39" t="str">
        <x:v>آشنایی با فرآیندهای تصفیه آب فنتون سونولیز اکسیداس یون پیشرفته</x:v>
      </x:c>
      <x:c r="I1531" s="39" t="str">
        <x:v>پس از تثبیت پایه‌ها؛ پروژه‌محور</x:v>
      </x:c>
      <x:c r="J1531" s="39" t="str">
        <x:v>منتور صنعت/امکان‌سنجی</x:v>
      </x:c>
      <x:c r="K1531" s="39" t="str"/>
      <x:c r="L1531" s="39" t="str">
        <x:v>PL:R100</x:v>
      </x:c>
      <x:c r="M1531" s="39" t="str"/>
      <x:c r="N1531" s="39" t="str">
        <x:v>نسخه پایه ۳۱۵۰</x:v>
      </x:c>
    </x:row>
    <x:row r="1532" ht="34" customHeight="1">
      <x:c r="A1532" s="34" t="str">
        <x:v>☐</x:v>
      </x:c>
      <x:c r="B1532" s="34" t="str">
        <x:v>MI-0678</x:v>
      </x:c>
      <x:c r="C1532" s="34" t="str">
        <x:v>M4 — اجرا، دانشگاه، صنعت و پروژه‌های اجتماعی</x:v>
      </x:c>
      <x:c r="D1532" s="34" t="str">
        <x:v>H12</x:v>
      </x:c>
      <x:c r="E1532" s="34" t="str">
        <x:v>صنعت، انرژی، محیط‌زیست، کشاورزی و پروژه‌های تولیدی</x:v>
      </x:c>
      <x:c r="F1532" s="34" t="str">
        <x:v>P2</x:v>
      </x:c>
      <x:c r="G1532" s="34" t="str">
        <x:v>مهارت/یادگیری</x:v>
      </x:c>
      <x:c r="H1532" s="39" t="str">
        <x:v>آموزش مبتنی با نیاز های صنعت</x:v>
      </x:c>
      <x:c r="I1532" s="39" t="str">
        <x:v>پس از تثبیت پایه‌ها؛ پروژه‌محور</x:v>
      </x:c>
      <x:c r="J1532" s="39" t="str">
        <x:v>منتور صنعت/امکان‌سنجی</x:v>
      </x:c>
      <x:c r="K1532" s="39" t="str"/>
      <x:c r="L1532" s="39" t="str">
        <x:v>AP:P467</x:v>
      </x:c>
      <x:c r="M1532" s="39" t="str"/>
      <x:c r="N1532" s="39" t="str">
        <x:v>نسخه پایه ۳۱۵۰</x:v>
      </x:c>
    </x:row>
    <x:row r="1533" ht="34" customHeight="1">
      <x:c r="A1533" s="34" t="str">
        <x:v>☐</x:v>
      </x:c>
      <x:c r="B1533" s="34" t="str">
        <x:v>MI-1313</x:v>
      </x:c>
      <x:c r="C1533" s="34" t="str">
        <x:v>M4 — اجرا، دانشگاه، صنعت و پروژه‌های اجتماعی</x:v>
      </x:c>
      <x:c r="D1533" s="34" t="str">
        <x:v>H12</x:v>
      </x:c>
      <x:c r="E1533" s="34" t="str">
        <x:v>صنعت، انرژی، محیط‌زیست، کشاورزی و پروژه‌های تولیدی</x:v>
      </x:c>
      <x:c r="F1533" s="34" t="str">
        <x:v>P2</x:v>
      </x:c>
      <x:c r="G1533" s="34" t="str">
        <x:v>مهارت/یادگیری</x:v>
      </x:c>
      <x:c r="H1533" s="39" t="str">
        <x:v>آموزش کودکان برای ساخت انواع کاردستی با مواد بازیافتی</x:v>
      </x:c>
      <x:c r="I1533" s="39" t="str">
        <x:v>پس از تثبیت پایه‌ها؛ پروژه‌محور</x:v>
      </x:c>
      <x:c r="J1533" s="39" t="str">
        <x:v>منتور صنعت/امکان‌سنجی</x:v>
      </x:c>
      <x:c r="K1533" s="39" t="str"/>
      <x:c r="L1533" s="39" t="str">
        <x:v>AP:P1205</x:v>
      </x:c>
      <x:c r="M1533" s="39" t="str"/>
      <x:c r="N1533" s="39" t="str">
        <x:v>نسخه پایه ۳۱۵۰</x:v>
      </x:c>
    </x:row>
    <x:row r="1534" ht="34" customHeight="1">
      <x:c r="A1534" s="34" t="str">
        <x:v>☐</x:v>
      </x:c>
      <x:c r="B1534" s="34" t="str">
        <x:v>MI-2507</x:v>
      </x:c>
      <x:c r="C1534" s="34" t="str">
        <x:v>M4 — اجرا، دانشگاه، صنعت و پروژه‌های اجتماعی</x:v>
      </x:c>
      <x:c r="D1534" s="34" t="str">
        <x:v>H12</x:v>
      </x:c>
      <x:c r="E1534" s="34" t="str">
        <x:v>صنعت، انرژی، محیط‌زیست، کشاورزی و پروژه‌های تولیدی</x:v>
      </x:c>
      <x:c r="F1534" s="34" t="str">
        <x:v>P2</x:v>
      </x:c>
      <x:c r="G1534" s="34" t="str">
        <x:v>مهارت/یادگیری</x:v>
      </x:c>
      <x:c r="H1534" s="39" t="str">
        <x:v>نرم افزارهای تخصصی صنعتی</x:v>
      </x:c>
      <x:c r="I1534" s="39" t="str">
        <x:v>پس از تثبیت پایه‌ها؛ پروژه‌محور</x:v>
      </x:c>
      <x:c r="J1534" s="39" t="str">
        <x:v>منتور صنعت/امکان‌سنجی</x:v>
      </x:c>
      <x:c r="K1534" s="39" t="str"/>
      <x:c r="L1534" s="39" t="str">
        <x:v>E112:P2017</x:v>
      </x:c>
      <x:c r="M1534" s="39" t="str"/>
      <x:c r="N1534" s="39" t="str">
        <x:v>نسخه پایه ۳۱۵۰</x:v>
      </x:c>
    </x:row>
    <x:row r="1535" ht="34" customHeight="1">
      <x:c r="A1535" s="34" t="str">
        <x:v>☐</x:v>
      </x:c>
      <x:c r="B1535" s="34" t="str">
        <x:v>MI-2654</x:v>
      </x:c>
      <x:c r="C1535" s="34" t="str">
        <x:v>M4 — اجرا، دانشگاه، صنعت و پروژه‌های اجتماعی</x:v>
      </x:c>
      <x:c r="D1535" s="34" t="str">
        <x:v>H12</x:v>
      </x:c>
      <x:c r="E1535" s="34" t="str">
        <x:v>صنعت، انرژی، محیط‌زیست، کشاورزی و پروژه‌های تولیدی</x:v>
      </x:c>
      <x:c r="F1535" s="34" t="str">
        <x:v>P2</x:v>
      </x:c>
      <x:c r="G1535" s="34" t="str">
        <x:v>مهارت/یادگیری</x:v>
      </x:c>
      <x:c r="H1535" s="39" t="str">
        <x:v>نرم افزارهای تخصصی کشاورزی</x:v>
      </x:c>
      <x:c r="I1535" s="39" t="str">
        <x:v>پس از تثبیت پایه‌ها؛ پروژه‌محور</x:v>
      </x:c>
      <x:c r="J1535" s="39" t="str">
        <x:v>منتور صنعت/امکان‌سنجی</x:v>
      </x:c>
      <x:c r="K1535" s="39" t="str"/>
      <x:c r="L1535" s="39" t="str">
        <x:v>E112:P2561</x:v>
      </x:c>
      <x:c r="M1535" s="39" t="str"/>
      <x:c r="N1535" s="39" t="str">
        <x:v>نسخه پایه ۳۱۵۰</x:v>
      </x:c>
    </x:row>
    <x:row r="1536" ht="34" customHeight="1">
      <x:c r="A1536" s="34" t="str">
        <x:v>☐</x:v>
      </x:c>
      <x:c r="B1536" s="34" t="str">
        <x:v>MI-0093</x:v>
      </x:c>
      <x:c r="C1536" s="34" t="str">
        <x:v>M4 — اجرا، دانشگاه، صنعت و پروژه‌های اجتماعی</x:v>
      </x:c>
      <x:c r="D1536" s="34" t="str">
        <x:v>H12</x:v>
      </x:c>
      <x:c r="E1536" s="34" t="str">
        <x:v>صنعت، انرژی، محیط‌زیست، کشاورزی و پروژه‌های تولیدی</x:v>
      </x:c>
      <x:c r="F1536" s="34" t="str">
        <x:v>P2</x:v>
      </x:c>
      <x:c r="G1536" s="34" t="str">
        <x:v>هدف/موضوع</x:v>
      </x:c>
      <x:c r="H1536" s="39" t="str">
        <x:v>دستگاه های تخصصی رشته صنایع غذایی</x:v>
      </x:c>
      <x:c r="I1536" s="39" t="str">
        <x:v>پس از تثبیت پایه‌ها؛ پروژه‌محور</x:v>
      </x:c>
      <x:c r="J1536" s="39" t="str">
        <x:v>منتور صنعت/امکان‌سنجی</x:v>
      </x:c>
      <x:c r="K1536" s="39" t="str"/>
      <x:c r="L1536" s="39" t="str">
        <x:v>PL:R95</x:v>
      </x:c>
      <x:c r="M1536" s="39" t="str"/>
      <x:c r="N1536" s="39" t="str">
        <x:v>نسخه پایه ۳۱۵۰</x:v>
      </x:c>
    </x:row>
    <x:row r="1537" ht="34" customHeight="1">
      <x:c r="A1537" s="34" t="str">
        <x:v>☐</x:v>
      </x:c>
      <x:c r="B1537" s="34" t="str">
        <x:v>MI-0177</x:v>
      </x:c>
      <x:c r="C1537" s="34" t="str">
        <x:v>M4 — اجرا، دانشگاه، صنعت و پروژه‌های اجتماعی</x:v>
      </x:c>
      <x:c r="D1537" s="34" t="str">
        <x:v>H12</x:v>
      </x:c>
      <x:c r="E1537" s="34" t="str">
        <x:v>صنعت، انرژی، محیط‌زیست، کشاورزی و پروژه‌های تولیدی</x:v>
      </x:c>
      <x:c r="F1537" s="34" t="str">
        <x:v>P2</x:v>
      </x:c>
      <x:c r="G1537" s="34" t="str">
        <x:v>هدف/موضوع</x:v>
      </x:c>
      <x:c r="H1537" s="39" t="str">
        <x:v>عارضه یابی صنایع تولیدی</x:v>
      </x:c>
      <x:c r="I1537" s="39" t="str">
        <x:v>پس از تثبیت پایه‌ها؛ پروژه‌محور</x:v>
      </x:c>
      <x:c r="J1537" s="39" t="str">
        <x:v>منتور صنعت/امکان‌سنجی</x:v>
      </x:c>
      <x:c r="K1537" s="39" t="str"/>
      <x:c r="L1537" s="39" t="str">
        <x:v>PL:R182</x:v>
      </x:c>
      <x:c r="M1537" s="39" t="str"/>
      <x:c r="N1537" s="39" t="str">
        <x:v>نسخه پایه ۳۱۵۰</x:v>
      </x:c>
    </x:row>
    <x:row r="1538" ht="34" customHeight="1">
      <x:c r="A1538" s="34" t="str">
        <x:v>☐</x:v>
      </x:c>
      <x:c r="B1538" s="34" t="str">
        <x:v>MI-0197</x:v>
      </x:c>
      <x:c r="C1538" s="34" t="str">
        <x:v>M4 — اجرا، دانشگاه، صنعت و پروژه‌های اجتماعی</x:v>
      </x:c>
      <x:c r="D1538" s="34" t="str">
        <x:v>H12</x:v>
      </x:c>
      <x:c r="E1538" s="34" t="str">
        <x:v>صنعت، انرژی، محیط‌زیست، کشاورزی و پروژه‌های تولیدی</x:v>
      </x:c>
      <x:c r="F1538" s="34" t="str">
        <x:v>P2</x:v>
      </x:c>
      <x:c r="G1538" s="34" t="str">
        <x:v>هدف/موضوع</x:v>
      </x:c>
      <x:c r="H1538" s="39" t="str">
        <x:v>مدیریت صنعتی</x:v>
      </x:c>
      <x:c r="I1538" s="39" t="str">
        <x:v>پس از تثبیت پایه‌ها؛ پروژه‌محور</x:v>
      </x:c>
      <x:c r="J1538" s="39" t="str">
        <x:v>منتور صنعت/امکان‌سنجی</x:v>
      </x:c>
      <x:c r="K1538" s="39" t="str"/>
      <x:c r="L1538" s="39" t="str">
        <x:v>PL:R203</x:v>
      </x:c>
      <x:c r="M1538" s="39" t="str"/>
      <x:c r="N1538" s="39" t="str">
        <x:v>نسخه پایه ۳۱۵۰</x:v>
      </x:c>
    </x:row>
    <x:row r="1539" ht="34" customHeight="1">
      <x:c r="A1539" s="34" t="str">
        <x:v>☐</x:v>
      </x:c>
      <x:c r="B1539" s="34" t="str">
        <x:v>MI-0232</x:v>
      </x:c>
      <x:c r="C1539" s="34" t="str">
        <x:v>M4 — اجرا، دانشگاه، صنعت و پروژه‌های اجتماعی</x:v>
      </x:c>
      <x:c r="D1539" s="34" t="str">
        <x:v>H12</x:v>
      </x:c>
      <x:c r="E1539" s="34" t="str">
        <x:v>صنعت، انرژی، محیط‌زیست، کشاورزی و پروژه‌های تولیدی</x:v>
      </x:c>
      <x:c r="F1539" s="34" t="str">
        <x:v>P2</x:v>
      </x:c>
      <x:c r="G1539" s="34" t="str">
        <x:v>هدف/موضوع</x:v>
      </x:c>
      <x:c r="H1539" s="39" t="str">
        <x:v>بازیافت</x:v>
      </x:c>
      <x:c r="I1539" s="39" t="str">
        <x:v>پس از تثبیت پایه‌ها؛ پروژه‌محور</x:v>
      </x:c>
      <x:c r="J1539" s="39" t="str">
        <x:v>منتور صنعت/امکان‌سنجی</x:v>
      </x:c>
      <x:c r="K1539" s="39" t="str"/>
      <x:c r="L1539" s="39" t="str">
        <x:v>AP:P1</x:v>
      </x:c>
      <x:c r="M1539" s="39" t="str"/>
      <x:c r="N1539" s="39" t="str">
        <x:v>نسخه پایه ۳۱۵۰</x:v>
      </x:c>
    </x:row>
    <x:row r="1540" ht="34" customHeight="1">
      <x:c r="A1540" s="34" t="str">
        <x:v>☐</x:v>
      </x:c>
      <x:c r="B1540" s="34" t="str">
        <x:v>MI-0241</x:v>
      </x:c>
      <x:c r="C1540" s="34" t="str">
        <x:v>M4 — اجرا، دانشگاه، صنعت و پروژه‌های اجتماعی</x:v>
      </x:c>
      <x:c r="D1540" s="34" t="str">
        <x:v>H12</x:v>
      </x:c>
      <x:c r="E1540" s="34" t="str">
        <x:v>صنعت، انرژی، محیط‌زیست، کشاورزی و پروژه‌های تولیدی</x:v>
      </x:c>
      <x:c r="F1540" s="34" t="str">
        <x:v>P2</x:v>
      </x:c>
      <x:c r="G1540" s="34" t="str">
        <x:v>هدف/موضوع</x:v>
      </x:c>
      <x:c r="H1540" s="39" t="str">
        <x:v>چالش های صنعت رو بررسی کرده و ارایه راهکار</x:v>
      </x:c>
      <x:c r="I1540" s="39" t="str">
        <x:v>پس از تثبیت پایه‌ها؛ پروژه‌محور</x:v>
      </x:c>
      <x:c r="J1540" s="39" t="str">
        <x:v>منتور صنعت/امکان‌سنجی</x:v>
      </x:c>
      <x:c r="K1540" s="39" t="str"/>
      <x:c r="L1540" s="39" t="str">
        <x:v>AP:P12</x:v>
      </x:c>
      <x:c r="M1540" s="39" t="str"/>
      <x:c r="N1540" s="39" t="str">
        <x:v>نسخه پایه ۳۱۵۰</x:v>
      </x:c>
    </x:row>
    <x:row r="1541" ht="34" customHeight="1">
      <x:c r="A1541" s="34" t="str">
        <x:v>☐</x:v>
      </x:c>
      <x:c r="B1541" s="34" t="str">
        <x:v>MI-0302</x:v>
      </x:c>
      <x:c r="C1541" s="34" t="str">
        <x:v>M4 — اجرا، دانشگاه، صنعت و پروژه‌های اجتماعی</x:v>
      </x:c>
      <x:c r="D1541" s="34" t="str">
        <x:v>H12</x:v>
      </x:c>
      <x:c r="E1541" s="34" t="str">
        <x:v>صنعت، انرژی، محیط‌زیست، کشاورزی و پروژه‌های تولیدی</x:v>
      </x:c>
      <x:c r="F1541" s="34" t="str">
        <x:v>P2</x:v>
      </x:c>
      <x:c r="G1541" s="34" t="str">
        <x:v>هدف/موضوع</x:v>
      </x:c>
      <x:c r="H1541" s="39" t="str">
        <x:v>واسه زیارت عاشورا هر چی دارن بزارن تو انباریا آبدارخونه</x:v>
      </x:c>
      <x:c r="I1541" s="39" t="str">
        <x:v>پس از تثبیت پایه‌ها؛ پروژه‌محور</x:v>
      </x:c>
      <x:c r="J1541" s="39" t="str">
        <x:v>منتور صنعت/امکان‌سنجی</x:v>
      </x:c>
      <x:c r="K1541" s="39" t="str"/>
      <x:c r="L1541" s="39" t="str">
        <x:v>AP:P74</x:v>
      </x:c>
      <x:c r="M1541" s="39" t="str"/>
      <x:c r="N1541" s="39" t="str">
        <x:v>نسخه پایه ۳۱۵۰</x:v>
      </x:c>
    </x:row>
    <x:row r="1542" ht="34" customHeight="1">
      <x:c r="A1542" s="34" t="str">
        <x:v>☐</x:v>
      </x:c>
      <x:c r="B1542" s="34" t="str">
        <x:v>MI-0673</x:v>
      </x:c>
      <x:c r="C1542" s="34" t="str">
        <x:v>M4 — اجرا، دانشگاه، صنعت و پروژه‌های اجتماعی</x:v>
      </x:c>
      <x:c r="D1542" s="34" t="str">
        <x:v>H12</x:v>
      </x:c>
      <x:c r="E1542" s="34" t="str">
        <x:v>صنعت، انرژی، محیط‌زیست، کشاورزی و پروژه‌های تولیدی</x:v>
      </x:c>
      <x:c r="F1542" s="34" t="str">
        <x:v>P2</x:v>
      </x:c>
      <x:c r="G1542" s="34" t="str">
        <x:v>هدف/موضوع</x:v>
      </x:c>
      <x:c r="H1542" s="39" t="str">
        <x:v>تولید محتوا</x:v>
      </x:c>
      <x:c r="I1542" s="39" t="str">
        <x:v>پس از تثبیت پایه‌ها؛ پروژه‌محور</x:v>
      </x:c>
      <x:c r="J1542" s="39" t="str">
        <x:v>منتور صنعت/امکان‌سنجی</x:v>
      </x:c>
      <x:c r="K1542" s="39" t="str"/>
      <x:c r="L1542" s="39" t="str">
        <x:v>AP:P462</x:v>
      </x:c>
      <x:c r="M1542" s="39" t="str"/>
      <x:c r="N1542" s="39" t="str">
        <x:v>نسخه پایه ۳۱۵۰</x:v>
      </x:c>
    </x:row>
    <x:row r="1543" ht="34" customHeight="1">
      <x:c r="A1543" s="34" t="str">
        <x:v>☐</x:v>
      </x:c>
      <x:c r="B1543" s="34" t="str">
        <x:v>MI-1621</x:v>
      </x:c>
      <x:c r="C1543" s="34" t="str">
        <x:v>M4 — اجرا، دانشگاه، صنعت و پروژه‌های اجتماعی</x:v>
      </x:c>
      <x:c r="D1543" s="34" t="str">
        <x:v>H12</x:v>
      </x:c>
      <x:c r="E1543" s="34" t="str">
        <x:v>صنعت، انرژی، محیط‌زیست، کشاورزی و پروژه‌های تولیدی</x:v>
      </x:c>
      <x:c r="F1543" s="34" t="str">
        <x:v>P2</x:v>
      </x:c>
      <x:c r="G1543" s="34" t="str">
        <x:v>هدف/موضوع</x:v>
      </x:c>
      <x:c r="H1543" s="39" t="str">
        <x:v>3. اقتصاد دریا</x:v>
      </x:c>
      <x:c r="I1543" s="39" t="str">
        <x:v>پس از تثبیت پایه‌ها؛ پروژه‌محور</x:v>
      </x:c>
      <x:c r="J1543" s="39" t="str">
        <x:v>منتور صنعت/امکان‌سنجی</x:v>
      </x:c>
      <x:c r="K1543" s="39" t="str"/>
      <x:c r="L1543" s="39" t="str">
        <x:v>E112:P80؛ E112:P1052؛ E112:P1058؛ E112:P1286؛ E112:P1548؛ E112:P1860؛ E112:P2326</x:v>
      </x:c>
      <x:c r="M1543" s="39" t="str"/>
      <x:c r="N1543" s="39" t="str">
        <x:v>نسخه پایه ۳۱۵۰</x:v>
      </x:c>
    </x:row>
    <x:row r="1544" ht="34" customHeight="1">
      <x:c r="A1544" s="34" t="str">
        <x:v>☐</x:v>
      </x:c>
      <x:c r="B1544" s="34" t="str">
        <x:v>MI-1638</x:v>
      </x:c>
      <x:c r="C1544" s="34" t="str">
        <x:v>M4 — اجرا، دانشگاه، صنعت و پروژه‌های اجتماعی</x:v>
      </x:c>
      <x:c r="D1544" s="34" t="str">
        <x:v>H12</x:v>
      </x:c>
      <x:c r="E1544" s="34" t="str">
        <x:v>صنعت، انرژی، محیط‌زیست، کشاورزی و پروژه‌های تولیدی</x:v>
      </x:c>
      <x:c r="F1544" s="34" t="str">
        <x:v>P2</x:v>
      </x:c>
      <x:c r="G1544" s="34" t="str">
        <x:v>هدف/موضوع</x:v>
      </x:c>
      <x:c r="H1544" s="39" t="str">
        <x:v>• صنایع غذایی</x:v>
      </x:c>
      <x:c r="I1544" s="39" t="str">
        <x:v>پس از تثبیت پایه‌ها؛ پروژه‌محور</x:v>
      </x:c>
      <x:c r="J1544" s="39" t="str">
        <x:v>منتور صنعت/امکان‌سنجی</x:v>
      </x:c>
      <x:c r="K1544" s="39" t="str"/>
      <x:c r="L1544" s="39" t="str">
        <x:v>E112:P100؛ E112:P800؛ E112:P1072؛ E112:P1575؛ E112:P1880؛ E112:P2089؛ E112:P2346؛ E112:P3050؛ E112:P3418</x:v>
      </x:c>
      <x:c r="M1544" s="39" t="str"/>
      <x:c r="N1544" s="39" t="str">
        <x:v>نسخه پایه ۳۱۵۰</x:v>
      </x:c>
    </x:row>
    <x:row r="1545" ht="34" customHeight="1">
      <x:c r="A1545" s="34" t="str">
        <x:v>☐</x:v>
      </x:c>
      <x:c r="B1545" s="34" t="str">
        <x:v>MI-1639</x:v>
      </x:c>
      <x:c r="C1545" s="34" t="str">
        <x:v>M4 — اجرا، دانشگاه، صنعت و پروژه‌های اجتماعی</x:v>
      </x:c>
      <x:c r="D1545" s="34" t="str">
        <x:v>H12</x:v>
      </x:c>
      <x:c r="E1545" s="34" t="str">
        <x:v>صنعت، انرژی، محیط‌زیست، کشاورزی و پروژه‌های تولیدی</x:v>
      </x:c>
      <x:c r="F1545" s="34" t="str">
        <x:v>P2</x:v>
      </x:c>
      <x:c r="G1545" s="34" t="str">
        <x:v>هدف/موضوع</x:v>
      </x:c>
      <x:c r="H1545" s="39" t="str">
        <x:v>• محصولات کشاورزی</x:v>
      </x:c>
      <x:c r="I1545" s="39" t="str">
        <x:v>پس از تثبیت پایه‌ها؛ پروژه‌محور</x:v>
      </x:c>
      <x:c r="J1545" s="39" t="str">
        <x:v>منتور صنعت/امکان‌سنجی</x:v>
      </x:c>
      <x:c r="K1545" s="39" t="str"/>
      <x:c r="L1545" s="39" t="str">
        <x:v>E112:P101؛ E112:P1576؛ E112:P1881؛ E112:P2347</x:v>
      </x:c>
      <x:c r="M1545" s="39" t="str"/>
      <x:c r="N1545" s="39" t="str">
        <x:v>نسخه پایه ۳۱۵۰</x:v>
      </x:c>
    </x:row>
    <x:row r="1546" ht="34" customHeight="1">
      <x:c r="A1546" s="34" t="str">
        <x:v>☐</x:v>
      </x:c>
      <x:c r="B1546" s="34" t="str">
        <x:v>MI-1640</x:v>
      </x:c>
      <x:c r="C1546" s="34" t="str">
        <x:v>M4 — اجرا، دانشگاه، صنعت و پروژه‌های اجتماعی</x:v>
      </x:c>
      <x:c r="D1546" s="34" t="str">
        <x:v>H12</x:v>
      </x:c>
      <x:c r="E1546" s="34" t="str">
        <x:v>صنعت، انرژی، محیط‌زیست، کشاورزی و پروژه‌های تولیدی</x:v>
      </x:c>
      <x:c r="F1546" s="34" t="str">
        <x:v>P2</x:v>
      </x:c>
      <x:c r="G1546" s="34" t="str">
        <x:v>هدف/موضوع</x:v>
      </x:c>
      <x:c r="H1546" s="39" t="str">
        <x:v>• گلخانه و کشاورزی مدرن</x:v>
      </x:c>
      <x:c r="I1546" s="39" t="str">
        <x:v>پس از تثبیت پایه‌ها؛ پروژه‌محور</x:v>
      </x:c>
      <x:c r="J1546" s="39" t="str">
        <x:v>منتور صنعت/امکان‌سنجی</x:v>
      </x:c>
      <x:c r="K1546" s="39" t="str"/>
      <x:c r="L1546" s="39" t="str">
        <x:v>E112:P102؛ E112:P1577؛ E112:P1882؛ E112:P2348</x:v>
      </x:c>
      <x:c r="M1546" s="39" t="str"/>
      <x:c r="N1546" s="39" t="str">
        <x:v>نسخه پایه ۳۱۵۰</x:v>
      </x:c>
    </x:row>
    <x:row r="1547" ht="34" customHeight="1">
      <x:c r="A1547" s="34" t="str">
        <x:v>☐</x:v>
      </x:c>
      <x:c r="B1547" s="34" t="str">
        <x:v>MI-1641</x:v>
      </x:c>
      <x:c r="C1547" s="34" t="str">
        <x:v>M4 — اجرا، دانشگاه، صنعت و پروژه‌های اجتماعی</x:v>
      </x:c>
      <x:c r="D1547" s="34" t="str">
        <x:v>H12</x:v>
      </x:c>
      <x:c r="E1547" s="34" t="str">
        <x:v>صنعت، انرژی، محیط‌زیست، کشاورزی و پروژه‌های تولیدی</x:v>
      </x:c>
      <x:c r="F1547" s="34" t="str">
        <x:v>P2</x:v>
      </x:c>
      <x:c r="G1547" s="34" t="str">
        <x:v>هدف/موضوع</x:v>
      </x:c>
      <x:c r="H1547" s="39" t="str">
        <x:v>• شیلات و آبزیان</x:v>
      </x:c>
      <x:c r="I1547" s="39" t="str">
        <x:v>پس از تثبیت پایه‌ها؛ پروژه‌محور</x:v>
      </x:c>
      <x:c r="J1547" s="39" t="str">
        <x:v>منتور صنعت/امکان‌سنجی</x:v>
      </x:c>
      <x:c r="K1547" s="39" t="str"/>
      <x:c r="L1547" s="39" t="str">
        <x:v>E112:P103؛ E112:P1578؛ E112:P1883؛ E112:P2349</x:v>
      </x:c>
      <x:c r="M1547" s="39" t="str"/>
      <x:c r="N1547" s="39" t="str">
        <x:v>نسخه پایه ۳۱۵۰</x:v>
      </x:c>
    </x:row>
    <x:row r="1548" ht="34" customHeight="1">
      <x:c r="A1548" s="34" t="str">
        <x:v>☐</x:v>
      </x:c>
      <x:c r="B1548" s="34" t="str">
        <x:v>MI-1655</x:v>
      </x:c>
      <x:c r="C1548" s="34" t="str">
        <x:v>M4 — اجرا، دانشگاه، صنعت و پروژه‌های اجتماعی</x:v>
      </x:c>
      <x:c r="D1548" s="34" t="str">
        <x:v>H12</x:v>
      </x:c>
      <x:c r="E1548" s="34" t="str">
        <x:v>صنعت، انرژی، محیط‌زیست، کشاورزی و پروژه‌های تولیدی</x:v>
      </x:c>
      <x:c r="F1548" s="34" t="str">
        <x:v>P2</x:v>
      </x:c>
      <x:c r="G1548" s="34" t="str">
        <x:v>هدف/موضوع</x:v>
      </x:c>
      <x:c r="H1548" s="39" t="str">
        <x:v>• شریک صنعتی محلی</x:v>
      </x:c>
      <x:c r="I1548" s="39" t="str">
        <x:v>پس از تثبیت پایه‌ها؛ پروژه‌محور</x:v>
      </x:c>
      <x:c r="J1548" s="39" t="str">
        <x:v>منتور صنعت/امکان‌سنجی</x:v>
      </x:c>
      <x:c r="K1548" s="39" t="str"/>
      <x:c r="L1548" s="39" t="str">
        <x:v>E112:P119؛ E112:P1598؛ E112:P1899؛ E112:P2365</x:v>
      </x:c>
      <x:c r="M1548" s="39" t="str"/>
      <x:c r="N1548" s="39" t="str">
        <x:v>نسخه پایه ۳۱۵۰</x:v>
      </x:c>
    </x:row>
    <x:row r="1549" ht="34" customHeight="1">
      <x:c r="A1549" s="34" t="str">
        <x:v>☐</x:v>
      </x:c>
      <x:c r="B1549" s="34" t="str">
        <x:v>MI-1664</x:v>
      </x:c>
      <x:c r="C1549" s="34" t="str">
        <x:v>M4 — اجرا، دانشگاه، صنعت و پروژه‌های اجتماعی</x:v>
      </x:c>
      <x:c r="D1549" s="34" t="str">
        <x:v>H12</x:v>
      </x:c>
      <x:c r="E1549" s="34" t="str">
        <x:v>صنعت، انرژی، محیط‌زیست، کشاورزی و پروژه‌های تولیدی</x:v>
      </x:c>
      <x:c r="F1549" s="34" t="str">
        <x:v>P2</x:v>
      </x:c>
      <x:c r="G1549" s="34" t="str">
        <x:v>هدف/موضوع</x:v>
      </x:c>
      <x:c r="H1549" s="39" t="str">
        <x:v>• صادرات صنایع غذایی شمال</x:v>
      </x:c>
      <x:c r="I1549" s="39" t="str">
        <x:v>پس از تثبیت پایه‌ها؛ پروژه‌محور</x:v>
      </x:c>
      <x:c r="J1549" s="39" t="str">
        <x:v>منتور صنعت/امکان‌سنجی</x:v>
      </x:c>
      <x:c r="K1549" s="39" t="str"/>
      <x:c r="L1549" s="39" t="str">
        <x:v>E112:P129؛ E112:P1613؛ E112:P1909؛ E112:P2375</x:v>
      </x:c>
      <x:c r="M1549" s="39" t="str"/>
      <x:c r="N1549" s="39" t="str">
        <x:v>نسخه پایه ۳۱۵۰</x:v>
      </x:c>
    </x:row>
    <x:row r="1550" ht="34" customHeight="1">
      <x:c r="A1550" s="34" t="str">
        <x:v>☐</x:v>
      </x:c>
      <x:c r="B1550" s="34" t="str">
        <x:v>MI-1665</x:v>
      </x:c>
      <x:c r="C1550" s="34" t="str">
        <x:v>M4 — اجرا، دانشگاه، صنعت و پروژه‌های اجتماعی</x:v>
      </x:c>
      <x:c r="D1550" s="34" t="str">
        <x:v>H12</x:v>
      </x:c>
      <x:c r="E1550" s="34" t="str">
        <x:v>صنعت، انرژی، محیط‌زیست، کشاورزی و پروژه‌های تولیدی</x:v>
      </x:c>
      <x:c r="F1550" s="34" t="str">
        <x:v>P2</x:v>
      </x:c>
      <x:c r="G1550" s="34" t="str">
        <x:v>هدف/موضوع</x:v>
      </x:c>
      <x:c r="H1550" s="39" t="str">
        <x:v>• فرصت های اقتصاد دریا</x:v>
      </x:c>
      <x:c r="I1550" s="39" t="str">
        <x:v>پس از تثبیت پایه‌ها؛ پروژه‌محور</x:v>
      </x:c>
      <x:c r="J1550" s="39" t="str">
        <x:v>منتور صنعت/امکان‌سنجی</x:v>
      </x:c>
      <x:c r="K1550" s="39" t="str"/>
      <x:c r="L1550" s="39" t="str">
        <x:v>E112:P130؛ E112:P1614؛ E112:P1910؛ E112:P2376</x:v>
      </x:c>
      <x:c r="M1550" s="39" t="str"/>
      <x:c r="N1550" s="39" t="str">
        <x:v>نسخه پایه ۳۱۵۰</x:v>
      </x:c>
    </x:row>
    <x:row r="1551" ht="34" customHeight="1">
      <x:c r="A1551" s="34" t="str">
        <x:v>☐</x:v>
      </x:c>
      <x:c r="B1551" s="34" t="str">
        <x:v>MI-1670</x:v>
      </x:c>
      <x:c r="C1551" s="34" t="str">
        <x:v>M4 — اجرا، دانشگاه، صنعت و پروژه‌های اجتماعی</x:v>
      </x:c>
      <x:c r="D1551" s="34" t="str">
        <x:v>H12</x:v>
      </x:c>
      <x:c r="E1551" s="34" t="str">
        <x:v>صنعت، انرژی، محیط‌زیست، کشاورزی و پروژه‌های تولیدی</x:v>
      </x:c>
      <x:c r="F1551" s="34" t="str">
        <x:v>P2</x:v>
      </x:c>
      <x:c r="G1551" s="34" t="str">
        <x:v>هدف/موضوع</x:v>
      </x:c>
      <x:c r="H1551" s="39" t="str">
        <x:v>• صنعتگران استان</x:v>
      </x:c>
      <x:c r="I1551" s="39" t="str">
        <x:v>پس از تثبیت پایه‌ها؛ پروژه‌محور</x:v>
      </x:c>
      <x:c r="J1551" s="39" t="str">
        <x:v>منتور صنعت/امکان‌سنجی</x:v>
      </x:c>
      <x:c r="K1551" s="39" t="str"/>
      <x:c r="L1551" s="39" t="str">
        <x:v>E112:P135؛ E112:P1621؛ E112:P1915؛ E112:P2381</x:v>
      </x:c>
      <x:c r="M1551" s="39" t="str"/>
      <x:c r="N1551" s="39" t="str">
        <x:v>نسخه پایه ۳۱۵۰</x:v>
      </x:c>
    </x:row>
    <x:row r="1552" ht="34" customHeight="1">
      <x:c r="A1552" s="34" t="str">
        <x:v>☐</x:v>
      </x:c>
      <x:c r="B1552" s="34" t="str">
        <x:v>MI-1676</x:v>
      </x:c>
      <x:c r="C1552" s="34" t="str">
        <x:v>M4 — اجرا، دانشگاه، صنعت و پروژه‌های اجتماعی</x:v>
      </x:c>
      <x:c r="D1552" s="34" t="str">
        <x:v>H12</x:v>
      </x:c>
      <x:c r="E1552" s="34" t="str">
        <x:v>صنعت، انرژی، محیط‌زیست، کشاورزی و پروژه‌های تولیدی</x:v>
      </x:c>
      <x:c r="F1552" s="34" t="str">
        <x:v>P2</x:v>
      </x:c>
      <x:c r="G1552" s="34" t="str">
        <x:v>هدف/موضوع</x:v>
      </x:c>
      <x:c r="H1552" s="39" t="str">
        <x:v>• دسترسی به دریا دارد</x:v>
      </x:c>
      <x:c r="I1552" s="39" t="str">
        <x:v>پس از تثبیت پایه‌ها؛ پروژه‌محور</x:v>
      </x:c>
      <x:c r="J1552" s="39" t="str">
        <x:v>منتور صنعت/امکان‌سنجی</x:v>
      </x:c>
      <x:c r="K1552" s="39" t="str"/>
      <x:c r="L1552" s="39" t="str">
        <x:v>E112:P142؛ E112:P1630؛ E112:P1922؛ E112:P2388</x:v>
      </x:c>
      <x:c r="M1552" s="39" t="str"/>
      <x:c r="N1552" s="39" t="str">
        <x:v>نسخه پایه ۳۱۵۰</x:v>
      </x:c>
    </x:row>
    <x:row r="1553" ht="34" customHeight="1">
      <x:c r="A1553" s="34" t="str">
        <x:v>☐</x:v>
      </x:c>
      <x:c r="B1553" s="34" t="str">
        <x:v>MI-1677</x:v>
      </x:c>
      <x:c r="C1553" s="34" t="str">
        <x:v>M4 — اجرا، دانشگاه، صنعت و پروژه‌های اجتماعی</x:v>
      </x:c>
      <x:c r="D1553" s="34" t="str">
        <x:v>H12</x:v>
      </x:c>
      <x:c r="E1553" s="34" t="str">
        <x:v>صنعت، انرژی، محیط‌زیست، کشاورزی و پروژه‌های تولیدی</x:v>
      </x:c>
      <x:c r="F1553" s="34" t="str">
        <x:v>P2</x:v>
      </x:c>
      <x:c r="G1553" s="34" t="str">
        <x:v>هدف/موضوع</x:v>
      </x:c>
      <x:c r="H1553" s="39" t="str">
        <x:v>• قطب کشاورزی است</x:v>
      </x:c>
      <x:c r="I1553" s="39" t="str">
        <x:v>پس از تثبیت پایه‌ها؛ پروژه‌محور</x:v>
      </x:c>
      <x:c r="J1553" s="39" t="str">
        <x:v>منتور صنعت/امکان‌سنجی</x:v>
      </x:c>
      <x:c r="K1553" s="39" t="str"/>
      <x:c r="L1553" s="39" t="str">
        <x:v>E112:P143؛ E112:P1631؛ E112:P1923؛ E112:P2389</x:v>
      </x:c>
      <x:c r="M1553" s="39" t="str"/>
      <x:c r="N1553" s="39" t="str">
        <x:v>نسخه پایه ۳۱۵۰</x:v>
      </x:c>
    </x:row>
    <x:row r="1554" ht="34" customHeight="1">
      <x:c r="A1554" s="34" t="str">
        <x:v>☐</x:v>
      </x:c>
      <x:c r="B1554" s="34" t="str">
        <x:v>MI-1679</x:v>
      </x:c>
      <x:c r="C1554" s="34" t="str">
        <x:v>M4 — اجرا، دانشگاه، صنعت و پروژه‌های اجتماعی</x:v>
      </x:c>
      <x:c r="D1554" s="34" t="str">
        <x:v>H12</x:v>
      </x:c>
      <x:c r="E1554" s="34" t="str">
        <x:v>صنعت، انرژی، محیط‌زیست، کشاورزی و پروژه‌های تولیدی</x:v>
      </x:c>
      <x:c r="F1554" s="34" t="str">
        <x:v>P2</x:v>
      </x:c>
      <x:c r="G1554" s="34" t="str">
        <x:v>هدف/موضوع</x:v>
      </x:c>
      <x:c r="H1554" s="39" t="str">
        <x:v>هاب صادرات محصولات کشاورزی و غذایی به اوراسیا.</x:v>
      </x:c>
      <x:c r="I1554" s="39" t="str">
        <x:v>پس از تثبیت پایه‌ها؛ پروژه‌محور</x:v>
      </x:c>
      <x:c r="J1554" s="39" t="str">
        <x:v>منتور صنعت/امکان‌سنجی</x:v>
      </x:c>
      <x:c r="K1554" s="39" t="str"/>
      <x:c r="L1554" s="39" t="str">
        <x:v>E112:P145؛ E112:P1635؛ E112:P1925؛ E112:P2391</x:v>
      </x:c>
      <x:c r="M1554" s="39" t="str"/>
      <x:c r="N1554" s="39" t="str">
        <x:v>نسخه پایه ۳۱۵۰</x:v>
      </x:c>
    </x:row>
    <x:row r="1555" ht="34" customHeight="1">
      <x:c r="A1555" s="34" t="str">
        <x:v>☐</x:v>
      </x:c>
      <x:c r="B1555" s="34" t="str">
        <x:v>MI-1691</x:v>
      </x:c>
      <x:c r="C1555" s="34" t="str">
        <x:v>M4 — اجرا، دانشگاه، صنعت و پروژه‌های اجتماعی</x:v>
      </x:c>
      <x:c r="D1555" s="34" t="str">
        <x:v>H12</x:v>
      </x:c>
      <x:c r="E1555" s="34" t="str">
        <x:v>صنعت، انرژی، محیط‌زیست، کشاورزی و پروژه‌های تولیدی</x:v>
      </x:c>
      <x:c r="F1555" s="34" t="str">
        <x:v>P2</x:v>
      </x:c>
      <x:c r="G1555" s="34" t="str">
        <x:v>هدف/موضوع</x:v>
      </x:c>
      <x:c r="H1555" s="39" t="str">
        <x:v>• AgriTech (گلخانه هوشمند، کشاورزی دقیق)</x:v>
      </x:c>
      <x:c r="I1555" s="39" t="str">
        <x:v>پس از تثبیت پایه‌ها؛ پروژه‌محور</x:v>
      </x:c>
      <x:c r="J1555" s="39" t="str">
        <x:v>منتور صنعت/امکان‌سنجی</x:v>
      </x:c>
      <x:c r="K1555" s="39" t="str"/>
      <x:c r="L1555" s="39" t="str">
        <x:v>E112:P157؛ E112:P1670؛ E112:P1939؛ E112:P2405</x:v>
      </x:c>
      <x:c r="M1555" s="39" t="str"/>
      <x:c r="N1555" s="39" t="str">
        <x:v>نسخه پایه ۳۱۵۰</x:v>
      </x:c>
    </x:row>
    <x:row r="1556" ht="34" customHeight="1">
      <x:c r="A1556" s="34" t="str">
        <x:v>☐</x:v>
      </x:c>
      <x:c r="B1556" s="34" t="str">
        <x:v>MI-1693</x:v>
      </x:c>
      <x:c r="C1556" s="34" t="str">
        <x:v>M4 — اجرا، دانشگاه، صنعت و پروژه‌های اجتماعی</x:v>
      </x:c>
      <x:c r="D1556" s="34" t="str">
        <x:v>H12</x:v>
      </x:c>
      <x:c r="E1556" s="34" t="str">
        <x:v>صنعت، انرژی، محیط‌زیست، کشاورزی و پروژه‌های تولیدی</x:v>
      </x:c>
      <x:c r="F1556" s="34" t="str">
        <x:v>P2</x:v>
      </x:c>
      <x:c r="G1556" s="34" t="str">
        <x:v>هدف/موضوع</x:v>
      </x:c>
      <x:c r="H1556" s="39" t="str">
        <x:v>• Aquaculture / شیلات پیشرفته</x:v>
      </x:c>
      <x:c r="I1556" s="39" t="str">
        <x:v>پس از تثبیت پایه‌ها؛ پروژه‌محور</x:v>
      </x:c>
      <x:c r="J1556" s="39" t="str">
        <x:v>منتور صنعت/امکان‌سنجی</x:v>
      </x:c>
      <x:c r="K1556" s="39" t="str"/>
      <x:c r="L1556" s="39" t="str">
        <x:v>E112:P159؛ E112:P1672؛ E112:P1941؛ E112:P2407</x:v>
      </x:c>
      <x:c r="M1556" s="39" t="str"/>
      <x:c r="N1556" s="39" t="str">
        <x:v>نسخه پایه ۳۱۵۰</x:v>
      </x:c>
    </x:row>
    <x:row r="1557" ht="34" customHeight="1">
      <x:c r="A1557" s="34" t="str">
        <x:v>☐</x:v>
      </x:c>
      <x:c r="B1557" s="34" t="str">
        <x:v>MI-1698</x:v>
      </x:c>
      <x:c r="C1557" s="34" t="str">
        <x:v>M4 — اجرا، دانشگاه، صنعت و پروژه‌های اجتماعی</x:v>
      </x:c>
      <x:c r="D1557" s="34" t="str">
        <x:v>H12</x:v>
      </x:c>
      <x:c r="E1557" s="34" t="str">
        <x:v>صنعت، انرژی، محیط‌زیست، کشاورزی و پروژه‌های تولیدی</x:v>
      </x:c>
      <x:c r="F1557" s="34" t="str">
        <x:v>P2</x:v>
      </x:c>
      <x:c r="G1557" s="34" t="str">
        <x:v>هدف/موضوع</x:v>
      </x:c>
      <x:c r="H1557" s="39" t="str">
        <x:v>• سپس با یک شریک صنعتی محلی و یک تیم کارآفرین شرکت مشترک (JV) می سازد.</x:v>
      </x:c>
      <x:c r="I1557" s="39" t="str">
        <x:v>پس از تثبیت پایه‌ها؛ پروژه‌محور</x:v>
      </x:c>
      <x:c r="J1557" s="39" t="str">
        <x:v>منتور صنعت/امکان‌سنجی</x:v>
      </x:c>
      <x:c r="K1557" s="39" t="str"/>
      <x:c r="L1557" s="39" t="str">
        <x:v>E112:P164؛ E112:P1679؛ E112:P1946؛ E112:P2412</x:v>
      </x:c>
      <x:c r="M1557" s="39" t="str"/>
      <x:c r="N1557" s="39" t="str">
        <x:v>نسخه پایه ۳۱۵۰</x:v>
      </x:c>
    </x:row>
    <x:row r="1558" ht="34" customHeight="1">
      <x:c r="A1558" s="34" t="str">
        <x:v>☐</x:v>
      </x:c>
      <x:c r="B1558" s="34" t="str">
        <x:v>MI-1710</x:v>
      </x:c>
      <x:c r="C1558" s="34" t="str">
        <x:v>M4 — اجرا، دانشگاه، صنعت و پروژه‌های اجتماعی</x:v>
      </x:c>
      <x:c r="D1558" s="34" t="str">
        <x:v>H12</x:v>
      </x:c>
      <x:c r="E1558" s="34" t="str">
        <x:v>صنعت، انرژی، محیط‌زیست، کشاورزی و پروژه‌های تولیدی</x:v>
      </x:c>
      <x:c r="F1558" s="34" t="str">
        <x:v>P2</x:v>
      </x:c>
      <x:c r="G1558" s="34" t="str">
        <x:v>هدف/موضوع</x:v>
      </x:c>
      <x:c r="H1558" s="39" t="str">
        <x:v>o هفته 1–2: شناخت صنعت و بازدید میدانی</x:v>
      </x:c>
      <x:c r="I1558" s="39" t="str">
        <x:v>پس از تثبیت پایه‌ها؛ پروژه‌محور</x:v>
      </x:c>
      <x:c r="J1558" s="39" t="str">
        <x:v>منتور صنعت/امکان‌سنجی</x:v>
      </x:c>
      <x:c r="K1558" s="39" t="str"/>
      <x:c r="L1558" s="39" t="str">
        <x:v>E112:P176؛ E112:P1695؛ E112:P1958؛ E112:P2424</x:v>
      </x:c>
      <x:c r="M1558" s="39" t="str"/>
      <x:c r="N1558" s="39" t="str">
        <x:v>نسخه پایه ۳۱۵۰</x:v>
      </x:c>
    </x:row>
    <x:row r="1559" ht="34" customHeight="1">
      <x:c r="A1559" s="34" t="str">
        <x:v>☐</x:v>
      </x:c>
      <x:c r="B1559" s="34" t="str">
        <x:v>MI-1731</x:v>
      </x:c>
      <x:c r="C1559" s="34" t="str">
        <x:v>M4 — اجرا، دانشگاه، صنعت و پروژه‌های اجتماعی</x:v>
      </x:c>
      <x:c r="D1559" s="34" t="str">
        <x:v>H12</x:v>
      </x:c>
      <x:c r="E1559" s="34" t="str">
        <x:v>صنعت، انرژی، محیط‌زیست، کشاورزی و پروژه‌های تولیدی</x:v>
      </x:c>
      <x:c r="F1559" s="34" t="str">
        <x:v>P2</x:v>
      </x:c>
      <x:c r="G1559" s="34" t="str">
        <x:v>هدف/موضوع</x:v>
      </x:c>
      <x:c r="H1559" s="39" t="str">
        <x:v>این آیتم چه چیزی تولید می کند؟</x:v>
      </x:c>
      <x:c r="I1559" s="39" t="str">
        <x:v>پس از تثبیت پایه‌ها؛ پروژه‌محور</x:v>
      </x:c>
      <x:c r="J1559" s="39" t="str">
        <x:v>منتور صنعت/امکان‌سنجی</x:v>
      </x:c>
      <x:c r="K1559" s="39" t="str"/>
      <x:c r="L1559" s="39" t="str">
        <x:v>E112:P206</x:v>
      </x:c>
      <x:c r="M1559" s="39" t="str"/>
      <x:c r="N1559" s="39" t="str">
        <x:v>نسخه پایه ۳۱۵۰</x:v>
      </x:c>
    </x:row>
    <x:row r="1560" ht="34" customHeight="1">
      <x:c r="A1560" s="34" t="str">
        <x:v>☐</x:v>
      </x:c>
      <x:c r="B1560" s="34" t="str">
        <x:v>MI-1760</x:v>
      </x:c>
      <x:c r="C1560" s="34" t="str">
        <x:v>M4 — اجرا، دانشگاه، صنعت و پروژه‌های اجتماعی</x:v>
      </x:c>
      <x:c r="D1560" s="34" t="str">
        <x:v>H12</x:v>
      </x:c>
      <x:c r="E1560" s="34" t="str">
        <x:v>صنعت، انرژی، محیط‌زیست، کشاورزی و پروژه‌های تولیدی</x:v>
      </x:c>
      <x:c r="F1560" s="34" t="str">
        <x:v>P2</x:v>
      </x:c>
      <x:c r="G1560" s="34" t="str">
        <x:v>هدف/موضوع</x:v>
      </x:c>
      <x:c r="H1560" s="39" t="str">
        <x:v>متخصصان صنعت</x:v>
      </x:c>
      <x:c r="I1560" s="39" t="str">
        <x:v>پس از تثبیت پایه‌ها؛ پروژه‌محور</x:v>
      </x:c>
      <x:c r="J1560" s="39" t="str">
        <x:v>منتور صنعت/امکان‌سنجی</x:v>
      </x:c>
      <x:c r="K1560" s="39" t="str"/>
      <x:c r="L1560" s="39" t="str">
        <x:v>E112:P245</x:v>
      </x:c>
      <x:c r="M1560" s="39" t="str"/>
      <x:c r="N1560" s="39" t="str">
        <x:v>نسخه پایه ۳۱۵۰</x:v>
      </x:c>
    </x:row>
    <x:row r="1561" ht="34" customHeight="1">
      <x:c r="A1561" s="34" t="str">
        <x:v>☐</x:v>
      </x:c>
      <x:c r="B1561" s="34" t="str">
        <x:v>MI-1784</x:v>
      </x:c>
      <x:c r="C1561" s="34" t="str">
        <x:v>M4 — اجرا، دانشگاه، صنعت و پروژه‌های اجتماعی</x:v>
      </x:c>
      <x:c r="D1561" s="34" t="str">
        <x:v>H12</x:v>
      </x:c>
      <x:c r="E1561" s="34" t="str">
        <x:v>صنعت، انرژی، محیط‌زیست، کشاورزی و پروژه‌های تولیدی</x:v>
      </x:c>
      <x:c r="F1561" s="34" t="str">
        <x:v>P2</x:v>
      </x:c>
      <x:c r="G1561" s="34" t="str">
        <x:v>هدف/موضوع</x:v>
      </x:c>
      <x:c r="H1561" s="39" t="str">
        <x:v>گروه های تلگرام صنعت</x:v>
      </x:c>
      <x:c r="I1561" s="39" t="str">
        <x:v>پس از تثبیت پایه‌ها؛ پروژه‌محور</x:v>
      </x:c>
      <x:c r="J1561" s="39" t="str">
        <x:v>منتور صنعت/امکان‌سنجی</x:v>
      </x:c>
      <x:c r="K1561" s="39" t="str"/>
      <x:c r="L1561" s="39" t="str">
        <x:v>E112:P281</x:v>
      </x:c>
      <x:c r="M1561" s="39" t="str"/>
      <x:c r="N1561" s="39" t="str">
        <x:v>نسخه پایه ۳۱۵۰</x:v>
      </x:c>
    </x:row>
    <x:row r="1562" ht="34" customHeight="1">
      <x:c r="A1562" s="34" t="str">
        <x:v>☐</x:v>
      </x:c>
      <x:c r="B1562" s="34" t="str">
        <x:v>MI-1789</x:v>
      </x:c>
      <x:c r="C1562" s="34" t="str">
        <x:v>M4 — اجرا، دانشگاه، صنعت و پروژه‌های اجتماعی</x:v>
      </x:c>
      <x:c r="D1562" s="34" t="str">
        <x:v>H12</x:v>
      </x:c>
      <x:c r="E1562" s="34" t="str">
        <x:v>صنعت، انرژی، محیط‌زیست، کشاورزی و پروژه‌های تولیدی</x:v>
      </x:c>
      <x:c r="F1562" s="34" t="str">
        <x:v>P2</x:v>
      </x:c>
      <x:c r="G1562" s="34" t="str">
        <x:v>هدف/موضوع</x:v>
      </x:c>
      <x:c r="H1562" s="39" t="str">
        <x:v>3. مراکز تولید دانش</x:v>
      </x:c>
      <x:c r="I1562" s="39" t="str">
        <x:v>پس از تثبیت پایه‌ها؛ پروژه‌محور</x:v>
      </x:c>
      <x:c r="J1562" s="39" t="str">
        <x:v>منتور صنعت/امکان‌سنجی</x:v>
      </x:c>
      <x:c r="K1562" s="39" t="str"/>
      <x:c r="L1562" s="39" t="str">
        <x:v>E112:P291؛ E112:P584</x:v>
      </x:c>
      <x:c r="M1562" s="39" t="str"/>
      <x:c r="N1562" s="39" t="str">
        <x:v>نسخه پایه ۳۱۵۰</x:v>
      </x:c>
    </x:row>
    <x:row r="1563" ht="34" customHeight="1">
      <x:c r="A1563" s="34" t="str">
        <x:v>☐</x:v>
      </x:c>
      <x:c r="B1563" s="34" t="str">
        <x:v>MI-1790</x:v>
      </x:c>
      <x:c r="C1563" s="34" t="str">
        <x:v>M4 — اجرا، دانشگاه، صنعت و پروژه‌های اجتماعی</x:v>
      </x:c>
      <x:c r="D1563" s="34" t="str">
        <x:v>H12</x:v>
      </x:c>
      <x:c r="E1563" s="34" t="str">
        <x:v>صنعت، انرژی، محیط‌زیست، کشاورزی و پروژه‌های تولیدی</x:v>
      </x:c>
      <x:c r="F1563" s="34" t="str">
        <x:v>P2</x:v>
      </x:c>
      <x:c r="G1563" s="34" t="str">
        <x:v>هدف/موضوع</x:v>
      </x:c>
      <x:c r="H1563" s="39" t="str">
        <x:v>جایی که دانش و نوآوری تولید می شود.</x:v>
      </x:c>
      <x:c r="I1563" s="39" t="str">
        <x:v>پس از تثبیت پایه‌ها؛ پروژه‌محور</x:v>
      </x:c>
      <x:c r="J1563" s="39" t="str">
        <x:v>منتور صنعت/امکان‌سنجی</x:v>
      </x:c>
      <x:c r="K1563" s="39" t="str"/>
      <x:c r="L1563" s="39" t="str">
        <x:v>E112:P293</x:v>
      </x:c>
      <x:c r="M1563" s="39" t="str"/>
      <x:c r="N1563" s="39" t="str">
        <x:v>نسخه پایه ۳۱۵۰</x:v>
      </x:c>
    </x:row>
    <x:row r="1564" ht="34" customHeight="1">
      <x:c r="A1564" s="34" t="str">
        <x:v>☐</x:v>
      </x:c>
      <x:c r="B1564" s="34" t="str">
        <x:v>MI-1834</x:v>
      </x:c>
      <x:c r="C1564" s="34" t="str">
        <x:v>M4 — اجرا، دانشگاه، صنعت و پروژه‌های اجتماعی</x:v>
      </x:c>
      <x:c r="D1564" s="34" t="str">
        <x:v>H12</x:v>
      </x:c>
      <x:c r="E1564" s="34" t="str">
        <x:v>صنعت، انرژی، محیط‌زیست، کشاورزی و پروژه‌های تولیدی</x:v>
      </x:c>
      <x:c r="F1564" s="34" t="str">
        <x:v>P2</x:v>
      </x:c>
      <x:c r="G1564" s="34" t="str">
        <x:v>هدف/موضوع</x:v>
      </x:c>
      <x:c r="H1564" s="39" t="str">
        <x:v>تولیدکنندگان محتوا</x:v>
      </x:c>
      <x:c r="I1564" s="39" t="str">
        <x:v>پس از تثبیت پایه‌ها؛ پروژه‌محور</x:v>
      </x:c>
      <x:c r="J1564" s="39" t="str">
        <x:v>منتور صنعت/امکان‌سنجی</x:v>
      </x:c>
      <x:c r="K1564" s="39" t="str"/>
      <x:c r="L1564" s="39" t="str">
        <x:v>E112:P379</x:v>
      </x:c>
      <x:c r="M1564" s="39" t="str"/>
      <x:c r="N1564" s="39" t="str">
        <x:v>نسخه پایه ۳۱۵۰</x:v>
      </x:c>
    </x:row>
    <x:row r="1565" ht="34" customHeight="1">
      <x:c r="A1565" s="34" t="str">
        <x:v>☐</x:v>
      </x:c>
      <x:c r="B1565" s="34" t="str">
        <x:v>MI-1850</x:v>
      </x:c>
      <x:c r="C1565" s="34" t="str">
        <x:v>M4 — اجرا، دانشگاه، صنعت و پروژه‌های اجتماعی</x:v>
      </x:c>
      <x:c r="D1565" s="34" t="str">
        <x:v>H12</x:v>
      </x:c>
      <x:c r="E1565" s="34" t="str">
        <x:v>صنعت، انرژی، محیط‌زیست، کشاورزی و پروژه‌های تولیدی</x:v>
      </x:c>
      <x:c r="F1565" s="34" t="str">
        <x:v>P2</x:v>
      </x:c>
      <x:c r="G1565" s="34" t="str">
        <x:v>هدف/موضوع</x:v>
      </x:c>
      <x:c r="H1565" s="39" t="str">
        <x:v>نمایشگاه های صنعتی</x:v>
      </x:c>
      <x:c r="I1565" s="39" t="str">
        <x:v>پس از تثبیت پایه‌ها؛ پروژه‌محور</x:v>
      </x:c>
      <x:c r="J1565" s="39" t="str">
        <x:v>منتور صنعت/امکان‌سنجی</x:v>
      </x:c>
      <x:c r="K1565" s="39" t="str"/>
      <x:c r="L1565" s="39" t="str">
        <x:v>E112:P408</x:v>
      </x:c>
      <x:c r="M1565" s="39" t="str"/>
      <x:c r="N1565" s="39" t="str">
        <x:v>نسخه پایه ۳۱۵۰</x:v>
      </x:c>
    </x:row>
    <x:row r="1566" ht="34" customHeight="1">
      <x:c r="A1566" s="34" t="str">
        <x:v>☐</x:v>
      </x:c>
      <x:c r="B1566" s="34" t="str">
        <x:v>MI-1898</x:v>
      </x:c>
      <x:c r="C1566" s="34" t="str">
        <x:v>M4 — اجرا، دانشگاه، صنعت و پروژه‌های اجتماعی</x:v>
      </x:c>
      <x:c r="D1566" s="34" t="str">
        <x:v>H12</x:v>
      </x:c>
      <x:c r="E1566" s="34" t="str">
        <x:v>صنعت، انرژی، محیط‌زیست، کشاورزی و پروژه‌های تولیدی</x:v>
      </x:c>
      <x:c r="F1566" s="34" t="str">
        <x:v>P2</x:v>
      </x:c>
      <x:c r="G1566" s="34" t="str">
        <x:v>هدف/موضوع</x:v>
      </x:c>
      <x:c r="H1566" s="39" t="str">
        <x:v>1. منابع تولید استعداد (Talent Generation)</x:v>
      </x:c>
      <x:c r="I1566" s="39" t="str">
        <x:v>پس از تثبیت پایه‌ها؛ پروژه‌محور</x:v>
      </x:c>
      <x:c r="J1566" s="39" t="str">
        <x:v>منتور صنعت/امکان‌سنجی</x:v>
      </x:c>
      <x:c r="K1566" s="39" t="str"/>
      <x:c r="L1566" s="39" t="str">
        <x:v>E112:P488</x:v>
      </x:c>
      <x:c r="M1566" s="39" t="str"/>
      <x:c r="N1566" s="39" t="str">
        <x:v>نسخه پایه ۳۱۵۰</x:v>
      </x:c>
    </x:row>
    <x:row r="1567" ht="34" customHeight="1">
      <x:c r="A1567" s="34" t="str">
        <x:v>☐</x:v>
      </x:c>
      <x:c r="B1567" s="34" t="str">
        <x:v>MI-1963</x:v>
      </x:c>
      <x:c r="C1567" s="34" t="str">
        <x:v>M4 — اجرا، دانشگاه، صنعت و پروژه‌های اجتماعی</x:v>
      </x:c>
      <x:c r="D1567" s="34" t="str">
        <x:v>H12</x:v>
      </x:c>
      <x:c r="E1567" s="34" t="str">
        <x:v>صنعت، انرژی، محیط‌زیست، کشاورزی و پروژه‌های تولیدی</x:v>
      </x:c>
      <x:c r="F1567" s="34" t="str">
        <x:v>P2</x:v>
      </x:c>
      <x:c r="G1567" s="34" t="str">
        <x:v>هدف/موضوع</x:v>
      </x:c>
      <x:c r="H1567" s="39" t="str">
        <x:v>جایی که دانش عمیق تولید می شود.</x:v>
      </x:c>
      <x:c r="I1567" s="39" t="str">
        <x:v>پس از تثبیت پایه‌ها؛ پروژه‌محور</x:v>
      </x:c>
      <x:c r="J1567" s="39" t="str">
        <x:v>منتور صنعت/امکان‌سنجی</x:v>
      </x:c>
      <x:c r="K1567" s="39" t="str"/>
      <x:c r="L1567" s="39" t="str">
        <x:v>E112:P586</x:v>
      </x:c>
      <x:c r="M1567" s="39" t="str"/>
      <x:c r="N1567" s="39" t="str">
        <x:v>نسخه پایه ۳۱۵۰</x:v>
      </x:c>
    </x:row>
    <x:row r="1568" ht="34" customHeight="1">
      <x:c r="A1568" s="34" t="str">
        <x:v>☐</x:v>
      </x:c>
      <x:c r="B1568" s="34" t="str">
        <x:v>MI-1975</x:v>
      </x:c>
      <x:c r="C1568" s="34" t="str">
        <x:v>M4 — اجرا، دانشگاه، صنعت و پروژه‌های اجتماعی</x:v>
      </x:c>
      <x:c r="D1568" s="34" t="str">
        <x:v>H12</x:v>
      </x:c>
      <x:c r="E1568" s="34" t="str">
        <x:v>صنعت، انرژی، محیط‌زیست، کشاورزی و پروژه‌های تولیدی</x:v>
      </x:c>
      <x:c r="F1568" s="34" t="str">
        <x:v>P2</x:v>
      </x:c>
      <x:c r="G1568" s="34" t="str">
        <x:v>هدف/موضوع</x:v>
      </x:c>
      <x:c r="H1568" s="39" t="str">
        <x:v>شرکت های صنعتی</x:v>
      </x:c>
      <x:c r="I1568" s="39" t="str">
        <x:v>پس از تثبیت پایه‌ها؛ پروژه‌محور</x:v>
      </x:c>
      <x:c r="J1568" s="39" t="str">
        <x:v>منتور صنعت/امکان‌سنجی</x:v>
      </x:c>
      <x:c r="K1568" s="39" t="str"/>
      <x:c r="L1568" s="39" t="str">
        <x:v>E112:P606؛ E112:P2124؛ E112:P2783؛ E112:P3100؛ E112:P3454</x:v>
      </x:c>
      <x:c r="M1568" s="39" t="str"/>
      <x:c r="N1568" s="39" t="str">
        <x:v>نسخه پایه ۳۱۵۰</x:v>
      </x:c>
    </x:row>
    <x:row r="1569" ht="34" customHeight="1">
      <x:c r="A1569" s="34" t="str">
        <x:v>☐</x:v>
      </x:c>
      <x:c r="B1569" s="34" t="str">
        <x:v>MI-1989</x:v>
      </x:c>
      <x:c r="C1569" s="34" t="str">
        <x:v>M4 — اجرا، دانشگاه، صنعت و پروژه‌های اجتماعی</x:v>
      </x:c>
      <x:c r="D1569" s="34" t="str">
        <x:v>H12</x:v>
      </x:c>
      <x:c r="E1569" s="34" t="str">
        <x:v>صنعت، انرژی، محیط‌زیست، کشاورزی و پروژه‌های تولیدی</x:v>
      </x:c>
      <x:c r="F1569" s="34" t="str">
        <x:v>P2</x:v>
      </x:c>
      <x:c r="G1569" s="34" t="str">
        <x:v>هدف/موضوع</x:v>
      </x:c>
      <x:c r="H1569" s="39" t="str">
        <x:v>سرمایه گذاران صنعتی</x:v>
      </x:c>
      <x:c r="I1569" s="39" t="str">
        <x:v>پس از تثبیت پایه‌ها؛ پروژه‌محور</x:v>
      </x:c>
      <x:c r="J1569" s="39" t="str">
        <x:v>منتور صنعت/امکان‌سنجی</x:v>
      </x:c>
      <x:c r="K1569" s="39" t="str"/>
      <x:c r="L1569" s="39" t="str">
        <x:v>E112:P630</x:v>
      </x:c>
      <x:c r="M1569" s="39" t="str"/>
      <x:c r="N1569" s="39" t="str">
        <x:v>نسخه پایه ۳۱۵۰</x:v>
      </x:c>
    </x:row>
    <x:row r="1570" ht="34" customHeight="1">
      <x:c r="A1570" s="34" t="str">
        <x:v>☐</x:v>
      </x:c>
      <x:c r="B1570" s="34" t="str">
        <x:v>MI-2067</x:v>
      </x:c>
      <x:c r="C1570" s="34" t="str">
        <x:v>M4 — اجرا، دانشگاه، صنعت و پروژه‌های اجتماعی</x:v>
      </x:c>
      <x:c r="D1570" s="34" t="str">
        <x:v>H12</x:v>
      </x:c>
      <x:c r="E1570" s="34" t="str">
        <x:v>صنعت، انرژی، محیط‌زیست، کشاورزی و پروژه‌های تولیدی</x:v>
      </x:c>
      <x:c r="F1570" s="34" t="str">
        <x:v>P2</x:v>
      </x:c>
      <x:c r="G1570" s="34" t="str">
        <x:v>هدف/موضوع</x:v>
      </x:c>
      <x:c r="H1570" s="39" t="str">
        <x:v>دانشگاه صنعتی نوشیروانی بابل</x:v>
      </x:c>
      <x:c r="I1570" s="39" t="str">
        <x:v>پس از تثبیت پایه‌ها؛ پروژه‌محور</x:v>
      </x:c>
      <x:c r="J1570" s="39" t="str">
        <x:v>منتور صنعت/امکان‌سنجی</x:v>
      </x:c>
      <x:c r="K1570" s="39" t="str"/>
      <x:c r="L1570" s="39" t="str">
        <x:v>E112:P771؛ E112:P997؛ E112:P1120</x:v>
      </x:c>
      <x:c r="M1570" s="39" t="str"/>
      <x:c r="N1570" s="39" t="str">
        <x:v>نسخه پایه ۳۱۵۰</x:v>
      </x:c>
    </x:row>
    <x:row r="1571" ht="34" customHeight="1">
      <x:c r="A1571" s="34" t="str">
        <x:v>☐</x:v>
      </x:c>
      <x:c r="B1571" s="34" t="str">
        <x:v>MI-2068</x:v>
      </x:c>
      <x:c r="C1571" s="34" t="str">
        <x:v>M4 — اجرا، دانشگاه، صنعت و پروژه‌های اجتماعی</x:v>
      </x:c>
      <x:c r="D1571" s="34" t="str">
        <x:v>H12</x:v>
      </x:c>
      <x:c r="E1571" s="34" t="str">
        <x:v>صنعت، انرژی، محیط‌زیست، کشاورزی و پروژه‌های تولیدی</x:v>
      </x:c>
      <x:c r="F1571" s="34" t="str">
        <x:v>P2</x:v>
      </x:c>
      <x:c r="G1571" s="34" t="str">
        <x:v>هدف/موضوع</x:v>
      </x:c>
      <x:c r="H1571" s="39" t="str">
        <x:v>دانشگاه علوم کشاورزی ساری</x:v>
      </x:c>
      <x:c r="I1571" s="39" t="str">
        <x:v>پس از تثبیت پایه‌ها؛ پروژه‌محور</x:v>
      </x:c>
      <x:c r="J1571" s="39" t="str">
        <x:v>منتور صنعت/امکان‌سنجی</x:v>
      </x:c>
      <x:c r="K1571" s="39" t="str"/>
      <x:c r="L1571" s="39" t="str">
        <x:v>E112:P772</x:v>
      </x:c>
      <x:c r="M1571" s="39" t="str"/>
      <x:c r="N1571" s="39" t="str">
        <x:v>نسخه پایه ۳۱۵۰</x:v>
      </x:c>
    </x:row>
    <x:row r="1572" ht="34" customHeight="1">
      <x:c r="A1572" s="34" t="str">
        <x:v>☐</x:v>
      </x:c>
      <x:c r="B1572" s="34" t="str">
        <x:v>MI-2078</x:v>
      </x:c>
      <x:c r="C1572" s="34" t="str">
        <x:v>M4 — اجرا، دانشگاه، صنعت و پروژه‌های اجتماعی</x:v>
      </x:c>
      <x:c r="D1572" s="34" t="str">
        <x:v>H12</x:v>
      </x:c>
      <x:c r="E1572" s="34" t="str">
        <x:v>صنعت، انرژی، محیط‌زیست، کشاورزی و پروژه‌های تولیدی</x:v>
      </x:c>
      <x:c r="F1572" s="34" t="str">
        <x:v>P2</x:v>
      </x:c>
      <x:c r="G1572" s="34" t="str">
        <x:v>هدف/موضوع</x:v>
      </x:c>
      <x:c r="H1572" s="39" t="str">
        <x:v>3. شرکت های صنعتی بزرگ استان</x:v>
      </x:c>
      <x:c r="I1572" s="39" t="str">
        <x:v>پس از تثبیت پایه‌ها؛ پروژه‌محور</x:v>
      </x:c>
      <x:c r="J1572" s="39" t="str">
        <x:v>منتور صنعت/امکان‌سنجی</x:v>
      </x:c>
      <x:c r="K1572" s="39" t="str"/>
      <x:c r="L1572" s="39" t="str">
        <x:v>E112:P794</x:v>
      </x:c>
      <x:c r="M1572" s="39" t="str"/>
      <x:c r="N1572" s="39" t="str">
        <x:v>نسخه پایه ۳۱۵۰</x:v>
      </x:c>
    </x:row>
    <x:row r="1573" ht="34" customHeight="1">
      <x:c r="A1573" s="34" t="str">
        <x:v>☐</x:v>
      </x:c>
      <x:c r="B1573" s="34" t="str">
        <x:v>MI-2079</x:v>
      </x:c>
      <x:c r="C1573" s="34" t="str">
        <x:v>M4 — اجرا، دانشگاه، صنعت و پروژه‌های اجتماعی</x:v>
      </x:c>
      <x:c r="D1573" s="34" t="str">
        <x:v>H12</x:v>
      </x:c>
      <x:c r="E1573" s="34" t="str">
        <x:v>صنعت، انرژی، محیط‌زیست، کشاورزی و پروژه‌های تولیدی</x:v>
      </x:c>
      <x:c r="F1573" s="34" t="str">
        <x:v>P2</x:v>
      </x:c>
      <x:c r="G1573" s="34" t="str">
        <x:v>هدف/موضوع</x:v>
      </x:c>
      <x:c r="H1573" s="39" t="str">
        <x:v>اکوسیستم واقعی بدون صنعت کامل نمی شود.</x:v>
      </x:c>
      <x:c r="I1573" s="39" t="str">
        <x:v>پس از تثبیت پایه‌ها؛ پروژه‌محور</x:v>
      </x:c>
      <x:c r="J1573" s="39" t="str">
        <x:v>منتور صنعت/امکان‌سنجی</x:v>
      </x:c>
      <x:c r="K1573" s="39" t="str"/>
      <x:c r="L1573" s="39" t="str">
        <x:v>E112:P796</x:v>
      </x:c>
      <x:c r="M1573" s="39" t="str"/>
      <x:c r="N1573" s="39" t="str">
        <x:v>نسخه پایه ۳۱۵۰</x:v>
      </x:c>
    </x:row>
    <x:row r="1574" ht="34" customHeight="1">
      <x:c r="A1574" s="34" t="str">
        <x:v>☐</x:v>
      </x:c>
      <x:c r="B1574" s="34" t="str">
        <x:v>MI-2081</x:v>
      </x:c>
      <x:c r="C1574" s="34" t="str">
        <x:v>M4 — اجرا، دانشگاه، صنعت و پروژه‌های اجتماعی</x:v>
      </x:c>
      <x:c r="D1574" s="34" t="str">
        <x:v>H12</x:v>
      </x:c>
      <x:c r="E1574" s="34" t="str">
        <x:v>صنعت، انرژی، محیط‌زیست، کشاورزی و پروژه‌های تولیدی</x:v>
      </x:c>
      <x:c r="F1574" s="34" t="str">
        <x:v>P2</x:v>
      </x:c>
      <x:c r="G1574" s="34" t="str">
        <x:v>هدف/موضوع</x:v>
      </x:c>
      <x:c r="H1574" s="39" t="str">
        <x:v>کشاورزی و گلخانه</x:v>
      </x:c>
      <x:c r="I1574" s="39" t="str">
        <x:v>پس از تثبیت پایه‌ها؛ پروژه‌محور</x:v>
      </x:c>
      <x:c r="J1574" s="39" t="str">
        <x:v>منتور صنعت/امکان‌سنجی</x:v>
      </x:c>
      <x:c r="K1574" s="39" t="str"/>
      <x:c r="L1574" s="39" t="str">
        <x:v>E112:P801</x:v>
      </x:c>
      <x:c r="M1574" s="39" t="str"/>
      <x:c r="N1574" s="39" t="str">
        <x:v>نسخه پایه ۳۱۵۰</x:v>
      </x:c>
    </x:row>
    <x:row r="1575" ht="34" customHeight="1">
      <x:c r="A1575" s="34" t="str">
        <x:v>☐</x:v>
      </x:c>
      <x:c r="B1575" s="34" t="str">
        <x:v>MI-2082</x:v>
      </x:c>
      <x:c r="C1575" s="34" t="str">
        <x:v>M4 — اجرا، دانشگاه، صنعت و پروژه‌های اجتماعی</x:v>
      </x:c>
      <x:c r="D1575" s="34" t="str">
        <x:v>H12</x:v>
      </x:c>
      <x:c r="E1575" s="34" t="str">
        <x:v>صنعت، انرژی، محیط‌زیست، کشاورزی و پروژه‌های تولیدی</x:v>
      </x:c>
      <x:c r="F1575" s="34" t="str">
        <x:v>P2</x:v>
      </x:c>
      <x:c r="G1575" s="34" t="str">
        <x:v>هدف/موضوع</x:v>
      </x:c>
      <x:c r="H1575" s="39" t="str">
        <x:v>شیلات</x:v>
      </x:c>
      <x:c r="I1575" s="39" t="str">
        <x:v>پس از تثبیت پایه‌ها؛ پروژه‌محور</x:v>
      </x:c>
      <x:c r="J1575" s="39" t="str">
        <x:v>منتور صنعت/امکان‌سنجی</x:v>
      </x:c>
      <x:c r="K1575" s="39" t="str"/>
      <x:c r="L1575" s="39" t="str">
        <x:v>E112:P804؛ E112:P1029؛ E112:P1347؛ E112:P2090؛ E112:P3048؛ E112:P3117؛ E112:P3420</x:v>
      </x:c>
      <x:c r="M1575" s="39" t="str"/>
      <x:c r="N1575" s="39" t="str">
        <x:v>نسخه پایه ۳۱۵۰</x:v>
      </x:c>
    </x:row>
    <x:row r="1576" ht="34" customHeight="1">
      <x:c r="A1576" s="34" t="str">
        <x:v>☐</x:v>
      </x:c>
      <x:c r="B1576" s="34" t="str">
        <x:v>MI-2103</x:v>
      </x:c>
      <x:c r="C1576" s="34" t="str">
        <x:v>M4 — اجرا، دانشگاه، صنعت و پروژه‌های اجتماعی</x:v>
      </x:c>
      <x:c r="D1576" s="34" t="str">
        <x:v>H12</x:v>
      </x:c>
      <x:c r="E1576" s="34" t="str">
        <x:v>صنعت، انرژی، محیط‌زیست، کشاورزی و پروژه‌های تولیدی</x:v>
      </x:c>
      <x:c r="F1576" s="34" t="str">
        <x:v>P2</x:v>
      </x:c>
      <x:c r="G1576" s="34" t="str">
        <x:v>هدف/موضوع</x:v>
      </x:c>
      <x:c r="H1576" s="39" t="str">
        <x:v>1. نبود پل بین دانشگاه و صنعت</x:v>
      </x:c>
      <x:c r="I1576" s="39" t="str">
        <x:v>پس از تثبیت پایه‌ها؛ پروژه‌محور</x:v>
      </x:c>
      <x:c r="J1576" s="39" t="str">
        <x:v>منتور صنعت/امکان‌سنجی</x:v>
      </x:c>
      <x:c r="K1576" s="39" t="str"/>
      <x:c r="L1576" s="39" t="str">
        <x:v>E112:P842</x:v>
      </x:c>
      <x:c r="M1576" s="39" t="str"/>
      <x:c r="N1576" s="39" t="str">
        <x:v>نسخه پایه ۳۱۵۰</x:v>
      </x:c>
    </x:row>
    <x:row r="1577" ht="34" customHeight="1">
      <x:c r="A1577" s="34" t="str">
        <x:v>☐</x:v>
      </x:c>
      <x:c r="B1577" s="34" t="str">
        <x:v>MI-2104</x:v>
      </x:c>
      <x:c r="C1577" s="34" t="str">
        <x:v>M4 — اجرا، دانشگاه، صنعت و پروژه‌های اجتماعی</x:v>
      </x:c>
      <x:c r="D1577" s="34" t="str">
        <x:v>H12</x:v>
      </x:c>
      <x:c r="E1577" s="34" t="str">
        <x:v>صنعت، انرژی، محیط‌زیست، کشاورزی و پروژه‌های تولیدی</x:v>
      </x:c>
      <x:c r="F1577" s="34" t="str">
        <x:v>P2</x:v>
      </x:c>
      <x:c r="G1577" s="34" t="str">
        <x:v>هدف/موضوع</x:v>
      </x:c>
      <x:c r="H1577" s="39" t="str">
        <x:v>دانش تولید می شود اما:</x:v>
      </x:c>
      <x:c r="I1577" s="39" t="str">
        <x:v>پس از تثبیت پایه‌ها؛ پروژه‌محور</x:v>
      </x:c>
      <x:c r="J1577" s="39" t="str">
        <x:v>منتور صنعت/امکان‌سنجی</x:v>
      </x:c>
      <x:c r="K1577" s="39" t="str"/>
      <x:c r="L1577" s="39" t="str">
        <x:v>E112:P844</x:v>
      </x:c>
      <x:c r="M1577" s="39" t="str"/>
      <x:c r="N1577" s="39" t="str">
        <x:v>نسخه پایه ۳۱۵۰</x:v>
      </x:c>
    </x:row>
    <x:row r="1578" ht="34" customHeight="1">
      <x:c r="A1578" s="34" t="str">
        <x:v>☐</x:v>
      </x:c>
      <x:c r="B1578" s="34" t="str">
        <x:v>MI-2147</x:v>
      </x:c>
      <x:c r="C1578" s="34" t="str">
        <x:v>M4 — اجرا، دانشگاه، صنعت و پروژه‌های اجتماعی</x:v>
      </x:c>
      <x:c r="D1578" s="34" t="str">
        <x:v>H12</x:v>
      </x:c>
      <x:c r="E1578" s="34" t="str">
        <x:v>صنعت، انرژی، محیط‌زیست، کشاورزی و پروژه‌های تولیدی</x:v>
      </x:c>
      <x:c r="F1578" s="34" t="str">
        <x:v>P2</x:v>
      </x:c>
      <x:c r="G1578" s="34" t="str">
        <x:v>هدف/موضوع</x:v>
      </x:c>
      <x:c r="H1578" s="39" t="str">
        <x:v>شرکت های صنعتی ← استارتاپ ها</x:v>
      </x:c>
      <x:c r="I1578" s="39" t="str">
        <x:v>پس از تثبیت پایه‌ها؛ پروژه‌محور</x:v>
      </x:c>
      <x:c r="J1578" s="39" t="str">
        <x:v>منتور صنعت/امکان‌سنجی</x:v>
      </x:c>
      <x:c r="K1578" s="39" t="str"/>
      <x:c r="L1578" s="39" t="str">
        <x:v>E112:P923</x:v>
      </x:c>
      <x:c r="M1578" s="39" t="str"/>
      <x:c r="N1578" s="39" t="str">
        <x:v>نسخه پایه ۳۱۵۰</x:v>
      </x:c>
    </x:row>
    <x:row r="1579" ht="34" customHeight="1">
      <x:c r="A1579" s="34" t="str">
        <x:v>☐</x:v>
      </x:c>
      <x:c r="B1579" s="34" t="str">
        <x:v>MI-2187</x:v>
      </x:c>
      <x:c r="C1579" s="34" t="str">
        <x:v>M4 — اجرا، دانشگاه، صنعت و پروژه‌های اجتماعی</x:v>
      </x:c>
      <x:c r="D1579" s="34" t="str">
        <x:v>H12</x:v>
      </x:c>
      <x:c r="E1579" s="34" t="str">
        <x:v>صنعت، انرژی، محیط‌زیست، کشاورزی و پروژه‌های تولیدی</x:v>
      </x:c>
      <x:c r="F1579" s="34" t="str">
        <x:v>P2</x:v>
      </x:c>
      <x:c r="G1579" s="34" t="str">
        <x:v>هدف/موضوع</x:v>
      </x:c>
      <x:c r="H1579" s="39" t="str">
        <x:v>دانشگاه علوم کشاورزی و منابع طبیعی ساری</x:v>
      </x:c>
      <x:c r="I1579" s="39" t="str">
        <x:v>پس از تثبیت پایه‌ها؛ پروژه‌محور</x:v>
      </x:c>
      <x:c r="J1579" s="39" t="str">
        <x:v>منتور صنعت/امکان‌سنجی</x:v>
      </x:c>
      <x:c r="K1579" s="39" t="str"/>
      <x:c r="L1579" s="39" t="str">
        <x:v>E112:P999</x:v>
      </x:c>
      <x:c r="M1579" s="39" t="str"/>
      <x:c r="N1579" s="39" t="str">
        <x:v>نسخه پایه ۳۱۵۰</x:v>
      </x:c>
    </x:row>
    <x:row r="1580" ht="34" customHeight="1">
      <x:c r="A1580" s="34" t="str">
        <x:v>☐</x:v>
      </x:c>
      <x:c r="B1580" s="34" t="str">
        <x:v>MI-2191</x:v>
      </x:c>
      <x:c r="C1580" s="34" t="str">
        <x:v>M4 — اجرا، دانشگاه، صنعت و پروژه‌های اجتماعی</x:v>
      </x:c>
      <x:c r="D1580" s="34" t="str">
        <x:v>H12</x:v>
      </x:c>
      <x:c r="E1580" s="34" t="str">
        <x:v>صنعت، انرژی، محیط‌زیست، کشاورزی و پروژه‌های تولیدی</x:v>
      </x:c>
      <x:c r="F1580" s="34" t="str">
        <x:v>P2</x:v>
      </x:c>
      <x:c r="G1580" s="34" t="str">
        <x:v>هدف/موضوع</x:v>
      </x:c>
      <x:c r="H1580" s="39" t="str">
        <x:v>تولید نیروی فنی</x:v>
      </x:c>
      <x:c r="I1580" s="39" t="str">
        <x:v>پس از تثبیت پایه‌ها؛ پروژه‌محور</x:v>
      </x:c>
      <x:c r="J1580" s="39" t="str">
        <x:v>منتور صنعت/امکان‌سنجی</x:v>
      </x:c>
      <x:c r="K1580" s="39" t="str"/>
      <x:c r="L1580" s="39" t="str">
        <x:v>E112:P1005</x:v>
      </x:c>
      <x:c r="M1580" s="39" t="str"/>
      <x:c r="N1580" s="39" t="str">
        <x:v>نسخه پایه ۳۱۵۰</x:v>
      </x:c>
    </x:row>
    <x:row r="1581" ht="34" customHeight="1">
      <x:c r="A1581" s="34" t="str">
        <x:v>☐</x:v>
      </x:c>
      <x:c r="B1581" s="34" t="str">
        <x:v>MI-2201</x:v>
      </x:c>
      <x:c r="C1581" s="34" t="str">
        <x:v>M4 — اجرا، دانشگاه، صنعت و پروژه‌های اجتماعی</x:v>
      </x:c>
      <x:c r="D1581" s="34" t="str">
        <x:v>H12</x:v>
      </x:c>
      <x:c r="E1581" s="34" t="str">
        <x:v>صنعت، انرژی، محیط‌زیست، کشاورزی و پروژه‌های تولیدی</x:v>
      </x:c>
      <x:c r="F1581" s="34" t="str">
        <x:v>P2</x:v>
      </x:c>
      <x:c r="G1581" s="34" t="str">
        <x:v>هدف/موضوع</x:v>
      </x:c>
      <x:c r="H1581" s="39" t="str">
        <x:v>مازندران چند صنعت بسیار مهم دارد که باید ستون اکوسیستم نوآوری شوند.</x:v>
      </x:c>
      <x:c r="I1581" s="39" t="str">
        <x:v>پس از تثبیت پایه‌ها؛ پروژه‌محور</x:v>
      </x:c>
      <x:c r="J1581" s="39" t="str">
        <x:v>منتور صنعت/امکان‌سنجی</x:v>
      </x:c>
      <x:c r="K1581" s="39" t="str"/>
      <x:c r="L1581" s="39" t="str">
        <x:v>E112:P1024</x:v>
      </x:c>
      <x:c r="M1581" s="39" t="str"/>
      <x:c r="N1581" s="39" t="str">
        <x:v>نسخه پایه ۳۱۵۰</x:v>
      </x:c>
    </x:row>
    <x:row r="1582" ht="34" customHeight="1">
      <x:c r="A1582" s="34" t="str">
        <x:v>☐</x:v>
      </x:c>
      <x:c r="B1582" s="34" t="str">
        <x:v>MI-2202</x:v>
      </x:c>
      <x:c r="C1582" s="34" t="str">
        <x:v>M4 — اجرا، دانشگاه، صنعت و پروژه‌های اجتماعی</x:v>
      </x:c>
      <x:c r="D1582" s="34" t="str">
        <x:v>H12</x:v>
      </x:c>
      <x:c r="E1582" s="34" t="str">
        <x:v>صنعت، انرژی، محیط‌زیست، کشاورزی و پروژه‌های تولیدی</x:v>
      </x:c>
      <x:c r="F1582" s="34" t="str">
        <x:v>P2</x:v>
      </x:c>
      <x:c r="G1582" s="34" t="str">
        <x:v>هدف/موضوع</x:v>
      </x:c>
      <x:c r="H1582" s="39" t="str">
        <x:v>کشاورزی و صنایع غذایی</x:v>
      </x:c>
      <x:c r="I1582" s="39" t="str">
        <x:v>پس از تثبیت پایه‌ها؛ پروژه‌محور</x:v>
      </x:c>
      <x:c r="J1582" s="39" t="str">
        <x:v>منتور صنعت/امکان‌سنجی</x:v>
      </x:c>
      <x:c r="K1582" s="39" t="str"/>
      <x:c r="L1582" s="39" t="str">
        <x:v>E112:P1026</x:v>
      </x:c>
      <x:c r="M1582" s="39" t="str"/>
      <x:c r="N1582" s="39" t="str">
        <x:v>نسخه پایه ۳۱۵۰</x:v>
      </x:c>
    </x:row>
    <x:row r="1583" ht="34" customHeight="1">
      <x:c r="A1583" s="34" t="str">
        <x:v>☐</x:v>
      </x:c>
      <x:c r="B1583" s="34" t="str">
        <x:v>MI-2203</x:v>
      </x:c>
      <x:c r="C1583" s="34" t="str">
        <x:v>M4 — اجرا، دانشگاه، صنعت و پروژه‌های اجتماعی</x:v>
      </x:c>
      <x:c r="D1583" s="34" t="str">
        <x:v>H12</x:v>
      </x:c>
      <x:c r="E1583" s="34" t="str">
        <x:v>صنعت، انرژی، محیط‌زیست، کشاورزی و پروژه‌های تولیدی</x:v>
      </x:c>
      <x:c r="F1583" s="34" t="str">
        <x:v>P2</x:v>
      </x:c>
      <x:c r="G1583" s="34" t="str">
        <x:v>هدف/موضوع</x:v>
      </x:c>
      <x:c r="H1583" s="39" t="str">
        <x:v>گلخانه و کشاورزی هوشمند</x:v>
      </x:c>
      <x:c r="I1583" s="39" t="str">
        <x:v>پس از تثبیت پایه‌ها؛ پروژه‌محور</x:v>
      </x:c>
      <x:c r="J1583" s="39" t="str">
        <x:v>منتور صنعت/امکان‌سنجی</x:v>
      </x:c>
      <x:c r="K1583" s="39" t="str"/>
      <x:c r="L1583" s="39" t="str">
        <x:v>E112:P1027</x:v>
      </x:c>
      <x:c r="M1583" s="39" t="str"/>
      <x:c r="N1583" s="39" t="str">
        <x:v>نسخه پایه ۳۱۵۰</x:v>
      </x:c>
    </x:row>
    <x:row r="1584" ht="34" customHeight="1">
      <x:c r="A1584" s="34" t="str">
        <x:v>☐</x:v>
      </x:c>
      <x:c r="B1584" s="34" t="str">
        <x:v>MI-2207</x:v>
      </x:c>
      <x:c r="C1584" s="34" t="str">
        <x:v>M4 — اجرا، دانشگاه، صنعت و پروژه‌های اجتماعی</x:v>
      </x:c>
      <x:c r="D1584" s="34" t="str">
        <x:v>H12</x:v>
      </x:c>
      <x:c r="E1584" s="34" t="str">
        <x:v>صنعت، انرژی، محیط‌زیست، کشاورزی و پروژه‌های تولیدی</x:v>
      </x:c>
      <x:c r="F1584" s="34" t="str">
        <x:v>P2</x:v>
      </x:c>
      <x:c r="G1584" s="34" t="str">
        <x:v>هدف/موضوع</x:v>
      </x:c>
      <x:c r="H1584" s="39" t="str">
        <x:v>سازمان جهاد کشاورزی</x:v>
      </x:c>
      <x:c r="I1584" s="39" t="str">
        <x:v>پس از تثبیت پایه‌ها؛ پروژه‌محور</x:v>
      </x:c>
      <x:c r="J1584" s="39" t="str">
        <x:v>منتور صنعت/امکان‌سنجی</x:v>
      </x:c>
      <x:c r="K1584" s="39" t="str"/>
      <x:c r="L1584" s="39" t="str">
        <x:v>E112:P1040</x:v>
      </x:c>
      <x:c r="M1584" s="39" t="str"/>
      <x:c r="N1584" s="39" t="str">
        <x:v>نسخه پایه ۳۱۵۰</x:v>
      </x:c>
    </x:row>
    <x:row r="1585" ht="34" customHeight="1">
      <x:c r="A1585" s="34" t="str">
        <x:v>☐</x:v>
      </x:c>
      <x:c r="B1585" s="34" t="str">
        <x:v>MI-2219</x:v>
      </x:c>
      <x:c r="C1585" s="34" t="str">
        <x:v>M4 — اجرا، دانشگاه، صنعت و پروژه‌های اجتماعی</x:v>
      </x:c>
      <x:c r="D1585" s="34" t="str">
        <x:v>H12</x:v>
      </x:c>
      <x:c r="E1585" s="34" t="str">
        <x:v>صنعت، انرژی، محیط‌زیست، کشاورزی و پروژه‌های تولیدی</x:v>
      </x:c>
      <x:c r="F1585" s="34" t="str">
        <x:v>P2</x:v>
      </x:c>
      <x:c r="G1585" s="34" t="str">
        <x:v>هدف/موضوع</x:v>
      </x:c>
      <x:c r="H1585" s="39" t="str">
        <x:v>کشاورزی</x:v>
      </x:c>
      <x:c r="I1585" s="39" t="str">
        <x:v>پس از تثبیت پایه‌ها؛ پروژه‌محور</x:v>
      </x:c>
      <x:c r="J1585" s="39" t="str">
        <x:v>منتور صنعت/امکان‌سنجی</x:v>
      </x:c>
      <x:c r="K1585" s="39" t="str"/>
      <x:c r="L1585" s="39" t="str">
        <x:v>E112:P1065؛ E112:P2088؛ E112:P3047؛ E112:P3417</x:v>
      </x:c>
      <x:c r="M1585" s="39" t="str"/>
      <x:c r="N1585" s="39" t="str">
        <x:v>نسخه پایه ۳۱۵۰</x:v>
      </x:c>
    </x:row>
    <x:row r="1586" ht="34" customHeight="1">
      <x:c r="A1586" s="34" t="str">
        <x:v>☐</x:v>
      </x:c>
      <x:c r="B1586" s="34" t="str">
        <x:v>MI-2222</x:v>
      </x:c>
      <x:c r="C1586" s="34" t="str">
        <x:v>M4 — اجرا، دانشگاه، صنعت و پروژه‌های اجتماعی</x:v>
      </x:c>
      <x:c r="D1586" s="34" t="str">
        <x:v>H12</x:v>
      </x:c>
      <x:c r="E1586" s="34" t="str">
        <x:v>صنعت، انرژی، محیط‌زیست، کشاورزی و پروژه‌های تولیدی</x:v>
      </x:c>
      <x:c r="F1586" s="34" t="str">
        <x:v>P2</x:v>
      </x:c>
      <x:c r="G1586" s="34" t="str">
        <x:v>هدف/موضوع</x:v>
      </x:c>
      <x:c r="H1586" s="39" t="str">
        <x:v>کشاورزی هوشمند</x:v>
      </x:c>
      <x:c r="I1586" s="39" t="str">
        <x:v>پس از تثبیت پایه‌ها؛ پروژه‌محور</x:v>
      </x:c>
      <x:c r="J1586" s="39" t="str">
        <x:v>منتور صنعت/امکان‌سنجی</x:v>
      </x:c>
      <x:c r="K1586" s="39" t="str"/>
      <x:c r="L1586" s="39" t="str">
        <x:v>E112:P1071؛ E112:P1195</x:v>
      </x:c>
      <x:c r="M1586" s="39" t="str"/>
      <x:c r="N1586" s="39" t="str">
        <x:v>نسخه پایه ۳۱۵۰</x:v>
      </x:c>
    </x:row>
    <x:row r="1587" ht="34" customHeight="1">
      <x:c r="A1587" s="34" t="str">
        <x:v>☐</x:v>
      </x:c>
      <x:c r="B1587" s="34" t="str">
        <x:v>MI-2254</x:v>
      </x:c>
      <x:c r="C1587" s="34" t="str">
        <x:v>M4 — اجرا، دانشگاه، صنعت و پروژه‌های اجتماعی</x:v>
      </x:c>
      <x:c r="D1587" s="34" t="str">
        <x:v>H12</x:v>
      </x:c>
      <x:c r="E1587" s="34" t="str">
        <x:v>صنعت، انرژی، محیط‌زیست، کشاورزی و پروژه‌های تولیدی</x:v>
      </x:c>
      <x:c r="F1587" s="34" t="str">
        <x:v>P2</x:v>
      </x:c>
      <x:c r="G1587" s="34" t="str">
        <x:v>هدف/موضوع</x:v>
      </x:c>
      <x:c r="H1587" s="39" t="str">
        <x:v>پل دانشگاه و صنعت</x:v>
      </x:c>
      <x:c r="I1587" s="39" t="str">
        <x:v>پس از تثبیت پایه‌ها؛ پروژه‌محور</x:v>
      </x:c>
      <x:c r="J1587" s="39" t="str">
        <x:v>منتور صنعت/امکان‌سنجی</x:v>
      </x:c>
      <x:c r="K1587" s="39" t="str"/>
      <x:c r="L1587" s="39" t="str">
        <x:v>E112:P1157</x:v>
      </x:c>
      <x:c r="M1587" s="39" t="str"/>
      <x:c r="N1587" s="39" t="str">
        <x:v>نسخه پایه ۳۱۵۰</x:v>
      </x:c>
    </x:row>
    <x:row r="1588" ht="34" customHeight="1">
      <x:c r="A1588" s="34" t="str">
        <x:v>☐</x:v>
      </x:c>
      <x:c r="B1588" s="34" t="str">
        <x:v>MI-2275</x:v>
      </x:c>
      <x:c r="C1588" s="34" t="str">
        <x:v>M4 — اجرا، دانشگاه، صنعت و پروژه‌های اجتماعی</x:v>
      </x:c>
      <x:c r="D1588" s="34" t="str">
        <x:v>H12</x:v>
      </x:c>
      <x:c r="E1588" s="34" t="str">
        <x:v>صنعت، انرژی، محیط‌زیست، کشاورزی و پروژه‌های تولیدی</x:v>
      </x:c>
      <x:c r="F1588" s="34" t="str">
        <x:v>P2</x:v>
      </x:c>
      <x:c r="G1588" s="34" t="str">
        <x:v>هدف/موضوع</x:v>
      </x:c>
      <x:c r="H1588" s="39" t="str">
        <x:v>استارتاپ ها → صنایع کشاورزی</x:v>
      </x:c>
      <x:c r="I1588" s="39" t="str">
        <x:v>پس از تثبیت پایه‌ها؛ پروژه‌محور</x:v>
      </x:c>
      <x:c r="J1588" s="39" t="str">
        <x:v>منتور صنعت/امکان‌سنجی</x:v>
      </x:c>
      <x:c r="K1588" s="39" t="str"/>
      <x:c r="L1588" s="39" t="str">
        <x:v>E112:P1214</x:v>
      </x:c>
      <x:c r="M1588" s="39" t="str"/>
      <x:c r="N1588" s="39" t="str">
        <x:v>نسخه پایه ۳۱۵۰</x:v>
      </x:c>
    </x:row>
    <x:row r="1589" ht="34" customHeight="1">
      <x:c r="A1589" s="34" t="str">
        <x:v>☐</x:v>
      </x:c>
      <x:c r="B1589" s="34" t="str">
        <x:v>MI-2282</x:v>
      </x:c>
      <x:c r="C1589" s="34" t="str">
        <x:v>M4 — اجرا، دانشگاه، صنعت و پروژه‌های اجتماعی</x:v>
      </x:c>
      <x:c r="D1589" s="34" t="str">
        <x:v>H12</x:v>
      </x:c>
      <x:c r="E1589" s="34" t="str">
        <x:v>صنعت، انرژی، محیط‌زیست، کشاورزی و پروژه‌های تولیدی</x:v>
      </x:c>
      <x:c r="F1589" s="34" t="str">
        <x:v>P2</x:v>
      </x:c>
      <x:c r="G1589" s="34" t="str">
        <x:v>هدف/موضوع</x:v>
      </x:c>
      <x:c r="H1589" s="39" t="str">
        <x:v>قطب نوآوری کشاورزی و گردشگری کشور.</x:v>
      </x:c>
      <x:c r="I1589" s="39" t="str">
        <x:v>پس از تثبیت پایه‌ها؛ پروژه‌محور</x:v>
      </x:c>
      <x:c r="J1589" s="39" t="str">
        <x:v>منتور صنعت/امکان‌سنجی</x:v>
      </x:c>
      <x:c r="K1589" s="39" t="str"/>
      <x:c r="L1589" s="39" t="str">
        <x:v>E112:P1235</x:v>
      </x:c>
      <x:c r="M1589" s="39" t="str"/>
      <x:c r="N1589" s="39" t="str">
        <x:v>نسخه پایه ۳۱۵۰</x:v>
      </x:c>
    </x:row>
    <x:row r="1590" ht="34" customHeight="1">
      <x:c r="A1590" s="34" t="str">
        <x:v>☐</x:v>
      </x:c>
      <x:c r="B1590" s="34" t="str">
        <x:v>MI-2293</x:v>
      </x:c>
      <x:c r="C1590" s="34" t="str">
        <x:v>M4 — اجرا، دانشگاه، صنعت و پروژه‌های اجتماعی</x:v>
      </x:c>
      <x:c r="D1590" s="34" t="str">
        <x:v>H12</x:v>
      </x:c>
      <x:c r="E1590" s="34" t="str">
        <x:v>صنعت، انرژی، محیط‌زیست، کشاورزی و پروژه‌های تولیدی</x:v>
      </x:c>
      <x:c r="F1590" s="34" t="str">
        <x:v>P2</x:v>
      </x:c>
      <x:c r="G1590" s="34" t="str">
        <x:v>هدف/موضوع</x:v>
      </x:c>
      <x:c r="H1590" s="39" t="str">
        <x:v>1. کشاورزی و صنایع غذایی (بزرگ ترین مزیت)</x:v>
      </x:c>
      <x:c r="I1590" s="39" t="str">
        <x:v>پس از تثبیت پایه‌ها؛ پروژه‌محور</x:v>
      </x:c>
      <x:c r="J1590" s="39" t="str">
        <x:v>منتور صنعت/امکان‌سنجی</x:v>
      </x:c>
      <x:c r="K1590" s="39" t="str"/>
      <x:c r="L1590" s="39" t="str">
        <x:v>E112:P1253</x:v>
      </x:c>
      <x:c r="M1590" s="39" t="str"/>
      <x:c r="N1590" s="39" t="str">
        <x:v>نسخه پایه ۳۱۵۰</x:v>
      </x:c>
    </x:row>
    <x:row r="1591" ht="34" customHeight="1">
      <x:c r="A1591" s="34" t="str">
        <x:v>☐</x:v>
      </x:c>
      <x:c r="B1591" s="34" t="str">
        <x:v>MI-2294</x:v>
      </x:c>
      <x:c r="C1591" s="34" t="str">
        <x:v>M4 — اجرا، دانشگاه، صنعت و پروژه‌های اجتماعی</x:v>
      </x:c>
      <x:c r="D1591" s="34" t="str">
        <x:v>H12</x:v>
      </x:c>
      <x:c r="E1591" s="34" t="str">
        <x:v>صنعت، انرژی، محیط‌زیست، کشاورزی و پروژه‌های تولیدی</x:v>
      </x:c>
      <x:c r="F1591" s="34" t="str">
        <x:v>P2</x:v>
      </x:c>
      <x:c r="G1591" s="34" t="str">
        <x:v>هدف/موضوع</x:v>
      </x:c>
      <x:c r="H1591" s="39" t="str">
        <x:v>مازندران یکی از قطب های کشاورزی کشور است.</x:v>
      </x:c>
      <x:c r="I1591" s="39" t="str">
        <x:v>پس از تثبیت پایه‌ها؛ پروژه‌محور</x:v>
      </x:c>
      <x:c r="J1591" s="39" t="str">
        <x:v>منتور صنعت/امکان‌سنجی</x:v>
      </x:c>
      <x:c r="K1591" s="39" t="str"/>
      <x:c r="L1591" s="39" t="str">
        <x:v>E112:P1255</x:v>
      </x:c>
      <x:c r="M1591" s="39" t="str"/>
      <x:c r="N1591" s="39" t="str">
        <x:v>نسخه پایه ۳۱۵۰</x:v>
      </x:c>
    </x:row>
    <x:row r="1592" ht="34" customHeight="1">
      <x:c r="A1592" s="34" t="str">
        <x:v>☐</x:v>
      </x:c>
      <x:c r="B1592" s="34" t="str">
        <x:v>MI-2296</x:v>
      </x:c>
      <x:c r="C1592" s="34" t="str">
        <x:v>M4 — اجرا، دانشگاه، صنعت و پروژه‌های اجتماعی</x:v>
      </x:c>
      <x:c r="D1592" s="34" t="str">
        <x:v>H12</x:v>
      </x:c>
      <x:c r="E1592" s="34" t="str">
        <x:v>صنعت، انرژی، محیط‌زیست، کشاورزی و پروژه‌های تولیدی</x:v>
      </x:c>
      <x:c r="F1592" s="34" t="str">
        <x:v>P2</x:v>
      </x:c>
      <x:c r="G1592" s="34" t="str">
        <x:v>هدف/موضوع</x:v>
      </x:c>
      <x:c r="H1592" s="39" t="str">
        <x:v>AgriTech (کشاورزی هوشمند)</x:v>
      </x:c>
      <x:c r="I1592" s="39" t="str">
        <x:v>پس از تثبیت پایه‌ها؛ پروژه‌محور</x:v>
      </x:c>
      <x:c r="J1592" s="39" t="str">
        <x:v>منتور صنعت/امکان‌سنجی</x:v>
      </x:c>
      <x:c r="K1592" s="39" t="str"/>
      <x:c r="L1592" s="39" t="str">
        <x:v>E112:P1259</x:v>
      </x:c>
      <x:c r="M1592" s="39" t="str"/>
      <x:c r="N1592" s="39" t="str">
        <x:v>نسخه پایه ۳۱۵۰</x:v>
      </x:c>
    </x:row>
    <x:row r="1593" ht="34" customHeight="1">
      <x:c r="A1593" s="34" t="str">
        <x:v>☐</x:v>
      </x:c>
      <x:c r="B1593" s="34" t="str">
        <x:v>MI-2298</x:v>
      </x:c>
      <x:c r="C1593" s="34" t="str">
        <x:v>M4 — اجرا، دانشگاه، صنعت و پروژه‌های اجتماعی</x:v>
      </x:c>
      <x:c r="D1593" s="34" t="str">
        <x:v>H12</x:v>
      </x:c>
      <x:c r="E1593" s="34" t="str">
        <x:v>صنعت، انرژی، محیط‌زیست، کشاورزی و پروژه‌های تولیدی</x:v>
      </x:c>
      <x:c r="F1593" s="34" t="str">
        <x:v>P2</x:v>
      </x:c>
      <x:c r="G1593" s="34" t="str">
        <x:v>هدف/موضوع</x:v>
      </x:c>
      <x:c r="H1593" s="39" t="str">
        <x:v>تکنولوژی گلخانه</x:v>
      </x:c>
      <x:c r="I1593" s="39" t="str">
        <x:v>پس از تثبیت پایه‌ها؛ پروژه‌محور</x:v>
      </x:c>
      <x:c r="J1593" s="39" t="str">
        <x:v>منتور صنعت/امکان‌سنجی</x:v>
      </x:c>
      <x:c r="K1593" s="39" t="str"/>
      <x:c r="L1593" s="39" t="str">
        <x:v>E112:P1262</x:v>
      </x:c>
      <x:c r="M1593" s="39" t="str"/>
      <x:c r="N1593" s="39" t="str">
        <x:v>نسخه پایه ۳۱۵۰</x:v>
      </x:c>
    </x:row>
    <x:row r="1594" ht="34" customHeight="1">
      <x:c r="A1594" s="34" t="str">
        <x:v>☐</x:v>
      </x:c>
      <x:c r="B1594" s="34" t="str">
        <x:v>MI-2299</x:v>
      </x:c>
      <x:c r="C1594" s="34" t="str">
        <x:v>M4 — اجرا، دانشگاه، صنعت و پروژه‌های اجتماعی</x:v>
      </x:c>
      <x:c r="D1594" s="34" t="str">
        <x:v>H12</x:v>
      </x:c>
      <x:c r="E1594" s="34" t="str">
        <x:v>صنعت، انرژی، محیط‌زیست، کشاورزی و پروژه‌های تولیدی</x:v>
      </x:c>
      <x:c r="F1594" s="34" t="str">
        <x:v>P2</x:v>
      </x:c>
      <x:c r="G1594" s="34" t="str">
        <x:v>هدف/موضوع</x:v>
      </x:c>
      <x:c r="H1594" s="39" t="str">
        <x:v>بسته بندی و لجستیک مواد غذایی</x:v>
      </x:c>
      <x:c r="I1594" s="39" t="str">
        <x:v>پس از تثبیت پایه‌ها؛ پروژه‌محور</x:v>
      </x:c>
      <x:c r="J1594" s="39" t="str">
        <x:v>منتور صنعت/امکان‌سنجی</x:v>
      </x:c>
      <x:c r="K1594" s="39" t="str"/>
      <x:c r="L1594" s="39" t="str">
        <x:v>E112:P1263</x:v>
      </x:c>
      <x:c r="M1594" s="39" t="str"/>
      <x:c r="N1594" s="39" t="str">
        <x:v>نسخه پایه ۳۱۵۰</x:v>
      </x:c>
    </x:row>
    <x:row r="1595" ht="34" customHeight="1">
      <x:c r="A1595" s="34" t="str">
        <x:v>☐</x:v>
      </x:c>
      <x:c r="B1595" s="34" t="str">
        <x:v>MI-2300</x:v>
      </x:c>
      <x:c r="C1595" s="34" t="str">
        <x:v>M4 — اجرا، دانشگاه، صنعت و پروژه‌های اجتماعی</x:v>
      </x:c>
      <x:c r="D1595" s="34" t="str">
        <x:v>H12</x:v>
      </x:c>
      <x:c r="E1595" s="34" t="str">
        <x:v>صنعت، انرژی، محیط‌زیست، کشاورزی و پروژه‌های تولیدی</x:v>
      </x:c>
      <x:c r="F1595" s="34" t="str">
        <x:v>P2</x:v>
      </x:c>
      <x:c r="G1595" s="34" t="str">
        <x:v>هدف/موضوع</x:v>
      </x:c>
      <x:c r="H1595" s="39" t="str">
        <x:v>بازارهای دیجیتال محصولات کشاورزی</x:v>
      </x:c>
      <x:c r="I1595" s="39" t="str">
        <x:v>پس از تثبیت پایه‌ها؛ پروژه‌محور</x:v>
      </x:c>
      <x:c r="J1595" s="39" t="str">
        <x:v>منتور صنعت/امکان‌سنجی</x:v>
      </x:c>
      <x:c r="K1595" s="39" t="str"/>
      <x:c r="L1595" s="39" t="str">
        <x:v>E112:P1264</x:v>
      </x:c>
      <x:c r="M1595" s="39" t="str"/>
      <x:c r="N1595" s="39" t="str">
        <x:v>نسخه پایه ۳۱۵۰</x:v>
      </x:c>
    </x:row>
    <x:row r="1596" ht="34" customHeight="1">
      <x:c r="A1596" s="34" t="str">
        <x:v>☐</x:v>
      </x:c>
      <x:c r="B1596" s="34" t="str">
        <x:v>MI-2303</x:v>
      </x:c>
      <x:c r="C1596" s="34" t="str">
        <x:v>M4 — اجرا، دانشگاه، صنعت و پروژه‌های اجتماعی</x:v>
      </x:c>
      <x:c r="D1596" s="34" t="str">
        <x:v>H12</x:v>
      </x:c>
      <x:c r="E1596" s="34" t="str">
        <x:v>صنعت، انرژی، محیط‌زیست، کشاورزی و پروژه‌های تولیدی</x:v>
      </x:c>
      <x:c r="F1596" s="34" t="str">
        <x:v>P2</x:v>
      </x:c>
      <x:c r="G1596" s="34" t="str">
        <x:v>هدف/موضوع</x:v>
      </x:c>
      <x:c r="H1596" s="39" t="str">
        <x:v>مدیریت آب و خاک</x:v>
      </x:c>
      <x:c r="I1596" s="39" t="str">
        <x:v>پس از تثبیت پایه‌ها؛ پروژه‌محور</x:v>
      </x:c>
      <x:c r="J1596" s="39" t="str">
        <x:v>منتور صنعت/امکان‌سنجی</x:v>
      </x:c>
      <x:c r="K1596" s="39" t="str"/>
      <x:c r="L1596" s="39" t="str">
        <x:v>E112:P1269</x:v>
      </x:c>
      <x:c r="M1596" s="39" t="str"/>
      <x:c r="N1596" s="39" t="str">
        <x:v>نسخه پایه ۳۱۵۰</x:v>
      </x:c>
    </x:row>
    <x:row r="1597" ht="34" customHeight="1">
      <x:c r="A1597" s="34" t="str">
        <x:v>☐</x:v>
      </x:c>
      <x:c r="B1597" s="34" t="str">
        <x:v>MI-2305</x:v>
      </x:c>
      <x:c r="C1597" s="34" t="str">
        <x:v>M4 — اجرا، دانشگاه، صنعت و پروژه‌های اجتماعی</x:v>
      </x:c>
      <x:c r="D1597" s="34" t="str">
        <x:v>H12</x:v>
      </x:c>
      <x:c r="E1597" s="34" t="str">
        <x:v>صنعت، انرژی، محیط‌زیست، کشاورزی و پروژه‌های تولیدی</x:v>
      </x:c>
      <x:c r="F1597" s="34" t="str">
        <x:v>P2</x:v>
      </x:c>
      <x:c r="G1597" s="34" t="str">
        <x:v>هدف/موضوع</x:v>
      </x:c>
      <x:c r="H1597" s="39" t="str">
        <x:v>پیش بینی تولید</x:v>
      </x:c>
      <x:c r="I1597" s="39" t="str">
        <x:v>پس از تثبیت پایه‌ها؛ پروژه‌محور</x:v>
      </x:c>
      <x:c r="J1597" s="39" t="str">
        <x:v>منتور صنعت/امکان‌سنجی</x:v>
      </x:c>
      <x:c r="K1597" s="39" t="str"/>
      <x:c r="L1597" s="39" t="str">
        <x:v>E112:P1271</x:v>
      </x:c>
      <x:c r="M1597" s="39" t="str"/>
      <x:c r="N1597" s="39" t="str">
        <x:v>نسخه پایه ۳۱۵۰</x:v>
      </x:c>
    </x:row>
    <x:row r="1598" ht="34" customHeight="1">
      <x:c r="A1598" s="34" t="str">
        <x:v>☐</x:v>
      </x:c>
      <x:c r="B1598" s="34" t="str">
        <x:v>MI-2315</x:v>
      </x:c>
      <x:c r="C1598" s="34" t="str">
        <x:v>M4 — اجرا، دانشگاه، صنعت و پروژه‌های اجتماعی</x:v>
      </x:c>
      <x:c r="D1598" s="34" t="str">
        <x:v>H12</x:v>
      </x:c>
      <x:c r="E1598" s="34" t="str">
        <x:v>صنعت، انرژی، محیط‌زیست، کشاورزی و پروژه‌های تولیدی</x:v>
      </x:c>
      <x:c r="F1598" s="34" t="str">
        <x:v>P2</x:v>
      </x:c>
      <x:c r="G1598" s="34" t="str">
        <x:v>هدف/موضوع</x:v>
      </x:c>
      <x:c r="H1598" s="39" t="str">
        <x:v>شیلات هوشمند</x:v>
      </x:c>
      <x:c r="I1598" s="39" t="str">
        <x:v>پس از تثبیت پایه‌ها؛ پروژه‌محور</x:v>
      </x:c>
      <x:c r="J1598" s="39" t="str">
        <x:v>منتور صنعت/امکان‌سنجی</x:v>
      </x:c>
      <x:c r="K1598" s="39" t="str"/>
      <x:c r="L1598" s="39" t="str">
        <x:v>E112:P1293</x:v>
      </x:c>
      <x:c r="M1598" s="39" t="str"/>
      <x:c r="N1598" s="39" t="str">
        <x:v>نسخه پایه ۳۱۵۰</x:v>
      </x:c>
    </x:row>
    <x:row r="1599" ht="34" customHeight="1">
      <x:c r="A1599" s="34" t="str">
        <x:v>☐</x:v>
      </x:c>
      <x:c r="B1599" s="34" t="str">
        <x:v>MI-2316</x:v>
      </x:c>
      <x:c r="C1599" s="34" t="str">
        <x:v>M4 — اجرا، دانشگاه، صنعت و پروژه‌های اجتماعی</x:v>
      </x:c>
      <x:c r="D1599" s="34" t="str">
        <x:v>H12</x:v>
      </x:c>
      <x:c r="E1599" s="34" t="str">
        <x:v>صنعت، انرژی، محیط‌زیست، کشاورزی و پروژه‌های تولیدی</x:v>
      </x:c>
      <x:c r="F1599" s="34" t="str">
        <x:v>P2</x:v>
      </x:c>
      <x:c r="G1599" s="34" t="str">
        <x:v>هدف/موضوع</x:v>
      </x:c>
      <x:c r="H1599" s="39" t="str">
        <x:v>مدیریت منابع دریایی</x:v>
      </x:c>
      <x:c r="I1599" s="39" t="str">
        <x:v>پس از تثبیت پایه‌ها؛ پروژه‌محور</x:v>
      </x:c>
      <x:c r="J1599" s="39" t="str">
        <x:v>منتور صنعت/امکان‌سنجی</x:v>
      </x:c>
      <x:c r="K1599" s="39" t="str"/>
      <x:c r="L1599" s="39" t="str">
        <x:v>E112:P1294</x:v>
      </x:c>
      <x:c r="M1599" s="39" t="str"/>
      <x:c r="N1599" s="39" t="str">
        <x:v>نسخه پایه ۳۱۵۰</x:v>
      </x:c>
    </x:row>
    <x:row r="1600" ht="34" customHeight="1">
      <x:c r="A1600" s="34" t="str">
        <x:v>☐</x:v>
      </x:c>
      <x:c r="B1600" s="34" t="str">
        <x:v>MI-2317</x:v>
      </x:c>
      <x:c r="C1600" s="34" t="str">
        <x:v>M4 — اجرا، دانشگاه، صنعت و پروژه‌های اجتماعی</x:v>
      </x:c>
      <x:c r="D1600" s="34" t="str">
        <x:v>H12</x:v>
      </x:c>
      <x:c r="E1600" s="34" t="str">
        <x:v>صنعت، انرژی، محیط‌زیست، کشاورزی و پروژه‌های تولیدی</x:v>
      </x:c>
      <x:c r="F1600" s="34" t="str">
        <x:v>P2</x:v>
      </x:c>
      <x:c r="G1600" s="34" t="str">
        <x:v>هدف/موضوع</x:v>
      </x:c>
      <x:c r="H1600" s="39" t="str">
        <x:v>لجستیک دریایی</x:v>
      </x:c>
      <x:c r="I1600" s="39" t="str">
        <x:v>پس از تثبیت پایه‌ها؛ پروژه‌محور</x:v>
      </x:c>
      <x:c r="J1600" s="39" t="str">
        <x:v>منتور صنعت/امکان‌سنجی</x:v>
      </x:c>
      <x:c r="K1600" s="39" t="str"/>
      <x:c r="L1600" s="39" t="str">
        <x:v>E112:P1295؛ E112:P1349</x:v>
      </x:c>
      <x:c r="M1600" s="39" t="str"/>
      <x:c r="N1600" s="39" t="str">
        <x:v>نسخه پایه ۳۱۵۰</x:v>
      </x:c>
    </x:row>
    <x:row r="1601" ht="34" customHeight="1">
      <x:c r="A1601" s="34" t="str">
        <x:v>☐</x:v>
      </x:c>
      <x:c r="B1601" s="34" t="str">
        <x:v>MI-2333</x:v>
      </x:c>
      <x:c r="C1601" s="34" t="str">
        <x:v>M4 — اجرا، دانشگاه، صنعت و پروژه‌های اجتماعی</x:v>
      </x:c>
      <x:c r="D1601" s="34" t="str">
        <x:v>H12</x:v>
      </x:c>
      <x:c r="E1601" s="34" t="str">
        <x:v>صنعت، انرژی، محیط‌زیست، کشاورزی و پروژه‌های تولیدی</x:v>
      </x:c>
      <x:c r="F1601" s="34" t="str">
        <x:v>P2</x:v>
      </x:c>
      <x:c r="G1601" s="34" t="str">
        <x:v>هدف/موضوع</x:v>
      </x:c>
      <x:c r="H1601" s="39" t="str">
        <x:v>1. آینده کشاورزی هوشمند در شمال ایران</x:v>
      </x:c>
      <x:c r="I1601" s="39" t="str">
        <x:v>پس از تثبیت پایه‌ها؛ پروژه‌محور</x:v>
      </x:c>
      <x:c r="J1601" s="39" t="str">
        <x:v>منتور صنعت/امکان‌سنجی</x:v>
      </x:c>
      <x:c r="K1601" s="39" t="str"/>
      <x:c r="L1601" s="39" t="str">
        <x:v>E112:P1327</x:v>
      </x:c>
      <x:c r="M1601" s="39" t="str"/>
      <x:c r="N1601" s="39" t="str">
        <x:v>نسخه پایه ۳۱۵۰</x:v>
      </x:c>
    </x:row>
    <x:row r="1602" ht="34" customHeight="1">
      <x:c r="A1602" s="34" t="str">
        <x:v>☐</x:v>
      </x:c>
      <x:c r="B1602" s="34" t="str">
        <x:v>MI-2335</x:v>
      </x:c>
      <x:c r="C1602" s="34" t="str">
        <x:v>M4 — اجرا، دانشگاه، صنعت و پروژه‌های اجتماعی</x:v>
      </x:c>
      <x:c r="D1602" s="34" t="str">
        <x:v>H12</x:v>
      </x:c>
      <x:c r="E1602" s="34" t="str">
        <x:v>صنعت، انرژی، محیط‌زیست، کشاورزی و پروژه‌های تولیدی</x:v>
      </x:c>
      <x:c r="F1602" s="34" t="str">
        <x:v>P2</x:v>
      </x:c>
      <x:c r="G1602" s="34" t="str">
        <x:v>هدف/موضوع</x:v>
      </x:c>
      <x:c r="H1602" s="39" t="str">
        <x:v>داده در کشاورزی</x:v>
      </x:c>
      <x:c r="I1602" s="39" t="str">
        <x:v>پس از تثبیت پایه‌ها؛ پروژه‌محور</x:v>
      </x:c>
      <x:c r="J1602" s="39" t="str">
        <x:v>منتور صنعت/امکان‌سنجی</x:v>
      </x:c>
      <x:c r="K1602" s="39" t="str"/>
      <x:c r="L1602" s="39" t="str">
        <x:v>E112:P1332</x:v>
      </x:c>
      <x:c r="M1602" s="39" t="str"/>
      <x:c r="N1602" s="39" t="str">
        <x:v>نسخه پایه ۳۱۵۰</x:v>
      </x:c>
    </x:row>
    <x:row r="1603" ht="34" customHeight="1">
      <x:c r="A1603" s="34" t="str">
        <x:v>☐</x:v>
      </x:c>
      <x:c r="B1603" s="34" t="str">
        <x:v>MI-2340</x:v>
      </x:c>
      <x:c r="C1603" s="34" t="str">
        <x:v>M4 — اجرا، دانشگاه، صنعت و پروژه‌های اجتماعی</x:v>
      </x:c>
      <x:c r="D1603" s="34" t="str">
        <x:v>H12</x:v>
      </x:c>
      <x:c r="E1603" s="34" t="str">
        <x:v>صنعت، انرژی، محیط‌زیست، کشاورزی و پروژه‌های تولیدی</x:v>
      </x:c>
      <x:c r="F1603" s="34" t="str">
        <x:v>P2</x:v>
      </x:c>
      <x:c r="G1603" s="34" t="str">
        <x:v>هدف/موضوع</x:v>
      </x:c>
      <x:c r="H1603" s="39" t="str">
        <x:v>3. کارآفرینی در اقتصاد دریا</x:v>
      </x:c>
      <x:c r="I1603" s="39" t="str">
        <x:v>پس از تثبیت پایه‌ها؛ پروژه‌محور</x:v>
      </x:c>
      <x:c r="J1603" s="39" t="str">
        <x:v>منتور صنعت/امکان‌سنجی</x:v>
      </x:c>
      <x:c r="K1603" s="39" t="str"/>
      <x:c r="L1603" s="39" t="str">
        <x:v>E112:P1343</x:v>
      </x:c>
      <x:c r="M1603" s="39" t="str"/>
      <x:c r="N1603" s="39" t="str">
        <x:v>نسخه پایه ۳۱۵۰</x:v>
      </x:c>
    </x:row>
    <x:row r="1604" ht="34" customHeight="1">
      <x:c r="A1604" s="34" t="str">
        <x:v>☐</x:v>
      </x:c>
      <x:c r="B1604" s="34" t="str">
        <x:v>MI-2347</x:v>
      </x:c>
      <x:c r="C1604" s="34" t="str">
        <x:v>M4 — اجرا، دانشگاه، صنعت و پروژه‌های اجتماعی</x:v>
      </x:c>
      <x:c r="D1604" s="34" t="str">
        <x:v>H12</x:v>
      </x:c>
      <x:c r="E1604" s="34" t="str">
        <x:v>صنعت، انرژی، محیط‌زیست، کشاورزی و پروژه‌های تولیدی</x:v>
      </x:c>
      <x:c r="F1604" s="34" t="str">
        <x:v>P2</x:v>
      </x:c>
      <x:c r="G1604" s="34" t="str">
        <x:v>هدف/موضوع</x:v>
      </x:c>
      <x:c r="H1604" s="39" t="str">
        <x:v>5. آینده صنایع غذایی</x:v>
      </x:c>
      <x:c r="I1604" s="39" t="str">
        <x:v>پس از تثبیت پایه‌ها؛ پروژه‌محور</x:v>
      </x:c>
      <x:c r="J1604" s="39" t="str">
        <x:v>منتور صنعت/امکان‌سنجی</x:v>
      </x:c>
      <x:c r="K1604" s="39" t="str"/>
      <x:c r="L1604" s="39" t="str">
        <x:v>E112:P1360</x:v>
      </x:c>
      <x:c r="M1604" s="39" t="str"/>
      <x:c r="N1604" s="39" t="str">
        <x:v>نسخه پایه ۳۱۵۰</x:v>
      </x:c>
    </x:row>
    <x:row r="1605" ht="34" customHeight="1">
      <x:c r="A1605" s="34" t="str">
        <x:v>☐</x:v>
      </x:c>
      <x:c r="B1605" s="34" t="str">
        <x:v>MI-2348</x:v>
      </x:c>
      <x:c r="C1605" s="34" t="str">
        <x:v>M4 — اجرا، دانشگاه، صنعت و پروژه‌های اجتماعی</x:v>
      </x:c>
      <x:c r="D1605" s="34" t="str">
        <x:v>H12</x:v>
      </x:c>
      <x:c r="E1605" s="34" t="str">
        <x:v>صنعت، انرژی، محیط‌زیست، کشاورزی و پروژه‌های تولیدی</x:v>
      </x:c>
      <x:c r="F1605" s="34" t="str">
        <x:v>P2</x:v>
      </x:c>
      <x:c r="G1605" s="34" t="str">
        <x:v>هدف/موضوع</x:v>
      </x:c>
      <x:c r="H1605" s="39" t="str">
        <x:v>با توجه به تولید عظیم استان.</x:v>
      </x:c>
      <x:c r="I1605" s="39" t="str">
        <x:v>پس از تثبیت پایه‌ها؛ پروژه‌محور</x:v>
      </x:c>
      <x:c r="J1605" s="39" t="str">
        <x:v>منتور صنعت/امکان‌سنجی</x:v>
      </x:c>
      <x:c r="K1605" s="39" t="str"/>
      <x:c r="L1605" s="39" t="str">
        <x:v>E112:P1362</x:v>
      </x:c>
      <x:c r="M1605" s="39" t="str"/>
      <x:c r="N1605" s="39" t="str">
        <x:v>نسخه پایه ۳۱۵۰</x:v>
      </x:c>
    </x:row>
    <x:row r="1606" ht="34" customHeight="1">
      <x:c r="A1606" s="34" t="str">
        <x:v>☐</x:v>
      </x:c>
      <x:c r="B1606" s="34" t="str">
        <x:v>MI-2354</x:v>
      </x:c>
      <x:c r="C1606" s="34" t="str">
        <x:v>M4 — اجرا، دانشگاه، صنعت و پروژه‌های اجتماعی</x:v>
      </x:c>
      <x:c r="D1606" s="34" t="str">
        <x:v>H12</x:v>
      </x:c>
      <x:c r="E1606" s="34" t="str">
        <x:v>صنعت، انرژی، محیط‌زیست، کشاورزی و پروژه‌های تولیدی</x:v>
      </x:c>
      <x:c r="F1606" s="34" t="str">
        <x:v>P2</x:v>
      </x:c>
      <x:c r="G1606" s="34" t="str">
        <x:v>هدف/موضوع</x:v>
      </x:c>
      <x:c r="H1606" s="39" t="str">
        <x:v>پنل صنعت</x:v>
      </x:c>
      <x:c r="I1606" s="39" t="str">
        <x:v>پس از تثبیت پایه‌ها؛ پروژه‌محور</x:v>
      </x:c>
      <x:c r="J1606" s="39" t="str">
        <x:v>منتور صنعت/امکان‌سنجی</x:v>
      </x:c>
      <x:c r="K1606" s="39" t="str"/>
      <x:c r="L1606" s="39" t="str">
        <x:v>E112:P1375</x:v>
      </x:c>
      <x:c r="M1606" s="39" t="str"/>
      <x:c r="N1606" s="39" t="str">
        <x:v>نسخه پایه ۳۱۵۰</x:v>
      </x:c>
    </x:row>
    <x:row r="1607" ht="34" customHeight="1">
      <x:c r="A1607" s="34" t="str">
        <x:v>☐</x:v>
      </x:c>
      <x:c r="B1607" s="34" t="str">
        <x:v>MI-2358</x:v>
      </x:c>
      <x:c r="C1607" s="34" t="str">
        <x:v>M4 — اجرا، دانشگاه، صنعت و پروژه‌های اجتماعی</x:v>
      </x:c>
      <x:c r="D1607" s="34" t="str">
        <x:v>H12</x:v>
      </x:c>
      <x:c r="E1607" s="34" t="str">
        <x:v>صنعت، انرژی، محیط‌زیست، کشاورزی و پروژه‌های تولیدی</x:v>
      </x:c>
      <x:c r="F1607" s="34" t="str">
        <x:v>P2</x:v>
      </x:c>
      <x:c r="G1607" s="34" t="str">
        <x:v>هدف/موضوع</x:v>
      </x:c>
      <x:c r="H1607" s="39" t="str">
        <x:v>بازدید صنعتی</x:v>
      </x:c>
      <x:c r="I1607" s="39" t="str">
        <x:v>پس از تثبیت پایه‌ها؛ پروژه‌محور</x:v>
      </x:c>
      <x:c r="J1607" s="39" t="str">
        <x:v>منتور صنعت/امکان‌سنجی</x:v>
      </x:c>
      <x:c r="K1607" s="39" t="str"/>
      <x:c r="L1607" s="39" t="str">
        <x:v>E112:P1379؛ E112:P3066</x:v>
      </x:c>
      <x:c r="M1607" s="39" t="str"/>
      <x:c r="N1607" s="39" t="str">
        <x:v>نسخه پایه ۳۱۵۰</x:v>
      </x:c>
    </x:row>
    <x:row r="1608" ht="34" customHeight="1">
      <x:c r="A1608" s="34" t="str">
        <x:v>☐</x:v>
      </x:c>
      <x:c r="B1608" s="34" t="str">
        <x:v>MI-2382</x:v>
      </x:c>
      <x:c r="C1608" s="34" t="str">
        <x:v>M4 — اجرا، دانشگاه، صنعت و پروژه‌های اجتماعی</x:v>
      </x:c>
      <x:c r="D1608" s="34" t="str">
        <x:v>H12</x:v>
      </x:c>
      <x:c r="E1608" s="34" t="str">
        <x:v>صنعت، انرژی، محیط‌زیست، کشاورزی و پروژه‌های تولیدی</x:v>
      </x:c>
      <x:c r="F1608" s="34" t="str">
        <x:v>P2</x:v>
      </x:c>
      <x:c r="G1608" s="34" t="str">
        <x:v>هدف/موضوع</x:v>
      </x:c>
      <x:c r="H1608" s="39" t="str">
        <x:v>حل مسیله صنعت</x:v>
      </x:c>
      <x:c r="I1608" s="39" t="str">
        <x:v>پس از تثبیت پایه‌ها؛ پروژه‌محور</x:v>
      </x:c>
      <x:c r="J1608" s="39" t="str">
        <x:v>منتور صنعت/امکان‌سنجی</x:v>
      </x:c>
      <x:c r="K1608" s="39" t="str"/>
      <x:c r="L1608" s="39" t="str">
        <x:v>E112:P1430</x:v>
      </x:c>
      <x:c r="M1608" s="39" t="str"/>
      <x:c r="N1608" s="39" t="str">
        <x:v>نسخه پایه ۳۱۵۰</x:v>
      </x:c>
    </x:row>
    <x:row r="1609" ht="34" customHeight="1">
      <x:c r="A1609" s="34" t="str">
        <x:v>☐</x:v>
      </x:c>
      <x:c r="B1609" s="34" t="str">
        <x:v>MI-2388</x:v>
      </x:c>
      <x:c r="C1609" s="34" t="str">
        <x:v>M4 — اجرا، دانشگاه، صنعت و پروژه‌های اجتماعی</x:v>
      </x:c>
      <x:c r="D1609" s="34" t="str">
        <x:v>H12</x:v>
      </x:c>
      <x:c r="E1609" s="34" t="str">
        <x:v>صنعت، انرژی، محیط‌زیست، کشاورزی و پروژه‌های تولیدی</x:v>
      </x:c>
      <x:c r="F1609" s="34" t="str">
        <x:v>P2</x:v>
      </x:c>
      <x:c r="G1609" s="34" t="str">
        <x:v>هدف/موضوع</x:v>
      </x:c>
      <x:c r="H1609" s="39" t="str">
        <x:v>مسیله صنعت</x:v>
      </x:c>
      <x:c r="I1609" s="39" t="str">
        <x:v>پس از تثبیت پایه‌ها؛ پروژه‌محور</x:v>
      </x:c>
      <x:c r="J1609" s="39" t="str">
        <x:v>منتور صنعت/امکان‌سنجی</x:v>
      </x:c>
      <x:c r="K1609" s="39" t="str"/>
      <x:c r="L1609" s="39" t="str">
        <x:v>E112:P1440</x:v>
      </x:c>
      <x:c r="M1609" s="39" t="str"/>
      <x:c r="N1609" s="39" t="str">
        <x:v>نسخه پایه ۳۱۵۰</x:v>
      </x:c>
    </x:row>
    <x:row r="1610" ht="34" customHeight="1">
      <x:c r="A1610" s="34" t="str">
        <x:v>☐</x:v>
      </x:c>
      <x:c r="B1610" s="34" t="str">
        <x:v>MI-2400</x:v>
      </x:c>
      <x:c r="C1610" s="34" t="str">
        <x:v>M4 — اجرا، دانشگاه، صنعت و پروژه‌های اجتماعی</x:v>
      </x:c>
      <x:c r="D1610" s="34" t="str">
        <x:v>H12</x:v>
      </x:c>
      <x:c r="E1610" s="34" t="str">
        <x:v>صنعت، انرژی، محیط‌زیست، کشاورزی و پروژه‌های تولیدی</x:v>
      </x:c>
      <x:c r="F1610" s="34" t="str">
        <x:v>P2</x:v>
      </x:c>
      <x:c r="G1610" s="34" t="str">
        <x:v>هدف/موضوع</x:v>
      </x:c>
      <x:c r="H1610" s="39" t="str">
        <x:v>کشاورزی و AgriTech</x:v>
      </x:c>
      <x:c r="I1610" s="39" t="str">
        <x:v>پس از تثبیت پایه‌ها؛ پروژه‌محور</x:v>
      </x:c>
      <x:c r="J1610" s="39" t="str">
        <x:v>منتور صنعت/امکان‌سنجی</x:v>
      </x:c>
      <x:c r="K1610" s="39" t="str"/>
      <x:c r="L1610" s="39" t="str">
        <x:v>E112:P1477؛ E112:P1738</x:v>
      </x:c>
      <x:c r="M1610" s="39" t="str"/>
      <x:c r="N1610" s="39" t="str">
        <x:v>نسخه پایه ۳۱۵۰</x:v>
      </x:c>
    </x:row>
    <x:row r="1611" ht="34" customHeight="1">
      <x:c r="A1611" s="34" t="str">
        <x:v>☐</x:v>
      </x:c>
      <x:c r="B1611" s="34" t="str">
        <x:v>MI-2401</x:v>
      </x:c>
      <x:c r="C1611" s="34" t="str">
        <x:v>M4 — اجرا، دانشگاه، صنعت و پروژه‌های اجتماعی</x:v>
      </x:c>
      <x:c r="D1611" s="34" t="str">
        <x:v>H12</x:v>
      </x:c>
      <x:c r="E1611" s="34" t="str">
        <x:v>صنعت، انرژی، محیط‌زیست، کشاورزی و پروژه‌های تولیدی</x:v>
      </x:c>
      <x:c r="F1611" s="34" t="str">
        <x:v>P2</x:v>
      </x:c>
      <x:c r="G1611" s="34" t="str">
        <x:v>هدف/موضوع</x:v>
      </x:c>
      <x:c r="H1611" s="39" t="str">
        <x:v>صنایع غذایی و FoodTech</x:v>
      </x:c>
      <x:c r="I1611" s="39" t="str">
        <x:v>پس از تثبیت پایه‌ها؛ پروژه‌محور</x:v>
      </x:c>
      <x:c r="J1611" s="39" t="str">
        <x:v>منتور صنعت/امکان‌سنجی</x:v>
      </x:c>
      <x:c r="K1611" s="39" t="str"/>
      <x:c r="L1611" s="39" t="str">
        <x:v>E112:P1478؛ E112:P1739</x:v>
      </x:c>
      <x:c r="M1611" s="39" t="str"/>
      <x:c r="N1611" s="39" t="str">
        <x:v>نسخه پایه ۳۱۵۰</x:v>
      </x:c>
    </x:row>
    <x:row r="1612" ht="34" customHeight="1">
      <x:c r="A1612" s="34" t="str">
        <x:v>☐</x:v>
      </x:c>
      <x:c r="B1612" s="34" t="str">
        <x:v>MI-2403</x:v>
      </x:c>
      <x:c r="C1612" s="34" t="str">
        <x:v>M4 — اجرا، دانشگاه، صنعت و پروژه‌های اجتماعی</x:v>
      </x:c>
      <x:c r="D1612" s="34" t="str">
        <x:v>H12</x:v>
      </x:c>
      <x:c r="E1612" s="34" t="str">
        <x:v>صنعت، انرژی، محیط‌زیست، کشاورزی و پروژه‌های تولیدی</x:v>
      </x:c>
      <x:c r="F1612" s="34" t="str">
        <x:v>P2</x:v>
      </x:c>
      <x:c r="G1612" s="34" t="str">
        <x:v>هدف/موضوع</x:v>
      </x:c>
      <x:c r="H1612" s="39" t="str">
        <x:v>اقتصاد دریا و شیلات</x:v>
      </x:c>
      <x:c r="I1612" s="39" t="str">
        <x:v>پس از تثبیت پایه‌ها؛ پروژه‌محور</x:v>
      </x:c>
      <x:c r="J1612" s="39" t="str">
        <x:v>منتور صنعت/امکان‌سنجی</x:v>
      </x:c>
      <x:c r="K1612" s="39" t="str"/>
      <x:c r="L1612" s="39" t="str">
        <x:v>E112:P1480؛ E112:P1741؛ E112:P2880</x:v>
      </x:c>
      <x:c r="M1612" s="39" t="str"/>
      <x:c r="N1612" s="39" t="str">
        <x:v>نسخه پایه ۳۱۵۰</x:v>
      </x:c>
    </x:row>
    <x:row r="1613" ht="34" customHeight="1">
      <x:c r="A1613" s="34" t="str">
        <x:v>☐</x:v>
      </x:c>
      <x:c r="B1613" s="34" t="str">
        <x:v>MI-2407</x:v>
      </x:c>
      <x:c r="C1613" s="34" t="str">
        <x:v>M4 — اجرا، دانشگاه، صنعت و پروژه‌های اجتماعی</x:v>
      </x:c>
      <x:c r="D1613" s="34" t="str">
        <x:v>H12</x:v>
      </x:c>
      <x:c r="E1613" s="34" t="str">
        <x:v>صنعت، انرژی، محیط‌زیست، کشاورزی و پروژه‌های تولیدی</x:v>
      </x:c>
      <x:c r="F1613" s="34" t="str">
        <x:v>P2</x:v>
      </x:c>
      <x:c r="G1613" s="34" t="str">
        <x:v>هدف/موضوع</x:v>
      </x:c>
      <x:c r="H1613" s="39" t="str">
        <x:v>آینده کشاورزی هوشمند</x:v>
      </x:c>
      <x:c r="I1613" s="39" t="str">
        <x:v>پس از تثبیت پایه‌ها؛ پروژه‌محور</x:v>
      </x:c>
      <x:c r="J1613" s="39" t="str">
        <x:v>منتور صنعت/امکان‌سنجی</x:v>
      </x:c>
      <x:c r="K1613" s="39" t="str"/>
      <x:c r="L1613" s="39" t="str">
        <x:v>E112:P1486</x:v>
      </x:c>
      <x:c r="M1613" s="39" t="str"/>
      <x:c r="N1613" s="39" t="str">
        <x:v>نسخه پایه ۳۱۵۰</x:v>
      </x:c>
    </x:row>
    <x:row r="1614" ht="34" customHeight="1">
      <x:c r="A1614" s="34" t="str">
        <x:v>☐</x:v>
      </x:c>
      <x:c r="B1614" s="34" t="str">
        <x:v>MI-2409</x:v>
      </x:c>
      <x:c r="C1614" s="34" t="str">
        <x:v>M4 — اجرا، دانشگاه، صنعت و پروژه‌های اجتماعی</x:v>
      </x:c>
      <x:c r="D1614" s="34" t="str">
        <x:v>H12</x:v>
      </x:c>
      <x:c r="E1614" s="34" t="str">
        <x:v>صنعت، انرژی، محیط‌زیست، کشاورزی و پروژه‌های تولیدی</x:v>
      </x:c>
      <x:c r="F1614" s="34" t="str">
        <x:v>P2</x:v>
      </x:c>
      <x:c r="G1614" s="34" t="str">
        <x:v>هدف/موضوع</x:v>
      </x:c>
      <x:c r="H1614" s="39" t="str">
        <x:v>فناوری در صنایع غذایی</x:v>
      </x:c>
      <x:c r="I1614" s="39" t="str">
        <x:v>پس از تثبیت پایه‌ها؛ پروژه‌محور</x:v>
      </x:c>
      <x:c r="J1614" s="39" t="str">
        <x:v>منتور صنعت/امکان‌سنجی</x:v>
      </x:c>
      <x:c r="K1614" s="39" t="str"/>
      <x:c r="L1614" s="39" t="str">
        <x:v>E112:P1489</x:v>
      </x:c>
      <x:c r="M1614" s="39" t="str"/>
      <x:c r="N1614" s="39" t="str">
        <x:v>نسخه پایه ۳۱۵۰</x:v>
      </x:c>
    </x:row>
    <x:row r="1615" ht="34" customHeight="1">
      <x:c r="A1615" s="34" t="str">
        <x:v>☐</x:v>
      </x:c>
      <x:c r="B1615" s="34" t="str">
        <x:v>MI-2410</x:v>
      </x:c>
      <x:c r="C1615" s="34" t="str">
        <x:v>M4 — اجرا، دانشگاه، صنعت و پروژه‌های اجتماعی</x:v>
      </x:c>
      <x:c r="D1615" s="34" t="str">
        <x:v>H12</x:v>
      </x:c>
      <x:c r="E1615" s="34" t="str">
        <x:v>صنعت، انرژی، محیط‌زیست، کشاورزی و پروژه‌های تولیدی</x:v>
      </x:c>
      <x:c r="F1615" s="34" t="str">
        <x:v>P2</x:v>
      </x:c>
      <x:c r="G1615" s="34" t="str">
        <x:v>هدف/موضوع</x:v>
      </x:c>
      <x:c r="H1615" s="39" t="str">
        <x:v>اقتصاد دریا و فرصت های کارآفرینی</x:v>
      </x:c>
      <x:c r="I1615" s="39" t="str">
        <x:v>پس از تثبیت پایه‌ها؛ پروژه‌محور</x:v>
      </x:c>
      <x:c r="J1615" s="39" t="str">
        <x:v>منتور صنعت/امکان‌سنجی</x:v>
      </x:c>
      <x:c r="K1615" s="39" t="str"/>
      <x:c r="L1615" s="39" t="str">
        <x:v>E112:P1490</x:v>
      </x:c>
      <x:c r="M1615" s="39" t="str"/>
      <x:c r="N1615" s="39" t="str">
        <x:v>نسخه پایه ۳۱۵۰</x:v>
      </x:c>
    </x:row>
    <x:row r="1616" ht="34" customHeight="1">
      <x:c r="A1616" s="34" t="str">
        <x:v>☐</x:v>
      </x:c>
      <x:c r="B1616" s="34" t="str">
        <x:v>MI-2419</x:v>
      </x:c>
      <x:c r="C1616" s="34" t="str">
        <x:v>M4 — اجرا، دانشگاه، صنعت و پروژه‌های اجتماعی</x:v>
      </x:c>
      <x:c r="D1616" s="34" t="str">
        <x:v>H12</x:v>
      </x:c>
      <x:c r="E1616" s="34" t="str">
        <x:v>صنعت، انرژی، محیط‌زیست، کشاورزی و پروژه‌های تولیدی</x:v>
      </x:c>
      <x:c r="F1616" s="34" t="str">
        <x:v>P2</x:v>
      </x:c>
      <x:c r="G1616" s="34" t="str">
        <x:v>هدف/موضوع</x:v>
      </x:c>
      <x:c r="H1616" s="39" t="str">
        <x:v>استعداد + کارآفرین + صنعت + سرمایه</x:v>
      </x:c>
      <x:c r="I1616" s="39" t="str">
        <x:v>پس از تثبیت پایه‌ها؛ پروژه‌محور</x:v>
      </x:c>
      <x:c r="J1616" s="39" t="str">
        <x:v>منتور صنعت/امکان‌سنجی</x:v>
      </x:c>
      <x:c r="K1616" s="39" t="str"/>
      <x:c r="L1616" s="39" t="str">
        <x:v>E112:P1505</x:v>
      </x:c>
      <x:c r="M1616" s="39" t="str"/>
      <x:c r="N1616" s="39" t="str">
        <x:v>نسخه پایه ۳۱۵۰</x:v>
      </x:c>
    </x:row>
    <x:row r="1617" ht="34" customHeight="1">
      <x:c r="A1617" s="34" t="str">
        <x:v>☐</x:v>
      </x:c>
      <x:c r="B1617" s="34" t="str">
        <x:v>MI-2455</x:v>
      </x:c>
      <x:c r="C1617" s="34" t="str">
        <x:v>M4 — اجرا، دانشگاه، صنعت و پروژه‌های اجتماعی</x:v>
      </x:c>
      <x:c r="D1617" s="34" t="str">
        <x:v>H12</x:v>
      </x:c>
      <x:c r="E1617" s="34" t="str">
        <x:v>صنعت، انرژی، محیط‌زیست، کشاورزی و پروژه‌های تولیدی</x:v>
      </x:c>
      <x:c r="F1617" s="34" t="str">
        <x:v>P2</x:v>
      </x:c>
      <x:c r="G1617" s="34" t="str">
        <x:v>هدف/موضوع</x:v>
      </x:c>
      <x:c r="H1617" s="39" t="str">
        <x:v>طراحی همایش های مسیله محور صنعتی</x:v>
      </x:c>
      <x:c r="I1617" s="39" t="str">
        <x:v>پس از تثبیت پایه‌ها؛ پروژه‌محور</x:v>
      </x:c>
      <x:c r="J1617" s="39" t="str">
        <x:v>منتور صنعت/امکان‌سنجی</x:v>
      </x:c>
      <x:c r="K1617" s="39" t="str"/>
      <x:c r="L1617" s="39" t="str">
        <x:v>E112:P1749</x:v>
      </x:c>
      <x:c r="M1617" s="39" t="str"/>
      <x:c r="N1617" s="39" t="str">
        <x:v>نسخه پایه ۳۱۵۰</x:v>
      </x:c>
    </x:row>
    <x:row r="1618" ht="34" customHeight="1">
      <x:c r="A1618" s="34" t="str">
        <x:v>☐</x:v>
      </x:c>
      <x:c r="B1618" s="34" t="str">
        <x:v>MI-2475</x:v>
      </x:c>
      <x:c r="C1618" s="34" t="str">
        <x:v>M4 — اجرا، دانشگاه، صنعت و پروژه‌های اجتماعی</x:v>
      </x:c>
      <x:c r="D1618" s="34" t="str">
        <x:v>H12</x:v>
      </x:c>
      <x:c r="E1618" s="34" t="str">
        <x:v>صنعت، انرژی، محیط‌زیست، کشاورزی و پروژه‌های تولیدی</x:v>
      </x:c>
      <x:c r="F1618" s="34" t="str">
        <x:v>P2</x:v>
      </x:c>
      <x:c r="G1618" s="34" t="str">
        <x:v>هدف/موضوع</x:v>
      </x:c>
      <x:c r="H1618" s="39" t="str">
        <x:v>اتصال استعداد + صنعت + سرمایه + کارآفرین</x:v>
      </x:c>
      <x:c r="I1618" s="39" t="str">
        <x:v>پس از تثبیت پایه‌ها؛ پروژه‌محور</x:v>
      </x:c>
      <x:c r="J1618" s="39" t="str">
        <x:v>منتور صنعت/امکان‌سنجی</x:v>
      </x:c>
      <x:c r="K1618" s="39" t="str"/>
      <x:c r="L1618" s="39" t="str">
        <x:v>E112:P1777</x:v>
      </x:c>
      <x:c r="M1618" s="39" t="str"/>
      <x:c r="N1618" s="39" t="str">
        <x:v>نسخه پایه ۳۱۵۰</x:v>
      </x:c>
    </x:row>
    <x:row r="1619" ht="34" customHeight="1">
      <x:c r="A1619" s="34" t="str">
        <x:v>☐</x:v>
      </x:c>
      <x:c r="B1619" s="34" t="str">
        <x:v>MI-2509</x:v>
      </x:c>
      <x:c r="C1619" s="34" t="str">
        <x:v>M4 — اجرا، دانشگاه، صنعت و پروژه‌های اجتماعی</x:v>
      </x:c>
      <x:c r="D1619" s="34" t="str">
        <x:v>H12</x:v>
      </x:c>
      <x:c r="E1619" s="34" t="str">
        <x:v>صنعت، انرژی، محیط‌زیست، کشاورزی و پروژه‌های تولیدی</x:v>
      </x:c>
      <x:c r="F1619" s="34" t="str">
        <x:v>P2</x:v>
      </x:c>
      <x:c r="G1619" s="34" t="str">
        <x:v>هدف/موضوع</x:v>
      </x:c>
      <x:c r="H1619" s="39" t="str">
        <x:v>ابزارهای کشاورزی هوشمند</x:v>
      </x:c>
      <x:c r="I1619" s="39" t="str">
        <x:v>پس از تثبیت پایه‌ها؛ پروژه‌محور</x:v>
      </x:c>
      <x:c r="J1619" s="39" t="str">
        <x:v>منتور صنعت/امکان‌سنجی</x:v>
      </x:c>
      <x:c r="K1619" s="39" t="str"/>
      <x:c r="L1619" s="39" t="str">
        <x:v>E112:P2019</x:v>
      </x:c>
      <x:c r="M1619" s="39" t="str"/>
      <x:c r="N1619" s="39" t="str">
        <x:v>نسخه پایه ۳۱۵۰</x:v>
      </x:c>
    </x:row>
    <x:row r="1620" ht="34" customHeight="1">
      <x:c r="A1620" s="34" t="str">
        <x:v>☐</x:v>
      </x:c>
      <x:c r="B1620" s="34" t="str">
        <x:v>MI-2524</x:v>
      </x:c>
      <x:c r="C1620" s="34" t="str">
        <x:v>M4 — اجرا، دانشگاه، صنعت و پروژه‌های اجتماعی</x:v>
      </x:c>
      <x:c r="D1620" s="34" t="str">
        <x:v>H12</x:v>
      </x:c>
      <x:c r="E1620" s="34" t="str">
        <x:v>صنعت، انرژی، محیط‌زیست، کشاورزی و پروژه‌های تولیدی</x:v>
      </x:c>
      <x:c r="F1620" s="34" t="str">
        <x:v>P2</x:v>
      </x:c>
      <x:c r="G1620" s="34" t="str">
        <x:v>هدف/موضوع</x:v>
      </x:c>
      <x:c r="H1620" s="39" t="str">
        <x:v>مدیران صنعتی</x:v>
      </x:c>
      <x:c r="I1620" s="39" t="str">
        <x:v>پس از تثبیت پایه‌ها؛ پروژه‌محور</x:v>
      </x:c>
      <x:c r="J1620" s="39" t="str">
        <x:v>منتور صنعت/امکان‌سنجی</x:v>
      </x:c>
      <x:c r="K1620" s="39" t="str"/>
      <x:c r="L1620" s="39" t="str">
        <x:v>E112:P2046؛ E112:P2615؛ E112:P3029</x:v>
      </x:c>
      <x:c r="M1620" s="39" t="str"/>
      <x:c r="N1620" s="39" t="str">
        <x:v>نسخه پایه ۳۱۵۰</x:v>
      </x:c>
    </x:row>
    <x:row r="1621" ht="34" customHeight="1">
      <x:c r="A1621" s="34" t="str">
        <x:v>☐</x:v>
      </x:c>
      <x:c r="B1621" s="34" t="str">
        <x:v>MI-2534</x:v>
      </x:c>
      <x:c r="C1621" s="34" t="str">
        <x:v>M4 — اجرا، دانشگاه، صنعت و پروژه‌های اجتماعی</x:v>
      </x:c>
      <x:c r="D1621" s="34" t="str">
        <x:v>H12</x:v>
      </x:c>
      <x:c r="E1621" s="34" t="str">
        <x:v>صنعت، انرژی، محیط‌زیست، کشاورزی و پروژه‌های تولیدی</x:v>
      </x:c>
      <x:c r="F1621" s="34" t="str">
        <x:v>P2</x:v>
      </x:c>
      <x:c r="G1621" s="34" t="str">
        <x:v>هدف/موضوع</x:v>
      </x:c>
      <x:c r="H1621" s="39" t="str">
        <x:v>حل مسیله صنعتی</x:v>
      </x:c>
      <x:c r="I1621" s="39" t="str">
        <x:v>پس از تثبیت پایه‌ها؛ پروژه‌محور</x:v>
      </x:c>
      <x:c r="J1621" s="39" t="str">
        <x:v>منتور صنعت/امکان‌سنجی</x:v>
      </x:c>
      <x:c r="K1621" s="39" t="str"/>
      <x:c r="L1621" s="39" t="str">
        <x:v>E112:P2065</x:v>
      </x:c>
      <x:c r="M1621" s="39" t="str"/>
      <x:c r="N1621" s="39" t="str">
        <x:v>نسخه پایه ۳۱۵۰</x:v>
      </x:c>
    </x:row>
    <x:row r="1622" ht="34" customHeight="1">
      <x:c r="A1622" s="34" t="str">
        <x:v>☐</x:v>
      </x:c>
      <x:c r="B1622" s="34" t="str">
        <x:v>MI-2540</x:v>
      </x:c>
      <x:c r="C1622" s="34" t="str">
        <x:v>M4 — اجرا، دانشگاه، صنعت و پروژه‌های اجتماعی</x:v>
      </x:c>
      <x:c r="D1622" s="34" t="str">
        <x:v>H12</x:v>
      </x:c>
      <x:c r="E1622" s="34" t="str">
        <x:v>صنعت، انرژی، محیط‌زیست، کشاورزی و پروژه‌های تولیدی</x:v>
      </x:c>
      <x:c r="F1622" s="34" t="str">
        <x:v>P2</x:v>
      </x:c>
      <x:c r="G1622" s="34" t="str">
        <x:v>هدف/موضوع</x:v>
      </x:c>
      <x:c r="H1622" s="39" t="str">
        <x:v>صنعت استان</x:v>
      </x:c>
      <x:c r="I1622" s="39" t="str">
        <x:v>پس از تثبیت پایه‌ها؛ پروژه‌محور</x:v>
      </x:c>
      <x:c r="J1622" s="39" t="str">
        <x:v>منتور صنعت/امکان‌سنجی</x:v>
      </x:c>
      <x:c r="K1622" s="39" t="str"/>
      <x:c r="L1622" s="39" t="str">
        <x:v>E112:P2076؛ E112:P2175</x:v>
      </x:c>
      <x:c r="M1622" s="39" t="str"/>
      <x:c r="N1622" s="39" t="str">
        <x:v>نسخه پایه ۳۱۵۰</x:v>
      </x:c>
    </x:row>
    <x:row r="1623" ht="34" customHeight="1">
      <x:c r="A1623" s="34" t="str">
        <x:v>☐</x:v>
      </x:c>
      <x:c r="B1623" s="34" t="str">
        <x:v>MI-2546</x:v>
      </x:c>
      <x:c r="C1623" s="34" t="str">
        <x:v>M4 — اجرا، دانشگاه، صنعت و پروژه‌های اجتماعی</x:v>
      </x:c>
      <x:c r="D1623" s="34" t="str">
        <x:v>H12</x:v>
      </x:c>
      <x:c r="E1623" s="34" t="str">
        <x:v>صنعت، انرژی، محیط‌زیست، کشاورزی و پروژه‌های تولیدی</x:v>
      </x:c>
      <x:c r="F1623" s="34" t="str">
        <x:v>P2</x:v>
      </x:c>
      <x:c r="G1623" s="34" t="str">
        <x:v>هدف/موضوع</x:v>
      </x:c>
      <x:c r="H1623" s="39" t="str">
        <x:v>عارضه یابی صنعت</x:v>
      </x:c>
      <x:c r="I1623" s="39" t="str">
        <x:v>پس از تثبیت پایه‌ها؛ پروژه‌محور</x:v>
      </x:c>
      <x:c r="J1623" s="39" t="str">
        <x:v>منتور صنعت/امکان‌سنجی</x:v>
      </x:c>
      <x:c r="K1623" s="39" t="str"/>
      <x:c r="L1623" s="39" t="str">
        <x:v>E112:P2096</x:v>
      </x:c>
      <x:c r="M1623" s="39" t="str"/>
      <x:c r="N1623" s="39" t="str">
        <x:v>نسخه پایه ۳۱۵۰</x:v>
      </x:c>
    </x:row>
    <x:row r="1624" ht="34" customHeight="1">
      <x:c r="A1624" s="34" t="str">
        <x:v>☐</x:v>
      </x:c>
      <x:c r="B1624" s="34" t="str">
        <x:v>MI-2558</x:v>
      </x:c>
      <x:c r="C1624" s="34" t="str">
        <x:v>M4 — اجرا، دانشگاه، صنعت و پروژه‌های اجتماعی</x:v>
      </x:c>
      <x:c r="D1624" s="34" t="str">
        <x:v>H12</x:v>
      </x:c>
      <x:c r="E1624" s="34" t="str">
        <x:v>صنعت، انرژی، محیط‌زیست، کشاورزی و پروژه‌های تولیدی</x:v>
      </x:c>
      <x:c r="F1624" s="34" t="str">
        <x:v>P2</x:v>
      </x:c>
      <x:c r="G1624" s="34" t="str">
        <x:v>هدف/موضوع</x:v>
      </x:c>
      <x:c r="H1624" s="39" t="str">
        <x:v>تولید ایده</x:v>
      </x:c>
      <x:c r="I1624" s="39" t="str">
        <x:v>پس از تثبیت پایه‌ها؛ پروژه‌محور</x:v>
      </x:c>
      <x:c r="J1624" s="39" t="str">
        <x:v>منتور صنعت/امکان‌سنجی</x:v>
      </x:c>
      <x:c r="K1624" s="39" t="str"/>
      <x:c r="L1624" s="39" t="str">
        <x:v>E112:P2114؛ E112:P2764؛ E112:P3087</x:v>
      </x:c>
      <x:c r="M1624" s="39" t="str"/>
      <x:c r="N1624" s="39" t="str">
        <x:v>نسخه پایه ۳۱۵۰</x:v>
      </x:c>
    </x:row>
    <x:row r="1625" ht="34" customHeight="1">
      <x:c r="A1625" s="34" t="str">
        <x:v>☐</x:v>
      </x:c>
      <x:c r="B1625" s="34" t="str">
        <x:v>MI-2602</x:v>
      </x:c>
      <x:c r="C1625" s="34" t="str">
        <x:v>M4 — اجرا، دانشگاه، صنعت و پروژه‌های اجتماعی</x:v>
      </x:c>
      <x:c r="D1625" s="34" t="str">
        <x:v>H12</x:v>
      </x:c>
      <x:c r="E1625" s="34" t="str">
        <x:v>صنعت، انرژی، محیط‌زیست، کشاورزی و پروژه‌های تولیدی</x:v>
      </x:c>
      <x:c r="F1625" s="34" t="str">
        <x:v>P2</x:v>
      </x:c>
      <x:c r="G1625" s="34" t="str">
        <x:v>هدف/موضوع</x:v>
      </x:c>
      <x:c r="H1625" s="39" t="str">
        <x:v>صنعت</x:v>
      </x:c>
      <x:c r="I1625" s="39" t="str">
        <x:v>پس از تثبیت پایه‌ها؛ پروژه‌محور</x:v>
      </x:c>
      <x:c r="J1625" s="39" t="str">
        <x:v>منتور صنعت/امکان‌سنجی</x:v>
      </x:c>
      <x:c r="K1625" s="39" t="str"/>
      <x:c r="L1625" s="39" t="str">
        <x:v>E112:P2228؛ E112:P2464</x:v>
      </x:c>
      <x:c r="M1625" s="39" t="str"/>
      <x:c r="N1625" s="39" t="str">
        <x:v>نسخه پایه ۳۱۵۰</x:v>
      </x:c>
    </x:row>
    <x:row r="1626" ht="34" customHeight="1">
      <x:c r="A1626" s="34" t="str">
        <x:v>☐</x:v>
      </x:c>
      <x:c r="B1626" s="34" t="str">
        <x:v>MI-2659</x:v>
      </x:c>
      <x:c r="C1626" s="34" t="str">
        <x:v>M4 — اجرا، دانشگاه، صنعت و پروژه‌های اجتماعی</x:v>
      </x:c>
      <x:c r="D1626" s="34" t="str">
        <x:v>H12</x:v>
      </x:c>
      <x:c r="E1626" s="34" t="str">
        <x:v>صنعت، انرژی، محیط‌زیست، کشاورزی و پروژه‌های تولیدی</x:v>
      </x:c>
      <x:c r="F1626" s="34" t="str">
        <x:v>P2</x:v>
      </x:c>
      <x:c r="G1626" s="34" t="str">
        <x:v>هدف/موضوع</x:v>
      </x:c>
      <x:c r="H1626" s="39" t="str">
        <x:v>تولید شود.</x:v>
      </x:c>
      <x:c r="I1626" s="39" t="str">
        <x:v>پس از تثبیت پایه‌ها؛ پروژه‌محور</x:v>
      </x:c>
      <x:c r="J1626" s="39" t="str">
        <x:v>منتور صنعت/امکان‌سنجی</x:v>
      </x:c>
      <x:c r="K1626" s="39" t="str"/>
      <x:c r="L1626" s="39" t="str">
        <x:v>E112:P2575</x:v>
      </x:c>
      <x:c r="M1626" s="39" t="str"/>
      <x:c r="N1626" s="39" t="str">
        <x:v>نسخه پایه ۳۱۵۰</x:v>
      </x:c>
    </x:row>
    <x:row r="1627" ht="34" customHeight="1">
      <x:c r="A1627" s="34" t="str">
        <x:v>☐</x:v>
      </x:c>
      <x:c r="B1627" s="34" t="str">
        <x:v>MI-2705</x:v>
      </x:c>
      <x:c r="C1627" s="34" t="str">
        <x:v>M4 — اجرا، دانشگاه، صنعت و پروژه‌های اجتماعی</x:v>
      </x:c>
      <x:c r="D1627" s="34" t="str">
        <x:v>H12</x:v>
      </x:c>
      <x:c r="E1627" s="34" t="str">
        <x:v>صنعت، انرژی، محیط‌زیست، کشاورزی و پروژه‌های تولیدی</x:v>
      </x:c>
      <x:c r="F1627" s="34" t="str">
        <x:v>P2</x:v>
      </x:c>
      <x:c r="G1627" s="34" t="str">
        <x:v>هدف/موضوع</x:v>
      </x:c>
      <x:c r="H1627" s="39" t="str">
        <x:v>بازدیدهای صنعتی</x:v>
      </x:c>
      <x:c r="I1627" s="39" t="str">
        <x:v>پس از تثبیت پایه‌ها؛ پروژه‌محور</x:v>
      </x:c>
      <x:c r="J1627" s="39" t="str">
        <x:v>منتور صنعت/امکان‌سنجی</x:v>
      </x:c>
      <x:c r="K1627" s="39" t="str"/>
      <x:c r="L1627" s="39" t="str">
        <x:v>E112:P2690</x:v>
      </x:c>
      <x:c r="M1627" s="39" t="str"/>
      <x:c r="N1627" s="39" t="str">
        <x:v>نسخه پایه ۳۱۵۰</x:v>
      </x:c>
    </x:row>
    <x:row r="1628" ht="34" customHeight="1">
      <x:c r="A1628" s="34" t="str">
        <x:v>☐</x:v>
      </x:c>
      <x:c r="B1628" s="34" t="str">
        <x:v>MI-2762</x:v>
      </x:c>
      <x:c r="C1628" s="34" t="str">
        <x:v>M4 — اجرا، دانشگاه، صنعت و پروژه‌های اجتماعی</x:v>
      </x:c>
      <x:c r="D1628" s="34" t="str">
        <x:v>H12</x:v>
      </x:c>
      <x:c r="E1628" s="34" t="str">
        <x:v>صنعت، انرژی، محیط‌زیست، کشاورزی و پروژه‌های تولیدی</x:v>
      </x:c>
      <x:c r="F1628" s="34" t="str">
        <x:v>P2</x:v>
      </x:c>
      <x:c r="G1628" s="34" t="str">
        <x:v>هدف/موضوع</x:v>
      </x:c>
      <x:c r="H1628" s="39" t="str">
        <x:v>شریک صنعتی استان</x:v>
      </x:c>
      <x:c r="I1628" s="39" t="str">
        <x:v>پس از تثبیت پایه‌ها؛ پروژه‌محور</x:v>
      </x:c>
      <x:c r="J1628" s="39" t="str">
        <x:v>منتور صنعت/امکان‌سنجی</x:v>
      </x:c>
      <x:c r="K1628" s="39" t="str"/>
      <x:c r="L1628" s="39" t="str">
        <x:v>E112:P2848</x:v>
      </x:c>
      <x:c r="M1628" s="39" t="str"/>
      <x:c r="N1628" s="39" t="str">
        <x:v>نسخه پایه ۳۱۵۰</x:v>
      </x:c>
    </x:row>
    <x:row r="1629" ht="34" customHeight="1">
      <x:c r="A1629" s="34" t="str">
        <x:v>☐</x:v>
      </x:c>
      <x:c r="B1629" s="34" t="str">
        <x:v>MI-2767</x:v>
      </x:c>
      <x:c r="C1629" s="34" t="str">
        <x:v>M4 — اجرا، دانشگاه، صنعت و پروژه‌های اجتماعی</x:v>
      </x:c>
      <x:c r="D1629" s="34" t="str">
        <x:v>H12</x:v>
      </x:c>
      <x:c r="E1629" s="34" t="str">
        <x:v>صنعت، انرژی، محیط‌زیست، کشاورزی و پروژه‌های تولیدی</x:v>
      </x:c>
      <x:c r="F1629" s="34" t="str">
        <x:v>P2</x:v>
      </x:c>
      <x:c r="G1629" s="34" t="str">
        <x:v>هدف/موضوع</x:v>
      </x:c>
      <x:c r="H1629" s="39" t="str">
        <x:v>دسترسی به دریای خزر</x:v>
      </x:c>
      <x:c r="I1629" s="39" t="str">
        <x:v>پس از تثبیت پایه‌ها؛ پروژه‌محور</x:v>
      </x:c>
      <x:c r="J1629" s="39" t="str">
        <x:v>منتور صنعت/امکان‌سنجی</x:v>
      </x:c>
      <x:c r="K1629" s="39" t="str"/>
      <x:c r="L1629" s="39" t="str">
        <x:v>E112:P2857</x:v>
      </x:c>
      <x:c r="M1629" s="39" t="str"/>
      <x:c r="N1629" s="39" t="str">
        <x:v>نسخه پایه ۳۱۵۰</x:v>
      </x:c>
    </x:row>
    <x:row r="1630" ht="34" customHeight="1">
      <x:c r="A1630" s="34" t="str">
        <x:v>☐</x:v>
      </x:c>
      <x:c r="B1630" s="34" t="str">
        <x:v>MI-2768</x:v>
      </x:c>
      <x:c r="C1630" s="34" t="str">
        <x:v>M4 — اجرا، دانشگاه، صنعت و پروژه‌های اجتماعی</x:v>
      </x:c>
      <x:c r="D1630" s="34" t="str">
        <x:v>H12</x:v>
      </x:c>
      <x:c r="E1630" s="34" t="str">
        <x:v>صنعت، انرژی، محیط‌زیست، کشاورزی و پروژه‌های تولیدی</x:v>
      </x:c>
      <x:c r="F1630" s="34" t="str">
        <x:v>P2</x:v>
      </x:c>
      <x:c r="G1630" s="34" t="str">
        <x:v>هدف/موضوع</x:v>
      </x:c>
      <x:c r="H1630" s="39" t="str">
        <x:v>قطب کشاورزی کشور</x:v>
      </x:c>
      <x:c r="I1630" s="39" t="str">
        <x:v>پس از تثبیت پایه‌ها؛ پروژه‌محور</x:v>
      </x:c>
      <x:c r="J1630" s="39" t="str">
        <x:v>منتور صنعت/امکان‌سنجی</x:v>
      </x:c>
      <x:c r="K1630" s="39" t="str"/>
      <x:c r="L1630" s="39" t="str">
        <x:v>E112:P2859</x:v>
      </x:c>
      <x:c r="M1630" s="39" t="str"/>
      <x:c r="N1630" s="39" t="str">
        <x:v>نسخه پایه ۳۱۵۰</x:v>
      </x:c>
    </x:row>
    <x:row r="1631" ht="34" customHeight="1">
      <x:c r="A1631" s="34" t="str">
        <x:v>☐</x:v>
      </x:c>
      <x:c r="B1631" s="34" t="str">
        <x:v>MI-2795</x:v>
      </x:c>
      <x:c r="C1631" s="34" t="str">
        <x:v>M4 — اجرا، دانشگاه، صنعت و پروژه‌های اجتماعی</x:v>
      </x:c>
      <x:c r="D1631" s="34" t="str">
        <x:v>H12</x:v>
      </x:c>
      <x:c r="E1631" s="34" t="str">
        <x:v>صنعت، انرژی، محیط‌زیست، کشاورزی و پروژه‌های تولیدی</x:v>
      </x:c>
      <x:c r="F1631" s="34" t="str">
        <x:v>P2</x:v>
      </x:c>
      <x:c r="G1631" s="34" t="str">
        <x:v>هدف/موضوع</x:v>
      </x:c>
      <x:c r="H1631" s="39" t="str">
        <x:v>لایه 1 — منابع تولید استعداد</x:v>
      </x:c>
      <x:c r="I1631" s="39" t="str">
        <x:v>پس از تثبیت پایه‌ها؛ پروژه‌محور</x:v>
      </x:c>
      <x:c r="J1631" s="39" t="str">
        <x:v>منتور صنعت/امکان‌سنجی</x:v>
      </x:c>
      <x:c r="K1631" s="39" t="str"/>
      <x:c r="L1631" s="39" t="str">
        <x:v>E112:P2930</x:v>
      </x:c>
      <x:c r="M1631" s="39" t="str"/>
      <x:c r="N1631" s="39" t="str">
        <x:v>نسخه پایه ۳۱۵۰</x:v>
      </x:c>
    </x:row>
    <x:row r="1632" ht="34" customHeight="1">
      <x:c r="A1632" s="34" t="str">
        <x:v>☐</x:v>
      </x:c>
      <x:c r="B1632" s="34" t="str">
        <x:v>MI-2831</x:v>
      </x:c>
      <x:c r="C1632" s="34" t="str">
        <x:v>M4 — اجرا، دانشگاه، صنعت و پروژه‌های اجتماعی</x:v>
      </x:c>
      <x:c r="D1632" s="34" t="str">
        <x:v>H12</x:v>
      </x:c>
      <x:c r="E1632" s="34" t="str">
        <x:v>صنعت، انرژی، محیط‌زیست، کشاورزی و پروژه‌های تولیدی</x:v>
      </x:c>
      <x:c r="F1632" s="34" t="str">
        <x:v>P2</x:v>
      </x:c>
      <x:c r="G1632" s="34" t="str">
        <x:v>هدف/موضوع</x:v>
      </x:c>
      <x:c r="H1632" s="39" t="str">
        <x:v>لایه 6 — استخراج مسیله از صنعت</x:v>
      </x:c>
      <x:c r="I1632" s="39" t="str">
        <x:v>پس از تثبیت پایه‌ها؛ پروژه‌محور</x:v>
      </x:c>
      <x:c r="J1632" s="39" t="str">
        <x:v>منتور صنعت/امکان‌سنجی</x:v>
      </x:c>
      <x:c r="K1632" s="39" t="str"/>
      <x:c r="L1632" s="39" t="str">
        <x:v>E112:P3040</x:v>
      </x:c>
      <x:c r="M1632" s="39" t="str"/>
      <x:c r="N1632" s="39" t="str">
        <x:v>نسخه پایه ۳۱۵۰</x:v>
      </x:c>
    </x:row>
    <x:row r="1633" ht="34" customHeight="1">
      <x:c r="A1633" s="34" t="str">
        <x:v>☐</x:v>
      </x:c>
      <x:c r="B1633" s="34" t="str">
        <x:v>MI-2869</x:v>
      </x:c>
      <x:c r="C1633" s="34" t="str">
        <x:v>M4 — اجرا، دانشگاه، صنعت و پروژه‌های اجتماعی</x:v>
      </x:c>
      <x:c r="D1633" s="34" t="str">
        <x:v>H12</x:v>
      </x:c>
      <x:c r="E1633" s="34" t="str">
        <x:v>صنعت، انرژی، محیط‌زیست، کشاورزی و پروژه‌های تولیدی</x:v>
      </x:c>
      <x:c r="F1633" s="34" t="str">
        <x:v>P2</x:v>
      </x:c>
      <x:c r="G1633" s="34" t="str">
        <x:v>هدف/موضوع</x:v>
      </x:c>
      <x:c r="H1633" s="39" t="str">
        <x:v>صنعت محلی</x:v>
      </x:c>
      <x:c r="I1633" s="39" t="str">
        <x:v>پس از تثبیت پایه‌ها؛ پروژه‌محور</x:v>
      </x:c>
      <x:c r="J1633" s="39" t="str">
        <x:v>منتور صنعت/امکان‌سنجی</x:v>
      </x:c>
      <x:c r="K1633" s="39" t="str"/>
      <x:c r="L1633" s="39" t="str">
        <x:v>E112:P3153</x:v>
      </x:c>
      <x:c r="M1633" s="39" t="str"/>
      <x:c r="N1633" s="39" t="str">
        <x:v>نسخه پایه ۳۱۵۰</x:v>
      </x:c>
    </x:row>
    <x:row r="1634" ht="34" customHeight="1">
      <x:c r="A1634" s="34" t="str">
        <x:v>☐</x:v>
      </x:c>
      <x:c r="B1634" s="34" t="str">
        <x:v>MI-2905</x:v>
      </x:c>
      <x:c r="C1634" s="34" t="str">
        <x:v>M4 — اجرا، دانشگاه، صنعت و پروژه‌های اجتماعی</x:v>
      </x:c>
      <x:c r="D1634" s="34" t="str">
        <x:v>H12</x:v>
      </x:c>
      <x:c r="E1634" s="34" t="str">
        <x:v>صنعت، انرژی، محیط‌زیست، کشاورزی و پروژه‌های تولیدی</x:v>
      </x:c>
      <x:c r="F1634" s="34" t="str">
        <x:v>P2</x:v>
      </x:c>
      <x:c r="G1634" s="34" t="str">
        <x:v>هدف/موضوع</x:v>
      </x:c>
      <x:c r="H1634" s="39" t="str">
        <x:v>مشخص کنی هر بخش چه خروجی هایی تولید می کند و به کدام بخش منتقل می شود.</x:v>
      </x:c>
      <x:c r="I1634" s="39" t="str">
        <x:v>پس از تثبیت پایه‌ها؛ پروژه‌محور</x:v>
      </x:c>
      <x:c r="J1634" s="39" t="str">
        <x:v>منتور صنعت/امکان‌سنجی</x:v>
      </x:c>
      <x:c r="K1634" s="39" t="str"/>
      <x:c r="L1634" s="39" t="str">
        <x:v>E112:P3254</x:v>
      </x:c>
      <x:c r="M1634" s="39" t="str"/>
      <x:c r="N1634" s="39" t="str">
        <x:v>نسخه پایه ۳۱۵۰</x:v>
      </x:c>
    </x:row>
    <x:row r="1635" ht="34" customHeight="1">
      <x:c r="A1635" s="34" t="str">
        <x:v>☐</x:v>
      </x:c>
      <x:c r="B1635" s="34" t="str">
        <x:v>MI-2976</x:v>
      </x:c>
      <x:c r="C1635" s="34" t="str">
        <x:v>M4 — اجرا، دانشگاه، صنعت و پروژه‌های اجتماعی</x:v>
      </x:c>
      <x:c r="D1635" s="34" t="str">
        <x:v>H12</x:v>
      </x:c>
      <x:c r="E1635" s="34" t="str">
        <x:v>صنعت، انرژی، محیط‌زیست، کشاورزی و پروژه‌های تولیدی</x:v>
      </x:c>
      <x:c r="F1635" s="34" t="str">
        <x:v>P2</x:v>
      </x:c>
      <x:c r="G1635" s="34" t="str">
        <x:v>هدف/موضوع</x:v>
      </x:c>
      <x:c r="H1635" s="39" t="str">
        <x:v>واحد 4 — سیستم اتصال به صنعت</x:v>
      </x:c>
      <x:c r="I1635" s="39" t="str">
        <x:v>پس از تثبیت پایه‌ها؛ پروژه‌محور</x:v>
      </x:c>
      <x:c r="J1635" s="39" t="str">
        <x:v>منتور صنعت/امکان‌سنجی</x:v>
      </x:c>
      <x:c r="K1635" s="39" t="str"/>
      <x:c r="L1635" s="39" t="str">
        <x:v>E112:P3409</x:v>
      </x:c>
      <x:c r="M1635" s="39" t="str"/>
      <x:c r="N1635" s="39" t="str">
        <x:v>نسخه پایه ۳۱۵۰</x:v>
      </x:c>
    </x:row>
    <x:row r="1636" ht="34" customHeight="1">
      <x:c r="A1636" s="34" t="str">
        <x:v>☐</x:v>
      </x:c>
      <x:c r="B1636" s="34" t="str">
        <x:v>MI-2981</x:v>
      </x:c>
      <x:c r="C1636" s="34" t="str">
        <x:v>M4 — اجرا، دانشگاه، صنعت و پروژه‌های اجتماعی</x:v>
      </x:c>
      <x:c r="D1636" s="34" t="str">
        <x:v>H12</x:v>
      </x:c>
      <x:c r="E1636" s="34" t="str">
        <x:v>صنعت، انرژی، محیط‌زیست، کشاورزی و پروژه‌های تولیدی</x:v>
      </x:c>
      <x:c r="F1636" s="34" t="str">
        <x:v>P2</x:v>
      </x:c>
      <x:c r="G1636" s="34" t="str">
        <x:v>هدف/موضوع</x:v>
      </x:c>
      <x:c r="H1636" s="39" t="str">
        <x:v>مسیله صنعتی</x:v>
      </x:c>
      <x:c r="I1636" s="39" t="str">
        <x:v>پس از تثبیت پایه‌ها؛ پروژه‌محور</x:v>
      </x:c>
      <x:c r="J1636" s="39" t="str">
        <x:v>منتور صنعت/امکان‌سنجی</x:v>
      </x:c>
      <x:c r="K1636" s="39" t="str"/>
      <x:c r="L1636" s="39" t="str">
        <x:v>E112:P3426</x:v>
      </x:c>
      <x:c r="M1636" s="39" t="str"/>
      <x:c r="N1636" s="39" t="str">
        <x:v>نسخه پایه ۳۱۵۰</x:v>
      </x:c>
    </x:row>
    <x:row r="1637" ht="34" customHeight="1">
      <x:c r="A1637" s="34" t="str">
        <x:v>☐</x:v>
      </x:c>
      <x:c r="B1637" s="34" t="str">
        <x:v>MI-2987</x:v>
      </x:c>
      <x:c r="C1637" s="34" t="str">
        <x:v>M4 — اجرا، دانشگاه، صنعت و پروژه‌های اجتماعی</x:v>
      </x:c>
      <x:c r="D1637" s="34" t="str">
        <x:v>H12</x:v>
      </x:c>
      <x:c r="E1637" s="34" t="str">
        <x:v>صنعت، انرژی، محیط‌زیست، کشاورزی و پروژه‌های تولیدی</x:v>
      </x:c>
      <x:c r="F1637" s="34" t="str">
        <x:v>P2</x:v>
      </x:c>
      <x:c r="G1637" s="34" t="str">
        <x:v>هدف/موضوع</x:v>
      </x:c>
      <x:c r="H1637" s="39" t="str">
        <x:v>تولید محصول</x:v>
      </x:c>
      <x:c r="I1637" s="39" t="str">
        <x:v>پس از تثبیت پایه‌ها؛ پروژه‌محور</x:v>
      </x:c>
      <x:c r="J1637" s="39" t="str">
        <x:v>منتور صنعت/امکان‌سنجی</x:v>
      </x:c>
      <x:c r="K1637" s="39" t="str"/>
      <x:c r="L1637" s="39" t="str">
        <x:v>E112:P3460</x:v>
      </x:c>
      <x:c r="M1637" s="39" t="str"/>
      <x:c r="N1637" s="39" t="str">
        <x:v>نسخه پایه ۳۱۵۰</x:v>
      </x:c>
    </x:row>
    <x:row r="1638" ht="34" customHeight="1">
      <x:c r="A1638" s="34" t="str">
        <x:v>☐</x:v>
      </x:c>
      <x:c r="B1638" s="34" t="str">
        <x:v>MI-3032</x:v>
      </x:c>
      <x:c r="C1638" s="34" t="str">
        <x:v>M4 — اجرا، دانشگاه، صنعت و پروژه‌های اجتماعی</x:v>
      </x:c>
      <x:c r="D1638" s="34" t="str">
        <x:v>H12</x:v>
      </x:c>
      <x:c r="E1638" s="34" t="str">
        <x:v>صنعت، انرژی، محیط‌زیست، کشاورزی و پروژه‌های تولیدی</x:v>
      </x:c>
      <x:c r="F1638" s="34" t="str">
        <x:v>P2</x:v>
      </x:c>
      <x:c r="G1638" s="34" t="str">
        <x:v>هدف/موضوع</x:v>
      </x:c>
      <x:c r="H1638" s="39" t="str">
        <x:v>چند صنعت بزرگ</x:v>
      </x:c>
      <x:c r="I1638" s="39" t="str">
        <x:v>پس از تثبیت پایه‌ها؛ پروژه‌محور</x:v>
      </x:c>
      <x:c r="J1638" s="39" t="str">
        <x:v>منتور صنعت/امکان‌سنجی</x:v>
      </x:c>
      <x:c r="K1638" s="39" t="str"/>
      <x:c r="L1638" s="39" t="str">
        <x:v>E112:P3595</x:v>
      </x:c>
      <x:c r="M1638" s="39" t="str"/>
      <x:c r="N1638" s="39" t="str">
        <x:v>نسخه پایه ۳۱۵۰</x:v>
      </x:c>
    </x:row>
    <x:row r="1639" ht="34" customHeight="1">
      <x:c r="A1639" s="34" t="str">
        <x:v>☐</x:v>
      </x:c>
      <x:c r="B1639" s="34" t="str">
        <x:v>MI-3090</x:v>
      </x:c>
      <x:c r="C1639" s="34" t="str">
        <x:v>M4 — اجرا، دانشگاه، صنعت و پروژه‌های اجتماعی</x:v>
      </x:c>
      <x:c r="D1639" s="34" t="str">
        <x:v>H12</x:v>
      </x:c>
      <x:c r="E1639" s="34" t="str">
        <x:v>صنعت، انرژی، محیط‌زیست، کشاورزی و پروژه‌های تولیدی</x:v>
      </x:c>
      <x:c r="F1639" s="34" t="str">
        <x:v>P2</x:v>
      </x:c>
      <x:c r="G1639" s="34" t="str">
        <x:v>هدف/موضوع</x:v>
      </x:c>
      <x:c r="H1639" s="39" t="str">
        <x:v>چه کارهایی هستند که وقتی انجامشون می دهید کلی انرژی و انگیزه می گیرید؟</x:v>
      </x:c>
      <x:c r="I1639" s="39" t="str">
        <x:v>پس از تثبیت پایه‌ها؛ پروژه‌محور</x:v>
      </x:c>
      <x:c r="J1639" s="39" t="str">
        <x:v>منتور صنعت/امکان‌سنجی</x:v>
      </x:c>
      <x:c r="K1639" s="39" t="str"/>
      <x:c r="L1639" s="39" t="str">
        <x:v>INT:T26 R1</x:v>
      </x:c>
      <x:c r="M1639" s="39" t="str"/>
      <x:c r="N1639" s="39" t="str">
        <x:v>نسخه پایه ۳۱۵۰</x:v>
      </x:c>
    </x:row>
    <x:row r="1640" ht="34" customHeight="1">
      <x:c r="A1640" s="34" t="str">
        <x:v>☐</x:v>
      </x:c>
      <x:c r="B1640" s="34" t="str">
        <x:v>MI-1041</x:v>
      </x:c>
      <x:c r="C1640" s="34" t="str">
        <x:v>M4 — اجرا، دانشگاه، صنعت و پروژه‌های اجتماعی</x:v>
      </x:c>
      <x:c r="D1640" s="34" t="str">
        <x:v>H12</x:v>
      </x:c>
      <x:c r="E1640" s="34" t="str">
        <x:v>صنعت، انرژی، محیط‌زیست، کشاورزی و پروژه‌های تولیدی</x:v>
      </x:c>
      <x:c r="F1640" s="34" t="str">
        <x:v>P2</x:v>
      </x:c>
      <x:c r="G1640" s="34" t="str">
        <x:v>فرد/ارتباط</x:v>
      </x:c>
      <x:c r="H1640" s="39" t="str">
        <x:v>بازدید صنعتی با حضور استاد مربوطه</x:v>
      </x:c>
      <x:c r="I1640" s="39" t="str">
        <x:v>پس از تثبیت پایه‌ها؛ پروژه‌محور</x:v>
      </x:c>
      <x:c r="J1640" s="39" t="str">
        <x:v>منتور صنعت/امکان‌سنجی</x:v>
      </x:c>
      <x:c r="K1640" s="39" t="str"/>
      <x:c r="L1640" s="39" t="str">
        <x:v>AP:P882</x:v>
      </x:c>
      <x:c r="M1640" s="39" t="str"/>
      <x:c r="N1640" s="39" t="str">
        <x:v>نسخه پایه ۳۱۵۰</x:v>
      </x:c>
    </x:row>
    <x:row r="1641" ht="34" customHeight="1">
      <x:c r="A1641" s="34" t="str">
        <x:v>☐</x:v>
      </x:c>
      <x:c r="B1641" s="34" t="str">
        <x:v>MI-1272</x:v>
      </x:c>
      <x:c r="C1641" s="34" t="str">
        <x:v>M4 — اجرا، دانشگاه، صنعت و پروژه‌های اجتماعی</x:v>
      </x:c>
      <x:c r="D1641" s="34" t="str">
        <x:v>H12</x:v>
      </x:c>
      <x:c r="E1641" s="34" t="str">
        <x:v>صنعت، انرژی، محیط‌زیست، کشاورزی و پروژه‌های تولیدی</x:v>
      </x:c>
      <x:c r="F1641" s="34" t="str">
        <x:v>BANK</x:v>
      </x:c>
      <x:c r="G1641" s="34" t="str">
        <x:v>مطالعه/منبع</x:v>
      </x:c>
      <x:c r="H1641" s="39" t="str">
        <x:v>تولیدآلومینیومجدید از محصولات قدیمی (از جمله قوطی های بازیافتی و فویل) 95 درصد، انرژی کمتری نسبت به ساخت آن از ابتدا دارد. برایفولاد(استیل)، این رقم در حدود 70 درصد است.</x:v>
      </x:c>
      <x:c r="I1641" s="39" t="str">
        <x:v>بانک مطالعه؛ سقف زمانی</x:v>
      </x:c>
      <x:c r="J1641" s="39" t="str">
        <x:v>منتور صنعت/امکان‌سنجی</x:v>
      </x:c>
      <x:c r="K1641" s="39" t="str"/>
      <x:c r="L1641" s="39" t="str">
        <x:v>AP:P1147</x:v>
      </x:c>
      <x:c r="M1641" s="39" t="str"/>
      <x:c r="N1641" s="39" t="str">
        <x:v>نسخه پایه ۳۱۵۰</x:v>
      </x:c>
    </x:row>
    <x:row r="1642" ht="34" customHeight="1">
      <x:c r="A1642" s="34" t="str">
        <x:v>☐</x:v>
      </x:c>
      <x:c r="B1642" s="34" t="str">
        <x:v>MI-1303</x:v>
      </x:c>
      <x:c r="C1642" s="34" t="str">
        <x:v>M4 — اجرا، دانشگاه، صنعت و پروژه‌های اجتماعی</x:v>
      </x:c>
      <x:c r="D1642" s="34" t="str">
        <x:v>H12</x:v>
      </x:c>
      <x:c r="E1642" s="34" t="str">
        <x:v>صنعت، انرژی، محیط‌زیست، کشاورزی و پروژه‌های تولیدی</x:v>
      </x:c>
      <x:c r="F1642" s="34" t="str">
        <x:v>BANK</x:v>
      </x:c>
      <x:c r="G1642" s="34" t="str">
        <x:v>مطالعه/منبع</x:v>
      </x:c>
      <x:c r="H1642" s="39" t="str">
        <x:v>طرح جایگزین مالیات های سنگین با مالیات سبک تر و همچنین اقدامات خیرخواهانه برای محیط زیست مثل جمع آوری زباله در مکان های مورد پیشنهاد سازمان محیط زیست و یا کاشتن درخت و یا نهال آن در روز درختکاری و یا سایر ایام مثل روز بازیافت و همچنین انتشار مستندات این اقدامات به منظور بایگانی و همچنین تبلیغ برای خود آن صنف منظور</x:v>
      </x:c>
      <x:c r="I1642" s="39" t="str">
        <x:v>بانک مطالعه؛ سقف زمانی</x:v>
      </x:c>
      <x:c r="J1642" s="39" t="str">
        <x:v>منتور صنعت/امکان‌سنجی</x:v>
      </x:c>
      <x:c r="K1642" s="39" t="str"/>
      <x:c r="L1642" s="39" t="str">
        <x:v>AP:P1195</x:v>
      </x:c>
      <x:c r="M1642" s="39" t="str"/>
      <x:c r="N1642" s="39" t="str">
        <x:v>نسخه پایه ۳۱۵۰</x:v>
      </x:c>
    </x:row>
    <x:row r="1643" ht="34" customHeight="1">
      <x:c r="A1643" s="34" t="str">
        <x:v>☐</x:v>
      </x:c>
      <x:c r="B1643" s="34" t="str">
        <x:v>MI-1320</x:v>
      </x:c>
      <x:c r="C1643" s="34" t="str">
        <x:v>M4 — اجرا، دانشگاه، صنعت و پروژه‌های اجتماعی</x:v>
      </x:c>
      <x:c r="D1643" s="34" t="str">
        <x:v>H12</x:v>
      </x:c>
      <x:c r="E1643" s="34" t="str">
        <x:v>صنعت، انرژی، محیط‌زیست، کشاورزی و پروژه‌های تولیدی</x:v>
      </x:c>
      <x:c r="F1643" s="34" t="str">
        <x:v>BANK</x:v>
      </x:c>
      <x:c r="G1643" s="34" t="str">
        <x:v>مطالعه/منبع</x:v>
      </x:c>
      <x:c r="H1643" s="39" t="str">
        <x:v>سایت های دفن زباله و پسماند مصالح ساختمانی</x:v>
      </x:c>
      <x:c r="I1643" s="39" t="str">
        <x:v>بانک مطالعه؛ سقف زمانی</x:v>
      </x:c>
      <x:c r="J1643" s="39" t="str">
        <x:v>منتور صنعت/امکان‌سنجی</x:v>
      </x:c>
      <x:c r="K1643" s="39" t="str"/>
      <x:c r="L1643" s="39" t="str">
        <x:v>AP:P1213</x:v>
      </x:c>
      <x:c r="M1643" s="39" t="str"/>
      <x:c r="N1643" s="39" t="str">
        <x:v>نسخه پایه ۳۱۵۰</x:v>
      </x:c>
    </x:row>
    <x:row r="1644" ht="34" customHeight="1">
      <x:c r="A1644" s="34" t="str">
        <x:v>☐</x:v>
      </x:c>
      <x:c r="B1644" s="34" t="str">
        <x:v>MI-3066</x:v>
      </x:c>
      <x:c r="C1644" s="34" t="str">
        <x:v>M4 — اجرا، دانشگاه، صنعت و پروژه‌های اجتماعی</x:v>
      </x:c>
      <x:c r="D1644" s="34" t="str">
        <x:v>H12</x:v>
      </x:c>
      <x:c r="E1644" s="34" t="str">
        <x:v>صنعت، انرژی، محیط‌زیست، کشاورزی و پروژه‌های تولیدی</x:v>
      </x:c>
      <x:c r="F1644" s="34" t="str">
        <x:v>BANK</x:v>
      </x:c>
      <x:c r="G1644" s="34" t="str">
        <x:v>مطالعه/منبع</x:v>
      </x:c>
      <x:c r="H1644"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I1644" s="39" t="str">
        <x:v>بانک مطالعه؛ سقف زمانی</x:v>
      </x:c>
      <x:c r="J1644" s="39" t="str">
        <x:v>منتور صنعت/امکان‌سنجی</x:v>
      </x:c>
      <x:c r="K1644" s="39" t="str"/>
      <x:c r="L1644" s="39" t="str">
        <x:v>INT:T9 R2</x:v>
      </x:c>
      <x:c r="M1644" s="39" t="str"/>
      <x:c r="N1644" s="39" t="str">
        <x:v>نسخه پایه ۳۱۵۰</x:v>
      </x:c>
    </x:row>
    <x:row r="1645" ht="34" customHeight="1">
      <x:c r="A1645" s="34" t="str">
        <x:v>☐</x:v>
      </x:c>
      <x:c r="B1645" s="34" t="str">
        <x:v>MI-3070</x:v>
      </x:c>
      <x:c r="C1645" s="34" t="str">
        <x:v>M4 — اجرا، دانشگاه، صنعت و پروژه‌های اجتماعی</x:v>
      </x:c>
      <x:c r="D1645" s="34" t="str">
        <x:v>H12</x:v>
      </x:c>
      <x:c r="E1645" s="34" t="str">
        <x:v>صنعت، انرژی، محیط‌زیست، کشاورزی و پروژه‌های تولیدی</x:v>
      </x:c>
      <x:c r="F1645" s="34" t="str">
        <x:v>BANK</x:v>
      </x:c>
      <x:c r="G1645" s="34" t="str">
        <x:v>مطالعه/منبع</x:v>
      </x:c>
      <x:c r="H1645" s="39"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I1645" s="39" t="str">
        <x:v>بانک مطالعه؛ سقف زمانی</x:v>
      </x:c>
      <x:c r="J1645" s="39" t="str">
        <x:v>منتور صنعت/امکان‌سنجی</x:v>
      </x:c>
      <x:c r="K1645" s="39" t="str"/>
      <x:c r="L1645" s="39" t="str">
        <x:v>INT:T11 R2</x:v>
      </x:c>
      <x:c r="M1645" s="39" t="str"/>
      <x:c r="N1645" s="39" t="str">
        <x:v>نسخه پایه ۳۱۵۰</x:v>
      </x:c>
    </x:row>
    <x:row r="1646" ht="34" customHeight="1">
      <x:c r="A1646" s="34" t="str">
        <x:v>☐</x:v>
      </x:c>
      <x:c r="B1646" s="34" t="str">
        <x:v>MI-3095</x:v>
      </x:c>
      <x:c r="C1646" s="34" t="str">
        <x:v>M4 — اجرا، دانشگاه، صنعت و پروژه‌های اجتماعی</x:v>
      </x:c>
      <x:c r="D1646" s="34" t="str">
        <x:v>H12</x:v>
      </x:c>
      <x:c r="E1646" s="34" t="str">
        <x:v>صنعت، انرژی، محیط‌زیست، کشاورزی و پروژه‌های تولیدی</x:v>
      </x:c>
      <x:c r="F1646" s="34" t="str">
        <x:v>BANK</x:v>
      </x:c>
      <x:c r="G1646" s="34" t="str">
        <x:v>مطالعه/منبع</x:v>
      </x:c>
      <x:c r="H1646" s="39" t="str">
        <x:v>در زمینه هوش مصنوعی تکنولوژی موبایل و اکسسوری پرینتر 3 بعدی سیاست و دیپلماسی اخبار تحلیل سیاسی در مورد تاریخ ایران افراد موفق بیزینس ها مدیریت و راهبری مدرن اتوماسیون ها در زمینه مهندسی مکانیک ابزار الات ساعت اختراعات پروژه های زمینه انرژی تجدید پذیر تکنولوژی های بازیافت کشاورزی خدمات شهری عارضه های صنعت در هر مقام و مسیولیت یا صنعت ، در مورد حیطه کاری یا وظایف یا اتفاقات پیرامونش میخوام بدونم زیست بوم های فناورانه صندوق های پژوهشی زمینه های درآمد زایی مهندسی صنایع مدیریت و کنترل پروژه مهارت های نرم حقوق دانشجویی حقوق مدنی تجارت و بازرگانی خودرو کتاب و کتابخوانی تاریخ صدر اسلام افراد موثر در شکل گیری انقلاب افراد موثر در نگرش جهانی افراد موثر بر اقتصاد جهانی ریاست جمهوری استانداری پتروشیمی زیست بوم های فناورانه باشگاه های خلاقیت و ایده پردازی پارک های فناوری طرح اقتصادی سواحل و بنادر گمرک فروش محصولات طرح های اجرایی فرهنگی مذهبی اوقاف نوآوری در هر سبکی که بشه بر روی اقتصاد ایران تاثیر بزاره پنل های خورشیدی تبدیل انرژی تهویه مطبوع کارخانه جات و مال های بزرگ اتوماسیون های شرکت های بزرگ جهانی و ایران R&amp;D شرکت های بزرگ جهانی پژوهشکده های حوزه های مختلف تدریس و روش های نوین آن کتابداری انرژی های تجدید پذیر نمایشگاه های مختلف اربعین و سیستم کنترل اجرایی آن سیستم اجرایی حرمین شریف مثل مشهد الرضا سخنرانی مشاوره تحصیلی روانشناسی مشاوره کسب و کار</x:v>
      </x:c>
      <x:c r="I1646" s="39" t="str">
        <x:v>بانک مطالعه؛ سقف زمانی</x:v>
      </x:c>
      <x:c r="J1646" s="39" t="str">
        <x:v>منتور صنعت/امکان‌سنجی</x:v>
      </x:c>
      <x:c r="K1646" s="39" t="str"/>
      <x:c r="L1646" s="39" t="str">
        <x:v>INT:T28 R2</x:v>
      </x:c>
      <x:c r="M1646" s="39" t="str"/>
      <x:c r="N1646" s="39" t="str">
        <x:v>نسخه پایه ۳۱۵۰</x:v>
      </x:c>
    </x:row>
    <x:row r="1647" ht="34" customHeight="1">
      <x:c r="A1647" s="34" t="str">
        <x:v>☐</x:v>
      </x:c>
      <x:c r="B1647" s="34" t="str">
        <x:v>N115-0094</x:v>
      </x:c>
      <x:c r="C1647" s="34" t="str">
        <x:v>M4 — اجرا، دانشگاه، صنعت و پروژه‌های اجتماعی</x:v>
      </x:c>
      <x:c r="D1647" s="34" t="str">
        <x:v>H12</x:v>
      </x:c>
      <x:c r="E1647" s="34" t="str">
        <x:v>صنعت، انرژی، محیط‌زیست، کشاورزی و پروژه‌های تولیدی</x:v>
      </x:c>
      <x:c r="F1647" s="34" t="str">
        <x:v>BANK</x:v>
      </x:c>
      <x:c r="G1647" s="34" t="str">
        <x:v>مطالعه/منبع</x:v>
      </x:c>
      <x:c r="H1647" s="39" t="str">
        <x:v>بازیافت ته‌سیگار برای تولید الکترود کربنی نانومتخلخل و کاربرد در سوپرخازن</x:v>
      </x:c>
      <x:c r="I1647" s="39" t="str">
        <x:v>بررسی فنی/اقتصادی پیش از پروژه</x:v>
      </x:c>
      <x:c r="J1647" s="39" t="str">
        <x:v>منتور صنعت/امکان‌سنجی</x:v>
      </x:c>
      <x:c r="K1647" s="39" t="str">
        <x:v>بازیافت</x:v>
      </x:c>
      <x:c r="L1647" s="39" t="str">
        <x:v>115:بخش بازیافت</x:v>
      </x:c>
      <x:c r="M1647" s="39" t="str"/>
      <x:c r="N1647" s="39" t="str">
        <x:v>1154878548.docx / ممیزی جدید</x:v>
      </x:c>
    </x:row>
    <x:row r="1648" ht="34" customHeight="1">
      <x:c r="A1648" s="34" t="str">
        <x:v>☐</x:v>
      </x:c>
      <x:c r="B1648" s="34" t="str">
        <x:v>N115-0095</x:v>
      </x:c>
      <x:c r="C1648" s="34" t="str">
        <x:v>M4 — اجرا، دانشگاه، صنعت و پروژه‌های اجتماعی</x:v>
      </x:c>
      <x:c r="D1648" s="34" t="str">
        <x:v>H12</x:v>
      </x:c>
      <x:c r="E1648" s="34" t="str">
        <x:v>صنعت، انرژی، محیط‌زیست، کشاورزی و پروژه‌های تولیدی</x:v>
      </x:c>
      <x:c r="F1648" s="34" t="str">
        <x:v>BANK</x:v>
      </x:c>
      <x:c r="G1648" s="34" t="str">
        <x:v>مطالعه/منبع</x:v>
      </x:c>
      <x:c r="H1648" s="39" t="str">
        <x:v>بازیافت تجهیزات و منسوجات ورزشی فرسوده</x:v>
      </x:c>
      <x:c r="I1648" s="39" t="str">
        <x:v>بانک ایده بازیافت</x:v>
      </x:c>
      <x:c r="J1648" s="39" t="str">
        <x:v>منتور صنعت/امکان‌سنجی</x:v>
      </x:c>
      <x:c r="K1648" s="39" t="str">
        <x:v>بازیافت</x:v>
      </x:c>
      <x:c r="L1648" s="39" t="str">
        <x:v>115:بخش بازیافت</x:v>
      </x:c>
      <x:c r="M1648" s="39" t="str"/>
      <x:c r="N1648" s="39" t="str">
        <x:v>1154878548.docx / ممیزی جدید</x:v>
      </x:c>
    </x:row>
    <x:row r="1649" ht="34" customHeight="1">
      <x:c r="A1649" s="34" t="str">
        <x:v>☐</x:v>
      </x:c>
      <x:c r="B1649" s="34" t="str">
        <x:v>N115-0096</x:v>
      </x:c>
      <x:c r="C1649" s="34" t="str">
        <x:v>M4 — اجرا، دانشگاه، صنعت و پروژه‌های اجتماعی</x:v>
      </x:c>
      <x:c r="D1649" s="34" t="str">
        <x:v>H12</x:v>
      </x:c>
      <x:c r="E1649" s="34" t="str">
        <x:v>صنعت، انرژی، محیط‌زیست، کشاورزی و پروژه‌های تولیدی</x:v>
      </x:c>
      <x:c r="F1649" s="34" t="str">
        <x:v>BANK</x:v>
      </x:c>
      <x:c r="G1649" s="34" t="str">
        <x:v>مطالعه/منبع</x:v>
      </x:c>
      <x:c r="H1649" s="39" t="str">
        <x:v>بازیافت تجهیزات سفر: کوله‌پشتی، کیسه‌خواب و چادر فرسوده</x:v>
      </x:c>
      <x:c r="I1649" s="39" t="str">
        <x:v>بانک ایده بازیافت</x:v>
      </x:c>
      <x:c r="J1649" s="39" t="str">
        <x:v>منتور صنعت/امکان‌سنجی</x:v>
      </x:c>
      <x:c r="K1649" s="39" t="str">
        <x:v>بازیافت</x:v>
      </x:c>
      <x:c r="L1649" s="39" t="str">
        <x:v>115:بخش بازیافت</x:v>
      </x:c>
      <x:c r="M1649" s="39" t="str"/>
      <x:c r="N1649" s="39" t="str">
        <x:v>1154878548.docx / ممیزی جدید</x:v>
      </x:c>
    </x:row>
    <x:row r="1650" ht="34" customHeight="1">
      <x:c r="A1650" s="34" t="str">
        <x:v>☐</x:v>
      </x:c>
      <x:c r="B1650" s="34" t="str">
        <x:v>MI-0622</x:v>
      </x:c>
      <x:c r="C1650" s="34" t="str">
        <x:v>M4 — اجرا، دانشگاه، صنعت و پروژه‌های اجتماعی</x:v>
      </x:c>
      <x:c r="D1650" s="34" t="str">
        <x:v>H13</x:v>
      </x:c>
      <x:c r="E1650" s="34" t="str">
        <x:v>سلامت، خدمات اجتماعی و امور خیر</x:v>
      </x:c>
      <x:c r="F1650" s="34" t="str">
        <x:v>P2</x:v>
      </x:c>
      <x:c r="G1650" s="34" t="str">
        <x:v>اقدام اجرایی</x:v>
      </x:c>
      <x:c r="H1650" s="39" t="str">
        <x:v>توزیع قرص ویتامین دی به صورت روتین</x:v>
      </x:c>
      <x:c r="I1650" s="39" t="str">
        <x:v>پس از تثبیت پایه‌ها؛ پروژه‌محور</x:v>
      </x:c>
      <x:c r="J1650" s="39" t="str">
        <x:v>متخصص حوزه مربوط + مدیر پروژه اجتماعی</x:v>
      </x:c>
      <x:c r="K1650" s="39" t="str"/>
      <x:c r="L1650" s="39" t="str">
        <x:v>AP:P409</x:v>
      </x:c>
      <x:c r="M1650" s="39" t="str"/>
      <x:c r="N1650" s="39" t="str">
        <x:v>نسخه پایه ۳۱۵۰</x:v>
      </x:c>
    </x:row>
    <x:row r="1651" ht="34" customHeight="1">
      <x:c r="A1651" s="34" t="str">
        <x:v>☐</x:v>
      </x:c>
      <x:c r="B1651" s="34" t="str">
        <x:v>MI-0623</x:v>
      </x:c>
      <x:c r="C1651" s="34" t="str">
        <x:v>M4 — اجرا، دانشگاه، صنعت و پروژه‌های اجتماعی</x:v>
      </x:c>
      <x:c r="D1651" s="34" t="str">
        <x:v>H13</x:v>
      </x:c>
      <x:c r="E1651" s="34" t="str">
        <x:v>سلامت، خدمات اجتماعی و امور خیر</x:v>
      </x:c>
      <x:c r="F1651" s="34" t="str">
        <x:v>P2</x:v>
      </x:c>
      <x:c r="G1651" s="34" t="str">
        <x:v>اقدام اجرایی</x:v>
      </x:c>
      <x:c r="H1651" s="39" t="str">
        <x:v>استقرار پزشک دانشگاه در خوابگاه</x:v>
      </x:c>
      <x:c r="I1651" s="39" t="str">
        <x:v>پس از تثبیت پایه‌ها؛ پروژه‌محور</x:v>
      </x:c>
      <x:c r="J1651" s="39" t="str">
        <x:v>متخصص حوزه مربوط + مدیر پروژه اجتماعی</x:v>
      </x:c>
      <x:c r="K1651" s="39" t="str"/>
      <x:c r="L1651" s="39" t="str">
        <x:v>AP:P410</x:v>
      </x:c>
      <x:c r="M1651" s="39" t="str"/>
      <x:c r="N1651" s="39" t="str">
        <x:v>نسخه پایه ۳۱۵۰</x:v>
      </x:c>
    </x:row>
    <x:row r="1652" ht="34" customHeight="1">
      <x:c r="A1652" s="34" t="str">
        <x:v>☐</x:v>
      </x:c>
      <x:c r="B1652" s="34" t="str">
        <x:v>MI-0080</x:v>
      </x:c>
      <x:c r="C1652" s="34" t="str">
        <x:v>M4 — اجرا، دانشگاه، صنعت و پروژه‌های اجتماعی</x:v>
      </x:c>
      <x:c r="D1652" s="34" t="str">
        <x:v>H13</x:v>
      </x:c>
      <x:c r="E1652" s="34" t="str">
        <x:v>سلامت، خدمات اجتماعی و امور خیر</x:v>
      </x:c>
      <x:c r="F1652" s="34" t="str">
        <x:v>P2</x:v>
      </x:c>
      <x:c r="G1652" s="34" t="str">
        <x:v>پروژه/طرح</x:v>
      </x:c>
      <x:c r="H1652" s="39" t="str">
        <x:v>طرح ریزی کنترل فشار خون و مصرف دارو افراد سالمند و مسن در قالب دستیار صوتی</x:v>
      </x:c>
      <x:c r="I1652" s="39" t="str">
        <x:v>پس از تثبیت پایه‌ها؛ پروژه‌محور</x:v>
      </x:c>
      <x:c r="J1652" s="39" t="str">
        <x:v>متخصص حوزه مربوط + مدیر پروژه اجتماعی</x:v>
      </x:c>
      <x:c r="K1652" s="39" t="str"/>
      <x:c r="L1652" s="39" t="str">
        <x:v>PL:R81؛ AP:P1490</x:v>
      </x:c>
      <x:c r="M1652" s="39" t="str"/>
      <x:c r="N1652" s="39" t="str">
        <x:v>نسخه پایه ۳۱۵۰</x:v>
      </x:c>
    </x:row>
    <x:row r="1653" ht="34" customHeight="1">
      <x:c r="A1653" s="34" t="str">
        <x:v>☐</x:v>
      </x:c>
      <x:c r="B1653" s="34" t="str">
        <x:v>MI-0624</x:v>
      </x:c>
      <x:c r="C1653" s="34" t="str">
        <x:v>M4 — اجرا، دانشگاه، صنعت و پروژه‌های اجتماعی</x:v>
      </x:c>
      <x:c r="D1653" s="34" t="str">
        <x:v>H13</x:v>
      </x:c>
      <x:c r="E1653" s="34" t="str">
        <x:v>سلامت، خدمات اجتماعی و امور خیر</x:v>
      </x:c>
      <x:c r="F1653" s="34" t="str">
        <x:v>P2</x:v>
      </x:c>
      <x:c r="G1653" s="34" t="str">
        <x:v>پروژه/طرح</x:v>
      </x:c>
      <x:c r="H1653" s="39" t="str">
        <x:v>برگزاری سمینار مشاوره اساتید مطرح</x:v>
      </x:c>
      <x:c r="I1653" s="39" t="str">
        <x:v>پس از تثبیت پایه‌ها؛ پروژه‌محور</x:v>
      </x:c>
      <x:c r="J1653" s="39" t="str">
        <x:v>متخصص حوزه مربوط + مدیر پروژه اجتماعی</x:v>
      </x:c>
      <x:c r="K1653" s="39" t="str"/>
      <x:c r="L1653" s="39" t="str">
        <x:v>AP:P411</x:v>
      </x:c>
      <x:c r="M1653" s="39" t="str"/>
      <x:c r="N1653" s="39" t="str">
        <x:v>نسخه پایه ۳۱۵۰</x:v>
      </x:c>
    </x:row>
    <x:row r="1654" ht="34" customHeight="1">
      <x:c r="A1654" s="34" t="str">
        <x:v>☐</x:v>
      </x:c>
      <x:c r="B1654" s="34" t="str">
        <x:v>MI-1307</x:v>
      </x:c>
      <x:c r="C1654" s="34" t="str">
        <x:v>M4 — اجرا، دانشگاه، صنعت و پروژه‌های اجتماعی</x:v>
      </x:c>
      <x:c r="D1654" s="34" t="str">
        <x:v>H13</x:v>
      </x:c>
      <x:c r="E1654" s="34" t="str">
        <x:v>سلامت، خدمات اجتماعی و امور خیر</x:v>
      </x:c>
      <x:c r="F1654" s="34" t="str">
        <x:v>P2</x:v>
      </x:c>
      <x:c r="G1654" s="34" t="str">
        <x:v>پروژه/طرح</x:v>
      </x:c>
      <x:c r="H1654" s="39" t="str">
        <x:v>تمدید پروانه بهداشت اصناف</x:v>
      </x:c>
      <x:c r="I1654" s="39" t="str">
        <x:v>پس از تثبیت پایه‌ها؛ پروژه‌محور</x:v>
      </x:c>
      <x:c r="J1654" s="39" t="str">
        <x:v>متخصص حوزه مربوط + مدیر پروژه اجتماعی</x:v>
      </x:c>
      <x:c r="K1654" s="39" t="str"/>
      <x:c r="L1654" s="39" t="str">
        <x:v>AP:P1199</x:v>
      </x:c>
      <x:c r="M1654" s="39" t="str"/>
      <x:c r="N1654" s="39" t="str">
        <x:v>نسخه پایه ۳۱۵۰</x:v>
      </x:c>
    </x:row>
    <x:row r="1655" ht="34" customHeight="1">
      <x:c r="A1655" s="34" t="str">
        <x:v>☐</x:v>
      </x:c>
      <x:c r="B1655" s="34" t="str">
        <x:v>MI-0251</x:v>
      </x:c>
      <x:c r="C1655" s="34" t="str">
        <x:v>M4 — اجرا، دانشگاه، صنعت و پروژه‌های اجتماعی</x:v>
      </x:c>
      <x:c r="D1655" s="34" t="str">
        <x:v>H13</x:v>
      </x:c>
      <x:c r="E1655" s="34" t="str">
        <x:v>سلامت، خدمات اجتماعی و امور خیر</x:v>
      </x:c>
      <x:c r="F1655" s="34" t="str">
        <x:v>P2</x:v>
      </x:c>
      <x:c r="G1655" s="34" t="str">
        <x:v>مهارت/یادگیری</x:v>
      </x:c>
      <x:c r="H1655" s="39" t="str">
        <x:v>حذف پزشکی</x:v>
      </x:c>
      <x:c r="I1655" s="39" t="str">
        <x:v>پس از تثبیت پایه‌ها؛ پروژه‌محور</x:v>
      </x:c>
      <x:c r="J1655" s="39" t="str">
        <x:v>متخصص حوزه مربوط + مدیر پروژه اجتماعی</x:v>
      </x:c>
      <x:c r="K1655" s="39" t="str"/>
      <x:c r="L1655" s="39" t="str">
        <x:v>AP:P22</x:v>
      </x:c>
      <x:c r="M1655" s="39" t="str"/>
      <x:c r="N1655" s="39" t="str">
        <x:v>نسخه پایه ۳۱۵۰</x:v>
      </x:c>
    </x:row>
    <x:row r="1656" ht="34" customHeight="1">
      <x:c r="A1656" s="34" t="str">
        <x:v>☐</x:v>
      </x:c>
      <x:c r="B1656" s="34" t="str">
        <x:v>MI-0263</x:v>
      </x:c>
      <x:c r="C1656" s="34" t="str">
        <x:v>M4 — اجرا، دانشگاه، صنعت و پروژه‌های اجتماعی</x:v>
      </x:c>
      <x:c r="D1656" s="34" t="str">
        <x:v>H13</x:v>
      </x:c>
      <x:c r="E1656" s="34" t="str">
        <x:v>سلامت، خدمات اجتماعی و امور خیر</x:v>
      </x:c>
      <x:c r="F1656" s="34" t="str">
        <x:v>P2</x:v>
      </x:c>
      <x:c r="G1656" s="34" t="str">
        <x:v>هدف/موضوع</x:v>
      </x:c>
      <x:c r="H1656" s="39" t="str">
        <x:v>خیر و کمک به سرطانی و لاعلاج</x:v>
      </x:c>
      <x:c r="I1656" s="39" t="str">
        <x:v>پس از تثبیت پایه‌ها؛ پروژه‌محور</x:v>
      </x:c>
      <x:c r="J1656" s="39" t="str">
        <x:v>متخصص حوزه مربوط + مدیر پروژه اجتماعی</x:v>
      </x:c>
      <x:c r="K1656" s="39" t="str"/>
      <x:c r="L1656" s="39" t="str">
        <x:v>AP:P34</x:v>
      </x:c>
      <x:c r="M1656" s="39" t="str"/>
      <x:c r="N1656" s="39" t="str">
        <x:v>نسخه پایه ۳۱۵۰</x:v>
      </x:c>
    </x:row>
    <x:row r="1657" ht="34" customHeight="1">
      <x:c r="A1657" s="34" t="str">
        <x:v>☐</x:v>
      </x:c>
      <x:c r="B1657" s="34" t="str">
        <x:v>MI-0264</x:v>
      </x:c>
      <x:c r="C1657" s="34" t="str">
        <x:v>M4 — اجرا، دانشگاه، صنعت و پروژه‌های اجتماعی</x:v>
      </x:c>
      <x:c r="D1657" s="34" t="str">
        <x:v>H13</x:v>
      </x:c>
      <x:c r="E1657" s="34" t="str">
        <x:v>سلامت، خدمات اجتماعی و امور خیر</x:v>
      </x:c>
      <x:c r="F1657" s="34" t="str">
        <x:v>P2</x:v>
      </x:c>
      <x:c r="G1657" s="34" t="str">
        <x:v>هدف/موضوع</x:v>
      </x:c>
      <x:c r="H1657" s="39" t="str">
        <x:v>سرطان</x:v>
      </x:c>
      <x:c r="I1657" s="39" t="str">
        <x:v>پس از تثبیت پایه‌ها؛ پروژه‌محور</x:v>
      </x:c>
      <x:c r="J1657" s="39" t="str">
        <x:v>متخصص حوزه مربوط + مدیر پروژه اجتماعی</x:v>
      </x:c>
      <x:c r="K1657" s="39" t="str"/>
      <x:c r="L1657" s="39" t="str">
        <x:v>AP:P35</x:v>
      </x:c>
      <x:c r="M1657" s="39" t="str"/>
      <x:c r="N1657" s="39" t="str">
        <x:v>نسخه پایه ۳۱۵۰</x:v>
      </x:c>
    </x:row>
    <x:row r="1658" ht="34" customHeight="1">
      <x:c r="A1658" s="34" t="str">
        <x:v>☐</x:v>
      </x:c>
      <x:c r="B1658" s="34" t="str">
        <x:v>MI-0265</x:v>
      </x:c>
      <x:c r="C1658" s="34" t="str">
        <x:v>M4 — اجرا، دانشگاه، صنعت و پروژه‌های اجتماعی</x:v>
      </x:c>
      <x:c r="D1658" s="34" t="str">
        <x:v>H13</x:v>
      </x:c>
      <x:c r="E1658" s="34" t="str">
        <x:v>سلامت، خدمات اجتماعی و امور خیر</x:v>
      </x:c>
      <x:c r="F1658" s="34" t="str">
        <x:v>P2</x:v>
      </x:c>
      <x:c r="G1658" s="34" t="str">
        <x:v>هدف/موضوع</x:v>
      </x:c>
      <x:c r="H1658" s="39" t="str">
        <x:v>ام اس</x:v>
      </x:c>
      <x:c r="I1658" s="39" t="str">
        <x:v>پس از تثبیت پایه‌ها؛ پروژه‌محور</x:v>
      </x:c>
      <x:c r="J1658" s="39" t="str">
        <x:v>متخصص حوزه مربوط + مدیر پروژه اجتماعی</x:v>
      </x:c>
      <x:c r="K1658" s="39" t="str"/>
      <x:c r="L1658" s="39" t="str">
        <x:v>AP:P36</x:v>
      </x:c>
      <x:c r="M1658" s="39" t="str"/>
      <x:c r="N1658" s="39" t="str">
        <x:v>نسخه پایه ۳۱۵۰</x:v>
      </x:c>
    </x:row>
    <x:row r="1659" ht="34" customHeight="1">
      <x:c r="A1659" s="34" t="str">
        <x:v>☐</x:v>
      </x:c>
      <x:c r="B1659" s="34" t="str">
        <x:v>MI-0266</x:v>
      </x:c>
      <x:c r="C1659" s="34" t="str">
        <x:v>M4 — اجرا، دانشگاه، صنعت و پروژه‌های اجتماعی</x:v>
      </x:c>
      <x:c r="D1659" s="34" t="str">
        <x:v>H13</x:v>
      </x:c>
      <x:c r="E1659" s="34" t="str">
        <x:v>سلامت، خدمات اجتماعی و امور خیر</x:v>
      </x:c>
      <x:c r="F1659" s="34" t="str">
        <x:v>P2</x:v>
      </x:c>
      <x:c r="G1659" s="34" t="str">
        <x:v>هدف/موضوع</x:v>
      </x:c>
      <x:c r="H1659" s="39" t="str">
        <x:v>دیالیز</x:v>
      </x:c>
      <x:c r="I1659" s="39" t="str">
        <x:v>پس از تثبیت پایه‌ها؛ پروژه‌محور</x:v>
      </x:c>
      <x:c r="J1659" s="39" t="str">
        <x:v>متخصص حوزه مربوط + مدیر پروژه اجتماعی</x:v>
      </x:c>
      <x:c r="K1659" s="39" t="str"/>
      <x:c r="L1659" s="39" t="str">
        <x:v>AP:P37</x:v>
      </x:c>
      <x:c r="M1659" s="39" t="str"/>
      <x:c r="N1659" s="39" t="str">
        <x:v>نسخه پایه ۳۱۵۰</x:v>
      </x:c>
    </x:row>
    <x:row r="1660" ht="34" customHeight="1">
      <x:c r="A1660" s="34" t="str">
        <x:v>☐</x:v>
      </x:c>
      <x:c r="B1660" s="34" t="str">
        <x:v>MI-0267</x:v>
      </x:c>
      <x:c r="C1660" s="34" t="str">
        <x:v>M4 — اجرا، دانشگاه، صنعت و پروژه‌های اجتماعی</x:v>
      </x:c>
      <x:c r="D1660" s="34" t="str">
        <x:v>H13</x:v>
      </x:c>
      <x:c r="E1660" s="34" t="str">
        <x:v>سلامت، خدمات اجتماعی و امور خیر</x:v>
      </x:c>
      <x:c r="F1660" s="34" t="str">
        <x:v>P2</x:v>
      </x:c>
      <x:c r="G1660" s="34" t="str">
        <x:v>هدف/موضوع</x:v>
      </x:c>
      <x:c r="H1660" s="39" t="str">
        <x:v>پیوند قلب و کبد و استخوان</x:v>
      </x:c>
      <x:c r="I1660" s="39" t="str">
        <x:v>پس از تثبیت پایه‌ها؛ پروژه‌محور</x:v>
      </x:c>
      <x:c r="J1660" s="39" t="str">
        <x:v>متخصص حوزه مربوط + مدیر پروژه اجتماعی</x:v>
      </x:c>
      <x:c r="K1660" s="39" t="str"/>
      <x:c r="L1660" s="39" t="str">
        <x:v>AP:P38</x:v>
      </x:c>
      <x:c r="M1660" s="39" t="str"/>
      <x:c r="N1660" s="39" t="str">
        <x:v>نسخه پایه ۳۱۵۰</x:v>
      </x:c>
    </x:row>
    <x:row r="1661" ht="34" customHeight="1">
      <x:c r="A1661" s="34" t="str">
        <x:v>☐</x:v>
      </x:c>
      <x:c r="B1661" s="34" t="str">
        <x:v>MI-0268</x:v>
      </x:c>
      <x:c r="C1661" s="34" t="str">
        <x:v>M4 — اجرا، دانشگاه، صنعت و پروژه‌های اجتماعی</x:v>
      </x:c>
      <x:c r="D1661" s="34" t="str">
        <x:v>H13</x:v>
      </x:c>
      <x:c r="E1661" s="34" t="str">
        <x:v>سلامت، خدمات اجتماعی و امور خیر</x:v>
      </x:c>
      <x:c r="F1661" s="34" t="str">
        <x:v>P2</x:v>
      </x:c>
      <x:c r="G1661" s="34" t="str">
        <x:v>هدف/موضوع</x:v>
      </x:c>
      <x:c r="H1661" s="39" t="str">
        <x:v>سید عباس حسینی امامزاده اسماعیل</x:v>
      </x:c>
      <x:c r="I1661" s="39" t="str">
        <x:v>پس از تثبیت پایه‌ها؛ پروژه‌محور</x:v>
      </x:c>
      <x:c r="J1661" s="39" t="str">
        <x:v>متخصص حوزه مربوط + مدیر پروژه اجتماعی</x:v>
      </x:c>
      <x:c r="K1661" s="39" t="str"/>
      <x:c r="L1661" s="39" t="str">
        <x:v>AP:P39</x:v>
      </x:c>
      <x:c r="M1661" s="39" t="str"/>
      <x:c r="N1661" s="39" t="str">
        <x:v>نسخه پایه ۳۱۵۰</x:v>
      </x:c>
    </x:row>
    <x:row r="1662" ht="34" customHeight="1">
      <x:c r="A1662" s="34" t="str">
        <x:v>☐</x:v>
      </x:c>
      <x:c r="B1662" s="34" t="str">
        <x:v>MI-0269</x:v>
      </x:c>
      <x:c r="C1662" s="34" t="str">
        <x:v>M4 — اجرا، دانشگاه، صنعت و پروژه‌های اجتماعی</x:v>
      </x:c>
      <x:c r="D1662" s="34" t="str">
        <x:v>H13</x:v>
      </x:c>
      <x:c r="E1662" s="34" t="str">
        <x:v>سلامت، خدمات اجتماعی و امور خیر</x:v>
      </x:c>
      <x:c r="F1662" s="34" t="str">
        <x:v>P2</x:v>
      </x:c>
      <x:c r="G1662" s="34" t="str">
        <x:v>هدف/موضوع</x:v>
      </x:c>
      <x:c r="H1662" s="39" t="str">
        <x:v>موکب مشهد اربعین</x:v>
      </x:c>
      <x:c r="I1662" s="39" t="str">
        <x:v>پس از تثبیت پایه‌ها؛ پروژه‌محور</x:v>
      </x:c>
      <x:c r="J1662" s="39" t="str">
        <x:v>متخصص حوزه مربوط + مدیر پروژه اجتماعی</x:v>
      </x:c>
      <x:c r="K1662" s="39" t="str"/>
      <x:c r="L1662" s="39" t="str">
        <x:v>AP:P40</x:v>
      </x:c>
      <x:c r="M1662" s="39" t="str"/>
      <x:c r="N1662" s="39" t="str">
        <x:v>نسخه پایه ۳۱۵۰</x:v>
      </x:c>
    </x:row>
    <x:row r="1663" ht="34" customHeight="1">
      <x:c r="A1663" s="34" t="str">
        <x:v>☐</x:v>
      </x:c>
      <x:c r="B1663" s="34" t="str">
        <x:v>MI-0270</x:v>
      </x:c>
      <x:c r="C1663" s="34" t="str">
        <x:v>M4 — اجرا، دانشگاه، صنعت و پروژه‌های اجتماعی</x:v>
      </x:c>
      <x:c r="D1663" s="34" t="str">
        <x:v>H13</x:v>
      </x:c>
      <x:c r="E1663" s="34" t="str">
        <x:v>سلامت، خدمات اجتماعی و امور خیر</x:v>
      </x:c>
      <x:c r="F1663" s="34" t="str">
        <x:v>P2</x:v>
      </x:c>
      <x:c r="G1663" s="34" t="str">
        <x:v>هدف/موضوع</x:v>
      </x:c>
      <x:c r="H1663" s="39" t="str">
        <x:v>غذای حضرتی مشهد</x:v>
      </x:c>
      <x:c r="I1663" s="39" t="str">
        <x:v>پس از تثبیت پایه‌ها؛ پروژه‌محور</x:v>
      </x:c>
      <x:c r="J1663" s="39" t="str">
        <x:v>متخصص حوزه مربوط + مدیر پروژه اجتماعی</x:v>
      </x:c>
      <x:c r="K1663" s="39" t="str"/>
      <x:c r="L1663" s="39" t="str">
        <x:v>AP:P41</x:v>
      </x:c>
      <x:c r="M1663" s="39" t="str"/>
      <x:c r="N1663" s="39" t="str">
        <x:v>نسخه پایه ۳۱۵۰</x:v>
      </x:c>
    </x:row>
    <x:row r="1664" ht="34" customHeight="1">
      <x:c r="A1664" s="34" t="str">
        <x:v>☐</x:v>
      </x:c>
      <x:c r="B1664" s="34" t="str">
        <x:v>MI-0307</x:v>
      </x:c>
      <x:c r="C1664" s="34" t="str">
        <x:v>M4 — اجرا، دانشگاه، صنعت و پروژه‌های اجتماعی</x:v>
      </x:c>
      <x:c r="D1664" s="34" t="str">
        <x:v>H13</x:v>
      </x:c>
      <x:c r="E1664" s="34" t="str">
        <x:v>سلامت، خدمات اجتماعی و امور خیر</x:v>
      </x:c>
      <x:c r="F1664" s="34" t="str">
        <x:v>P2</x:v>
      </x:c>
      <x:c r="G1664" s="34" t="str">
        <x:v>هدف/موضوع</x:v>
      </x:c>
      <x:c r="H1664" s="39" t="str">
        <x:v>حاجی پیگیر شدین نظافته درست شد ، سرویسبهداشتی خواهران و برادران الان هیچ مشکلی نداره،</x:v>
      </x:c>
      <x:c r="I1664" s="39" t="str">
        <x:v>پس از تثبیت پایه‌ها؛ پروژه‌محور</x:v>
      </x:c>
      <x:c r="J1664" s="39" t="str">
        <x:v>متخصص حوزه مربوط + مدیر پروژه اجتماعی</x:v>
      </x:c>
      <x:c r="K1664" s="39" t="str"/>
      <x:c r="L1664" s="39" t="str">
        <x:v>AP:P79</x:v>
      </x:c>
      <x:c r="M1664" s="39" t="str"/>
      <x:c r="N1664" s="39" t="str">
        <x:v>نسخه پایه ۳۱۵۰</x:v>
      </x:c>
    </x:row>
    <x:row r="1665" ht="34" customHeight="1">
      <x:c r="A1665" s="34" t="str">
        <x:v>☐</x:v>
      </x:c>
      <x:c r="B1665" s="34" t="str">
        <x:v>MI-0621</x:v>
      </x:c>
      <x:c r="C1665" s="34" t="str">
        <x:v>M4 — اجرا، دانشگاه، صنعت و پروژه‌های اجتماعی</x:v>
      </x:c>
      <x:c r="D1665" s="34" t="str">
        <x:v>H13</x:v>
      </x:c>
      <x:c r="E1665" s="34" t="str">
        <x:v>سلامت، خدمات اجتماعی و امور خیر</x:v>
      </x:c>
      <x:c r="F1665" s="34" t="str">
        <x:v>P2</x:v>
      </x:c>
      <x:c r="G1665" s="34" t="str">
        <x:v>هدف/موضوع</x:v>
      </x:c>
      <x:c r="H1665" s="39" t="str">
        <x:v>مرکز بهداشت دانشگاه</x:v>
      </x:c>
      <x:c r="I1665" s="39" t="str">
        <x:v>پس از تثبیت پایه‌ها؛ پروژه‌محور</x:v>
      </x:c>
      <x:c r="J1665" s="39" t="str">
        <x:v>متخصص حوزه مربوط + مدیر پروژه اجتماعی</x:v>
      </x:c>
      <x:c r="K1665" s="39" t="str"/>
      <x:c r="L1665" s="39" t="str">
        <x:v>AP:P408</x:v>
      </x:c>
      <x:c r="M1665" s="39" t="str"/>
      <x:c r="N1665" s="39" t="str">
        <x:v>نسخه پایه ۳۱۵۰</x:v>
      </x:c>
    </x:row>
    <x:row r="1666" ht="34" customHeight="1">
      <x:c r="A1666" s="34" t="str">
        <x:v>☐</x:v>
      </x:c>
      <x:c r="B1666" s="34" t="str">
        <x:v>MI-0625</x:v>
      </x:c>
      <x:c r="C1666" s="34" t="str">
        <x:v>M4 — اجرا، دانشگاه، صنعت و پروژه‌های اجتماعی</x:v>
      </x:c>
      <x:c r="D1666" s="34" t="str">
        <x:v>H13</x:v>
      </x:c>
      <x:c r="E1666" s="34" t="str">
        <x:v>سلامت، خدمات اجتماعی و امور خیر</x:v>
      </x:c>
      <x:c r="F1666" s="34" t="str">
        <x:v>P2</x:v>
      </x:c>
      <x:c r="G1666" s="34" t="str">
        <x:v>هدف/موضوع</x:v>
      </x:c>
      <x:c r="H1666" s="39" t="str">
        <x:v>شیفت شب درمانگاهی در خوابگاه</x:v>
      </x:c>
      <x:c r="I1666" s="39" t="str">
        <x:v>پس از تثبیت پایه‌ها؛ پروژه‌محور</x:v>
      </x:c>
      <x:c r="J1666" s="39" t="str">
        <x:v>متخصص حوزه مربوط + مدیر پروژه اجتماعی</x:v>
      </x:c>
      <x:c r="K1666" s="39" t="str"/>
      <x:c r="L1666" s="39" t="str">
        <x:v>AP:P412</x:v>
      </x:c>
      <x:c r="M1666" s="39" t="str"/>
      <x:c r="N1666" s="39" t="str">
        <x:v>نسخه پایه ۳۱۵۰</x:v>
      </x:c>
    </x:row>
    <x:row r="1667" ht="34" customHeight="1">
      <x:c r="A1667" s="34" t="str">
        <x:v>☐</x:v>
      </x:c>
      <x:c r="B1667" s="34" t="str">
        <x:v>MI-0976</x:v>
      </x:c>
      <x:c r="C1667" s="34" t="str">
        <x:v>M4 — اجرا، دانشگاه، صنعت و پروژه‌های اجتماعی</x:v>
      </x:c>
      <x:c r="D1667" s="34" t="str">
        <x:v>H13</x:v>
      </x:c>
      <x:c r="E1667" s="34" t="str">
        <x:v>سلامت، خدمات اجتماعی و امور خیر</x:v>
      </x:c>
      <x:c r="F1667" s="34" t="str">
        <x:v>P2</x:v>
      </x:c>
      <x:c r="G1667" s="34" t="str">
        <x:v>هدف/موضوع</x:v>
      </x:c>
      <x:c r="H1667" s="39" t="str">
        <x:v>آرام بند های درب های سرویس های بهداشتی</x:v>
      </x:c>
      <x:c r="I1667" s="39" t="str">
        <x:v>پس از تثبیت پایه‌ها؛ پروژه‌محور</x:v>
      </x:c>
      <x:c r="J1667" s="39" t="str">
        <x:v>متخصص حوزه مربوط + مدیر پروژه اجتماعی</x:v>
      </x:c>
      <x:c r="K1667" s="39" t="str"/>
      <x:c r="L1667" s="39" t="str">
        <x:v>AP:P805</x:v>
      </x:c>
      <x:c r="M1667" s="39" t="str"/>
      <x:c r="N1667" s="39" t="str">
        <x:v>نسخه پایه ۳۱۵۰</x:v>
      </x:c>
    </x:row>
    <x:row r="1668" ht="34" customHeight="1">
      <x:c r="A1668" s="34" t="str">
        <x:v>☐</x:v>
      </x:c>
      <x:c r="B1668" s="34" t="str">
        <x:v>MI-1166</x:v>
      </x:c>
      <x:c r="C1668" s="34" t="str">
        <x:v>M4 — اجرا، دانشگاه، صنعت و پروژه‌های اجتماعی</x:v>
      </x:c>
      <x:c r="D1668" s="34" t="str">
        <x:v>H13</x:v>
      </x:c>
      <x:c r="E1668" s="34" t="str">
        <x:v>سلامت، خدمات اجتماعی و امور خیر</x:v>
      </x:c>
      <x:c r="F1668" s="34" t="str">
        <x:v>P2</x:v>
      </x:c>
      <x:c r="G1668" s="34" t="str">
        <x:v>هدف/موضوع</x:v>
      </x:c>
      <x:c r="H1668" s="39" t="str">
        <x:v>حوزه خیریه</x:v>
      </x:c>
      <x:c r="I1668" s="39" t="str">
        <x:v>پس از تثبیت پایه‌ها؛ پروژه‌محور</x:v>
      </x:c>
      <x:c r="J1668" s="39" t="str">
        <x:v>متخصص حوزه مربوط + مدیر پروژه اجتماعی</x:v>
      </x:c>
      <x:c r="K1668" s="39" t="str"/>
      <x:c r="L1668" s="39" t="str">
        <x:v>AP:P1019</x:v>
      </x:c>
      <x:c r="M1668" s="39" t="str"/>
      <x:c r="N1668" s="39" t="str">
        <x:v>نسخه پایه ۳۱۵۰</x:v>
      </x:c>
    </x:row>
    <x:row r="1669" ht="34" customHeight="1">
      <x:c r="A1669" s="34" t="str">
        <x:v>☐</x:v>
      </x:c>
      <x:c r="B1669" s="34" t="str">
        <x:v>MI-1167</x:v>
      </x:c>
      <x:c r="C1669" s="34" t="str">
        <x:v>M4 — اجرا، دانشگاه، صنعت و پروژه‌های اجتماعی</x:v>
      </x:c>
      <x:c r="D1669" s="34" t="str">
        <x:v>H13</x:v>
      </x:c>
      <x:c r="E1669" s="34" t="str">
        <x:v>سلامت، خدمات اجتماعی و امور خیر</x:v>
      </x:c>
      <x:c r="F1669" s="34" t="str">
        <x:v>P2</x:v>
      </x:c>
      <x:c r="G1669" s="34" t="str">
        <x:v>هدف/موضوع</x:v>
      </x:c>
      <x:c r="H1669" s="39" t="str">
        <x:v>رییسی</x:v>
      </x:c>
      <x:c r="I1669" s="39" t="str">
        <x:v>پس از تثبیت پایه‌ها؛ پروژه‌محور</x:v>
      </x:c>
      <x:c r="J1669" s="39" t="str">
        <x:v>متخصص حوزه مربوط + مدیر پروژه اجتماعی</x:v>
      </x:c>
      <x:c r="K1669" s="39" t="str"/>
      <x:c r="L1669" s="39" t="str">
        <x:v>AP:P1020</x:v>
      </x:c>
      <x:c r="M1669" s="39" t="str"/>
      <x:c r="N1669" s="39" t="str">
        <x:v>نسخه پایه ۳۱۵۰</x:v>
      </x:c>
    </x:row>
    <x:row r="1670" ht="34" customHeight="1">
      <x:c r="A1670" s="34" t="str">
        <x:v>☐</x:v>
      </x:c>
      <x:c r="B1670" s="34" t="str">
        <x:v>MI-1456</x:v>
      </x:c>
      <x:c r="C1670" s="34" t="str">
        <x:v>M4 — اجرا، دانشگاه، صنعت و پروژه‌های اجتماعی</x:v>
      </x:c>
      <x:c r="D1670" s="34" t="str">
        <x:v>H13</x:v>
      </x:c>
      <x:c r="E1670" s="34" t="str">
        <x:v>سلامت، خدمات اجتماعی و امور خیر</x:v>
      </x:c>
      <x:c r="F1670" s="34" t="str">
        <x:v>P2</x:v>
      </x:c>
      <x:c r="G1670" s="34" t="str">
        <x:v>هدف/موضوع</x:v>
      </x:c>
      <x:c r="H1670" s="39" t="str">
        <x:v>تغذیه و پزشکی: آگاهی از تغذیه سالم و بیماری های مختلف.</x:v>
      </x:c>
      <x:c r="I1670" s="39" t="str">
        <x:v>پس از تثبیت پایه‌ها؛ پروژه‌محور</x:v>
      </x:c>
      <x:c r="J1670" s="39" t="str">
        <x:v>متخصص حوزه مربوط + مدیر پروژه اجتماعی</x:v>
      </x:c>
      <x:c r="K1670" s="39" t="str"/>
      <x:c r="L1670" s="39" t="str">
        <x:v>AP:P1357</x:v>
      </x:c>
      <x:c r="M1670" s="39" t="str"/>
      <x:c r="N1670" s="39" t="str">
        <x:v>نسخه پایه ۳۱۵۰</x:v>
      </x:c>
    </x:row>
    <x:row r="1671" ht="34" customHeight="1">
      <x:c r="A1671" s="34" t="str">
        <x:v>☐</x:v>
      </x:c>
      <x:c r="B1671" s="34" t="str">
        <x:v>MI-1544</x:v>
      </x:c>
      <x:c r="C1671" s="34" t="str">
        <x:v>M4 — اجرا، دانشگاه، صنعت و پروژه‌های اجتماعی</x:v>
      </x:c>
      <x:c r="D1671" s="34" t="str">
        <x:v>H13</x:v>
      </x:c>
      <x:c r="E1671" s="34" t="str">
        <x:v>سلامت، خدمات اجتماعی و امور خیر</x:v>
      </x:c>
      <x:c r="F1671" s="34" t="str">
        <x:v>P2</x:v>
      </x:c>
      <x:c r="G1671" s="34" t="str">
        <x:v>هدف/موضوع</x:v>
      </x:c>
      <x:c r="H1671" s="39" t="str">
        <x:v>سیستم داروخانه</x:v>
      </x:c>
      <x:c r="I1671" s="39" t="str">
        <x:v>پس از تثبیت پایه‌ها؛ پروژه‌محور</x:v>
      </x:c>
      <x:c r="J1671" s="39" t="str">
        <x:v>متخصص حوزه مربوط + مدیر پروژه اجتماعی</x:v>
      </x:c>
      <x:c r="K1671" s="39" t="str"/>
      <x:c r="L1671" s="39" t="str">
        <x:v>AP:P1527</x:v>
      </x:c>
      <x:c r="M1671" s="39" t="str"/>
      <x:c r="N1671" s="39" t="str">
        <x:v>نسخه پایه ۳۱۵۰</x:v>
      </x:c>
    </x:row>
    <x:row r="1672" ht="34" customHeight="1">
      <x:c r="A1672" s="34" t="str">
        <x:v>☐</x:v>
      </x:c>
      <x:c r="B1672" s="34" t="str">
        <x:v>MI-1602</x:v>
      </x:c>
      <x:c r="C1672" s="34" t="str">
        <x:v>M4 — اجرا، دانشگاه، صنعت و پروژه‌های اجتماعی</x:v>
      </x:c>
      <x:c r="D1672" s="34" t="str">
        <x:v>H13</x:v>
      </x:c>
      <x:c r="E1672" s="34" t="str">
        <x:v>سلامت، خدمات اجتماعی و امور خیر</x:v>
      </x:c>
      <x:c r="F1672" s="34" t="str">
        <x:v>P2</x:v>
      </x:c>
      <x:c r="G1672" s="34" t="str">
        <x:v>هدف/موضوع</x:v>
      </x:c>
      <x:c r="H1672" s="39" t="str">
        <x:v>• به شکل گیری استارتاپ کمک می کنند</x:v>
      </x:c>
      <x:c r="I1672" s="39" t="str">
        <x:v>پس از تثبیت پایه‌ها؛ پروژه‌محور</x:v>
      </x:c>
      <x:c r="J1672" s="39" t="str">
        <x:v>متخصص حوزه مربوط + مدیر پروژه اجتماعی</x:v>
      </x:c>
      <x:c r="K1672" s="39" t="str"/>
      <x:c r="L1672" s="39" t="str">
        <x:v>E112:P59؛ E112:P1519؛ E112:P1839؛ E112:P2305</x:v>
      </x:c>
      <x:c r="M1672" s="39" t="str"/>
      <x:c r="N1672" s="39" t="str">
        <x:v>نسخه پایه ۳۱۵۰</x:v>
      </x:c>
    </x:row>
    <x:row r="1673" ht="34" customHeight="1">
      <x:c r="A1673" s="34" t="str">
        <x:v>☐</x:v>
      </x:c>
      <x:c r="B1673" s="34" t="str">
        <x:v>MI-1609</x:v>
      </x:c>
      <x:c r="C1673" s="34" t="str">
        <x:v>M4 — اجرا، دانشگاه، صنعت و پروژه‌های اجتماعی</x:v>
      </x:c>
      <x:c r="D1673" s="34" t="str">
        <x:v>H13</x:v>
      </x:c>
      <x:c r="E1673" s="34" t="str">
        <x:v>سلامت، خدمات اجتماعی و امور خیر</x:v>
      </x:c>
      <x:c r="F1673" s="34" t="str">
        <x:v>P2</x:v>
      </x:c>
      <x:c r="G1673" s="34" t="str">
        <x:v>هدف/موضوع</x:v>
      </x:c>
      <x:c r="H1673" s="39" t="str">
        <x:v>• کمک به صادرات فناوری</x:v>
      </x:c>
      <x:c r="I1673" s="39" t="str">
        <x:v>پس از تثبیت پایه‌ها؛ پروژه‌محور</x:v>
      </x:c>
      <x:c r="J1673" s="39" t="str">
        <x:v>متخصص حوزه مربوط + مدیر پروژه اجتماعی</x:v>
      </x:c>
      <x:c r="K1673" s="39" t="str"/>
      <x:c r="L1673" s="39" t="str">
        <x:v>E112:P67؛ E112:P1530؛ E112:P1847؛ E112:P2313</x:v>
      </x:c>
      <x:c r="M1673" s="39" t="str"/>
      <x:c r="N1673" s="39" t="str">
        <x:v>نسخه پایه ۳۱۵۰</x:v>
      </x:c>
    </x:row>
    <x:row r="1674" ht="34" customHeight="1">
      <x:c r="A1674" s="34" t="str">
        <x:v>☐</x:v>
      </x:c>
      <x:c r="B1674" s="34" t="str">
        <x:v>MI-2069</x:v>
      </x:c>
      <x:c r="C1674" s="34" t="str">
        <x:v>M4 — اجرا، دانشگاه، صنعت و پروژه‌های اجتماعی</x:v>
      </x:c>
      <x:c r="D1674" s="34" t="str">
        <x:v>H13</x:v>
      </x:c>
      <x:c r="E1674" s="34" t="str">
        <x:v>سلامت، خدمات اجتماعی و امور خیر</x:v>
      </x:c>
      <x:c r="F1674" s="34" t="str">
        <x:v>P2</x:v>
      </x:c>
      <x:c r="G1674" s="34" t="str">
        <x:v>هدف/موضوع</x:v>
      </x:c>
      <x:c r="H1674" s="39" t="str">
        <x:v>دانشگاه علوم پزشکی</x:v>
      </x:c>
      <x:c r="I1674" s="39" t="str">
        <x:v>پس از تثبیت پایه‌ها؛ پروژه‌محور</x:v>
      </x:c>
      <x:c r="J1674" s="39" t="str">
        <x:v>متخصص حوزه مربوط + مدیر پروژه اجتماعی</x:v>
      </x:c>
      <x:c r="K1674" s="39" t="str"/>
      <x:c r="L1674" s="39" t="str">
        <x:v>E112:P773</x:v>
      </x:c>
      <x:c r="M1674" s="39" t="str"/>
      <x:c r="N1674" s="39" t="str">
        <x:v>نسخه پایه ۳۱۵۰</x:v>
      </x:c>
    </x:row>
    <x:row r="1675" ht="34" customHeight="1">
      <x:c r="A1675" s="34" t="str">
        <x:v>☐</x:v>
      </x:c>
      <x:c r="B1675" s="34" t="str">
        <x:v>MI-2188</x:v>
      </x:c>
      <x:c r="C1675" s="34" t="str">
        <x:v>M4 — اجرا، دانشگاه، صنعت و پروژه‌های اجتماعی</x:v>
      </x:c>
      <x:c r="D1675" s="34" t="str">
        <x:v>H13</x:v>
      </x:c>
      <x:c r="E1675" s="34" t="str">
        <x:v>سلامت، خدمات اجتماعی و امور خیر</x:v>
      </x:c>
      <x:c r="F1675" s="34" t="str">
        <x:v>P2</x:v>
      </x:c>
      <x:c r="G1675" s="34" t="str">
        <x:v>هدف/موضوع</x:v>
      </x:c>
      <x:c r="H1675" s="39" t="str">
        <x:v>دانشگاه علوم پزشکی مازندران</x:v>
      </x:c>
      <x:c r="I1675" s="39" t="str">
        <x:v>پس از تثبیت پایه‌ها؛ پروژه‌محور</x:v>
      </x:c>
      <x:c r="J1675" s="39" t="str">
        <x:v>متخصص حوزه مربوط + مدیر پروژه اجتماعی</x:v>
      </x:c>
      <x:c r="K1675" s="39" t="str"/>
      <x:c r="L1675" s="39" t="str">
        <x:v>E112:P1000</x:v>
      </x:c>
      <x:c r="M1675" s="39" t="str"/>
      <x:c r="N1675" s="39" t="str">
        <x:v>نسخه پایه ۳۱۵۰</x:v>
      </x:c>
    </x:row>
    <x:row r="1676" ht="34" customHeight="1">
      <x:c r="A1676" s="34" t="str">
        <x:v>☐</x:v>
      </x:c>
      <x:c r="B1676" s="34" t="str">
        <x:v>MI-2312</x:v>
      </x:c>
      <x:c r="C1676" s="34" t="str">
        <x:v>M4 — اجرا، دانشگاه، صنعت و پروژه‌های اجتماعی</x:v>
      </x:c>
      <x:c r="D1676" s="34" t="str">
        <x:v>H13</x:v>
      </x:c>
      <x:c r="E1676" s="34" t="str">
        <x:v>سلامت، خدمات اجتماعی و امور خیر</x:v>
      </x:c>
      <x:c r="F1676" s="34" t="str">
        <x:v>P2</x:v>
      </x:c>
      <x:c r="G1676" s="34" t="str">
        <x:v>هدف/موضوع</x:v>
      </x:c>
      <x:c r="H1676" s="39" t="str">
        <x:v>گردشگری سلامت</x:v>
      </x:c>
      <x:c r="I1676" s="39" t="str">
        <x:v>پس از تثبیت پایه‌ها؛ پروژه‌محور</x:v>
      </x:c>
      <x:c r="J1676" s="39" t="str">
        <x:v>متخصص حوزه مربوط + مدیر پروژه اجتماعی</x:v>
      </x:c>
      <x:c r="K1676" s="39" t="str"/>
      <x:c r="L1676" s="39" t="str">
        <x:v>E112:P1284</x:v>
      </x:c>
      <x:c r="M1676" s="39" t="str"/>
      <x:c r="N1676" s="39" t="str">
        <x:v>نسخه پایه ۳۱۵۰</x:v>
      </x:c>
    </x:row>
    <x:row r="1677" ht="34" customHeight="1">
      <x:c r="A1677" s="34" t="str">
        <x:v>☐</x:v>
      </x:c>
      <x:c r="B1677" s="34" t="str">
        <x:v>MI-2430</x:v>
      </x:c>
      <x:c r="C1677" s="34" t="str">
        <x:v>M4 — اجرا، دانشگاه، صنعت و پروژه‌های اجتماعی</x:v>
      </x:c>
      <x:c r="D1677" s="34" t="str">
        <x:v>H13</x:v>
      </x:c>
      <x:c r="E1677" s="34" t="str">
        <x:v>سلامت، خدمات اجتماعی و امور خیر</x:v>
      </x:c>
      <x:c r="F1677" s="34" t="str">
        <x:v>P2</x:v>
      </x:c>
      <x:c r="G1677" s="34" t="str">
        <x:v>هدف/موضوع</x:v>
      </x:c>
      <x:c r="H1677" s="39" t="str">
        <x:v>یا وقتی صنعتی در خارج کشور جوابگو بوده بشه از این کارافرینان داخلی جهت پیاده سازی اون در ایران کمک گرفت یا کارافرینان خارجی رو اورد و این پیاده سازی رو انجام داد</x:v>
      </x:c>
      <x:c r="I1677" s="39" t="str">
        <x:v>پس از تثبیت پایه‌ها؛ پروژه‌محور</x:v>
      </x:c>
      <x:c r="J1677" s="39" t="str">
        <x:v>متخصص حوزه مربوط + مدیر پروژه اجتماعی</x:v>
      </x:c>
      <x:c r="K1677" s="39" t="str"/>
      <x:c r="L1677" s="39" t="str">
        <x:v>E112:P1652</x:v>
      </x:c>
      <x:c r="M1677" s="39" t="str"/>
      <x:c r="N1677" s="39" t="str">
        <x:v>نسخه پایه ۳۱۵۰</x:v>
      </x:c>
    </x:row>
    <x:row r="1678" ht="34" customHeight="1">
      <x:c r="A1678" s="34" t="str">
        <x:v>☐</x:v>
      </x:c>
      <x:c r="B1678" s="34" t="str">
        <x:v>MI-2683</x:v>
      </x:c>
      <x:c r="C1678" s="34" t="str">
        <x:v>M4 — اجرا، دانشگاه، صنعت و پروژه‌های اجتماعی</x:v>
      </x:c>
      <x:c r="D1678" s="34" t="str">
        <x:v>H13</x:v>
      </x:c>
      <x:c r="E1678" s="34" t="str">
        <x:v>سلامت، خدمات اجتماعی و امور خیر</x:v>
      </x:c>
      <x:c r="F1678" s="34" t="str">
        <x:v>P2</x:v>
      </x:c>
      <x:c r="G1678" s="34" t="str">
        <x:v>هدف/موضوع</x:v>
      </x:c>
      <x:c r="H1678" s="39" t="str">
        <x:v>این شبکه می تواند کمک کند به:</x:v>
      </x:c>
      <x:c r="I1678" s="39" t="str">
        <x:v>پس از تثبیت پایه‌ها؛ پروژه‌محور</x:v>
      </x:c>
      <x:c r="J1678" s="39" t="str">
        <x:v>متخصص حوزه مربوط + مدیر پروژه اجتماعی</x:v>
      </x:c>
      <x:c r="K1678" s="39" t="str"/>
      <x:c r="L1678" s="39" t="str">
        <x:v>E112:P2644</x:v>
      </x:c>
      <x:c r="M1678" s="39" t="str"/>
      <x:c r="N1678" s="39" t="str">
        <x:v>نسخه پایه ۳۱۵۰</x:v>
      </x:c>
    </x:row>
    <x:row r="1679" ht="34" customHeight="1">
      <x:c r="A1679" s="34" t="str">
        <x:v>☐</x:v>
      </x:c>
      <x:c r="B1679" s="34" t="str">
        <x:v>MI-2747</x:v>
      </x:c>
      <x:c r="C1679" s="34" t="str">
        <x:v>M4 — اجرا، دانشگاه، صنعت و پروژه‌های اجتماعی</x:v>
      </x:c>
      <x:c r="D1679" s="34" t="str">
        <x:v>H13</x:v>
      </x:c>
      <x:c r="E1679" s="34" t="str">
        <x:v>سلامت، خدمات اجتماعی و امور خیر</x:v>
      </x:c>
      <x:c r="F1679" s="34" t="str">
        <x:v>P2</x:v>
      </x:c>
      <x:c r="G1679" s="34" t="str">
        <x:v>هدف/موضوع</x:v>
      </x:c>
      <x:c r="H1679" s="39" t="str">
        <x:v>کمک به شکل گیری استارتاپ ها</x:v>
      </x:c>
      <x:c r="I1679" s="39" t="str">
        <x:v>پس از تثبیت پایه‌ها؛ پروژه‌محور</x:v>
      </x:c>
      <x:c r="J1679" s="39" t="str">
        <x:v>متخصص حوزه مربوط + مدیر پروژه اجتماعی</x:v>
      </x:c>
      <x:c r="K1679" s="39" t="str"/>
      <x:c r="L1679" s="39" t="str">
        <x:v>E112:P2806</x:v>
      </x:c>
      <x:c r="M1679" s="39" t="str"/>
      <x:c r="N1679" s="39" t="str">
        <x:v>نسخه پایه ۳۱۵۰</x:v>
      </x:c>
    </x:row>
    <x:row r="1680" ht="34" customHeight="1">
      <x:c r="A1680" s="34" t="str">
        <x:v>☐</x:v>
      </x:c>
      <x:c r="B1680" s="34" t="str">
        <x:v>MI-2926</x:v>
      </x:c>
      <x:c r="C1680" s="34" t="str">
        <x:v>M4 — اجرا، دانشگاه، صنعت و پروژه‌های اجتماعی</x:v>
      </x:c>
      <x:c r="D1680" s="34" t="str">
        <x:v>H13</x:v>
      </x:c>
      <x:c r="E1680" s="34" t="str">
        <x:v>سلامت، خدمات اجتماعی و امور خیر</x:v>
      </x:c>
      <x:c r="F1680" s="34" t="str">
        <x:v>P2</x:v>
      </x:c>
      <x:c r="G1680" s="34" t="str">
        <x:v>هدف/موضوع</x:v>
      </x:c>
      <x:c r="H1680" s="39" t="str">
        <x:v>نقش دادن (HR Director + Ecosystem Architect) خیلی کمک می کند خروجی عملیاتی شود.</x:v>
      </x:c>
      <x:c r="I1680" s="39" t="str">
        <x:v>پس از تثبیت پایه‌ها؛ پروژه‌محور</x:v>
      </x:c>
      <x:c r="J1680" s="39" t="str">
        <x:v>متخصص حوزه مربوط + مدیر پروژه اجتماعی</x:v>
      </x:c>
      <x:c r="K1680" s="39" t="str"/>
      <x:c r="L1680" s="39" t="str">
        <x:v>E112:P3284</x:v>
      </x:c>
      <x:c r="M1680" s="39" t="str"/>
      <x:c r="N1680" s="39" t="str">
        <x:v>نسخه پایه ۳۱۵۰</x:v>
      </x:c>
    </x:row>
    <x:row r="1681" ht="34" customHeight="1">
      <x:c r="A1681" s="34" t="str">
        <x:v>☐</x:v>
      </x:c>
      <x:c r="B1681" s="34" t="str">
        <x:v>MI-3138</x:v>
      </x:c>
      <x:c r="C1681" s="34" t="str">
        <x:v>M4 — اجرا، دانشگاه، صنعت و پروژه‌های اجتماعی</x:v>
      </x:c>
      <x:c r="D1681" s="34" t="str">
        <x:v>H13</x:v>
      </x:c>
      <x:c r="E1681" s="34" t="str">
        <x:v>سلامت، خدمات اجتماعی و امور خیر</x:v>
      </x:c>
      <x:c r="F1681" s="34" t="str">
        <x:v>P2</x:v>
      </x:c>
      <x:c r="G1681" s="34" t="str">
        <x:v>هدف/موضوع</x:v>
      </x:c>
      <x:c r="H1681" s="39" t="str">
        <x:v>هالند اجتماعی/کمک‌کننده: 100</x:v>
      </x:c>
      <x:c r="I1681" s="39" t="str">
        <x:v>پس از تثبیت پایه‌ها؛ پروژه‌محور</x:v>
      </x:c>
      <x:c r="J1681" s="39" t="str">
        <x:v>متخصص حوزه مربوط + مدیر پروژه اجتماعی</x:v>
      </x:c>
      <x:c r="K1681" s="39" t="str"/>
      <x:c r="L1681" s="39" t="str">
        <x:v>TEST:هالند اجتماعی/کمک‌کننده</x:v>
      </x:c>
      <x:c r="M1681" s="39" t="str"/>
      <x:c r="N1681" s="39" t="str">
        <x:v>نسخه پایه ۳۱۵۰</x:v>
      </x:c>
    </x:row>
    <x:row r="1682" ht="34" customHeight="1">
      <x:c r="A1682" s="34" t="str">
        <x:v>☐</x:v>
      </x:c>
      <x:c r="B1682" s="34" t="str">
        <x:v>MI-1681</x:v>
      </x:c>
      <x:c r="C1682" s="34" t="str">
        <x:v>M4 — اجرا، دانشگاه، صنعت و پروژه‌های اجتماعی</x:v>
      </x:c>
      <x:c r="D1682" s="34" t="str">
        <x:v>H13</x:v>
      </x:c>
      <x:c r="E1682" s="34" t="str">
        <x:v>سلامت، خدمات اجتماعی و امور خیر</x:v>
      </x:c>
      <x:c r="F1682" s="34" t="str">
        <x:v>P2</x:v>
      </x:c>
      <x:c r="G1682" s="34" t="str">
        <x:v>یادداشت/تحلیل</x:v>
      </x:c>
      <x:c r="H1682" s="39" t="str">
        <x:v>یا برای بخش خارجی سرمایه گذاری کرد یا وقتی صنعتی در خارج کشور جوابگو بوده بشه از این کارافرینان داخلی جهت پیاده سازی اون در ایران کمک گرفت یا کارافرینان خارجی رو اورد و این پیاده سازی رو انجام داد همچنین بحث کارافرینان به عنوان EiR میشه از استان های دیگه به مازندران دعونت کرد و این عملیات ها انجام بشه</x:v>
      </x:c>
      <x:c r="I1682" s="39" t="str">
        <x:v>پس از تثبیت پایه‌ها؛ پروژه‌محور</x:v>
      </x:c>
      <x:c r="J1682" s="39" t="str">
        <x:v>متخصص حوزه مربوط + مدیر پروژه اجتماعی</x:v>
      </x:c>
      <x:c r="K1682" s="39" t="str"/>
      <x:c r="L1682" s="39" t="str">
        <x:v>E112:P147؛ E112:P1929؛ E112:P2395</x:v>
      </x:c>
      <x:c r="M1682" s="39" t="str"/>
      <x:c r="N1682" s="39" t="str">
        <x:v>نسخه پایه ۳۱۵۰</x:v>
      </x:c>
    </x:row>
    <x:row r="1683" ht="34" customHeight="1">
      <x:c r="A1683" s="34" t="str">
        <x:v>☐</x:v>
      </x:c>
      <x:c r="B1683" s="34" t="str">
        <x:v>MI-3089</x:v>
      </x:c>
      <x:c r="C1683" s="34" t="str">
        <x:v>M4 — اجرا، دانشگاه، صنعت و پروژه‌های اجتماعی</x:v>
      </x:c>
      <x:c r="D1683" s="34" t="str">
        <x:v>H13</x:v>
      </x:c>
      <x:c r="E1683" s="34" t="str">
        <x:v>سلامت، خدمات اجتماعی و امور خیر</x:v>
      </x:c>
      <x:c r="F1683" s="34" t="str">
        <x:v>BANK</x:v>
      </x:c>
      <x:c r="G1683" s="34" t="str">
        <x:v>مطالعه/منبع</x:v>
      </x:c>
      <x:c r="H1683" s="39"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I1683" s="39" t="str">
        <x:v>بانک مطالعه؛ سقف زمانی</x:v>
      </x:c>
      <x:c r="J1683" s="39" t="str">
        <x:v>متخصص حوزه مربوط + مدیر پروژه اجتماعی</x:v>
      </x:c>
      <x:c r="K1683" s="39" t="str"/>
      <x:c r="L1683" s="39" t="str">
        <x:v>INT:T25 R2</x:v>
      </x:c>
      <x:c r="M1683" s="39" t="str"/>
      <x:c r="N1683" s="39" t="str">
        <x:v>نسخه پایه ۳۱۵۰</x:v>
      </x:c>
    </x:row>
    <x:row r="1684" ht="34" customHeight="1">
      <x:c r="A1684" s="34" t="str">
        <x:v>☐</x:v>
      </x:c>
      <x:c r="B1684" s="34" t="str">
        <x:v>MI-3093</x:v>
      </x:c>
      <x:c r="C1684" s="34" t="str">
        <x:v>M4 — اجرا، دانشگاه، صنعت و پروژه‌های اجتماعی</x:v>
      </x:c>
      <x:c r="D1684" s="34" t="str">
        <x:v>H13</x:v>
      </x:c>
      <x:c r="E1684" s="34" t="str">
        <x:v>سلامت، خدمات اجتماعی و امور خیر</x:v>
      </x:c>
      <x:c r="F1684" s="34" t="str">
        <x:v>BANK</x:v>
      </x:c>
      <x:c r="G1684" s="34" t="str">
        <x:v>مطالعه/منبع</x:v>
      </x:c>
      <x:c r="H1684" s="39" t="str">
        <x:v>وقتی بخوام در جلسه ای باشم و باید برای اون دستم پر باشه که چه چیزایی بگم و باید متن اماده کنم وقتی ایده ای در سرم دارم و باید از اون فرداش دفاع کنم وقتی یه سری دیتای زیاد بهم میدن و میگن مرتبش کن وقتی بخوام اسناد و مدارک زیادی رو بررسی کنم و بفهمم از قبل در اون مسیولیتی که هستم چی پیش اومده تا بتونم هم تجربه کسب کنم و هم شرایط رو بفهمم و مسلط بشم و در تصمیم گیری های بعدی بهتر باشم و همچنین بتونم در امورات بهتر عمل کنم وقتی بخوام یه پروپوزالی تعریف کنم که دغدغه ای بتونه بر طرف کنه ، وقتی اتوماسیونی بخوام راه بندازم و بفهمم تهش خوب پیش میره وقتی تصور میکنم این کاری که انجام میدم چقدر میتونه مفید باشه دیدن سریال مورد علاقه ام خواندن کتاب مورد علاقه ام</x:v>
      </x:c>
      <x:c r="I1684" s="39" t="str">
        <x:v>بانک مطالعه؛ سقف زمانی</x:v>
      </x:c>
      <x:c r="J1684" s="39" t="str">
        <x:v>متخصص حوزه مربوط + مدیر پروژه اجتماعی</x:v>
      </x:c>
      <x:c r="K1684" s="39" t="str"/>
      <x:c r="L1684" s="39" t="str">
        <x:v>INT:T27 R2</x:v>
      </x:c>
      <x:c r="M1684" s="39" t="str"/>
      <x:c r="N1684" s="39" t="str">
        <x:v>نسخه پایه ۳۱۵۰</x:v>
      </x:c>
    </x:row>
    <x:row r="1685" ht="34" customHeight="1">
      <x:c r="A1685" s="34" t="str">
        <x:v>☐</x:v>
      </x:c>
      <x:c r="B1685" s="34" t="str">
        <x:v>MI-0452</x:v>
      </x:c>
      <x:c r="C1685" s="34" t="str">
        <x:v>M3 — کسب‌وکار، شبکه و زیست‌بوم نوآوری</x:v>
      </x:c>
      <x:c r="D1685" s="34" t="str">
        <x:v>H14</x:v>
      </x:c>
      <x:c r="E1685" s="34" t="str">
        <x:v>شبکه‌سازی، افراد و ارتباطات کلیدی</x:v>
      </x:c>
      <x:c r="F1685" s="34" t="str">
        <x:v>BANK</x:v>
      </x:c>
      <x:c r="G1685" s="34" t="str">
        <x:v>مطالعه/منبع</x:v>
      </x:c>
      <x:c r="H1685" s="39" t="str">
        <x:v>دکتر خطیبی مازندران اردوگاه 11 تاکتیک</x:v>
      </x:c>
      <x:c r="I1685" s="39" t="str">
        <x:v>بانک مطالعه؛ سقف زمانی</x:v>
      </x:c>
      <x:c r="J1685" s="39" t="str">
        <x:v>استراتژیست شبکه و ذی‌نفعان</x:v>
      </x:c>
      <x:c r="K1685" s="39" t="str"/>
      <x:c r="L1685" s="39" t="str">
        <x:v>AP:P237</x:v>
      </x:c>
      <x:c r="M1685" s="39" t="str"/>
      <x:c r="N1685" s="39" t="str">
        <x:v>نسخه پایه ۳۱۵۰</x:v>
      </x:c>
    </x:row>
    <x:row r="1686" ht="34" customHeight="1">
      <x:c r="A1686" s="34" t="str">
        <x:v>☐</x:v>
      </x:c>
      <x:c r="B1686" s="34" t="str">
        <x:v>MI-0504</x:v>
      </x:c>
      <x:c r="C1686" s="34" t="str">
        <x:v>M3 — کسب‌وکار، شبکه و زیست‌بوم نوآوری</x:v>
      </x:c>
      <x:c r="D1686" s="34" t="str">
        <x:v>H14</x:v>
      </x:c>
      <x:c r="E1686" s="34" t="str">
        <x:v>شبکه‌سازی، افراد و ارتباطات کلیدی</x:v>
      </x:c>
      <x:c r="F1686" s="34" t="str">
        <x:v>BANK</x:v>
      </x:c>
      <x:c r="G1686" s="34" t="str">
        <x:v>مطالعه/منبع</x:v>
      </x:c>
      <x:c r="H1686" s="39" t="str">
        <x:v>آقای مفتاح</x:v>
      </x:c>
      <x:c r="I1686" s="39" t="str">
        <x:v>بانک مطالعه؛ سقف زمانی</x:v>
      </x:c>
      <x:c r="J1686" s="39" t="str">
        <x:v>استراتژیست شبکه و ذی‌نفعان</x:v>
      </x:c>
      <x:c r="K1686" s="39" t="str"/>
      <x:c r="L1686" s="39" t="str">
        <x:v>AP:P289</x:v>
      </x:c>
      <x:c r="M1686" s="39" t="str"/>
      <x:c r="N1686" s="39" t="str">
        <x:v>نسخه پایه ۳۱۵۰</x:v>
      </x:c>
    </x:row>
    <x:row r="1687" ht="34" customHeight="1">
      <x:c r="A1687" s="34" t="str">
        <x:v>☐</x:v>
      </x:c>
      <x:c r="B1687" s="34" t="str">
        <x:v>MI-0508</x:v>
      </x:c>
      <x:c r="C1687" s="34" t="str">
        <x:v>M3 — کسب‌وکار، شبکه و زیست‌بوم نوآوری</x:v>
      </x:c>
      <x:c r="D1687" s="34" t="str">
        <x:v>H14</x:v>
      </x:c>
      <x:c r="E1687" s="34" t="str">
        <x:v>شبکه‌سازی، افراد و ارتباطات کلیدی</x:v>
      </x:c>
      <x:c r="F1687" s="34" t="str">
        <x:v>BANK</x:v>
      </x:c>
      <x:c r="G1687" s="34" t="str">
        <x:v>مطالعه/منبع</x:v>
      </x:c>
      <x:c r="H1687" s="39" t="str">
        <x:v>مصاحبه مرکز اسناد انقلاب اسلامی - دکتر نمازی</x:v>
      </x:c>
      <x:c r="I1687" s="39" t="str">
        <x:v>بانک مطالعه؛ سقف زمانی</x:v>
      </x:c>
      <x:c r="J1687" s="39" t="str">
        <x:v>استراتژیست شبکه و ذی‌نفعان</x:v>
      </x:c>
      <x:c r="K1687" s="39" t="str"/>
      <x:c r="L1687" s="39" t="str">
        <x:v>AP:P294</x:v>
      </x:c>
      <x:c r="M1687" s="39" t="str"/>
      <x:c r="N1687" s="39" t="str">
        <x:v>نسخه پایه ۳۱۵۰</x:v>
      </x:c>
    </x:row>
    <x:row r="1688" ht="34" customHeight="1">
      <x:c r="A1688" s="34" t="str">
        <x:v>☐</x:v>
      </x:c>
      <x:c r="B1688" s="34" t="str">
        <x:v>MI-0510</x:v>
      </x:c>
      <x:c r="C1688" s="34" t="str">
        <x:v>M3 — کسب‌وکار، شبکه و زیست‌بوم نوآوری</x:v>
      </x:c>
      <x:c r="D1688" s="34" t="str">
        <x:v>H14</x:v>
      </x:c>
      <x:c r="E1688" s="34" t="str">
        <x:v>شبکه‌سازی، افراد و ارتباطات کلیدی</x:v>
      </x:c>
      <x:c r="F1688" s="34" t="str">
        <x:v>BANK</x:v>
      </x:c>
      <x:c r="G1688" s="34" t="str">
        <x:v>مطالعه/منبع</x:v>
      </x:c>
      <x:c r="H1688" s="39" t="str">
        <x:v>صفر تا صد ریاست دکتر خاتمی</x:v>
      </x:c>
      <x:c r="I1688" s="39" t="str">
        <x:v>بانک مطالعه؛ سقف زمانی</x:v>
      </x:c>
      <x:c r="J1688" s="39" t="str">
        <x:v>استراتژیست شبکه و ذی‌نفعان</x:v>
      </x:c>
      <x:c r="K1688" s="39" t="str"/>
      <x:c r="L1688" s="39" t="str">
        <x:v>AP:P296</x:v>
      </x:c>
      <x:c r="M1688" s="39" t="str"/>
      <x:c r="N1688" s="39" t="str">
        <x:v>نسخه پایه ۳۱۵۰</x:v>
      </x:c>
    </x:row>
    <x:row r="1689" ht="34" customHeight="1">
      <x:c r="A1689" s="34" t="str">
        <x:v>☐</x:v>
      </x:c>
      <x:c r="B1689" s="34" t="str">
        <x:v>MI-0512</x:v>
      </x:c>
      <x:c r="C1689" s="34" t="str">
        <x:v>M3 — کسب‌وکار، شبکه و زیست‌بوم نوآوری</x:v>
      </x:c>
      <x:c r="D1689" s="34" t="str">
        <x:v>H14</x:v>
      </x:c>
      <x:c r="E1689" s="34" t="str">
        <x:v>شبکه‌سازی، افراد و ارتباطات کلیدی</x:v>
      </x:c>
      <x:c r="F1689" s="34" t="str">
        <x:v>BANK</x:v>
      </x:c>
      <x:c r="G1689" s="34" t="str">
        <x:v>مطالعه/منبع</x:v>
      </x:c>
      <x:c r="H1689" s="39" t="str">
        <x:v>آقای آشنا معاون وزارت اطلاعات</x:v>
      </x:c>
      <x:c r="I1689" s="39" t="str">
        <x:v>بانک مطالعه؛ سقف زمانی</x:v>
      </x:c>
      <x:c r="J1689" s="39" t="str">
        <x:v>استراتژیست شبکه و ذی‌نفعان</x:v>
      </x:c>
      <x:c r="K1689" s="39" t="str"/>
      <x:c r="L1689" s="39" t="str">
        <x:v>AP:P298</x:v>
      </x:c>
      <x:c r="M1689" s="39" t="str"/>
      <x:c r="N1689" s="39" t="str">
        <x:v>نسخه پایه ۳۱۵۰</x:v>
      </x:c>
    </x:row>
    <x:row r="1690" ht="34" customHeight="1">
      <x:c r="A1690" s="34" t="str">
        <x:v>☐</x:v>
      </x:c>
      <x:c r="B1690" s="34" t="str">
        <x:v>MI-0520</x:v>
      </x:c>
      <x:c r="C1690" s="34" t="str">
        <x:v>M3 — کسب‌وکار، شبکه و زیست‌بوم نوآوری</x:v>
      </x:c>
      <x:c r="D1690" s="34" t="str">
        <x:v>H14</x:v>
      </x:c>
      <x:c r="E1690" s="34" t="str">
        <x:v>شبکه‌سازی، افراد و ارتباطات کلیدی</x:v>
      </x:c>
      <x:c r="F1690" s="34" t="str">
        <x:v>BANK</x:v>
      </x:c>
      <x:c r="G1690" s="34" t="str">
        <x:v>مطالعه/منبع</x:v>
      </x:c>
      <x:c r="H1690" s="39" t="str">
        <x:v>خانم منصوری و آقای تاجزاده</x:v>
      </x:c>
      <x:c r="I1690" s="39" t="str">
        <x:v>بانک مطالعه؛ سقف زمانی</x:v>
      </x:c>
      <x:c r="J1690" s="39" t="str">
        <x:v>استراتژیست شبکه و ذی‌نفعان</x:v>
      </x:c>
      <x:c r="K1690" s="39" t="str"/>
      <x:c r="L1690" s="39" t="str">
        <x:v>AP:P306</x:v>
      </x:c>
      <x:c r="M1690" s="39" t="str"/>
      <x:c r="N1690" s="39" t="str">
        <x:v>نسخه پایه ۳۱۵۰</x:v>
      </x:c>
    </x:row>
    <x:row r="1691" ht="34" customHeight="1">
      <x:c r="A1691" s="34" t="str">
        <x:v>☐</x:v>
      </x:c>
      <x:c r="B1691" s="34" t="str">
        <x:v>MI-0844</x:v>
      </x:c>
      <x:c r="C1691" s="34" t="str">
        <x:v>M3 — کسب‌وکار، شبکه و زیست‌بوم نوآوری</x:v>
      </x:c>
      <x:c r="D1691" s="34" t="str">
        <x:v>H14</x:v>
      </x:c>
      <x:c r="E1691" s="34" t="str">
        <x:v>شبکه‌سازی، افراد و ارتباطات کلیدی</x:v>
      </x:c>
      <x:c r="F1691" s="34" t="str">
        <x:v>BANK</x:v>
      </x:c>
      <x:c r="G1691" s="34" t="str">
        <x:v>مطالعه/منبع</x:v>
      </x:c>
      <x:c r="H1691" s="39" t="str">
        <x:v>ارتباط با بخش های مختلف دانشگاه و اگر جوابگو نبودن در این لحظه تیکت ثبت کنن</x:v>
      </x:c>
      <x:c r="I1691" s="39" t="str">
        <x:v>بانک مطالعه؛ سقف زمانی</x:v>
      </x:c>
      <x:c r="J1691" s="39" t="str">
        <x:v>استراتژیست شبکه و ذی‌نفعان</x:v>
      </x:c>
      <x:c r="K1691" s="39" t="str"/>
      <x:c r="L1691" s="39" t="str">
        <x:v>AP:P648</x:v>
      </x:c>
      <x:c r="M1691" s="39" t="str"/>
      <x:c r="N1691" s="39" t="str">
        <x:v>نسخه پایه ۳۱۵۰</x:v>
      </x:c>
    </x:row>
    <x:row r="1692" ht="34" customHeight="1">
      <x:c r="A1692" s="34" t="str">
        <x:v>☐</x:v>
      </x:c>
      <x:c r="B1692" s="34" t="str">
        <x:v>MI-3115</x:v>
      </x:c>
      <x:c r="C1692" s="34" t="str">
        <x:v>M3 — کسب‌وکار، شبکه و زیست‌بوم نوآوری</x:v>
      </x:c>
      <x:c r="D1692" s="34" t="str">
        <x:v>H14</x:v>
      </x:c>
      <x:c r="E1692" s="34" t="str">
        <x:v>شبکه‌سازی، افراد و ارتباطات کلیدی</x:v>
      </x:c>
      <x:c r="F1692" s="34" t="str">
        <x:v>BANK</x:v>
      </x:c>
      <x:c r="G1692" s="34" t="str">
        <x:v>مطالعه/منبع</x:v>
      </x:c>
      <x:c r="H1692" s="39" t="str">
        <x:v>بگم اگر میتونی قوی باشی ، دغدغه مند باشی ، اینده نگر باشی ، خیلی زحمت باید بکشی ، دقیق بشی، اصول T shape و pi shape و M shape رو رعایت کنی که توی خیلی موضعات جنرال باش ولی توی یه زمینه متخصص شو ، خیلی ترکوندی توی دو تا زمینه، دیگه خیلی پروفسور بودی سه تا زمینه تخصص مطالعه بسیار زیاد ، ارتباط قوی با افراد و لینک های قوی، اینده مالی و معنوی و ابعادی که میخوای توی زندگیت داشته باشی رو اولش تصور کن با این سبک زندگی میخونه یا نه.</x:v>
      </x:c>
      <x:c r="I1692" s="39" t="str">
        <x:v>بانک مطالعه؛ سقف زمانی</x:v>
      </x:c>
      <x:c r="J1692" s="39" t="str">
        <x:v>استراتژیست شبکه و ذی‌نفعان</x:v>
      </x:c>
      <x:c r="K1692" s="39" t="str"/>
      <x:c r="L1692" s="39" t="str">
        <x:v>INT:T38 R2</x:v>
      </x:c>
      <x:c r="M1692" s="39" t="str"/>
      <x:c r="N1692" s="39" t="str">
        <x:v>نسخه پایه ۳۱۵۰</x:v>
      </x:c>
    </x:row>
    <x:row r="1693" ht="34" customHeight="1">
      <x:c r="A1693" s="34" t="str">
        <x:v>☐</x:v>
      </x:c>
      <x:c r="B1693" s="34" t="str">
        <x:v>MI-0081</x:v>
      </x:c>
      <x:c r="C1693" s="34" t="str">
        <x:v>M3 — کسب‌وکار، شبکه و زیست‌بوم نوآوری</x:v>
      </x:c>
      <x:c r="D1693" s="34" t="str">
        <x:v>H14</x:v>
      </x:c>
      <x:c r="E1693" s="34" t="str">
        <x:v>شبکه‌سازی، افراد و ارتباطات کلیدی</x:v>
      </x:c>
      <x:c r="F1693" s="34" t="str">
        <x:v>P3</x:v>
      </x:c>
      <x:c r="G1693" s="34" t="str">
        <x:v>اقدام اجرایی</x:v>
      </x:c>
      <x:c r="H1693" s="39" t="str">
        <x:v>پیگیری ارتباط با صنعت دانشگاه نوشیروانی</x:v>
      </x:c>
      <x:c r="I1693" s="39" t="str">
        <x:v>زمان‌بندی محدود/شبکه‌ای</x:v>
      </x:c>
      <x:c r="J1693" s="39" t="str">
        <x:v>استراتژیست شبکه و ذی‌نفعان</x:v>
      </x:c>
      <x:c r="K1693" s="39" t="str"/>
      <x:c r="L1693" s="39" t="str">
        <x:v>PL:R82</x:v>
      </x:c>
      <x:c r="M1693" s="39" t="str"/>
      <x:c r="N1693" s="39" t="str">
        <x:v>نسخه پایه ۳۱۵۰</x:v>
      </x:c>
    </x:row>
    <x:row r="1694" ht="34" customHeight="1">
      <x:c r="A1694" s="34" t="str">
        <x:v>☐</x:v>
      </x:c>
      <x:c r="B1694" s="34" t="str">
        <x:v>MI-0274</x:v>
      </x:c>
      <x:c r="C1694" s="34" t="str">
        <x:v>M3 — کسب‌وکار، شبکه و زیست‌بوم نوآوری</x:v>
      </x:c>
      <x:c r="D1694" s="34" t="str">
        <x:v>H14</x:v>
      </x:c>
      <x:c r="E1694" s="34" t="str">
        <x:v>شبکه‌سازی، افراد و ارتباطات کلیدی</x:v>
      </x:c>
      <x:c r="F1694" s="34" t="str">
        <x:v>P3</x:v>
      </x:c>
      <x:c r="G1694" s="34" t="str">
        <x:v>اقدام اجرایی</x:v>
      </x:c>
      <x:c r="H1694" s="39" t="str">
        <x:v>صحبت با تمامی انجمن ها برای این موضوع</x:v>
      </x:c>
      <x:c r="I1694" s="39" t="str">
        <x:v>زمان‌بندی محدود/شبکه‌ای</x:v>
      </x:c>
      <x:c r="J1694" s="39" t="str">
        <x:v>استراتژیست شبکه و ذی‌نفعان</x:v>
      </x:c>
      <x:c r="K1694" s="39" t="str"/>
      <x:c r="L1694" s="39" t="str">
        <x:v>AP:P45</x:v>
      </x:c>
      <x:c r="M1694" s="39" t="str"/>
      <x:c r="N1694" s="39" t="str">
        <x:v>نسخه پایه ۳۱۵۰</x:v>
      </x:c>
    </x:row>
    <x:row r="1695" ht="34" customHeight="1">
      <x:c r="A1695" s="34" t="str">
        <x:v>☐</x:v>
      </x:c>
      <x:c r="B1695" s="34" t="str">
        <x:v>MI-0279</x:v>
      </x:c>
      <x:c r="C1695" s="34" t="str">
        <x:v>M3 — کسب‌وکار، شبکه و زیست‌بوم نوآوری</x:v>
      </x:c>
      <x:c r="D1695" s="34" t="str">
        <x:v>H14</x:v>
      </x:c>
      <x:c r="E1695" s="34" t="str">
        <x:v>شبکه‌سازی، افراد و ارتباطات کلیدی</x:v>
      </x:c>
      <x:c r="F1695" s="34" t="str">
        <x:v>P3</x:v>
      </x:c>
      <x:c r="G1695" s="34" t="str">
        <x:v>اقدام اجرایی</x:v>
      </x:c>
      <x:c r="H1695" s="39" t="str">
        <x:v>جلسه با سراج - شروع - رشد - بعضی انجمن ها</x:v>
      </x:c>
      <x:c r="I1695" s="39" t="str">
        <x:v>زمان‌بندی محدود/شبکه‌ای</x:v>
      </x:c>
      <x:c r="J1695" s="39" t="str">
        <x:v>استراتژیست شبکه و ذی‌نفعان</x:v>
      </x:c>
      <x:c r="K1695" s="39" t="str"/>
      <x:c r="L1695" s="39" t="str">
        <x:v>AP:P50</x:v>
      </x:c>
      <x:c r="M1695" s="39" t="str"/>
      <x:c r="N1695" s="39" t="str">
        <x:v>نسخه پایه ۳۱۵۰</x:v>
      </x:c>
    </x:row>
    <x:row r="1696" ht="34" customHeight="1">
      <x:c r="A1696" s="34" t="str">
        <x:v>☐</x:v>
      </x:c>
      <x:c r="B1696" s="34" t="str">
        <x:v>MI-0655</x:v>
      </x:c>
      <x:c r="C1696" s="34" t="str">
        <x:v>M3 — کسب‌وکار، شبکه و زیست‌بوم نوآوری</x:v>
      </x:c>
      <x:c r="D1696" s="34" t="str">
        <x:v>H14</x:v>
      </x:c>
      <x:c r="E1696" s="34" t="str">
        <x:v>شبکه‌سازی، افراد و ارتباطات کلیدی</x:v>
      </x:c>
      <x:c r="F1696" s="34" t="str">
        <x:v>P3</x:v>
      </x:c>
      <x:c r="G1696" s="34" t="str">
        <x:v>اقدام اجرایی</x:v>
      </x:c>
      <x:c r="H1696" s="39" t="str">
        <x:v>دکتر موذن ما رو به وعده ناهار ده 15 نفره دعوت کردن و گفتگو</x:v>
      </x:c>
      <x:c r="I1696" s="39" t="str">
        <x:v>زمان‌بندی محدود/شبکه‌ای</x:v>
      </x:c>
      <x:c r="J1696" s="39" t="str">
        <x:v>استراتژیست شبکه و ذی‌نفعان</x:v>
      </x:c>
      <x:c r="K1696" s="39" t="str"/>
      <x:c r="L1696" s="39" t="str">
        <x:v>AP:P443</x:v>
      </x:c>
      <x:c r="M1696" s="39" t="str"/>
      <x:c r="N1696" s="39" t="str">
        <x:v>نسخه پایه ۳۱۵۰</x:v>
      </x:c>
    </x:row>
    <x:row r="1697" ht="34" customHeight="1">
      <x:c r="A1697" s="34" t="str">
        <x:v>☐</x:v>
      </x:c>
      <x:c r="B1697" s="34" t="str">
        <x:v>MI-0665</x:v>
      </x:c>
      <x:c r="C1697" s="34" t="str">
        <x:v>M3 — کسب‌وکار، شبکه و زیست‌بوم نوآوری</x:v>
      </x:c>
      <x:c r="D1697" s="34" t="str">
        <x:v>H14</x:v>
      </x:c>
      <x:c r="E1697" s="34" t="str">
        <x:v>شبکه‌سازی، افراد و ارتباطات کلیدی</x:v>
      </x:c>
      <x:c r="F1697" s="34" t="str">
        <x:v>P3</x:v>
      </x:c>
      <x:c r="G1697" s="34" t="str">
        <x:v>اقدام اجرایی</x:v>
      </x:c>
      <x:c r="H1697" s="39" t="str">
        <x:v>جلسه با ستاد علمی ساری</x:v>
      </x:c>
      <x:c r="I1697" s="39" t="str">
        <x:v>زمان‌بندی محدود/شبکه‌ای</x:v>
      </x:c>
      <x:c r="J1697" s="39" t="str">
        <x:v>استراتژیست شبکه و ذی‌نفعان</x:v>
      </x:c>
      <x:c r="K1697" s="39" t="str"/>
      <x:c r="L1697" s="39" t="str">
        <x:v>AP:P454</x:v>
      </x:c>
      <x:c r="M1697" s="39" t="str"/>
      <x:c r="N1697" s="39" t="str">
        <x:v>نسخه پایه ۳۱۵۰</x:v>
      </x:c>
    </x:row>
    <x:row r="1698" ht="34" customHeight="1">
      <x:c r="A1698" s="34" t="str">
        <x:v>☐</x:v>
      </x:c>
      <x:c r="B1698" s="34" t="str">
        <x:v>MI-1010</x:v>
      </x:c>
      <x:c r="C1698" s="34" t="str">
        <x:v>M3 — کسب‌وکار، شبکه و زیست‌بوم نوآوری</x:v>
      </x:c>
      <x:c r="D1698" s="34" t="str">
        <x:v>H14</x:v>
      </x:c>
      <x:c r="E1698" s="34" t="str">
        <x:v>شبکه‌سازی، افراد و ارتباطات کلیدی</x:v>
      </x:c>
      <x:c r="F1698" s="34" t="str">
        <x:v>P3</x:v>
      </x:c>
      <x:c r="G1698" s="34" t="str">
        <x:v>اقدام اجرایی</x:v>
      </x:c>
      <x:c r="H1698" s="39" t="str">
        <x:v>جلسه با دکتر عمادی</x:v>
      </x:c>
      <x:c r="I1698" s="39" t="str">
        <x:v>زمان‌بندی محدود/شبکه‌ای</x:v>
      </x:c>
      <x:c r="J1698" s="39" t="str">
        <x:v>استراتژیست شبکه و ذی‌نفعان</x:v>
      </x:c>
      <x:c r="K1698" s="39" t="str"/>
      <x:c r="L1698" s="39" t="str">
        <x:v>AP:P843</x:v>
      </x:c>
      <x:c r="M1698" s="39" t="str"/>
      <x:c r="N1698" s="39" t="str">
        <x:v>نسخه پایه ۳۱۵۰</x:v>
      </x:c>
    </x:row>
    <x:row r="1699" ht="34" customHeight="1">
      <x:c r="A1699" s="34" t="str">
        <x:v>☐</x:v>
      </x:c>
      <x:c r="B1699" s="34" t="str">
        <x:v>MI-1018</x:v>
      </x:c>
      <x:c r="C1699" s="34" t="str">
        <x:v>M3 — کسب‌وکار، شبکه و زیست‌بوم نوآوری</x:v>
      </x:c>
      <x:c r="D1699" s="34" t="str">
        <x:v>H14</x:v>
      </x:c>
      <x:c r="E1699" s="34" t="str">
        <x:v>شبکه‌سازی، افراد و ارتباطات کلیدی</x:v>
      </x:c>
      <x:c r="F1699" s="34" t="str">
        <x:v>P3</x:v>
      </x:c>
      <x:c r="G1699" s="34" t="str">
        <x:v>اقدام اجرایی</x:v>
      </x:c>
      <x:c r="H1699" s="39" t="str">
        <x:v>تفاهم نامه صنفی انجمن ها</x:v>
      </x:c>
      <x:c r="I1699" s="39" t="str">
        <x:v>زمان‌بندی محدود/شبکه‌ای</x:v>
      </x:c>
      <x:c r="J1699" s="39" t="str">
        <x:v>استراتژیست شبکه و ذی‌نفعان</x:v>
      </x:c>
      <x:c r="K1699" s="39" t="str"/>
      <x:c r="L1699" s="39" t="str">
        <x:v>AP:P855</x:v>
      </x:c>
      <x:c r="M1699" s="39" t="str"/>
      <x:c r="N1699" s="39" t="str">
        <x:v>نسخه پایه ۳۱۵۰</x:v>
      </x:c>
    </x:row>
    <x:row r="1700" ht="34" customHeight="1">
      <x:c r="A1700" s="34" t="str">
        <x:v>☐</x:v>
      </x:c>
      <x:c r="B1700" s="34" t="str">
        <x:v>MI-1019</x:v>
      </x:c>
      <x:c r="C1700" s="34" t="str">
        <x:v>M3 — کسب‌وکار، شبکه و زیست‌بوم نوآوری</x:v>
      </x:c>
      <x:c r="D1700" s="34" t="str">
        <x:v>H14</x:v>
      </x:c>
      <x:c r="E1700" s="34" t="str">
        <x:v>شبکه‌سازی، افراد و ارتباطات کلیدی</x:v>
      </x:c>
      <x:c r="F1700" s="34" t="str">
        <x:v>P3</x:v>
      </x:c>
      <x:c r="G1700" s="34" t="str">
        <x:v>اقدام اجرایی</x:v>
      </x:c>
      <x:c r="H1700" s="39" t="str">
        <x:v>بررسی با همه انجمن ها</x:v>
      </x:c>
      <x:c r="I1700" s="39" t="str">
        <x:v>زمان‌بندی محدود/شبکه‌ای</x:v>
      </x:c>
      <x:c r="J1700" s="39" t="str">
        <x:v>استراتژیست شبکه و ذی‌نفعان</x:v>
      </x:c>
      <x:c r="K1700" s="39" t="str"/>
      <x:c r="L1700" s="39" t="str">
        <x:v>AP:P856</x:v>
      </x:c>
      <x:c r="M1700" s="39" t="str"/>
      <x:c r="N1700" s="39" t="str">
        <x:v>نسخه پایه ۳۱۵۰</x:v>
      </x:c>
    </x:row>
    <x:row r="1701" ht="34" customHeight="1">
      <x:c r="A1701" s="34" t="str">
        <x:v>☐</x:v>
      </x:c>
      <x:c r="B1701" s="34" t="str">
        <x:v>MI-1021</x:v>
      </x:c>
      <x:c r="C1701" s="34" t="str">
        <x:v>M3 — کسب‌وکار، شبکه و زیست‌بوم نوآوری</x:v>
      </x:c>
      <x:c r="D1701" s="34" t="str">
        <x:v>H14</x:v>
      </x:c>
      <x:c r="E1701" s="34" t="str">
        <x:v>شبکه‌سازی، افراد و ارتباطات کلیدی</x:v>
      </x:c>
      <x:c r="F1701" s="34" t="str">
        <x:v>P3</x:v>
      </x:c>
      <x:c r="G1701" s="34" t="str">
        <x:v>اقدام اجرایی</x:v>
      </x:c>
      <x:c r="H1701" s="39" t="str">
        <x:v>جلسه با مسیولین مربوطه جهت تهیه آمار رسمی از اقلام موجود ، نیازمند به تعمیر ، نیازمند به تهیه در پروسه های زمانی مختلف بر حسب اولویت بندی</x:v>
      </x:c>
      <x:c r="I1701" s="39" t="str">
        <x:v>زمان‌بندی محدود/شبکه‌ای</x:v>
      </x:c>
      <x:c r="J1701" s="39" t="str">
        <x:v>استراتژیست شبکه و ذی‌نفعان</x:v>
      </x:c>
      <x:c r="K1701" s="39" t="str"/>
      <x:c r="L1701" s="39" t="str">
        <x:v>AP:P859</x:v>
      </x:c>
      <x:c r="M1701" s="39" t="str"/>
      <x:c r="N1701" s="39" t="str">
        <x:v>نسخه پایه ۳۱۵۰</x:v>
      </x:c>
    </x:row>
    <x:row r="1702" ht="34" customHeight="1">
      <x:c r="A1702" s="34" t="str">
        <x:v>☐</x:v>
      </x:c>
      <x:c r="B1702" s="34" t="str">
        <x:v>MI-1095</x:v>
      </x:c>
      <x:c r="C1702" s="34" t="str">
        <x:v>M3 — کسب‌وکار، شبکه و زیست‌بوم نوآوری</x:v>
      </x:c>
      <x:c r="D1702" s="34" t="str">
        <x:v>H14</x:v>
      </x:c>
      <x:c r="E1702" s="34" t="str">
        <x:v>شبکه‌سازی، افراد و ارتباطات کلیدی</x:v>
      </x:c>
      <x:c r="F1702" s="34" t="str">
        <x:v>P3</x:v>
      </x:c>
      <x:c r="G1702" s="34" t="str">
        <x:v>اقدام اجرایی</x:v>
      </x:c>
      <x:c r="H1702" s="39" t="str">
        <x:v>پرسیدن دستور کار جلسه یا همنشینی</x:v>
      </x:c>
      <x:c r="I1702" s="39" t="str">
        <x:v>زمان‌بندی محدود/شبکه‌ای</x:v>
      </x:c>
      <x:c r="J1702" s="39" t="str">
        <x:v>استراتژیست شبکه و ذی‌نفعان</x:v>
      </x:c>
      <x:c r="K1702" s="39" t="str"/>
      <x:c r="L1702" s="39" t="str">
        <x:v>AP:P942</x:v>
      </x:c>
      <x:c r="M1702" s="39" t="str"/>
      <x:c r="N1702" s="39" t="str">
        <x:v>نسخه پایه ۳۱۵۰</x:v>
      </x:c>
    </x:row>
    <x:row r="1703" ht="34" customHeight="1">
      <x:c r="A1703" s="34" t="str">
        <x:v>☐</x:v>
      </x:c>
      <x:c r="B1703" s="34" t="str">
        <x:v>MI-1096</x:v>
      </x:c>
      <x:c r="C1703" s="34" t="str">
        <x:v>M3 — کسب‌وکار، شبکه و زیست‌بوم نوآوری</x:v>
      </x:c>
      <x:c r="D1703" s="34" t="str">
        <x:v>H14</x:v>
      </x:c>
      <x:c r="E1703" s="34" t="str">
        <x:v>شبکه‌سازی، افراد و ارتباطات کلیدی</x:v>
      </x:c>
      <x:c r="F1703" s="34" t="str">
        <x:v>P3</x:v>
      </x:c>
      <x:c r="G1703" s="34" t="str">
        <x:v>اقدام اجرایی</x:v>
      </x:c>
      <x:c r="H1703" s="39" t="str">
        <x:v>پدر رستمی و برگزاری کارگاه</x:v>
      </x:c>
      <x:c r="I1703" s="39" t="str">
        <x:v>زمان‌بندی محدود/شبکه‌ای</x:v>
      </x:c>
      <x:c r="J1703" s="39" t="str">
        <x:v>استراتژیست شبکه و ذی‌نفعان</x:v>
      </x:c>
      <x:c r="K1703" s="39" t="str"/>
      <x:c r="L1703" s="39" t="str">
        <x:v>AP:P943</x:v>
      </x:c>
      <x:c r="M1703" s="39" t="str"/>
      <x:c r="N1703" s="39" t="str">
        <x:v>نسخه پایه ۳۱۵۰</x:v>
      </x:c>
    </x:row>
    <x:row r="1704" ht="34" customHeight="1">
      <x:c r="A1704" s="34" t="str">
        <x:v>☐</x:v>
      </x:c>
      <x:c r="B1704" s="34" t="str">
        <x:v>MI-1125</x:v>
      </x:c>
      <x:c r="C1704" s="34" t="str">
        <x:v>M3 — کسب‌وکار، شبکه و زیست‌بوم نوآوری</x:v>
      </x:c>
      <x:c r="D1704" s="34" t="str">
        <x:v>H14</x:v>
      </x:c>
      <x:c r="E1704" s="34" t="str">
        <x:v>شبکه‌سازی، افراد و ارتباطات کلیدی</x:v>
      </x:c>
      <x:c r="F1704" s="34" t="str">
        <x:v>P3</x:v>
      </x:c>
      <x:c r="G1704" s="34" t="str">
        <x:v>اقدام اجرایی</x:v>
      </x:c>
      <x:c r="H1704" s="39" t="str">
        <x:v>ارتباط با قاسمی، جلسه با هییات استان</x:v>
      </x:c>
      <x:c r="I1704" s="39" t="str">
        <x:v>زمان‌بندی محدود/شبکه‌ای</x:v>
      </x:c>
      <x:c r="J1704" s="39" t="str">
        <x:v>استراتژیست شبکه و ذی‌نفعان</x:v>
      </x:c>
      <x:c r="K1704" s="39" t="str"/>
      <x:c r="L1704" s="39" t="str">
        <x:v>AP:P973</x:v>
      </x:c>
      <x:c r="M1704" s="39" t="str"/>
      <x:c r="N1704" s="39" t="str">
        <x:v>نسخه پایه ۳۱۵۰</x:v>
      </x:c>
    </x:row>
    <x:row r="1705" ht="34" customHeight="1">
      <x:c r="A1705" s="34" t="str">
        <x:v>☐</x:v>
      </x:c>
      <x:c r="B1705" s="34" t="str">
        <x:v>MI-1191</x:v>
      </x:c>
      <x:c r="C1705" s="34" t="str">
        <x:v>M3 — کسب‌وکار، شبکه و زیست‌بوم نوآوری</x:v>
      </x:c>
      <x:c r="D1705" s="34" t="str">
        <x:v>H14</x:v>
      </x:c>
      <x:c r="E1705" s="34" t="str">
        <x:v>شبکه‌سازی، افراد و ارتباطات کلیدی</x:v>
      </x:c>
      <x:c r="F1705" s="34" t="str">
        <x:v>P3</x:v>
      </x:c>
      <x:c r="G1705" s="34" t="str">
        <x:v>اقدام اجرایی</x:v>
      </x:c>
      <x:c r="H1705" s="39" t="str">
        <x:v>برنامه صحبت با کاندیداهای صنفی و گرفتن کمک از آنها</x:v>
      </x:c>
      <x:c r="I1705" s="39" t="str">
        <x:v>زمان‌بندی محدود/شبکه‌ای</x:v>
      </x:c>
      <x:c r="J1705" s="39" t="str">
        <x:v>استراتژیست شبکه و ذی‌نفعان</x:v>
      </x:c>
      <x:c r="K1705" s="39" t="str"/>
      <x:c r="L1705" s="39" t="str">
        <x:v>AP:P1046</x:v>
      </x:c>
      <x:c r="M1705" s="39" t="str"/>
      <x:c r="N1705" s="39" t="str">
        <x:v>نسخه پایه ۳۱۵۰</x:v>
      </x:c>
    </x:row>
    <x:row r="1706" ht="34" customHeight="1">
      <x:c r="A1706" s="34" t="str">
        <x:v>☐</x:v>
      </x:c>
      <x:c r="B1706" s="34" t="str">
        <x:v>MI-1949</x:v>
      </x:c>
      <x:c r="C1706" s="34" t="str">
        <x:v>M3 — کسب‌وکار، شبکه و زیست‌بوم نوآوری</x:v>
      </x:c>
      <x:c r="D1706" s="34" t="str">
        <x:v>H14</x:v>
      </x:c>
      <x:c r="E1706" s="34" t="str">
        <x:v>شبکه‌سازی، افراد و ارتباطات کلیدی</x:v>
      </x:c>
      <x:c r="F1706" s="34" t="str">
        <x:v>P3</x:v>
      </x:c>
      <x:c r="G1706" s="34" t="str">
        <x:v>اقدام اجرایی</x:v>
      </x:c>
      <x:c r="H1706" s="39" t="str">
        <x:v>شبکه برنامه نویسان</x:v>
      </x:c>
      <x:c r="I1706" s="39" t="str">
        <x:v>زمان‌بندی محدود/شبکه‌ای</x:v>
      </x:c>
      <x:c r="J1706" s="39" t="str">
        <x:v>استراتژیست شبکه و ذی‌نفعان</x:v>
      </x:c>
      <x:c r="K1706" s="39" t="str"/>
      <x:c r="L1706" s="39" t="str">
        <x:v>E112:P564</x:v>
      </x:c>
      <x:c r="M1706" s="39" t="str"/>
      <x:c r="N1706" s="39" t="str">
        <x:v>نسخه پایه ۳۱۵۰</x:v>
      </x:c>
    </x:row>
    <x:row r="1707" ht="34" customHeight="1">
      <x:c r="A1707" s="34" t="str">
        <x:v>☐</x:v>
      </x:c>
      <x:c r="B1707" s="34" t="str">
        <x:v>MI-2481</x:v>
      </x:c>
      <x:c r="C1707" s="34" t="str">
        <x:v>M3 — کسب‌وکار، شبکه و زیست‌بوم نوآوری</x:v>
      </x:c>
      <x:c r="D1707" s="34" t="str">
        <x:v>H14</x:v>
      </x:c>
      <x:c r="E1707" s="34" t="str">
        <x:v>شبکه‌سازی، افراد و ارتباطات کلیدی</x:v>
      </x:c>
      <x:c r="F1707" s="34" t="str">
        <x:v>P3</x:v>
      </x:c>
      <x:c r="G1707" s="34" t="str">
        <x:v>اقدام اجرایی</x:v>
      </x:c>
      <x:c r="H1707" s="39" t="str">
        <x:v>ثبت افراد</x:v>
      </x:c>
      <x:c r="I1707" s="39" t="str">
        <x:v>زمان‌بندی محدود/شبکه‌ای</x:v>
      </x:c>
      <x:c r="J1707" s="39" t="str">
        <x:v>استراتژیست شبکه و ذی‌نفعان</x:v>
      </x:c>
      <x:c r="K1707" s="39" t="str"/>
      <x:c r="L1707" s="39" t="str">
        <x:v>E112:P1974؛ E112:P2955</x:v>
      </x:c>
      <x:c r="M1707" s="39" t="str"/>
      <x:c r="N1707" s="39" t="str">
        <x:v>نسخه پایه ۳۱۵۰</x:v>
      </x:c>
    </x:row>
    <x:row r="1708" ht="34" customHeight="1">
      <x:c r="A1708" s="34" t="str">
        <x:v>☐</x:v>
      </x:c>
      <x:c r="B1708" s="34" t="str">
        <x:v>MI-2486</x:v>
      </x:c>
      <x:c r="C1708" s="34" t="str">
        <x:v>M3 — کسب‌وکار، شبکه و زیست‌بوم نوآوری</x:v>
      </x:c>
      <x:c r="D1708" s="34" t="str">
        <x:v>H14</x:v>
      </x:c>
      <x:c r="E1708" s="34" t="str">
        <x:v>شبکه‌سازی، افراد و ارتباطات کلیدی</x:v>
      </x:c>
      <x:c r="F1708" s="34" t="str">
        <x:v>P3</x:v>
      </x:c>
      <x:c r="G1708" s="34" t="str">
        <x:v>اقدام اجرایی</x:v>
      </x:c>
      <x:c r="H1708" s="39" t="str">
        <x:v>ثبت مسیر پیشرفت افراد</x:v>
      </x:c>
      <x:c r="I1708" s="39" t="str">
        <x:v>زمان‌بندی محدود/شبکه‌ای</x:v>
      </x:c>
      <x:c r="J1708" s="39" t="str">
        <x:v>استراتژیست شبکه و ذی‌نفعان</x:v>
      </x:c>
      <x:c r="K1708" s="39" t="str"/>
      <x:c r="L1708" s="39" t="str">
        <x:v>E112:P1979؛ E112:P2497</x:v>
      </x:c>
      <x:c r="M1708" s="39" t="str"/>
      <x:c r="N1708" s="39" t="str">
        <x:v>نسخه پایه ۳۱۵۰</x:v>
      </x:c>
    </x:row>
    <x:row r="1709" ht="34" customHeight="1">
      <x:c r="A1709" s="34" t="str">
        <x:v>☐</x:v>
      </x:c>
      <x:c r="B1709" s="34" t="str">
        <x:v>MI-2632</x:v>
      </x:c>
      <x:c r="C1709" s="34" t="str">
        <x:v>M3 — کسب‌وکار، شبکه و زیست‌بوم نوآوری</x:v>
      </x:c>
      <x:c r="D1709" s="34" t="str">
        <x:v>H14</x:v>
      </x:c>
      <x:c r="E1709" s="34" t="str">
        <x:v>شبکه‌سازی، افراد و ارتباطات کلیدی</x:v>
      </x:c>
      <x:c r="F1709" s="34" t="str">
        <x:v>P3</x:v>
      </x:c>
      <x:c r="G1709" s="34" t="str">
        <x:v>اقدام اجرایی</x:v>
      </x:c>
      <x:c r="H1709" s="39" t="str">
        <x:v>ثبت و پایش افراد</x:v>
      </x:c>
      <x:c r="I1709" s="39" t="str">
        <x:v>زمان‌بندی محدود/شبکه‌ای</x:v>
      </x:c>
      <x:c r="J1709" s="39" t="str">
        <x:v>استراتژیست شبکه و ذی‌نفعان</x:v>
      </x:c>
      <x:c r="K1709" s="39" t="str"/>
      <x:c r="L1709" s="39" t="str">
        <x:v>E112:P2489</x:v>
      </x:c>
      <x:c r="M1709" s="39" t="str"/>
      <x:c r="N1709" s="39" t="str">
        <x:v>نسخه پایه ۳۱۵۰</x:v>
      </x:c>
    </x:row>
    <x:row r="1710" ht="34" customHeight="1">
      <x:c r="A1710" s="34" t="str">
        <x:v>☐</x:v>
      </x:c>
      <x:c r="B1710" s="34" t="str">
        <x:v>MI-2809</x:v>
      </x:c>
      <x:c r="C1710" s="34" t="str">
        <x:v>M3 — کسب‌وکار، شبکه و زیست‌بوم نوآوری</x:v>
      </x:c>
      <x:c r="D1710" s="34" t="str">
        <x:v>H14</x:v>
      </x:c>
      <x:c r="E1710" s="34" t="str">
        <x:v>شبکه‌سازی، افراد و ارتباطات کلیدی</x:v>
      </x:c>
      <x:c r="F1710" s="34" t="str">
        <x:v>P3</x:v>
      </x:c>
      <x:c r="G1710" s="34" t="str">
        <x:v>اقدام اجرایی</x:v>
      </x:c>
      <x:c r="H1710" s="39" t="str">
        <x:v>ثبت مسیر رشد افراد</x:v>
      </x:c>
      <x:c r="I1710" s="39" t="str">
        <x:v>زمان‌بندی محدود/شبکه‌ای</x:v>
      </x:c>
      <x:c r="J1710" s="39" t="str">
        <x:v>استراتژیست شبکه و ذی‌نفعان</x:v>
      </x:c>
      <x:c r="K1710" s="39" t="str"/>
      <x:c r="L1710" s="39" t="str">
        <x:v>E112:P2960</x:v>
      </x:c>
      <x:c r="M1710" s="39" t="str"/>
      <x:c r="N1710" s="39" t="str">
        <x:v>نسخه پایه ۳۱۵۰</x:v>
      </x:c>
    </x:row>
    <x:row r="1711" ht="34" customHeight="1">
      <x:c r="A1711" s="34" t="str">
        <x:v>☐</x:v>
      </x:c>
      <x:c r="B1711" s="34" t="str">
        <x:v>MI-3065</x:v>
      </x:c>
      <x:c r="C1711" s="34" t="str">
        <x:v>M3 — کسب‌وکار، شبکه و زیست‌بوم نوآوری</x:v>
      </x:c>
      <x:c r="D1711" s="34" t="str">
        <x:v>H14</x:v>
      </x:c>
      <x:c r="E1711" s="34" t="str">
        <x:v>شبکه‌سازی، افراد و ارتباطات کلیدی</x:v>
      </x:c>
      <x:c r="F1711" s="34" t="str">
        <x:v>P3</x:v>
      </x:c>
      <x:c r="G1711" s="34" t="str">
        <x:v>اقدام اجرایی</x:v>
      </x:c>
      <x:c r="H1711" s="39" t="str">
        <x:v>کار روتین – بی برنامه – غیر شفاف بودن هدف انجام کارها در راستای بی برنامگی و هرچه پیش آید خوش آید. – عدم استقبال از ایده ها، زمنیه ابراز اون ها – حقوق – شیوه و شرایط کاری افراد محدودیت داشته باشه. – توجه به هر فرد در هر مقام نه دید از بالا به پایین</x:v>
      </x:c>
      <x:c r="I1711" s="39" t="str">
        <x:v>زمان‌بندی محدود/شبکه‌ای</x:v>
      </x:c>
      <x:c r="J1711" s="39" t="str">
        <x:v>استراتژیست شبکه و ذی‌نفعان</x:v>
      </x:c>
      <x:c r="K1711" s="39" t="str"/>
      <x:c r="L1711" s="39" t="str">
        <x:v>INT:T8 R2</x:v>
      </x:c>
      <x:c r="M1711" s="39" t="str"/>
      <x:c r="N1711" s="39" t="str">
        <x:v>نسخه پایه ۳۱۵۰</x:v>
      </x:c>
    </x:row>
    <x:row r="1712" ht="34" customHeight="1">
      <x:c r="A1712" s="34" t="str">
        <x:v>☐</x:v>
      </x:c>
      <x:c r="B1712" s="34" t="str">
        <x:v>MI-3103</x:v>
      </x:c>
      <x:c r="C1712" s="34" t="str">
        <x:v>M3 — کسب‌وکار، شبکه و زیست‌بوم نوآوری</x:v>
      </x:c>
      <x:c r="D1712" s="34" t="str">
        <x:v>H14</x:v>
      </x:c>
      <x:c r="E1712" s="34" t="str">
        <x:v>شبکه‌سازی، افراد و ارتباطات کلیدی</x:v>
      </x:c>
      <x:c r="F1712" s="34" t="str">
        <x:v>P3</x:v>
      </x:c>
      <x:c r="G1712" s="34" t="str">
        <x:v>اقدام اجرایی</x:v>
      </x:c>
      <x:c r="H1712" s="39"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I1712" s="39" t="str">
        <x:v>زمان‌بندی محدود/شبکه‌ای</x:v>
      </x:c>
      <x:c r="J1712" s="39" t="str">
        <x:v>استراتژیست شبکه و ذی‌نفعان</x:v>
      </x:c>
      <x:c r="K1712" s="39" t="str"/>
      <x:c r="L1712" s="39" t="str">
        <x:v>INT:T32 R2</x:v>
      </x:c>
      <x:c r="M1712" s="39" t="str"/>
      <x:c r="N1712" s="39" t="str">
        <x:v>نسخه پایه ۳۱۵۰</x:v>
      </x:c>
    </x:row>
    <x:row r="1713" ht="34" customHeight="1">
      <x:c r="A1713" s="34" t="str">
        <x:v>☐</x:v>
      </x:c>
      <x:c r="B1713" s="34" t="str">
        <x:v>MI-0689</x:v>
      </x:c>
      <x:c r="C1713" s="34" t="str">
        <x:v>M3 — کسب‌وکار، شبکه و زیست‌بوم نوآوری</x:v>
      </x:c>
      <x:c r="D1713" s="34" t="str">
        <x:v>H14</x:v>
      </x:c>
      <x:c r="E1713" s="34" t="str">
        <x:v>شبکه‌سازی، افراد و ارتباطات کلیدی</x:v>
      </x:c>
      <x:c r="F1713" s="34" t="str">
        <x:v>P3</x:v>
      </x:c>
      <x:c r="G1713" s="34" t="str">
        <x:v>پروژه/طرح</x:v>
      </x:c>
      <x:c r="H1713" s="39" t="str">
        <x:v>تایم خدماتی ها و جلسه با طالب تبار</x:v>
      </x:c>
      <x:c r="I1713" s="39" t="str">
        <x:v>زمان‌بندی محدود/شبکه‌ای</x:v>
      </x:c>
      <x:c r="J1713" s="39" t="str">
        <x:v>استراتژیست شبکه و ذی‌نفعان</x:v>
      </x:c>
      <x:c r="K1713" s="39" t="str"/>
      <x:c r="L1713" s="39" t="str">
        <x:v>AP:P479؛ AP:P643</x:v>
      </x:c>
      <x:c r="M1713" s="39" t="str"/>
      <x:c r="N1713" s="39" t="str">
        <x:v>نسخه پایه ۳۱۵۰</x:v>
      </x:c>
    </x:row>
    <x:row r="1714" ht="34" customHeight="1">
      <x:c r="A1714" s="34" t="str">
        <x:v>☐</x:v>
      </x:c>
      <x:c r="B1714" s="34" t="str">
        <x:v>MI-0732</x:v>
      </x:c>
      <x:c r="C1714" s="34" t="str">
        <x:v>M3 — کسب‌وکار، شبکه و زیست‌بوم نوآوری</x:v>
      </x:c>
      <x:c r="D1714" s="34" t="str">
        <x:v>H14</x:v>
      </x:c>
      <x:c r="E1714" s="34" t="str">
        <x:v>شبکه‌سازی، افراد و ارتباطات کلیدی</x:v>
      </x:c>
      <x:c r="F1714" s="34" t="str">
        <x:v>P3</x:v>
      </x:c>
      <x:c r="G1714" s="34" t="str">
        <x:v>پروژه/طرح</x:v>
      </x:c>
      <x:c r="H1714" s="39" t="str">
        <x:v>برنامه تغییر وضعیت انبار و روند کار آن در جلسه با منعمی</x:v>
      </x:c>
      <x:c r="I1714" s="39" t="str">
        <x:v>زمان‌بندی محدود/شبکه‌ای</x:v>
      </x:c>
      <x:c r="J1714" s="39" t="str">
        <x:v>استراتژیست شبکه و ذی‌نفعان</x:v>
      </x:c>
      <x:c r="K1714" s="39" t="str"/>
      <x:c r="L1714" s="39" t="str">
        <x:v>AP:P523</x:v>
      </x:c>
      <x:c r="M1714" s="39" t="str"/>
      <x:c r="N1714" s="39" t="str">
        <x:v>نسخه پایه ۳۱۵۰</x:v>
      </x:c>
    </x:row>
    <x:row r="1715" ht="34" customHeight="1">
      <x:c r="A1715" s="34" t="str">
        <x:v>☐</x:v>
      </x:c>
      <x:c r="B1715" s="34" t="str">
        <x:v>MI-1221</x:v>
      </x:c>
      <x:c r="C1715" s="34" t="str">
        <x:v>M3 — کسب‌وکار، شبکه و زیست‌بوم نوآوری</x:v>
      </x:c>
      <x:c r="D1715" s="34" t="str">
        <x:v>H14</x:v>
      </x:c>
      <x:c r="E1715" s="34" t="str">
        <x:v>شبکه‌سازی، افراد و ارتباطات کلیدی</x:v>
      </x:c>
      <x:c r="F1715" s="34" t="str">
        <x:v>P3</x:v>
      </x:c>
      <x:c r="G1715" s="34" t="str">
        <x:v>پروژه/طرح</x:v>
      </x:c>
      <x:c r="H1715" s="39" t="str">
        <x:v>پروژه پساب دکتر قادری</x:v>
      </x:c>
      <x:c r="I1715" s="39" t="str">
        <x:v>زمان‌بندی محدود/شبکه‌ای</x:v>
      </x:c>
      <x:c r="J1715" s="39" t="str">
        <x:v>استراتژیست شبکه و ذی‌نفعان</x:v>
      </x:c>
      <x:c r="K1715" s="39" t="str"/>
      <x:c r="L1715" s="39" t="str">
        <x:v>AP:P1085</x:v>
      </x:c>
      <x:c r="M1715" s="39" t="str"/>
      <x:c r="N1715" s="39" t="str">
        <x:v>نسخه پایه ۳۱۵۰</x:v>
      </x:c>
    </x:row>
    <x:row r="1716" ht="34" customHeight="1">
      <x:c r="A1716" s="34" t="str">
        <x:v>☐</x:v>
      </x:c>
      <x:c r="B1716" s="34" t="str">
        <x:v>MI-1610</x:v>
      </x:c>
      <x:c r="C1716" s="34" t="str">
        <x:v>M3 — کسب‌وکار، شبکه و زیست‌بوم نوآوری</x:v>
      </x:c>
      <x:c r="D1716" s="34" t="str">
        <x:v>H14</x:v>
      </x:c>
      <x:c r="E1716" s="34" t="str">
        <x:v>شبکه‌سازی، افراد و ارتباطات کلیدی</x:v>
      </x:c>
      <x:c r="F1716" s="34" t="str">
        <x:v>P3</x:v>
      </x:c>
      <x:c r="G1716" s="34" t="str">
        <x:v>پروژه/طرح</x:v>
      </x:c>
      <x:c r="H1716" s="39" t="str">
        <x:v>• ایجاد شبکه سرمایه گذار خارجی</x:v>
      </x:c>
      <x:c r="I1716" s="39" t="str">
        <x:v>زمان‌بندی محدود/شبکه‌ای</x:v>
      </x:c>
      <x:c r="J1716" s="39" t="str">
        <x:v>استراتژیست شبکه و ذی‌نفعان</x:v>
      </x:c>
      <x:c r="K1716" s="39" t="str"/>
      <x:c r="L1716" s="39" t="str">
        <x:v>E112:P68؛ E112:P1531؛ E112:P1848؛ E112:P2314</x:v>
      </x:c>
      <x:c r="M1716" s="39" t="str"/>
      <x:c r="N1716" s="39" t="str">
        <x:v>نسخه پایه ۳۱۵۰</x:v>
      </x:c>
    </x:row>
    <x:row r="1717" ht="34" customHeight="1">
      <x:c r="A1717" s="34" t="str">
        <x:v>☐</x:v>
      </x:c>
      <x:c r="B1717" s="34" t="str">
        <x:v>MI-1707</x:v>
      </x:c>
      <x:c r="C1717" s="34" t="str">
        <x:v>M3 — کسب‌وکار، شبکه و زیست‌بوم نوآوری</x:v>
      </x:c>
      <x:c r="D1717" s="34" t="str">
        <x:v>H14</x:v>
      </x:c>
      <x:c r="E1717" s="34" t="str">
        <x:v>شبکه‌سازی، افراد و ارتباطات کلیدی</x:v>
      </x:c>
      <x:c r="F1717" s="34" t="str">
        <x:v>P3</x:v>
      </x:c>
      <x:c r="G1717" s="34" t="str">
        <x:v>پروژه/طرح</x:v>
      </x:c>
      <x:c r="H1717" s="39" t="str">
        <x:v>• مزیت: سریع تر، کم هزینه تر، و ایجاد شبکه ملی برای مازندران.</x:v>
      </x:c>
      <x:c r="I1717" s="39" t="str">
        <x:v>زمان‌بندی محدود/شبکه‌ای</x:v>
      </x:c>
      <x:c r="J1717" s="39" t="str">
        <x:v>استراتژیست شبکه و ذی‌نفعان</x:v>
      </x:c>
      <x:c r="K1717" s="39" t="str"/>
      <x:c r="L1717" s="39" t="str">
        <x:v>E112:P173؛ E112:P1690؛ E112:P1955؛ E112:P2421</x:v>
      </x:c>
      <x:c r="M1717" s="39" t="str"/>
      <x:c r="N1717" s="39" t="str">
        <x:v>نسخه پایه ۳۱۵۰</x:v>
      </x:c>
    </x:row>
    <x:row r="1718" ht="34" customHeight="1">
      <x:c r="A1718" s="34" t="str">
        <x:v>☐</x:v>
      </x:c>
      <x:c r="B1718" s="34" t="str">
        <x:v>MI-1722</x:v>
      </x:c>
      <x:c r="C1718" s="34" t="str">
        <x:v>M3 — کسب‌وکار، شبکه و زیست‌بوم نوآوری</x:v>
      </x:c>
      <x:c r="D1718" s="34" t="str">
        <x:v>H14</x:v>
      </x:c>
      <x:c r="E1718" s="34" t="str">
        <x:v>شبکه‌سازی، افراد و ارتباطات کلیدی</x:v>
      </x:c>
      <x:c r="F1718" s="34" t="str">
        <x:v>P3</x:v>
      </x:c>
      <x:c r="G1718" s="34" t="str">
        <x:v>پروژه/طرح</x:v>
      </x:c>
      <x:c r="H1718" s="39" t="str">
        <x:v>باشه، این رو مثل یک مدیریت منابع انسانی در سطح اکوسیستم نگاه می کنیم، نه فقط یک شرکت. یعنی تو در مرکز شبکه ای از آدم ها، پروژه ها و منابع قرار داری و هر «آیتم» می تواند یک اهرم (lever) برای اثرگذاری یا بازی سازی باشد.</x:v>
      </x:c>
      <x:c r="I1718" s="39" t="str">
        <x:v>زمان‌بندی محدود/شبکه‌ای</x:v>
      </x:c>
      <x:c r="J1718" s="39" t="str">
        <x:v>استراتژیست شبکه و ذی‌نفعان</x:v>
      </x:c>
      <x:c r="K1718" s="39" t="str"/>
      <x:c r="L1718" s="39" t="str">
        <x:v>E112:P191</x:v>
      </x:c>
      <x:c r="M1718" s="39" t="str"/>
      <x:c r="N1718" s="39" t="str">
        <x:v>نسخه پایه ۳۱۵۰</x:v>
      </x:c>
    </x:row>
    <x:row r="1719" ht="34" customHeight="1">
      <x:c r="A1719" s="34" t="str">
        <x:v>☐</x:v>
      </x:c>
      <x:c r="B1719" s="34" t="str">
        <x:v>MI-1775</x:v>
      </x:c>
      <x:c r="C1719" s="34" t="str">
        <x:v>M3 — کسب‌وکار، شبکه و زیست‌بوم نوآوری</x:v>
      </x:c>
      <x:c r="D1719" s="34" t="str">
        <x:v>H14</x:v>
      </x:c>
      <x:c r="E1719" s="34" t="str">
        <x:v>شبکه‌سازی، افراد و ارتباطات کلیدی</x:v>
      </x:c>
      <x:c r="F1719" s="34" t="str">
        <x:v>P3</x:v>
      </x:c>
      <x:c r="G1719" s="34" t="str">
        <x:v>پروژه/طرح</x:v>
      </x:c>
      <x:c r="H1719" s="39" t="str">
        <x:v>ایجاد شبکه متخصص</x:v>
      </x:c>
      <x:c r="I1719" s="39" t="str">
        <x:v>زمان‌بندی محدود/شبکه‌ای</x:v>
      </x:c>
      <x:c r="J1719" s="39" t="str">
        <x:v>استراتژیست شبکه و ذی‌نفعان</x:v>
      </x:c>
      <x:c r="K1719" s="39" t="str"/>
      <x:c r="L1719" s="39" t="str">
        <x:v>E112:P265</x:v>
      </x:c>
      <x:c r="M1719" s="39" t="str"/>
      <x:c r="N1719" s="39" t="str">
        <x:v>نسخه پایه ۳۱۵۰</x:v>
      </x:c>
    </x:row>
    <x:row r="1720" ht="34" customHeight="1">
      <x:c r="A1720" s="34" t="str">
        <x:v>☐</x:v>
      </x:c>
      <x:c r="B1720" s="34" t="str">
        <x:v>MI-2163</x:v>
      </x:c>
      <x:c r="C1720" s="34" t="str">
        <x:v>M3 — کسب‌وکار، شبکه و زیست‌بوم نوآوری</x:v>
      </x:c>
      <x:c r="D1720" s="34" t="str">
        <x:v>H14</x:v>
      </x:c>
      <x:c r="E1720" s="34" t="str">
        <x:v>شبکه‌سازی، افراد و ارتباطات کلیدی</x:v>
      </x:c>
      <x:c r="F1720" s="34" t="str">
        <x:v>P3</x:v>
      </x:c>
      <x:c r="G1720" s="34" t="str">
        <x:v>پروژه/طرح</x:v>
      </x:c>
      <x:c r="H1720" s="39" t="str">
        <x:v>ساخت شبکه های انسانی</x:v>
      </x:c>
      <x:c r="I1720" s="39" t="str">
        <x:v>زمان‌بندی محدود/شبکه‌ای</x:v>
      </x:c>
      <x:c r="J1720" s="39" t="str">
        <x:v>استراتژیست شبکه و ذی‌نفعان</x:v>
      </x:c>
      <x:c r="K1720" s="39" t="str"/>
      <x:c r="L1720" s="39" t="str">
        <x:v>E112:P958</x:v>
      </x:c>
      <x:c r="M1720" s="39" t="str"/>
      <x:c r="N1720" s="39" t="str">
        <x:v>نسخه پایه ۳۱۵۰</x:v>
      </x:c>
    </x:row>
    <x:row r="1721" ht="34" customHeight="1">
      <x:c r="A1721" s="34" t="str">
        <x:v>☐</x:v>
      </x:c>
      <x:c r="B1721" s="34" t="str">
        <x:v>MI-2414</x:v>
      </x:c>
      <x:c r="C1721" s="34" t="str">
        <x:v>M3 — کسب‌وکار، شبکه و زیست‌بوم نوآوری</x:v>
      </x:c>
      <x:c r="D1721" s="34" t="str">
        <x:v>H14</x:v>
      </x:c>
      <x:c r="E1721" s="34" t="str">
        <x:v>شبکه‌سازی، افراد و ارتباطات کلیدی</x:v>
      </x:c>
      <x:c r="F1721" s="34" t="str">
        <x:v>P3</x:v>
      </x:c>
      <x:c r="G1721" s="34" t="str">
        <x:v>پروژه/طرح</x:v>
      </x:c>
      <x:c r="H1721" s="39" t="str">
        <x:v>ساخت شبکه بنیان گذاران استان</x:v>
      </x:c>
      <x:c r="I1721" s="39" t="str">
        <x:v>زمان‌بندی محدود/شبکه‌ای</x:v>
      </x:c>
      <x:c r="J1721" s="39" t="str">
        <x:v>استراتژیست شبکه و ذی‌نفعان</x:v>
      </x:c>
      <x:c r="K1721" s="39" t="str"/>
      <x:c r="L1721" s="39" t="str">
        <x:v>E112:P1497</x:v>
      </x:c>
      <x:c r="M1721" s="39" t="str"/>
      <x:c r="N1721" s="39" t="str">
        <x:v>نسخه پایه ۳۱۵۰</x:v>
      </x:c>
    </x:row>
    <x:row r="1722" ht="34" customHeight="1">
      <x:c r="A1722" s="34" t="str">
        <x:v>☐</x:v>
      </x:c>
      <x:c r="B1722" s="34" t="str">
        <x:v>MI-2477</x:v>
      </x:c>
      <x:c r="C1722" s="34" t="str">
        <x:v>M3 — کسب‌وکار، شبکه و زیست‌بوم نوآوری</x:v>
      </x:c>
      <x:c r="D1722" s="34" t="str">
        <x:v>H14</x:v>
      </x:c>
      <x:c r="E1722" s="34" t="str">
        <x:v>شبکه‌سازی، افراد و ارتباطات کلیدی</x:v>
      </x:c>
      <x:c r="F1722" s="34" t="str">
        <x:v>P3</x:v>
      </x:c>
      <x:c r="G1722" s="34" t="str">
        <x:v>پروژه/طرح</x:v>
      </x:c>
      <x:c r="H1722" s="39" t="str">
        <x:v>ساخت شبکه های کارآفرینی منطقه ای.</x:v>
      </x:c>
      <x:c r="I1722" s="39" t="str">
        <x:v>زمان‌بندی محدود/شبکه‌ای</x:v>
      </x:c>
      <x:c r="J1722" s="39" t="str">
        <x:v>استراتژیست شبکه و ذی‌نفعان</x:v>
      </x:c>
      <x:c r="K1722" s="39" t="str"/>
      <x:c r="L1722" s="39" t="str">
        <x:v>E112:P1779</x:v>
      </x:c>
      <x:c r="M1722" s="39" t="str"/>
      <x:c r="N1722" s="39" t="str">
        <x:v>نسخه پایه ۳۱۵۰</x:v>
      </x:c>
    </x:row>
    <x:row r="1723" ht="34" customHeight="1">
      <x:c r="A1723" s="34" t="str">
        <x:v>☐</x:v>
      </x:c>
      <x:c r="B1723" s="34" t="str">
        <x:v>MI-2966</x:v>
      </x:c>
      <x:c r="C1723" s="34" t="str">
        <x:v>M3 — کسب‌وکار، شبکه و زیست‌بوم نوآوری</x:v>
      </x:c>
      <x:c r="D1723" s="34" t="str">
        <x:v>H14</x:v>
      </x:c>
      <x:c r="E1723" s="34" t="str">
        <x:v>شبکه‌سازی، افراد و ارتباطات کلیدی</x:v>
      </x:c>
      <x:c r="F1723" s="34" t="str">
        <x:v>P3</x:v>
      </x:c>
      <x:c r="G1723" s="34" t="str">
        <x:v>پروژه/طرح</x:v>
      </x:c>
      <x:c r="H1723" s="39" t="str">
        <x:v>افراد آماده برای پروژه.</x:v>
      </x:c>
      <x:c r="I1723" s="39" t="str">
        <x:v>زمان‌بندی محدود/شبکه‌ای</x:v>
      </x:c>
      <x:c r="J1723" s="39" t="str">
        <x:v>استراتژیست شبکه و ذی‌نفعان</x:v>
      </x:c>
      <x:c r="K1723" s="39" t="str"/>
      <x:c r="L1723" s="39" t="str">
        <x:v>E112:P3376</x:v>
      </x:c>
      <x:c r="M1723" s="39" t="str"/>
      <x:c r="N1723" s="39" t="str">
        <x:v>نسخه پایه ۳۱۵۰</x:v>
      </x:c>
    </x:row>
    <x:row r="1724" ht="34" customHeight="1">
      <x:c r="A1724" s="34" t="str">
        <x:v>☐</x:v>
      </x:c>
      <x:c r="B1724" s="34" t="str">
        <x:v>MI-0002</x:v>
      </x:c>
      <x:c r="C1724" s="34" t="str">
        <x:v>M3 — کسب‌وکار، شبکه و زیست‌بوم نوآوری</x:v>
      </x:c>
      <x:c r="D1724" s="34" t="str">
        <x:v>H14</x:v>
      </x:c>
      <x:c r="E1724" s="34" t="str">
        <x:v>شبکه‌سازی، افراد و ارتباطات کلیدی</x:v>
      </x:c>
      <x:c r="F1724" s="34" t="str">
        <x:v>P3</x:v>
      </x:c>
      <x:c r="G1724" s="34" t="str">
        <x:v>مهارت/یادگیری</x:v>
      </x:c>
      <x:c r="H1724" s="39" t="str">
        <x:v>ارتباط با سایر دانشگاه های بابل و بروجرد و تهران و اراک</x:v>
      </x:c>
      <x:c r="I1724" s="39" t="str">
        <x:v>زمان‌بندی محدود/شبکه‌ای</x:v>
      </x:c>
      <x:c r="J1724" s="39" t="str">
        <x:v>استراتژیست شبکه و ذی‌نفعان</x:v>
      </x:c>
      <x:c r="K1724" s="39" t="str"/>
      <x:c r="L1724" s="39" t="str">
        <x:v>PL:R3؛ AP:P1383</x:v>
      </x:c>
      <x:c r="M1724" s="39" t="str"/>
      <x:c r="N1724" s="39" t="str">
        <x:v>نسخه پایه ۳۱۵۰</x:v>
      </x:c>
    </x:row>
    <x:row r="1725" ht="34" customHeight="1">
      <x:c r="A1725" s="34" t="str">
        <x:v>☐</x:v>
      </x:c>
      <x:c r="B1725" s="34" t="str">
        <x:v>MI-0017</x:v>
      </x:c>
      <x:c r="C1725" s="34" t="str">
        <x:v>M3 — کسب‌وکار، شبکه و زیست‌بوم نوآوری</x:v>
      </x:c>
      <x:c r="D1725" s="34" t="str">
        <x:v>H14</x:v>
      </x:c>
      <x:c r="E1725" s="34" t="str">
        <x:v>شبکه‌سازی، افراد و ارتباطات کلیدی</x:v>
      </x:c>
      <x:c r="F1725" s="34" t="str">
        <x:v>P3</x:v>
      </x:c>
      <x:c r="G1725" s="34" t="str">
        <x:v>مهارت/یادگیری</x:v>
      </x:c>
      <x:c r="H1725" s="39" t="str">
        <x:v>آشنایی با مسیولین اردوهای جهادی برای شرکت در اردو</x:v>
      </x:c>
      <x:c r="I1725" s="39" t="str">
        <x:v>زمان‌بندی محدود/شبکه‌ای</x:v>
      </x:c>
      <x:c r="J1725" s="39" t="str">
        <x:v>استراتژیست شبکه و ذی‌نفعان</x:v>
      </x:c>
      <x:c r="K1725" s="39" t="str"/>
      <x:c r="L1725" s="39" t="str">
        <x:v>PL:R18؛ AP:P1502</x:v>
      </x:c>
      <x:c r="M1725" s="39" t="str"/>
      <x:c r="N1725" s="39" t="str">
        <x:v>نسخه پایه ۳۱۵۰</x:v>
      </x:c>
    </x:row>
    <x:row r="1726" ht="34" customHeight="1">
      <x:c r="A1726" s="34" t="str">
        <x:v>☐</x:v>
      </x:c>
      <x:c r="B1726" s="34" t="str">
        <x:v>MI-0275</x:v>
      </x:c>
      <x:c r="C1726" s="34" t="str">
        <x:v>M3 — کسب‌وکار، شبکه و زیست‌بوم نوآوری</x:v>
      </x:c>
      <x:c r="D1726" s="34" t="str">
        <x:v>H14</x:v>
      </x:c>
      <x:c r="E1726" s="34" t="str">
        <x:v>شبکه‌سازی، افراد و ارتباطات کلیدی</x:v>
      </x:c>
      <x:c r="F1726" s="34" t="str">
        <x:v>P3</x:v>
      </x:c>
      <x:c r="G1726" s="34" t="str">
        <x:v>مهارت/یادگیری</x:v>
      </x:c>
      <x:c r="H1726" s="39" t="str">
        <x:v>صحبت با شروع برای بررسی روند کارگاه های مهارت نرم</x:v>
      </x:c>
      <x:c r="I1726" s="39" t="str">
        <x:v>زمان‌بندی محدود/شبکه‌ای</x:v>
      </x:c>
      <x:c r="J1726" s="39" t="str">
        <x:v>استراتژیست شبکه و ذی‌نفعان</x:v>
      </x:c>
      <x:c r="K1726" s="39" t="str"/>
      <x:c r="L1726" s="39" t="str">
        <x:v>AP:P46</x:v>
      </x:c>
      <x:c r="M1726" s="39" t="str"/>
      <x:c r="N1726" s="39" t="str">
        <x:v>نسخه پایه ۳۱۵۰</x:v>
      </x:c>
    </x:row>
    <x:row r="1727" ht="34" customHeight="1">
      <x:c r="A1727" s="34" t="str">
        <x:v>☐</x:v>
      </x:c>
      <x:c r="B1727" s="34" t="str">
        <x:v>MI-1020</x:v>
      </x:c>
      <x:c r="C1727" s="34" t="str">
        <x:v>M3 — کسب‌وکار، شبکه و زیست‌بوم نوآوری</x:v>
      </x:c>
      <x:c r="D1727" s="34" t="str">
        <x:v>H14</x:v>
      </x:c>
      <x:c r="E1727" s="34" t="str">
        <x:v>شبکه‌سازی، افراد و ارتباطات کلیدی</x:v>
      </x:c>
      <x:c r="F1727" s="34" t="str">
        <x:v>P3</x:v>
      </x:c>
      <x:c r="G1727" s="34" t="str">
        <x:v>مهارت/یادگیری</x:v>
      </x:c>
      <x:c r="H1727" s="39" t="str">
        <x:v>اطلاعیه نتایج جلسه با عمران پور و دردل و معانین آموزشی</x:v>
      </x:c>
      <x:c r="I1727" s="39" t="str">
        <x:v>زمان‌بندی محدود/شبکه‌ای</x:v>
      </x:c>
      <x:c r="J1727" s="39" t="str">
        <x:v>استراتژیست شبکه و ذی‌نفعان</x:v>
      </x:c>
      <x:c r="K1727" s="39" t="str"/>
      <x:c r="L1727" s="39" t="str">
        <x:v>AP:P857</x:v>
      </x:c>
      <x:c r="M1727" s="39" t="str"/>
      <x:c r="N1727" s="39" t="str">
        <x:v>نسخه پایه ۳۱۵۰</x:v>
      </x:c>
    </x:row>
    <x:row r="1728" ht="34" customHeight="1">
      <x:c r="A1728" s="34" t="str">
        <x:v>☐</x:v>
      </x:c>
      <x:c r="B1728" s="34" t="str">
        <x:v>MI-1061</x:v>
      </x:c>
      <x:c r="C1728" s="34" t="str">
        <x:v>M3 — کسب‌وکار، شبکه و زیست‌بوم نوآوری</x:v>
      </x:c>
      <x:c r="D1728" s="34" t="str">
        <x:v>H14</x:v>
      </x:c>
      <x:c r="E1728" s="34" t="str">
        <x:v>شبکه‌سازی، افراد و ارتباطات کلیدی</x:v>
      </x:c>
      <x:c r="F1728" s="34" t="str">
        <x:v>P3</x:v>
      </x:c>
      <x:c r="G1728" s="34" t="str">
        <x:v>مهارت/یادگیری</x:v>
      </x:c>
      <x:c r="H1728" s="39" t="str">
        <x:v>مشاوره هدایت تحصیلی هر ترم و پایش وضعیت افراد هر مقطع و هر گروه به صورت سیستمی</x:v>
      </x:c>
      <x:c r="I1728" s="39" t="str">
        <x:v>زمان‌بندی محدود/شبکه‌ای</x:v>
      </x:c>
      <x:c r="J1728" s="39" t="str">
        <x:v>استراتژیست شبکه و ذی‌نفعان</x:v>
      </x:c>
      <x:c r="K1728" s="39" t="str"/>
      <x:c r="L1728" s="39" t="str">
        <x:v>AP:P904</x:v>
      </x:c>
      <x:c r="M1728" s="39" t="str"/>
      <x:c r="N1728" s="39" t="str">
        <x:v>نسخه پایه ۳۱۵۰</x:v>
      </x:c>
    </x:row>
    <x:row r="1729" ht="34" customHeight="1">
      <x:c r="A1729" s="34" t="str">
        <x:v>☐</x:v>
      </x:c>
      <x:c r="B1729" s="34" t="str">
        <x:v>MI-1074</x:v>
      </x:c>
      <x:c r="C1729" s="34" t="str">
        <x:v>M3 — کسب‌وکار، شبکه و زیست‌بوم نوآوری</x:v>
      </x:c>
      <x:c r="D1729" s="34" t="str">
        <x:v>H14</x:v>
      </x:c>
      <x:c r="E1729" s="34" t="str">
        <x:v>شبکه‌سازی، افراد و ارتباطات کلیدی</x:v>
      </x:c>
      <x:c r="F1729" s="34" t="str">
        <x:v>P3</x:v>
      </x:c>
      <x:c r="G1729" s="34" t="str">
        <x:v>مهارت/یادگیری</x:v>
      </x:c>
      <x:c r="H1729" s="39" t="str">
        <x:v>جزوه استاد</x:v>
      </x:c>
      <x:c r="I1729" s="39" t="str">
        <x:v>زمان‌بندی محدود/شبکه‌ای</x:v>
      </x:c>
      <x:c r="J1729" s="39" t="str">
        <x:v>استراتژیست شبکه و ذی‌نفعان</x:v>
      </x:c>
      <x:c r="K1729" s="39" t="str"/>
      <x:c r="L1729" s="39" t="str">
        <x:v>AP:P919</x:v>
      </x:c>
      <x:c r="M1729" s="39" t="str"/>
      <x:c r="N1729" s="39" t="str">
        <x:v>نسخه پایه ۳۱۵۰</x:v>
      </x:c>
    </x:row>
    <x:row r="1730" ht="34" customHeight="1">
      <x:c r="A1730" s="34" t="str">
        <x:v>☐</x:v>
      </x:c>
      <x:c r="B1730" s="34" t="str">
        <x:v>MI-1578</x:v>
      </x:c>
      <x:c r="C1730" s="34" t="str">
        <x:v>M3 — کسب‌وکار، شبکه و زیست‌بوم نوآوری</x:v>
      </x:c>
      <x:c r="D1730" s="34" t="str">
        <x:v>H14</x:v>
      </x:c>
      <x:c r="E1730" s="34" t="str">
        <x:v>شبکه‌سازی، افراد و ارتباطات کلیدی</x:v>
      </x:c>
      <x:c r="F1730" s="34" t="str">
        <x:v>P3</x:v>
      </x:c>
      <x:c r="G1730" s="34" t="str">
        <x:v>مهارت/یادگیری</x:v>
      </x:c>
      <x:c r="H1730" s="39" t="str">
        <x:v>در این میانه ما باید روی نسل نوجوانان و یا کودکان به فراخور شرایط و استعداد سنجی یا مهارت هایی که اثبات شده اند کار کنیم هم چنین برای شکوفایی افراد از کودکی و نوجوانی مثل کارگروه فناوری دانش آموزان باید تاسیس بشه و بتونه در این میان روی این قشر کار کنه</x:v>
      </x:c>
      <x:c r="I1730" s="39" t="str">
        <x:v>زمان‌بندی محدود/شبکه‌ای</x:v>
      </x:c>
      <x:c r="J1730" s="39" t="str">
        <x:v>استراتژیست شبکه و ذی‌نفعان</x:v>
      </x:c>
      <x:c r="K1730" s="39" t="str"/>
      <x:c r="L1730" s="39" t="str">
        <x:v>E112:P13؛ E112:P1793؛ E112:P2259</x:v>
      </x:c>
      <x:c r="M1730" s="39" t="str"/>
      <x:c r="N1730" s="39" t="str">
        <x:v>نسخه پایه ۳۱۵۰</x:v>
      </x:c>
    </x:row>
    <x:row r="1731" ht="34" customHeight="1">
      <x:c r="A1731" s="34" t="str">
        <x:v>☐</x:v>
      </x:c>
      <x:c r="B1731" s="34" t="str">
        <x:v>MI-1725</x:v>
      </x:c>
      <x:c r="C1731" s="34" t="str">
        <x:v>M3 — کسب‌وکار، شبکه و زیست‌بوم نوآوری</x:v>
      </x:c>
      <x:c r="D1731" s="34" t="str">
        <x:v>H14</x:v>
      </x:c>
      <x:c r="E1731" s="34" t="str">
        <x:v>شبکه‌سازی، افراد و ارتباطات کلیدی</x:v>
      </x:c>
      <x:c r="F1731" s="34" t="str">
        <x:v>P3</x:v>
      </x:c>
      <x:c r="G1731" s="34" t="str">
        <x:v>مهارت/یادگیری</x:v>
      </x:c>
      <x:c r="H1731" s="39" t="str">
        <x:v>این آیتم دقیقاً چیست؟ (گروه افراد، پلتفرم، سازمان، مهارت، جامعه، سرمایه، رسانه و ...)</x:v>
      </x:c>
      <x:c r="I1731" s="39" t="str">
        <x:v>زمان‌بندی محدود/شبکه‌ای</x:v>
      </x:c>
      <x:c r="J1731" s="39" t="str">
        <x:v>استراتژیست شبکه و ذی‌نفعان</x:v>
      </x:c>
      <x:c r="K1731" s="39" t="str"/>
      <x:c r="L1731" s="39" t="str">
        <x:v>E112:P197</x:v>
      </x:c>
      <x:c r="M1731" s="39" t="str"/>
      <x:c r="N1731" s="39" t="str">
        <x:v>نسخه پایه ۳۱۵۰</x:v>
      </x:c>
    </x:row>
    <x:row r="1732" ht="34" customHeight="1">
      <x:c r="A1732" s="34" t="str">
        <x:v>☐</x:v>
      </x:c>
      <x:c r="B1732" s="34" t="str">
        <x:v>MI-0078</x:v>
      </x:c>
      <x:c r="C1732" s="34" t="str">
        <x:v>M3 — کسب‌وکار، شبکه و زیست‌بوم نوآوری</x:v>
      </x:c>
      <x:c r="D1732" s="34" t="str">
        <x:v>H14</x:v>
      </x:c>
      <x:c r="E1732" s="34" t="str">
        <x:v>شبکه‌سازی، افراد و ارتباطات کلیدی</x:v>
      </x:c>
      <x:c r="F1732" s="34" t="str">
        <x:v>P3</x:v>
      </x:c>
      <x:c r="G1732" s="34" t="str">
        <x:v>هدف/موضوع</x:v>
      </x:c>
      <x:c r="H1732" s="39" t="str">
        <x:v>ارتباط با افراد در زمینه بورس داخلی</x:v>
      </x:c>
      <x:c r="I1732" s="39" t="str">
        <x:v>زمان‌بندی محدود/شبکه‌ای</x:v>
      </x:c>
      <x:c r="J1732" s="39" t="str">
        <x:v>استراتژیست شبکه و ذی‌نفعان</x:v>
      </x:c>
      <x:c r="K1732" s="39" t="str"/>
      <x:c r="L1732" s="39" t="str">
        <x:v>PL:R79</x:v>
      </x:c>
      <x:c r="M1732" s="39" t="str"/>
      <x:c r="N1732" s="39" t="str">
        <x:v>نسخه پایه ۳۱۵۰</x:v>
      </x:c>
    </x:row>
    <x:row r="1733" ht="34" customHeight="1">
      <x:c r="A1733" s="34" t="str">
        <x:v>☐</x:v>
      </x:c>
      <x:c r="B1733" s="34" t="str">
        <x:v>MI-0300</x:v>
      </x:c>
      <x:c r="C1733" s="34" t="str">
        <x:v>M3 — کسب‌وکار، شبکه و زیست‌بوم نوآوری</x:v>
      </x:c>
      <x:c r="D1733" s="34" t="str">
        <x:v>H14</x:v>
      </x:c>
      <x:c r="E1733" s="34" t="str">
        <x:v>شبکه‌سازی، افراد و ارتباطات کلیدی</x:v>
      </x:c>
      <x:c r="F1733" s="34" t="str">
        <x:v>P3</x:v>
      </x:c>
      <x:c r="G1733" s="34" t="str">
        <x:v>هدف/موضوع</x:v>
      </x:c>
      <x:c r="H1733" s="39" t="str">
        <x:v>از مسیولین هم انتقاد بخوایم بکنیم</x:v>
      </x:c>
      <x:c r="I1733" s="39" t="str">
        <x:v>زمان‌بندی محدود/شبکه‌ای</x:v>
      </x:c>
      <x:c r="J1733" s="39" t="str">
        <x:v>استراتژیست شبکه و ذی‌نفعان</x:v>
      </x:c>
      <x:c r="K1733" s="39" t="str"/>
      <x:c r="L1733" s="39" t="str">
        <x:v>AP:P72</x:v>
      </x:c>
      <x:c r="M1733" s="39" t="str"/>
      <x:c r="N1733" s="39" t="str">
        <x:v>نسخه پایه ۳۱۵۰</x:v>
      </x:c>
    </x:row>
    <x:row r="1734" ht="34" customHeight="1">
      <x:c r="A1734" s="34" t="str">
        <x:v>☐</x:v>
      </x:c>
      <x:c r="B1734" s="34" t="str">
        <x:v>MI-0529</x:v>
      </x:c>
      <x:c r="C1734" s="34" t="str">
        <x:v>M3 — کسب‌وکار، شبکه و زیست‌بوم نوآوری</x:v>
      </x:c>
      <x:c r="D1734" s="34" t="str">
        <x:v>H14</x:v>
      </x:c>
      <x:c r="E1734" s="34" t="str">
        <x:v>شبکه‌سازی، افراد و ارتباطات کلیدی</x:v>
      </x:c>
      <x:c r="F1734" s="34" t="str">
        <x:v>P3</x:v>
      </x:c>
      <x:c r="G1734" s="34" t="str">
        <x:v>هدف/موضوع</x:v>
      </x:c>
      <x:c r="H1734" s="39" t="str">
        <x:v>پخش موسیقی نیز باعث می شود افراددر رستوران شما احساس راحتی کنند، ترغیب شوند مدت زمان طولانی تری در رستوران تانبمانند و خوراکی های بیشتری سفارش بدهند.</x:v>
      </x:c>
      <x:c r="I1734" s="39" t="str">
        <x:v>زمان‌بندی محدود/شبکه‌ای</x:v>
      </x:c>
      <x:c r="J1734" s="39" t="str">
        <x:v>استراتژیست شبکه و ذی‌نفعان</x:v>
      </x:c>
      <x:c r="K1734" s="39" t="str"/>
      <x:c r="L1734" s="39" t="str">
        <x:v>AP:P315</x:v>
      </x:c>
      <x:c r="M1734" s="39" t="str"/>
      <x:c r="N1734" s="39" t="str">
        <x:v>نسخه پایه ۳۱۵۰</x:v>
      </x:c>
    </x:row>
    <x:row r="1735" ht="34" customHeight="1">
      <x:c r="A1735" s="34" t="str">
        <x:v>☐</x:v>
      </x:c>
      <x:c r="B1735" s="34" t="str">
        <x:v>MI-0630</x:v>
      </x:c>
      <x:c r="C1735" s="34" t="str">
        <x:v>M3 — کسب‌وکار، شبکه و زیست‌بوم نوآوری</x:v>
      </x:c>
      <x:c r="D1735" s="34" t="str">
        <x:v>H14</x:v>
      </x:c>
      <x:c r="E1735" s="34" t="str">
        <x:v>شبکه‌سازی، افراد و ارتباطات کلیدی</x:v>
      </x:c>
      <x:c r="F1735" s="34" t="str">
        <x:v>P3</x:v>
      </x:c>
      <x:c r="G1735" s="34" t="str">
        <x:v>هدف/موضوع</x:v>
      </x:c>
      <x:c r="H1735" s="39" t="str">
        <x:v>سیستم حمل و نقل جهت انتقال افراد به مقاصد مختلف</x:v>
      </x:c>
      <x:c r="I1735" s="39" t="str">
        <x:v>زمان‌بندی محدود/شبکه‌ای</x:v>
      </x:c>
      <x:c r="J1735" s="39" t="str">
        <x:v>استراتژیست شبکه و ذی‌نفعان</x:v>
      </x:c>
      <x:c r="K1735" s="39" t="str"/>
      <x:c r="L1735" s="39" t="str">
        <x:v>AP:P417</x:v>
      </x:c>
      <x:c r="M1735" s="39" t="str"/>
      <x:c r="N1735" s="39" t="str">
        <x:v>نسخه پایه ۳۱۵۰</x:v>
      </x:c>
    </x:row>
    <x:row r="1736" ht="34" customHeight="1">
      <x:c r="A1736" s="34" t="str">
        <x:v>☐</x:v>
      </x:c>
      <x:c r="B1736" s="34" t="str">
        <x:v>MI-0631</x:v>
      </x:c>
      <x:c r="C1736" s="34" t="str">
        <x:v>M3 — کسب‌وکار، شبکه و زیست‌بوم نوآوری</x:v>
      </x:c>
      <x:c r="D1736" s="34" t="str">
        <x:v>H14</x:v>
      </x:c>
      <x:c r="E1736" s="34" t="str">
        <x:v>شبکه‌سازی، افراد و ارتباطات کلیدی</x:v>
      </x:c>
      <x:c r="F1736" s="34" t="str">
        <x:v>P3</x:v>
      </x:c>
      <x:c r="G1736" s="34" t="str">
        <x:v>هدف/موضوع</x:v>
      </x:c>
      <x:c r="H1736" s="39" t="str">
        <x:v>به ترمینال ها</x:v>
      </x:c>
      <x:c r="I1736" s="39" t="str">
        <x:v>زمان‌بندی محدود/شبکه‌ای</x:v>
      </x:c>
      <x:c r="J1736" s="39" t="str">
        <x:v>استراتژیست شبکه و ذی‌نفعان</x:v>
      </x:c>
      <x:c r="K1736" s="39" t="str"/>
      <x:c r="L1736" s="39" t="str">
        <x:v>AP:P418</x:v>
      </x:c>
      <x:c r="M1736" s="39" t="str"/>
      <x:c r="N1736" s="39" t="str">
        <x:v>نسخه پایه ۳۱۵۰</x:v>
      </x:c>
    </x:row>
    <x:row r="1737" ht="34" customHeight="1">
      <x:c r="A1737" s="34" t="str">
        <x:v>☐</x:v>
      </x:c>
      <x:c r="B1737" s="34" t="str">
        <x:v>MI-0632</x:v>
      </x:c>
      <x:c r="C1737" s="34" t="str">
        <x:v>M3 — کسب‌وکار، شبکه و زیست‌بوم نوآوری</x:v>
      </x:c>
      <x:c r="D1737" s="34" t="str">
        <x:v>H14</x:v>
      </x:c>
      <x:c r="E1737" s="34" t="str">
        <x:v>شبکه‌سازی، افراد و ارتباطات کلیدی</x:v>
      </x:c>
      <x:c r="F1737" s="34" t="str">
        <x:v>P3</x:v>
      </x:c>
      <x:c r="G1737" s="34" t="str">
        <x:v>هدف/موضوع</x:v>
      </x:c>
      <x:c r="H1737" s="39" t="str">
        <x:v>به شهرهای نزدیک</x:v>
      </x:c>
      <x:c r="I1737" s="39" t="str">
        <x:v>زمان‌بندی محدود/شبکه‌ای</x:v>
      </x:c>
      <x:c r="J1737" s="39" t="str">
        <x:v>استراتژیست شبکه و ذی‌نفعان</x:v>
      </x:c>
      <x:c r="K1737" s="39" t="str"/>
      <x:c r="L1737" s="39" t="str">
        <x:v>AP:P419</x:v>
      </x:c>
      <x:c r="M1737" s="39" t="str"/>
      <x:c r="N1737" s="39" t="str">
        <x:v>نسخه پایه ۳۱۵۰</x:v>
      </x:c>
    </x:row>
    <x:row r="1738" ht="34" customHeight="1">
      <x:c r="A1738" s="34" t="str">
        <x:v>☐</x:v>
      </x:c>
      <x:c r="B1738" s="34" t="str">
        <x:v>MI-0634</x:v>
      </x:c>
      <x:c r="C1738" s="34" t="str">
        <x:v>M3 — کسب‌وکار، شبکه و زیست‌بوم نوآوری</x:v>
      </x:c>
      <x:c r="D1738" s="34" t="str">
        <x:v>H14</x:v>
      </x:c>
      <x:c r="E1738" s="34" t="str">
        <x:v>شبکه‌سازی، افراد و ارتباطات کلیدی</x:v>
      </x:c>
      <x:c r="F1738" s="34" t="str">
        <x:v>P3</x:v>
      </x:c>
      <x:c r="G1738" s="34" t="str">
        <x:v>هدف/موضوع</x:v>
      </x:c>
      <x:c r="H1738" s="39" t="str">
        <x:v>سراج</x:v>
      </x:c>
      <x:c r="I1738" s="39" t="str">
        <x:v>زمان‌بندی محدود/شبکه‌ای</x:v>
      </x:c>
      <x:c r="J1738" s="39" t="str">
        <x:v>استراتژیست شبکه و ذی‌نفعان</x:v>
      </x:c>
      <x:c r="K1738" s="39" t="str"/>
      <x:c r="L1738" s="39" t="str">
        <x:v>AP:P421؛ AP:P926</x:v>
      </x:c>
      <x:c r="M1738" s="39" t="str"/>
      <x:c r="N1738" s="39" t="str">
        <x:v>نسخه پایه ۳۱۵۰</x:v>
      </x:c>
    </x:row>
    <x:row r="1739" ht="34" customHeight="1">
      <x:c r="A1739" s="34" t="str">
        <x:v>☐</x:v>
      </x:c>
      <x:c r="B1739" s="34" t="str">
        <x:v>MI-0675</x:v>
      </x:c>
      <x:c r="C1739" s="34" t="str">
        <x:v>M3 — کسب‌وکار، شبکه و زیست‌بوم نوآوری</x:v>
      </x:c>
      <x:c r="D1739" s="34" t="str">
        <x:v>H14</x:v>
      </x:c>
      <x:c r="E1739" s="34" t="str">
        <x:v>شبکه‌سازی، افراد و ارتباطات کلیدی</x:v>
      </x:c>
      <x:c r="F1739" s="34" t="str">
        <x:v>P3</x:v>
      </x:c>
      <x:c r="G1739" s="34" t="str">
        <x:v>هدف/موضوع</x:v>
      </x:c>
      <x:c r="H1739" s="39" t="str">
        <x:v>استفاده از لینک ها</x:v>
      </x:c>
      <x:c r="I1739" s="39" t="str">
        <x:v>زمان‌بندی محدود/شبکه‌ای</x:v>
      </x:c>
      <x:c r="J1739" s="39" t="str">
        <x:v>استراتژیست شبکه و ذی‌نفعان</x:v>
      </x:c>
      <x:c r="K1739" s="39" t="str"/>
      <x:c r="L1739" s="39" t="str">
        <x:v>AP:P464</x:v>
      </x:c>
      <x:c r="M1739" s="39" t="str"/>
      <x:c r="N1739" s="39" t="str">
        <x:v>نسخه پایه ۳۱۵۰</x:v>
      </x:c>
    </x:row>
    <x:row r="1740" ht="34" customHeight="1">
      <x:c r="A1740" s="34" t="str">
        <x:v>☐</x:v>
      </x:c>
      <x:c r="B1740" s="34" t="str">
        <x:v>MI-0682</x:v>
      </x:c>
      <x:c r="C1740" s="34" t="str">
        <x:v>M3 — کسب‌وکار، شبکه و زیست‌بوم نوآوری</x:v>
      </x:c>
      <x:c r="D1740" s="34" t="str">
        <x:v>H14</x:v>
      </x:c>
      <x:c r="E1740" s="34" t="str">
        <x:v>شبکه‌سازی، افراد و ارتباطات کلیدی</x:v>
      </x:c>
      <x:c r="F1740" s="34" t="str">
        <x:v>P3</x:v>
      </x:c>
      <x:c r="G1740" s="34" t="str">
        <x:v>هدف/موضوع</x:v>
      </x:c>
      <x:c r="H1740" s="39" t="str">
        <x:v>حفظ و نگه داری افراد و پای کار گذاشتن اونها</x:v>
      </x:c>
      <x:c r="I1740" s="39" t="str">
        <x:v>زمان‌بندی محدود/شبکه‌ای</x:v>
      </x:c>
      <x:c r="J1740" s="39" t="str">
        <x:v>استراتژیست شبکه و ذی‌نفعان</x:v>
      </x:c>
      <x:c r="K1740" s="39" t="str"/>
      <x:c r="L1740" s="39" t="str">
        <x:v>AP:P471</x:v>
      </x:c>
      <x:c r="M1740" s="39" t="str"/>
      <x:c r="N1740" s="39" t="str">
        <x:v>نسخه پایه ۳۱۵۰</x:v>
      </x:c>
    </x:row>
    <x:row r="1741" ht="34" customHeight="1">
      <x:c r="A1741" s="34" t="str">
        <x:v>☐</x:v>
      </x:c>
      <x:c r="B1741" s="34" t="str">
        <x:v>MI-1017</x:v>
      </x:c>
      <x:c r="C1741" s="34" t="str">
        <x:v>M3 — کسب‌وکار، شبکه و زیست‌بوم نوآوری</x:v>
      </x:c>
      <x:c r="D1741" s="34" t="str">
        <x:v>H14</x:v>
      </x:c>
      <x:c r="E1741" s="34" t="str">
        <x:v>شبکه‌سازی، افراد و ارتباطات کلیدی</x:v>
      </x:c>
      <x:c r="F1741" s="34" t="str">
        <x:v>P3</x:v>
      </x:c>
      <x:c r="G1741" s="34" t="str">
        <x:v>هدف/موضوع</x:v>
      </x:c>
      <x:c r="H1741" s="39" t="str">
        <x:v>ارتباط با انجمن علمی</x:v>
      </x:c>
      <x:c r="I1741" s="39" t="str">
        <x:v>زمان‌بندی محدود/شبکه‌ای</x:v>
      </x:c>
      <x:c r="J1741" s="39" t="str">
        <x:v>استراتژیست شبکه و ذی‌نفعان</x:v>
      </x:c>
      <x:c r="K1741" s="39" t="str"/>
      <x:c r="L1741" s="39" t="str">
        <x:v>AP:P854</x:v>
      </x:c>
      <x:c r="M1741" s="39" t="str"/>
      <x:c r="N1741" s="39" t="str">
        <x:v>نسخه پایه ۳۱۵۰</x:v>
      </x:c>
    </x:row>
    <x:row r="1742" ht="34" customHeight="1">
      <x:c r="A1742" s="34" t="str">
        <x:v>☐</x:v>
      </x:c>
      <x:c r="B1742" s="34" t="str">
        <x:v>MI-1022</x:v>
      </x:c>
      <x:c r="C1742" s="34" t="str">
        <x:v>M3 — کسب‌وکار، شبکه و زیست‌بوم نوآوری</x:v>
      </x:c>
      <x:c r="D1742" s="34" t="str">
        <x:v>H14</x:v>
      </x:c>
      <x:c r="E1742" s="34" t="str">
        <x:v>شبکه‌سازی، افراد و ارتباطات کلیدی</x:v>
      </x:c>
      <x:c r="F1742" s="34" t="str">
        <x:v>P3</x:v>
      </x:c>
      <x:c r="G1742" s="34" t="str">
        <x:v>هدف/موضوع</x:v>
      </x:c>
      <x:c r="H1742" s="39" t="str">
        <x:v>لیست آزمایشگاه ها و کارگاه ها به همراه نام مسیول مربوطه</x:v>
      </x:c>
      <x:c r="I1742" s="39" t="str">
        <x:v>زمان‌بندی محدود/شبکه‌ای</x:v>
      </x:c>
      <x:c r="J1742" s="39" t="str">
        <x:v>استراتژیست شبکه و ذی‌نفعان</x:v>
      </x:c>
      <x:c r="K1742" s="39" t="str"/>
      <x:c r="L1742" s="39" t="str">
        <x:v>AP:P860</x:v>
      </x:c>
      <x:c r="M1742" s="39" t="str"/>
      <x:c r="N1742" s="39" t="str">
        <x:v>نسخه پایه ۳۱۵۰</x:v>
      </x:c>
    </x:row>
    <x:row r="1743" ht="34" customHeight="1">
      <x:c r="A1743" s="34" t="str">
        <x:v>☐</x:v>
      </x:c>
      <x:c r="B1743" s="34" t="str">
        <x:v>MI-1024</x:v>
      </x:c>
      <x:c r="C1743" s="34" t="str">
        <x:v>M3 — کسب‌وکار، شبکه و زیست‌بوم نوآوری</x:v>
      </x:c>
      <x:c r="D1743" s="34" t="str">
        <x:v>H14</x:v>
      </x:c>
      <x:c r="E1743" s="34" t="str">
        <x:v>شبکه‌سازی، افراد و ارتباطات کلیدی</x:v>
      </x:c>
      <x:c r="F1743" s="34" t="str">
        <x:v>P3</x:v>
      </x:c>
      <x:c r="G1743" s="34" t="str">
        <x:v>هدف/موضوع</x:v>
      </x:c>
      <x:c r="H1743" s="39" t="str">
        <x:v>ارتباط با کانون</x:v>
      </x:c>
      <x:c r="I1743" s="39" t="str">
        <x:v>زمان‌بندی محدود/شبکه‌ای</x:v>
      </x:c>
      <x:c r="J1743" s="39" t="str">
        <x:v>استراتژیست شبکه و ذی‌نفعان</x:v>
      </x:c>
      <x:c r="K1743" s="39" t="str"/>
      <x:c r="L1743" s="39" t="str">
        <x:v>AP:P864</x:v>
      </x:c>
      <x:c r="M1743" s="39" t="str"/>
      <x:c r="N1743" s="39" t="str">
        <x:v>نسخه پایه ۳۱۵۰</x:v>
      </x:c>
    </x:row>
    <x:row r="1744" ht="34" customHeight="1">
      <x:c r="A1744" s="34" t="str">
        <x:v>☐</x:v>
      </x:c>
      <x:c r="B1744" s="34" t="str">
        <x:v>MI-1025</x:v>
      </x:c>
      <x:c r="C1744" s="34" t="str">
        <x:v>M3 — کسب‌وکار، شبکه و زیست‌بوم نوآوری</x:v>
      </x:c>
      <x:c r="D1744" s="34" t="str">
        <x:v>H14</x:v>
      </x:c>
      <x:c r="E1744" s="34" t="str">
        <x:v>شبکه‌سازی، افراد و ارتباطات کلیدی</x:v>
      </x:c>
      <x:c r="F1744" s="34" t="str">
        <x:v>P3</x:v>
      </x:c>
      <x:c r="G1744" s="34" t="str">
        <x:v>هدف/موضوع</x:v>
      </x:c>
      <x:c r="H1744" s="39" t="str">
        <x:v>کانون خیریه</x:v>
      </x:c>
      <x:c r="I1744" s="39" t="str">
        <x:v>زمان‌بندی محدود/شبکه‌ای</x:v>
      </x:c>
      <x:c r="J1744" s="39" t="str">
        <x:v>استراتژیست شبکه و ذی‌نفعان</x:v>
      </x:c>
      <x:c r="K1744" s="39" t="str"/>
      <x:c r="L1744" s="39" t="str">
        <x:v>AP:P865</x:v>
      </x:c>
      <x:c r="M1744" s="39" t="str"/>
      <x:c r="N1744" s="39" t="str">
        <x:v>نسخه پایه ۳۱۵۰</x:v>
      </x:c>
    </x:row>
    <x:row r="1745" ht="34" customHeight="1">
      <x:c r="A1745" s="34" t="str">
        <x:v>☐</x:v>
      </x:c>
      <x:c r="B1745" s="34" t="str">
        <x:v>MI-1027</x:v>
      </x:c>
      <x:c r="C1745" s="34" t="str">
        <x:v>M3 — کسب‌وکار، شبکه و زیست‌بوم نوآوری</x:v>
      </x:c>
      <x:c r="D1745" s="34" t="str">
        <x:v>H14</x:v>
      </x:c>
      <x:c r="E1745" s="34" t="str">
        <x:v>شبکه‌سازی، افراد و ارتباطات کلیدی</x:v>
      </x:c>
      <x:c r="F1745" s="34" t="str">
        <x:v>P3</x:v>
      </x:c>
      <x:c r="G1745" s="34" t="str">
        <x:v>هدف/موضوع</x:v>
      </x:c>
      <x:c r="H1745" s="39" t="str">
        <x:v>کانون محیط زیست</x:v>
      </x:c>
      <x:c r="I1745" s="39" t="str">
        <x:v>زمان‌بندی محدود/شبکه‌ای</x:v>
      </x:c>
      <x:c r="J1745" s="39" t="str">
        <x:v>استراتژیست شبکه و ذی‌نفعان</x:v>
      </x:c>
      <x:c r="K1745" s="39" t="str"/>
      <x:c r="L1745" s="39" t="str">
        <x:v>AP:P867</x:v>
      </x:c>
      <x:c r="M1745" s="39" t="str"/>
      <x:c r="N1745" s="39" t="str">
        <x:v>نسخه پایه ۳۱۵۰</x:v>
      </x:c>
    </x:row>
    <x:row r="1746" ht="34" customHeight="1">
      <x:c r="A1746" s="34" t="str">
        <x:v>☐</x:v>
      </x:c>
      <x:c r="B1746" s="34" t="str">
        <x:v>MI-1030</x:v>
      </x:c>
      <x:c r="C1746" s="34" t="str">
        <x:v>M3 — کسب‌وکار، شبکه و زیست‌بوم نوآوری</x:v>
      </x:c>
      <x:c r="D1746" s="34" t="str">
        <x:v>H14</x:v>
      </x:c>
      <x:c r="E1746" s="34" t="str">
        <x:v>شبکه‌سازی، افراد و ارتباطات کلیدی</x:v>
      </x:c>
      <x:c r="F1746" s="34" t="str">
        <x:v>P3</x:v>
      </x:c>
      <x:c r="G1746" s="34" t="str">
        <x:v>هدف/موضوع</x:v>
      </x:c>
      <x:c r="H1746" s="39" t="str">
        <x:v>درب بطری و کار خیر ویلچر</x:v>
      </x:c>
      <x:c r="I1746" s="39" t="str">
        <x:v>زمان‌بندی محدود/شبکه‌ای</x:v>
      </x:c>
      <x:c r="J1746" s="39" t="str">
        <x:v>استراتژیست شبکه و ذی‌نفعان</x:v>
      </x:c>
      <x:c r="K1746" s="39" t="str"/>
      <x:c r="L1746" s="39" t="str">
        <x:v>AP:P870</x:v>
      </x:c>
      <x:c r="M1746" s="39" t="str"/>
      <x:c r="N1746" s="39" t="str">
        <x:v>نسخه پایه ۳۱۵۰</x:v>
      </x:c>
    </x:row>
    <x:row r="1747" ht="34" customHeight="1">
      <x:c r="A1747" s="34" t="str">
        <x:v>☐</x:v>
      </x:c>
      <x:c r="B1747" s="34" t="str">
        <x:v>MI-1031</x:v>
      </x:c>
      <x:c r="C1747" s="34" t="str">
        <x:v>M3 — کسب‌وکار، شبکه و زیست‌بوم نوآوری</x:v>
      </x:c>
      <x:c r="D1747" s="34" t="str">
        <x:v>H14</x:v>
      </x:c>
      <x:c r="E1747" s="34" t="str">
        <x:v>شبکه‌سازی، افراد و ارتباطات کلیدی</x:v>
      </x:c>
      <x:c r="F1747" s="34" t="str">
        <x:v>P3</x:v>
      </x:c>
      <x:c r="G1747" s="34" t="str">
        <x:v>هدف/موضوع</x:v>
      </x:c>
      <x:c r="H1747" s="39" t="str">
        <x:v>کانون رسانه</x:v>
      </x:c>
      <x:c r="I1747" s="39" t="str">
        <x:v>زمان‌بندی محدود/شبکه‌ای</x:v>
      </x:c>
      <x:c r="J1747" s="39" t="str">
        <x:v>استراتژیست شبکه و ذی‌نفعان</x:v>
      </x:c>
      <x:c r="K1747" s="39" t="str"/>
      <x:c r="L1747" s="39" t="str">
        <x:v>AP:P871</x:v>
      </x:c>
      <x:c r="M1747" s="39" t="str"/>
      <x:c r="N1747" s="39" t="str">
        <x:v>نسخه پایه ۳۱۵۰</x:v>
      </x:c>
    </x:row>
    <x:row r="1748" ht="34" customHeight="1">
      <x:c r="A1748" s="34" t="str">
        <x:v>☐</x:v>
      </x:c>
      <x:c r="B1748" s="34" t="str">
        <x:v>MI-1033</x:v>
      </x:c>
      <x:c r="C1748" s="34" t="str">
        <x:v>M3 — کسب‌وکار، شبکه و زیست‌بوم نوآوری</x:v>
      </x:c>
      <x:c r="D1748" s="34" t="str">
        <x:v>H14</x:v>
      </x:c>
      <x:c r="E1748" s="34" t="str">
        <x:v>شبکه‌سازی، افراد و ارتباطات کلیدی</x:v>
      </x:c>
      <x:c r="F1748" s="34" t="str">
        <x:v>P3</x:v>
      </x:c>
      <x:c r="G1748" s="34" t="str">
        <x:v>هدف/موضوع</x:v>
      </x:c>
      <x:c r="H1748" s="39" t="str">
        <x:v>ارتباط با انجمن ورزش</x:v>
      </x:c>
      <x:c r="I1748" s="39" t="str">
        <x:v>زمان‌بندی محدود/شبکه‌ای</x:v>
      </x:c>
      <x:c r="J1748" s="39" t="str">
        <x:v>استراتژیست شبکه و ذی‌نفعان</x:v>
      </x:c>
      <x:c r="K1748" s="39" t="str"/>
      <x:c r="L1748" s="39" t="str">
        <x:v>AP:P873</x:v>
      </x:c>
      <x:c r="M1748" s="39" t="str"/>
      <x:c r="N1748" s="39" t="str">
        <x:v>نسخه پایه ۳۱۵۰</x:v>
      </x:c>
    </x:row>
    <x:row r="1749" ht="34" customHeight="1">
      <x:c r="A1749" s="34" t="str">
        <x:v>☐</x:v>
      </x:c>
      <x:c r="B1749" s="34" t="str">
        <x:v>MI-1034</x:v>
      </x:c>
      <x:c r="C1749" s="34" t="str">
        <x:v>M3 — کسب‌وکار، شبکه و زیست‌بوم نوآوری</x:v>
      </x:c>
      <x:c r="D1749" s="34" t="str">
        <x:v>H14</x:v>
      </x:c>
      <x:c r="E1749" s="34" t="str">
        <x:v>شبکه‌سازی، افراد و ارتباطات کلیدی</x:v>
      </x:c>
      <x:c r="F1749" s="34" t="str">
        <x:v>P3</x:v>
      </x:c>
      <x:c r="G1749" s="34" t="str">
        <x:v>هدف/موضوع</x:v>
      </x:c>
      <x:c r="H1749" s="39" t="str">
        <x:v>زمین چمن</x:v>
      </x:c>
      <x:c r="I1749" s="39" t="str">
        <x:v>زمان‌بندی محدود/شبکه‌ای</x:v>
      </x:c>
      <x:c r="J1749" s="39" t="str">
        <x:v>استراتژیست شبکه و ذی‌نفعان</x:v>
      </x:c>
      <x:c r="K1749" s="39" t="str"/>
      <x:c r="L1749" s="39" t="str">
        <x:v>AP:P875</x:v>
      </x:c>
      <x:c r="M1749" s="39" t="str"/>
      <x:c r="N1749" s="39" t="str">
        <x:v>نسخه پایه ۳۱۵۰</x:v>
      </x:c>
    </x:row>
    <x:row r="1750" ht="34" customHeight="1">
      <x:c r="A1750" s="34" t="str">
        <x:v>☐</x:v>
      </x:c>
      <x:c r="B1750" s="34" t="str">
        <x:v>MI-1035</x:v>
      </x:c>
      <x:c r="C1750" s="34" t="str">
        <x:v>M3 — کسب‌وکار، شبکه و زیست‌بوم نوآوری</x:v>
      </x:c>
      <x:c r="D1750" s="34" t="str">
        <x:v>H14</x:v>
      </x:c>
      <x:c r="E1750" s="34" t="str">
        <x:v>شبکه‌سازی، افراد و ارتباطات کلیدی</x:v>
      </x:c>
      <x:c r="F1750" s="34" t="str">
        <x:v>P3</x:v>
      </x:c>
      <x:c r="G1750" s="34" t="str">
        <x:v>هدف/موضوع</x:v>
      </x:c>
      <x:c r="H1750" s="39" t="str">
        <x:v>اتاق بازی و پی اس</x:v>
      </x:c>
      <x:c r="I1750" s="39" t="str">
        <x:v>زمان‌بندی محدود/شبکه‌ای</x:v>
      </x:c>
      <x:c r="J1750" s="39" t="str">
        <x:v>استراتژیست شبکه و ذی‌نفعان</x:v>
      </x:c>
      <x:c r="K1750" s="39" t="str"/>
      <x:c r="L1750" s="39" t="str">
        <x:v>AP:P876</x:v>
      </x:c>
      <x:c r="M1750" s="39" t="str"/>
      <x:c r="N1750" s="39" t="str">
        <x:v>نسخه پایه ۳۱۵۰</x:v>
      </x:c>
    </x:row>
    <x:row r="1751" ht="34" customHeight="1">
      <x:c r="A1751" s="34" t="str">
        <x:v>☐</x:v>
      </x:c>
      <x:c r="B1751" s="34" t="str">
        <x:v>MI-1036</x:v>
      </x:c>
      <x:c r="C1751" s="34" t="str">
        <x:v>M3 — کسب‌وکار، شبکه و زیست‌بوم نوآوری</x:v>
      </x:c>
      <x:c r="D1751" s="34" t="str">
        <x:v>H14</x:v>
      </x:c>
      <x:c r="E1751" s="34" t="str">
        <x:v>شبکه‌سازی، افراد و ارتباطات کلیدی</x:v>
      </x:c>
      <x:c r="F1751" s="34" t="str">
        <x:v>P3</x:v>
      </x:c>
      <x:c r="G1751" s="34" t="str">
        <x:v>هدف/موضوع</x:v>
      </x:c>
      <x:c r="H1751" s="39" t="str">
        <x:v>تجهیز باشگاه</x:v>
      </x:c>
      <x:c r="I1751" s="39" t="str">
        <x:v>زمان‌بندی محدود/شبکه‌ای</x:v>
      </x:c>
      <x:c r="J1751" s="39" t="str">
        <x:v>استراتژیست شبکه و ذی‌نفعان</x:v>
      </x:c>
      <x:c r="K1751" s="39" t="str"/>
      <x:c r="L1751" s="39" t="str">
        <x:v>AP:P877</x:v>
      </x:c>
      <x:c r="M1751" s="39" t="str"/>
      <x:c r="N1751" s="39" t="str">
        <x:v>نسخه پایه ۳۱۵۰</x:v>
      </x:c>
    </x:row>
    <x:row r="1752" ht="34" customHeight="1">
      <x:c r="A1752" s="34" t="str">
        <x:v>☐</x:v>
      </x:c>
      <x:c r="B1752" s="34" t="str">
        <x:v>MI-1038</x:v>
      </x:c>
      <x:c r="C1752" s="34" t="str">
        <x:v>M3 — کسب‌وکار، شبکه و زیست‌بوم نوآوری</x:v>
      </x:c>
      <x:c r="D1752" s="34" t="str">
        <x:v>H14</x:v>
      </x:c>
      <x:c r="E1752" s="34" t="str">
        <x:v>شبکه‌سازی، افراد و ارتباطات کلیدی</x:v>
      </x:c>
      <x:c r="F1752" s="34" t="str">
        <x:v>P3</x:v>
      </x:c>
      <x:c r="G1752" s="34" t="str">
        <x:v>هدف/موضوع</x:v>
      </x:c>
      <x:c r="H1752" s="39" t="str">
        <x:v>ارتباط با صنعت</x:v>
      </x:c>
      <x:c r="I1752" s="39" t="str">
        <x:v>زمان‌بندی محدود/شبکه‌ای</x:v>
      </x:c>
      <x:c r="J1752" s="39" t="str">
        <x:v>استراتژیست شبکه و ذی‌نفعان</x:v>
      </x:c>
      <x:c r="K1752" s="39" t="str"/>
      <x:c r="L1752" s="39" t="str">
        <x:v>AP:P879؛ E112:P2905</x:v>
      </x:c>
      <x:c r="M1752" s="39" t="str"/>
      <x:c r="N1752" s="39" t="str">
        <x:v>نسخه پایه ۳۱۵۰</x:v>
      </x:c>
    </x:row>
    <x:row r="1753" ht="34" customHeight="1">
      <x:c r="A1753" s="34" t="str">
        <x:v>☐</x:v>
      </x:c>
      <x:c r="B1753" s="34" t="str">
        <x:v>MI-1079</x:v>
      </x:c>
      <x:c r="C1753" s="34" t="str">
        <x:v>M3 — کسب‌وکار، شبکه و زیست‌بوم نوآوری</x:v>
      </x:c>
      <x:c r="D1753" s="34" t="str">
        <x:v>H14</x:v>
      </x:c>
      <x:c r="E1753" s="34" t="str">
        <x:v>شبکه‌سازی، افراد و ارتباطات کلیدی</x:v>
      </x:c>
      <x:c r="F1753" s="34" t="str">
        <x:v>P3</x:v>
      </x:c>
      <x:c r="G1753" s="34" t="str">
        <x:v>هدف/موضوع</x:v>
      </x:c>
      <x:c r="H1753" s="39" t="str">
        <x:v>لینک ها</x:v>
      </x:c>
      <x:c r="I1753" s="39" t="str">
        <x:v>زمان‌بندی محدود/شبکه‌ای</x:v>
      </x:c>
      <x:c r="J1753" s="39" t="str">
        <x:v>استراتژیست شبکه و ذی‌نفعان</x:v>
      </x:c>
      <x:c r="K1753" s="39" t="str"/>
      <x:c r="L1753" s="39" t="str">
        <x:v>AP:P925</x:v>
      </x:c>
      <x:c r="M1753" s="39" t="str"/>
      <x:c r="N1753" s="39" t="str">
        <x:v>نسخه پایه ۳۱۵۰</x:v>
      </x:c>
    </x:row>
    <x:row r="1754" ht="34" customHeight="1">
      <x:c r="A1754" s="34" t="str">
        <x:v>☐</x:v>
      </x:c>
      <x:c r="B1754" s="34" t="str">
        <x:v>MI-1080</x:v>
      </x:c>
      <x:c r="C1754" s="34" t="str">
        <x:v>M3 — کسب‌وکار، شبکه و زیست‌بوم نوآوری</x:v>
      </x:c>
      <x:c r="D1754" s="34" t="str">
        <x:v>H14</x:v>
      </x:c>
      <x:c r="E1754" s="34" t="str">
        <x:v>شبکه‌سازی، افراد و ارتباطات کلیدی</x:v>
      </x:c>
      <x:c r="F1754" s="34" t="str">
        <x:v>P3</x:v>
      </x:c>
      <x:c r="G1754" s="34" t="str">
        <x:v>هدف/موضوع</x:v>
      </x:c>
      <x:c r="H1754" s="39" t="str">
        <x:v>اردبیلی پور</x:v>
      </x:c>
      <x:c r="I1754" s="39" t="str">
        <x:v>زمان‌بندی محدود/شبکه‌ای</x:v>
      </x:c>
      <x:c r="J1754" s="39" t="str">
        <x:v>استراتژیست شبکه و ذی‌نفعان</x:v>
      </x:c>
      <x:c r="K1754" s="39" t="str"/>
      <x:c r="L1754" s="39" t="str">
        <x:v>AP:P927</x:v>
      </x:c>
      <x:c r="M1754" s="39" t="str"/>
      <x:c r="N1754" s="39" t="str">
        <x:v>نسخه پایه ۳۱۵۰</x:v>
      </x:c>
    </x:row>
    <x:row r="1755" ht="34" customHeight="1">
      <x:c r="A1755" s="34" t="str">
        <x:v>☐</x:v>
      </x:c>
      <x:c r="B1755" s="34" t="str">
        <x:v>MI-1081</x:v>
      </x:c>
      <x:c r="C1755" s="34" t="str">
        <x:v>M3 — کسب‌وکار، شبکه و زیست‌بوم نوآوری</x:v>
      </x:c>
      <x:c r="D1755" s="34" t="str">
        <x:v>H14</x:v>
      </x:c>
      <x:c r="E1755" s="34" t="str">
        <x:v>شبکه‌سازی، افراد و ارتباطات کلیدی</x:v>
      </x:c>
      <x:c r="F1755" s="34" t="str">
        <x:v>P3</x:v>
      </x:c>
      <x:c r="G1755" s="34" t="str">
        <x:v>هدف/موضوع</x:v>
      </x:c>
      <x:c r="H1755" s="39" t="str">
        <x:v>اخزری</x:v>
      </x:c>
      <x:c r="I1755" s="39" t="str">
        <x:v>زمان‌بندی محدود/شبکه‌ای</x:v>
      </x:c>
      <x:c r="J1755" s="39" t="str">
        <x:v>استراتژیست شبکه و ذی‌نفعان</x:v>
      </x:c>
      <x:c r="K1755" s="39" t="str"/>
      <x:c r="L1755" s="39" t="str">
        <x:v>AP:P928</x:v>
      </x:c>
      <x:c r="M1755" s="39" t="str"/>
      <x:c r="N1755" s="39" t="str">
        <x:v>نسخه پایه ۳۱۵۰</x:v>
      </x:c>
    </x:row>
    <x:row r="1756" ht="34" customHeight="1">
      <x:c r="A1756" s="34" t="str">
        <x:v>☐</x:v>
      </x:c>
      <x:c r="B1756" s="34" t="str">
        <x:v>MI-1082</x:v>
      </x:c>
      <x:c r="C1756" s="34" t="str">
        <x:v>M3 — کسب‌وکار، شبکه و زیست‌بوم نوآوری</x:v>
      </x:c>
      <x:c r="D1756" s="34" t="str">
        <x:v>H14</x:v>
      </x:c>
      <x:c r="E1756" s="34" t="str">
        <x:v>شبکه‌سازی، افراد و ارتباطات کلیدی</x:v>
      </x:c>
      <x:c r="F1756" s="34" t="str">
        <x:v>P3</x:v>
      </x:c>
      <x:c r="G1756" s="34" t="str">
        <x:v>هدف/موضوع</x:v>
      </x:c>
      <x:c r="H1756" s="39" t="str">
        <x:v>جواد خانی</x:v>
      </x:c>
      <x:c r="I1756" s="39" t="str">
        <x:v>زمان‌بندی محدود/شبکه‌ای</x:v>
      </x:c>
      <x:c r="J1756" s="39" t="str">
        <x:v>استراتژیست شبکه و ذی‌نفعان</x:v>
      </x:c>
      <x:c r="K1756" s="39" t="str"/>
      <x:c r="L1756" s="39" t="str">
        <x:v>AP:P929</x:v>
      </x:c>
      <x:c r="M1756" s="39" t="str"/>
      <x:c r="N1756" s="39" t="str">
        <x:v>نسخه پایه ۳۱۵۰</x:v>
      </x:c>
    </x:row>
    <x:row r="1757" ht="34" customHeight="1">
      <x:c r="A1757" s="34" t="str">
        <x:v>☐</x:v>
      </x:c>
      <x:c r="B1757" s="34" t="str">
        <x:v>MI-1083</x:v>
      </x:c>
      <x:c r="C1757" s="34" t="str">
        <x:v>M3 — کسب‌وکار، شبکه و زیست‌بوم نوآوری</x:v>
      </x:c>
      <x:c r="D1757" s="34" t="str">
        <x:v>H14</x:v>
      </x:c>
      <x:c r="E1757" s="34" t="str">
        <x:v>شبکه‌سازی، افراد و ارتباطات کلیدی</x:v>
      </x:c>
      <x:c r="F1757" s="34" t="str">
        <x:v>P3</x:v>
      </x:c>
      <x:c r="G1757" s="34" t="str">
        <x:v>هدف/موضوع</x:v>
      </x:c>
      <x:c r="H1757" s="39" t="str">
        <x:v>سینا رضوی</x:v>
      </x:c>
      <x:c r="I1757" s="39" t="str">
        <x:v>زمان‌بندی محدود/شبکه‌ای</x:v>
      </x:c>
      <x:c r="J1757" s="39" t="str">
        <x:v>استراتژیست شبکه و ذی‌نفعان</x:v>
      </x:c>
      <x:c r="K1757" s="39" t="str"/>
      <x:c r="L1757" s="39" t="str">
        <x:v>AP:P930</x:v>
      </x:c>
      <x:c r="M1757" s="39" t="str"/>
      <x:c r="N1757" s="39" t="str">
        <x:v>نسخه پایه ۳۱۵۰</x:v>
      </x:c>
    </x:row>
    <x:row r="1758" ht="34" customHeight="1">
      <x:c r="A1758" s="34" t="str">
        <x:v>☐</x:v>
      </x:c>
      <x:c r="B1758" s="34" t="str">
        <x:v>MI-1084</x:v>
      </x:c>
      <x:c r="C1758" s="34" t="str">
        <x:v>M3 — کسب‌وکار، شبکه و زیست‌بوم نوآوری</x:v>
      </x:c>
      <x:c r="D1758" s="34" t="str">
        <x:v>H14</x:v>
      </x:c>
      <x:c r="E1758" s="34" t="str">
        <x:v>شبکه‌سازی، افراد و ارتباطات کلیدی</x:v>
      </x:c>
      <x:c r="F1758" s="34" t="str">
        <x:v>P3</x:v>
      </x:c>
      <x:c r="G1758" s="34" t="str">
        <x:v>هدف/موضوع</x:v>
      </x:c>
      <x:c r="H1758" s="39" t="str">
        <x:v>تماس با :</x:v>
      </x:c>
      <x:c r="I1758" s="39" t="str">
        <x:v>زمان‌بندی محدود/شبکه‌ای</x:v>
      </x:c>
      <x:c r="J1758" s="39" t="str">
        <x:v>استراتژیست شبکه و ذی‌نفعان</x:v>
      </x:c>
      <x:c r="K1758" s="39" t="str"/>
      <x:c r="L1758" s="39" t="str">
        <x:v>AP:P931</x:v>
      </x:c>
      <x:c r="M1758" s="39" t="str"/>
      <x:c r="N1758" s="39" t="str">
        <x:v>نسخه پایه ۳۱۵۰</x:v>
      </x:c>
    </x:row>
    <x:row r="1759" ht="34" customHeight="1">
      <x:c r="A1759" s="34" t="str">
        <x:v>☐</x:v>
      </x:c>
      <x:c r="B1759" s="34" t="str">
        <x:v>MI-1085</x:v>
      </x:c>
      <x:c r="C1759" s="34" t="str">
        <x:v>M3 — کسب‌وکار، شبکه و زیست‌بوم نوآوری</x:v>
      </x:c>
      <x:c r="D1759" s="34" t="str">
        <x:v>H14</x:v>
      </x:c>
      <x:c r="E1759" s="34" t="str">
        <x:v>شبکه‌سازی، افراد و ارتباطات کلیدی</x:v>
      </x:c>
      <x:c r="F1759" s="34" t="str">
        <x:v>P3</x:v>
      </x:c>
      <x:c r="G1759" s="34" t="str">
        <x:v>هدف/موضوع</x:v>
      </x:c>
      <x:c r="H1759" s="39" t="str">
        <x:v>طبسی</x:v>
      </x:c>
      <x:c r="I1759" s="39" t="str">
        <x:v>زمان‌بندی محدود/شبکه‌ای</x:v>
      </x:c>
      <x:c r="J1759" s="39" t="str">
        <x:v>استراتژیست شبکه و ذی‌نفعان</x:v>
      </x:c>
      <x:c r="K1759" s="39" t="str"/>
      <x:c r="L1759" s="39" t="str">
        <x:v>AP:P932</x:v>
      </x:c>
      <x:c r="M1759" s="39" t="str"/>
      <x:c r="N1759" s="39" t="str">
        <x:v>نسخه پایه ۳۱۵۰</x:v>
      </x:c>
    </x:row>
    <x:row r="1760" ht="34" customHeight="1">
      <x:c r="A1760" s="34" t="str">
        <x:v>☐</x:v>
      </x:c>
      <x:c r="B1760" s="34" t="str">
        <x:v>MI-1086</x:v>
      </x:c>
      <x:c r="C1760" s="34" t="str">
        <x:v>M3 — کسب‌وکار، شبکه و زیست‌بوم نوآوری</x:v>
      </x:c>
      <x:c r="D1760" s="34" t="str">
        <x:v>H14</x:v>
      </x:c>
      <x:c r="E1760" s="34" t="str">
        <x:v>شبکه‌سازی، افراد و ارتباطات کلیدی</x:v>
      </x:c>
      <x:c r="F1760" s="34" t="str">
        <x:v>P3</x:v>
      </x:c>
      <x:c r="G1760" s="34" t="str">
        <x:v>هدف/موضوع</x:v>
      </x:c>
      <x:c r="H1760" s="39" t="str">
        <x:v>مدنی</x:v>
      </x:c>
      <x:c r="I1760" s="39" t="str">
        <x:v>زمان‌بندی محدود/شبکه‌ای</x:v>
      </x:c>
      <x:c r="J1760" s="39" t="str">
        <x:v>استراتژیست شبکه و ذی‌نفعان</x:v>
      </x:c>
      <x:c r="K1760" s="39" t="str"/>
      <x:c r="L1760" s="39" t="str">
        <x:v>AP:P933</x:v>
      </x:c>
      <x:c r="M1760" s="39" t="str"/>
      <x:c r="N1760" s="39" t="str">
        <x:v>نسخه پایه ۳۱۵۰</x:v>
      </x:c>
    </x:row>
    <x:row r="1761" ht="34" customHeight="1">
      <x:c r="A1761" s="34" t="str">
        <x:v>☐</x:v>
      </x:c>
      <x:c r="B1761" s="34" t="str">
        <x:v>MI-1087</x:v>
      </x:c>
      <x:c r="C1761" s="34" t="str">
        <x:v>M3 — کسب‌وکار، شبکه و زیست‌بوم نوآوری</x:v>
      </x:c>
      <x:c r="D1761" s="34" t="str">
        <x:v>H14</x:v>
      </x:c>
      <x:c r="E1761" s="34" t="str">
        <x:v>شبکه‌سازی، افراد و ارتباطات کلیدی</x:v>
      </x:c>
      <x:c r="F1761" s="34" t="str">
        <x:v>P3</x:v>
      </x:c>
      <x:c r="G1761" s="34" t="str">
        <x:v>هدف/موضوع</x:v>
      </x:c>
      <x:c r="H1761" s="39" t="str">
        <x:v>هوشمند</x:v>
      </x:c>
      <x:c r="I1761" s="39" t="str">
        <x:v>زمان‌بندی محدود/شبکه‌ای</x:v>
      </x:c>
      <x:c r="J1761" s="39" t="str">
        <x:v>استراتژیست شبکه و ذی‌نفعان</x:v>
      </x:c>
      <x:c r="K1761" s="39" t="str"/>
      <x:c r="L1761" s="39" t="str">
        <x:v>AP:P934</x:v>
      </x:c>
      <x:c r="M1761" s="39" t="str"/>
      <x:c r="N1761" s="39" t="str">
        <x:v>نسخه پایه ۳۱۵۰</x:v>
      </x:c>
    </x:row>
    <x:row r="1762" ht="34" customHeight="1">
      <x:c r="A1762" s="34" t="str">
        <x:v>☐</x:v>
      </x:c>
      <x:c r="B1762" s="34" t="str">
        <x:v>MI-1088</x:v>
      </x:c>
      <x:c r="C1762" s="34" t="str">
        <x:v>M3 — کسب‌وکار، شبکه و زیست‌بوم نوآوری</x:v>
      </x:c>
      <x:c r="D1762" s="34" t="str">
        <x:v>H14</x:v>
      </x:c>
      <x:c r="E1762" s="34" t="str">
        <x:v>شبکه‌سازی، افراد و ارتباطات کلیدی</x:v>
      </x:c>
      <x:c r="F1762" s="34" t="str">
        <x:v>P3</x:v>
      </x:c>
      <x:c r="G1762" s="34" t="str">
        <x:v>هدف/موضوع</x:v>
      </x:c>
      <x:c r="H1762" s="39" t="str">
        <x:v>حق شناس</x:v>
      </x:c>
      <x:c r="I1762" s="39" t="str">
        <x:v>زمان‌بندی محدود/شبکه‌ای</x:v>
      </x:c>
      <x:c r="J1762" s="39" t="str">
        <x:v>استراتژیست شبکه و ذی‌نفعان</x:v>
      </x:c>
      <x:c r="K1762" s="39" t="str"/>
      <x:c r="L1762" s="39" t="str">
        <x:v>AP:P935</x:v>
      </x:c>
      <x:c r="M1762" s="39" t="str"/>
      <x:c r="N1762" s="39" t="str">
        <x:v>نسخه پایه ۳۱۵۰</x:v>
      </x:c>
    </x:row>
    <x:row r="1763" ht="34" customHeight="1">
      <x:c r="A1763" s="34" t="str">
        <x:v>☐</x:v>
      </x:c>
      <x:c r="B1763" s="34" t="str">
        <x:v>MI-1089</x:v>
      </x:c>
      <x:c r="C1763" s="34" t="str">
        <x:v>M3 — کسب‌وکار، شبکه و زیست‌بوم نوآوری</x:v>
      </x:c>
      <x:c r="D1763" s="34" t="str">
        <x:v>H14</x:v>
      </x:c>
      <x:c r="E1763" s="34" t="str">
        <x:v>شبکه‌سازی، افراد و ارتباطات کلیدی</x:v>
      </x:c>
      <x:c r="F1763" s="34" t="str">
        <x:v>P3</x:v>
      </x:c>
      <x:c r="G1763" s="34" t="str">
        <x:v>هدف/موضوع</x:v>
      </x:c>
      <x:c r="H1763" s="39" t="str">
        <x:v>مهدی تیما</x:v>
      </x:c>
      <x:c r="I1763" s="39" t="str">
        <x:v>زمان‌بندی محدود/شبکه‌ای</x:v>
      </x:c>
      <x:c r="J1763" s="39" t="str">
        <x:v>استراتژیست شبکه و ذی‌نفعان</x:v>
      </x:c>
      <x:c r="K1763" s="39" t="str"/>
      <x:c r="L1763" s="39" t="str">
        <x:v>AP:P936</x:v>
      </x:c>
      <x:c r="M1763" s="39" t="str"/>
      <x:c r="N1763" s="39" t="str">
        <x:v>نسخه پایه ۳۱۵۰</x:v>
      </x:c>
    </x:row>
    <x:row r="1764" ht="34" customHeight="1">
      <x:c r="A1764" s="34" t="str">
        <x:v>☐</x:v>
      </x:c>
      <x:c r="B1764" s="34" t="str">
        <x:v>MI-1097</x:v>
      </x:c>
      <x:c r="C1764" s="34" t="str">
        <x:v>M3 — کسب‌وکار، شبکه و زیست‌بوم نوآوری</x:v>
      </x:c>
      <x:c r="D1764" s="34" t="str">
        <x:v>H14</x:v>
      </x:c>
      <x:c r="E1764" s="34" t="str">
        <x:v>شبکه‌سازی، افراد و ارتباطات کلیدی</x:v>
      </x:c>
      <x:c r="F1764" s="34" t="str">
        <x:v>P3</x:v>
      </x:c>
      <x:c r="G1764" s="34" t="str">
        <x:v>هدف/موضوع</x:v>
      </x:c>
      <x:c r="H1764" s="39" t="str">
        <x:v>ستاد توسعه تهران</x:v>
      </x:c>
      <x:c r="I1764" s="39" t="str">
        <x:v>زمان‌بندی محدود/شبکه‌ای</x:v>
      </x:c>
      <x:c r="J1764" s="39" t="str">
        <x:v>استراتژیست شبکه و ذی‌نفعان</x:v>
      </x:c>
      <x:c r="K1764" s="39" t="str"/>
      <x:c r="L1764" s="39" t="str">
        <x:v>AP:P944</x:v>
      </x:c>
      <x:c r="M1764" s="39" t="str"/>
      <x:c r="N1764" s="39" t="str">
        <x:v>نسخه پایه ۳۱۵۰</x:v>
      </x:c>
    </x:row>
    <x:row r="1765" ht="34" customHeight="1">
      <x:c r="A1765" s="34" t="str">
        <x:v>☐</x:v>
      </x:c>
      <x:c r="B1765" s="34" t="str">
        <x:v>MI-1098</x:v>
      </x:c>
      <x:c r="C1765" s="34" t="str">
        <x:v>M3 — کسب‌وکار، شبکه و زیست‌بوم نوآوری</x:v>
      </x:c>
      <x:c r="D1765" s="34" t="str">
        <x:v>H14</x:v>
      </x:c>
      <x:c r="E1765" s="34" t="str">
        <x:v>شبکه‌سازی، افراد و ارتباطات کلیدی</x:v>
      </x:c>
      <x:c r="F1765" s="34" t="str">
        <x:v>P3</x:v>
      </x:c>
      <x:c r="G1765" s="34" t="str">
        <x:v>هدف/موضوع</x:v>
      </x:c>
      <x:c r="H1765" s="39" t="str">
        <x:v>پارک فناوری پردیس</x:v>
      </x:c>
      <x:c r="I1765" s="39" t="str">
        <x:v>زمان‌بندی محدود/شبکه‌ای</x:v>
      </x:c>
      <x:c r="J1765" s="39" t="str">
        <x:v>استراتژیست شبکه و ذی‌نفعان</x:v>
      </x:c>
      <x:c r="K1765" s="39" t="str"/>
      <x:c r="L1765" s="39" t="str">
        <x:v>AP:P945</x:v>
      </x:c>
      <x:c r="M1765" s="39" t="str"/>
      <x:c r="N1765" s="39" t="str">
        <x:v>نسخه پایه ۳۱۵۰</x:v>
      </x:c>
    </x:row>
    <x:row r="1766" ht="34" customHeight="1">
      <x:c r="A1766" s="34" t="str">
        <x:v>☐</x:v>
      </x:c>
      <x:c r="B1766" s="34" t="str">
        <x:v>MI-1157</x:v>
      </x:c>
      <x:c r="C1766" s="34" t="str">
        <x:v>M3 — کسب‌وکار، شبکه و زیست‌بوم نوآوری</x:v>
      </x:c>
      <x:c r="D1766" s="34" t="str">
        <x:v>H14</x:v>
      </x:c>
      <x:c r="E1766" s="34" t="str">
        <x:v>شبکه‌سازی، افراد و ارتباطات کلیدی</x:v>
      </x:c>
      <x:c r="F1766" s="34" t="str">
        <x:v>P3</x:v>
      </x:c>
      <x:c r="G1766" s="34" t="str">
        <x:v>هدف/موضوع</x:v>
      </x:c>
      <x:c r="H1766" s="39" t="str">
        <x:v>هدایت تحصیلی همه افراد نیروی انسانی</x:v>
      </x:c>
      <x:c r="I1766" s="39" t="str">
        <x:v>زمان‌بندی محدود/شبکه‌ای</x:v>
      </x:c>
      <x:c r="J1766" s="39" t="str">
        <x:v>استراتژیست شبکه و ذی‌نفعان</x:v>
      </x:c>
      <x:c r="K1766" s="39" t="str"/>
      <x:c r="L1766" s="39" t="str">
        <x:v>AP:P1007</x:v>
      </x:c>
      <x:c r="M1766" s="39" t="str"/>
      <x:c r="N1766" s="39" t="str">
        <x:v>نسخه پایه ۳۱۵۰</x:v>
      </x:c>
    </x:row>
    <x:row r="1767" ht="34" customHeight="1">
      <x:c r="A1767" s="34" t="str">
        <x:v>☐</x:v>
      </x:c>
      <x:c r="B1767" s="34" t="str">
        <x:v>MI-1158</x:v>
      </x:c>
      <x:c r="C1767" s="34" t="str">
        <x:v>M3 — کسب‌وکار، شبکه و زیست‌بوم نوآوری</x:v>
      </x:c>
      <x:c r="D1767" s="34" t="str">
        <x:v>H14</x:v>
      </x:c>
      <x:c r="E1767" s="34" t="str">
        <x:v>شبکه‌سازی، افراد و ارتباطات کلیدی</x:v>
      </x:c>
      <x:c r="F1767" s="34" t="str">
        <x:v>P3</x:v>
      </x:c>
      <x:c r="G1767" s="34" t="str">
        <x:v>هدف/موضوع</x:v>
      </x:c>
      <x:c r="H1767" s="39" t="str">
        <x:v>فن جو</x:v>
      </x:c>
      <x:c r="I1767" s="39" t="str">
        <x:v>زمان‌بندی محدود/شبکه‌ای</x:v>
      </x:c>
      <x:c r="J1767" s="39" t="str">
        <x:v>استراتژیست شبکه و ذی‌نفعان</x:v>
      </x:c>
      <x:c r="K1767" s="39" t="str"/>
      <x:c r="L1767" s="39" t="str">
        <x:v>AP:P1009</x:v>
      </x:c>
      <x:c r="M1767" s="39" t="str"/>
      <x:c r="N1767" s="39" t="str">
        <x:v>نسخه پایه ۳۱۵۰</x:v>
      </x:c>
    </x:row>
    <x:row r="1768" ht="34" customHeight="1">
      <x:c r="A1768" s="34" t="str">
        <x:v>☐</x:v>
      </x:c>
      <x:c r="B1768" s="34" t="str">
        <x:v>MI-1181</x:v>
      </x:c>
      <x:c r="C1768" s="34" t="str">
        <x:v>M3 — کسب‌وکار، شبکه و زیست‌بوم نوآوری</x:v>
      </x:c>
      <x:c r="D1768" s="34" t="str">
        <x:v>H14</x:v>
      </x:c>
      <x:c r="E1768" s="34" t="str">
        <x:v>شبکه‌سازی، افراد و ارتباطات کلیدی</x:v>
      </x:c>
      <x:c r="F1768" s="34" t="str">
        <x:v>P3</x:v>
      </x:c>
      <x:c r="G1768" s="34" t="str">
        <x:v>هدف/موضوع</x:v>
      </x:c>
      <x:c r="H1768" s="39" t="str">
        <x:v>آقا طاها و افرادی که معرفی خواهد کرد</x:v>
      </x:c>
      <x:c r="I1768" s="39" t="str">
        <x:v>زمان‌بندی محدود/شبکه‌ای</x:v>
      </x:c>
      <x:c r="J1768" s="39" t="str">
        <x:v>استراتژیست شبکه و ذی‌نفعان</x:v>
      </x:c>
      <x:c r="K1768" s="39" t="str"/>
      <x:c r="L1768" s="39" t="str">
        <x:v>AP:P1036</x:v>
      </x:c>
      <x:c r="M1768" s="39" t="str"/>
      <x:c r="N1768" s="39" t="str">
        <x:v>نسخه پایه ۳۱۵۰</x:v>
      </x:c>
    </x:row>
    <x:row r="1769" ht="34" customHeight="1">
      <x:c r="A1769" s="34" t="str">
        <x:v>☐</x:v>
      </x:c>
      <x:c r="B1769" s="34" t="str">
        <x:v>MI-1515</x:v>
      </x:c>
      <x:c r="C1769" s="34" t="str">
        <x:v>M3 — کسب‌وکار، شبکه و زیست‌بوم نوآوری</x:v>
      </x:c>
      <x:c r="D1769" s="34" t="str">
        <x:v>H14</x:v>
      </x:c>
      <x:c r="E1769" s="34" t="str">
        <x:v>شبکه‌سازی، افراد و ارتباطات کلیدی</x:v>
      </x:c>
      <x:c r="F1769" s="34" t="str">
        <x:v>P3</x:v>
      </x:c>
      <x:c r="G1769" s="34" t="str">
        <x:v>هدف/موضوع</x:v>
      </x:c>
      <x:c r="H1769" s="39" t="str">
        <x:v>ارتباط با افراد در زمینه بورس</x:v>
      </x:c>
      <x:c r="I1769" s="39" t="str">
        <x:v>زمان‌بندی محدود/شبکه‌ای</x:v>
      </x:c>
      <x:c r="J1769" s="39" t="str">
        <x:v>استراتژیست شبکه و ذی‌نفعان</x:v>
      </x:c>
      <x:c r="K1769" s="39" t="str"/>
      <x:c r="L1769" s="39" t="str">
        <x:v>AP:P1474</x:v>
      </x:c>
      <x:c r="M1769" s="39" t="str"/>
      <x:c r="N1769" s="39" t="str">
        <x:v>نسخه پایه ۳۱۵۰</x:v>
      </x:c>
    </x:row>
    <x:row r="1770" ht="34" customHeight="1">
      <x:c r="A1770" s="34" t="str">
        <x:v>☐</x:v>
      </x:c>
      <x:c r="B1770" s="34" t="str">
        <x:v>MI-1550</x:v>
      </x:c>
      <x:c r="C1770" s="34" t="str">
        <x:v>M3 — کسب‌وکار، شبکه و زیست‌بوم نوآوری</x:v>
      </x:c>
      <x:c r="D1770" s="34" t="str">
        <x:v>H14</x:v>
      </x:c>
      <x:c r="E1770" s="34" t="str">
        <x:v>شبکه‌سازی، افراد و ارتباطات کلیدی</x:v>
      </x:c>
      <x:c r="F1770" s="34" t="str">
        <x:v>P3</x:v>
      </x:c>
      <x:c r="G1770" s="34" t="str">
        <x:v>هدف/موضوع</x:v>
      </x:c>
      <x:c r="H1770" s="39" t="str">
        <x:v>استادکار</x:v>
      </x:c>
      <x:c r="I1770" s="39" t="str">
        <x:v>زمان‌بندی محدود/شبکه‌ای</x:v>
      </x:c>
      <x:c r="J1770" s="39" t="str">
        <x:v>استراتژیست شبکه و ذی‌نفعان</x:v>
      </x:c>
      <x:c r="K1770" s="39" t="str"/>
      <x:c r="L1770" s="39" t="str">
        <x:v>AP:P1534</x:v>
      </x:c>
      <x:c r="M1770" s="39" t="str"/>
      <x:c r="N1770" s="39" t="str">
        <x:v>نسخه پایه ۳۱۵۰</x:v>
      </x:c>
    </x:row>
    <x:row r="1771" ht="34" customHeight="1">
      <x:c r="A1771" s="34" t="str">
        <x:v>☐</x:v>
      </x:c>
      <x:c r="B1771" s="34" t="str">
        <x:v>MI-1587</x:v>
      </x:c>
      <x:c r="C1771" s="34" t="str">
        <x:v>M3 — کسب‌وکار، شبکه و زیست‌بوم نوآوری</x:v>
      </x:c>
      <x:c r="D1771" s="34" t="str">
        <x:v>H14</x:v>
      </x:c>
      <x:c r="E1771" s="34" t="str">
        <x:v>شبکه‌سازی، افراد و ارتباطات کلیدی</x:v>
      </x:c>
      <x:c r="F1771" s="34" t="str">
        <x:v>P3</x:v>
      </x:c>
      <x:c r="G1771" s="34" t="str">
        <x:v>هدف/موضوع</x:v>
      </x:c>
      <x:c r="H1771" s="39" t="str">
        <x:v>لینک بگیری</x:v>
      </x:c>
      <x:c r="I1771" s="39" t="str">
        <x:v>زمان‌بندی محدود/شبکه‌ای</x:v>
      </x:c>
      <x:c r="J1771" s="39" t="str">
        <x:v>استراتژیست شبکه و ذی‌نفعان</x:v>
      </x:c>
      <x:c r="K1771" s="39" t="str"/>
      <x:c r="L1771" s="39" t="str">
        <x:v>E112:P29؛ E112:P1809؛ E112:P2275</x:v>
      </x:c>
      <x:c r="M1771" s="39" t="str"/>
      <x:c r="N1771" s="39" t="str">
        <x:v>نسخه پایه ۳۱۵۰</x:v>
      </x:c>
    </x:row>
    <x:row r="1772" ht="34" customHeight="1">
      <x:c r="A1772" s="34" t="str">
        <x:v>☐</x:v>
      </x:c>
      <x:c r="B1772" s="34" t="str">
        <x:v>MI-1589</x:v>
      </x:c>
      <x:c r="C1772" s="34" t="str">
        <x:v>M3 — کسب‌وکار، شبکه و زیست‌بوم نوآوری</x:v>
      </x:c>
      <x:c r="D1772" s="34" t="str">
        <x:v>H14</x:v>
      </x:c>
      <x:c r="E1772" s="34" t="str">
        <x:v>شبکه‌سازی، افراد و ارتباطات کلیدی</x:v>
      </x:c>
      <x:c r="F1772" s="34" t="str">
        <x:v>P3</x:v>
      </x:c>
      <x:c r="G1772" s="34" t="str">
        <x:v>هدف/موضوع</x:v>
      </x:c>
      <x:c r="H1772" s="39" t="str">
        <x:v>ظرفیت های لینک و اشنایی با سرمایه گذاران و امثالهم میتونه در پارک های علم فناوری رقم بخوره</x:v>
      </x:c>
      <x:c r="I1772" s="39" t="str">
        <x:v>زمان‌بندی محدود/شبکه‌ای</x:v>
      </x:c>
      <x:c r="J1772" s="39" t="str">
        <x:v>استراتژیست شبکه و ذی‌نفعان</x:v>
      </x:c>
      <x:c r="K1772" s="39" t="str"/>
      <x:c r="L1772" s="39" t="str">
        <x:v>E112:P37؛ E112:P1817؛ E112:P2283</x:v>
      </x:c>
      <x:c r="M1772" s="39" t="str"/>
      <x:c r="N1772" s="39" t="str">
        <x:v>نسخه پایه ۳۱۵۰</x:v>
      </x:c>
    </x:row>
    <x:row r="1773" ht="34" customHeight="1">
      <x:c r="A1773" s="34" t="str">
        <x:v>☐</x:v>
      </x:c>
      <x:c r="B1773" s="34" t="str">
        <x:v>MI-1729</x:v>
      </x:c>
      <x:c r="C1773" s="34" t="str">
        <x:v>M3 — کسب‌وکار، شبکه و زیست‌بوم نوآوری</x:v>
      </x:c>
      <x:c r="D1773" s="34" t="str">
        <x:v>H14</x:v>
      </x:c>
      <x:c r="E1773" s="34" t="str">
        <x:v>شبکه‌سازی، افراد و ارتباطات کلیدی</x:v>
      </x:c>
      <x:c r="F1773" s="34" t="str">
        <x:v>P3</x:v>
      </x:c>
      <x:c r="G1773" s="34" t="str">
        <x:v>هدف/موضوع</x:v>
      </x:c>
      <x:c r="H1773" s="39" t="str">
        <x:v>صرفاً ارتباط یا لینک</x:v>
      </x:c>
      <x:c r="I1773" s="39" t="str">
        <x:v>زمان‌بندی محدود/شبکه‌ای</x:v>
      </x:c>
      <x:c r="J1773" s="39" t="str">
        <x:v>استراتژیست شبکه و ذی‌نفعان</x:v>
      </x:c>
      <x:c r="K1773" s="39" t="str"/>
      <x:c r="L1773" s="39" t="str">
        <x:v>E112:P202</x:v>
      </x:c>
      <x:c r="M1773" s="39" t="str"/>
      <x:c r="N1773" s="39" t="str">
        <x:v>نسخه پایه ۳۱۵۰</x:v>
      </x:c>
    </x:row>
    <x:row r="1774" ht="34" customHeight="1">
      <x:c r="A1774" s="34" t="str">
        <x:v>☐</x:v>
      </x:c>
      <x:c r="B1774" s="34" t="str">
        <x:v>MI-1767</x:v>
      </x:c>
      <x:c r="C1774" s="34" t="str">
        <x:v>M3 — کسب‌وکار، شبکه و زیست‌بوم نوآوری</x:v>
      </x:c>
      <x:c r="D1774" s="34" t="str">
        <x:v>H14</x:v>
      </x:c>
      <x:c r="E1774" s="34" t="str">
        <x:v>شبکه‌سازی، افراد و ارتباطات کلیدی</x:v>
      </x:c>
      <x:c r="F1774" s="34" t="str">
        <x:v>P3</x:v>
      </x:c>
      <x:c r="G1774" s="34" t="str">
        <x:v>هدف/موضوع</x:v>
      </x:c>
      <x:c r="H1774" s="39" t="str">
        <x:v>کامیونیتی های لینکدین</x:v>
      </x:c>
      <x:c r="I1774" s="39" t="str">
        <x:v>زمان‌بندی محدود/شبکه‌ای</x:v>
      </x:c>
      <x:c r="J1774" s="39" t="str">
        <x:v>استراتژیست شبکه و ذی‌نفعان</x:v>
      </x:c>
      <x:c r="K1774" s="39" t="str"/>
      <x:c r="L1774" s="39" t="str">
        <x:v>E112:P255</x:v>
      </x:c>
      <x:c r="M1774" s="39" t="str"/>
      <x:c r="N1774" s="39" t="str">
        <x:v>نسخه پایه ۳۱۵۰</x:v>
      </x:c>
    </x:row>
    <x:row r="1775" ht="34" customHeight="1">
      <x:c r="A1775" s="34" t="str">
        <x:v>☐</x:v>
      </x:c>
      <x:c r="B1775" s="34" t="str">
        <x:v>MI-1776</x:v>
      </x:c>
      <x:c r="C1775" s="34" t="str">
        <x:v>M3 — کسب‌وکار، شبکه و زیست‌بوم نوآوری</x:v>
      </x:c>
      <x:c r="D1775" s="34" t="str">
        <x:v>H14</x:v>
      </x:c>
      <x:c r="E1775" s="34" t="str">
        <x:v>شبکه‌سازی، افراد و ارتباطات کلیدی</x:v>
      </x:c>
      <x:c r="F1775" s="34" t="str">
        <x:v>P3</x:v>
      </x:c>
      <x:c r="G1775" s="34" t="str">
        <x:v>هدف/موضوع</x:v>
      </x:c>
      <x:c r="H1775" s="39" t="str">
        <x:v>2. شبکه های اجتماعی و حرفه ای</x:v>
      </x:c>
      <x:c r="I1775" s="39" t="str">
        <x:v>زمان‌بندی محدود/شبکه‌ای</x:v>
      </x:c>
      <x:c r="J1775" s="39" t="str">
        <x:v>استراتژیست شبکه و ذی‌نفعان</x:v>
      </x:c>
      <x:c r="K1775" s="39" t="str"/>
      <x:c r="L1775" s="39" t="str">
        <x:v>E112:P267؛ E112:P556</x:v>
      </x:c>
      <x:c r="M1775" s="39" t="str"/>
      <x:c r="N1775" s="39" t="str">
        <x:v>نسخه پایه ۳۱۵۰</x:v>
      </x:c>
    </x:row>
    <x:row r="1776" ht="34" customHeight="1">
      <x:c r="A1776" s="34" t="str">
        <x:v>☐</x:v>
      </x:c>
      <x:c r="B1776" s="34" t="str">
        <x:v>MI-1778</x:v>
      </x:c>
      <x:c r="C1776" s="34" t="str">
        <x:v>M3 — کسب‌وکار، شبکه و زیست‌بوم نوآوری</x:v>
      </x:c>
      <x:c r="D1776" s="34" t="str">
        <x:v>H14</x:v>
      </x:c>
      <x:c r="E1776" s="34" t="str">
        <x:v>شبکه‌سازی، افراد و ارتباطات کلیدی</x:v>
      </x:c>
      <x:c r="F1776" s="34" t="str">
        <x:v>P3</x:v>
      </x:c>
      <x:c r="G1776" s="34" t="str">
        <x:v>هدف/موضوع</x:v>
      </x:c>
      <x:c r="H1776" s="39" t="str">
        <x:v>شبکه های حرفه ای</x:v>
      </x:c>
      <x:c r="I1776" s="39" t="str">
        <x:v>زمان‌بندی محدود/شبکه‌ای</x:v>
      </x:c>
      <x:c r="J1776" s="39" t="str">
        <x:v>استراتژیست شبکه و ذی‌نفعان</x:v>
      </x:c>
      <x:c r="K1776" s="39" t="str"/>
      <x:c r="L1776" s="39" t="str">
        <x:v>E112:P272</x:v>
      </x:c>
      <x:c r="M1776" s="39" t="str"/>
      <x:c r="N1776" s="39" t="str">
        <x:v>نسخه پایه ۳۱۵۰</x:v>
      </x:c>
    </x:row>
    <x:row r="1777" ht="34" customHeight="1">
      <x:c r="A1777" s="34" t="str">
        <x:v>☐</x:v>
      </x:c>
      <x:c r="B1777" s="34" t="str">
        <x:v>MI-1781</x:v>
      </x:c>
      <x:c r="C1777" s="34" t="str">
        <x:v>M3 — کسب‌وکار، شبکه و زیست‌بوم نوآوری</x:v>
      </x:c>
      <x:c r="D1777" s="34" t="str">
        <x:v>H14</x:v>
      </x:c>
      <x:c r="E1777" s="34" t="str">
        <x:v>شبکه‌سازی، افراد و ارتباطات کلیدی</x:v>
      </x:c>
      <x:c r="F1777" s="34" t="str">
        <x:v>P3</x:v>
      </x:c>
      <x:c r="G1777" s="34" t="str">
        <x:v>هدف/موضوع</x:v>
      </x:c>
      <x:c r="H1777" s="39" t="str">
        <x:v>لینکدین</x:v>
      </x:c>
      <x:c r="I1777" s="39" t="str">
        <x:v>زمان‌بندی محدود/شبکه‌ای</x:v>
      </x:c>
      <x:c r="J1777" s="39" t="str">
        <x:v>استراتژیست شبکه و ذی‌نفعان</x:v>
      </x:c>
      <x:c r="K1777" s="39" t="str"/>
      <x:c r="L1777" s="39" t="str">
        <x:v>E112:P278؛ E112:P570</x:v>
      </x:c>
      <x:c r="M1777" s="39" t="str"/>
      <x:c r="N1777" s="39" t="str">
        <x:v>نسخه پایه ۳۱۵۰</x:v>
      </x:c>
    </x:row>
    <x:row r="1778" ht="34" customHeight="1">
      <x:c r="A1778" s="34" t="str">
        <x:v>☐</x:v>
      </x:c>
      <x:c r="B1778" s="34" t="str">
        <x:v>MI-1842</x:v>
      </x:c>
      <x:c r="C1778" s="34" t="str">
        <x:v>M3 — کسب‌وکار، شبکه و زیست‌بوم نوآوری</x:v>
      </x:c>
      <x:c r="D1778" s="34" t="str">
        <x:v>H14</x:v>
      </x:c>
      <x:c r="E1778" s="34" t="str">
        <x:v>شبکه‌سازی، افراد و ارتباطات کلیدی</x:v>
      </x:c>
      <x:c r="F1778" s="34" t="str">
        <x:v>P3</x:v>
      </x:c>
      <x:c r="G1778" s="34" t="str">
        <x:v>هدف/موضوع</x:v>
      </x:c>
      <x:c r="H1778" s="39" t="str">
        <x:v>رشد شبکه</x:v>
      </x:c>
      <x:c r="I1778" s="39" t="str">
        <x:v>زمان‌بندی محدود/شبکه‌ای</x:v>
      </x:c>
      <x:c r="J1778" s="39" t="str">
        <x:v>استراتژیست شبکه و ذی‌نفعان</x:v>
      </x:c>
      <x:c r="K1778" s="39" t="str"/>
      <x:c r="L1778" s="39" t="str">
        <x:v>E112:P394</x:v>
      </x:c>
      <x:c r="M1778" s="39" t="str"/>
      <x:c r="N1778" s="39" t="str">
        <x:v>نسخه پایه ۳۱۵۰</x:v>
      </x:c>
    </x:row>
    <x:row r="1779" ht="34" customHeight="1">
      <x:c r="A1779" s="34" t="str">
        <x:v>☐</x:v>
      </x:c>
      <x:c r="B1779" s="34" t="str">
        <x:v>MI-1856</x:v>
      </x:c>
      <x:c r="C1779" s="34" t="str">
        <x:v>M3 — کسب‌وکار، شبکه و زیست‌بوم نوآوری</x:v>
      </x:c>
      <x:c r="D1779" s="34" t="str">
        <x:v>H14</x:v>
      </x:c>
      <x:c r="E1779" s="34" t="str">
        <x:v>شبکه‌سازی، افراد و ارتباطات کلیدی</x:v>
      </x:c>
      <x:c r="F1779" s="34" t="str">
        <x:v>P3</x:v>
      </x:c>
      <x:c r="G1779" s="34" t="str">
        <x:v>هدف/موضوع</x:v>
      </x:c>
      <x:c r="H1779" s="39" t="str">
        <x:v>افراد بسیار متصل (super connectors)</x:v>
      </x:c>
      <x:c r="I1779" s="39" t="str">
        <x:v>زمان‌بندی محدود/شبکه‌ای</x:v>
      </x:c>
      <x:c r="J1779" s="39" t="str">
        <x:v>استراتژیست شبکه و ذی‌نفعان</x:v>
      </x:c>
      <x:c r="K1779" s="39" t="str"/>
      <x:c r="L1779" s="39" t="str">
        <x:v>E112:P422</x:v>
      </x:c>
      <x:c r="M1779" s="39" t="str"/>
      <x:c r="N1779" s="39" t="str">
        <x:v>نسخه پایه ۳۱۵۰</x:v>
      </x:c>
    </x:row>
    <x:row r="1780" ht="34" customHeight="1">
      <x:c r="A1780" s="34" t="str">
        <x:v>☐</x:v>
      </x:c>
      <x:c r="B1780" s="34" t="str">
        <x:v>MI-1861</x:v>
      </x:c>
      <x:c r="C1780" s="34" t="str">
        <x:v>M3 — کسب‌وکار، شبکه و زیست‌بوم نوآوری</x:v>
      </x:c>
      <x:c r="D1780" s="34" t="str">
        <x:v>H14</x:v>
      </x:c>
      <x:c r="E1780" s="34" t="str">
        <x:v>شبکه‌سازی، افراد و ارتباطات کلیدی</x:v>
      </x:c>
      <x:c r="F1780" s="34" t="str">
        <x:v>P3</x:v>
      </x:c>
      <x:c r="G1780" s="34" t="str">
        <x:v>هدف/موضوع</x:v>
      </x:c>
      <x:c r="H1780" s="39" t="str">
        <x:v>دسترسی سریع به شبکه ها</x:v>
      </x:c>
      <x:c r="I1780" s="39" t="str">
        <x:v>زمان‌بندی محدود/شبکه‌ای</x:v>
      </x:c>
      <x:c r="J1780" s="39" t="str">
        <x:v>استراتژیست شبکه و ذی‌نفعان</x:v>
      </x:c>
      <x:c r="K1780" s="39" t="str"/>
      <x:c r="L1780" s="39" t="str">
        <x:v>E112:P430</x:v>
      </x:c>
      <x:c r="M1780" s="39" t="str"/>
      <x:c r="N1780" s="39" t="str">
        <x:v>نسخه پایه ۳۱۵۰</x:v>
      </x:c>
    </x:row>
    <x:row r="1781" ht="34" customHeight="1">
      <x:c r="A1781" s="34" t="str">
        <x:v>☐</x:v>
      </x:c>
      <x:c r="B1781" s="34" t="str">
        <x:v>MI-1867</x:v>
      </x:c>
      <x:c r="C1781" s="34" t="str">
        <x:v>M3 — کسب‌وکار، شبکه و زیست‌بوم نوآوری</x:v>
      </x:c>
      <x:c r="D1781" s="34" t="str">
        <x:v>H14</x:v>
      </x:c>
      <x:c r="E1781" s="34" t="str">
        <x:v>شبکه‌سازی، افراد و ارتباطات کلیدی</x:v>
      </x:c>
      <x:c r="F1781" s="34" t="str">
        <x:v>P3</x:v>
      </x:c>
      <x:c r="G1781" s="34" t="str">
        <x:v>هدف/موضوع</x:v>
      </x:c>
      <x:c r="H1781" s="39" t="str">
        <x:v>Network (شبکه)</x:v>
      </x:c>
      <x:c r="I1781" s="39" t="str">
        <x:v>زمان‌بندی محدود/شبکه‌ای</x:v>
      </x:c>
      <x:c r="J1781" s="39" t="str">
        <x:v>استراتژیست شبکه و ذی‌نفعان</x:v>
      </x:c>
      <x:c r="K1781" s="39" t="str"/>
      <x:c r="L1781" s="39" t="str">
        <x:v>E112:P438</x:v>
      </x:c>
      <x:c r="M1781" s="39" t="str"/>
      <x:c r="N1781" s="39" t="str">
        <x:v>نسخه پایه ۳۱۵۰</x:v>
      </x:c>
    </x:row>
    <x:row r="1782" ht="34" customHeight="1">
      <x:c r="A1782" s="34" t="str">
        <x:v>☐</x:v>
      </x:c>
      <x:c r="B1782" s="34" t="str">
        <x:v>MI-1891</x:v>
      </x:c>
      <x:c r="C1782" s="34" t="str">
        <x:v>M3 — کسب‌وکار، شبکه و زیست‌بوم نوآوری</x:v>
      </x:c>
      <x:c r="D1782" s="34" t="str">
        <x:v>H14</x:v>
      </x:c>
      <x:c r="E1782" s="34" t="str">
        <x:v>شبکه‌سازی، افراد و ارتباطات کلیدی</x:v>
      </x:c>
      <x:c r="F1782" s="34" t="str">
        <x:v>P3</x:v>
      </x:c>
      <x:c r="G1782" s="34" t="str">
        <x:v>هدف/موضوع</x:v>
      </x:c>
      <x:c r="H1782" s="39" t="str">
        <x:v>شبکه منتورهای</x:v>
      </x:c>
      <x:c r="I1782" s="39" t="str">
        <x:v>زمان‌بندی محدود/شبکه‌ای</x:v>
      </x:c>
      <x:c r="J1782" s="39" t="str">
        <x:v>استراتژیست شبکه و ذی‌نفعان</x:v>
      </x:c>
      <x:c r="K1782" s="39" t="str"/>
      <x:c r="L1782" s="39" t="str">
        <x:v>E112:P478</x:v>
      </x:c>
      <x:c r="M1782" s="39" t="str"/>
      <x:c r="N1782" s="39" t="str">
        <x:v>نسخه پایه ۳۱۵۰</x:v>
      </x:c>
    </x:row>
    <x:row r="1783" ht="34" customHeight="1">
      <x:c r="A1783" s="34" t="str">
        <x:v>☐</x:v>
      </x:c>
      <x:c r="B1783" s="34" t="str">
        <x:v>MI-1945</x:v>
      </x:c>
      <x:c r="C1783" s="34" t="str">
        <x:v>M3 — کسب‌وکار، شبکه و زیست‌بوم نوآوری</x:v>
      </x:c>
      <x:c r="D1783" s="34" t="str">
        <x:v>H14</x:v>
      </x:c>
      <x:c r="E1783" s="34" t="str">
        <x:v>شبکه‌سازی، افراد و ارتباطات کلیدی</x:v>
      </x:c>
      <x:c r="F1783" s="34" t="str">
        <x:v>P3</x:v>
      </x:c>
      <x:c r="G1783" s="34" t="str">
        <x:v>هدف/موضوع</x:v>
      </x:c>
      <x:c r="H1783" s="39" t="str">
        <x:v>شبکه های تخصصی</x:v>
      </x:c>
      <x:c r="I1783" s="39" t="str">
        <x:v>زمان‌بندی محدود/شبکه‌ای</x:v>
      </x:c>
      <x:c r="J1783" s="39" t="str">
        <x:v>استراتژیست شبکه و ذی‌نفعان</x:v>
      </x:c>
      <x:c r="K1783" s="39" t="str"/>
      <x:c r="L1783" s="39" t="str">
        <x:v>E112:P559</x:v>
      </x:c>
      <x:c r="M1783" s="39" t="str"/>
      <x:c r="N1783" s="39" t="str">
        <x:v>نسخه پایه ۳۱۵۰</x:v>
      </x:c>
    </x:row>
    <x:row r="1784" ht="34" customHeight="1">
      <x:c r="A1784" s="34" t="str">
        <x:v>☐</x:v>
      </x:c>
      <x:c r="B1784" s="34" t="str">
        <x:v>MI-1946</x:v>
      </x:c>
      <x:c r="C1784" s="34" t="str">
        <x:v>M3 — کسب‌وکار، شبکه و زیست‌بوم نوآوری</x:v>
      </x:c>
      <x:c r="D1784" s="34" t="str">
        <x:v>H14</x:v>
      </x:c>
      <x:c r="E1784" s="34" t="str">
        <x:v>شبکه‌سازی، افراد و ارتباطات کلیدی</x:v>
      </x:c>
      <x:c r="F1784" s="34" t="str">
        <x:v>P3</x:v>
      </x:c>
      <x:c r="G1784" s="34" t="str">
        <x:v>هدف/موضوع</x:v>
      </x:c>
      <x:c r="H1784" s="39" t="str">
        <x:v>شبکه منتورها</x:v>
      </x:c>
      <x:c r="I1784" s="39" t="str">
        <x:v>زمان‌بندی محدود/شبکه‌ای</x:v>
      </x:c>
      <x:c r="J1784" s="39" t="str">
        <x:v>استراتژیست شبکه و ذی‌نفعان</x:v>
      </x:c>
      <x:c r="K1784" s="39" t="str"/>
      <x:c r="L1784" s="39" t="str">
        <x:v>E112:P561؛ E112:P1113؛ E112:P2137؛ E112:P2477؛ E112:P3205</x:v>
      </x:c>
      <x:c r="M1784" s="39" t="str"/>
      <x:c r="N1784" s="39" t="str">
        <x:v>نسخه پایه ۳۱۵۰</x:v>
      </x:c>
    </x:row>
    <x:row r="1785" ht="34" customHeight="1">
      <x:c r="A1785" s="34" t="str">
        <x:v>☐</x:v>
      </x:c>
      <x:c r="B1785" s="34" t="str">
        <x:v>MI-1947</x:v>
      </x:c>
      <x:c r="C1785" s="34" t="str">
        <x:v>M3 — کسب‌وکار، شبکه و زیست‌بوم نوآوری</x:v>
      </x:c>
      <x:c r="D1785" s="34" t="str">
        <x:v>H14</x:v>
      </x:c>
      <x:c r="E1785" s="34" t="str">
        <x:v>شبکه‌سازی، افراد و ارتباطات کلیدی</x:v>
      </x:c>
      <x:c r="F1785" s="34" t="str">
        <x:v>P3</x:v>
      </x:c>
      <x:c r="G1785" s="34" t="str">
        <x:v>هدف/موضوع</x:v>
      </x:c>
      <x:c r="H1785" s="39" t="str">
        <x:v>شبکه مدیران</x:v>
      </x:c>
      <x:c r="I1785" s="39" t="str">
        <x:v>زمان‌بندی محدود/شبکه‌ای</x:v>
      </x:c>
      <x:c r="J1785" s="39" t="str">
        <x:v>استراتژیست شبکه و ذی‌نفعان</x:v>
      </x:c>
      <x:c r="K1785" s="39" t="str"/>
      <x:c r="L1785" s="39" t="str">
        <x:v>E112:P562</x:v>
      </x:c>
      <x:c r="M1785" s="39" t="str"/>
      <x:c r="N1785" s="39" t="str">
        <x:v>نسخه پایه ۳۱۵۰</x:v>
      </x:c>
    </x:row>
    <x:row r="1786" ht="34" customHeight="1">
      <x:c r="A1786" s="34" t="str">
        <x:v>☐</x:v>
      </x:c>
      <x:c r="B1786" s="34" t="str">
        <x:v>MI-1948</x:v>
      </x:c>
      <x:c r="C1786" s="34" t="str">
        <x:v>M3 — کسب‌وکار، شبکه و زیست‌بوم نوآوری</x:v>
      </x:c>
      <x:c r="D1786" s="34" t="str">
        <x:v>H14</x:v>
      </x:c>
      <x:c r="E1786" s="34" t="str">
        <x:v>شبکه‌سازی، افراد و ارتباطات کلیدی</x:v>
      </x:c>
      <x:c r="F1786" s="34" t="str">
        <x:v>P3</x:v>
      </x:c>
      <x:c r="G1786" s="34" t="str">
        <x:v>هدف/موضوع</x:v>
      </x:c>
      <x:c r="H1786" s="39" t="str">
        <x:v>شبکه سرمایه گذاران</x:v>
      </x:c>
      <x:c r="I1786" s="39" t="str">
        <x:v>زمان‌بندی محدود/شبکه‌ای</x:v>
      </x:c>
      <x:c r="J1786" s="39" t="str">
        <x:v>استراتژیست شبکه و ذی‌نفعان</x:v>
      </x:c>
      <x:c r="K1786" s="39" t="str"/>
      <x:c r="L1786" s="39" t="str">
        <x:v>E112:P563؛ E112:P1112</x:v>
      </x:c>
      <x:c r="M1786" s="39" t="str"/>
      <x:c r="N1786" s="39" t="str">
        <x:v>نسخه پایه ۳۱۵۰</x:v>
      </x:c>
    </x:row>
    <x:row r="1787" ht="34" customHeight="1">
      <x:c r="A1787" s="34" t="str">
        <x:v>☐</x:v>
      </x:c>
      <x:c r="B1787" s="34" t="str">
        <x:v>MI-1950</x:v>
      </x:c>
      <x:c r="C1787" s="34" t="str">
        <x:v>M3 — کسب‌وکار، شبکه و زیست‌بوم نوآوری</x:v>
      </x:c>
      <x:c r="D1787" s="34" t="str">
        <x:v>H14</x:v>
      </x:c>
      <x:c r="E1787" s="34" t="str">
        <x:v>شبکه‌سازی، افراد و ارتباطات کلیدی</x:v>
      </x:c>
      <x:c r="F1787" s="34" t="str">
        <x:v>P3</x:v>
      </x:c>
      <x:c r="G1787" s="34" t="str">
        <x:v>هدف/موضوع</x:v>
      </x:c>
      <x:c r="H1787" s="39" t="str">
        <x:v>شبکه طراحان</x:v>
      </x:c>
      <x:c r="I1787" s="39" t="str">
        <x:v>زمان‌بندی محدود/شبکه‌ای</x:v>
      </x:c>
      <x:c r="J1787" s="39" t="str">
        <x:v>استراتژیست شبکه و ذی‌نفعان</x:v>
      </x:c>
      <x:c r="K1787" s="39" t="str"/>
      <x:c r="L1787" s="39" t="str">
        <x:v>E112:P565</x:v>
      </x:c>
      <x:c r="M1787" s="39" t="str"/>
      <x:c r="N1787" s="39" t="str">
        <x:v>نسخه پایه ۳۱۵۰</x:v>
      </x:c>
    </x:row>
    <x:row r="1788" ht="34" customHeight="1">
      <x:c r="A1788" s="34" t="str">
        <x:v>☐</x:v>
      </x:c>
      <x:c r="B1788" s="34" t="str">
        <x:v>MI-1951</x:v>
      </x:c>
      <x:c r="C1788" s="34" t="str">
        <x:v>M3 — کسب‌وکار، شبکه و زیست‌بوم نوآوری</x:v>
      </x:c>
      <x:c r="D1788" s="34" t="str">
        <x:v>H14</x:v>
      </x:c>
      <x:c r="E1788" s="34" t="str">
        <x:v>شبکه‌سازی، افراد و ارتباطات کلیدی</x:v>
      </x:c>
      <x:c r="F1788" s="34" t="str">
        <x:v>P3</x:v>
      </x:c>
      <x:c r="G1788" s="34" t="str">
        <x:v>هدف/موضوع</x:v>
      </x:c>
      <x:c r="H1788" s="39" t="str">
        <x:v>شبکه کارآفرینان</x:v>
      </x:c>
      <x:c r="I1788" s="39" t="str">
        <x:v>زمان‌بندی محدود/شبکه‌ای</x:v>
      </x:c>
      <x:c r="J1788" s="39" t="str">
        <x:v>استراتژیست شبکه و ذی‌نفعان</x:v>
      </x:c>
      <x:c r="K1788" s="39" t="str"/>
      <x:c r="L1788" s="39" t="str">
        <x:v>E112:P566</x:v>
      </x:c>
      <x:c r="M1788" s="39" t="str"/>
      <x:c r="N1788" s="39" t="str">
        <x:v>نسخه پایه ۳۱۵۰</x:v>
      </x:c>
    </x:row>
    <x:row r="1789" ht="34" customHeight="1">
      <x:c r="A1789" s="34" t="str">
        <x:v>☐</x:v>
      </x:c>
      <x:c r="B1789" s="34" t="str">
        <x:v>MI-1952</x:v>
      </x:c>
      <x:c r="C1789" s="34" t="str">
        <x:v>M3 — کسب‌وکار، شبکه و زیست‌بوم نوآوری</x:v>
      </x:c>
      <x:c r="D1789" s="34" t="str">
        <x:v>H14</x:v>
      </x:c>
      <x:c r="E1789" s="34" t="str">
        <x:v>شبکه‌سازی، افراد و ارتباطات کلیدی</x:v>
      </x:c>
      <x:c r="F1789" s="34" t="str">
        <x:v>P3</x:v>
      </x:c>
      <x:c r="G1789" s="34" t="str">
        <x:v>هدف/موضوع</x:v>
      </x:c>
      <x:c r="H1789" s="39" t="str">
        <x:v>شبکه های آنلاین</x:v>
      </x:c>
      <x:c r="I1789" s="39" t="str">
        <x:v>زمان‌بندی محدود/شبکه‌ای</x:v>
      </x:c>
      <x:c r="J1789" s="39" t="str">
        <x:v>استراتژیست شبکه و ذی‌نفعان</x:v>
      </x:c>
      <x:c r="K1789" s="39" t="str"/>
      <x:c r="L1789" s="39" t="str">
        <x:v>E112:P568</x:v>
      </x:c>
      <x:c r="M1789" s="39" t="str"/>
      <x:c r="N1789" s="39" t="str">
        <x:v>نسخه پایه ۳۱۵۰</x:v>
      </x:c>
    </x:row>
    <x:row r="1790" ht="34" customHeight="1">
      <x:c r="A1790" s="34" t="str">
        <x:v>☐</x:v>
      </x:c>
      <x:c r="B1790" s="34" t="str">
        <x:v>MI-1958</x:v>
      </x:c>
      <x:c r="C1790" s="34" t="str">
        <x:v>M3 — کسب‌وکار، شبکه و زیست‌بوم نوآوری</x:v>
      </x:c>
      <x:c r="D1790" s="34" t="str">
        <x:v>H14</x:v>
      </x:c>
      <x:c r="E1790" s="34" t="str">
        <x:v>شبکه‌سازی، افراد و ارتباطات کلیدی</x:v>
      </x:c>
      <x:c r="F1790" s="34" t="str">
        <x:v>P3</x:v>
      </x:c>
      <x:c r="G1790" s="34" t="str">
        <x:v>هدف/موضوع</x:v>
      </x:c>
      <x:c r="H1790" s="39" t="str">
        <x:v>شبکه های غیررسمی</x:v>
      </x:c>
      <x:c r="I1790" s="39" t="str">
        <x:v>زمان‌بندی محدود/شبکه‌ای</x:v>
      </x:c>
      <x:c r="J1790" s="39" t="str">
        <x:v>استراتژیست شبکه و ذی‌نفعان</x:v>
      </x:c>
      <x:c r="K1790" s="39" t="str"/>
      <x:c r="L1790" s="39" t="str">
        <x:v>E112:P577</x:v>
      </x:c>
      <x:c r="M1790" s="39" t="str"/>
      <x:c r="N1790" s="39" t="str">
        <x:v>نسخه پایه ۳۱۵۰</x:v>
      </x:c>
    </x:row>
    <x:row r="1791" ht="34" customHeight="1">
      <x:c r="A1791" s="34" t="str">
        <x:v>☐</x:v>
      </x:c>
      <x:c r="B1791" s="34" t="str">
        <x:v>MI-1961</x:v>
      </x:c>
      <x:c r="C1791" s="34" t="str">
        <x:v>M3 — کسب‌وکار، شبکه و زیست‌بوم نوآوری</x:v>
      </x:c>
      <x:c r="D1791" s="34" t="str">
        <x:v>H14</x:v>
      </x:c>
      <x:c r="E1791" s="34" t="str">
        <x:v>شبکه‌سازی، افراد و ارتباطات کلیدی</x:v>
      </x:c>
      <x:c r="F1791" s="34" t="str">
        <x:v>P3</x:v>
      </x:c>
      <x:c r="G1791" s="34" t="str">
        <x:v>هدف/موضوع</x:v>
      </x:c>
      <x:c r="H1791" s="39" t="str">
        <x:v>شبکه فارغ التحصیلان</x:v>
      </x:c>
      <x:c r="I1791" s="39" t="str">
        <x:v>زمان‌بندی محدود/شبکه‌ای</x:v>
      </x:c>
      <x:c r="J1791" s="39" t="str">
        <x:v>استراتژیست شبکه و ذی‌نفعان</x:v>
      </x:c>
      <x:c r="K1791" s="39" t="str"/>
      <x:c r="L1791" s="39" t="str">
        <x:v>E112:P581</x:v>
      </x:c>
      <x:c r="M1791" s="39" t="str"/>
      <x:c r="N1791" s="39" t="str">
        <x:v>نسخه پایه ۳۱۵۰</x:v>
      </x:c>
    </x:row>
    <x:row r="1792" ht="34" customHeight="1">
      <x:c r="A1792" s="34" t="str">
        <x:v>☐</x:v>
      </x:c>
      <x:c r="B1792" s="34" t="str">
        <x:v>MI-1962</x:v>
      </x:c>
      <x:c r="C1792" s="34" t="str">
        <x:v>M3 — کسب‌وکار، شبکه و زیست‌بوم نوآوری</x:v>
      </x:c>
      <x:c r="D1792" s="34" t="str">
        <x:v>H14</x:v>
      </x:c>
      <x:c r="E1792" s="34" t="str">
        <x:v>شبکه‌سازی، افراد و ارتباطات کلیدی</x:v>
      </x:c>
      <x:c r="F1792" s="34" t="str">
        <x:v>P3</x:v>
      </x:c>
      <x:c r="G1792" s="34" t="str">
        <x:v>هدف/موضوع</x:v>
      </x:c>
      <x:c r="H1792" s="39" t="str">
        <x:v>شبکه alumni دانشگاه ها</x:v>
      </x:c>
      <x:c r="I1792" s="39" t="str">
        <x:v>زمان‌بندی محدود/شبکه‌ای</x:v>
      </x:c>
      <x:c r="J1792" s="39" t="str">
        <x:v>استراتژیست شبکه و ذی‌نفعان</x:v>
      </x:c>
      <x:c r="K1792" s="39" t="str"/>
      <x:c r="L1792" s="39" t="str">
        <x:v>E112:P582</x:v>
      </x:c>
      <x:c r="M1792" s="39" t="str"/>
      <x:c r="N1792" s="39" t="str">
        <x:v>نسخه پایه ۳۱۵۰</x:v>
      </x:c>
    </x:row>
    <x:row r="1793" ht="34" customHeight="1">
      <x:c r="A1793" s="34" t="str">
        <x:v>☐</x:v>
      </x:c>
      <x:c r="B1793" s="34" t="str">
        <x:v>MI-2018</x:v>
      </x:c>
      <x:c r="C1793" s="34" t="str">
        <x:v>M3 — کسب‌وکار، شبکه و زیست‌بوم نوآوری</x:v>
      </x:c>
      <x:c r="D1793" s="34" t="str">
        <x:v>H14</x:v>
      </x:c>
      <x:c r="E1793" s="34" t="str">
        <x:v>شبکه‌سازی، افراد و ارتباطات کلیدی</x:v>
      </x:c>
      <x:c r="F1793" s="34" t="str">
        <x:v>P3</x:v>
      </x:c>
      <x:c r="G1793" s="34" t="str">
        <x:v>هدف/موضوع</x:v>
      </x:c>
      <x:c r="H1793" s="39" t="str">
        <x:v>افراد بسیار مهم هستند.</x:v>
      </x:c>
      <x:c r="I1793" s="39" t="str">
        <x:v>زمان‌بندی محدود/شبکه‌ای</x:v>
      </x:c>
      <x:c r="J1793" s="39" t="str">
        <x:v>استراتژیست شبکه و ذی‌نفعان</x:v>
      </x:c>
      <x:c r="K1793" s="39" t="str"/>
      <x:c r="L1793" s="39" t="str">
        <x:v>E112:P676</x:v>
      </x:c>
      <x:c r="M1793" s="39" t="str"/>
      <x:c r="N1793" s="39" t="str">
        <x:v>نسخه پایه ۳۱۵۰</x:v>
      </x:c>
    </x:row>
    <x:row r="1794" ht="34" customHeight="1">
      <x:c r="A1794" s="34" t="str">
        <x:v>☐</x:v>
      </x:c>
      <x:c r="B1794" s="34" t="str">
        <x:v>MI-2029</x:v>
      </x:c>
      <x:c r="C1794" s="34" t="str">
        <x:v>M3 — کسب‌وکار، شبکه و زیست‌بوم نوآوری</x:v>
      </x:c>
      <x:c r="D1794" s="34" t="str">
        <x:v>H14</x:v>
      </x:c>
      <x:c r="E1794" s="34" t="str">
        <x:v>شبکه‌سازی، افراد و ارتباطات کلیدی</x:v>
      </x:c>
      <x:c r="F1794" s="34" t="str">
        <x:v>P3</x:v>
      </x:c>
      <x:c r="G1794" s="34" t="str">
        <x:v>هدف/موضوع</x:v>
      </x:c>
      <x:c r="H1794" s="39" t="str">
        <x:v>شبکه ها</x:v>
      </x:c>
      <x:c r="I1794" s="39" t="str">
        <x:v>زمان‌بندی محدود/شبکه‌ای</x:v>
      </x:c>
      <x:c r="J1794" s="39" t="str">
        <x:v>استراتژیست شبکه و ذی‌نفعان</x:v>
      </x:c>
      <x:c r="K1794" s="39" t="str"/>
      <x:c r="L1794" s="39" t="str">
        <x:v>E112:P703؛ E112:P1110</x:v>
      </x:c>
      <x:c r="M1794" s="39" t="str"/>
      <x:c r="N1794" s="39" t="str">
        <x:v>نسخه پایه ۳۱۵۰</x:v>
      </x:c>
    </x:row>
    <x:row r="1795" ht="34" customHeight="1">
      <x:c r="A1795" s="34" t="str">
        <x:v>☐</x:v>
      </x:c>
      <x:c r="B1795" s="34" t="str">
        <x:v>MI-2030</x:v>
      </x:c>
      <x:c r="C1795" s="34" t="str">
        <x:v>M3 — کسب‌وکار، شبکه و زیست‌بوم نوآوری</x:v>
      </x:c>
      <x:c r="D1795" s="34" t="str">
        <x:v>H14</x:v>
      </x:c>
      <x:c r="E1795" s="34" t="str">
        <x:v>شبکه‌سازی، افراد و ارتباطات کلیدی</x:v>
      </x:c>
      <x:c r="F1795" s="34" t="str">
        <x:v>P3</x:v>
      </x:c>
      <x:c r="G1795" s="34" t="str">
        <x:v>هدف/موضوع</x:v>
      </x:c>
      <x:c r="H1795" s="39" t="str">
        <x:v>5. شبکه منتورهای استان</x:v>
      </x:c>
      <x:c r="I1795" s="39" t="str">
        <x:v>زمان‌بندی محدود/شبکه‌ای</x:v>
      </x:c>
      <x:c r="J1795" s="39" t="str">
        <x:v>استراتژیست شبکه و ذی‌نفعان</x:v>
      </x:c>
      <x:c r="K1795" s="39" t="str"/>
      <x:c r="L1795" s="39" t="str">
        <x:v>E112:P705؛ E112:P2039؛ E112:P2603</x:v>
      </x:c>
      <x:c r="M1795" s="39" t="str"/>
      <x:c r="N1795" s="39" t="str">
        <x:v>نسخه پایه ۳۱۵۰</x:v>
      </x:c>
    </x:row>
    <x:row r="1796" ht="34" customHeight="1">
      <x:c r="A1796" s="34" t="str">
        <x:v>☐</x:v>
      </x:c>
      <x:c r="B1796" s="34" t="str">
        <x:v>MI-2035</x:v>
      </x:c>
      <x:c r="C1796" s="34" t="str">
        <x:v>M3 — کسب‌وکار، شبکه و زیست‌بوم نوآوری</x:v>
      </x:c>
      <x:c r="D1796" s="34" t="str">
        <x:v>H14</x:v>
      </x:c>
      <x:c r="E1796" s="34" t="str">
        <x:v>شبکه‌سازی، افراد و ارتباطات کلیدی</x:v>
      </x:c>
      <x:c r="F1796" s="34" t="str">
        <x:v>P3</x:v>
      </x:c>
      <x:c r="G1796" s="34" t="str">
        <x:v>هدف/موضوع</x:v>
      </x:c>
      <x:c r="H1796" s="39" t="str">
        <x:v>شبکه alumni</x:v>
      </x:c>
      <x:c r="I1796" s="39" t="str">
        <x:v>زمان‌بندی محدود/شبکه‌ای</x:v>
      </x:c>
      <x:c r="J1796" s="39" t="str">
        <x:v>استراتژیست شبکه و ذی‌نفعان</x:v>
      </x:c>
      <x:c r="K1796" s="39" t="str"/>
      <x:c r="L1796" s="39" t="str">
        <x:v>E112:P720</x:v>
      </x:c>
      <x:c r="M1796" s="39" t="str"/>
      <x:c r="N1796" s="39" t="str">
        <x:v>نسخه پایه ۳۱۵۰</x:v>
      </x:c>
    </x:row>
    <x:row r="1797" ht="34" customHeight="1">
      <x:c r="A1797" s="34" t="str">
        <x:v>☐</x:v>
      </x:c>
      <x:c r="B1797" s="34" t="str">
        <x:v>MI-2058</x:v>
      </x:c>
      <x:c r="C1797" s="34" t="str">
        <x:v>M3 — کسب‌وکار، شبکه و زیست‌بوم نوآوری</x:v>
      </x:c>
      <x:c r="D1797" s="34" t="str">
        <x:v>H14</x:v>
      </x:c>
      <x:c r="E1797" s="34" t="str">
        <x:v>شبکه‌سازی، افراد و ارتباطات کلیدی</x:v>
      </x:c>
      <x:c r="F1797" s="34" t="str">
        <x:v>P3</x:v>
      </x:c>
      <x:c r="G1797" s="34" t="str">
        <x:v>هدف/موضوع</x:v>
      </x:c>
      <x:c r="H1797" s="39" t="str">
        <x:v>و کجا فقط باید شبکه ها را به هم وصل کنی.م</x:v>
      </x:c>
      <x:c r="I1797" s="39" t="str">
        <x:v>زمان‌بندی محدود/شبکه‌ای</x:v>
      </x:c>
      <x:c r="J1797" s="39" t="str">
        <x:v>استراتژیست شبکه و ذی‌نفعان</x:v>
      </x:c>
      <x:c r="K1797" s="39" t="str"/>
      <x:c r="L1797" s="39" t="str">
        <x:v>E112:P751؛ E112:P756</x:v>
      </x:c>
      <x:c r="M1797" s="39" t="str"/>
      <x:c r="N1797" s="39" t="str">
        <x:v>نسخه پایه ۳۱۵۰</x:v>
      </x:c>
    </x:row>
    <x:row r="1798" ht="34" customHeight="1">
      <x:c r="A1798" s="34" t="str">
        <x:v>☐</x:v>
      </x:c>
      <x:c r="B1798" s="34" t="str">
        <x:v>MI-2075</x:v>
      </x:c>
      <x:c r="C1798" s="34" t="str">
        <x:v>M3 — کسب‌وکار، شبکه و زیست‌بوم نوآوری</x:v>
      </x:c>
      <x:c r="D1798" s="34" t="str">
        <x:v>H14</x:v>
      </x:c>
      <x:c r="E1798" s="34" t="str">
        <x:v>شبکه‌سازی، افراد و ارتباطات کلیدی</x:v>
      </x:c>
      <x:c r="F1798" s="34" t="str">
        <x:v>P3</x:v>
      </x:c>
      <x:c r="G1798" s="34" t="str">
        <x:v>هدف/موضوع</x:v>
      </x:c>
      <x:c r="H1798" s="39" t="str">
        <x:v>ارتباط با دولت</x:v>
      </x:c>
      <x:c r="I1798" s="39" t="str">
        <x:v>زمان‌بندی محدود/شبکه‌ای</x:v>
      </x:c>
      <x:c r="J1798" s="39" t="str">
        <x:v>استراتژیست شبکه و ذی‌نفعان</x:v>
      </x:c>
      <x:c r="K1798" s="39" t="str"/>
      <x:c r="L1798" s="39" t="str">
        <x:v>E112:P790</x:v>
      </x:c>
      <x:c r="M1798" s="39" t="str"/>
      <x:c r="N1798" s="39" t="str">
        <x:v>نسخه پایه ۳۱۵۰</x:v>
      </x:c>
    </x:row>
    <x:row r="1799" ht="34" customHeight="1">
      <x:c r="A1799" s="34" t="str">
        <x:v>☐</x:v>
      </x:c>
      <x:c r="B1799" s="34" t="str">
        <x:v>MI-2090</x:v>
      </x:c>
      <x:c r="C1799" s="34" t="str">
        <x:v>M3 — کسب‌وکار، شبکه و زیست‌بوم نوآوری</x:v>
      </x:c>
      <x:c r="D1799" s="34" t="str">
        <x:v>H14</x:v>
      </x:c>
      <x:c r="E1799" s="34" t="str">
        <x:v>شبکه‌سازی، افراد و ارتباطات کلیدی</x:v>
      </x:c>
      <x:c r="F1799" s="34" t="str">
        <x:v>P3</x:v>
      </x:c>
      <x:c r="G1799" s="34" t="str">
        <x:v>هدف/موضوع</x:v>
      </x:c>
      <x:c r="H1799" s="39" t="str">
        <x:v>5. افراد فوق متصل (Super Connectors)</x:v>
      </x:c>
      <x:c r="I1799" s="39" t="str">
        <x:v>زمان‌بندی محدود/شبکه‌ای</x:v>
      </x:c>
      <x:c r="J1799" s="39" t="str">
        <x:v>استراتژیست شبکه و ذی‌نفعان</x:v>
      </x:c>
      <x:c r="K1799" s="39" t="str"/>
      <x:c r="L1799" s="39" t="str">
        <x:v>E112:P823</x:v>
      </x:c>
      <x:c r="M1799" s="39" t="str"/>
      <x:c r="N1799" s="39" t="str">
        <x:v>نسخه پایه ۳۱۵۰</x:v>
      </x:c>
    </x:row>
    <x:row r="1800" ht="34" customHeight="1">
      <x:c r="A1800" s="34" t="str">
        <x:v>☐</x:v>
      </x:c>
      <x:c r="B1800" s="34" t="str">
        <x:v>MI-2100</x:v>
      </x:c>
      <x:c r="C1800" s="34" t="str">
        <x:v>M3 — کسب‌وکار، شبکه و زیست‌بوم نوآوری</x:v>
      </x:c>
      <x:c r="D1800" s="34" t="str">
        <x:v>H14</x:v>
      </x:c>
      <x:c r="E1800" s="34" t="str">
        <x:v>شبکه‌سازی، افراد و ارتباطات کلیدی</x:v>
      </x:c>
      <x:c r="F1800" s="34" t="str">
        <x:v>P3</x:v>
      </x:c>
      <x:c r="G1800" s="34" t="str">
        <x:v>هدف/موضوع</x:v>
      </x:c>
      <x:c r="H1800" s="39" t="str">
        <x:v>این افراد شتاب دهنده واقعی شبکه هستند.</x:v>
      </x:c>
      <x:c r="I1800" s="39" t="str">
        <x:v>زمان‌بندی محدود/شبکه‌ای</x:v>
      </x:c>
      <x:c r="J1800" s="39" t="str">
        <x:v>استراتژیست شبکه و ذی‌نفعان</x:v>
      </x:c>
      <x:c r="K1800" s="39" t="str"/>
      <x:c r="L1800" s="39" t="str">
        <x:v>E112:P838</x:v>
      </x:c>
      <x:c r="M1800" s="39" t="str"/>
      <x:c r="N1800" s="39" t="str">
        <x:v>نسخه پایه ۳۱۵۰</x:v>
      </x:c>
    </x:row>
    <x:row r="1801" ht="34" customHeight="1">
      <x:c r="A1801" s="34" t="str">
        <x:v>☐</x:v>
      </x:c>
      <x:c r="B1801" s="34" t="str">
        <x:v>MI-2120</x:v>
      </x:c>
      <x:c r="C1801" s="34" t="str">
        <x:v>M3 — کسب‌وکار، شبکه و زیست‌بوم نوآوری</x:v>
      </x:c>
      <x:c r="D1801" s="34" t="str">
        <x:v>H14</x:v>
      </x:c>
      <x:c r="E1801" s="34" t="str">
        <x:v>شبکه‌سازی، افراد و ارتباطات کلیدی</x:v>
      </x:c>
      <x:c r="F1801" s="34" t="str">
        <x:v>P3</x:v>
      </x:c>
      <x:c r="G1801" s="34" t="str">
        <x:v>هدف/موضوع</x:v>
      </x:c>
      <x:c r="H1801" s="39" t="str">
        <x:v>خیلی جاها شبکه منتور هست ولی:</x:v>
      </x:c>
      <x:c r="I1801" s="39" t="str">
        <x:v>زمان‌بندی محدود/شبکه‌ای</x:v>
      </x:c>
      <x:c r="J1801" s="39" t="str">
        <x:v>استراتژیست شبکه و ذی‌نفعان</x:v>
      </x:c>
      <x:c r="K1801" s="39" t="str"/>
      <x:c r="L1801" s="39" t="str">
        <x:v>E112:P870</x:v>
      </x:c>
      <x:c r="M1801" s="39" t="str"/>
      <x:c r="N1801" s="39" t="str">
        <x:v>نسخه پایه ۳۱۵۰</x:v>
      </x:c>
    </x:row>
    <x:row r="1802" ht="34" customHeight="1">
      <x:c r="A1802" s="34" t="str">
        <x:v>☐</x:v>
      </x:c>
      <x:c r="B1802" s="34" t="str">
        <x:v>MI-2144</x:v>
      </x:c>
      <x:c r="C1802" s="34" t="str">
        <x:v>M3 — کسب‌وکار، شبکه و زیست‌بوم نوآوری</x:v>
      </x:c>
      <x:c r="D1802" s="34" t="str">
        <x:v>H14</x:v>
      </x:c>
      <x:c r="E1802" s="34" t="str">
        <x:v>شبکه‌سازی، افراد و ارتباطات کلیدی</x:v>
      </x:c>
      <x:c r="F1802" s="34" t="str">
        <x:v>P3</x:v>
      </x:c>
      <x:c r="G1802" s="34" t="str">
        <x:v>هدف/موضوع</x:v>
      </x:c>
      <x:c r="H1802" s="39" t="str">
        <x:v>شبکه سرمایه گذاران محلی.</x:v>
      </x:c>
      <x:c r="I1802" s="39" t="str">
        <x:v>زمان‌بندی محدود/شبکه‌ای</x:v>
      </x:c>
      <x:c r="J1802" s="39" t="str">
        <x:v>استراتژیست شبکه و ذی‌نفعان</x:v>
      </x:c>
      <x:c r="K1802" s="39" t="str"/>
      <x:c r="L1802" s="39" t="str">
        <x:v>E112:P917</x:v>
      </x:c>
      <x:c r="M1802" s="39" t="str"/>
      <x:c r="N1802" s="39" t="str">
        <x:v>نسخه پایه ۳۱۵۰</x:v>
      </x:c>
    </x:row>
    <x:row r="1803" ht="34" customHeight="1">
      <x:c r="A1803" s="34" t="str">
        <x:v>☐</x:v>
      </x:c>
      <x:c r="B1803" s="34" t="str">
        <x:v>MI-2151</x:v>
      </x:c>
      <x:c r="C1803" s="34" t="str">
        <x:v>M3 — کسب‌وکار، شبکه و زیست‌بوم نوآوری</x:v>
      </x:c>
      <x:c r="D1803" s="34" t="str">
        <x:v>H14</x:v>
      </x:c>
      <x:c r="E1803" s="34" t="str">
        <x:v>شبکه‌سازی، افراد و ارتباطات کلیدی</x:v>
      </x:c>
      <x:c r="F1803" s="34" t="str">
        <x:v>P3</x:v>
      </x:c>
      <x:c r="G1803" s="34" t="str">
        <x:v>هدف/موضوع</x:v>
      </x:c>
      <x:c r="H1803" s="39" t="str">
        <x:v>4. کجا فقط باید شبکه ها را وصل کرد</x:v>
      </x:c>
      <x:c r="I1803" s="39" t="str">
        <x:v>زمان‌بندی محدود/شبکه‌ای</x:v>
      </x:c>
      <x:c r="J1803" s="39" t="str">
        <x:v>استراتژیست شبکه و ذی‌نفعان</x:v>
      </x:c>
      <x:c r="K1803" s="39" t="str"/>
      <x:c r="L1803" s="39" t="str">
        <x:v>E112:P930</x:v>
      </x:c>
      <x:c r="M1803" s="39" t="str"/>
      <x:c r="N1803" s="39" t="str">
        <x:v>نسخه پایه ۳۱۵۰</x:v>
      </x:c>
    </x:row>
    <x:row r="1804" ht="34" customHeight="1">
      <x:c r="A1804" s="34" t="str">
        <x:v>☐</x:v>
      </x:c>
      <x:c r="B1804" s="34" t="str">
        <x:v>MI-2168</x:v>
      </x:c>
      <x:c r="C1804" s="34" t="str">
        <x:v>M3 — کسب‌وکار، شبکه و زیست‌بوم نوآوری</x:v>
      </x:c>
      <x:c r="D1804" s="34" t="str">
        <x:v>H14</x:v>
      </x:c>
      <x:c r="E1804" s="34" t="str">
        <x:v>شبکه‌سازی، افراد و ارتباطات کلیدی</x:v>
      </x:c>
      <x:c r="F1804" s="34" t="str">
        <x:v>P3</x:v>
      </x:c>
      <x:c r="G1804" s="34" t="str">
        <x:v>هدف/موضوع</x:v>
      </x:c>
      <x:c r="H1804" s="39" t="str">
        <x:v>معمولاً یک نفر که درست شبکه ها را وصل کند می تواند در 3 تا 5 سال تبدیل به مرکز اکوسیستم شود.</x:v>
      </x:c>
      <x:c r="I1804" s="39" t="str">
        <x:v>زمان‌بندی محدود/شبکه‌ای</x:v>
      </x:c>
      <x:c r="J1804" s="39" t="str">
        <x:v>استراتژیست شبکه و ذی‌نفعان</x:v>
      </x:c>
      <x:c r="K1804" s="39" t="str"/>
      <x:c r="L1804" s="39" t="str">
        <x:v>E112:P967</x:v>
      </x:c>
      <x:c r="M1804" s="39" t="str"/>
      <x:c r="N1804" s="39" t="str">
        <x:v>نسخه پایه ۳۱۵۰</x:v>
      </x:c>
    </x:row>
    <x:row r="1805" ht="34" customHeight="1">
      <x:c r="A1805" s="34" t="str">
        <x:v>☐</x:v>
      </x:c>
      <x:c r="B1805" s="34" t="str">
        <x:v>MI-2177</x:v>
      </x:c>
      <x:c r="C1805" s="34" t="str">
        <x:v>M3 — کسب‌وکار، شبکه و زیست‌بوم نوآوری</x:v>
      </x:c>
      <x:c r="D1805" s="34" t="str">
        <x:v>H14</x:v>
      </x:c>
      <x:c r="E1805" s="34" t="str">
        <x:v>شبکه‌سازی، افراد و ارتباطات کلیدی</x:v>
      </x:c>
      <x:c r="F1805" s="34" t="str">
        <x:v>P3</x:v>
      </x:c>
      <x:c r="G1805" s="34" t="str">
        <x:v>هدف/موضوع</x:v>
      </x:c>
      <x:c r="H1805" s="39" t="str">
        <x:v>و تو دقیقاً باید کجا وارد شوی تا به مرکز شبکه تبدیل شوی.</x:v>
      </x:c>
      <x:c r="I1805" s="39" t="str">
        <x:v>زمان‌بندی محدود/شبکه‌ای</x:v>
      </x:c>
      <x:c r="J1805" s="39" t="str">
        <x:v>استراتژیست شبکه و ذی‌نفعان</x:v>
      </x:c>
      <x:c r="K1805" s="39" t="str"/>
      <x:c r="L1805" s="39" t="str">
        <x:v>E112:P982</x:v>
      </x:c>
      <x:c r="M1805" s="39" t="str"/>
      <x:c r="N1805" s="39" t="str">
        <x:v>نسخه پایه ۳۱۵۰</x:v>
      </x:c>
    </x:row>
    <x:row r="1806" ht="34" customHeight="1">
      <x:c r="A1806" s="34" t="str">
        <x:v>☐</x:v>
      </x:c>
      <x:c r="B1806" s="34" t="str">
        <x:v>MI-2179</x:v>
      </x:c>
      <x:c r="C1806" s="34" t="str">
        <x:v>M3 — کسب‌وکار، شبکه و زیست‌بوم نوآوری</x:v>
      </x:c>
      <x:c r="D1806" s="34" t="str">
        <x:v>H14</x:v>
      </x:c>
      <x:c r="E1806" s="34" t="str">
        <x:v>شبکه‌سازی، افراد و ارتباطات کلیدی</x:v>
      </x:c>
      <x:c r="F1806" s="34" t="str">
        <x:v>P3</x:v>
      </x:c>
      <x:c r="G1806" s="34" t="str">
        <x:v>هدف/موضوع</x:v>
      </x:c>
      <x:c r="H1806" s="39" t="str">
        <x:v>یعنی در محوریت مازندران و استفاده از لینک های حومه این استان</x:v>
      </x:c>
      <x:c r="I1806" s="39" t="str">
        <x:v>زمان‌بندی محدود/شبکه‌ای</x:v>
      </x:c>
      <x:c r="J1806" s="39" t="str">
        <x:v>استراتژیست شبکه و ذی‌نفعان</x:v>
      </x:c>
      <x:c r="K1806" s="39" t="str"/>
      <x:c r="L1806" s="39" t="str">
        <x:v>E112:P985</x:v>
      </x:c>
      <x:c r="M1806" s="39" t="str"/>
      <x:c r="N1806" s="39" t="str">
        <x:v>نسخه پایه ۳۱۵۰</x:v>
      </x:c>
    </x:row>
    <x:row r="1807" ht="34" customHeight="1">
      <x:c r="A1807" s="34" t="str">
        <x:v>☐</x:v>
      </x:c>
      <x:c r="B1807" s="34" t="str">
        <x:v>MI-2182</x:v>
      </x:c>
      <x:c r="C1807" s="34" t="str">
        <x:v>M3 — کسب‌وکار، شبکه و زیست‌بوم نوآوری</x:v>
      </x:c>
      <x:c r="D1807" s="34" t="str">
        <x:v>H14</x:v>
      </x:c>
      <x:c r="E1807" s="34" t="str">
        <x:v>شبکه‌سازی، افراد و ارتباطات کلیدی</x:v>
      </x:c>
      <x:c r="F1807" s="34" t="str">
        <x:v>P3</x:v>
      </x:c>
      <x:c r="G1807" s="34" t="str">
        <x:v>هدف/موضوع</x:v>
      </x:c>
      <x:c r="H1807" s="39" t="str">
        <x:v>حلقه های اتصال: استان ها و شبکه های اطراف</x:v>
      </x:c>
      <x:c r="I1807" s="39" t="str">
        <x:v>زمان‌بندی محدود/شبکه‌ای</x:v>
      </x:c>
      <x:c r="J1807" s="39" t="str">
        <x:v>استراتژیست شبکه و ذی‌نفعان</x:v>
      </x:c>
      <x:c r="K1807" s="39" t="str"/>
      <x:c r="L1807" s="39" t="str">
        <x:v>E112:P990</x:v>
      </x:c>
      <x:c r="M1807" s="39" t="str"/>
      <x:c r="N1807" s="39" t="str">
        <x:v>نسخه پایه ۳۱۵۰</x:v>
      </x:c>
    </x:row>
    <x:row r="1808" ht="34" customHeight="1">
      <x:c r="A1808" s="34" t="str">
        <x:v>☐</x:v>
      </x:c>
      <x:c r="B1808" s="34" t="str">
        <x:v>MI-2233</x:v>
      </x:c>
      <x:c r="C1808" s="34" t="str">
        <x:v>M3 — کسب‌وکار، شبکه و زیست‌بوم نوآوری</x:v>
      </x:c>
      <x:c r="D1808" s="34" t="str">
        <x:v>H14</x:v>
      </x:c>
      <x:c r="E1808" s="34" t="str">
        <x:v>شبکه‌سازی، افراد و ارتباطات کلیدی</x:v>
      </x:c>
      <x:c r="F1808" s="34" t="str">
        <x:v>P3</x:v>
      </x:c>
      <x:c r="G1808" s="34" t="str">
        <x:v>هدف/موضوع</x:v>
      </x:c>
      <x:c r="H1808" s="39" t="str">
        <x:v>3. حلقه دوم اتصال (شبکه ملی)</x:v>
      </x:c>
      <x:c r="I1808" s="39" t="str">
        <x:v>زمان‌بندی محدود/شبکه‌ای</x:v>
      </x:c>
      <x:c r="J1808" s="39" t="str">
        <x:v>استراتژیست شبکه و ذی‌نفعان</x:v>
      </x:c>
      <x:c r="K1808" s="39" t="str"/>
      <x:c r="L1808" s="39" t="str">
        <x:v>E112:P1100</x:v>
      </x:c>
      <x:c r="M1808" s="39" t="str"/>
      <x:c r="N1808" s="39" t="str">
        <x:v>نسخه پایه ۳۱۵۰</x:v>
      </x:c>
    </x:row>
    <x:row r="1809" ht="34" customHeight="1">
      <x:c r="A1809" s="34" t="str">
        <x:v>☐</x:v>
      </x:c>
      <x:c r="B1809" s="34" t="str">
        <x:v>MI-2271</x:v>
      </x:c>
      <x:c r="C1809" s="34" t="str">
        <x:v>M3 — کسب‌وکار، شبکه و زیست‌بوم نوآوری</x:v>
      </x:c>
      <x:c r="D1809" s="34" t="str">
        <x:v>H14</x:v>
      </x:c>
      <x:c r="E1809" s="34" t="str">
        <x:v>شبکه‌سازی، افراد و ارتباطات کلیدی</x:v>
      </x:c>
      <x:c r="F1809" s="34" t="str">
        <x:v>P3</x:v>
      </x:c>
      <x:c r="G1809" s="34" t="str">
        <x:v>هدف/موضوع</x:v>
      </x:c>
      <x:c r="H1809" s="39" t="str">
        <x:v>شبکه بنیان گذاران استارتاپ.</x:v>
      </x:c>
      <x:c r="I1809" s="39" t="str">
        <x:v>زمان‌بندی محدود/شبکه‌ای</x:v>
      </x:c>
      <x:c r="J1809" s="39" t="str">
        <x:v>استراتژیست شبکه و ذی‌نفعان</x:v>
      </x:c>
      <x:c r="K1809" s="39" t="str"/>
      <x:c r="L1809" s="39" t="str">
        <x:v>E112:P1205</x:v>
      </x:c>
      <x:c r="M1809" s="39" t="str"/>
      <x:c r="N1809" s="39" t="str">
        <x:v>نسخه پایه ۳۱۵۰</x:v>
      </x:c>
    </x:row>
    <x:row r="1810" ht="34" customHeight="1">
      <x:c r="A1810" s="34" t="str">
        <x:v>☐</x:v>
      </x:c>
      <x:c r="B1810" s="34" t="str">
        <x:v>MI-2288</x:v>
      </x:c>
      <x:c r="C1810" s="34" t="str">
        <x:v>M3 — کسب‌وکار، شبکه و زیست‌بوم نوآوری</x:v>
      </x:c>
      <x:c r="D1810" s="34" t="str">
        <x:v>H14</x:v>
      </x:c>
      <x:c r="E1810" s="34" t="str">
        <x:v>شبکه‌سازی، افراد و ارتباطات کلیدی</x:v>
      </x:c>
      <x:c r="F1810" s="34" t="str">
        <x:v>P3</x:v>
      </x:c>
      <x:c r="G1810" s="34" t="str">
        <x:v>هدف/موضوع</x:v>
      </x:c>
      <x:c r="H1810" s="39" t="str">
        <x:v>و کجا اگر وارد شوی سریع تبدیل به هاب شبکه می شوی.</x:v>
      </x:c>
      <x:c r="I1810" s="39" t="str">
        <x:v>زمان‌بندی محدود/شبکه‌ای</x:v>
      </x:c>
      <x:c r="J1810" s="39" t="str">
        <x:v>استراتژیست شبکه و ذی‌نفعان</x:v>
      </x:c>
      <x:c r="K1810" s="39" t="str"/>
      <x:c r="L1810" s="39" t="str">
        <x:v>E112:P1245</x:v>
      </x:c>
      <x:c r="M1810" s="39" t="str"/>
      <x:c r="N1810" s="39" t="str">
        <x:v>نسخه پایه ۳۱۵۰</x:v>
      </x:c>
    </x:row>
    <x:row r="1811" ht="34" customHeight="1">
      <x:c r="A1811" s="34" t="str">
        <x:v>☐</x:v>
      </x:c>
      <x:c r="B1811" s="34" t="str">
        <x:v>MI-2363</x:v>
      </x:c>
      <x:c r="C1811" s="34" t="str">
        <x:v>M3 — کسب‌وکار، شبکه و زیست‌بوم نوآوری</x:v>
      </x:c>
      <x:c r="D1811" s="34" t="str">
        <x:v>H14</x:v>
      </x:c>
      <x:c r="E1811" s="34" t="str">
        <x:v>شبکه‌سازی، افراد و ارتباطات کلیدی</x:v>
      </x:c>
      <x:c r="F1811" s="34" t="str">
        <x:v>P3</x:v>
      </x:c>
      <x:c r="G1811" s="34" t="str">
        <x:v>هدف/موضوع</x:v>
      </x:c>
      <x:c r="H1811" s="39" t="str">
        <x:v>شبکه بنیان گذاران استان.</x:v>
      </x:c>
      <x:c r="I1811" s="39" t="str">
        <x:v>زمان‌بندی محدود/شبکه‌ای</x:v>
      </x:c>
      <x:c r="J1811" s="39" t="str">
        <x:v>استراتژیست شبکه و ذی‌نفعان</x:v>
      </x:c>
      <x:c r="K1811" s="39" t="str"/>
      <x:c r="L1811" s="39" t="str">
        <x:v>E112:P1388</x:v>
      </x:c>
      <x:c r="M1811" s="39" t="str"/>
      <x:c r="N1811" s="39" t="str">
        <x:v>نسخه پایه ۳۱۵۰</x:v>
      </x:c>
    </x:row>
    <x:row r="1812" ht="34" customHeight="1">
      <x:c r="A1812" s="34" t="str">
        <x:v>☐</x:v>
      </x:c>
      <x:c r="B1812" s="34" t="str">
        <x:v>MI-2440</x:v>
      </x:c>
      <x:c r="C1812" s="34" t="str">
        <x:v>M3 — کسب‌وکار، شبکه و زیست‌بوم نوآوری</x:v>
      </x:c>
      <x:c r="D1812" s="34" t="str">
        <x:v>H14</x:v>
      </x:c>
      <x:c r="E1812" s="34" t="str">
        <x:v>شبکه‌سازی، افراد و ارتباطات کلیدی</x:v>
      </x:c>
      <x:c r="F1812" s="34" t="str">
        <x:v>P3</x:v>
      </x:c>
      <x:c r="G1812" s="34" t="str">
        <x:v>هدف/موضوع</x:v>
      </x:c>
      <x:c r="H1812" s="39" t="str">
        <x:v>بررسی شبکه ها و کامیونیتی ها (منتورها، کارآفرینان، توسعه دهندگان)</x:v>
      </x:c>
      <x:c r="I1812" s="39" t="str">
        <x:v>زمان‌بندی محدود/شبکه‌ای</x:v>
      </x:c>
      <x:c r="J1812" s="39" t="str">
        <x:v>استراتژیست شبکه و ذی‌نفعان</x:v>
      </x:c>
      <x:c r="K1812" s="39" t="str"/>
      <x:c r="L1812" s="39" t="str">
        <x:v>E112:P1721</x:v>
      </x:c>
      <x:c r="M1812" s="39" t="str"/>
      <x:c r="N1812" s="39" t="str">
        <x:v>نسخه پایه ۳۱۵۰</x:v>
      </x:c>
    </x:row>
    <x:row r="1813" ht="34" customHeight="1">
      <x:c r="A1813" s="34" t="str">
        <x:v>☐</x:v>
      </x:c>
      <x:c r="B1813" s="34" t="str">
        <x:v>MI-2495</x:v>
      </x:c>
      <x:c r="C1813" s="34" t="str">
        <x:v>M3 — کسب‌وکار، شبکه و زیست‌بوم نوآوری</x:v>
      </x:c>
      <x:c r="D1813" s="34" t="str">
        <x:v>H14</x:v>
      </x:c>
      <x:c r="E1813" s="34" t="str">
        <x:v>شبکه‌سازی، افراد و ارتباطات کلیدی</x:v>
      </x:c>
      <x:c r="F1813" s="34" t="str">
        <x:v>P3</x:v>
      </x:c>
      <x:c r="G1813" s="34" t="str">
        <x:v>هدف/موضوع</x:v>
      </x:c>
      <x:c r="H1813" s="39" t="str">
        <x:v>هدف: آماده سازی افراد برای کار حرفه ای.</x:v>
      </x:c>
      <x:c r="I1813" s="39" t="str">
        <x:v>زمان‌بندی محدود/شبکه‌ای</x:v>
      </x:c>
      <x:c r="J1813" s="39" t="str">
        <x:v>استراتژیست شبکه و ذی‌نفعان</x:v>
      </x:c>
      <x:c r="K1813" s="39" t="str"/>
      <x:c r="L1813" s="39" t="str">
        <x:v>E112:P1992</x:v>
      </x:c>
      <x:c r="M1813" s="39" t="str"/>
      <x:c r="N1813" s="39" t="str">
        <x:v>نسخه پایه ۳۱۵۰</x:v>
      </x:c>
    </x:row>
    <x:row r="1814" ht="34" customHeight="1">
      <x:c r="A1814" s="34" t="str">
        <x:v>☐</x:v>
      </x:c>
      <x:c r="B1814" s="34" t="str">
        <x:v>MI-2503</x:v>
      </x:c>
      <x:c r="C1814" s="34" t="str">
        <x:v>M3 — کسب‌وکار، شبکه و زیست‌بوم نوآوری</x:v>
      </x:c>
      <x:c r="D1814" s="34" t="str">
        <x:v>H14</x:v>
      </x:c>
      <x:c r="E1814" s="34" t="str">
        <x:v>شبکه‌سازی، افراد و ارتباطات کلیدی</x:v>
      </x:c>
      <x:c r="F1814" s="34" t="str">
        <x:v>P3</x:v>
      </x:c>
      <x:c r="G1814" s="34" t="str">
        <x:v>هدف/موضوع</x:v>
      </x:c>
      <x:c r="H1814" s="39" t="str">
        <x:v>افرادی که قابل همکاری و قابل استخدام هستند.</x:v>
      </x:c>
      <x:c r="I1814" s="39" t="str">
        <x:v>زمان‌بندی محدود/شبکه‌ای</x:v>
      </x:c>
      <x:c r="J1814" s="39" t="str">
        <x:v>استراتژیست شبکه و ذی‌نفعان</x:v>
      </x:c>
      <x:c r="K1814" s="39" t="str"/>
      <x:c r="L1814" s="39" t="str">
        <x:v>E112:P2007</x:v>
      </x:c>
      <x:c r="M1814" s="39" t="str"/>
      <x:c r="N1814" s="39" t="str">
        <x:v>نسخه پایه ۳۱۵۰</x:v>
      </x:c>
    </x:row>
    <x:row r="1815" ht="34" customHeight="1">
      <x:c r="A1815" s="34" t="str">
        <x:v>☐</x:v>
      </x:c>
      <x:c r="B1815" s="34" t="str">
        <x:v>MI-2521</x:v>
      </x:c>
      <x:c r="C1815" s="34" t="str">
        <x:v>M3 — کسب‌وکار، شبکه و زیست‌بوم نوآوری</x:v>
      </x:c>
      <x:c r="D1815" s="34" t="str">
        <x:v>H14</x:v>
      </x:c>
      <x:c r="E1815" s="34" t="str">
        <x:v>شبکه‌سازی، افراد و ارتباطات کلیدی</x:v>
      </x:c>
      <x:c r="F1815" s="34" t="str">
        <x:v>P3</x:v>
      </x:c>
      <x:c r="G1815" s="34" t="str">
        <x:v>هدف/موضوع</x:v>
      </x:c>
      <x:c r="H1815" s="39" t="str">
        <x:v>یک جامعه از افراد باتجربه:</x:v>
      </x:c>
      <x:c r="I1815" s="39" t="str">
        <x:v>زمان‌بندی محدود/شبکه‌ای</x:v>
      </x:c>
      <x:c r="J1815" s="39" t="str">
        <x:v>استراتژیست شبکه و ذی‌نفعان</x:v>
      </x:c>
      <x:c r="K1815" s="39" t="str"/>
      <x:c r="L1815" s="39" t="str">
        <x:v>E112:P2041</x:v>
      </x:c>
      <x:c r="M1815" s="39" t="str"/>
      <x:c r="N1815" s="39" t="str">
        <x:v>نسخه پایه ۳۱۵۰</x:v>
      </x:c>
    </x:row>
    <x:row r="1816" ht="34" customHeight="1">
      <x:c r="A1816" s="34" t="str">
        <x:v>☐</x:v>
      </x:c>
      <x:c r="B1816" s="34" t="str">
        <x:v>MI-2544</x:v>
      </x:c>
      <x:c r="C1816" s="34" t="str">
        <x:v>M3 — کسب‌وکار، شبکه و زیست‌بوم نوآوری</x:v>
      </x:c>
      <x:c r="D1816" s="34" t="str">
        <x:v>H14</x:v>
      </x:c>
      <x:c r="E1816" s="34" t="str">
        <x:v>شبکه‌سازی، افراد و ارتباطات کلیدی</x:v>
      </x:c>
      <x:c r="F1816" s="34" t="str">
        <x:v>P3</x:v>
      </x:c>
      <x:c r="G1816" s="34" t="str">
        <x:v>هدف/موضوع</x:v>
      </x:c>
      <x:c r="H1816" s="39" t="str">
        <x:v>8. ارتباط با صنایع استان</x:v>
      </x:c>
      <x:c r="I1816" s="39" t="str">
        <x:v>زمان‌بندی محدود/شبکه‌ای</x:v>
      </x:c>
      <x:c r="J1816" s="39" t="str">
        <x:v>استراتژیست شبکه و ذی‌نفعان</x:v>
      </x:c>
      <x:c r="K1816" s="39" t="str"/>
      <x:c r="L1816" s="39" t="str">
        <x:v>E112:P2084</x:v>
      </x:c>
      <x:c r="M1816" s="39" t="str"/>
      <x:c r="N1816" s="39" t="str">
        <x:v>نسخه پایه ۳۱۵۰</x:v>
      </x:c>
    </x:row>
    <x:row r="1817" ht="34" customHeight="1">
      <x:c r="A1817" s="34" t="str">
        <x:v>☐</x:v>
      </x:c>
      <x:c r="B1817" s="34" t="str">
        <x:v>MI-2592</x:v>
      </x:c>
      <x:c r="C1817" s="34" t="str">
        <x:v>M3 — کسب‌وکار، شبکه و زیست‌بوم نوآوری</x:v>
      </x:c>
      <x:c r="D1817" s="34" t="str">
        <x:v>H14</x:v>
      </x:c>
      <x:c r="E1817" s="34" t="str">
        <x:v>شبکه‌سازی، افراد و ارتباطات کلیدی</x:v>
      </x:c>
      <x:c r="F1817" s="34" t="str">
        <x:v>P3</x:v>
      </x:c>
      <x:c r="G1817" s="34" t="str">
        <x:v>هدف/موضوع</x:v>
      </x:c>
      <x:c r="H1817" s="39" t="str">
        <x:v>15. استفاده از شبکه های اجتماعی و سمن ها</x:v>
      </x:c>
      <x:c r="I1817" s="39" t="str">
        <x:v>زمان‌بندی محدود/شبکه‌ای</x:v>
      </x:c>
      <x:c r="J1817" s="39" t="str">
        <x:v>استراتژیست شبکه و ذی‌نفعان</x:v>
      </x:c>
      <x:c r="K1817" s="39" t="str"/>
      <x:c r="L1817" s="39" t="str">
        <x:v>E112:P2190</x:v>
      </x:c>
      <x:c r="M1817" s="39" t="str"/>
      <x:c r="N1817" s="39" t="str">
        <x:v>نسخه پایه ۳۱۵۰</x:v>
      </x:c>
    </x:row>
    <x:row r="1818" ht="34" customHeight="1">
      <x:c r="A1818" s="34" t="str">
        <x:v>☐</x:v>
      </x:c>
      <x:c r="B1818" s="34" t="str">
        <x:v>MI-2594</x:v>
      </x:c>
      <x:c r="C1818" s="34" t="str">
        <x:v>M3 — کسب‌وکار، شبکه و زیست‌بوم نوآوری</x:v>
      </x:c>
      <x:c r="D1818" s="34" t="str">
        <x:v>H14</x:v>
      </x:c>
      <x:c r="E1818" s="34" t="str">
        <x:v>شبکه‌سازی، افراد و ارتباطات کلیدی</x:v>
      </x:c>
      <x:c r="F1818" s="34" t="str">
        <x:v>P3</x:v>
      </x:c>
      <x:c r="G1818" s="34" t="str">
        <x:v>هدف/موضوع</x:v>
      </x:c>
      <x:c r="H1818" s="39" t="str">
        <x:v>شبکه جوانان</x:v>
      </x:c>
      <x:c r="I1818" s="39" t="str">
        <x:v>زمان‌بندی محدود/شبکه‌ای</x:v>
      </x:c>
      <x:c r="J1818" s="39" t="str">
        <x:v>استراتژیست شبکه و ذی‌نفعان</x:v>
      </x:c>
      <x:c r="K1818" s="39" t="str"/>
      <x:c r="L1818" s="39" t="str">
        <x:v>E112:P2195</x:v>
      </x:c>
      <x:c r="M1818" s="39" t="str"/>
      <x:c r="N1818" s="39" t="str">
        <x:v>نسخه پایه ۳۱۵۰</x:v>
      </x:c>
    </x:row>
    <x:row r="1819" ht="34" customHeight="1">
      <x:c r="A1819" s="34" t="str">
        <x:v>☐</x:v>
      </x:c>
      <x:c r="B1819" s="34" t="str">
        <x:v>MI-2646</x:v>
      </x:c>
      <x:c r="C1819" s="34" t="str">
        <x:v>M3 — کسب‌وکار، شبکه و زیست‌بوم نوآوری</x:v>
      </x:c>
      <x:c r="D1819" s="34" t="str">
        <x:v>H14</x:v>
      </x:c>
      <x:c r="E1819" s="34" t="str">
        <x:v>شبکه‌سازی، افراد و ارتباطات کلیدی</x:v>
      </x:c>
      <x:c r="F1819" s="34" t="str">
        <x:v>P3</x:v>
      </x:c>
      <x:c r="G1819" s="34" t="str">
        <x:v>هدف/موضوع</x:v>
      </x:c>
      <x:c r="H1819" s="39" t="str">
        <x:v>آماده سازی افراد برای:</x:v>
      </x:c>
      <x:c r="I1819" s="39" t="str">
        <x:v>زمان‌بندی محدود/شبکه‌ای</x:v>
      </x:c>
      <x:c r="J1819" s="39" t="str">
        <x:v>استراتژیست شبکه و ذی‌نفعان</x:v>
      </x:c>
      <x:c r="K1819" s="39" t="str"/>
      <x:c r="L1819" s="39" t="str">
        <x:v>E112:P2540</x:v>
      </x:c>
      <x:c r="M1819" s="39" t="str"/>
      <x:c r="N1819" s="39" t="str">
        <x:v>نسخه پایه ۳۱۵۰</x:v>
      </x:c>
    </x:row>
    <x:row r="1820" ht="34" customHeight="1">
      <x:c r="A1820" s="34" t="str">
        <x:v>☐</x:v>
      </x:c>
      <x:c r="B1820" s="34" t="str">
        <x:v>MI-2665</x:v>
      </x:c>
      <x:c r="C1820" s="34" t="str">
        <x:v>M3 — کسب‌وکار، شبکه و زیست‌بوم نوآوری</x:v>
      </x:c>
      <x:c r="D1820" s="34" t="str">
        <x:v>H14</x:v>
      </x:c>
      <x:c r="E1820" s="34" t="str">
        <x:v>شبکه‌سازی، افراد و ارتباطات کلیدی</x:v>
      </x:c>
      <x:c r="F1820" s="34" t="str">
        <x:v>P3</x:v>
      </x:c>
      <x:c r="G1820" s="34" t="str">
        <x:v>هدف/موضوع</x:v>
      </x:c>
      <x:c r="H1820" s="39" t="str">
        <x:v>در این مراکز افراد می توانند:</x:v>
      </x:c>
      <x:c r="I1820" s="39" t="str">
        <x:v>زمان‌بندی محدود/شبکه‌ای</x:v>
      </x:c>
      <x:c r="J1820" s="39" t="str">
        <x:v>استراتژیست شبکه و ذی‌نفعان</x:v>
      </x:c>
      <x:c r="K1820" s="39" t="str"/>
      <x:c r="L1820" s="39" t="str">
        <x:v>E112:P2594</x:v>
      </x:c>
      <x:c r="M1820" s="39" t="str"/>
      <x:c r="N1820" s="39" t="str">
        <x:v>نسخه پایه ۳۱۵۰</x:v>
      </x:c>
    </x:row>
    <x:row r="1821" ht="34" customHeight="1">
      <x:c r="A1821" s="34" t="str">
        <x:v>☐</x:v>
      </x:c>
      <x:c r="B1821" s="34" t="str">
        <x:v>MI-2671</x:v>
      </x:c>
      <x:c r="C1821" s="34" t="str">
        <x:v>M3 — کسب‌وکار، شبکه و زیست‌بوم نوآوری</x:v>
      </x:c>
      <x:c r="D1821" s="34" t="str">
        <x:v>H14</x:v>
      </x:c>
      <x:c r="E1821" s="34" t="str">
        <x:v>شبکه‌سازی، افراد و ارتباطات کلیدی</x:v>
      </x:c>
      <x:c r="F1821" s="34" t="str">
        <x:v>P3</x:v>
      </x:c>
      <x:c r="G1821" s="34" t="str">
        <x:v>هدف/موضوع</x:v>
      </x:c>
      <x:c r="H1821" s="39" t="str">
        <x:v>شبکه منتورهای استان می تواند شامل:</x:v>
      </x:c>
      <x:c r="I1821" s="39" t="str">
        <x:v>زمان‌بندی محدود/شبکه‌ای</x:v>
      </x:c>
      <x:c r="J1821" s="39" t="str">
        <x:v>استراتژیست شبکه و ذی‌نفعان</x:v>
      </x:c>
      <x:c r="K1821" s="39" t="str"/>
      <x:c r="L1821" s="39" t="str">
        <x:v>E112:P2607</x:v>
      </x:c>
      <x:c r="M1821" s="39" t="str"/>
      <x:c r="N1821" s="39" t="str">
        <x:v>نسخه پایه ۳۱۵۰</x:v>
      </x:c>
    </x:row>
    <x:row r="1822" ht="34" customHeight="1">
      <x:c r="A1822" s="34" t="str">
        <x:v>☐</x:v>
      </x:c>
      <x:c r="B1822" s="34" t="str">
        <x:v>MI-2678</x:v>
      </x:c>
      <x:c r="C1822" s="34" t="str">
        <x:v>M3 — کسب‌وکار، شبکه و زیست‌بوم نوآوری</x:v>
      </x:c>
      <x:c r="D1822" s="34" t="str">
        <x:v>H14</x:v>
      </x:c>
      <x:c r="E1822" s="34" t="str">
        <x:v>شبکه‌سازی، افراد و ارتباطات کلیدی</x:v>
      </x:c>
      <x:c r="F1822" s="34" t="str">
        <x:v>P3</x:v>
      </x:c>
      <x:c r="G1822" s="34" t="str">
        <x:v>هدف/موضوع</x:v>
      </x:c>
      <x:c r="H1822" s="39" t="str">
        <x:v>8. استفاده از ظرفیت سمن ها و شبکه جوانان</x:v>
      </x:c>
      <x:c r="I1822" s="39" t="str">
        <x:v>زمان‌بندی محدود/شبکه‌ای</x:v>
      </x:c>
      <x:c r="J1822" s="39" t="str">
        <x:v>استراتژیست شبکه و ذی‌نفعان</x:v>
      </x:c>
      <x:c r="K1822" s="39" t="str"/>
      <x:c r="L1822" s="39" t="str">
        <x:v>E112:P2632</x:v>
      </x:c>
      <x:c r="M1822" s="39" t="str"/>
      <x:c r="N1822" s="39" t="str">
        <x:v>نسخه پایه ۳۱۵۰</x:v>
      </x:c>
    </x:row>
    <x:row r="1823" ht="34" customHeight="1">
      <x:c r="A1823" s="34" t="str">
        <x:v>☐</x:v>
      </x:c>
      <x:c r="B1823" s="34" t="str">
        <x:v>MI-2732</x:v>
      </x:c>
      <x:c r="C1823" s="34" t="str">
        <x:v>M3 — کسب‌وکار، شبکه و زیست‌بوم نوآوری</x:v>
      </x:c>
      <x:c r="D1823" s="34" t="str">
        <x:v>H14</x:v>
      </x:c>
      <x:c r="E1823" s="34" t="str">
        <x:v>شبکه‌سازی، افراد و ارتباطات کلیدی</x:v>
      </x:c>
      <x:c r="F1823" s="34" t="str">
        <x:v>P3</x:v>
      </x:c>
      <x:c r="G1823" s="34" t="str">
        <x:v>هدف/موضوع</x:v>
      </x:c>
      <x:c r="H1823" s="39" t="str">
        <x:v>13. ارتباط با سرمایه و پارک های علم و فناوری</x:v>
      </x:c>
      <x:c r="I1823" s="39" t="str">
        <x:v>زمان‌بندی محدود/شبکه‌ای</x:v>
      </x:c>
      <x:c r="J1823" s="39" t="str">
        <x:v>استراتژیست شبکه و ذی‌نفعان</x:v>
      </x:c>
      <x:c r="K1823" s="39" t="str"/>
      <x:c r="L1823" s="39" t="str">
        <x:v>E112:P2771</x:v>
      </x:c>
      <x:c r="M1823" s="39" t="str"/>
      <x:c r="N1823" s="39" t="str">
        <x:v>نسخه پایه ۳۱۵۰</x:v>
      </x:c>
    </x:row>
    <x:row r="1824" ht="34" customHeight="1">
      <x:c r="A1824" s="34" t="str">
        <x:v>☐</x:v>
      </x:c>
      <x:c r="B1824" s="34" t="str">
        <x:v>MI-2801</x:v>
      </x:c>
      <x:c r="C1824" s="34" t="str">
        <x:v>M3 — کسب‌وکار، شبکه و زیست‌بوم نوآوری</x:v>
      </x:c>
      <x:c r="D1824" s="34" t="str">
        <x:v>H14</x:v>
      </x:c>
      <x:c r="E1824" s="34" t="str">
        <x:v>شبکه‌سازی، افراد و ارتباطات کلیدی</x:v>
      </x:c>
      <x:c r="F1824" s="34" t="str">
        <x:v>P3</x:v>
      </x:c>
      <x:c r="G1824" s="34" t="str">
        <x:v>هدف/موضوع</x:v>
      </x:c>
      <x:c r="H1824" s="39" t="str">
        <x:v>افراد آزاد و خودآموز</x:v>
      </x:c>
      <x:c r="I1824" s="39" t="str">
        <x:v>زمان‌بندی محدود/شبکه‌ای</x:v>
      </x:c>
      <x:c r="J1824" s="39" t="str">
        <x:v>استراتژیست شبکه و ذی‌نفعان</x:v>
      </x:c>
      <x:c r="K1824" s="39" t="str"/>
      <x:c r="L1824" s="39" t="str">
        <x:v>E112:P2942</x:v>
      </x:c>
      <x:c r="M1824" s="39" t="str"/>
      <x:c r="N1824" s="39" t="str">
        <x:v>نسخه پایه ۳۱۵۰</x:v>
      </x:c>
    </x:row>
    <x:row r="1825" ht="34" customHeight="1">
      <x:c r="A1825" s="34" t="str">
        <x:v>☐</x:v>
      </x:c>
      <x:c r="B1825" s="34" t="str">
        <x:v>MI-2803</x:v>
      </x:c>
      <x:c r="C1825" s="34" t="str">
        <x:v>M3 — کسب‌وکار، شبکه و زیست‌بوم نوآوری</x:v>
      </x:c>
      <x:c r="D1825" s="34" t="str">
        <x:v>H14</x:v>
      </x:c>
      <x:c r="E1825" s="34" t="str">
        <x:v>شبکه‌سازی، افراد و ارتباطات کلیدی</x:v>
      </x:c>
      <x:c r="F1825" s="34" t="str">
        <x:v>P3</x:v>
      </x:c>
      <x:c r="G1825" s="34" t="str">
        <x:v>هدف/موضوع</x:v>
      </x:c>
      <x:c r="H1825" s="39" t="str">
        <x:v>افراد دارای علاقه و استعداد.</x:v>
      </x:c>
      <x:c r="I1825" s="39" t="str">
        <x:v>زمان‌بندی محدود/شبکه‌ای</x:v>
      </x:c>
      <x:c r="J1825" s="39" t="str">
        <x:v>استراتژیست شبکه و ذی‌نفعان</x:v>
      </x:c>
      <x:c r="K1825" s="39" t="str"/>
      <x:c r="L1825" s="39" t="str">
        <x:v>E112:P2946</x:v>
      </x:c>
      <x:c r="M1825" s="39" t="str"/>
      <x:c r="N1825" s="39" t="str">
        <x:v>نسخه پایه ۳۱۵۰</x:v>
      </x:c>
    </x:row>
    <x:row r="1826" ht="34" customHeight="1">
      <x:c r="A1826" s="34" t="str">
        <x:v>☐</x:v>
      </x:c>
      <x:c r="B1826" s="34" t="str">
        <x:v>MI-2804</x:v>
      </x:c>
      <x:c r="C1826" s="34" t="str">
        <x:v>M3 — کسب‌وکار، شبکه و زیست‌بوم نوآوری</x:v>
      </x:c>
      <x:c r="D1826" s="34" t="str">
        <x:v>H14</x:v>
      </x:c>
      <x:c r="E1826" s="34" t="str">
        <x:v>شبکه‌سازی، افراد و ارتباطات کلیدی</x:v>
      </x:c>
      <x:c r="F1826" s="34" t="str">
        <x:v>P3</x:v>
      </x:c>
      <x:c r="G1826" s="34" t="str">
        <x:v>هدف/موضوع</x:v>
      </x:c>
      <x:c r="H1826" s="39" t="str">
        <x:v>این افراد وارد سیستم پایش می شوند.</x:v>
      </x:c>
      <x:c r="I1826" s="39" t="str">
        <x:v>زمان‌بندی محدود/شبکه‌ای</x:v>
      </x:c>
      <x:c r="J1826" s="39" t="str">
        <x:v>استراتژیست شبکه و ذی‌نفعان</x:v>
      </x:c>
      <x:c r="K1826" s="39" t="str"/>
      <x:c r="L1826" s="39" t="str">
        <x:v>E112:P2948</x:v>
      </x:c>
      <x:c r="M1826" s="39" t="str"/>
      <x:c r="N1826" s="39" t="str">
        <x:v>نسخه پایه ۳۱۵۰</x:v>
      </x:c>
    </x:row>
    <x:row r="1827" ht="34" customHeight="1">
      <x:c r="A1827" s="34" t="str">
        <x:v>☐</x:v>
      </x:c>
      <x:c r="B1827" s="34" t="str">
        <x:v>MI-2816</x:v>
      </x:c>
      <x:c r="C1827" s="34" t="str">
        <x:v>M3 — کسب‌وکار، شبکه و زیست‌بوم نوآوری</x:v>
      </x:c>
      <x:c r="D1827" s="34" t="str">
        <x:v>H14</x:v>
      </x:c>
      <x:c r="E1827" s="34" t="str">
        <x:v>شبکه‌سازی، افراد و ارتباطات کلیدی</x:v>
      </x:c>
      <x:c r="F1827" s="34" t="str">
        <x:v>P3</x:v>
      </x:c>
      <x:c r="G1827" s="34" t="str">
        <x:v>هدف/موضوع</x:v>
      </x:c>
      <x:c r="H1827" s="39" t="str">
        <x:v>آماده سازی افراد برای فعالیت حرفه ای.</x:v>
      </x:c>
      <x:c r="I1827" s="39" t="str">
        <x:v>زمان‌بندی محدود/شبکه‌ای</x:v>
      </x:c>
      <x:c r="J1827" s="39" t="str">
        <x:v>استراتژیست شبکه و ذی‌نفعان</x:v>
      </x:c>
      <x:c r="K1827" s="39" t="str"/>
      <x:c r="L1827" s="39" t="str">
        <x:v>E112:P2985</x:v>
      </x:c>
      <x:c r="M1827" s="39" t="str"/>
      <x:c r="N1827" s="39" t="str">
        <x:v>نسخه پایه ۳۱۵۰</x:v>
      </x:c>
    </x:row>
    <x:row r="1828" ht="34" customHeight="1">
      <x:c r="A1828" s="34" t="str">
        <x:v>☐</x:v>
      </x:c>
      <x:c r="B1828" s="34" t="str">
        <x:v>MI-2827</x:v>
      </x:c>
      <x:c r="C1828" s="34" t="str">
        <x:v>M3 — کسب‌وکار، شبکه و زیست‌بوم نوآوری</x:v>
      </x:c>
      <x:c r="D1828" s="34" t="str">
        <x:v>H14</x:v>
      </x:c>
      <x:c r="E1828" s="34" t="str">
        <x:v>شبکه‌سازی، افراد و ارتباطات کلیدی</x:v>
      </x:c>
      <x:c r="F1828" s="34" t="str">
        <x:v>P3</x:v>
      </x:c>
      <x:c r="G1828" s="34" t="str">
        <x:v>هدف/موضوع</x:v>
      </x:c>
      <x:c r="H1828" s="39" t="str">
        <x:v>لایه 5 — شبکه منتورها</x:v>
      </x:c>
      <x:c r="I1828" s="39" t="str">
        <x:v>زمان‌بندی محدود/شبکه‌ای</x:v>
      </x:c>
      <x:c r="J1828" s="39" t="str">
        <x:v>استراتژیست شبکه و ذی‌نفعان</x:v>
      </x:c>
      <x:c r="K1828" s="39" t="str"/>
      <x:c r="L1828" s="39" t="str">
        <x:v>E112:P3022</x:v>
      </x:c>
      <x:c r="M1828" s="39" t="str"/>
      <x:c r="N1828" s="39" t="str">
        <x:v>نسخه پایه ۳۱۵۰</x:v>
      </x:c>
    </x:row>
    <x:row r="1829" ht="34" customHeight="1">
      <x:c r="A1829" s="34" t="str">
        <x:v>☐</x:v>
      </x:c>
      <x:c r="B1829" s="34" t="str">
        <x:v>MI-2829</x:v>
      </x:c>
      <x:c r="C1829" s="34" t="str">
        <x:v>M3 — کسب‌وکار، شبکه و زیست‌بوم نوآوری</x:v>
      </x:c>
      <x:c r="D1829" s="34" t="str">
        <x:v>H14</x:v>
      </x:c>
      <x:c r="E1829" s="34" t="str">
        <x:v>شبکه‌سازی، افراد و ارتباطات کلیدی</x:v>
      </x:c>
      <x:c r="F1829" s="34" t="str">
        <x:v>P3</x:v>
      </x:c>
      <x:c r="G1829" s="34" t="str">
        <x:v>هدف/موضوع</x:v>
      </x:c>
      <x:c r="H1829" s="39" t="str">
        <x:v>اعضای شبکه:</x:v>
      </x:c>
      <x:c r="I1829" s="39" t="str">
        <x:v>زمان‌بندی محدود/شبکه‌ای</x:v>
      </x:c>
      <x:c r="J1829" s="39" t="str">
        <x:v>استراتژیست شبکه و ذی‌نفعان</x:v>
      </x:c>
      <x:c r="K1829" s="39" t="str"/>
      <x:c r="L1829" s="39" t="str">
        <x:v>E112:P3026</x:v>
      </x:c>
      <x:c r="M1829" s="39" t="str"/>
      <x:c r="N1829" s="39" t="str">
        <x:v>نسخه پایه ۳۱۵۰</x:v>
      </x:c>
    </x:row>
    <x:row r="1830" ht="34" customHeight="1">
      <x:c r="A1830" s="34" t="str">
        <x:v>☐</x:v>
      </x:c>
      <x:c r="B1830" s="34" t="str">
        <x:v>MI-2845</x:v>
      </x:c>
      <x:c r="C1830" s="34" t="str">
        <x:v>M3 — کسب‌وکار، شبکه و زیست‌بوم نوآوری</x:v>
      </x:c>
      <x:c r="D1830" s="34" t="str">
        <x:v>H14</x:v>
      </x:c>
      <x:c r="E1830" s="34" t="str">
        <x:v>شبکه‌سازی، افراد و ارتباطات کلیدی</x:v>
      </x:c>
      <x:c r="F1830" s="34" t="str">
        <x:v>P3</x:v>
      </x:c>
      <x:c r="G1830" s="34" t="str">
        <x:v>هدف/موضوع</x:v>
      </x:c>
      <x:c r="H1830" s="39" t="str">
        <x:v>رویدادها باعث رشد شبکه و کشف استعداد می شوند.</x:v>
      </x:c>
      <x:c r="I1830" s="39" t="str">
        <x:v>زمان‌بندی محدود/شبکه‌ای</x:v>
      </x:c>
      <x:c r="J1830" s="39" t="str">
        <x:v>استراتژیست شبکه و ذی‌نفعان</x:v>
      </x:c>
      <x:c r="K1830" s="39" t="str"/>
      <x:c r="L1830" s="39" t="str">
        <x:v>E112:P3074</x:v>
      </x:c>
      <x:c r="M1830" s="39" t="str"/>
      <x:c r="N1830" s="39" t="str">
        <x:v>نسخه پایه ۳۱۵۰</x:v>
      </x:c>
    </x:row>
    <x:row r="1831" ht="34" customHeight="1">
      <x:c r="A1831" s="34" t="str">
        <x:v>☐</x:v>
      </x:c>
      <x:c r="B1831" s="34" t="str">
        <x:v>MI-2939</x:v>
      </x:c>
      <x:c r="C1831" s="34" t="str">
        <x:v>M3 — کسب‌وکار، شبکه و زیست‌بوم نوآوری</x:v>
      </x:c>
      <x:c r="D1831" s="34" t="str">
        <x:v>H14</x:v>
      </x:c>
      <x:c r="E1831" s="34" t="str">
        <x:v>شبکه‌سازی، افراد و ارتباطات کلیدی</x:v>
      </x:c>
      <x:c r="F1831" s="34" t="str">
        <x:v>P3</x:v>
      </x:c>
      <x:c r="G1831" s="34" t="str">
        <x:v>هدف/موضوع</x:v>
      </x:c>
      <x:c r="H1831" s="39" t="str">
        <x:v>مدیر شبکه و جامعه (Community)</x:v>
      </x:c>
      <x:c r="I1831" s="39" t="str">
        <x:v>زمان‌بندی محدود/شبکه‌ای</x:v>
      </x:c>
      <x:c r="J1831" s="39" t="str">
        <x:v>استراتژیست شبکه و ذی‌نفعان</x:v>
      </x:c>
      <x:c r="K1831" s="39" t="str"/>
      <x:c r="L1831" s="39" t="str">
        <x:v>E112:P3307</x:v>
      </x:c>
      <x:c r="M1831" s="39" t="str"/>
      <x:c r="N1831" s="39" t="str">
        <x:v>نسخه پایه ۳۱۵۰</x:v>
      </x:c>
    </x:row>
    <x:row r="1832" ht="34" customHeight="1">
      <x:c r="A1832" s="34" t="str">
        <x:v>☐</x:v>
      </x:c>
      <x:c r="B1832" s="34" t="str">
        <x:v>MI-2961</x:v>
      </x:c>
      <x:c r="C1832" s="34" t="str">
        <x:v>M3 — کسب‌وکار، شبکه و زیست‌بوم نوآوری</x:v>
      </x:c>
      <x:c r="D1832" s="34" t="str">
        <x:v>H14</x:v>
      </x:c>
      <x:c r="E1832" s="34" t="str">
        <x:v>شبکه‌سازی، افراد و ارتباطات کلیدی</x:v>
      </x:c>
      <x:c r="F1832" s="34" t="str">
        <x:v>P3</x:v>
      </x:c>
      <x:c r="G1832" s="34" t="str">
        <x:v>هدف/موضوع</x:v>
      </x:c>
      <x:c r="H1832" s="39" t="str">
        <x:v>آماده کردن افراد برای:</x:v>
      </x:c>
      <x:c r="I1832" s="39" t="str">
        <x:v>زمان‌بندی محدود/شبکه‌ای</x:v>
      </x:c>
      <x:c r="J1832" s="39" t="str">
        <x:v>استراتژیست شبکه و ذی‌نفعان</x:v>
      </x:c>
      <x:c r="K1832" s="39" t="str"/>
      <x:c r="L1832" s="39" t="str">
        <x:v>E112:P3358</x:v>
      </x:c>
      <x:c r="M1832" s="39" t="str"/>
      <x:c r="N1832" s="39" t="str">
        <x:v>نسخه پایه ۳۱۵۰</x:v>
      </x:c>
    </x:row>
    <x:row r="1833" ht="34" customHeight="1">
      <x:c r="A1833" s="34" t="str">
        <x:v>☐</x:v>
      </x:c>
      <x:c r="B1833" s="34" t="str">
        <x:v>MI-2969</x:v>
      </x:c>
      <x:c r="C1833" s="34" t="str">
        <x:v>M3 — کسب‌وکار، شبکه و زیست‌بوم نوآوری</x:v>
      </x:c>
      <x:c r="D1833" s="34" t="str">
        <x:v>H14</x:v>
      </x:c>
      <x:c r="E1833" s="34" t="str">
        <x:v>شبکه‌سازی، افراد و ارتباطات کلیدی</x:v>
      </x:c>
      <x:c r="F1833" s="34" t="str">
        <x:v>P3</x:v>
      </x:c>
      <x:c r="G1833" s="34" t="str">
        <x:v>هدف/موضوع</x:v>
      </x:c>
      <x:c r="H1833" s="39" t="str">
        <x:v>در این مرحله افراد تبدیل به تیم می شوند.</x:v>
      </x:c>
      <x:c r="I1833" s="39" t="str">
        <x:v>زمان‌بندی محدود/شبکه‌ای</x:v>
      </x:c>
      <x:c r="J1833" s="39" t="str">
        <x:v>استراتژیست شبکه و ذی‌نفعان</x:v>
      </x:c>
      <x:c r="K1833" s="39" t="str"/>
      <x:c r="L1833" s="39" t="str">
        <x:v>E112:P3381</x:v>
      </x:c>
      <x:c r="M1833" s="39" t="str"/>
      <x:c r="N1833" s="39" t="str">
        <x:v>نسخه پایه ۳۱۵۰</x:v>
      </x:c>
    </x:row>
    <x:row r="1834" ht="34" customHeight="1">
      <x:c r="A1834" s="34" t="str">
        <x:v>☐</x:v>
      </x:c>
      <x:c r="B1834" s="34" t="str">
        <x:v>MI-2997</x:v>
      </x:c>
      <x:c r="C1834" s="34" t="str">
        <x:v>M3 — کسب‌وکار، شبکه و زیست‌بوم نوآوری</x:v>
      </x:c>
      <x:c r="D1834" s="34" t="str">
        <x:v>H14</x:v>
      </x:c>
      <x:c r="E1834" s="34" t="str">
        <x:v>شبکه‌سازی، افراد و ارتباطات کلیدی</x:v>
      </x:c>
      <x:c r="F1834" s="34" t="str">
        <x:v>P3</x:v>
      </x:c>
      <x:c r="G1834" s="34" t="str">
        <x:v>هدف/موضوع</x:v>
      </x:c>
      <x:c r="H1834" s="39" t="str">
        <x:v>افراد</x:v>
      </x:c>
      <x:c r="I1834" s="39" t="str">
        <x:v>زمان‌بندی محدود/شبکه‌ای</x:v>
      </x:c>
      <x:c r="J1834" s="39" t="str">
        <x:v>استراتژیست شبکه و ذی‌نفعان</x:v>
      </x:c>
      <x:c r="K1834" s="39" t="str"/>
      <x:c r="L1834" s="39" t="str">
        <x:v>E112:P3488</x:v>
      </x:c>
      <x:c r="M1834" s="39" t="str"/>
      <x:c r="N1834" s="39" t="str">
        <x:v>نسخه پایه ۳۱۵۰</x:v>
      </x:c>
    </x:row>
    <x:row r="1835" ht="34" customHeight="1">
      <x:c r="A1835" s="34" t="str">
        <x:v>☐</x:v>
      </x:c>
      <x:c r="B1835" s="34" t="str">
        <x:v>MI-3054</x:v>
      </x:c>
      <x:c r="C1835" s="34" t="str">
        <x:v>M3 — کسب‌وکار، شبکه و زیست‌بوم نوآوری</x:v>
      </x:c>
      <x:c r="D1835" s="34" t="str">
        <x:v>H14</x:v>
      </x:c>
      <x:c r="E1835" s="34" t="str">
        <x:v>شبکه‌سازی، افراد و ارتباطات کلیدی</x:v>
      </x:c>
      <x:c r="F1835" s="34" t="str">
        <x:v>P3</x:v>
      </x:c>
      <x:c r="G1835" s="34" t="str">
        <x:v>هدف/موضوع</x:v>
      </x:c>
      <x:c r="H1835" s="39" t="str">
        <x:v>چه افرادی</x:v>
      </x:c>
      <x:c r="I1835" s="39" t="str">
        <x:v>زمان‌بندی محدود/شبکه‌ای</x:v>
      </x:c>
      <x:c r="J1835" s="39" t="str">
        <x:v>استراتژیست شبکه و ذی‌نفعان</x:v>
      </x:c>
      <x:c r="K1835" s="39" t="str"/>
      <x:c r="L1835" s="39" t="str">
        <x:v>E112:P3648</x:v>
      </x:c>
      <x:c r="M1835" s="39" t="str"/>
      <x:c r="N1835" s="39" t="str">
        <x:v>نسخه پایه ۳۱۵۰</x:v>
      </x:c>
    </x:row>
    <x:row r="1836" ht="34" customHeight="1">
      <x:c r="A1836" s="34" t="str">
        <x:v>☐</x:v>
      </x:c>
      <x:c r="B1836" s="34" t="str">
        <x:v>MI-3060</x:v>
      </x:c>
      <x:c r="C1836" s="34" t="str">
        <x:v>M3 — کسب‌وکار، شبکه و زیست‌بوم نوآوری</x:v>
      </x:c>
      <x:c r="D1836" s="34" t="str">
        <x:v>H14</x:v>
      </x:c>
      <x:c r="E1836" s="34" t="str">
        <x:v>شبکه‌سازی، افراد و ارتباطات کلیدی</x:v>
      </x:c>
      <x:c r="F1836" s="34" t="str">
        <x:v>P3</x:v>
      </x:c>
      <x:c r="G1836" s="34" t="str">
        <x:v>هدف/موضوع</x:v>
      </x:c>
      <x:c r="H1836" s="39" t="str">
        <x:v>هدفتون از مراجعه به مرکز استعدادیابی سینا چیست ؟ و آیا افرادی (پدر، مادر، فرزند، همسر، دوست) در این هدف شما نقش داشته اند؟</x:v>
      </x:c>
      <x:c r="I1836" s="39" t="str">
        <x:v>زمان‌بندی محدود/شبکه‌ای</x:v>
      </x:c>
      <x:c r="J1836" s="39" t="str">
        <x:v>استراتژیست شبکه و ذی‌نفعان</x:v>
      </x:c>
      <x:c r="K1836" s="39" t="str"/>
      <x:c r="L1836" s="39" t="str">
        <x:v>INT:T6 R1</x:v>
      </x:c>
      <x:c r="M1836" s="39" t="str"/>
      <x:c r="N1836" s="39" t="str">
        <x:v>نسخه پایه ۳۱۵۰</x:v>
      </x:c>
    </x:row>
    <x:row r="1837" ht="34" customHeight="1">
      <x:c r="A1837" s="34" t="str">
        <x:v>☐</x:v>
      </x:c>
      <x:c r="B1837" s="34" t="str">
        <x:v>MI-3083</x:v>
      </x:c>
      <x:c r="C1837" s="34" t="str">
        <x:v>M3 — کسب‌وکار، شبکه و زیست‌بوم نوآوری</x:v>
      </x:c>
      <x:c r="D1837" s="34" t="str">
        <x:v>H14</x:v>
      </x:c>
      <x:c r="E1837" s="34" t="str">
        <x:v>شبکه‌سازی، افراد و ارتباطات کلیدی</x:v>
      </x:c>
      <x:c r="F1837" s="34" t="str">
        <x:v>P3</x:v>
      </x:c>
      <x:c r="G1837" s="34" t="str">
        <x:v>هدف/موضوع</x:v>
      </x:c>
      <x:c r="H1837" s="39" t="str">
        <x:v>نمیخوام به مهاجرت فکر کنم، به فکر این بودم که برم و دنیا رو ببینم به من دید بهتر و بزرگتری بده ، تجربه کسب کنم، لینک بزنم، ایده بگیرم و بعد برگردم ، نه اینکه برم بمونم</x:v>
      </x:c>
      <x:c r="I1837" s="39" t="str">
        <x:v>زمان‌بندی محدود/شبکه‌ای</x:v>
      </x:c>
      <x:c r="J1837" s="39" t="str">
        <x:v>استراتژیست شبکه و ذی‌نفعان</x:v>
      </x:c>
      <x:c r="K1837" s="39" t="str"/>
      <x:c r="L1837" s="39" t="str">
        <x:v>INT:T20 R2</x:v>
      </x:c>
      <x:c r="M1837" s="39" t="str"/>
      <x:c r="N1837" s="39" t="str">
        <x:v>نسخه پایه ۳۱۵۰</x:v>
      </x:c>
    </x:row>
    <x:row r="1838" ht="34" customHeight="1">
      <x:c r="A1838" s="34" t="str">
        <x:v>☐</x:v>
      </x:c>
      <x:c r="B1838" s="34" t="str">
        <x:v>MI-3112</x:v>
      </x:c>
      <x:c r="C1838" s="34" t="str">
        <x:v>M3 — کسب‌وکار، شبکه و زیست‌بوم نوآوری</x:v>
      </x:c>
      <x:c r="D1838" s="34" t="str">
        <x:v>H14</x:v>
      </x:c>
      <x:c r="E1838" s="34" t="str">
        <x:v>شبکه‌سازی، افراد و ارتباطات کلیدی</x:v>
      </x:c>
      <x:c r="F1838" s="34" t="str">
        <x:v>P3</x:v>
      </x:c>
      <x:c r="G1838" s="34" t="str">
        <x:v>هدف/موضوع</x:v>
      </x:c>
      <x:c r="H1838" s="39" t="str">
        <x:v>اگر در حال حاضر تصمیم به حذف افراد یا چیزهایی بکنید که مانع موفقیت شما هستند، چه افراد یا چیزهایی هستند؟</x:v>
      </x:c>
      <x:c r="I1838" s="39" t="str">
        <x:v>زمان‌بندی محدود/شبکه‌ای</x:v>
      </x:c>
      <x:c r="J1838" s="39" t="str">
        <x:v>استراتژیست شبکه و ذی‌نفعان</x:v>
      </x:c>
      <x:c r="K1838" s="39" t="str"/>
      <x:c r="L1838" s="39" t="str">
        <x:v>INT:T37 R1</x:v>
      </x:c>
      <x:c r="M1838" s="39" t="str"/>
      <x:c r="N1838" s="39" t="str">
        <x:v>نسخه پایه ۳۱۵۰</x:v>
      </x:c>
    </x:row>
    <x:row r="1839" ht="34" customHeight="1">
      <x:c r="A1839" s="34" t="str">
        <x:v>☐</x:v>
      </x:c>
      <x:c r="B1839" s="34" t="str">
        <x:v>MI-0273</x:v>
      </x:c>
      <x:c r="C1839" s="34" t="str">
        <x:v>M3 — کسب‌وکار، شبکه و زیست‌بوم نوآوری</x:v>
      </x:c>
      <x:c r="D1839" s="34" t="str">
        <x:v>H14</x:v>
      </x:c>
      <x:c r="E1839" s="34" t="str">
        <x:v>شبکه‌سازی، افراد و ارتباطات کلیدی</x:v>
      </x:c>
      <x:c r="F1839" s="34" t="str">
        <x:v>P3</x:v>
      </x:c>
      <x:c r="G1839" s="34" t="str">
        <x:v>فرد/ارتباط</x:v>
      </x:c>
      <x:c r="H1839" s="39" t="str">
        <x:v>دکتر وحیدی هوش مصنوعی خوراکشه، دکتر یعقوبی ورزش دوستشه</x:v>
      </x:c>
      <x:c r="I1839" s="39" t="str">
        <x:v>زمان‌بندی محدود/شبکه‌ای</x:v>
      </x:c>
      <x:c r="J1839" s="39" t="str">
        <x:v>استراتژیست شبکه و ذی‌نفعان</x:v>
      </x:c>
      <x:c r="K1839" s="39" t="str"/>
      <x:c r="L1839" s="39" t="str">
        <x:v>AP:P44؛ AP:P441؛ AP:P473</x:v>
      </x:c>
      <x:c r="M1839" s="39" t="str"/>
      <x:c r="N1839" s="39" t="str">
        <x:v>نسخه پایه ۳۱۵۰</x:v>
      </x:c>
    </x:row>
    <x:row r="1840" ht="34" customHeight="1">
      <x:c r="A1840" s="34" t="str">
        <x:v>☐</x:v>
      </x:c>
      <x:c r="B1840" s="34" t="str">
        <x:v>MI-0301</x:v>
      </x:c>
      <x:c r="C1840" s="34" t="str">
        <x:v>M3 — کسب‌وکار، شبکه و زیست‌بوم نوآوری</x:v>
      </x:c>
      <x:c r="D1840" s="34" t="str">
        <x:v>H14</x:v>
      </x:c>
      <x:c r="E1840" s="34" t="str">
        <x:v>شبکه‌سازی، افراد و ارتباطات کلیدی</x:v>
      </x:c>
      <x:c r="F1840" s="34" t="str">
        <x:v>P3</x:v>
      </x:c>
      <x:c r="G1840" s="34" t="str">
        <x:v>فرد/ارتباط</x:v>
      </x:c>
      <x:c r="H1840" s="39" t="str">
        <x:v>حاج آقای رمضانی ما چند بار گفتیم اقا خرجشده برای ساعت اذان گو این مشکل داره</x:v>
      </x:c>
      <x:c r="I1840" s="39" t="str">
        <x:v>زمان‌بندی محدود/شبکه‌ای</x:v>
      </x:c>
      <x:c r="J1840" s="39" t="str">
        <x:v>استراتژیست شبکه و ذی‌نفعان</x:v>
      </x:c>
      <x:c r="K1840" s="39" t="str"/>
      <x:c r="L1840" s="39" t="str">
        <x:v>AP:P73</x:v>
      </x:c>
      <x:c r="M1840" s="39" t="str"/>
      <x:c r="N1840" s="39" t="str">
        <x:v>نسخه پایه ۳۱۵۰</x:v>
      </x:c>
    </x:row>
    <x:row r="1841" ht="34" customHeight="1">
      <x:c r="A1841" s="34" t="str">
        <x:v>☐</x:v>
      </x:c>
      <x:c r="B1841" s="34" t="str">
        <x:v>MI-0303</x:v>
      </x:c>
      <x:c r="C1841" s="34" t="str">
        <x:v>M3 — کسب‌وکار، شبکه و زیست‌بوم نوآوری</x:v>
      </x:c>
      <x:c r="D1841" s="34" t="str">
        <x:v>H14</x:v>
      </x:c>
      <x:c r="E1841" s="34" t="str">
        <x:v>شبکه‌سازی، افراد و ارتباطات کلیدی</x:v>
      </x:c>
      <x:c r="F1841" s="34" t="str">
        <x:v>P3</x:v>
      </x:c>
      <x:c r="G1841" s="34" t="str">
        <x:v>فرد/ارتباط</x:v>
      </x:c>
      <x:c r="H1841" s="39" t="str">
        <x:v>خب دکتر امینی و حاجی میگن تعامل ، آقا تعاملجواب نمیده</x:v>
      </x:c>
      <x:c r="I1841" s="39" t="str">
        <x:v>زمان‌بندی محدود/شبکه‌ای</x:v>
      </x:c>
      <x:c r="J1841" s="39" t="str">
        <x:v>استراتژیست شبکه و ذی‌نفعان</x:v>
      </x:c>
      <x:c r="K1841" s="39" t="str"/>
      <x:c r="L1841" s="39" t="str">
        <x:v>AP:P75</x:v>
      </x:c>
      <x:c r="M1841" s="39" t="str"/>
      <x:c r="N1841" s="39" t="str">
        <x:v>نسخه پایه ۳۱۵۰</x:v>
      </x:c>
    </x:row>
    <x:row r="1842" ht="34" customHeight="1">
      <x:c r="A1842" s="34" t="str">
        <x:v>☐</x:v>
      </x:c>
      <x:c r="B1842" s="34" t="str">
        <x:v>MI-0309</x:v>
      </x:c>
      <x:c r="C1842" s="34" t="str">
        <x:v>M3 — کسب‌وکار، شبکه و زیست‌بوم نوآوری</x:v>
      </x:c>
      <x:c r="D1842" s="34" t="str">
        <x:v>H14</x:v>
      </x:c>
      <x:c r="E1842" s="34" t="str">
        <x:v>شبکه‌سازی، افراد و ارتباطات کلیدی</x:v>
      </x:c>
      <x:c r="F1842" s="34" t="str">
        <x:v>P3</x:v>
      </x:c>
      <x:c r="G1842" s="34" t="str">
        <x:v>فرد/ارتباط</x:v>
      </x:c>
      <x:c r="H1842" s="39" t="str">
        <x:v>خانم سلیمانی ، شما در برنانه غرفه کانون ها وتشکل ها ، جسارتا فرمودین با تاسف که اقای شجاع پور چرا ما غرفه نداریم و فلان ،اقا فرض بفرمایید کم کاری ما و هییت.</x:v>
      </x:c>
      <x:c r="I1842" s="39" t="str">
        <x:v>زمان‌بندی محدود/شبکه‌ای</x:v>
      </x:c>
      <x:c r="J1842" s="39" t="str">
        <x:v>استراتژیست شبکه و ذی‌نفعان</x:v>
      </x:c>
      <x:c r="K1842" s="39" t="str"/>
      <x:c r="L1842" s="39" t="str">
        <x:v>AP:P81</x:v>
      </x:c>
      <x:c r="M1842" s="39" t="str"/>
      <x:c r="N1842" s="39" t="str">
        <x:v>نسخه پایه ۳۱۵۰</x:v>
      </x:c>
    </x:row>
    <x:row r="1843" ht="34" customHeight="1">
      <x:c r="A1843" s="34" t="str">
        <x:v>☐</x:v>
      </x:c>
      <x:c r="B1843" s="34" t="str">
        <x:v>MI-0310</x:v>
      </x:c>
      <x:c r="C1843" s="34" t="str">
        <x:v>M3 — کسب‌وکار، شبکه و زیست‌بوم نوآوری</x:v>
      </x:c>
      <x:c r="D1843" s="34" t="str">
        <x:v>H14</x:v>
      </x:c>
      <x:c r="E1843" s="34" t="str">
        <x:v>شبکه‌سازی، افراد و ارتباطات کلیدی</x:v>
      </x:c>
      <x:c r="F1843" s="34" t="str">
        <x:v>P3</x:v>
      </x:c>
      <x:c r="G1843" s="34" t="str">
        <x:v>فرد/ارتباط</x:v>
      </x:c>
      <x:c r="H1843" s="39" t="str">
        <x:v>برای کیفیت پذیرایی که تازه ما رو در رو شدیمو خانم سلیمانی آقا سید رو دیدن حضورا بهشون اون موقع گفتن</x:v>
      </x:c>
      <x:c r="I1843" s="39" t="str">
        <x:v>زمان‌بندی محدود/شبکه‌ای</x:v>
      </x:c>
      <x:c r="J1843" s="39" t="str">
        <x:v>استراتژیست شبکه و ذی‌نفعان</x:v>
      </x:c>
      <x:c r="K1843" s="39" t="str"/>
      <x:c r="L1843" s="39" t="str">
        <x:v>AP:P82</x:v>
      </x:c>
      <x:c r="M1843" s="39" t="str"/>
      <x:c r="N1843" s="39" t="str">
        <x:v>نسخه پایه ۳۱۵۰</x:v>
      </x:c>
    </x:row>
    <x:row r="1844" ht="34" customHeight="1">
      <x:c r="A1844" s="34" t="str">
        <x:v>☐</x:v>
      </x:c>
      <x:c r="B1844" s="34" t="str">
        <x:v>MI-0739</x:v>
      </x:c>
      <x:c r="C1844" s="34" t="str">
        <x:v>M3 — کسب‌وکار، شبکه و زیست‌بوم نوآوری</x:v>
      </x:c>
      <x:c r="D1844" s="34" t="str">
        <x:v>H14</x:v>
      </x:c>
      <x:c r="E1844" s="34" t="str">
        <x:v>شبکه‌سازی، افراد و ارتباطات کلیدی</x:v>
      </x:c>
      <x:c r="F1844" s="34" t="str">
        <x:v>P3</x:v>
      </x:c>
      <x:c r="G1844" s="34" t="str">
        <x:v>فرد/ارتباط</x:v>
      </x:c>
      <x:c r="H1844" s="39" t="str">
        <x:v>دکتر ضابط پور</x:v>
      </x:c>
      <x:c r="I1844" s="39" t="str">
        <x:v>زمان‌بندی محدود/شبکه‌ای</x:v>
      </x:c>
      <x:c r="J1844" s="39" t="str">
        <x:v>استراتژیست شبکه و ذی‌نفعان</x:v>
      </x:c>
      <x:c r="K1844" s="39" t="str"/>
      <x:c r="L1844" s="39" t="str">
        <x:v>AP:P530</x:v>
      </x:c>
      <x:c r="M1844" s="39" t="str"/>
      <x:c r="N1844" s="39" t="str">
        <x:v>نسخه پایه ۳۱۵۰</x:v>
      </x:c>
    </x:row>
    <x:row r="1845" ht="34" customHeight="1">
      <x:c r="A1845" s="34" t="str">
        <x:v>☐</x:v>
      </x:c>
      <x:c r="B1845" s="34" t="str">
        <x:v>MI-0741</x:v>
      </x:c>
      <x:c r="C1845" s="34" t="str">
        <x:v>M3 — کسب‌وکار، شبکه و زیست‌بوم نوآوری</x:v>
      </x:c>
      <x:c r="D1845" s="34" t="str">
        <x:v>H14</x:v>
      </x:c>
      <x:c r="E1845" s="34" t="str">
        <x:v>شبکه‌سازی، افراد و ارتباطات کلیدی</x:v>
      </x:c>
      <x:c r="F1845" s="34" t="str">
        <x:v>P3</x:v>
      </x:c>
      <x:c r="G1845" s="34" t="str">
        <x:v>فرد/ارتباط</x:v>
      </x:c>
      <x:c r="H1845" s="39" t="str">
        <x:v>آقای غایبی</x:v>
      </x:c>
      <x:c r="I1845" s="39" t="str">
        <x:v>زمان‌بندی محدود/شبکه‌ای</x:v>
      </x:c>
      <x:c r="J1845" s="39" t="str">
        <x:v>استراتژیست شبکه و ذی‌نفعان</x:v>
      </x:c>
      <x:c r="K1845" s="39" t="str"/>
      <x:c r="L1845" s="39" t="str">
        <x:v>AP:P532</x:v>
      </x:c>
      <x:c r="M1845" s="39" t="str"/>
      <x:c r="N1845" s="39" t="str">
        <x:v>نسخه پایه ۳۱۵۰</x:v>
      </x:c>
    </x:row>
    <x:row r="1846" ht="34" customHeight="1">
      <x:c r="A1846" s="34" t="str">
        <x:v>☐</x:v>
      </x:c>
      <x:c r="B1846" s="34" t="str">
        <x:v>MI-0742</x:v>
      </x:c>
      <x:c r="C1846" s="34" t="str">
        <x:v>M3 — کسب‌وکار، شبکه و زیست‌بوم نوآوری</x:v>
      </x:c>
      <x:c r="D1846" s="34" t="str">
        <x:v>H14</x:v>
      </x:c>
      <x:c r="E1846" s="34" t="str">
        <x:v>شبکه‌سازی، افراد و ارتباطات کلیدی</x:v>
      </x:c>
      <x:c r="F1846" s="34" t="str">
        <x:v>P3</x:v>
      </x:c>
      <x:c r="G1846" s="34" t="str">
        <x:v>فرد/ارتباط</x:v>
      </x:c>
      <x:c r="H1846" s="39" t="str">
        <x:v>آقای بابکان</x:v>
      </x:c>
      <x:c r="I1846" s="39" t="str">
        <x:v>زمان‌بندی محدود/شبکه‌ای</x:v>
      </x:c>
      <x:c r="J1846" s="39" t="str">
        <x:v>استراتژیست شبکه و ذی‌نفعان</x:v>
      </x:c>
      <x:c r="K1846" s="39" t="str"/>
      <x:c r="L1846" s="39" t="str">
        <x:v>AP:P533</x:v>
      </x:c>
      <x:c r="M1846" s="39" t="str"/>
      <x:c r="N1846" s="39" t="str">
        <x:v>نسخه پایه ۳۱۵۰</x:v>
      </x:c>
    </x:row>
    <x:row r="1847" ht="34" customHeight="1">
      <x:c r="A1847" s="34" t="str">
        <x:v>☐</x:v>
      </x:c>
      <x:c r="B1847" s="34" t="str">
        <x:v>MI-0743</x:v>
      </x:c>
      <x:c r="C1847" s="34" t="str">
        <x:v>M3 — کسب‌وکار، شبکه و زیست‌بوم نوآوری</x:v>
      </x:c>
      <x:c r="D1847" s="34" t="str">
        <x:v>H14</x:v>
      </x:c>
      <x:c r="E1847" s="34" t="str">
        <x:v>شبکه‌سازی، افراد و ارتباطات کلیدی</x:v>
      </x:c>
      <x:c r="F1847" s="34" t="str">
        <x:v>P3</x:v>
      </x:c>
      <x:c r="G1847" s="34" t="str">
        <x:v>فرد/ارتباط</x:v>
      </x:c>
      <x:c r="H1847" s="39" t="str">
        <x:v>دکتر باکری</x:v>
      </x:c>
      <x:c r="I1847" s="39" t="str">
        <x:v>زمان‌بندی محدود/شبکه‌ای</x:v>
      </x:c>
      <x:c r="J1847" s="39" t="str">
        <x:v>استراتژیست شبکه و ذی‌نفعان</x:v>
      </x:c>
      <x:c r="K1847" s="39" t="str"/>
      <x:c r="L1847" s="39" t="str">
        <x:v>AP:P534</x:v>
      </x:c>
      <x:c r="M1847" s="39" t="str"/>
      <x:c r="N1847" s="39" t="str">
        <x:v>نسخه پایه ۳۱۵۰</x:v>
      </x:c>
    </x:row>
    <x:row r="1848" ht="34" customHeight="1">
      <x:c r="A1848" s="34" t="str">
        <x:v>☐</x:v>
      </x:c>
      <x:c r="B1848" s="34" t="str">
        <x:v>MI-0744</x:v>
      </x:c>
      <x:c r="C1848" s="34" t="str">
        <x:v>M3 — کسب‌وکار، شبکه و زیست‌بوم نوآوری</x:v>
      </x:c>
      <x:c r="D1848" s="34" t="str">
        <x:v>H14</x:v>
      </x:c>
      <x:c r="E1848" s="34" t="str">
        <x:v>شبکه‌سازی، افراد و ارتباطات کلیدی</x:v>
      </x:c>
      <x:c r="F1848" s="34" t="str">
        <x:v>P3</x:v>
      </x:c>
      <x:c r="G1848" s="34" t="str">
        <x:v>فرد/ارتباط</x:v>
      </x:c>
      <x:c r="H1848" s="39" t="str">
        <x:v>دکتر جهانیان</x:v>
      </x:c>
      <x:c r="I1848" s="39" t="str">
        <x:v>زمان‌بندی محدود/شبکه‌ای</x:v>
      </x:c>
      <x:c r="J1848" s="39" t="str">
        <x:v>استراتژیست شبکه و ذی‌نفعان</x:v>
      </x:c>
      <x:c r="K1848" s="39" t="str"/>
      <x:c r="L1848" s="39" t="str">
        <x:v>AP:P535</x:v>
      </x:c>
      <x:c r="M1848" s="39" t="str"/>
      <x:c r="N1848" s="39" t="str">
        <x:v>نسخه پایه ۳۱۵۰</x:v>
      </x:c>
    </x:row>
    <x:row r="1849" ht="34" customHeight="1">
      <x:c r="A1849" s="34" t="str">
        <x:v>☐</x:v>
      </x:c>
      <x:c r="B1849" s="34" t="str">
        <x:v>MI-0745</x:v>
      </x:c>
      <x:c r="C1849" s="34" t="str">
        <x:v>M3 — کسب‌وکار، شبکه و زیست‌بوم نوآوری</x:v>
      </x:c>
      <x:c r="D1849" s="34" t="str">
        <x:v>H14</x:v>
      </x:c>
      <x:c r="E1849" s="34" t="str">
        <x:v>شبکه‌سازی، افراد و ارتباطات کلیدی</x:v>
      </x:c>
      <x:c r="F1849" s="34" t="str">
        <x:v>P3</x:v>
      </x:c>
      <x:c r="G1849" s="34" t="str">
        <x:v>فرد/ارتباط</x:v>
      </x:c>
      <x:c r="H1849" s="39" t="str">
        <x:v>حاج آقای خاکزاد</x:v>
      </x:c>
      <x:c r="I1849" s="39" t="str">
        <x:v>زمان‌بندی محدود/شبکه‌ای</x:v>
      </x:c>
      <x:c r="J1849" s="39" t="str">
        <x:v>استراتژیست شبکه و ذی‌نفعان</x:v>
      </x:c>
      <x:c r="K1849" s="39" t="str"/>
      <x:c r="L1849" s="39" t="str">
        <x:v>AP:P536</x:v>
      </x:c>
      <x:c r="M1849" s="39" t="str"/>
      <x:c r="N1849" s="39" t="str">
        <x:v>نسخه پایه ۳۱۵۰</x:v>
      </x:c>
    </x:row>
    <x:row r="1850" ht="34" customHeight="1">
      <x:c r="A1850" s="34" t="str">
        <x:v>☐</x:v>
      </x:c>
      <x:c r="B1850" s="34" t="str">
        <x:v>MI-0879</x:v>
      </x:c>
      <x:c r="C1850" s="34" t="str">
        <x:v>M3 — کسب‌وکار، شبکه و زیست‌بوم نوآوری</x:v>
      </x:c>
      <x:c r="D1850" s="34" t="str">
        <x:v>H14</x:v>
      </x:c>
      <x:c r="E1850" s="34" t="str">
        <x:v>شبکه‌سازی، افراد و ارتباطات کلیدی</x:v>
      </x:c>
      <x:c r="F1850" s="34" t="str">
        <x:v>P3</x:v>
      </x:c>
      <x:c r="G1850" s="34" t="str">
        <x:v>فرد/ارتباط</x:v>
      </x:c>
      <x:c r="H1850" s="39" t="str">
        <x:v>لیست کارگاه ها و آزمایشگاه ها از خانم شیروانی که خانم داداشی معرفی کرد</x:v>
      </x:c>
      <x:c r="I1850" s="39" t="str">
        <x:v>زمان‌بندی محدود/شبکه‌ای</x:v>
      </x:c>
      <x:c r="J1850" s="39" t="str">
        <x:v>استراتژیست شبکه و ذی‌نفعان</x:v>
      </x:c>
      <x:c r="K1850" s="39" t="str"/>
      <x:c r="L1850" s="39" t="str">
        <x:v>AP:P686</x:v>
      </x:c>
      <x:c r="M1850" s="39" t="str"/>
      <x:c r="N1850" s="39" t="str">
        <x:v>نسخه پایه ۳۱۵۰</x:v>
      </x:c>
    </x:row>
    <x:row r="1851" ht="34" customHeight="1">
      <x:c r="A1851" s="34" t="str">
        <x:v>☐</x:v>
      </x:c>
      <x:c r="B1851" s="34" t="str">
        <x:v>MI-0881</x:v>
      </x:c>
      <x:c r="C1851" s="34" t="str">
        <x:v>M3 — کسب‌وکار، شبکه و زیست‌بوم نوآوری</x:v>
      </x:c>
      <x:c r="D1851" s="34" t="str">
        <x:v>H14</x:v>
      </x:c>
      <x:c r="E1851" s="34" t="str">
        <x:v>شبکه‌سازی، افراد و ارتباطات کلیدی</x:v>
      </x:c>
      <x:c r="F1851" s="34" t="str">
        <x:v>P3</x:v>
      </x:c>
      <x:c r="G1851" s="34" t="str">
        <x:v>فرد/ارتباط</x:v>
      </x:c>
      <x:c r="H1851" s="39" t="str">
        <x:v>تشکیل گروه اعضا صنفی دختران با سرپرست خانم ها و خدماتی ها ، جهت بررسی موارد</x:v>
      </x:c>
      <x:c r="I1851" s="39" t="str">
        <x:v>زمان‌بندی محدود/شبکه‌ای</x:v>
      </x:c>
      <x:c r="J1851" s="39" t="str">
        <x:v>استراتژیست شبکه و ذی‌نفعان</x:v>
      </x:c>
      <x:c r="K1851" s="39" t="str"/>
      <x:c r="L1851" s="39" t="str">
        <x:v>AP:P688</x:v>
      </x:c>
      <x:c r="M1851" s="39" t="str"/>
      <x:c r="N1851" s="39" t="str">
        <x:v>نسخه پایه ۳۱۵۰</x:v>
      </x:c>
    </x:row>
    <x:row r="1852" ht="34" customHeight="1">
      <x:c r="A1852" s="34" t="str">
        <x:v>☐</x:v>
      </x:c>
      <x:c r="B1852" s="34" t="str">
        <x:v>MI-1023</x:v>
      </x:c>
      <x:c r="C1852" s="34" t="str">
        <x:v>M3 — کسب‌وکار، شبکه و زیست‌بوم نوآوری</x:v>
      </x:c>
      <x:c r="D1852" s="34" t="str">
        <x:v>H14</x:v>
      </x:c>
      <x:c r="E1852" s="34" t="str">
        <x:v>شبکه‌سازی، افراد و ارتباطات کلیدی</x:v>
      </x:c>
      <x:c r="F1852" s="34" t="str">
        <x:v>P3</x:v>
      </x:c>
      <x:c r="G1852" s="34" t="str">
        <x:v>فرد/ارتباط</x:v>
      </x:c>
      <x:c r="H1852" s="39" t="str">
        <x:v>خانم داداشی</x:v>
      </x:c>
      <x:c r="I1852" s="39" t="str">
        <x:v>زمان‌بندی محدود/شبکه‌ای</x:v>
      </x:c>
      <x:c r="J1852" s="39" t="str">
        <x:v>استراتژیست شبکه و ذی‌نفعان</x:v>
      </x:c>
      <x:c r="K1852" s="39" t="str"/>
      <x:c r="L1852" s="39" t="str">
        <x:v>AP:P861</x:v>
      </x:c>
      <x:c r="M1852" s="39" t="str"/>
      <x:c r="N1852" s="39" t="str">
        <x:v>نسخه پایه ۳۱۵۰</x:v>
      </x:c>
    </x:row>
    <x:row r="1853" ht="34" customHeight="1">
      <x:c r="A1853" s="34" t="str">
        <x:v>☐</x:v>
      </x:c>
      <x:c r="B1853" s="34" t="str">
        <x:v>MI-1090</x:v>
      </x:c>
      <x:c r="C1853" s="34" t="str">
        <x:v>M3 — کسب‌وکار، شبکه و زیست‌بوم نوآوری</x:v>
      </x:c>
      <x:c r="D1853" s="34" t="str">
        <x:v>H14</x:v>
      </x:c>
      <x:c r="E1853" s="34" t="str">
        <x:v>شبکه‌سازی، افراد و ارتباطات کلیدی</x:v>
      </x:c>
      <x:c r="F1853" s="34" t="str">
        <x:v>P3</x:v>
      </x:c>
      <x:c r="G1853" s="34" t="str">
        <x:v>فرد/ارتباط</x:v>
      </x:c>
      <x:c r="H1853" s="39" t="str">
        <x:v>آقای آشکارا نهاد مرکزی تهران</x:v>
      </x:c>
      <x:c r="I1853" s="39" t="str">
        <x:v>زمان‌بندی محدود/شبکه‌ای</x:v>
      </x:c>
      <x:c r="J1853" s="39" t="str">
        <x:v>استراتژیست شبکه و ذی‌نفعان</x:v>
      </x:c>
      <x:c r="K1853" s="39" t="str"/>
      <x:c r="L1853" s="39" t="str">
        <x:v>AP:P937</x:v>
      </x:c>
      <x:c r="M1853" s="39" t="str"/>
      <x:c r="N1853" s="39" t="str">
        <x:v>نسخه پایه ۳۱۵۰</x:v>
      </x:c>
    </x:row>
    <x:row r="1854" ht="34" customHeight="1">
      <x:c r="A1854" s="34" t="str">
        <x:v>☐</x:v>
      </x:c>
      <x:c r="B1854" s="34" t="str">
        <x:v>MI-1091</x:v>
      </x:c>
      <x:c r="C1854" s="34" t="str">
        <x:v>M3 — کسب‌وکار، شبکه و زیست‌بوم نوآوری</x:v>
      </x:c>
      <x:c r="D1854" s="34" t="str">
        <x:v>H14</x:v>
      </x:c>
      <x:c r="E1854" s="34" t="str">
        <x:v>شبکه‌سازی، افراد و ارتباطات کلیدی</x:v>
      </x:c>
      <x:c r="F1854" s="34" t="str">
        <x:v>P3</x:v>
      </x:c>
      <x:c r="G1854" s="34" t="str">
        <x:v>فرد/ارتباط</x:v>
      </x:c>
      <x:c r="H1854" s="39" t="str">
        <x:v>دکتر موذن</x:v>
      </x:c>
      <x:c r="I1854" s="39" t="str">
        <x:v>زمان‌بندی محدود/شبکه‌ای</x:v>
      </x:c>
      <x:c r="J1854" s="39" t="str">
        <x:v>استراتژیست شبکه و ذی‌نفعان</x:v>
      </x:c>
      <x:c r="K1854" s="39" t="str"/>
      <x:c r="L1854" s="39" t="str">
        <x:v>AP:P938</x:v>
      </x:c>
      <x:c r="M1854" s="39" t="str"/>
      <x:c r="N1854" s="39" t="str">
        <x:v>نسخه پایه ۳۱۵۰</x:v>
      </x:c>
    </x:row>
    <x:row r="1855" ht="34" customHeight="1">
      <x:c r="A1855" s="34" t="str">
        <x:v>☐</x:v>
      </x:c>
      <x:c r="B1855" s="34" t="str">
        <x:v>MI-1092</x:v>
      </x:c>
      <x:c r="C1855" s="34" t="str">
        <x:v>M3 — کسب‌وکار، شبکه و زیست‌بوم نوآوری</x:v>
      </x:c>
      <x:c r="D1855" s="34" t="str">
        <x:v>H14</x:v>
      </x:c>
      <x:c r="E1855" s="34" t="str">
        <x:v>شبکه‌سازی، افراد و ارتباطات کلیدی</x:v>
      </x:c>
      <x:c r="F1855" s="34" t="str">
        <x:v>P3</x:v>
      </x:c>
      <x:c r="G1855" s="34" t="str">
        <x:v>فرد/ارتباط</x:v>
      </x:c>
      <x:c r="H1855" s="39" t="str">
        <x:v>بالا دستی دکتر قمی و دکتر آقایی هستن</x:v>
      </x:c>
      <x:c r="I1855" s="39" t="str">
        <x:v>زمان‌بندی محدود/شبکه‌ای</x:v>
      </x:c>
      <x:c r="J1855" s="39" t="str">
        <x:v>استراتژیست شبکه و ذی‌نفعان</x:v>
      </x:c>
      <x:c r="K1855" s="39" t="str"/>
      <x:c r="L1855" s="39" t="str">
        <x:v>AP:P939</x:v>
      </x:c>
      <x:c r="M1855" s="39" t="str"/>
      <x:c r="N1855" s="39" t="str">
        <x:v>نسخه پایه ۳۱۵۰</x:v>
      </x:c>
    </x:row>
    <x:row r="1856" ht="34" customHeight="1">
      <x:c r="A1856" s="34" t="str">
        <x:v>☐</x:v>
      </x:c>
      <x:c r="B1856" s="34" t="str">
        <x:v>MI-1093</x:v>
      </x:c>
      <x:c r="C1856" s="34" t="str">
        <x:v>M3 — کسب‌وکار، شبکه و زیست‌بوم نوآوری</x:v>
      </x:c>
      <x:c r="D1856" s="34" t="str">
        <x:v>H14</x:v>
      </x:c>
      <x:c r="E1856" s="34" t="str">
        <x:v>شبکه‌سازی، افراد و ارتباطات کلیدی</x:v>
      </x:c>
      <x:c r="F1856" s="34" t="str">
        <x:v>P3</x:v>
      </x:c>
      <x:c r="G1856" s="34" t="str">
        <x:v>فرد/ارتباط</x:v>
      </x:c>
      <x:c r="H1856" s="39" t="str">
        <x:v>دکتر قمی دارن میرن</x:v>
      </x:c>
      <x:c r="I1856" s="39" t="str">
        <x:v>زمان‌بندی محدود/شبکه‌ای</x:v>
      </x:c>
      <x:c r="J1856" s="39" t="str">
        <x:v>استراتژیست شبکه و ذی‌نفعان</x:v>
      </x:c>
      <x:c r="K1856" s="39" t="str"/>
      <x:c r="L1856" s="39" t="str">
        <x:v>AP:P940</x:v>
      </x:c>
      <x:c r="M1856" s="39" t="str"/>
      <x:c r="N1856" s="39" t="str">
        <x:v>نسخه پایه ۳۱۵۰</x:v>
      </x:c>
    </x:row>
    <x:row r="1857" ht="34" customHeight="1">
      <x:c r="A1857" s="34" t="str">
        <x:v>☐</x:v>
      </x:c>
      <x:c r="B1857" s="34" t="str">
        <x:v>MI-1094</x:v>
      </x:c>
      <x:c r="C1857" s="34" t="str">
        <x:v>M3 — کسب‌وکار، شبکه و زیست‌بوم نوآوری</x:v>
      </x:c>
      <x:c r="D1857" s="34" t="str">
        <x:v>H14</x:v>
      </x:c>
      <x:c r="E1857" s="34" t="str">
        <x:v>شبکه‌سازی، افراد و ارتباطات کلیدی</x:v>
      </x:c>
      <x:c r="F1857" s="34" t="str">
        <x:v>P3</x:v>
      </x:c>
      <x:c r="G1857" s="34" t="str">
        <x:v>فرد/ارتباط</x:v>
      </x:c>
      <x:c r="H1857" s="39" t="str">
        <x:v>بریم کمک دکتر موذن</x:v>
      </x:c>
      <x:c r="I1857" s="39" t="str">
        <x:v>زمان‌بندی محدود/شبکه‌ای</x:v>
      </x:c>
      <x:c r="J1857" s="39" t="str">
        <x:v>استراتژیست شبکه و ذی‌نفعان</x:v>
      </x:c>
      <x:c r="K1857" s="39" t="str"/>
      <x:c r="L1857" s="39" t="str">
        <x:v>AP:P941</x:v>
      </x:c>
      <x:c r="M1857" s="39" t="str"/>
      <x:c r="N1857" s="39" t="str">
        <x:v>نسخه پایه ۳۱۵۰</x:v>
      </x:c>
    </x:row>
    <x:row r="1858" ht="34" customHeight="1">
      <x:c r="A1858" s="34" t="str">
        <x:v>☐</x:v>
      </x:c>
      <x:c r="B1858" s="34" t="str">
        <x:v>MI-1100</x:v>
      </x:c>
      <x:c r="C1858" s="34" t="str">
        <x:v>M3 — کسب‌وکار، شبکه و زیست‌بوم نوآوری</x:v>
      </x:c>
      <x:c r="D1858" s="34" t="str">
        <x:v>H14</x:v>
      </x:c>
      <x:c r="E1858" s="34" t="str">
        <x:v>شبکه‌سازی، افراد و ارتباطات کلیدی</x:v>
      </x:c>
      <x:c r="F1858" s="34" t="str">
        <x:v>P3</x:v>
      </x:c>
      <x:c r="G1858" s="34" t="str">
        <x:v>فرد/ارتباط</x:v>
      </x:c>
      <x:c r="H1858" s="39" t="str">
        <x:v>عزیز دلمون آقای رشید آبادی خب خداروشکر تازه بهما گفتن آقا یه پوستری طراحی کنید برا 3 شنبه شب ها ، که داریم کاراشو انجام میدی.</x:v>
      </x:c>
      <x:c r="I1858" s="39" t="str">
        <x:v>زمان‌بندی محدود/شبکه‌ای</x:v>
      </x:c>
      <x:c r="J1858" s="39" t="str">
        <x:v>استراتژیست شبکه و ذی‌نفعان</x:v>
      </x:c>
      <x:c r="K1858" s="39" t="str"/>
      <x:c r="L1858" s="39" t="str">
        <x:v>AP:P948</x:v>
      </x:c>
      <x:c r="M1858" s="39" t="str"/>
      <x:c r="N1858" s="39" t="str">
        <x:v>نسخه پایه ۳۱۵۰</x:v>
      </x:c>
    </x:row>
    <x:row r="1859" ht="34" customHeight="1">
      <x:c r="A1859" s="34" t="str">
        <x:v>☐</x:v>
      </x:c>
      <x:c r="B1859" s="34" t="str">
        <x:v>MI-1162</x:v>
      </x:c>
      <x:c r="C1859" s="34" t="str">
        <x:v>M3 — کسب‌وکار، شبکه و زیست‌بوم نوآوری</x:v>
      </x:c>
      <x:c r="D1859" s="34" t="str">
        <x:v>H14</x:v>
      </x:c>
      <x:c r="E1859" s="34" t="str">
        <x:v>شبکه‌سازی، افراد و ارتباطات کلیدی</x:v>
      </x:c>
      <x:c r="F1859" s="34" t="str">
        <x:v>P3</x:v>
      </x:c>
      <x:c r="G1859" s="34" t="str">
        <x:v>فرد/ارتباط</x:v>
      </x:c>
      <x:c r="H1859" s="39" t="str">
        <x:v>حوزه پساب دکتر قادری</x:v>
      </x:c>
      <x:c r="I1859" s="39" t="str">
        <x:v>زمان‌بندی محدود/شبکه‌ای</x:v>
      </x:c>
      <x:c r="J1859" s="39" t="str">
        <x:v>استراتژیست شبکه و ذی‌نفعان</x:v>
      </x:c>
      <x:c r="K1859" s="39" t="str"/>
      <x:c r="L1859" s="39" t="str">
        <x:v>AP:P1015</x:v>
      </x:c>
      <x:c r="M1859" s="39" t="str"/>
      <x:c r="N1859" s="39" t="str">
        <x:v>نسخه پایه ۳۱۵۰</x:v>
      </x:c>
    </x:row>
    <x:row r="1860" ht="34" customHeight="1">
      <x:c r="A1860" s="34" t="str">
        <x:v>☐</x:v>
      </x:c>
      <x:c r="B1860" s="34" t="str">
        <x:v>MI-1204</x:v>
      </x:c>
      <x:c r="C1860" s="34" t="str">
        <x:v>M3 — کسب‌وکار، شبکه و زیست‌بوم نوآوری</x:v>
      </x:c>
      <x:c r="D1860" s="34" t="str">
        <x:v>H14</x:v>
      </x:c>
      <x:c r="E1860" s="34" t="str">
        <x:v>شبکه‌سازی، افراد و ارتباطات کلیدی</x:v>
      </x:c>
      <x:c r="F1860" s="34" t="str">
        <x:v>P3</x:v>
      </x:c>
      <x:c r="G1860" s="34" t="str">
        <x:v>فرد/ارتباط</x:v>
      </x:c>
      <x:c r="H1860" s="39" t="str">
        <x:v>خانم بابایی</x:v>
      </x:c>
      <x:c r="I1860" s="39" t="str">
        <x:v>زمان‌بندی محدود/شبکه‌ای</x:v>
      </x:c>
      <x:c r="J1860" s="39" t="str">
        <x:v>استراتژیست شبکه و ذی‌نفعان</x:v>
      </x:c>
      <x:c r="K1860" s="39" t="str"/>
      <x:c r="L1860" s="39" t="str">
        <x:v>AP:P1064</x:v>
      </x:c>
      <x:c r="M1860" s="39" t="str"/>
      <x:c r="N1860" s="39" t="str">
        <x:v>نسخه پایه ۳۱۵۰</x:v>
      </x:c>
    </x:row>
    <x:row r="1861" ht="34" customHeight="1">
      <x:c r="A1861" s="34" t="str">
        <x:v>☐</x:v>
      </x:c>
      <x:c r="B1861" s="34" t="str">
        <x:v>MI-2097</x:v>
      </x:c>
      <x:c r="C1861" s="34" t="str">
        <x:v>M3 — کسب‌وکار، شبکه و زیست‌بوم نوآوری</x:v>
      </x:c>
      <x:c r="D1861" s="34" t="str">
        <x:v>H14</x:v>
      </x:c>
      <x:c r="E1861" s="34" t="str">
        <x:v>شبکه‌سازی، افراد و ارتباطات کلیدی</x:v>
      </x:c>
      <x:c r="F1861" s="34" t="str">
        <x:v>P3</x:v>
      </x:c>
      <x:c r="G1861" s="34" t="str">
        <x:v>فرد/ارتباط</x:v>
      </x:c>
      <x:c r="H1861" s="39" t="str">
        <x:v>استاد دانشگاه</x:v>
      </x:c>
      <x:c r="I1861" s="39" t="str">
        <x:v>زمان‌بندی محدود/شبکه‌ای</x:v>
      </x:c>
      <x:c r="J1861" s="39" t="str">
        <x:v>استراتژیست شبکه و ذی‌نفعان</x:v>
      </x:c>
      <x:c r="K1861" s="39" t="str"/>
      <x:c r="L1861" s="39" t="str">
        <x:v>E112:P834</x:v>
      </x:c>
      <x:c r="M1861" s="39" t="str"/>
      <x:c r="N1861" s="39" t="str">
        <x:v>نسخه پایه ۳۱۵۰</x:v>
      </x:c>
    </x:row>
    <x:row r="1862" ht="34" customHeight="1">
      <x:c r="A1862" s="34" t="str">
        <x:v>☐</x:v>
      </x:c>
      <x:c r="B1862" s="34" t="str">
        <x:v>MI-2244</x:v>
      </x:c>
      <x:c r="C1862" s="34" t="str">
        <x:v>M3 — کسب‌وکار، شبکه و زیست‌بوم نوآوری</x:v>
      </x:c>
      <x:c r="D1862" s="34" t="str">
        <x:v>H14</x:v>
      </x:c>
      <x:c r="E1862" s="34" t="str">
        <x:v>شبکه‌سازی، افراد و ارتباطات کلیدی</x:v>
      </x:c>
      <x:c r="F1862" s="34" t="str">
        <x:v>P3</x:v>
      </x:c>
      <x:c r="G1862" s="34" t="str">
        <x:v>فرد/ارتباط</x:v>
      </x:c>
      <x:c r="H1862" s="39" t="str">
        <x:v>چند استاد دانشگاه که شبکه گسترده دارند</x:v>
      </x:c>
      <x:c r="I1862" s="39" t="str">
        <x:v>زمان‌بندی محدود/شبکه‌ای</x:v>
      </x:c>
      <x:c r="J1862" s="39" t="str">
        <x:v>استراتژیست شبکه و ذی‌نفعان</x:v>
      </x:c>
      <x:c r="K1862" s="39" t="str"/>
      <x:c r="L1862" s="39" t="str">
        <x:v>E112:P1130</x:v>
      </x:c>
      <x:c r="M1862" s="39" t="str"/>
      <x:c r="N1862" s="39" t="str">
        <x:v>نسخه پایه ۳۱۵۰</x:v>
      </x:c>
    </x:row>
    <x:row r="1863" ht="34" customHeight="1">
      <x:c r="A1863" s="34" t="str">
        <x:v>☐</x:v>
      </x:c>
      <x:c r="B1863" s="34" t="str">
        <x:v>MI-0533</x:v>
      </x:c>
      <x:c r="C1863" s="34" t="str">
        <x:v>M3 — کسب‌وکار، شبکه و زیست‌بوم نوآوری</x:v>
      </x:c>
      <x:c r="D1863" s="34" t="str">
        <x:v>H14</x:v>
      </x:c>
      <x:c r="E1863" s="34" t="str">
        <x:v>شبکه‌سازی، افراد و ارتباطات کلیدی</x:v>
      </x:c>
      <x:c r="F1863" s="34" t="str">
        <x:v>P3</x:v>
      </x:c>
      <x:c r="G1863" s="34" t="str">
        <x:v>یادداشت/تحلیل</x:v>
      </x:c>
      <x:c r="H1863" s="39" t="str">
        <x:v>همچنین ارایه پیشنهدات ویژه وتخفیف های روزانه در این شبکه ها باعث ترغیب افراد برای مراجعه به رستوران شما شود. ارایه تخفیف برای مشتریان جدید می تواند روش مناسبی برای تبلیغات درشبکه های اجتماعی باشد.</x:v>
      </x:c>
      <x:c r="I1863" s="39" t="str">
        <x:v>زمان‌بندی محدود/شبکه‌ای</x:v>
      </x:c>
      <x:c r="J1863" s="39" t="str">
        <x:v>استراتژیست شبکه و ذی‌نفعان</x:v>
      </x:c>
      <x:c r="K1863" s="39" t="str"/>
      <x:c r="L1863" s="39" t="str">
        <x:v>AP:P319</x:v>
      </x:c>
      <x:c r="M1863" s="39" t="str"/>
      <x:c r="N1863" s="39" t="str">
        <x:v>نسخه پایه ۳۱۵۰</x:v>
      </x:c>
    </x:row>
    <x:row r="1864" ht="34" customHeight="1">
      <x:c r="A1864" s="34" t="str">
        <x:v>☐</x:v>
      </x:c>
      <x:c r="B1864" s="34" t="str">
        <x:v>MI-0534</x:v>
      </x:c>
      <x:c r="C1864" s="34" t="str">
        <x:v>M3 — کسب‌وکار، شبکه و زیست‌بوم نوآوری</x:v>
      </x:c>
      <x:c r="D1864" s="34" t="str">
        <x:v>H14</x:v>
      </x:c>
      <x:c r="E1864" s="34" t="str">
        <x:v>شبکه‌سازی، افراد و ارتباطات کلیدی</x:v>
      </x:c>
      <x:c r="F1864" s="34" t="str">
        <x:v>P3</x:v>
      </x:c>
      <x:c r="G1864" s="34" t="str">
        <x:v>یادداشت/تحلیل</x:v>
      </x:c>
      <x:c r="H1864" s="39" t="str">
        <x:v>مهمترین نکته در زمان تبلیغات دربستر اینترنت، عکس ها هستند. این عکس ها باید کاملا واقعی ازوعده های غذایی مختلف ارایه شده در رستوران باشند. همچنین می توانید از دکوراسیون و محیط رستوران نیز عکس بگذارید تاافراد را با محیط رستوران خود آشنا کنید.</x:v>
      </x:c>
      <x:c r="I1864" s="39" t="str">
        <x:v>زمان‌بندی محدود/شبکه‌ای</x:v>
      </x:c>
      <x:c r="J1864" s="39" t="str">
        <x:v>استراتژیست شبکه و ذی‌نفعان</x:v>
      </x:c>
      <x:c r="K1864" s="39" t="str"/>
      <x:c r="L1864" s="39" t="str">
        <x:v>AP:P320</x:v>
      </x:c>
      <x:c r="M1864" s="39" t="str"/>
      <x:c r="N1864" s="39" t="str">
        <x:v>نسخه پایه ۳۱۵۰</x:v>
      </x:c>
    </x:row>
    <x:row r="1865" ht="34" customHeight="1">
      <x:c r="A1865" s="34" t="str">
        <x:v>☐</x:v>
      </x:c>
      <x:c r="B1865" s="34" t="str">
        <x:v>MI-0537</x:v>
      </x:c>
      <x:c r="C1865" s="34" t="str">
        <x:v>M3 — کسب‌وکار، شبکه و زیست‌بوم نوآوری</x:v>
      </x:c>
      <x:c r="D1865" s="34" t="str">
        <x:v>H14</x:v>
      </x:c>
      <x:c r="E1865" s="34" t="str">
        <x:v>شبکه‌سازی، افراد و ارتباطات کلیدی</x:v>
      </x:c>
      <x:c r="F1865" s="34" t="str">
        <x:v>P3</x:v>
      </x:c>
      <x:c r="G1865" s="34" t="str">
        <x:v>یادداشت/تحلیل</x:v>
      </x:c>
      <x:c r="H1865" s="39" t="str">
        <x:v>جدید در بین اسم های تکراری دیگر درمنو رستوران باعث جذب نظر مشتری می شود. همچنین در صورتیکه در رستوران خود یک غذای جدیدی را ارایه می دهید، می توانید با معرفی و تبلیغاتآن در شبکه های اجتماعی افراد را تشویق کنید تا یک بار آن را امتحان کنند.</x:v>
      </x:c>
      <x:c r="I1865" s="39" t="str">
        <x:v>زمان‌بندی محدود/شبکه‌ای</x:v>
      </x:c>
      <x:c r="J1865" s="39" t="str">
        <x:v>استراتژیست شبکه و ذی‌نفعان</x:v>
      </x:c>
      <x:c r="K1865" s="39" t="str"/>
      <x:c r="L1865" s="39" t="str">
        <x:v>AP:P323</x:v>
      </x:c>
      <x:c r="M1865" s="39" t="str"/>
      <x:c r="N1865" s="39" t="str">
        <x:v>نسخه پایه ۳۱۵۰</x:v>
      </x:c>
    </x:row>
    <x:row r="1866" ht="34" customHeight="1">
      <x:c r="A1866" s="34" t="str">
        <x:v>☐</x:v>
      </x:c>
      <x:c r="B1866" s="34" t="str">
        <x:v>MI-1596</x:v>
      </x:c>
      <x:c r="C1866" s="34" t="str">
        <x:v>M3 — کسب‌وکار، شبکه و زیست‌بوم نوآوری</x:v>
      </x:c>
      <x:c r="D1866" s="34" t="str">
        <x:v>H14</x:v>
      </x:c>
      <x:c r="E1866" s="34" t="str">
        <x:v>شبکه‌سازی، افراد و ارتباطات کلیدی</x:v>
      </x:c>
      <x:c r="F1866" s="34" t="str">
        <x:v>P3</x:v>
      </x:c>
      <x:c r="G1866" s="34" t="str">
        <x:v>یادداشت/تحلیل</x:v>
      </x:c>
      <x:c r="H1866" s="39" t="str">
        <x:v>در این میان شبکه منتور های استان مازندران میتونن شامل افرادی از قبیل کارافرینان صاحب سبک ، افراد سرمایه گذار ، شبکه فارغ التتحصیلان یا اساتید و هییت علمی ها یا افراد متبحر در زمینه بازاریابی یا تحقیقات میدانی یا ترح توجیهی و غیره بتونن کمک کنند به عنوان منتور های شبکه که این ها هم میتونن یه شبکه عظیمی از سرمایه انسانی در استان باشن و جامعه تشکیل بدن</x:v>
      </x:c>
      <x:c r="I1866" s="39" t="str">
        <x:v>زمان‌بندی محدود/شبکه‌ای</x:v>
      </x:c>
      <x:c r="J1866" s="39" t="str">
        <x:v>استراتژیست شبکه و ذی‌نفعان</x:v>
      </x:c>
      <x:c r="K1866" s="39" t="str"/>
      <x:c r="L1866" s="39" t="str">
        <x:v>E112:P52؛ E112:P1832؛ E112:P2298</x:v>
      </x:c>
      <x:c r="M1866" s="39" t="str"/>
      <x:c r="N1866" s="39" t="str">
        <x:v>نسخه پایه ۳۱۵۰</x:v>
      </x:c>
    </x:row>
    <x:row r="1867" ht="34" customHeight="1">
      <x:c r="A1867" s="34" t="str">
        <x:v>☐</x:v>
      </x:c>
      <x:c r="B1867" s="34" t="str">
        <x:v>MI-3075</x:v>
      </x:c>
      <x:c r="C1867" s="34" t="str">
        <x:v>M3 — کسب‌وکار، شبکه و زیست‌بوم نوآوری</x:v>
      </x:c>
      <x:c r="D1867" s="34" t="str">
        <x:v>H14</x:v>
      </x:c>
      <x:c r="E1867" s="34" t="str">
        <x:v>شبکه‌سازی، افراد و ارتباطات کلیدی</x:v>
      </x:c>
      <x:c r="F1867" s="34" t="str">
        <x:v>P3</x:v>
      </x:c>
      <x:c r="G1867" s="34" t="str">
        <x:v>یادداشت/تحلیل</x:v>
      </x:c>
      <x:c r="H1867" s="39" t="str">
        <x:v>از اینکه شکست بخورم از اینکه زمان بزارم سر چیزی که تهش هیچه، ولی تو ذهنم خیلی بوده از اینکه سرخورده بشم خانواده رو نا امید کنم از اینکه رفتاری یا کاری کنم که کسی رو ناراحت کنه از اینکه افراد از من دوری کنن پول نداشته باشم</x:v>
      </x:c>
      <x:c r="I1867" s="39" t="str">
        <x:v>زمان‌بندی محدود/شبکه‌ای</x:v>
      </x:c>
      <x:c r="J1867" s="39" t="str">
        <x:v>استراتژیست شبکه و ذی‌نفعان</x:v>
      </x:c>
      <x:c r="K1867" s="39" t="str"/>
      <x:c r="L1867" s="39" t="str">
        <x:v>INT:T14 R2</x:v>
      </x:c>
      <x:c r="M1867" s="39" t="str"/>
      <x:c r="N1867" s="39" t="str">
        <x:v>نسخه پایه ۳۱۵۰</x:v>
      </x:c>
    </x:row>
    <x:row r="1868" ht="34" customHeight="1">
      <x:c r="A1868" s="34" t="str">
        <x:v>☐</x:v>
      </x:c>
      <x:c r="B1868" s="34" t="str">
        <x:v>MI-3080</x:v>
      </x:c>
      <x:c r="C1868" s="34" t="str">
        <x:v>M3 — کسب‌وکار، شبکه و زیست‌بوم نوآوری</x:v>
      </x:c>
      <x:c r="D1868" s="34" t="str">
        <x:v>H14</x:v>
      </x:c>
      <x:c r="E1868" s="34" t="str">
        <x:v>شبکه‌سازی، افراد و ارتباطات کلیدی</x:v>
      </x:c>
      <x:c r="F1868" s="34" t="str">
        <x:v>P3</x:v>
      </x:c>
      <x:c r="G1868" s="34" t="str">
        <x:v>یادداشت/تحلیل</x:v>
      </x:c>
      <x:c r="H1868" s="39" t="str">
        <x:v>ژانر های هیجان انگیز اکشن درام رازآلود ماجراجویی بیوگرافی انیمیشن دوست دارم که خودم رو جای اون شخصیت تصور کنم، از چالش های پیش روش البته نزدیک با واقعیت ها رو 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 اکشن هم چاشنی هیجانه البته زیاد نه سریال هایی که فرد با چالش خطر مواجه هست ، فکر میکنه ، درجا تصمیم و اجرا میکنه برام جذابه، و اینکه تحسین رو به دنبال خودش میاره.</x:v>
      </x:c>
      <x:c r="I1868" s="39" t="str">
        <x:v>زمان‌بندی محدود/شبکه‌ای</x:v>
      </x:c>
      <x:c r="J1868" s="39" t="str">
        <x:v>استراتژیست شبکه و ذی‌نفعان</x:v>
      </x:c>
      <x:c r="K1868" s="39" t="str"/>
      <x:c r="L1868" s="39" t="str">
        <x:v>INT:T17 R2</x:v>
      </x:c>
      <x:c r="M1868" s="39" t="str"/>
      <x:c r="N1868" s="39" t="str">
        <x:v>نسخه پایه ۳۱۵۰</x:v>
      </x:c>
    </x:row>
    <x:row r="1869" ht="34" customHeight="1">
      <x:c r="A1869" s="34" t="str">
        <x:v>☐</x:v>
      </x:c>
      <x:c r="B1869" s="34" t="str">
        <x:v>MI-3097</x:v>
      </x:c>
      <x:c r="C1869" s="34" t="str">
        <x:v>M3 — کسب‌وکار، شبکه و زیست‌بوم نوآوری</x:v>
      </x:c>
      <x:c r="D1869" s="34" t="str">
        <x:v>H14</x:v>
      </x:c>
      <x:c r="E1869" s="34" t="str">
        <x:v>شبکه‌سازی، افراد و ارتباطات کلیدی</x:v>
      </x:c>
      <x:c r="F1869" s="34" t="str">
        <x:v>P3</x:v>
      </x:c>
      <x:c r="G1869" s="34" t="str">
        <x:v>یادداشت/تحلیل</x:v>
      </x:c>
      <x:c r="H1869" s="39" t="str">
        <x:v>در رهبری در شرایط پیچیده و ساده سازی و خرد کردن امور در شناسایی افراد و مسیولیت دادن تصمیم آنی و لحظه و اجرا آن صحبت کردن روابط اجتماعی ایده پردازی و خلاقیت پیدا کردن ارتباط بین موضوعات و افراد و لینک ها آینده نگری آرامش بخشی انعطاف در شرایط کاری و یا محیط زندگی استفاده از عطر خوب پیدا کردن نقاط ضعف یه صنعت ، یا شغل ، یا اداره</x:v>
      </x:c>
      <x:c r="I1869" s="39" t="str">
        <x:v>زمان‌بندی محدود/شبکه‌ای</x:v>
      </x:c>
      <x:c r="J1869" s="39" t="str">
        <x:v>استراتژیست شبکه و ذی‌نفعان</x:v>
      </x:c>
      <x:c r="K1869" s="39" t="str"/>
      <x:c r="L1869" s="39" t="str">
        <x:v>INT:T29 R2</x:v>
      </x:c>
      <x:c r="M1869" s="39" t="str"/>
      <x:c r="N1869" s="39" t="str">
        <x:v>نسخه پایه ۳۱۵۰</x:v>
      </x:c>
    </x:row>
    <x:row r="1870" ht="34" customHeight="1">
      <x:c r="A1870" s="34" t="str">
        <x:v>☐</x:v>
      </x:c>
      <x:c r="B1870" s="34" t="str">
        <x:v>MI-3101</x:v>
      </x:c>
      <x:c r="C1870" s="34" t="str">
        <x:v>M3 — کسب‌وکار، شبکه و زیست‌بوم نوآوری</x:v>
      </x:c>
      <x:c r="D1870" s="34" t="str">
        <x:v>H14</x:v>
      </x:c>
      <x:c r="E1870" s="34" t="str">
        <x:v>شبکه‌سازی، افراد و ارتباطات کلیدی</x:v>
      </x:c>
      <x:c r="F1870" s="34" t="str">
        <x:v>P3</x:v>
      </x:c>
      <x:c r="G1870" s="34" t="str">
        <x:v>یادداشت/تحلیل</x:v>
      </x:c>
      <x:c r="H1870" s="39"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I1870" s="39" t="str">
        <x:v>زمان‌بندی محدود/شبکه‌ای</x:v>
      </x:c>
      <x:c r="J1870" s="39" t="str">
        <x:v>استراتژیست شبکه و ذی‌نفعان</x:v>
      </x:c>
      <x:c r="K1870" s="39" t="str"/>
      <x:c r="L1870" s="39" t="str">
        <x:v>INT:T31 R2</x:v>
      </x:c>
      <x:c r="M1870" s="39" t="str"/>
      <x:c r="N1870" s="39" t="str">
        <x:v>نسخه پایه ۳۱۵۰</x:v>
      </x:c>
    </x:row>
    <x:row r="1871" ht="34" customHeight="1">
      <x:c r="A1871" s="34" t="str">
        <x:v>☐</x:v>
      </x:c>
      <x:c r="B1871" s="34" t="str">
        <x:v>MI-3105</x:v>
      </x:c>
      <x:c r="C1871" s="34" t="str">
        <x:v>M3 — کسب‌وکار، شبکه و زیست‌بوم نوآوری</x:v>
      </x:c>
      <x:c r="D1871" s="34" t="str">
        <x:v>H14</x:v>
      </x:c>
      <x:c r="E1871" s="34" t="str">
        <x:v>شبکه‌سازی، افراد و ارتباطات کلیدی</x:v>
      </x:c>
      <x:c r="F1871" s="34" t="str">
        <x:v>P3</x:v>
      </x:c>
      <x:c r="G1871" s="34" t="str">
        <x:v>یادداشت/تحلیل</x:v>
      </x:c>
      <x:c r="H1871" s="39"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I1871" s="39" t="str">
        <x:v>زمان‌بندی محدود/شبکه‌ای</x:v>
      </x:c>
      <x:c r="J1871" s="39" t="str">
        <x:v>استراتژیست شبکه و ذی‌نفعان</x:v>
      </x:c>
      <x:c r="K1871" s="39" t="str"/>
      <x:c r="L1871" s="39" t="str">
        <x:v>INT:T33 R2</x:v>
      </x:c>
      <x:c r="M1871" s="39" t="str"/>
      <x:c r="N1871" s="39" t="str">
        <x:v>نسخه پایه ۳۱۵۰</x:v>
      </x:c>
    </x:row>
    <x:row r="1872" ht="34" customHeight="1">
      <x:c r="A1872" s="34" t="str">
        <x:v>☐</x:v>
      </x:c>
      <x:c r="B1872" s="34" t="str">
        <x:v>MI-1417</x:v>
      </x:c>
      <x:c r="C1872" s="34" t="str">
        <x:v>M5 — دانش، فرهنگ، حکمرانی و بانک مطالعاتی</x:v>
      </x:c>
      <x:c r="D1872" s="34" t="str">
        <x:v>H15</x:v>
      </x:c>
      <x:c r="E1872" s="34" t="str">
        <x:v>فرهنگ، دین، تاریخ، کتاب و رسانه</x:v>
      </x:c>
      <x:c r="F1872" s="34" t="str">
        <x:v>BANK</x:v>
      </x:c>
      <x:c r="G1872" s="34" t="str">
        <x:v>پروژه/طرح</x:v>
      </x:c>
      <x:c r="H1872" s="39" t="str">
        <x:v>تاریخی</x:v>
      </x:c>
      <x:c r="I1872" s="39" t="str">
        <x:v>بانک مطالعه؛ سقف زمانی</x:v>
      </x:c>
      <x:c r="J1872" s="39" t="str">
        <x:v>کیوریتور دانش/فرهنگ</x:v>
      </x:c>
      <x:c r="K1872" s="39" t="str"/>
      <x:c r="L1872" s="39" t="str">
        <x:v>AP:P1314</x:v>
      </x:c>
      <x:c r="M1872" s="39" t="str"/>
      <x:c r="N1872" s="39" t="str">
        <x:v>نسخه پایه ۳۱۵۰</x:v>
      </x:c>
    </x:row>
    <x:row r="1873" ht="34" customHeight="1">
      <x:c r="A1873" s="34" t="str">
        <x:v>☐</x:v>
      </x:c>
      <x:c r="B1873" s="34" t="str">
        <x:v>MI-1419</x:v>
      </x:c>
      <x:c r="C1873" s="34" t="str">
        <x:v>M5 — دانش، فرهنگ، حکمرانی و بانک مطالعاتی</x:v>
      </x:c>
      <x:c r="D1873" s="34" t="str">
        <x:v>H15</x:v>
      </x:c>
      <x:c r="E1873" s="34" t="str">
        <x:v>فرهنگ، دین، تاریخ، کتاب و رسانه</x:v>
      </x:c>
      <x:c r="F1873" s="34" t="str">
        <x:v>BANK</x:v>
      </x:c>
      <x:c r="G1873" s="34" t="str">
        <x:v>پروژه/طرح</x:v>
      </x:c>
      <x:c r="H1873" s="39" t="str">
        <x:v>تاریخ اسلامی</x:v>
      </x:c>
      <x:c r="I1873" s="39" t="str">
        <x:v>بانک مطالعه؛ سقف زمانی</x:v>
      </x:c>
      <x:c r="J1873" s="39" t="str">
        <x:v>کیوریتور دانش/فرهنگ</x:v>
      </x:c>
      <x:c r="K1873" s="39" t="str"/>
      <x:c r="L1873" s="39" t="str">
        <x:v>AP:P1317</x:v>
      </x:c>
      <x:c r="M1873" s="39" t="str"/>
      <x:c r="N1873" s="39" t="str">
        <x:v>نسخه پایه ۳۱۵۰</x:v>
      </x:c>
    </x:row>
    <x:row r="1874" ht="34" customHeight="1">
      <x:c r="A1874" s="34" t="str">
        <x:v>☐</x:v>
      </x:c>
      <x:c r="B1874" s="34" t="str">
        <x:v>MI-0220</x:v>
      </x:c>
      <x:c r="C1874" s="34" t="str">
        <x:v>M5 — دانش، فرهنگ، حکمرانی و بانک مطالعاتی</x:v>
      </x:c>
      <x:c r="D1874" s="34" t="str">
        <x:v>H15</x:v>
      </x:c>
      <x:c r="E1874" s="34" t="str">
        <x:v>فرهنگ، دین، تاریخ، کتاب و رسانه</x:v>
      </x:c>
      <x:c r="F1874" s="34" t="str">
        <x:v>BANK</x:v>
      </x:c>
      <x:c r="G1874" s="34" t="str">
        <x:v>هدف/موضوع</x:v>
      </x:c>
      <x:c r="H1874" s="39" t="str">
        <x:v>فرهنگی - دینی و تاریخی</x:v>
      </x:c>
      <x:c r="I1874" s="39" t="str">
        <x:v>بانک مطالعه؛ سقف زمانی</x:v>
      </x:c>
      <x:c r="J1874" s="39" t="str">
        <x:v>کیوریتور دانش/فرهنگ</x:v>
      </x:c>
      <x:c r="K1874" s="39" t="str"/>
      <x:c r="L1874" s="39" t="str">
        <x:v>PL:R331</x:v>
      </x:c>
      <x:c r="M1874" s="39" t="str"/>
      <x:c r="N1874" s="39" t="str">
        <x:v>نسخه پایه ۳۱۵۰</x:v>
      </x:c>
    </x:row>
    <x:row r="1875" ht="34" customHeight="1">
      <x:c r="A1875" s="34" t="str">
        <x:v>☐</x:v>
      </x:c>
      <x:c r="B1875" s="34" t="str">
        <x:v>MI-0026</x:v>
      </x:c>
      <x:c r="C1875" s="34" t="str">
        <x:v>M5 — دانش، فرهنگ، حکمرانی و بانک مطالعاتی</x:v>
      </x:c>
      <x:c r="D1875" s="34" t="str">
        <x:v>H15</x:v>
      </x:c>
      <x:c r="E1875" s="34" t="str">
        <x:v>فرهنگ، دین، تاریخ، کتاب و رسانه</x:v>
      </x:c>
      <x:c r="F1875" s="34" t="str">
        <x:v>BANK</x:v>
      </x:c>
      <x:c r="G1875" s="34" t="str">
        <x:v>مطالعه/منبع</x:v>
      </x:c>
      <x:c r="H1875" s="39" t="str">
        <x:v>پارت کتابخوانی</x:v>
      </x:c>
      <x:c r="I1875" s="39" t="str">
        <x:v>بانک مطالعه؛ سقف زمانی</x:v>
      </x:c>
      <x:c r="J1875" s="39" t="str">
        <x:v>کیوریتور دانش/فرهنگ</x:v>
      </x:c>
      <x:c r="K1875" s="39" t="str"/>
      <x:c r="L1875" s="39" t="str">
        <x:v>PL:R27؛ AP:P1515</x:v>
      </x:c>
      <x:c r="M1875" s="39" t="str"/>
      <x:c r="N1875" s="39" t="str">
        <x:v>نسخه پایه ۳۱۵۰</x:v>
      </x:c>
    </x:row>
    <x:row r="1876" ht="34" customHeight="1">
      <x:c r="A1876" s="34" t="str">
        <x:v>☐</x:v>
      </x:c>
      <x:c r="B1876" s="34" t="str">
        <x:v>MI-0031</x:v>
      </x:c>
      <x:c r="C1876" s="34" t="str">
        <x:v>M5 — دانش، فرهنگ، حکمرانی و بانک مطالعاتی</x:v>
      </x:c>
      <x:c r="D1876" s="34" t="str">
        <x:v>H15</x:v>
      </x:c>
      <x:c r="E1876" s="34" t="str">
        <x:v>فرهنگ، دین، تاریخ، کتاب و رسانه</x:v>
      </x:c>
      <x:c r="F1876" s="34" t="str">
        <x:v>BANK</x:v>
      </x:c>
      <x:c r="G1876" s="34" t="str">
        <x:v>مطالعه/منبع</x:v>
      </x:c>
      <x:c r="H1876" s="39" t="str">
        <x:v>جمع آوری اطلاعات تازه و جالب از روایات و داستان های پیامبران و ایمه</x:v>
      </x:c>
      <x:c r="I1876" s="39" t="str">
        <x:v>بانک مطالعه؛ سقف زمانی</x:v>
      </x:c>
      <x:c r="J1876" s="39" t="str">
        <x:v>کیوریتور دانش/فرهنگ</x:v>
      </x:c>
      <x:c r="K1876" s="39" t="str"/>
      <x:c r="L1876" s="39" t="str">
        <x:v>PL:R32</x:v>
      </x:c>
      <x:c r="M1876" s="39" t="str"/>
      <x:c r="N1876" s="39" t="str">
        <x:v>نسخه پایه ۳۱۵۰</x:v>
      </x:c>
    </x:row>
    <x:row r="1877" ht="34" customHeight="1">
      <x:c r="A1877" s="34" t="str">
        <x:v>☐</x:v>
      </x:c>
      <x:c r="B1877" s="34" t="str">
        <x:v>MI-0032</x:v>
      </x:c>
      <x:c r="C1877" s="34" t="str">
        <x:v>M5 — دانش، فرهنگ، حکمرانی و بانک مطالعاتی</x:v>
      </x:c>
      <x:c r="D1877" s="34" t="str">
        <x:v>H15</x:v>
      </x:c>
      <x:c r="E1877" s="34" t="str">
        <x:v>فرهنگ، دین، تاریخ، کتاب و رسانه</x:v>
      </x:c>
      <x:c r="F1877" s="34" t="str">
        <x:v>BANK</x:v>
      </x:c>
      <x:c r="G1877" s="34" t="str">
        <x:v>مطالعه/منبع</x:v>
      </x:c>
      <x:c r="H1877" s="39" t="str">
        <x:v>خواندن تاریخ اسلام</x:v>
      </x:c>
      <x:c r="I1877" s="39" t="str">
        <x:v>بانک مطالعه؛ سقف زمانی</x:v>
      </x:c>
      <x:c r="J1877" s="39" t="str">
        <x:v>کیوریتور دانش/فرهنگ</x:v>
      </x:c>
      <x:c r="K1877" s="39" t="str"/>
      <x:c r="L1877" s="39" t="str">
        <x:v>PL:R33؛ AP:P1102؛ AP:P1510</x:v>
      </x:c>
      <x:c r="M1877" s="39" t="str"/>
      <x:c r="N1877" s="39" t="str">
        <x:v>نسخه پایه ۳۱۵۰</x:v>
      </x:c>
    </x:row>
    <x:row r="1878" ht="34" customHeight="1">
      <x:c r="A1878" s="34" t="str">
        <x:v>☐</x:v>
      </x:c>
      <x:c r="B1878" s="34" t="str">
        <x:v>MI-0033</x:v>
      </x:c>
      <x:c r="C1878" s="34" t="str">
        <x:v>M5 — دانش، فرهنگ، حکمرانی و بانک مطالعاتی</x:v>
      </x:c>
      <x:c r="D1878" s="34" t="str">
        <x:v>H15</x:v>
      </x:c>
      <x:c r="E1878" s="34" t="str">
        <x:v>فرهنگ، دین، تاریخ، کتاب و رسانه</x:v>
      </x:c>
      <x:c r="F1878" s="34" t="str">
        <x:v>BANK</x:v>
      </x:c>
      <x:c r="G1878" s="34" t="str">
        <x:v>مطالعه/منبع</x:v>
      </x:c>
      <x:c r="H1878" s="39" t="str">
        <x:v>خواندن تاریخ ایران</x:v>
      </x:c>
      <x:c r="I1878" s="39" t="str">
        <x:v>بانک مطالعه؛ سقف زمانی</x:v>
      </x:c>
      <x:c r="J1878" s="39" t="str">
        <x:v>کیوریتور دانش/فرهنگ</x:v>
      </x:c>
      <x:c r="K1878" s="39" t="str"/>
      <x:c r="L1878" s="39" t="str">
        <x:v>PL:R34؛ PL:R148؛ AP:P1511</x:v>
      </x:c>
      <x:c r="M1878" s="39" t="str"/>
      <x:c r="N1878" s="39" t="str">
        <x:v>نسخه پایه ۳۱۵۰</x:v>
      </x:c>
    </x:row>
    <x:row r="1879" ht="34" customHeight="1">
      <x:c r="A1879" s="34" t="str">
        <x:v>☐</x:v>
      </x:c>
      <x:c r="B1879" s="34" t="str">
        <x:v>MI-0036</x:v>
      </x:c>
      <x:c r="C1879" s="34" t="str">
        <x:v>M5 — دانش، فرهنگ، حکمرانی و بانک مطالعاتی</x:v>
      </x:c>
      <x:c r="D1879" s="34" t="str">
        <x:v>H15</x:v>
      </x:c>
      <x:c r="E1879" s="34" t="str">
        <x:v>فرهنگ، دین، تاریخ، کتاب و رسانه</x:v>
      </x:c>
      <x:c r="F1879" s="34" t="str">
        <x:v>BANK</x:v>
      </x:c>
      <x:c r="G1879" s="34" t="str">
        <x:v>مطالعه/منبع</x:v>
      </x:c>
      <x:c r="H1879" s="39" t="str">
        <x:v>خوانش و بررسی کتاب نهج البلاغه</x:v>
      </x:c>
      <x:c r="I1879" s="39" t="str">
        <x:v>بانک مطالعه؛ سقف زمانی</x:v>
      </x:c>
      <x:c r="J1879" s="39" t="str">
        <x:v>کیوریتور دانش/فرهنگ</x:v>
      </x:c>
      <x:c r="K1879" s="39" t="str"/>
      <x:c r="L1879" s="39" t="str">
        <x:v>PL:R37</x:v>
      </x:c>
      <x:c r="M1879" s="39" t="str"/>
      <x:c r="N1879" s="39" t="str">
        <x:v>نسخه پایه ۳۱۵۰</x:v>
      </x:c>
    </x:row>
    <x:row r="1880" ht="34" customHeight="1">
      <x:c r="A1880" s="34" t="str">
        <x:v>☐</x:v>
      </x:c>
      <x:c r="B1880" s="34" t="str">
        <x:v>MI-0057</x:v>
      </x:c>
      <x:c r="C1880" s="34" t="str">
        <x:v>M5 — دانش، فرهنگ، حکمرانی و بانک مطالعاتی</x:v>
      </x:c>
      <x:c r="D1880" s="34" t="str">
        <x:v>H15</x:v>
      </x:c>
      <x:c r="E1880" s="34" t="str">
        <x:v>فرهنگ، دین، تاریخ، کتاب و رسانه</x:v>
      </x:c>
      <x:c r="F1880" s="34" t="str">
        <x:v>BANK</x:v>
      </x:c>
      <x:c r="G1880" s="34" t="str">
        <x:v>مطالعه/منبع</x:v>
      </x:c>
      <x:c r="H1880" s="39" t="str">
        <x:v>مترجم کتاب و شفاهی</x:v>
      </x:c>
      <x:c r="I1880" s="39" t="str">
        <x:v>بانک مطالعه؛ سقف زمانی</x:v>
      </x:c>
      <x:c r="J1880" s="39" t="str">
        <x:v>کیوریتور دانش/فرهنگ</x:v>
      </x:c>
      <x:c r="K1880" s="39" t="str"/>
      <x:c r="L1880" s="39" t="str">
        <x:v>PL:R58؛ AP:P1393؛ AP:P1514</x:v>
      </x:c>
      <x:c r="M1880" s="39" t="str"/>
      <x:c r="N1880" s="39" t="str">
        <x:v>نسخه پایه ۳۱۵۰</x:v>
      </x:c>
    </x:row>
    <x:row r="1881" ht="34" customHeight="1">
      <x:c r="A1881" s="34" t="str">
        <x:v>☐</x:v>
      </x:c>
      <x:c r="B1881" s="34" t="str">
        <x:v>MI-0221</x:v>
      </x:c>
      <x:c r="C1881" s="34" t="str">
        <x:v>M5 — دانش، فرهنگ، حکمرانی و بانک مطالعاتی</x:v>
      </x:c>
      <x:c r="D1881" s="34" t="str">
        <x:v>H15</x:v>
      </x:c>
      <x:c r="E1881" s="34" t="str">
        <x:v>فرهنگ، دین، تاریخ، کتاب و رسانه</x:v>
      </x:c>
      <x:c r="F1881" s="34" t="str">
        <x:v>BANK</x:v>
      </x:c>
      <x:c r="G1881" s="34" t="str">
        <x:v>مطالعه/منبع</x:v>
      </x:c>
      <x:c r="H1881" s="39" t="str">
        <x:v>فرهنگی - کتاب و کتابخوانی</x:v>
      </x:c>
      <x:c r="I1881" s="39" t="str">
        <x:v>بانک مطالعه؛ سقف زمانی</x:v>
      </x:c>
      <x:c r="J1881" s="39" t="str">
        <x:v>کیوریتور دانش/فرهنگ</x:v>
      </x:c>
      <x:c r="K1881" s="39" t="str"/>
      <x:c r="L1881" s="39" t="str">
        <x:v>PL:R338</x:v>
      </x:c>
      <x:c r="M1881" s="39" t="str"/>
      <x:c r="N1881" s="39" t="str">
        <x:v>نسخه پایه ۳۱۵۰</x:v>
      </x:c>
    </x:row>
    <x:row r="1882" ht="34" customHeight="1">
      <x:c r="A1882" s="34" t="str">
        <x:v>☐</x:v>
      </x:c>
      <x:c r="B1882" s="34" t="str">
        <x:v>MI-0287</x:v>
      </x:c>
      <x:c r="C1882" s="34" t="str">
        <x:v>M5 — دانش، فرهنگ، حکمرانی و بانک مطالعاتی</x:v>
      </x:c>
      <x:c r="D1882" s="34" t="str">
        <x:v>H15</x:v>
      </x:c>
      <x:c r="E1882" s="34" t="str">
        <x:v>فرهنگ، دین، تاریخ، کتاب و رسانه</x:v>
      </x:c>
      <x:c r="F1882" s="34" t="str">
        <x:v>BANK</x:v>
      </x:c>
      <x:c r="G1882" s="34" t="str">
        <x:v>مطالعه/منبع</x:v>
      </x:c>
      <x:c r="H1882" s="39" t="str">
        <x:v>مطالعه سیاسی</x:v>
      </x:c>
      <x:c r="I1882" s="39" t="str">
        <x:v>بانک مطالعه؛ سقف زمانی</x:v>
      </x:c>
      <x:c r="J1882" s="39" t="str">
        <x:v>کیوریتور دانش/فرهنگ</x:v>
      </x:c>
      <x:c r="K1882" s="39" t="str"/>
      <x:c r="L1882" s="39" t="str">
        <x:v>AP:P58؛ AP:P146؛ AP:P1310</x:v>
      </x:c>
      <x:c r="M1882" s="39" t="str"/>
      <x:c r="N1882" s="39" t="str">
        <x:v>نسخه پایه ۳۱۵۰</x:v>
      </x:c>
    </x:row>
    <x:row r="1883" ht="34" customHeight="1">
      <x:c r="A1883" s="34" t="str">
        <x:v>☐</x:v>
      </x:c>
      <x:c r="B1883" s="34" t="str">
        <x:v>MI-0373</x:v>
      </x:c>
      <x:c r="C1883" s="34" t="str">
        <x:v>M5 — دانش، فرهنگ، حکمرانی و بانک مطالعاتی</x:v>
      </x:c>
      <x:c r="D1883" s="34" t="str">
        <x:v>H15</x:v>
      </x:c>
      <x:c r="E1883" s="34" t="str">
        <x:v>فرهنگ، دین، تاریخ، کتاب و رسانه</x:v>
      </x:c>
      <x:c r="F1883" s="34" t="str">
        <x:v>BANK</x:v>
      </x:c>
      <x:c r="G1883" s="34" t="str">
        <x:v>مطالعه/منبع</x:v>
      </x:c>
      <x:c r="H1883" s="39" t="str">
        <x:v>مطالعه علمی</x:v>
      </x:c>
      <x:c r="I1883" s="39" t="str">
        <x:v>بانک مطالعه؛ سقف زمانی</x:v>
      </x:c>
      <x:c r="J1883" s="39" t="str">
        <x:v>کیوریتور دانش/فرهنگ</x:v>
      </x:c>
      <x:c r="K1883" s="39" t="str"/>
      <x:c r="L1883" s="39" t="str">
        <x:v>AP:P155؛ AP:P1313</x:v>
      </x:c>
      <x:c r="M1883" s="39" t="str"/>
      <x:c r="N1883" s="39" t="str">
        <x:v>نسخه پایه ۳۱۵۰</x:v>
      </x:c>
    </x:row>
    <x:row r="1884" ht="34" customHeight="1">
      <x:c r="A1884" s="34" t="str">
        <x:v>☐</x:v>
      </x:c>
      <x:c r="B1884" s="34" t="str">
        <x:v>MI-0381</x:v>
      </x:c>
      <x:c r="C1884" s="34" t="str">
        <x:v>M5 — دانش، فرهنگ، حکمرانی و بانک مطالعاتی</x:v>
      </x:c>
      <x:c r="D1884" s="34" t="str">
        <x:v>H15</x:v>
      </x:c>
      <x:c r="E1884" s="34" t="str">
        <x:v>فرهنگ، دین، تاریخ، کتاب و رسانه</x:v>
      </x:c>
      <x:c r="F1884" s="34" t="str">
        <x:v>BANK</x:v>
      </x:c>
      <x:c r="G1884" s="34" t="str">
        <x:v>مطالعه/منبع</x:v>
      </x:c>
      <x:c r="H1884" s="39" t="str">
        <x:v>از کجا معلوم اسلام برتره</x:v>
      </x:c>
      <x:c r="I1884" s="39" t="str">
        <x:v>بانک مطالعه؛ سقف زمانی</x:v>
      </x:c>
      <x:c r="J1884" s="39" t="str">
        <x:v>کیوریتور دانش/فرهنگ</x:v>
      </x:c>
      <x:c r="K1884" s="39" t="str"/>
      <x:c r="L1884" s="39" t="str">
        <x:v>AP:P164</x:v>
      </x:c>
      <x:c r="M1884" s="39" t="str"/>
      <x:c r="N1884" s="39" t="str">
        <x:v>نسخه پایه ۳۱۵۰</x:v>
      </x:c>
    </x:row>
    <x:row r="1885" ht="34" customHeight="1">
      <x:c r="A1885" s="34" t="str">
        <x:v>☐</x:v>
      </x:c>
      <x:c r="B1885" s="34" t="str">
        <x:v>MI-0403</x:v>
      </x:c>
      <x:c r="C1885" s="34" t="str">
        <x:v>M5 — دانش، فرهنگ، حکمرانی و بانک مطالعاتی</x:v>
      </x:c>
      <x:c r="D1885" s="34" t="str">
        <x:v>H15</x:v>
      </x:c>
      <x:c r="E1885" s="34" t="str">
        <x:v>فرهنگ، دین، تاریخ، کتاب و رسانه</x:v>
      </x:c>
      <x:c r="F1885" s="34" t="str">
        <x:v>BANK</x:v>
      </x:c>
      <x:c r="G1885" s="34" t="str">
        <x:v>مطالعه/منبع</x:v>
      </x:c>
      <x:c r="H1885" s="39" t="str">
        <x:v>گفتمان انقلاب اسلامی</x:v>
      </x:c>
      <x:c r="I1885" s="39" t="str">
        <x:v>بانک مطالعه؛ سقف زمانی</x:v>
      </x:c>
      <x:c r="J1885" s="39" t="str">
        <x:v>کیوریتور دانش/فرهنگ</x:v>
      </x:c>
      <x:c r="K1885" s="39" t="str"/>
      <x:c r="L1885" s="39" t="str">
        <x:v>AP:P187</x:v>
      </x:c>
      <x:c r="M1885" s="39" t="str"/>
      <x:c r="N1885" s="39" t="str">
        <x:v>نسخه پایه ۳۱۵۰</x:v>
      </x:c>
    </x:row>
    <x:row r="1886" ht="34" customHeight="1">
      <x:c r="A1886" s="34" t="str">
        <x:v>☐</x:v>
      </x:c>
      <x:c r="B1886" s="34" t="str">
        <x:v>MI-0411</x:v>
      </x:c>
      <x:c r="C1886" s="34" t="str">
        <x:v>M5 — دانش، فرهنگ، حکمرانی و بانک مطالعاتی</x:v>
      </x:c>
      <x:c r="D1886" s="34" t="str">
        <x:v>H15</x:v>
      </x:c>
      <x:c r="E1886" s="34" t="str">
        <x:v>فرهنگ، دین، تاریخ، کتاب و رسانه</x:v>
      </x:c>
      <x:c r="F1886" s="34" t="str">
        <x:v>BANK</x:v>
      </x:c>
      <x:c r="G1886" s="34" t="str">
        <x:v>مطالعه/منبع</x:v>
      </x:c>
      <x:c r="H1886" s="39" t="str">
        <x:v>نقشه ایمه در احیای دین در</x:v>
      </x:c>
      <x:c r="I1886" s="39" t="str">
        <x:v>بانک مطالعه؛ سقف زمانی</x:v>
      </x:c>
      <x:c r="J1886" s="39" t="str">
        <x:v>کیوریتور دانش/فرهنگ</x:v>
      </x:c>
      <x:c r="K1886" s="39" t="str"/>
      <x:c r="L1886" s="39" t="str">
        <x:v>AP:P195</x:v>
      </x:c>
      <x:c r="M1886" s="39" t="str"/>
      <x:c r="N1886" s="39" t="str">
        <x:v>نسخه پایه ۳۱۵۰</x:v>
      </x:c>
    </x:row>
    <x:row r="1887" ht="34" customHeight="1">
      <x:c r="A1887" s="34" t="str">
        <x:v>☐</x:v>
      </x:c>
      <x:c r="B1887" s="34" t="str">
        <x:v>MI-0414</x:v>
      </x:c>
      <x:c r="C1887" s="34" t="str">
        <x:v>M5 — دانش، فرهنگ، حکمرانی و بانک مطالعاتی</x:v>
      </x:c>
      <x:c r="D1887" s="34" t="str">
        <x:v>H15</x:v>
      </x:c>
      <x:c r="E1887" s="34" t="str">
        <x:v>فرهنگ، دین، تاریخ، کتاب و رسانه</x:v>
      </x:c>
      <x:c r="F1887" s="34" t="str">
        <x:v>BANK</x:v>
      </x:c>
      <x:c r="G1887" s="34" t="str">
        <x:v>مطالعه/منبع</x:v>
      </x:c>
      <x:c r="H1887" s="39" t="str">
        <x:v>فیلم مستند تلبیس</x:v>
      </x:c>
      <x:c r="I1887" s="39" t="str">
        <x:v>بانک مطالعه؛ سقف زمانی</x:v>
      </x:c>
      <x:c r="J1887" s="39" t="str">
        <x:v>کیوریتور دانش/فرهنگ</x:v>
      </x:c>
      <x:c r="K1887" s="39" t="str"/>
      <x:c r="L1887" s="39" t="str">
        <x:v>AP:P198</x:v>
      </x:c>
      <x:c r="M1887" s="39" t="str"/>
      <x:c r="N1887" s="39" t="str">
        <x:v>نسخه پایه ۳۱۵۰</x:v>
      </x:c>
    </x:row>
    <x:row r="1888" ht="34" customHeight="1">
      <x:c r="A1888" s="34" t="str">
        <x:v>☐</x:v>
      </x:c>
      <x:c r="B1888" s="34" t="str">
        <x:v>MI-0420</x:v>
      </x:c>
      <x:c r="C1888" s="34" t="str">
        <x:v>M5 — دانش، فرهنگ، حکمرانی و بانک مطالعاتی</x:v>
      </x:c>
      <x:c r="D1888" s="34" t="str">
        <x:v>H15</x:v>
      </x:c>
      <x:c r="E1888" s="34" t="str">
        <x:v>فرهنگ، دین، تاریخ، کتاب و رسانه</x:v>
      </x:c>
      <x:c r="F1888" s="34" t="str">
        <x:v>BANK</x:v>
      </x:c>
      <x:c r="G1888" s="34" t="str">
        <x:v>مطالعه/منبع</x:v>
      </x:c>
      <x:c r="H1888" s="39" t="str">
        <x:v>جلد سوم حماسه حسینی شهید مطهری</x:v>
      </x:c>
      <x:c r="I1888" s="39" t="str">
        <x:v>بانک مطالعه؛ سقف زمانی</x:v>
      </x:c>
      <x:c r="J1888" s="39" t="str">
        <x:v>کیوریتور دانش/فرهنگ</x:v>
      </x:c>
      <x:c r="K1888" s="39" t="str"/>
      <x:c r="L1888" s="39" t="str">
        <x:v>AP:P204</x:v>
      </x:c>
      <x:c r="M1888" s="39" t="str"/>
      <x:c r="N1888" s="39" t="str">
        <x:v>نسخه پایه ۳۱۵۰</x:v>
      </x:c>
    </x:row>
    <x:row r="1889" ht="34" customHeight="1">
      <x:c r="A1889" s="34" t="str">
        <x:v>☐</x:v>
      </x:c>
      <x:c r="B1889" s="34" t="str">
        <x:v>MI-0422</x:v>
      </x:c>
      <x:c r="C1889" s="34" t="str">
        <x:v>M5 — دانش، فرهنگ، حکمرانی و بانک مطالعاتی</x:v>
      </x:c>
      <x:c r="D1889" s="34" t="str">
        <x:v>H15</x:v>
      </x:c>
      <x:c r="E1889" s="34" t="str">
        <x:v>فرهنگ، دین، تاریخ، کتاب و رسانه</x:v>
      </x:c>
      <x:c r="F1889" s="34" t="str">
        <x:v>BANK</x:v>
      </x:c>
      <x:c r="G1889" s="34" t="str">
        <x:v>مطالعه/منبع</x:v>
      </x:c>
      <x:c r="H1889" s="39" t="str">
        <x:v>مناظره شهید بهشتی و رییس حزب توده</x:v>
      </x:c>
      <x:c r="I1889" s="39" t="str">
        <x:v>بانک مطالعه؛ سقف زمانی</x:v>
      </x:c>
      <x:c r="J1889" s="39" t="str">
        <x:v>کیوریتور دانش/فرهنگ</x:v>
      </x:c>
      <x:c r="K1889" s="39" t="str"/>
      <x:c r="L1889" s="39" t="str">
        <x:v>AP:P206</x:v>
      </x:c>
      <x:c r="M1889" s="39" t="str"/>
      <x:c r="N1889" s="39" t="str">
        <x:v>نسخه پایه ۳۱۵۰</x:v>
      </x:c>
    </x:row>
    <x:row r="1890" ht="34" customHeight="1">
      <x:c r="A1890" s="34" t="str">
        <x:v>☐</x:v>
      </x:c>
      <x:c r="B1890" s="34" t="str">
        <x:v>MI-0440</x:v>
      </x:c>
      <x:c r="C1890" s="34" t="str">
        <x:v>M5 — دانش، فرهنگ، حکمرانی و بانک مطالعاتی</x:v>
      </x:c>
      <x:c r="D1890" s="34" t="str">
        <x:v>H15</x:v>
      </x:c>
      <x:c r="E1890" s="34" t="str">
        <x:v>فرهنگ، دین، تاریخ، کتاب و رسانه</x:v>
      </x:c>
      <x:c r="F1890" s="34" t="str">
        <x:v>BANK</x:v>
      </x:c>
      <x:c r="G1890" s="34" t="str">
        <x:v>مطالعه/منبع</x:v>
      </x:c>
      <x:c r="H1890" s="39" t="str">
        <x:v>شهید کاوه در پاوه</x:v>
      </x:c>
      <x:c r="I1890" s="39" t="str">
        <x:v>بانک مطالعه؛ سقف زمانی</x:v>
      </x:c>
      <x:c r="J1890" s="39" t="str">
        <x:v>کیوریتور دانش/فرهنگ</x:v>
      </x:c>
      <x:c r="K1890" s="39" t="str"/>
      <x:c r="L1890" s="39" t="str">
        <x:v>AP:P224</x:v>
      </x:c>
      <x:c r="M1890" s="39" t="str"/>
      <x:c r="N1890" s="39" t="str">
        <x:v>نسخه پایه ۳۱۵۰</x:v>
      </x:c>
    </x:row>
    <x:row r="1891" ht="34" customHeight="1">
      <x:c r="A1891" s="34" t="str">
        <x:v>☐</x:v>
      </x:c>
      <x:c r="B1891" s="34" t="str">
        <x:v>MI-0457</x:v>
      </x:c>
      <x:c r="C1891" s="34" t="str">
        <x:v>M5 — دانش، فرهنگ، حکمرانی و بانک مطالعاتی</x:v>
      </x:c>
      <x:c r="D1891" s="34" t="str">
        <x:v>H15</x:v>
      </x:c>
      <x:c r="E1891" s="34" t="str">
        <x:v>فرهنگ، دین، تاریخ، کتاب و رسانه</x:v>
      </x:c>
      <x:c r="F1891" s="34" t="str">
        <x:v>BANK</x:v>
      </x:c>
      <x:c r="G1891" s="34" t="str">
        <x:v>مطالعه/منبع</x:v>
      </x:c>
      <x:c r="H1891" s="39" t="str">
        <x:v>نگاه جمهوری اسلامی به زن ، نگاه غرب به زن</x:v>
      </x:c>
      <x:c r="I1891" s="39" t="str">
        <x:v>بانک مطالعه؛ سقف زمانی</x:v>
      </x:c>
      <x:c r="J1891" s="39" t="str">
        <x:v>کیوریتور دانش/فرهنگ</x:v>
      </x:c>
      <x:c r="K1891" s="39" t="str"/>
      <x:c r="L1891" s="39" t="str">
        <x:v>AP:P242</x:v>
      </x:c>
      <x:c r="M1891" s="39" t="str"/>
      <x:c r="N1891" s="39" t="str">
        <x:v>نسخه پایه ۳۱۵۰</x:v>
      </x:c>
    </x:row>
    <x:row r="1892" ht="34" customHeight="1">
      <x:c r="A1892" s="34" t="str">
        <x:v>☐</x:v>
      </x:c>
      <x:c r="B1892" s="34" t="str">
        <x:v>MI-0469</x:v>
      </x:c>
      <x:c r="C1892" s="34" t="str">
        <x:v>M5 — دانش، فرهنگ، حکمرانی و بانک مطالعاتی</x:v>
      </x:c>
      <x:c r="D1892" s="34" t="str">
        <x:v>H15</x:v>
      </x:c>
      <x:c r="E1892" s="34" t="str">
        <x:v>فرهنگ، دین، تاریخ، کتاب و رسانه</x:v>
      </x:c>
      <x:c r="F1892" s="34" t="str">
        <x:v>BANK</x:v>
      </x:c>
      <x:c r="G1892" s="34" t="str">
        <x:v>مطالعه/منبع</x:v>
      </x:c>
      <x:c r="H1892" s="39" t="str">
        <x:v>تاریخ پهلوی را بیان کنید.</x:v>
      </x:c>
      <x:c r="I1892" s="39" t="str">
        <x:v>بانک مطالعه؛ سقف زمانی</x:v>
      </x:c>
      <x:c r="J1892" s="39" t="str">
        <x:v>کیوریتور دانش/فرهنگ</x:v>
      </x:c>
      <x:c r="K1892" s="39" t="str"/>
      <x:c r="L1892" s="39" t="str">
        <x:v>AP:P254</x:v>
      </x:c>
      <x:c r="M1892" s="39" t="str"/>
      <x:c r="N1892" s="39" t="str">
        <x:v>نسخه پایه ۳۱۵۰</x:v>
      </x:c>
    </x:row>
    <x:row r="1893" ht="34" customHeight="1">
      <x:c r="A1893" s="34" t="str">
        <x:v>☐</x:v>
      </x:c>
      <x:c r="B1893" s="34" t="str">
        <x:v>MI-0485</x:v>
      </x:c>
      <x:c r="C1893" s="34" t="str">
        <x:v>M5 — دانش، فرهنگ، حکمرانی و بانک مطالعاتی</x:v>
      </x:c>
      <x:c r="D1893" s="34" t="str">
        <x:v>H15</x:v>
      </x:c>
      <x:c r="E1893" s="34" t="str">
        <x:v>فرهنگ، دین، تاریخ، کتاب و رسانه</x:v>
      </x:c>
      <x:c r="F1893" s="34" t="str">
        <x:v>BANK</x:v>
      </x:c>
      <x:c r="G1893" s="34" t="str">
        <x:v>مطالعه/منبع</x:v>
      </x:c>
      <x:c r="H1893" s="39" t="str">
        <x:v>شهید هاشمی نژاد</x:v>
      </x:c>
      <x:c r="I1893" s="39" t="str">
        <x:v>بانک مطالعه؛ سقف زمانی</x:v>
      </x:c>
      <x:c r="J1893" s="39" t="str">
        <x:v>کیوریتور دانش/فرهنگ</x:v>
      </x:c>
      <x:c r="K1893" s="39" t="str"/>
      <x:c r="L1893" s="39" t="str">
        <x:v>AP:P270</x:v>
      </x:c>
      <x:c r="M1893" s="39" t="str"/>
      <x:c r="N1893" s="39" t="str">
        <x:v>نسخه پایه ۳۱۵۰</x:v>
      </x:c>
    </x:row>
    <x:row r="1894" ht="34" customHeight="1">
      <x:c r="A1894" s="34" t="str">
        <x:v>☐</x:v>
      </x:c>
      <x:c r="B1894" s="34" t="str">
        <x:v>MI-0562</x:v>
      </x:c>
      <x:c r="C1894" s="34" t="str">
        <x:v>M5 — دانش، فرهنگ، حکمرانی و بانک مطالعاتی</x:v>
      </x:c>
      <x:c r="D1894" s="34" t="str">
        <x:v>H15</x:v>
      </x:c>
      <x:c r="E1894" s="34" t="str">
        <x:v>فرهنگ، دین، تاریخ، کتاب و رسانه</x:v>
      </x:c>
      <x:c r="F1894" s="34" t="str">
        <x:v>BANK</x:v>
      </x:c>
      <x:c r="G1894" s="34" t="str">
        <x:v>مطالعه/منبع</x:v>
      </x:c>
      <x:c r="H1894" s="39" t="str">
        <x:v>طرح کلی اندیشه اسلامی در قرآن</x:v>
      </x:c>
      <x:c r="I1894" s="39" t="str">
        <x:v>بانک مطالعه؛ سقف زمانی</x:v>
      </x:c>
      <x:c r="J1894" s="39" t="str">
        <x:v>کیوریتور دانش/فرهنگ</x:v>
      </x:c>
      <x:c r="K1894" s="39" t="str"/>
      <x:c r="L1894" s="39" t="str">
        <x:v>AP:P348</x:v>
      </x:c>
      <x:c r="M1894" s="39" t="str"/>
      <x:c r="N1894" s="39" t="str">
        <x:v>نسخه پایه ۳۱۵۰</x:v>
      </x:c>
    </x:row>
    <x:row r="1895" ht="34" customHeight="1">
      <x:c r="A1895" s="34" t="str">
        <x:v>☐</x:v>
      </x:c>
      <x:c r="B1895" s="34" t="str">
        <x:v>MI-0581</x:v>
      </x:c>
      <x:c r="C1895" s="34" t="str">
        <x:v>M5 — دانش، فرهنگ، حکمرانی و بانک مطالعاتی</x:v>
      </x:c>
      <x:c r="D1895" s="34" t="str">
        <x:v>H15</x:v>
      </x:c>
      <x:c r="E1895" s="34" t="str">
        <x:v>فرهنگ، دین، تاریخ، کتاب و رسانه</x:v>
      </x:c>
      <x:c r="F1895" s="34" t="str">
        <x:v>BANK</x:v>
      </x:c>
      <x:c r="G1895" s="34" t="str">
        <x:v>مطالعه/منبع</x:v>
      </x:c>
      <x:c r="H1895" s="39" t="str">
        <x:v>طرح کلی اندیشه اسلامی در دیدگاه قرآن کریم (رهبری)</x:v>
      </x:c>
      <x:c r="I1895" s="39" t="str">
        <x:v>بانک مطالعه؛ سقف زمانی</x:v>
      </x:c>
      <x:c r="J1895" s="39" t="str">
        <x:v>کیوریتور دانش/فرهنگ</x:v>
      </x:c>
      <x:c r="K1895" s="39" t="str"/>
      <x:c r="L1895" s="39" t="str">
        <x:v>AP:P367</x:v>
      </x:c>
      <x:c r="M1895" s="39" t="str"/>
      <x:c r="N1895" s="39" t="str">
        <x:v>نسخه پایه ۳۱۵۰</x:v>
      </x:c>
    </x:row>
    <x:row r="1896" ht="34" customHeight="1">
      <x:c r="A1896" s="34" t="str">
        <x:v>☐</x:v>
      </x:c>
      <x:c r="B1896" s="34" t="str">
        <x:v>MI-1424</x:v>
      </x:c>
      <x:c r="C1896" s="34" t="str">
        <x:v>M5 — دانش، فرهنگ، حکمرانی و بانک مطالعاتی</x:v>
      </x:c>
      <x:c r="D1896" s="34" t="str">
        <x:v>H15</x:v>
      </x:c>
      <x:c r="E1896" s="34" t="str">
        <x:v>فرهنگ، دین، تاریخ، کتاب و رسانه</x:v>
      </x:c>
      <x:c r="F1896" s="34" t="str">
        <x:v>BANK</x:v>
      </x:c>
      <x:c r="G1896" s="34" t="str">
        <x:v>مطالعه/منبع</x:v>
      </x:c>
      <x:c r="H1896" s="39" t="str">
        <x:v>خلاصه کتاب و اعلام فیدبک ها و معرفی کتاب</x:v>
      </x:c>
      <x:c r="I1896" s="39" t="str">
        <x:v>بانک مطالعه؛ سقف زمانی</x:v>
      </x:c>
      <x:c r="J1896" s="39" t="str">
        <x:v>کیوریتور دانش/فرهنگ</x:v>
      </x:c>
      <x:c r="K1896" s="39" t="str"/>
      <x:c r="L1896" s="39" t="str">
        <x:v>AP:P1323</x:v>
      </x:c>
      <x:c r="M1896" s="39" t="str"/>
      <x:c r="N1896" s="39" t="str">
        <x:v>نسخه پایه ۳۱۵۰</x:v>
      </x:c>
    </x:row>
    <x:row r="1897" ht="34" customHeight="1">
      <x:c r="A1897" s="34" t="str">
        <x:v>☐</x:v>
      </x:c>
      <x:c r="B1897" s="34" t="str">
        <x:v>MI-1436</x:v>
      </x:c>
      <x:c r="C1897" s="34" t="str">
        <x:v>M5 — دانش، فرهنگ، حکمرانی و بانک مطالعاتی</x:v>
      </x:c>
      <x:c r="D1897" s="34" t="str">
        <x:v>H15</x:v>
      </x:c>
      <x:c r="E1897" s="34" t="str">
        <x:v>فرهنگ، دین، تاریخ، کتاب و رسانه</x:v>
      </x:c>
      <x:c r="F1897" s="34" t="str">
        <x:v>BANK</x:v>
      </x:c>
      <x:c r="G1897" s="34" t="str">
        <x:v>مطالعه/منبع</x:v>
      </x:c>
      <x:c r="H1897" s="39" t="str">
        <x:v>خواندن و بررسی کتاب نهج البلاغه</x:v>
      </x:c>
      <x:c r="I1897" s="39" t="str">
        <x:v>بانک مطالعه؛ سقف زمانی</x:v>
      </x:c>
      <x:c r="J1897" s="39" t="str">
        <x:v>کیوریتور دانش/فرهنگ</x:v>
      </x:c>
      <x:c r="K1897" s="39" t="str"/>
      <x:c r="L1897" s="39" t="str">
        <x:v>AP:P1336</x:v>
      </x:c>
      <x:c r="M1897" s="39" t="str"/>
      <x:c r="N1897" s="39" t="str">
        <x:v>نسخه پایه ۳۱۵۰</x:v>
      </x:c>
    </x:row>
    <x:row r="1898" ht="34" customHeight="1">
      <x:c r="A1898" s="34" t="str">
        <x:v>☐</x:v>
      </x:c>
      <x:c r="B1898" s="34" t="str">
        <x:v>MI-1534</x:v>
      </x:c>
      <x:c r="C1898" s="34" t="str">
        <x:v>M5 — دانش، فرهنگ، حکمرانی و بانک مطالعاتی</x:v>
      </x:c>
      <x:c r="D1898" s="34" t="str">
        <x:v>H15</x:v>
      </x:c>
      <x:c r="E1898" s="34" t="str">
        <x:v>فرهنگ، دین، تاریخ، کتاب و رسانه</x:v>
      </x:c>
      <x:c r="F1898" s="34" t="str">
        <x:v>BANK</x:v>
      </x:c>
      <x:c r="G1898" s="34" t="str">
        <x:v>مطالعه/منبع</x:v>
      </x:c>
      <x:c r="H1898" s="39" t="str">
        <x:v>کتابخوانی</x:v>
      </x:c>
      <x:c r="I1898" s="39" t="str">
        <x:v>بانک مطالعه؛ سقف زمانی</x:v>
      </x:c>
      <x:c r="J1898" s="39" t="str">
        <x:v>کیوریتور دانش/فرهنگ</x:v>
      </x:c>
      <x:c r="K1898" s="39" t="str"/>
      <x:c r="L1898" s="39" t="str">
        <x:v>AP:P1512</x:v>
      </x:c>
      <x:c r="M1898" s="39" t="str"/>
      <x:c r="N1898" s="39" t="str">
        <x:v>نسخه پایه ۳۱۵۰</x:v>
      </x:c>
    </x:row>
    <x:row r="1899" ht="34" customHeight="1">
      <x:c r="A1899" s="34" t="str">
        <x:v>☐</x:v>
      </x:c>
      <x:c r="B1899" s="34" t="str">
        <x:v>MI-1535</x:v>
      </x:c>
      <x:c r="C1899" s="34" t="str">
        <x:v>M5 — دانش، فرهنگ، حکمرانی و بانک مطالعاتی</x:v>
      </x:c>
      <x:c r="D1899" s="34" t="str">
        <x:v>H15</x:v>
      </x:c>
      <x:c r="E1899" s="34" t="str">
        <x:v>فرهنگ، دین، تاریخ، کتاب و رسانه</x:v>
      </x:c>
      <x:c r="F1899" s="34" t="str">
        <x:v>BANK</x:v>
      </x:c>
      <x:c r="G1899" s="34" t="str">
        <x:v>مطالعه/منبع</x:v>
      </x:c>
      <x:c r="H1899" s="39" t="str">
        <x:v>ساخت اپلیکیشن خلاصه کتاب ها</x:v>
      </x:c>
      <x:c r="I1899" s="39" t="str">
        <x:v>بانک مطالعه؛ سقف زمانی</x:v>
      </x:c>
      <x:c r="J1899" s="39" t="str">
        <x:v>کیوریتور دانش/فرهنگ</x:v>
      </x:c>
      <x:c r="K1899" s="39" t="str"/>
      <x:c r="L1899" s="39" t="str">
        <x:v>AP:P1513</x:v>
      </x:c>
      <x:c r="M1899" s="39" t="str"/>
      <x:c r="N1899" s="39" t="str">
        <x:v>نسخه پایه ۳۱۵۰</x:v>
      </x:c>
    </x:row>
    <x:row r="1900" ht="34" customHeight="1">
      <x:c r="A1900" s="34" t="str">
        <x:v>☐</x:v>
      </x:c>
      <x:c r="B1900" s="34" t="str">
        <x:v>MI-3079</x:v>
      </x:c>
      <x:c r="C1900" s="34" t="str">
        <x:v>M5 — دانش، فرهنگ، حکمرانی و بانک مطالعاتی</x:v>
      </x:c>
      <x:c r="D1900" s="34" t="str">
        <x:v>H15</x:v>
      </x:c>
      <x:c r="E1900" s="34" t="str">
        <x:v>فرهنگ، دین، تاریخ، کتاب و رسانه</x:v>
      </x:c>
      <x:c r="F1900" s="34" t="str">
        <x:v>BANK</x:v>
      </x:c>
      <x:c r="G1900" s="34" t="str">
        <x:v>مطالعه/منبع</x:v>
      </x:c>
      <x:c r="H1900" s="39" t="str">
        <x:v>کتاب نیمه شب ده اثر فلورانس اسکاول شین کتاب اردیبهشت ارتداد 48 قانون قدرت قدرت سکوت بیست و 2 نَه ضاحیه سیاست و حکمرانی در اسلام از دکتر شهید بهشتی هنر حاضر جوابی بداهه گویی رمان های امنیتی سیاست و حکمرانی در اسلام از شهید بهشتی آنچه در اتاق اتفاق افتاد از جان بولتون</x:v>
      </x:c>
      <x:c r="I1900" s="39" t="str">
        <x:v>بانک مطالعه؛ سقف زمانی</x:v>
      </x:c>
      <x:c r="J1900" s="39" t="str">
        <x:v>کیوریتور دانش/فرهنگ</x:v>
      </x:c>
      <x:c r="K1900" s="39" t="str"/>
      <x:c r="L1900" s="39" t="str">
        <x:v>INT:T16 R2</x:v>
      </x:c>
      <x:c r="M1900" s="39" t="str"/>
      <x:c r="N1900" s="39" t="str">
        <x:v>نسخه پایه ۳۱۵۰</x:v>
      </x:c>
    </x:row>
    <x:row r="1901" ht="34" customHeight="1">
      <x:c r="A1901" s="34" t="str">
        <x:v>☐</x:v>
      </x:c>
      <x:c r="B1901" s="34" t="str">
        <x:v>MI-0669</x:v>
      </x:c>
      <x:c r="C1901" s="34" t="str">
        <x:v>M5 — دانش، فرهنگ، حکمرانی و بانک مطالعاتی</x:v>
      </x:c>
      <x:c r="D1901" s="34" t="str">
        <x:v>H15</x:v>
      </x:c>
      <x:c r="E1901" s="34" t="str">
        <x:v>فرهنگ، دین، تاریخ، کتاب و رسانه</x:v>
      </x:c>
      <x:c r="F1901" s="34" t="str">
        <x:v>P3/CLARIFY</x:v>
      </x:c>
      <x:c r="G1901" s="34" t="str">
        <x:v>اقدام اجرایی</x:v>
      </x:c>
      <x:c r="H1901" s="39" t="str">
        <x:v>وصیت نامه شهید حسن تهرانی مقدم</x:v>
      </x:c>
      <x:c r="I1901" s="39" t="str">
        <x:v>نیازمند تعریف خروجی یا پارک</x:v>
      </x:c>
      <x:c r="J1901" s="39" t="str">
        <x:v>کیوریتور دانش/فرهنگ</x:v>
      </x:c>
      <x:c r="K1901" s="39" t="str"/>
      <x:c r="L1901" s="39" t="str">
        <x:v>AP:P458</x:v>
      </x:c>
      <x:c r="M1901" s="39" t="str"/>
      <x:c r="N1901" s="39" t="str">
        <x:v>نسخه پایه ۳۱۵۰</x:v>
      </x:c>
    </x:row>
    <x:row r="1902" ht="34" customHeight="1">
      <x:c r="A1902" s="34" t="str">
        <x:v>☐</x:v>
      </x:c>
      <x:c r="B1902" s="34" t="str">
        <x:v>MI-1121</x:v>
      </x:c>
      <x:c r="C1902" s="34" t="str">
        <x:v>M5 — دانش، فرهنگ، حکمرانی و بانک مطالعاتی</x:v>
      </x:c>
      <x:c r="D1902" s="34" t="str">
        <x:v>H15</x:v>
      </x:c>
      <x:c r="E1902" s="34" t="str">
        <x:v>فرهنگ، دین، تاریخ، کتاب و رسانه</x:v>
      </x:c>
      <x:c r="F1902" s="34" t="str">
        <x:v>P3/CLARIFY</x:v>
      </x:c>
      <x:c r="G1902" s="34" t="str">
        <x:v>اقدام اجرایی</x:v>
      </x:c>
      <x:c r="H1902" s="39" t="str">
        <x:v>به روز رسانی ادوات هییت و تهیه وسایل لازم</x:v>
      </x:c>
      <x:c r="I1902" s="39" t="str">
        <x:v>نیازمند تعریف خروجی یا پارک</x:v>
      </x:c>
      <x:c r="J1902" s="39" t="str">
        <x:v>کیوریتور دانش/فرهنگ</x:v>
      </x:c>
      <x:c r="K1902" s="39" t="str"/>
      <x:c r="L1902" s="39" t="str">
        <x:v>AP:P969</x:v>
      </x:c>
      <x:c r="M1902" s="39" t="str"/>
      <x:c r="N1902" s="39" t="str">
        <x:v>نسخه پایه ۳۱۵۰</x:v>
      </x:c>
    </x:row>
    <x:row r="1903" ht="34" customHeight="1">
      <x:c r="A1903" s="34" t="str">
        <x:v>☐</x:v>
      </x:c>
      <x:c r="B1903" s="34" t="str">
        <x:v>MI-1124</x:v>
      </x:c>
      <x:c r="C1903" s="34" t="str">
        <x:v>M5 — دانش، فرهنگ، حکمرانی و بانک مطالعاتی</x:v>
      </x:c>
      <x:c r="D1903" s="34" t="str">
        <x:v>H15</x:v>
      </x:c>
      <x:c r="E1903" s="34" t="str">
        <x:v>فرهنگ، دین، تاریخ، کتاب و رسانه</x:v>
      </x:c>
      <x:c r="F1903" s="34" t="str">
        <x:v>P3/CLARIFY</x:v>
      </x:c>
      <x:c r="G1903" s="34" t="str">
        <x:v>اقدام اجرایی</x:v>
      </x:c>
      <x:c r="H1903" s="39" t="str">
        <x:v>گردهم آیی مذهبی ، سلسه جلسات ، برنامه های هییات و ...</x:v>
      </x:c>
      <x:c r="I1903" s="39" t="str">
        <x:v>نیازمند تعریف خروجی یا پارک</x:v>
      </x:c>
      <x:c r="J1903" s="39" t="str">
        <x:v>کیوریتور دانش/فرهنگ</x:v>
      </x:c>
      <x:c r="K1903" s="39" t="str"/>
      <x:c r="L1903" s="39" t="str">
        <x:v>AP:P972</x:v>
      </x:c>
      <x:c r="M1903" s="39" t="str"/>
      <x:c r="N1903" s="39" t="str">
        <x:v>نسخه پایه ۳۱۵۰</x:v>
      </x:c>
    </x:row>
    <x:row r="1904" ht="34" customHeight="1">
      <x:c r="A1904" s="34" t="str">
        <x:v>☐</x:v>
      </x:c>
      <x:c r="B1904" s="34" t="str">
        <x:v>MI-1129</x:v>
      </x:c>
      <x:c r="C1904" s="34" t="str">
        <x:v>M5 — دانش، فرهنگ، حکمرانی و بانک مطالعاتی</x:v>
      </x:c>
      <x:c r="D1904" s="34" t="str">
        <x:v>H15</x:v>
      </x:c>
      <x:c r="E1904" s="34" t="str">
        <x:v>فرهنگ، دین، تاریخ، کتاب و رسانه</x:v>
      </x:c>
      <x:c r="F1904" s="34" t="str">
        <x:v>P3/CLARIFY</x:v>
      </x:c>
      <x:c r="G1904" s="34" t="str">
        <x:v>اقدام اجرایی</x:v>
      </x:c>
      <x:c r="H1904" s="39" t="str">
        <x:v>باشه ولو جا به جا کردن یه سینی تو هییت یا یه پارچه واسه سه شنبه های مهدوی یا دعوت از یه دوست که منتظر یه تلنگره و آوردنش در چنین فضاهایی که بیاد و ببینه و ممکنه اون گاردی که نسبت به ما ها داشته باشه شاید از بین بره این دست ما رو میگیره</x:v>
      </x:c>
      <x:c r="I1904" s="39" t="str">
        <x:v>نیازمند تعریف خروجی یا پارک</x:v>
      </x:c>
      <x:c r="J1904" s="39" t="str">
        <x:v>کیوریتور دانش/فرهنگ</x:v>
      </x:c>
      <x:c r="K1904" s="39" t="str"/>
      <x:c r="L1904" s="39" t="str">
        <x:v>AP:P978</x:v>
      </x:c>
      <x:c r="M1904" s="39" t="str"/>
      <x:c r="N1904" s="39" t="str">
        <x:v>نسخه پایه ۳۱۵۰</x:v>
      </x:c>
    </x:row>
    <x:row r="1905" ht="34" customHeight="1">
      <x:c r="A1905" s="34" t="str">
        <x:v>☐</x:v>
      </x:c>
      <x:c r="B1905" s="34" t="str">
        <x:v>MI-0038</x:v>
      </x:c>
      <x:c r="C1905" s="34" t="str">
        <x:v>M5 — دانش، فرهنگ، حکمرانی و بانک مطالعاتی</x:v>
      </x:c>
      <x:c r="D1905" s="34" t="str">
        <x:v>H15</x:v>
      </x:c>
      <x:c r="E1905" s="34" t="str">
        <x:v>فرهنگ، دین، تاریخ، کتاب و رسانه</x:v>
      </x:c>
      <x:c r="F1905" s="34" t="str">
        <x:v>P3/CLARIFY</x:v>
      </x:c>
      <x:c r="G1905" s="34" t="str">
        <x:v>پروژه/طرح</x:v>
      </x:c>
      <x:c r="H1905" s="39" t="str">
        <x:v>راه اندازی رادیو تب</x:v>
      </x:c>
      <x:c r="I1905" s="39" t="str">
        <x:v>نیازمند تعریف خروجی یا پارک</x:v>
      </x:c>
      <x:c r="J1905" s="39" t="str">
        <x:v>کیوریتور دانش/فرهنگ</x:v>
      </x:c>
      <x:c r="K1905" s="39" t="str"/>
      <x:c r="L1905" s="39" t="str">
        <x:v>PL:R39؛ AP:P1508</x:v>
      </x:c>
      <x:c r="M1905" s="39" t="str"/>
      <x:c r="N1905" s="39" t="str">
        <x:v>نسخه پایه ۳۱۵۰</x:v>
      </x:c>
    </x:row>
    <x:row r="1906" ht="34" customHeight="1">
      <x:c r="A1906" s="34" t="str">
        <x:v>☐</x:v>
      </x:c>
      <x:c r="B1906" s="34" t="str">
        <x:v>MI-0288</x:v>
      </x:c>
      <x:c r="C1906" s="34" t="str">
        <x:v>M5 — دانش، فرهنگ، حکمرانی و بانک مطالعاتی</x:v>
      </x:c>
      <x:c r="D1906" s="34" t="str">
        <x:v>H15</x:v>
      </x:c>
      <x:c r="E1906" s="34" t="str">
        <x:v>فرهنگ، دین، تاریخ، کتاب و رسانه</x:v>
      </x:c>
      <x:c r="F1906" s="34" t="str">
        <x:v>P3/CLARIFY</x:v>
      </x:c>
      <x:c r="G1906" s="34" t="str">
        <x:v>پروژه/طرح</x:v>
      </x:c>
      <x:c r="H1906" s="39" t="str">
        <x:v>اجتماعی</x:v>
      </x:c>
      <x:c r="I1906" s="39" t="str">
        <x:v>نیازمند تعریف خروجی یا پارک</x:v>
      </x:c>
      <x:c r="J1906" s="39" t="str">
        <x:v>کیوریتور دانش/فرهنگ</x:v>
      </x:c>
      <x:c r="K1906" s="39" t="str"/>
      <x:c r="L1906" s="39" t="str">
        <x:v>AP:P59؛ AP:P1311</x:v>
      </x:c>
      <x:c r="M1906" s="39" t="str"/>
      <x:c r="N1906" s="39" t="str">
        <x:v>نسخه پایه ۳۱۵۰</x:v>
      </x:c>
    </x:row>
    <x:row r="1907" ht="34" customHeight="1">
      <x:c r="A1907" s="34" t="str">
        <x:v>☐</x:v>
      </x:c>
      <x:c r="B1907" s="34" t="str">
        <x:v>MI-1045</x:v>
      </x:c>
      <x:c r="C1907" s="34" t="str">
        <x:v>M5 — دانش، فرهنگ، حکمرانی و بانک مطالعاتی</x:v>
      </x:c>
      <x:c r="D1907" s="34" t="str">
        <x:v>H15</x:v>
      </x:c>
      <x:c r="E1907" s="34" t="str">
        <x:v>فرهنگ، دین، تاریخ، کتاب و رسانه</x:v>
      </x:c>
      <x:c r="F1907" s="34" t="str">
        <x:v>P3/CLARIFY</x:v>
      </x:c>
      <x:c r="G1907" s="34" t="str">
        <x:v>پروژه/طرح</x:v>
      </x:c>
      <x:c r="H1907" s="39" t="str">
        <x:v>ایجاد تقویم فرهنگی</x:v>
      </x:c>
      <x:c r="I1907" s="39" t="str">
        <x:v>نیازمند تعریف خروجی یا پارک</x:v>
      </x:c>
      <x:c r="J1907" s="39" t="str">
        <x:v>کیوریتور دانش/فرهنگ</x:v>
      </x:c>
      <x:c r="K1907" s="39" t="str"/>
      <x:c r="L1907" s="39" t="str">
        <x:v>AP:P887</x:v>
      </x:c>
      <x:c r="M1907" s="39" t="str"/>
      <x:c r="N1907" s="39" t="str">
        <x:v>نسخه پایه ۳۱۵۰</x:v>
      </x:c>
    </x:row>
    <x:row r="1908" ht="34" customHeight="1">
      <x:c r="A1908" s="34" t="str">
        <x:v>☐</x:v>
      </x:c>
      <x:c r="B1908" s="34" t="str">
        <x:v>MI-1169</x:v>
      </x:c>
      <x:c r="C1908" s="34" t="str">
        <x:v>M5 — دانش، فرهنگ، حکمرانی و بانک مطالعاتی</x:v>
      </x:c>
      <x:c r="D1908" s="34" t="str">
        <x:v>H15</x:v>
      </x:c>
      <x:c r="E1908" s="34" t="str">
        <x:v>فرهنگ، دین، تاریخ، کتاب و رسانه</x:v>
      </x:c>
      <x:c r="F1908" s="34" t="str">
        <x:v>P3/CLARIFY</x:v>
      </x:c>
      <x:c r="G1908" s="34" t="str">
        <x:v>پروژه/طرح</x:v>
      </x:c>
      <x:c r="H1908" s="39" t="str">
        <x:v>انجمن علمی ها</x:v>
      </x:c>
      <x:c r="I1908" s="39" t="str">
        <x:v>نیازمند تعریف خروجی یا پارک</x:v>
      </x:c>
      <x:c r="J1908" s="39" t="str">
        <x:v>کیوریتور دانش/فرهنگ</x:v>
      </x:c>
      <x:c r="K1908" s="39" t="str"/>
      <x:c r="L1908" s="39" t="str">
        <x:v>AP:P1023؛ AP:P1322؛ E112:P253</x:v>
      </x:c>
      <x:c r="M1908" s="39" t="str"/>
      <x:c r="N1908" s="39" t="str">
        <x:v>نسخه پایه ۳۱۵۰</x:v>
      </x:c>
    </x:row>
    <x:row r="1909" ht="34" customHeight="1">
      <x:c r="A1909" s="34" t="str">
        <x:v>☐</x:v>
      </x:c>
      <x:c r="B1909" s="34" t="str">
        <x:v>MI-1226</x:v>
      </x:c>
      <x:c r="C1909" s="34" t="str">
        <x:v>M5 — دانش، فرهنگ، حکمرانی و بانک مطالعاتی</x:v>
      </x:c>
      <x:c r="D1909" s="34" t="str">
        <x:v>H15</x:v>
      </x:c>
      <x:c r="E1909" s="34" t="str">
        <x:v>فرهنگ، دین، تاریخ، کتاب و رسانه</x:v>
      </x:c>
      <x:c r="F1909" s="34" t="str">
        <x:v>P3/CLARIFY</x:v>
      </x:c>
      <x:c r="G1909" s="34" t="str">
        <x:v>پروژه/طرح</x:v>
      </x:c>
      <x:c r="H1909" s="39" t="str">
        <x:v>ترجمه صوتی فیلم و سریال با لحن خودش ولی بازبان یکی دیکه</x:v>
      </x:c>
      <x:c r="I1909" s="39" t="str">
        <x:v>نیازمند تعریف خروجی یا پارک</x:v>
      </x:c>
      <x:c r="J1909" s="39" t="str">
        <x:v>کیوریتور دانش/فرهنگ</x:v>
      </x:c>
      <x:c r="K1909" s="39" t="str"/>
      <x:c r="L1909" s="39" t="str">
        <x:v>AP:P1090</x:v>
      </x:c>
      <x:c r="M1909" s="39" t="str"/>
      <x:c r="N1909" s="39" t="str">
        <x:v>نسخه پایه ۳۱۵۰</x:v>
      </x:c>
    </x:row>
    <x:row r="1910" ht="34" customHeight="1">
      <x:c r="A1910" s="34" t="str">
        <x:v>☐</x:v>
      </x:c>
      <x:c r="B1910" s="34" t="str">
        <x:v>MI-1410</x:v>
      </x:c>
      <x:c r="C1910" s="34" t="str">
        <x:v>M5 — دانش، فرهنگ، حکمرانی و بانک مطالعاتی</x:v>
      </x:c>
      <x:c r="D1910" s="34" t="str">
        <x:v>H15</x:v>
      </x:c>
      <x:c r="E1910" s="34" t="str">
        <x:v>فرهنگ، دین، تاریخ، کتاب و رسانه</x:v>
      </x:c>
      <x:c r="F1910" s="34" t="str">
        <x:v>P3/CLARIFY</x:v>
      </x:c>
      <x:c r="G1910" s="34" t="str">
        <x:v>پروژه/طرح</x:v>
      </x:c>
      <x:c r="H1910" s="39" t="str">
        <x:v>پادکست ها</x:v>
      </x:c>
      <x:c r="I1910" s="39" t="str">
        <x:v>نیازمند تعریف خروجی یا پارک</x:v>
      </x:c>
      <x:c r="J1910" s="39" t="str">
        <x:v>کیوریتور دانش/فرهنگ</x:v>
      </x:c>
      <x:c r="K1910" s="39" t="str"/>
      <x:c r="L1910" s="39" t="str">
        <x:v>AP:P1304؛ E112:P384؛ E112:P654</x:v>
      </x:c>
      <x:c r="M1910" s="39" t="str"/>
      <x:c r="N1910" s="39" t="str">
        <x:v>نسخه پایه ۳۱۵۰</x:v>
      </x:c>
    </x:row>
    <x:row r="1911" ht="34" customHeight="1">
      <x:c r="A1911" s="34" t="str">
        <x:v>☐</x:v>
      </x:c>
      <x:c r="B1911" s="34" t="str">
        <x:v>MI-1411</x:v>
      </x:c>
      <x:c r="C1911" s="34" t="str">
        <x:v>M5 — دانش، فرهنگ، حکمرانی و بانک مطالعاتی</x:v>
      </x:c>
      <x:c r="D1911" s="34" t="str">
        <x:v>H15</x:v>
      </x:c>
      <x:c r="E1911" s="34" t="str">
        <x:v>فرهنگ، دین، تاریخ، کتاب و رسانه</x:v>
      </x:c>
      <x:c r="F1911" s="34" t="str">
        <x:v>P3/CLARIFY</x:v>
      </x:c>
      <x:c r="G1911" s="34" t="str">
        <x:v>پروژه/طرح</x:v>
      </x:c>
      <x:c r="H1911" s="39" t="str">
        <x:v>بیانیه گام دوم</x:v>
      </x:c>
      <x:c r="I1911" s="39" t="str">
        <x:v>نیازمند تعریف خروجی یا پارک</x:v>
      </x:c>
      <x:c r="J1911" s="39" t="str">
        <x:v>کیوریتور دانش/فرهنگ</x:v>
      </x:c>
      <x:c r="K1911" s="39" t="str"/>
      <x:c r="L1911" s="39" t="str">
        <x:v>AP:P1305</x:v>
      </x:c>
      <x:c r="M1911" s="39" t="str"/>
      <x:c r="N1911" s="39" t="str">
        <x:v>نسخه پایه ۳۱۵۰</x:v>
      </x:c>
    </x:row>
    <x:row r="1912" ht="34" customHeight="1">
      <x:c r="A1912" s="34" t="str">
        <x:v>☐</x:v>
      </x:c>
      <x:c r="B1912" s="34" t="str">
        <x:v>MI-1413</x:v>
      </x:c>
      <x:c r="C1912" s="34" t="str">
        <x:v>M5 — دانش، فرهنگ، حکمرانی و بانک مطالعاتی</x:v>
      </x:c>
      <x:c r="D1912" s="34" t="str">
        <x:v>H15</x:v>
      </x:c>
      <x:c r="E1912" s="34" t="str">
        <x:v>فرهنگ، دین، تاریخ، کتاب و رسانه</x:v>
      </x:c>
      <x:c r="F1912" s="34" t="str">
        <x:v>P3/CLARIFY</x:v>
      </x:c>
      <x:c r="G1912" s="34" t="str">
        <x:v>پروژه/طرح</x:v>
      </x:c>
      <x:c r="H1912" s="39" t="str">
        <x:v>بیانات حضرت آقا</x:v>
      </x:c>
      <x:c r="I1912" s="39" t="str">
        <x:v>نیازمند تعریف خروجی یا پارک</x:v>
      </x:c>
      <x:c r="J1912" s="39" t="str">
        <x:v>کیوریتور دانش/فرهنگ</x:v>
      </x:c>
      <x:c r="K1912" s="39" t="str"/>
      <x:c r="L1912" s="39" t="str">
        <x:v>AP:P1307</x:v>
      </x:c>
      <x:c r="M1912" s="39" t="str"/>
      <x:c r="N1912" s="39" t="str">
        <x:v>نسخه پایه ۳۱۵۰</x:v>
      </x:c>
    </x:row>
    <x:row r="1913" ht="34" customHeight="1">
      <x:c r="A1913" s="34" t="str">
        <x:v>☐</x:v>
      </x:c>
      <x:c r="B1913" s="34" t="str">
        <x:v>MI-1414</x:v>
      </x:c>
      <x:c r="C1913" s="34" t="str">
        <x:v>M5 — دانش، فرهنگ، حکمرانی و بانک مطالعاتی</x:v>
      </x:c>
      <x:c r="D1913" s="34" t="str">
        <x:v>H15</x:v>
      </x:c>
      <x:c r="E1913" s="34" t="str">
        <x:v>فرهنگ، دین، تاریخ، کتاب و رسانه</x:v>
      </x:c>
      <x:c r="F1913" s="34" t="str">
        <x:v>P3/CLARIFY</x:v>
      </x:c>
      <x:c r="G1913" s="34" t="str">
        <x:v>پروژه/طرح</x:v>
      </x:c>
      <x:c r="H1913" s="39" t="str">
        <x:v>جهاد تبیین</x:v>
      </x:c>
      <x:c r="I1913" s="39" t="str">
        <x:v>نیازمند تعریف خروجی یا پارک</x:v>
      </x:c>
      <x:c r="J1913" s="39" t="str">
        <x:v>کیوریتور دانش/فرهنگ</x:v>
      </x:c>
      <x:c r="K1913" s="39" t="str"/>
      <x:c r="L1913" s="39" t="str">
        <x:v>AP:P1308</x:v>
      </x:c>
      <x:c r="M1913" s="39" t="str"/>
      <x:c r="N1913" s="39" t="str">
        <x:v>نسخه پایه ۳۱۵۰</x:v>
      </x:c>
    </x:row>
    <x:row r="1914" ht="34" customHeight="1">
      <x:c r="A1914" s="34" t="str">
        <x:v>☐</x:v>
      </x:c>
      <x:c r="B1914" s="34" t="str">
        <x:v>MI-1415</x:v>
      </x:c>
      <x:c r="C1914" s="34" t="str">
        <x:v>M5 — دانش، فرهنگ، حکمرانی و بانک مطالعاتی</x:v>
      </x:c>
      <x:c r="D1914" s="34" t="str">
        <x:v>H15</x:v>
      </x:c>
      <x:c r="E1914" s="34" t="str">
        <x:v>فرهنگ، دین، تاریخ، کتاب و رسانه</x:v>
      </x:c>
      <x:c r="F1914" s="34" t="str">
        <x:v>P3/CLARIFY</x:v>
      </x:c>
      <x:c r="G1914" s="34" t="str">
        <x:v>پروژه/طرح</x:v>
      </x:c>
      <x:c r="H1914" s="39" t="str">
        <x:v>اعتقادی</x:v>
      </x:c>
      <x:c r="I1914" s="39" t="str">
        <x:v>نیازمند تعریف خروجی یا پارک</x:v>
      </x:c>
      <x:c r="J1914" s="39" t="str">
        <x:v>کیوریتور دانش/فرهنگ</x:v>
      </x:c>
      <x:c r="K1914" s="39" t="str"/>
      <x:c r="L1914" s="39" t="str">
        <x:v>AP:P1309</x:v>
      </x:c>
      <x:c r="M1914" s="39" t="str"/>
      <x:c r="N1914" s="39" t="str">
        <x:v>نسخه پایه ۳۱۵۰</x:v>
      </x:c>
    </x:row>
    <x:row r="1915" ht="34" customHeight="1">
      <x:c r="A1915" s="34" t="str">
        <x:v>☐</x:v>
      </x:c>
      <x:c r="B1915" s="34" t="str">
        <x:v>MI-1416</x:v>
      </x:c>
      <x:c r="C1915" s="34" t="str">
        <x:v>M5 — دانش، فرهنگ، حکمرانی و بانک مطالعاتی</x:v>
      </x:c>
      <x:c r="D1915" s="34" t="str">
        <x:v>H15</x:v>
      </x:c>
      <x:c r="E1915" s="34" t="str">
        <x:v>فرهنگ، دین، تاریخ، کتاب و رسانه</x:v>
      </x:c>
      <x:c r="F1915" s="34" t="str">
        <x:v>P3/CLARIFY</x:v>
      </x:c>
      <x:c r="G1915" s="34" t="str">
        <x:v>پروژه/طرح</x:v>
      </x:c>
      <x:c r="H1915" s="39" t="str">
        <x:v>مذهبی</x:v>
      </x:c>
      <x:c r="I1915" s="39" t="str">
        <x:v>نیازمند تعریف خروجی یا پارک</x:v>
      </x:c>
      <x:c r="J1915" s="39" t="str">
        <x:v>کیوریتور دانش/فرهنگ</x:v>
      </x:c>
      <x:c r="K1915" s="39" t="str"/>
      <x:c r="L1915" s="39" t="str">
        <x:v>AP:P1312</x:v>
      </x:c>
      <x:c r="M1915" s="39" t="str"/>
      <x:c r="N1915" s="39" t="str">
        <x:v>نسخه پایه ۳۱۵۰</x:v>
      </x:c>
    </x:row>
    <x:row r="1916" ht="34" customHeight="1">
      <x:c r="A1916" s="34" t="str">
        <x:v>☐</x:v>
      </x:c>
      <x:c r="B1916" s="34" t="str">
        <x:v>MI-1418</x:v>
      </x:c>
      <x:c r="C1916" s="34" t="str">
        <x:v>M5 — دانش، فرهنگ، حکمرانی و بانک مطالعاتی</x:v>
      </x:c>
      <x:c r="D1916" s="34" t="str">
        <x:v>H15</x:v>
      </x:c>
      <x:c r="E1916" s="34" t="str">
        <x:v>فرهنگ، دین، تاریخ، کتاب و رسانه</x:v>
      </x:c>
      <x:c r="F1916" s="34" t="str">
        <x:v>P3/CLARIFY</x:v>
      </x:c>
      <x:c r="G1916" s="34" t="str">
        <x:v>پروژه/طرح</x:v>
      </x:c>
      <x:c r="H1916" s="39" t="str">
        <x:v>احکام شرعی</x:v>
      </x:c>
      <x:c r="I1916" s="39" t="str">
        <x:v>نیازمند تعریف خروجی یا پارک</x:v>
      </x:c>
      <x:c r="J1916" s="39" t="str">
        <x:v>کیوریتور دانش/فرهنگ</x:v>
      </x:c>
      <x:c r="K1916" s="39" t="str"/>
      <x:c r="L1916" s="39" t="str">
        <x:v>AP:P1315</x:v>
      </x:c>
      <x:c r="M1916" s="39" t="str"/>
      <x:c r="N1916" s="39" t="str">
        <x:v>نسخه پایه ۳۱۵۰</x:v>
      </x:c>
    </x:row>
    <x:row r="1917" ht="34" customHeight="1">
      <x:c r="A1917" s="34" t="str">
        <x:v>☐</x:v>
      </x:c>
      <x:c r="B1917" s="34" t="str">
        <x:v>MI-1420</x:v>
      </x:c>
      <x:c r="C1917" s="34" t="str">
        <x:v>M5 — دانش، فرهنگ، حکمرانی و بانک مطالعاتی</x:v>
      </x:c>
      <x:c r="D1917" s="34" t="str">
        <x:v>H15</x:v>
      </x:c>
      <x:c r="E1917" s="34" t="str">
        <x:v>فرهنگ، دین، تاریخ، کتاب و رسانه</x:v>
      </x:c>
      <x:c r="F1917" s="34" t="str">
        <x:v>P3/CLARIFY</x:v>
      </x:c>
      <x:c r="G1917" s="34" t="str">
        <x:v>پروژه/طرح</x:v>
      </x:c>
      <x:c r="H1917" s="39" t="str">
        <x:v>موفقیت بچه های کانون فارغ التحصیلان</x:v>
      </x:c>
      <x:c r="I1917" s="39" t="str">
        <x:v>نیازمند تعریف خروجی یا پارک</x:v>
      </x:c>
      <x:c r="J1917" s="39" t="str">
        <x:v>کیوریتور دانش/فرهنگ</x:v>
      </x:c>
      <x:c r="K1917" s="39" t="str"/>
      <x:c r="L1917" s="39" t="str">
        <x:v>AP:P1318</x:v>
      </x:c>
      <x:c r="M1917" s="39" t="str"/>
      <x:c r="N1917" s="39" t="str">
        <x:v>نسخه پایه ۳۱۵۰</x:v>
      </x:c>
    </x:row>
    <x:row r="1918" ht="34" customHeight="1">
      <x:c r="A1918" s="34" t="str">
        <x:v>☐</x:v>
      </x:c>
      <x:c r="B1918" s="34" t="str">
        <x:v>MI-1421</x:v>
      </x:c>
      <x:c r="C1918" s="34" t="str">
        <x:v>M5 — دانش، فرهنگ، حکمرانی و بانک مطالعاتی</x:v>
      </x:c>
      <x:c r="D1918" s="34" t="str">
        <x:v>H15</x:v>
      </x:c>
      <x:c r="E1918" s="34" t="str">
        <x:v>فرهنگ، دین، تاریخ، کتاب و رسانه</x:v>
      </x:c>
      <x:c r="F1918" s="34" t="str">
        <x:v>P3/CLARIFY</x:v>
      </x:c>
      <x:c r="G1918" s="34" t="str">
        <x:v>پروژه/طرح</x:v>
      </x:c>
      <x:c r="H1918" s="39" t="str">
        <x:v>موفقیت های بچه های رنک دانشگاه</x:v>
      </x:c>
      <x:c r="I1918" s="39" t="str">
        <x:v>نیازمند تعریف خروجی یا پارک</x:v>
      </x:c>
      <x:c r="J1918" s="39" t="str">
        <x:v>کیوریتور دانش/فرهنگ</x:v>
      </x:c>
      <x:c r="K1918" s="39" t="str"/>
      <x:c r="L1918" s="39" t="str">
        <x:v>AP:P1319</x:v>
      </x:c>
      <x:c r="M1918" s="39" t="str"/>
      <x:c r="N1918" s="39" t="str">
        <x:v>نسخه پایه ۳۱۵۰</x:v>
      </x:c>
    </x:row>
    <x:row r="1919" ht="34" customHeight="1">
      <x:c r="A1919" s="34" t="str">
        <x:v>☐</x:v>
      </x:c>
      <x:c r="B1919" s="34" t="str">
        <x:v>MI-1423</x:v>
      </x:c>
      <x:c r="C1919" s="34" t="str">
        <x:v>M5 — دانش، فرهنگ، حکمرانی و بانک مطالعاتی</x:v>
      </x:c>
      <x:c r="D1919" s="34" t="str">
        <x:v>H15</x:v>
      </x:c>
      <x:c r="E1919" s="34" t="str">
        <x:v>فرهنگ، دین، تاریخ، کتاب و رسانه</x:v>
      </x:c>
      <x:c r="F1919" s="34" t="str">
        <x:v>P3/CLARIFY</x:v>
      </x:c>
      <x:c r="G1919" s="34" t="str">
        <x:v>پروژه/طرح</x:v>
      </x:c>
      <x:c r="H1919" s="39" t="str">
        <x:v>مرکز شروع</x:v>
      </x:c>
      <x:c r="I1919" s="39" t="str">
        <x:v>نیازمند تعریف خروجی یا پارک</x:v>
      </x:c>
      <x:c r="J1919" s="39" t="str">
        <x:v>کیوریتور دانش/فرهنگ</x:v>
      </x:c>
      <x:c r="K1919" s="39" t="str"/>
      <x:c r="L1919" s="39" t="str">
        <x:v>AP:P1321</x:v>
      </x:c>
      <x:c r="M1919" s="39" t="str"/>
      <x:c r="N1919" s="39" t="str">
        <x:v>نسخه پایه ۳۱۵۰</x:v>
      </x:c>
    </x:row>
    <x:row r="1920" ht="34" customHeight="1">
      <x:c r="A1920" s="34" t="str">
        <x:v>☐</x:v>
      </x:c>
      <x:c r="B1920" s="34" t="str">
        <x:v>MI-1055</x:v>
      </x:c>
      <x:c r="C1920" s="34" t="str">
        <x:v>M5 — دانش، فرهنگ، حکمرانی و بانک مطالعاتی</x:v>
      </x:c>
      <x:c r="D1920" s="34" t="str">
        <x:v>H15</x:v>
      </x:c>
      <x:c r="E1920" s="34" t="str">
        <x:v>فرهنگ، دین، تاریخ، کتاب و رسانه</x:v>
      </x:c>
      <x:c r="F1920" s="34" t="str">
        <x:v>P3/CLARIFY</x:v>
      </x:c>
      <x:c r="G1920" s="34" t="str">
        <x:v>مهارت/یادگیری</x:v>
      </x:c>
      <x:c r="H1920" s="39" t="str">
        <x:v>با فیلم</x:v>
      </x:c>
      <x:c r="I1920" s="39" t="str">
        <x:v>نیازمند تعریف خروجی یا پارک</x:v>
      </x:c>
      <x:c r="J1920" s="39" t="str">
        <x:v>کیوریتور دانش/فرهنگ</x:v>
      </x:c>
      <x:c r="K1920" s="39" t="str"/>
      <x:c r="L1920" s="39" t="str">
        <x:v>AP:P898</x:v>
      </x:c>
      <x:c r="M1920" s="39" t="str"/>
      <x:c r="N1920" s="39" t="str">
        <x:v>نسخه پایه ۳۱۵۰</x:v>
      </x:c>
    </x:row>
    <x:row r="1921" ht="34" customHeight="1">
      <x:c r="A1921" s="34" t="str">
        <x:v>☐</x:v>
      </x:c>
      <x:c r="B1921" s="34" t="str">
        <x:v>MI-1076</x:v>
      </x:c>
      <x:c r="C1921" s="34" t="str">
        <x:v>M5 — دانش، فرهنگ، حکمرانی و بانک مطالعاتی</x:v>
      </x:c>
      <x:c r="D1921" s="34" t="str">
        <x:v>H15</x:v>
      </x:c>
      <x:c r="E1921" s="34" t="str">
        <x:v>فرهنگ، دین، تاریخ، کتاب و رسانه</x:v>
      </x:c>
      <x:c r="F1921" s="34" t="str">
        <x:v>P3/CLARIFY</x:v>
      </x:c>
      <x:c r="G1921" s="34" t="str">
        <x:v>مهارت/یادگیری</x:v>
      </x:c>
      <x:c r="H1921" s="39" t="str">
        <x:v>فیلم های آموزشی</x:v>
      </x:c>
      <x:c r="I1921" s="39" t="str">
        <x:v>نیازمند تعریف خروجی یا پارک</x:v>
      </x:c>
      <x:c r="J1921" s="39" t="str">
        <x:v>کیوریتور دانش/فرهنگ</x:v>
      </x:c>
      <x:c r="K1921" s="39" t="str"/>
      <x:c r="L1921" s="39" t="str">
        <x:v>AP:P922</x:v>
      </x:c>
      <x:c r="M1921" s="39" t="str"/>
      <x:c r="N1921" s="39" t="str">
        <x:v>نسخه پایه ۳۱۵۰</x:v>
      </x:c>
    </x:row>
    <x:row r="1922" ht="34" customHeight="1">
      <x:c r="A1922" s="34" t="str">
        <x:v>☐</x:v>
      </x:c>
      <x:c r="B1922" s="34" t="str">
        <x:v>MI-0027</x:v>
      </x:c>
      <x:c r="C1922" s="34" t="str">
        <x:v>M5 — دانش، فرهنگ، حکمرانی و بانک مطالعاتی</x:v>
      </x:c>
      <x:c r="D1922" s="34" t="str">
        <x:v>H15</x:v>
      </x:c>
      <x:c r="E1922" s="34" t="str">
        <x:v>فرهنگ، دین، تاریخ، کتاب و رسانه</x:v>
      </x:c>
      <x:c r="F1922" s="34" t="str">
        <x:v>P3/CLARIFY</x:v>
      </x:c>
      <x:c r="G1922" s="34" t="str">
        <x:v>هدف/موضوع</x:v>
      </x:c>
      <x:c r="H1922" s="39" t="str">
        <x:v>پارت همدردی رادیو تب</x:v>
      </x:c>
      <x:c r="I1922" s="39" t="str">
        <x:v>نیازمند تعریف خروجی یا پارک</x:v>
      </x:c>
      <x:c r="J1922" s="39" t="str">
        <x:v>کیوریتور دانش/فرهنگ</x:v>
      </x:c>
      <x:c r="K1922" s="39" t="str"/>
      <x:c r="L1922" s="39" t="str">
        <x:v>PL:R28؛ AP:P1506</x:v>
      </x:c>
      <x:c r="M1922" s="39" t="str"/>
      <x:c r="N1922" s="39" t="str">
        <x:v>نسخه پایه ۳۱۵۰</x:v>
      </x:c>
    </x:row>
    <x:row r="1923" ht="34" customHeight="1">
      <x:c r="A1923" s="34" t="str">
        <x:v>☐</x:v>
      </x:c>
      <x:c r="B1923" s="34" t="str">
        <x:v>MI-0235</x:v>
      </x:c>
      <x:c r="C1923" s="34" t="str">
        <x:v>M5 — دانش، فرهنگ، حکمرانی و بانک مطالعاتی</x:v>
      </x:c>
      <x:c r="D1923" s="34" t="str">
        <x:v>H15</x:v>
      </x:c>
      <x:c r="E1923" s="34" t="str">
        <x:v>فرهنگ، دین، تاریخ، کتاب و رسانه</x:v>
      </x:c>
      <x:c r="F1923" s="34" t="str">
        <x:v>P3/CLARIFY</x:v>
      </x:c>
      <x:c r="G1923" s="34" t="str">
        <x:v>هدف/موضوع</x:v>
      </x:c>
      <x:c r="H1923" s="39" t="str">
        <x:v>روایتگری مقبره</x:v>
      </x:c>
      <x:c r="I1923" s="39" t="str">
        <x:v>نیازمند تعریف خروجی یا پارک</x:v>
      </x:c>
      <x:c r="J1923" s="39" t="str">
        <x:v>کیوریتور دانش/فرهنگ</x:v>
      </x:c>
      <x:c r="K1923" s="39" t="str"/>
      <x:c r="L1923" s="39" t="str">
        <x:v>AP:P5</x:v>
      </x:c>
      <x:c r="M1923" s="39" t="str"/>
      <x:c r="N1923" s="39" t="str">
        <x:v>نسخه پایه ۳۱۵۰</x:v>
      </x:c>
    </x:row>
    <x:row r="1924" ht="34" customHeight="1">
      <x:c r="A1924" s="34" t="str">
        <x:v>☐</x:v>
      </x:c>
      <x:c r="B1924" s="34" t="str">
        <x:v>MI-0289</x:v>
      </x:c>
      <x:c r="C1924" s="34" t="str">
        <x:v>M5 — دانش، فرهنگ، حکمرانی و بانک مطالعاتی</x:v>
      </x:c>
      <x:c r="D1924" s="34" t="str">
        <x:v>H15</x:v>
      </x:c>
      <x:c r="E1924" s="34" t="str">
        <x:v>فرهنگ، دین، تاریخ، کتاب و رسانه</x:v>
      </x:c>
      <x:c r="F1924" s="34" t="str">
        <x:v>P3/CLARIFY</x:v>
      </x:c>
      <x:c r="G1924" s="34" t="str">
        <x:v>هدف/موضوع</x:v>
      </x:c>
      <x:c r="H1924" s="39" t="str">
        <x:v>فرهنگی</x:v>
      </x:c>
      <x:c r="I1924" s="39" t="str">
        <x:v>نیازمند تعریف خروجی یا پارک</x:v>
      </x:c>
      <x:c r="J1924" s="39" t="str">
        <x:v>کیوریتور دانش/فرهنگ</x:v>
      </x:c>
      <x:c r="K1924" s="39" t="str"/>
      <x:c r="L1924" s="39" t="str">
        <x:v>AP:P60</x:v>
      </x:c>
      <x:c r="M1924" s="39" t="str"/>
      <x:c r="N1924" s="39" t="str">
        <x:v>نسخه پایه ۳۱۵۰</x:v>
      </x:c>
    </x:row>
    <x:row r="1925" ht="34" customHeight="1">
      <x:c r="A1925" s="34" t="str">
        <x:v>☐</x:v>
      </x:c>
      <x:c r="B1925" s="34" t="str">
        <x:v>MI-0305</x:v>
      </x:c>
      <x:c r="C1925" s="34" t="str">
        <x:v>M5 — دانش، فرهنگ، حکمرانی و بانک مطالعاتی</x:v>
      </x:c>
      <x:c r="D1925" s="34" t="str">
        <x:v>H15</x:v>
      </x:c>
      <x:c r="E1925" s="34" t="str">
        <x:v>فرهنگ، دین، تاریخ، کتاب و رسانه</x:v>
      </x:c>
      <x:c r="F1925" s="34" t="str">
        <x:v>P3/CLARIFY</x:v>
      </x:c>
      <x:c r="G1925" s="34" t="str">
        <x:v>هدف/موضوع</x:v>
      </x:c>
      <x:c r="H1925" s="39" t="str">
        <x:v>دفتر هییت چند بار تمیز کردیم گفتیم اقا ایندوستان آشغال دونی میکنن اونجا رو ، باز هم کلید بهشون داده شد اقا سید فرمودندوباره مثه اینکه اشغال و کارتن و این چیزا گذاشت تو دفتر</x:v>
      </x:c>
      <x:c r="I1925" s="39" t="str">
        <x:v>نیازمند تعریف خروجی یا پارک</x:v>
      </x:c>
      <x:c r="J1925" s="39" t="str">
        <x:v>کیوریتور دانش/فرهنگ</x:v>
      </x:c>
      <x:c r="K1925" s="39" t="str"/>
      <x:c r="L1925" s="39" t="str">
        <x:v>AP:P77</x:v>
      </x:c>
      <x:c r="M1925" s="39" t="str"/>
      <x:c r="N1925" s="39" t="str">
        <x:v>نسخه پایه ۳۱۵۰</x:v>
      </x:c>
    </x:row>
    <x:row r="1926" ht="34" customHeight="1">
      <x:c r="A1926" s="34" t="str">
        <x:v>☐</x:v>
      </x:c>
      <x:c r="B1926" s="34" t="str">
        <x:v>MI-0308</x:v>
      </x:c>
      <x:c r="C1926" s="34" t="str">
        <x:v>M5 — دانش، فرهنگ، حکمرانی و بانک مطالعاتی</x:v>
      </x:c>
      <x:c r="D1926" s="34" t="str">
        <x:v>H15</x:v>
      </x:c>
      <x:c r="E1926" s="34" t="str">
        <x:v>فرهنگ، دین، تاریخ، کتاب و رسانه</x:v>
      </x:c>
      <x:c r="F1926" s="34" t="str">
        <x:v>P3/CLARIFY</x:v>
      </x:c>
      <x:c r="G1926" s="34" t="str">
        <x:v>هدف/موضوع</x:v>
      </x:c>
      <x:c r="H1926" s="39" t="str">
        <x:v>دفتر هییت:</x:v>
      </x:c>
      <x:c r="I1926" s="39" t="str">
        <x:v>نیازمند تعریف خروجی یا پارک</x:v>
      </x:c>
      <x:c r="J1926" s="39" t="str">
        <x:v>کیوریتور دانش/فرهنگ</x:v>
      </x:c>
      <x:c r="K1926" s="39" t="str"/>
      <x:c r="L1926" s="39" t="str">
        <x:v>AP:P80</x:v>
      </x:c>
      <x:c r="M1926" s="39" t="str"/>
      <x:c r="N1926" s="39" t="str">
        <x:v>نسخه پایه ۳۱۵۰</x:v>
      </x:c>
    </x:row>
    <x:row r="1927" ht="34" customHeight="1">
      <x:c r="A1927" s="34" t="str">
        <x:v>☐</x:v>
      </x:c>
      <x:c r="B1927" s="34" t="str">
        <x:v>MI-0311</x:v>
      </x:c>
      <x:c r="C1927" s="34" t="str">
        <x:v>M5 — دانش، فرهنگ، حکمرانی و بانک مطالعاتی</x:v>
      </x:c>
      <x:c r="D1927" s="34" t="str">
        <x:v>H15</x:v>
      </x:c>
      <x:c r="E1927" s="34" t="str">
        <x:v>فرهنگ، دین، تاریخ، کتاب و رسانه</x:v>
      </x:c>
      <x:c r="F1927" s="34" t="str">
        <x:v>P3/CLARIFY</x:v>
      </x:c>
      <x:c r="G1927" s="34" t="str">
        <x:v>هدف/موضوع</x:v>
      </x:c>
      <x:c r="H1927" s="39" t="str">
        <x:v>یا یه موضوع دیگه بحث کاهش جمعیت هییت</x:v>
      </x:c>
      <x:c r="I1927" s="39" t="str">
        <x:v>نیازمند تعریف خروجی یا پارک</x:v>
      </x:c>
      <x:c r="J1927" s="39" t="str">
        <x:v>کیوریتور دانش/فرهنگ</x:v>
      </x:c>
      <x:c r="K1927" s="39" t="str"/>
      <x:c r="L1927" s="39" t="str">
        <x:v>AP:P83</x:v>
      </x:c>
      <x:c r="M1927" s="39" t="str"/>
      <x:c r="N1927" s="39" t="str">
        <x:v>نسخه پایه ۳۱۵۰</x:v>
      </x:c>
    </x:row>
    <x:row r="1928" ht="34" customHeight="1">
      <x:c r="A1928" s="34" t="str">
        <x:v>☐</x:v>
      </x:c>
      <x:c r="B1928" s="34" t="str">
        <x:v>MI-0324</x:v>
      </x:c>
      <x:c r="C1928" s="34" t="str">
        <x:v>M5 — دانش، فرهنگ، حکمرانی و بانک مطالعاتی</x:v>
      </x:c>
      <x:c r="D1928" s="34" t="str">
        <x:v>H15</x:v>
      </x:c>
      <x:c r="E1928" s="34" t="str">
        <x:v>فرهنگ، دین، تاریخ، کتاب و رسانه</x:v>
      </x:c>
      <x:c r="F1928" s="34" t="str">
        <x:v>P3/CLARIFY</x:v>
      </x:c>
      <x:c r="G1928" s="34" t="str">
        <x:v>هدف/موضوع</x:v>
      </x:c>
      <x:c r="H1928" s="39" t="str">
        <x:v>محتوا</x:v>
      </x:c>
      <x:c r="I1928" s="39" t="str">
        <x:v>نیازمند تعریف خروجی یا پارک</x:v>
      </x:c>
      <x:c r="J1928" s="39" t="str">
        <x:v>کیوریتور دانش/فرهنگ</x:v>
      </x:c>
      <x:c r="K1928" s="39" t="str"/>
      <x:c r="L1928" s="39" t="str">
        <x:v>AP:P100؛ AP:P992</x:v>
      </x:c>
      <x:c r="M1928" s="39" t="str"/>
      <x:c r="N1928" s="39" t="str">
        <x:v>نسخه پایه ۳۱۵۰</x:v>
      </x:c>
    </x:row>
    <x:row r="1929" ht="34" customHeight="1">
      <x:c r="A1929" s="34" t="str">
        <x:v>☐</x:v>
      </x:c>
      <x:c r="B1929" s="34" t="str">
        <x:v>MI-1044</x:v>
      </x:c>
      <x:c r="C1929" s="34" t="str">
        <x:v>M5 — دانش، فرهنگ، حکمرانی و بانک مطالعاتی</x:v>
      </x:c>
      <x:c r="D1929" s="34" t="str">
        <x:v>H15</x:v>
      </x:c>
      <x:c r="E1929" s="34" t="str">
        <x:v>فرهنگ، دین، تاریخ، کتاب و رسانه</x:v>
      </x:c>
      <x:c r="F1929" s="34" t="str">
        <x:v>P3/CLARIFY</x:v>
      </x:c>
      <x:c r="G1929" s="34" t="str">
        <x:v>هدف/موضوع</x:v>
      </x:c>
      <x:c r="H1929" s="39" t="str">
        <x:v>معاونت فرهنگی</x:v>
      </x:c>
      <x:c r="I1929" s="39" t="str">
        <x:v>نیازمند تعریف خروجی یا پارک</x:v>
      </x:c>
      <x:c r="J1929" s="39" t="str">
        <x:v>کیوریتور دانش/فرهنگ</x:v>
      </x:c>
      <x:c r="K1929" s="39" t="str"/>
      <x:c r="L1929" s="39" t="str">
        <x:v>AP:P886</x:v>
      </x:c>
      <x:c r="M1929" s="39" t="str"/>
      <x:c r="N1929" s="39" t="str">
        <x:v>نسخه پایه ۳۱۵۰</x:v>
      </x:c>
    </x:row>
    <x:row r="1930" ht="34" customHeight="1">
      <x:c r="A1930" s="34" t="str">
        <x:v>☐</x:v>
      </x:c>
      <x:c r="B1930" s="34" t="str">
        <x:v>MI-1105</x:v>
      </x:c>
      <x:c r="C1930" s="34" t="str">
        <x:v>M5 — دانش، فرهنگ، حکمرانی و بانک مطالعاتی</x:v>
      </x:c>
      <x:c r="D1930" s="34" t="str">
        <x:v>H15</x:v>
      </x:c>
      <x:c r="E1930" s="34" t="str">
        <x:v>فرهنگ، دین، تاریخ، کتاب و رسانه</x:v>
      </x:c>
      <x:c r="F1930" s="34" t="str">
        <x:v>P3/CLARIFY</x:v>
      </x:c>
      <x:c r="G1930" s="34" t="str">
        <x:v>هدف/موضوع</x:v>
      </x:c>
      <x:c r="H1930" s="39" t="str">
        <x:v>ما حتی یک فلش مخصوص مداحی ها و نماهنگ هایمذهبی مناسبتی نداریم</x:v>
      </x:c>
      <x:c r="I1930" s="39" t="str">
        <x:v>نیازمند تعریف خروجی یا پارک</x:v>
      </x:c>
      <x:c r="J1930" s="39" t="str">
        <x:v>کیوریتور دانش/فرهنگ</x:v>
      </x:c>
      <x:c r="K1930" s="39" t="str"/>
      <x:c r="L1930" s="39" t="str">
        <x:v>AP:P953</x:v>
      </x:c>
      <x:c r="M1930" s="39" t="str"/>
      <x:c r="N1930" s="39" t="str">
        <x:v>نسخه پایه ۳۱۵۰</x:v>
      </x:c>
    </x:row>
    <x:row r="1931" ht="34" customHeight="1">
      <x:c r="A1931" s="34" t="str">
        <x:v>☐</x:v>
      </x:c>
      <x:c r="B1931" s="34" t="str">
        <x:v>MI-1109</x:v>
      </x:c>
      <x:c r="C1931" s="34" t="str">
        <x:v>M5 — دانش، فرهنگ، حکمرانی و بانک مطالعاتی</x:v>
      </x:c>
      <x:c r="D1931" s="34" t="str">
        <x:v>H15</x:v>
      </x:c>
      <x:c r="E1931" s="34" t="str">
        <x:v>فرهنگ، دین، تاریخ، کتاب و رسانه</x:v>
      </x:c>
      <x:c r="F1931" s="34" t="str">
        <x:v>P3/CLARIFY</x:v>
      </x:c>
      <x:c r="G1931" s="34" t="str">
        <x:v>هدف/موضوع</x:v>
      </x:c>
      <x:c r="H1931" s="39" t="str">
        <x:v>مسابقه اذان و قرآن نداریم</x:v>
      </x:c>
      <x:c r="I1931" s="39" t="str">
        <x:v>نیازمند تعریف خروجی یا پارک</x:v>
      </x:c>
      <x:c r="J1931" s="39" t="str">
        <x:v>کیوریتور دانش/فرهنگ</x:v>
      </x:c>
      <x:c r="K1931" s="39" t="str"/>
      <x:c r="L1931" s="39" t="str">
        <x:v>AP:P957</x:v>
      </x:c>
      <x:c r="M1931" s="39" t="str"/>
      <x:c r="N1931" s="39" t="str">
        <x:v>نسخه پایه ۳۱۵۰</x:v>
      </x:c>
    </x:row>
    <x:row r="1932" ht="34" customHeight="1">
      <x:c r="A1932" s="34" t="str">
        <x:v>☐</x:v>
      </x:c>
      <x:c r="B1932" s="34" t="str">
        <x:v>MI-1115</x:v>
      </x:c>
      <x:c r="C1932" s="34" t="str">
        <x:v>M5 — دانش، فرهنگ، حکمرانی و بانک مطالعاتی</x:v>
      </x:c>
      <x:c r="D1932" s="34" t="str">
        <x:v>H15</x:v>
      </x:c>
      <x:c r="E1932" s="34" t="str">
        <x:v>فرهنگ، دین، تاریخ، کتاب و رسانه</x:v>
      </x:c>
      <x:c r="F1932" s="34" t="str">
        <x:v>P3/CLARIFY</x:v>
      </x:c>
      <x:c r="G1932" s="34" t="str">
        <x:v>هدف/موضوع</x:v>
      </x:c>
      <x:c r="H1932" s="39" t="str">
        <x:v>هییت:</x:v>
      </x:c>
      <x:c r="I1932" s="39" t="str">
        <x:v>نیازمند تعریف خروجی یا پارک</x:v>
      </x:c>
      <x:c r="J1932" s="39" t="str">
        <x:v>کیوریتور دانش/فرهنگ</x:v>
      </x:c>
      <x:c r="K1932" s="39" t="str"/>
      <x:c r="L1932" s="39" t="str">
        <x:v>AP:P963</x:v>
      </x:c>
      <x:c r="M1932" s="39" t="str"/>
      <x:c r="N1932" s="39" t="str">
        <x:v>نسخه پایه ۳۱۵۰</x:v>
      </x:c>
    </x:row>
    <x:row r="1933" ht="34" customHeight="1">
      <x:c r="A1933" s="34" t="str">
        <x:v>☐</x:v>
      </x:c>
      <x:c r="B1933" s="34" t="str">
        <x:v>MI-1117</x:v>
      </x:c>
      <x:c r="C1933" s="34" t="str">
        <x:v>M5 — دانش، فرهنگ، حکمرانی و بانک مطالعاتی</x:v>
      </x:c>
      <x:c r="D1933" s="34" t="str">
        <x:v>H15</x:v>
      </x:c>
      <x:c r="E1933" s="34" t="str">
        <x:v>فرهنگ، دین، تاریخ، کتاب و رسانه</x:v>
      </x:c>
      <x:c r="F1933" s="34" t="str">
        <x:v>P3/CLARIFY</x:v>
      </x:c>
      <x:c r="G1933" s="34" t="str">
        <x:v>هدف/موضوع</x:v>
      </x:c>
      <x:c r="H1933" s="39" t="str">
        <x:v>نماز جماعت:</x:v>
      </x:c>
      <x:c r="I1933" s="39" t="str">
        <x:v>نیازمند تعریف خروجی یا پارک</x:v>
      </x:c>
      <x:c r="J1933" s="39" t="str">
        <x:v>کیوریتور دانش/فرهنگ</x:v>
      </x:c>
      <x:c r="K1933" s="39" t="str"/>
      <x:c r="L1933" s="39" t="str">
        <x:v>AP:P965</x:v>
      </x:c>
      <x:c r="M1933" s="39" t="str"/>
      <x:c r="N1933" s="39" t="str">
        <x:v>نسخه پایه ۳۱۵۰</x:v>
      </x:c>
    </x:row>
    <x:row r="1934" ht="34" customHeight="1">
      <x:c r="A1934" s="34" t="str">
        <x:v>☐</x:v>
      </x:c>
      <x:c r="B1934" s="34" t="str">
        <x:v>MI-1120</x:v>
      </x:c>
      <x:c r="C1934" s="34" t="str">
        <x:v>M5 — دانش، فرهنگ، حکمرانی و بانک مطالعاتی</x:v>
      </x:c>
      <x:c r="D1934" s="34" t="str">
        <x:v>H15</x:v>
      </x:c>
      <x:c r="E1934" s="34" t="str">
        <x:v>فرهنگ، دین، تاریخ، کتاب و رسانه</x:v>
      </x:c>
      <x:c r="F1934" s="34" t="str">
        <x:v>P3/CLARIFY</x:v>
      </x:c>
      <x:c r="G1934" s="34" t="str">
        <x:v>هدف/موضوع</x:v>
      </x:c>
      <x:c r="H1934" s="39" t="str">
        <x:v>تمیزکاری دفتر هییت</x:v>
      </x:c>
      <x:c r="I1934" s="39" t="str">
        <x:v>نیازمند تعریف خروجی یا پارک</x:v>
      </x:c>
      <x:c r="J1934" s="39" t="str">
        <x:v>کیوریتور دانش/فرهنگ</x:v>
      </x:c>
      <x:c r="K1934" s="39" t="str"/>
      <x:c r="L1934" s="39" t="str">
        <x:v>AP:P968</x:v>
      </x:c>
      <x:c r="M1934" s="39" t="str"/>
      <x:c r="N1934" s="39" t="str">
        <x:v>نسخه پایه ۳۱۵۰</x:v>
      </x:c>
    </x:row>
    <x:row r="1935" ht="34" customHeight="1">
      <x:c r="A1935" s="34" t="str">
        <x:v>☐</x:v>
      </x:c>
      <x:c r="B1935" s="34" t="str">
        <x:v>MI-1122</x:v>
      </x:c>
      <x:c r="C1935" s="34" t="str">
        <x:v>M5 — دانش، فرهنگ، حکمرانی و بانک مطالعاتی</x:v>
      </x:c>
      <x:c r="D1935" s="34" t="str">
        <x:v>H15</x:v>
      </x:c>
      <x:c r="E1935" s="34" t="str">
        <x:v>فرهنگ، دین، تاریخ، کتاب و رسانه</x:v>
      </x:c>
      <x:c r="F1935" s="34" t="str">
        <x:v>P3/CLARIFY</x:v>
      </x:c>
      <x:c r="G1935" s="34" t="str">
        <x:v>هدف/موضوع</x:v>
      </x:c>
      <x:c r="H1935" s="39" t="str">
        <x:v>هماهنگی جهت ترابری مسیول هییت و اعضا به جلسات استان و شهرستان</x:v>
      </x:c>
      <x:c r="I1935" s="39" t="str">
        <x:v>نیازمند تعریف خروجی یا پارک</x:v>
      </x:c>
      <x:c r="J1935" s="39" t="str">
        <x:v>کیوریتور دانش/فرهنگ</x:v>
      </x:c>
      <x:c r="K1935" s="39" t="str"/>
      <x:c r="L1935" s="39" t="str">
        <x:v>AP:P970</x:v>
      </x:c>
      <x:c r="M1935" s="39" t="str"/>
      <x:c r="N1935" s="39" t="str">
        <x:v>نسخه پایه ۳۱۵۰</x:v>
      </x:c>
    </x:row>
    <x:row r="1936" ht="34" customHeight="1">
      <x:c r="A1936" s="34" t="str">
        <x:v>☐</x:v>
      </x:c>
      <x:c r="B1936" s="34" t="str">
        <x:v>MI-1123</x:v>
      </x:c>
      <x:c r="C1936" s="34" t="str">
        <x:v>M5 — دانش، فرهنگ، حکمرانی و بانک مطالعاتی</x:v>
      </x:c>
      <x:c r="D1936" s="34" t="str">
        <x:v>H15</x:v>
      </x:c>
      <x:c r="E1936" s="34" t="str">
        <x:v>فرهنگ، دین، تاریخ، کتاب و رسانه</x:v>
      </x:c>
      <x:c r="F1936" s="34" t="str">
        <x:v>P3/CLARIFY</x:v>
      </x:c>
      <x:c r="G1936" s="34" t="str">
        <x:v>هدف/موضوع</x:v>
      </x:c>
      <x:c r="H1936" s="39" t="str">
        <x:v>ارتباط برای ترابری هییت به نواحی دیگه</x:v>
      </x:c>
      <x:c r="I1936" s="39" t="str">
        <x:v>نیازمند تعریف خروجی یا پارک</x:v>
      </x:c>
      <x:c r="J1936" s="39" t="str">
        <x:v>کیوریتور دانش/فرهنگ</x:v>
      </x:c>
      <x:c r="K1936" s="39" t="str"/>
      <x:c r="L1936" s="39" t="str">
        <x:v>AP:P971</x:v>
      </x:c>
      <x:c r="M1936" s="39" t="str"/>
      <x:c r="N1936" s="39" t="str">
        <x:v>نسخه پایه ۳۱۵۰</x:v>
      </x:c>
    </x:row>
    <x:row r="1937" ht="34" customHeight="1">
      <x:c r="A1937" s="34" t="str">
        <x:v>☐</x:v>
      </x:c>
      <x:c r="B1937" s="34" t="str">
        <x:v>MI-1126</x:v>
      </x:c>
      <x:c r="C1937" s="34" t="str">
        <x:v>M5 — دانش، فرهنگ، حکمرانی و بانک مطالعاتی</x:v>
      </x:c>
      <x:c r="D1937" s="34" t="str">
        <x:v>H15</x:v>
      </x:c>
      <x:c r="E1937" s="34" t="str">
        <x:v>فرهنگ، دین، تاریخ، کتاب و رسانه</x:v>
      </x:c>
      <x:c r="F1937" s="34" t="str">
        <x:v>P3/CLARIFY</x:v>
      </x:c>
      <x:c r="G1937" s="34" t="str">
        <x:v>هدف/موضوع</x:v>
      </x:c>
      <x:c r="H1937" s="39" t="str">
        <x:v>http://eslamenaab.ir</x:v>
      </x:c>
      <x:c r="I1937" s="39" t="str">
        <x:v>نیازمند تعریف خروجی یا پارک</x:v>
      </x:c>
      <x:c r="J1937" s="39" t="str">
        <x:v>کیوریتور دانش/فرهنگ</x:v>
      </x:c>
      <x:c r="K1937" s="39" t="str"/>
      <x:c r="L1937" s="39" t="str">
        <x:v>AP:P974</x:v>
      </x:c>
      <x:c r="M1937" s="39" t="str"/>
      <x:c r="N1937" s="39" t="str">
        <x:v>نسخه پایه ۳۱۵۰</x:v>
      </x:c>
    </x:row>
    <x:row r="1938" ht="34" customHeight="1">
      <x:c r="A1938" s="34" t="str">
        <x:v>☐</x:v>
      </x:c>
      <x:c r="B1938" s="34" t="str">
        <x:v>MI-1127</x:v>
      </x:c>
      <x:c r="C1938" s="34" t="str">
        <x:v>M5 — دانش، فرهنگ، حکمرانی و بانک مطالعاتی</x:v>
      </x:c>
      <x:c r="D1938" s="34" t="str">
        <x:v>H15</x:v>
      </x:c>
      <x:c r="E1938" s="34" t="str">
        <x:v>فرهنگ، دین، تاریخ، کتاب و رسانه</x:v>
      </x:c>
      <x:c r="F1938" s="34" t="str">
        <x:v>P3/CLARIFY</x:v>
      </x:c>
      <x:c r="G1938" s="34" t="str">
        <x:v>هدف/موضوع</x:v>
      </x:c>
      <x:c r="H1938" s="39" t="str">
        <x:v>استفاده از محتوا در مراسمات و هییت</x:v>
      </x:c>
      <x:c r="I1938" s="39" t="str">
        <x:v>نیازمند تعریف خروجی یا پارک</x:v>
      </x:c>
      <x:c r="J1938" s="39" t="str">
        <x:v>کیوریتور دانش/فرهنگ</x:v>
      </x:c>
      <x:c r="K1938" s="39" t="str"/>
      <x:c r="L1938" s="39" t="str">
        <x:v>AP:P975</x:v>
      </x:c>
      <x:c r="M1938" s="39" t="str"/>
      <x:c r="N1938" s="39" t="str">
        <x:v>نسخه پایه ۳۱۵۰</x:v>
      </x:c>
    </x:row>
    <x:row r="1939" ht="34" customHeight="1">
      <x:c r="A1939" s="34" t="str">
        <x:v>☐</x:v>
      </x:c>
      <x:c r="B1939" s="34" t="str">
        <x:v>MI-1128</x:v>
      </x:c>
      <x:c r="C1939" s="34" t="str">
        <x:v>M5 — دانش، فرهنگ، حکمرانی و بانک مطالعاتی</x:v>
      </x:c>
      <x:c r="D1939" s="34" t="str">
        <x:v>H15</x:v>
      </x:c>
      <x:c r="E1939" s="34" t="str">
        <x:v>فرهنگ، دین، تاریخ، کتاب و رسانه</x:v>
      </x:c>
      <x:c r="F1939" s="34" t="str">
        <x:v>P3/CLARIFY</x:v>
      </x:c>
      <x:c r="G1939" s="34" t="str">
        <x:v>هدف/موضوع</x:v>
      </x:c>
      <x:c r="H1939" s="39" t="str">
        <x:v>اسلام ناب</x:v>
      </x:c>
      <x:c r="I1939" s="39" t="str">
        <x:v>نیازمند تعریف خروجی یا پارک</x:v>
      </x:c>
      <x:c r="J1939" s="39" t="str">
        <x:v>کیوریتور دانش/فرهنگ</x:v>
      </x:c>
      <x:c r="K1939" s="39" t="str"/>
      <x:c r="L1939" s="39" t="str">
        <x:v>AP:P976</x:v>
      </x:c>
      <x:c r="M1939" s="39" t="str"/>
      <x:c r="N1939" s="39" t="str">
        <x:v>نسخه پایه ۳۱۵۰</x:v>
      </x:c>
    </x:row>
    <x:row r="1940" ht="34" customHeight="1">
      <x:c r="A1940" s="34" t="str">
        <x:v>☐</x:v>
      </x:c>
      <x:c r="B1940" s="34" t="str">
        <x:v>MI-1138</x:v>
      </x:c>
      <x:c r="C1940" s="34" t="str">
        <x:v>M5 — دانش، فرهنگ، حکمرانی و بانک مطالعاتی</x:v>
      </x:c>
      <x:c r="D1940" s="34" t="str">
        <x:v>H15</x:v>
      </x:c>
      <x:c r="E1940" s="34" t="str">
        <x:v>فرهنگ، دین، تاریخ، کتاب و رسانه</x:v>
      </x:c>
      <x:c r="F1940" s="34" t="str">
        <x:v>P3/CLARIFY</x:v>
      </x:c>
      <x:c r="G1940" s="34" t="str">
        <x:v>هدف/موضوع</x:v>
      </x:c>
      <x:c r="H1940" s="39" t="str">
        <x:v>تقویم فرهنگی مناسبتی نهاد</x:v>
      </x:c>
      <x:c r="I1940" s="39" t="str">
        <x:v>نیازمند تعریف خروجی یا پارک</x:v>
      </x:c>
      <x:c r="J1940" s="39" t="str">
        <x:v>کیوریتور دانش/فرهنگ</x:v>
      </x:c>
      <x:c r="K1940" s="39" t="str"/>
      <x:c r="L1940" s="39" t="str">
        <x:v>AP:P987</x:v>
      </x:c>
      <x:c r="M1940" s="39" t="str"/>
      <x:c r="N1940" s="39" t="str">
        <x:v>نسخه پایه ۳۱۵۰</x:v>
      </x:c>
    </x:row>
    <x:row r="1941" ht="34" customHeight="1">
      <x:c r="A1941" s="34" t="str">
        <x:v>☐</x:v>
      </x:c>
      <x:c r="B1941" s="34" t="str">
        <x:v>MI-1141</x:v>
      </x:c>
      <x:c r="C1941" s="34" t="str">
        <x:v>M5 — دانش، فرهنگ، حکمرانی و بانک مطالعاتی</x:v>
      </x:c>
      <x:c r="D1941" s="34" t="str">
        <x:v>H15</x:v>
      </x:c>
      <x:c r="E1941" s="34" t="str">
        <x:v>فرهنگ، دین، تاریخ، کتاب و رسانه</x:v>
      </x:c>
      <x:c r="F1941" s="34" t="str">
        <x:v>P3/CLARIFY</x:v>
      </x:c>
      <x:c r="G1941" s="34" t="str">
        <x:v>هدف/موضوع</x:v>
      </x:c>
      <x:c r="H1941" s="39" t="str">
        <x:v>تقویم منناسبتی برای کارهای فرهنگی</x:v>
      </x:c>
      <x:c r="I1941" s="39" t="str">
        <x:v>نیازمند تعریف خروجی یا پارک</x:v>
      </x:c>
      <x:c r="J1941" s="39" t="str">
        <x:v>کیوریتور دانش/فرهنگ</x:v>
      </x:c>
      <x:c r="K1941" s="39" t="str"/>
      <x:c r="L1941" s="39" t="str">
        <x:v>AP:P990</x:v>
      </x:c>
      <x:c r="M1941" s="39" t="str"/>
      <x:c r="N1941" s="39" t="str">
        <x:v>نسخه پایه ۳۱۵۰</x:v>
      </x:c>
    </x:row>
    <x:row r="1942" ht="34" customHeight="1">
      <x:c r="A1942" s="34" t="str">
        <x:v>☐</x:v>
      </x:c>
      <x:c r="B1942" s="34" t="str">
        <x:v>MI-1142</x:v>
      </x:c>
      <x:c r="C1942" s="34" t="str">
        <x:v>M5 — دانش، فرهنگ، حکمرانی و بانک مطالعاتی</x:v>
      </x:c>
      <x:c r="D1942" s="34" t="str">
        <x:v>H15</x:v>
      </x:c>
      <x:c r="E1942" s="34" t="str">
        <x:v>فرهنگ، دین، تاریخ، کتاب و رسانه</x:v>
      </x:c>
      <x:c r="F1942" s="34" t="str">
        <x:v>P3/CLARIFY</x:v>
      </x:c>
      <x:c r="G1942" s="34" t="str">
        <x:v>هدف/موضوع</x:v>
      </x:c>
      <x:c r="H1942" s="39" t="str">
        <x:v>پذیرایی</x:v>
      </x:c>
      <x:c r="I1942" s="39" t="str">
        <x:v>نیازمند تعریف خروجی یا پارک</x:v>
      </x:c>
      <x:c r="J1942" s="39" t="str">
        <x:v>کیوریتور دانش/فرهنگ</x:v>
      </x:c>
      <x:c r="K1942" s="39" t="str"/>
      <x:c r="L1942" s="39" t="str">
        <x:v>AP:P991</x:v>
      </x:c>
      <x:c r="M1942" s="39" t="str"/>
      <x:c r="N1942" s="39" t="str">
        <x:v>نسخه پایه ۳۱۵۰</x:v>
      </x:c>
    </x:row>
    <x:row r="1943" ht="34" customHeight="1">
      <x:c r="A1943" s="34" t="str">
        <x:v>☐</x:v>
      </x:c>
      <x:c r="B1943" s="34" t="str">
        <x:v>MI-1180</x:v>
      </x:c>
      <x:c r="C1943" s="34" t="str">
        <x:v>M5 — دانش، فرهنگ، حکمرانی و بانک مطالعاتی</x:v>
      </x:c>
      <x:c r="D1943" s="34" t="str">
        <x:v>H15</x:v>
      </x:c>
      <x:c r="E1943" s="34" t="str">
        <x:v>فرهنگ، دین، تاریخ، کتاب و رسانه</x:v>
      </x:c>
      <x:c r="F1943" s="34" t="str">
        <x:v>P3/CLARIFY</x:v>
      </x:c>
      <x:c r="G1943" s="34" t="str">
        <x:v>هدف/موضوع</x:v>
      </x:c>
      <x:c r="H1943" s="39" t="str">
        <x:v>حوزه اذان - ادعیه - قرآن</x:v>
      </x:c>
      <x:c r="I1943" s="39" t="str">
        <x:v>نیازمند تعریف خروجی یا پارک</x:v>
      </x:c>
      <x:c r="J1943" s="39" t="str">
        <x:v>کیوریتور دانش/فرهنگ</x:v>
      </x:c>
      <x:c r="K1943" s="39" t="str"/>
      <x:c r="L1943" s="39" t="str">
        <x:v>AP:P1035</x:v>
      </x:c>
      <x:c r="M1943" s="39" t="str"/>
      <x:c r="N1943" s="39" t="str">
        <x:v>نسخه پایه ۳۱۵۰</x:v>
      </x:c>
    </x:row>
    <x:row r="1944" ht="34" customHeight="1">
      <x:c r="A1944" s="34" t="str">
        <x:v>☐</x:v>
      </x:c>
      <x:c r="B1944" s="34" t="str">
        <x:v>MI-1561</x:v>
      </x:c>
      <x:c r="C1944" s="34" t="str">
        <x:v>M5 — دانش، فرهنگ، حکمرانی و بانک مطالعاتی</x:v>
      </x:c>
      <x:c r="D1944" s="34" t="str">
        <x:v>H15</x:v>
      </x:c>
      <x:c r="E1944" s="34" t="str">
        <x:v>فرهنگ، دین، تاریخ، کتاب و رسانه</x:v>
      </x:c>
      <x:c r="F1944" s="34" t="str">
        <x:v>P3/CLARIFY</x:v>
      </x:c>
      <x:c r="G1944" s="34" t="str">
        <x:v>هدف/موضوع</x:v>
      </x:c>
      <x:c r="H1944" s="39" t="str">
        <x:v>جهاد فرهنگی ( تبلیغی)</x:v>
      </x:c>
      <x:c r="I1944" s="39" t="str">
        <x:v>نیازمند تعریف خروجی یا پارک</x:v>
      </x:c>
      <x:c r="J1944" s="39" t="str">
        <x:v>کیوریتور دانش/فرهنگ</x:v>
      </x:c>
      <x:c r="K1944" s="39" t="str"/>
      <x:c r="L1944" s="39" t="str">
        <x:v>AP:P1549</x:v>
      </x:c>
      <x:c r="M1944" s="39" t="str"/>
      <x:c r="N1944" s="39" t="str">
        <x:v>نسخه پایه ۳۱۵۰</x:v>
      </x:c>
    </x:row>
    <x:row r="1945" ht="34" customHeight="1">
      <x:c r="A1945" s="34" t="str">
        <x:v>☐</x:v>
      </x:c>
      <x:c r="B1945" s="34" t="str">
        <x:v>MI-3081</x:v>
      </x:c>
      <x:c r="C1945" s="34" t="str">
        <x:v>M5 — دانش، فرهنگ، حکمرانی و بانک مطالعاتی</x:v>
      </x:c>
      <x:c r="D1945" s="34" t="str">
        <x:v>H15</x:v>
      </x:c>
      <x:c r="E1945" s="34" t="str">
        <x:v>فرهنگ، دین، تاریخ، کتاب و رسانه</x:v>
      </x:c>
      <x:c r="F1945" s="34" t="str">
        <x:v>P3/CLARIFY</x:v>
      </x:c>
      <x:c r="G1945" s="34" t="str">
        <x:v>هدف/موضوع</x:v>
      </x:c>
      <x:c r="H1945" s="39" t="str">
        <x:v>آهنگ های ملو، سنتی بعضی اوقات، مداحی، شور، پاپ، آهنگ هایی که موتیویشن خوبی داشته باشه، یا من رو به فضایی ببره که محرک من تو انجام امور روزمره ام باشه،</x:v>
      </x:c>
      <x:c r="I1945" s="39" t="str">
        <x:v>نیازمند تعریف خروجی یا پارک</x:v>
      </x:c>
      <x:c r="J1945" s="39" t="str">
        <x:v>کیوریتور دانش/فرهنگ</x:v>
      </x:c>
      <x:c r="K1945" s="39" t="str"/>
      <x:c r="L1945" s="39" t="str">
        <x:v>INT:T18 R2</x:v>
      </x:c>
      <x:c r="M1945" s="39" t="str"/>
      <x:c r="N1945" s="39" t="str">
        <x:v>نسخه پایه ۳۱۵۰</x:v>
      </x:c>
    </x:row>
    <x:row r="1946" ht="34" customHeight="1">
      <x:c r="A1946" s="34" t="str">
        <x:v>☐</x:v>
      </x:c>
      <x:c r="B1946" s="34" t="str">
        <x:v>MI-0668</x:v>
      </x:c>
      <x:c r="C1946" s="34" t="str">
        <x:v>M5 — دانش، فرهنگ، حکمرانی و بانک مطالعاتی</x:v>
      </x:c>
      <x:c r="D1946" s="34" t="str">
        <x:v>H15</x:v>
      </x:c>
      <x:c r="E1946" s="34" t="str">
        <x:v>فرهنگ، دین، تاریخ، کتاب و رسانه</x:v>
      </x:c>
      <x:c r="F1946" s="34" t="str">
        <x:v>REFERENCE</x:v>
      </x:c>
      <x:c r="G1946" s="34" t="str">
        <x:v>یادداشت/تحلیل</x:v>
      </x:c>
      <x:c r="H1946" s="39" t="str">
        <x:v>به خدای عزوجل اگر برادرانه همه امکانات و توانخود را با درایت به کار ببندیم و توکل به خدای متعال نماییم و همدل جهت اعتلایاسلام عزیز و یاری رهبر بزرگ و مظلوم خود هم قسم شویم دشمنان مقتدرانه به اهتزازدر می آوریم انشاالله</x:v>
      </x:c>
      <x:c r="I1946" s="39" t="str">
        <x:v>مرجع/تحلیل؛ نه کار فوری</x:v>
      </x:c>
      <x:c r="J1946" s="39" t="str">
        <x:v>کیوریتور دانش/فرهنگ</x:v>
      </x:c>
      <x:c r="K1946" s="39" t="str"/>
      <x:c r="L1946" s="39" t="str">
        <x:v>AP:P457</x:v>
      </x:c>
      <x:c r="M1946" s="39" t="str"/>
      <x:c r="N1946" s="39" t="str">
        <x:v>نسخه پایه ۳۱۵۰</x:v>
      </x:c>
    </x:row>
    <x:row r="1947" ht="34" customHeight="1">
      <x:c r="A1947" s="34" t="str">
        <x:v>☐</x:v>
      </x:c>
      <x:c r="B1947" s="34" t="str">
        <x:v>N115-0034</x:v>
      </x:c>
      <x:c r="C1947" s="34" t="str">
        <x:v>M5 — دانش، فرهنگ، حکمرانی و بانک مطالعاتی</x:v>
      </x:c>
      <x:c r="D1947" s="34" t="str">
        <x:v>H16</x:v>
      </x:c>
      <x:c r="E1947" s="34" t="str">
        <x:v>سیاست، حکمرانی، حقوق و اقتصاد کلان</x:v>
      </x:c>
      <x:c r="F1947" s="34" t="str">
        <x:v>P2</x:v>
      </x:c>
      <x:c r="G1947" s="34" t="str">
        <x:v>مهارت/یادگیری</x:v>
      </x:c>
      <x:c r="H1947" s="39" t="str">
        <x:v>قراردادهای هوشمند و حقوق سایبری</x:v>
      </x:c>
      <x:c r="I1947" s="39" t="str">
        <x:v>یادگیری پروژه‌محور در صورت نیاز شغلی</x:v>
      </x:c>
      <x:c r="J1947" s="39" t="str">
        <x:v>پژوهشگر سیاست‌گذاری/حقوق/اقتصاد؛ صرفاً تحلیلی</x:v>
      </x:c>
      <x:c r="K1947" s="39" t="str">
        <x:v>حقوق/فناوری</x:v>
      </x:c>
      <x:c r="L1947" s="39" t="str">
        <x:v>115:P1540</x:v>
      </x:c>
      <x:c r="M1947" s="39" t="str"/>
      <x:c r="N1947" s="39" t="str">
        <x:v>1154878548.docx / ممیزی جدید</x:v>
      </x:c>
    </x:row>
    <x:row r="1948" ht="34" customHeight="1">
      <x:c r="A1948" s="34" t="str">
        <x:v>☐</x:v>
      </x:c>
      <x:c r="B1948" s="34" t="str">
        <x:v>MI-2089</x:v>
      </x:c>
      <x:c r="C1948" s="34" t="str">
        <x:v>M5 — دانش، فرهنگ، حکمرانی و بانک مطالعاتی</x:v>
      </x:c>
      <x:c r="D1948" s="34" t="str">
        <x:v>H16</x:v>
      </x:c>
      <x:c r="E1948" s="34" t="str">
        <x:v>سیاست، حکمرانی، حقوق و اقتصاد کلان</x:v>
      </x:c>
      <x:c r="F1948" s="34" t="str">
        <x:v>BANK</x:v>
      </x:c>
      <x:c r="G1948" s="34" t="str">
        <x:v>پروژه/طرح</x:v>
      </x:c>
      <x:c r="H1948" s="39" t="str">
        <x:v>این ها می توانند بودجه، مجوز و سیاست ایجاد کنند.</x:v>
      </x:c>
      <x:c r="I1948" s="39" t="str">
        <x:v>بانک مطالعه؛ سقف زمانی</x:v>
      </x:c>
      <x:c r="J1948" s="39" t="str">
        <x:v>پژوهشگر سیاست‌گذاری/حقوق/اقتصاد؛ صرفاً تحلیلی</x:v>
      </x:c>
      <x:c r="K1948" s="39" t="str"/>
      <x:c r="L1948" s="39" t="str">
        <x:v>E112:P822</x:v>
      </x:c>
      <x:c r="M1948" s="39" t="str"/>
      <x:c r="N1948" s="39" t="str">
        <x:v>نسخه پایه ۳۱۵۰</x:v>
      </x:c>
    </x:row>
    <x:row r="1949" ht="34" customHeight="1">
      <x:c r="A1949" s="34" t="str">
        <x:v>☐</x:v>
      </x:c>
      <x:c r="B1949" s="34" t="str">
        <x:v>MI-0351</x:v>
      </x:c>
      <x:c r="C1949" s="34" t="str">
        <x:v>M5 — دانش، فرهنگ، حکمرانی و بانک مطالعاتی</x:v>
      </x:c>
      <x:c r="D1949" s="34" t="str">
        <x:v>H16</x:v>
      </x:c>
      <x:c r="E1949" s="34" t="str">
        <x:v>سیاست، حکمرانی، حقوق و اقتصاد کلان</x:v>
      </x:c>
      <x:c r="F1949" s="34" t="str">
        <x:v>BANK</x:v>
      </x:c>
      <x:c r="G1949" s="34" t="str">
        <x:v>هدف/موضوع</x:v>
      </x:c>
      <x:c r="H1949" s="39" t="str">
        <x:v>سیاست های اسراییل ( مظلومیت نمایی - شکست ناپذیری)</x:v>
      </x:c>
      <x:c r="I1949" s="39" t="str">
        <x:v>بانک مطالعه؛ سقف زمانی</x:v>
      </x:c>
      <x:c r="J1949" s="39" t="str">
        <x:v>پژوهشگر سیاست‌گذاری/حقوق/اقتصاد؛ صرفاً تحلیلی</x:v>
      </x:c>
      <x:c r="K1949" s="39" t="str"/>
      <x:c r="L1949" s="39" t="str">
        <x:v>AP:P128</x:v>
      </x:c>
      <x:c r="M1949" s="39" t="str"/>
      <x:c r="N1949" s="39" t="str">
        <x:v>نسخه پایه ۳۱۵۰</x:v>
      </x:c>
    </x:row>
    <x:row r="1950" ht="34" customHeight="1">
      <x:c r="A1950" s="34" t="str">
        <x:v>☐</x:v>
      </x:c>
      <x:c r="B1950" s="34" t="str">
        <x:v>MI-0352</x:v>
      </x:c>
      <x:c r="C1950" s="34" t="str">
        <x:v>M5 — دانش، فرهنگ، حکمرانی و بانک مطالعاتی</x:v>
      </x:c>
      <x:c r="D1950" s="34" t="str">
        <x:v>H16</x:v>
      </x:c>
      <x:c r="E1950" s="34" t="str">
        <x:v>سیاست، حکمرانی، حقوق و اقتصاد کلان</x:v>
      </x:c>
      <x:c r="F1950" s="34" t="str">
        <x:v>BANK</x:v>
      </x:c>
      <x:c r="G1950" s="34" t="str">
        <x:v>هدف/موضوع</x:v>
      </x:c>
      <x:c r="H1950" s="39" t="str">
        <x:v>تفکرات دُگم ، تفکرات افرادی متعصب در عقاید</x:v>
      </x:c>
      <x:c r="I1950" s="39" t="str">
        <x:v>بانک مطالعه؛ سقف زمانی</x:v>
      </x:c>
      <x:c r="J1950" s="39" t="str">
        <x:v>پژوهشگر سیاست‌گذاری/حقوق/اقتصاد؛ صرفاً تحلیلی</x:v>
      </x:c>
      <x:c r="K1950" s="39" t="str"/>
      <x:c r="L1950" s="39" t="str">
        <x:v>AP:P130</x:v>
      </x:c>
      <x:c r="M1950" s="39" t="str"/>
      <x:c r="N1950" s="39" t="str">
        <x:v>نسخه پایه ۳۱۵۰</x:v>
      </x:c>
    </x:row>
    <x:row r="1951" ht="34" customHeight="1">
      <x:c r="A1951" s="34" t="str">
        <x:v>☐</x:v>
      </x:c>
      <x:c r="B1951" s="34" t="str">
        <x:v>MI-2007</x:v>
      </x:c>
      <x:c r="C1951" s="34" t="str">
        <x:v>M5 — دانش، فرهنگ، حکمرانی و بانک مطالعاتی</x:v>
      </x:c>
      <x:c r="D1951" s="34" t="str">
        <x:v>H16</x:v>
      </x:c>
      <x:c r="E1951" s="34" t="str">
        <x:v>سیاست، حکمرانی، حقوق و اقتصاد کلان</x:v>
      </x:c>
      <x:c r="F1951" s="34" t="str">
        <x:v>BANK</x:v>
      </x:c>
      <x:c r="G1951" s="34" t="str">
        <x:v>هدف/موضوع</x:v>
      </x:c>
      <x:c r="H1951" s="39" t="str">
        <x:v>9. سیاست گذارها و نهادهای حاکمیتی</x:v>
      </x:c>
      <x:c r="I1951" s="39" t="str">
        <x:v>بانک مطالعه؛ سقف زمانی</x:v>
      </x:c>
      <x:c r="J1951" s="39" t="str">
        <x:v>پژوهشگر سیاست‌گذاری/حقوق/اقتصاد؛ صرفاً تحلیلی</x:v>
      </x:c>
      <x:c r="K1951" s="39" t="str"/>
      <x:c r="L1951" s="39" t="str">
        <x:v>E112:P660</x:v>
      </x:c>
      <x:c r="M1951" s="39" t="str"/>
      <x:c r="N1951" s="39" t="str">
        <x:v>نسخه پایه ۳۱۵۰</x:v>
      </x:c>
    </x:row>
    <x:row r="1952" ht="34" customHeight="1">
      <x:c r="A1952" s="34" t="str">
        <x:v>☐</x:v>
      </x:c>
      <x:c r="B1952" s="34" t="str">
        <x:v>MI-2020</x:v>
      </x:c>
      <x:c r="C1952" s="34" t="str">
        <x:v>M5 — دانش، فرهنگ، حکمرانی و بانک مطالعاتی</x:v>
      </x:c>
      <x:c r="D1952" s="34" t="str">
        <x:v>H16</x:v>
      </x:c>
      <x:c r="E1952" s="34" t="str">
        <x:v>سیاست، حکمرانی، حقوق و اقتصاد کلان</x:v>
      </x:c>
      <x:c r="F1952" s="34" t="str">
        <x:v>BANK</x:v>
      </x:c>
      <x:c r="G1952" s="34" t="str">
        <x:v>هدف/موضوع</x:v>
      </x:c>
      <x:c r="H1952" s="39" t="str">
        <x:v>سیاست گذاران</x:v>
      </x:c>
      <x:c r="I1952" s="39" t="str">
        <x:v>بانک مطالعه؛ سقف زمانی</x:v>
      </x:c>
      <x:c r="J1952" s="39" t="str">
        <x:v>پژوهشگر سیاست‌گذاری/حقوق/اقتصاد؛ صرفاً تحلیلی</x:v>
      </x:c>
      <x:c r="K1952" s="39" t="str"/>
      <x:c r="L1952" s="39" t="str">
        <x:v>E112:P682</x:v>
      </x:c>
      <x:c r="M1952" s="39" t="str"/>
      <x:c r="N1952" s="39" t="str">
        <x:v>نسخه پایه ۳۱۵۰</x:v>
      </x:c>
    </x:row>
    <x:row r="1953" ht="34" customHeight="1">
      <x:c r="A1953" s="34" t="str">
        <x:v>☐</x:v>
      </x:c>
      <x:c r="B1953" s="34" t="str">
        <x:v>MI-2209</x:v>
      </x:c>
      <x:c r="C1953" s="34" t="str">
        <x:v>M5 — دانش، فرهنگ، حکمرانی و بانک مطالعاتی</x:v>
      </x:c>
      <x:c r="D1953" s="34" t="str">
        <x:v>H16</x:v>
      </x:c>
      <x:c r="E1953" s="34" t="str">
        <x:v>سیاست، حکمرانی، حقوق و اقتصاد کلان</x:v>
      </x:c>
      <x:c r="F1953" s="34" t="str">
        <x:v>BANK</x:v>
      </x:c>
      <x:c r="G1953" s="34" t="str">
        <x:v>هدف/موضوع</x:v>
      </x:c>
      <x:c r="H1953" s="39" t="str">
        <x:v>این ها پشتیبان سیاستی و مالی هستند.</x:v>
      </x:c>
      <x:c r="I1953" s="39" t="str">
        <x:v>بانک مطالعه؛ سقف زمانی</x:v>
      </x:c>
      <x:c r="J1953" s="39" t="str">
        <x:v>پژوهشگر سیاست‌گذاری/حقوق/اقتصاد؛ صرفاً تحلیلی</x:v>
      </x:c>
      <x:c r="K1953" s="39" t="str"/>
      <x:c r="L1953" s="39" t="str">
        <x:v>E112:P1043</x:v>
      </x:c>
      <x:c r="M1953" s="39" t="str"/>
      <x:c r="N1953" s="39" t="str">
        <x:v>نسخه پایه ۳۱۵۰</x:v>
      </x:c>
    </x:row>
    <x:row r="1954" ht="34" customHeight="1">
      <x:c r="A1954" s="34" t="str">
        <x:v>☐</x:v>
      </x:c>
      <x:c r="B1954" s="34" t="str">
        <x:v>MI-2444</x:v>
      </x:c>
      <x:c r="C1954" s="34" t="str">
        <x:v>M5 — دانش، فرهنگ، حکمرانی و بانک مطالعاتی</x:v>
      </x:c>
      <x:c r="D1954" s="34" t="str">
        <x:v>H16</x:v>
      </x:c>
      <x:c r="E1954" s="34" t="str">
        <x:v>سیاست، حکمرانی، حقوق و اقتصاد کلان</x:v>
      </x:c>
      <x:c r="F1954" s="34" t="str">
        <x:v>BANK</x:v>
      </x:c>
      <x:c r="G1954" s="34" t="str">
        <x:v>هدف/موضوع</x:v>
      </x:c>
      <x:c r="H1954" s="39" t="str">
        <x:v>بررسی نهادهای حاکمیتی و سیاست گذار</x:v>
      </x:c>
      <x:c r="I1954" s="39" t="str">
        <x:v>بانک مطالعه؛ سقف زمانی</x:v>
      </x:c>
      <x:c r="J1954" s="39" t="str">
        <x:v>پژوهشگر سیاست‌گذاری/حقوق/اقتصاد؛ صرفاً تحلیلی</x:v>
      </x:c>
      <x:c r="K1954" s="39" t="str"/>
      <x:c r="L1954" s="39" t="str">
        <x:v>E112:P1726</x:v>
      </x:c>
      <x:c r="M1954" s="39" t="str"/>
      <x:c r="N1954" s="39" t="str">
        <x:v>نسخه پایه ۳۱۵۰</x:v>
      </x:c>
    </x:row>
    <x:row r="1955" ht="34" customHeight="1">
      <x:c r="A1955" s="34" t="str">
        <x:v>☐</x:v>
      </x:c>
      <x:c r="B1955" s="34" t="str">
        <x:v>MI-2598</x:v>
      </x:c>
      <x:c r="C1955" s="34" t="str">
        <x:v>M5 — دانش، فرهنگ، حکمرانی و بانک مطالعاتی</x:v>
      </x:c>
      <x:c r="D1955" s="34" t="str">
        <x:v>H16</x:v>
      </x:c>
      <x:c r="E1955" s="34" t="str">
        <x:v>سیاست، حکمرانی، حقوق و اقتصاد کلان</x:v>
      </x:c>
      <x:c r="F1955" s="34" t="str">
        <x:v>BANK</x:v>
      </x:c>
      <x:c r="G1955" s="34" t="str">
        <x:v>هدف/موضوع</x:v>
      </x:c>
      <x:c r="H1955" s="39" t="str">
        <x:v>قدرت اجتماعی در سیاست گذاری</x:v>
      </x:c>
      <x:c r="I1955" s="39" t="str">
        <x:v>بانک مطالعه؛ سقف زمانی</x:v>
      </x:c>
      <x:c r="J1955" s="39" t="str">
        <x:v>پژوهشگر سیاست‌گذاری/حقوق/اقتصاد؛ صرفاً تحلیلی</x:v>
      </x:c>
      <x:c r="K1955" s="39" t="str"/>
      <x:c r="L1955" s="39" t="str">
        <x:v>E112:P2202</x:v>
      </x:c>
      <x:c r="M1955" s="39" t="str"/>
      <x:c r="N1955" s="39" t="str">
        <x:v>نسخه پایه ۳۱۵۰</x:v>
      </x:c>
    </x:row>
    <x:row r="1956" ht="34" customHeight="1">
      <x:c r="A1956" s="34" t="str">
        <x:v>☐</x:v>
      </x:c>
      <x:c r="B1956" s="34" t="str">
        <x:v>MI-0478</x:v>
      </x:c>
      <x:c r="C1956" s="34" t="str">
        <x:v>M5 — دانش، فرهنگ، حکمرانی و بانک مطالعاتی</x:v>
      </x:c>
      <x:c r="D1956" s="34" t="str">
        <x:v>H16</x:v>
      </x:c>
      <x:c r="E1956" s="34" t="str">
        <x:v>سیاست، حکمرانی، حقوق و اقتصاد کلان</x:v>
      </x:c>
      <x:c r="F1956" s="34" t="str">
        <x:v>BANK</x:v>
      </x:c>
      <x:c r="G1956" s="34" t="str">
        <x:v>مطالعه/منبع</x:v>
      </x:c>
      <x:c r="H1956" s="39" t="str">
        <x:v>الگوی اقتصادی قانون اساسی جمهوری اسلامی ایران(پیله فروش)</x:v>
      </x:c>
      <x:c r="I1956" s="39" t="str">
        <x:v>بانک مطالعه؛ سقف زمانی</x:v>
      </x:c>
      <x:c r="J1956" s="39" t="str">
        <x:v>پژوهشگر سیاست‌گذاری/حقوق/اقتصاد؛ صرفاً تحلیلی</x:v>
      </x:c>
      <x:c r="K1956" s="39" t="str"/>
      <x:c r="L1956" s="39" t="str">
        <x:v>AP:P263</x:v>
      </x:c>
      <x:c r="M1956" s="39" t="str"/>
      <x:c r="N1956" s="39" t="str">
        <x:v>نسخه پایه ۳۱۵۰</x:v>
      </x:c>
    </x:row>
    <x:row r="1957" ht="34" customHeight="1">
      <x:c r="A1957" s="34" t="str">
        <x:v>☐</x:v>
      </x:c>
      <x:c r="B1957" s="34" t="str">
        <x:v>MI-0494</x:v>
      </x:c>
      <x:c r="C1957" s="34" t="str">
        <x:v>M5 — دانش، فرهنگ، حکمرانی و بانک مطالعاتی</x:v>
      </x:c>
      <x:c r="D1957" s="34" t="str">
        <x:v>H16</x:v>
      </x:c>
      <x:c r="E1957" s="34" t="str">
        <x:v>سیاست، حکمرانی، حقوق و اقتصاد کلان</x:v>
      </x:c>
      <x:c r="F1957" s="34" t="str">
        <x:v>BANK</x:v>
      </x:c>
      <x:c r="G1957" s="34" t="str">
        <x:v>مطالعه/منبع</x:v>
      </x:c>
      <x:c r="H1957" s="39" t="str">
        <x:v>عملکرد ریاست جمهوری</x:v>
      </x:c>
      <x:c r="I1957" s="39" t="str">
        <x:v>بانک مطالعه؛ سقف زمانی</x:v>
      </x:c>
      <x:c r="J1957" s="39" t="str">
        <x:v>پژوهشگر سیاست‌گذاری/حقوق/اقتصاد؛ صرفاً تحلیلی</x:v>
      </x:c>
      <x:c r="K1957" s="39" t="str"/>
      <x:c r="L1957" s="39" t="str">
        <x:v>AP:P279</x:v>
      </x:c>
      <x:c r="M1957" s="39" t="str"/>
      <x:c r="N1957" s="39" t="str">
        <x:v>نسخه پایه ۳۱۵۰</x:v>
      </x:c>
    </x:row>
    <x:row r="1958" ht="34" customHeight="1">
      <x:c r="A1958" s="34" t="str">
        <x:v>☐</x:v>
      </x:c>
      <x:c r="B1958" s="34" t="str">
        <x:v>MI-0495</x:v>
      </x:c>
      <x:c r="C1958" s="34" t="str">
        <x:v>M5 — دانش، فرهنگ، حکمرانی و بانک مطالعاتی</x:v>
      </x:c>
      <x:c r="D1958" s="34" t="str">
        <x:v>H16</x:v>
      </x:c>
      <x:c r="E1958" s="34" t="str">
        <x:v>سیاست، حکمرانی، حقوق و اقتصاد کلان</x:v>
      </x:c>
      <x:c r="F1958" s="34" t="str">
        <x:v>BANK</x:v>
      </x:c>
      <x:c r="G1958" s="34" t="str">
        <x:v>مطالعه/منبع</x:v>
      </x:c>
      <x:c r="H1958" s="39" t="str">
        <x:v>شفافیت مجلس</x:v>
      </x:c>
      <x:c r="I1958" s="39" t="str">
        <x:v>بانک مطالعه؛ سقف زمانی</x:v>
      </x:c>
      <x:c r="J1958" s="39" t="str">
        <x:v>پژوهشگر سیاست‌گذاری/حقوق/اقتصاد؛ صرفاً تحلیلی</x:v>
      </x:c>
      <x:c r="K1958" s="39" t="str"/>
      <x:c r="L1958" s="39" t="str">
        <x:v>AP:P280</x:v>
      </x:c>
      <x:c r="M1958" s="39" t="str"/>
      <x:c r="N1958" s="39" t="str">
        <x:v>نسخه پایه ۳۱۵۰</x:v>
      </x:c>
    </x:row>
    <x:row r="1959" ht="34" customHeight="1">
      <x:c r="A1959" s="34" t="str">
        <x:v>☐</x:v>
      </x:c>
      <x:c r="B1959" s="34" t="str">
        <x:v>N115-0032</x:v>
      </x:c>
      <x:c r="C1959" s="34" t="str">
        <x:v>M5 — دانش، فرهنگ، حکمرانی و بانک مطالعاتی</x:v>
      </x:c>
      <x:c r="D1959" s="34" t="str">
        <x:v>H16</x:v>
      </x:c>
      <x:c r="E1959" s="34" t="str">
        <x:v>سیاست، حکمرانی، حقوق و اقتصاد کلان</x:v>
      </x:c>
      <x:c r="F1959" s="34" t="str">
        <x:v>BANK</x:v>
      </x:c>
      <x:c r="G1959" s="34" t="str">
        <x:v>مطالعه/منبع</x:v>
      </x:c>
      <x:c r="H1959" s="39" t="str">
        <x:v>جنگ حقوقی (Lawfare)</x:v>
      </x:c>
      <x:c r="I1959" s="39" t="str">
        <x:v>بانک مطالعه حقوقی</x:v>
      </x:c>
      <x:c r="J1959" s="39" t="str">
        <x:v>پژوهشگر سیاست‌گذاری/حقوق/اقتصاد؛ صرفاً تحلیلی</x:v>
      </x:c>
      <x:c r="K1959" s="39" t="str">
        <x:v>حقوق/حکمرانی</x:v>
      </x:c>
      <x:c r="L1959" s="39" t="str">
        <x:v>115:P1539</x:v>
      </x:c>
      <x:c r="M1959" s="39" t="str"/>
      <x:c r="N1959" s="39" t="str">
        <x:v>1154878548.docx / ممیزی جدید</x:v>
      </x:c>
    </x:row>
    <x:row r="1960" ht="34" customHeight="1">
      <x:c r="A1960" s="34" t="str">
        <x:v>☐</x:v>
      </x:c>
      <x:c r="B1960" s="34" t="str">
        <x:v>N115-0033</x:v>
      </x:c>
      <x:c r="C1960" s="34" t="str">
        <x:v>M5 — دانش، فرهنگ، حکمرانی و بانک مطالعاتی</x:v>
      </x:c>
      <x:c r="D1960" s="34" t="str">
        <x:v>H16</x:v>
      </x:c>
      <x:c r="E1960" s="34" t="str">
        <x:v>سیاست، حکمرانی، حقوق و اقتصاد کلان</x:v>
      </x:c>
      <x:c r="F1960" s="34" t="str">
        <x:v>BANK</x:v>
      </x:c>
      <x:c r="G1960" s="34" t="str">
        <x:v>مطالعه/منبع</x:v>
      </x:c>
      <x:c r="H1960" s="39" t="str">
        <x:v>FATF و ICC به‌عنوان موضوع مطالعه حقوقی</x:v>
      </x:c>
      <x:c r="I1960" s="39" t="str">
        <x:v>بانک مطالعه حقوقی</x:v>
      </x:c>
      <x:c r="J1960" s="39" t="str">
        <x:v>پژوهشگر سیاست‌گذاری/حقوق/اقتصاد؛ صرفاً تحلیلی</x:v>
      </x:c>
      <x:c r="K1960" s="39" t="str">
        <x:v>حقوق/حکمرانی</x:v>
      </x:c>
      <x:c r="L1960" s="39" t="str">
        <x:v>115:P1539</x:v>
      </x:c>
      <x:c r="M1960" s="39" t="str"/>
      <x:c r="N1960" s="39" t="str">
        <x:v>1154878548.docx / ممیزی جدید</x:v>
      </x:c>
    </x:row>
    <x:row r="1961" ht="34" customHeight="1">
      <x:c r="A1961" s="34" t="str">
        <x:v>☐</x:v>
      </x:c>
      <x:c r="B1961" s="34" t="str">
        <x:v>N115-0051</x:v>
      </x:c>
      <x:c r="C1961" s="34" t="str">
        <x:v>M5 — دانش، فرهنگ، حکمرانی و بانک مطالعاتی</x:v>
      </x:c>
      <x:c r="D1961" s="34" t="str">
        <x:v>H16</x:v>
      </x:c>
      <x:c r="E1961" s="34" t="str">
        <x:v>سیاست، حکمرانی، حقوق و اقتصاد کلان</x:v>
      </x:c>
      <x:c r="F1961" s="34" t="str">
        <x:v>BANK</x:v>
      </x:c>
      <x:c r="G1961" s="34" t="str">
        <x:v>مطالعه/منبع</x:v>
      </x:c>
      <x:c r="H1961" s="39" t="str">
        <x:v>فساد سیستماتیک و شکست هماهنگی سازمانی</x:v>
      </x:c>
      <x:c r="I1961" s="39" t="str">
        <x:v>بانک مطالعه</x:v>
      </x:c>
      <x:c r="J1961" s="39" t="str">
        <x:v>پژوهشگر سیاست‌گذاری/حقوق/اقتصاد؛ صرفاً تحلیلی</x:v>
      </x:c>
      <x:c r="K1961" s="39" t="str">
        <x:v>حکمرانی</x:v>
      </x:c>
      <x:c r="L1961" s="39" t="str">
        <x:v>115:P1719</x:v>
      </x:c>
      <x:c r="M1961" s="39" t="str"/>
      <x:c r="N1961" s="39" t="str">
        <x:v>1154878548.docx / ممیزی جدید</x:v>
      </x:c>
    </x:row>
    <x:row r="1962" ht="34" customHeight="1">
      <x:c r="A1962" s="34" t="str">
        <x:v>☐</x:v>
      </x:c>
      <x:c r="B1962" s="34" t="str">
        <x:v>MI-1412</x:v>
      </x:c>
      <x:c r="C1962" s="34" t="str">
        <x:v>M5 — دانش، فرهنگ، حکمرانی و بانک مطالعاتی</x:v>
      </x:c>
      <x:c r="D1962" s="34" t="str">
        <x:v>H16</x:v>
      </x:c>
      <x:c r="E1962" s="34" t="str">
        <x:v>سیاست، حکمرانی، حقوق و اقتصاد کلان</x:v>
      </x:c>
      <x:c r="F1962" s="34" t="str">
        <x:v>P3/CLARIFY</x:v>
      </x:c>
      <x:c r="G1962" s="34" t="str">
        <x:v>پروژه/طرح</x:v>
      </x:c>
      <x:c r="H1962" s="39" t="str">
        <x:v>حکمرانی حلقه میانی</x:v>
      </x:c>
      <x:c r="I1962" s="39" t="str">
        <x:v>نیازمند تعریف خروجی یا پارک</x:v>
      </x:c>
      <x:c r="J1962" s="39" t="str">
        <x:v>پژوهشگر سیاست‌گذاری/حقوق/اقتصاد؛ صرفاً تحلیلی</x:v>
      </x:c>
      <x:c r="K1962" s="39" t="str"/>
      <x:c r="L1962" s="39" t="str">
        <x:v>AP:P1306</x:v>
      </x:c>
      <x:c r="M1962" s="39" t="str"/>
      <x:c r="N1962" s="39" t="str">
        <x:v>نسخه پایه ۳۱۵۰</x:v>
      </x:c>
    </x:row>
    <x:row r="1963" ht="34" customHeight="1">
      <x:c r="A1963" s="34" t="str">
        <x:v>☐</x:v>
      </x:c>
      <x:c r="B1963" s="34" t="str">
        <x:v>MI-2675</x:v>
      </x:c>
      <x:c r="C1963" s="34" t="str">
        <x:v>M5 — دانش، فرهنگ، حکمرانی و بانک مطالعاتی</x:v>
      </x:c>
      <x:c r="D1963" s="34" t="str">
        <x:v>H16</x:v>
      </x:c>
      <x:c r="E1963" s="34" t="str">
        <x:v>سیاست، حکمرانی، حقوق و اقتصاد کلان</x:v>
      </x:c>
      <x:c r="F1963" s="34" t="str">
        <x:v>P3/CLARIFY</x:v>
      </x:c>
      <x:c r="G1963" s="34" t="str">
        <x:v>پروژه/طرح</x:v>
      </x:c>
      <x:c r="H1963" s="39" t="str">
        <x:v>مشاوران طرح های اقتصادی</x:v>
      </x:c>
      <x:c r="I1963" s="39" t="str">
        <x:v>نیازمند تعریف خروجی یا پارک</x:v>
      </x:c>
      <x:c r="J1963" s="39" t="str">
        <x:v>پژوهشگر سیاست‌گذاری/حقوق/اقتصاد؛ صرفاً تحلیلی</x:v>
      </x:c>
      <x:c r="K1963" s="39" t="str"/>
      <x:c r="L1963" s="39" t="str">
        <x:v>E112:P2621</x:v>
      </x:c>
      <x:c r="M1963" s="39" t="str"/>
      <x:c r="N1963" s="39" t="str">
        <x:v>نسخه پایه ۳۱۵۰</x:v>
      </x:c>
    </x:row>
    <x:row r="1964" ht="34" customHeight="1">
      <x:c r="A1964" s="34" t="str">
        <x:v>☐</x:v>
      </x:c>
      <x:c r="B1964" s="34" t="str">
        <x:v>MI-2779</x:v>
      </x:c>
      <x:c r="C1964" s="34" t="str">
        <x:v>M5 — دانش، فرهنگ، حکمرانی و بانک مطالعاتی</x:v>
      </x:c>
      <x:c r="D1964" s="34" t="str">
        <x:v>H16</x:v>
      </x:c>
      <x:c r="E1964" s="34" t="str">
        <x:v>سیاست، حکمرانی، حقوق و اقتصاد کلان</x:v>
      </x:c>
      <x:c r="F1964" s="34" t="str">
        <x:v>P3/CLARIFY</x:v>
      </x:c>
      <x:c r="G1964" s="34" t="str">
        <x:v>پروژه/طرح</x:v>
      </x:c>
      <x:c r="H1964" s="39" t="str">
        <x:v>ایجاد یک چرخه کامل توسعه اقتصادی مبتنی بر نوآوری است.</x:v>
      </x:c>
      <x:c r="I1964" s="39" t="str">
        <x:v>نیازمند تعریف خروجی یا پارک</x:v>
      </x:c>
      <x:c r="J1964" s="39" t="str">
        <x:v>پژوهشگر سیاست‌گذاری/حقوق/اقتصاد؛ صرفاً تحلیلی</x:v>
      </x:c>
      <x:c r="K1964" s="39" t="str"/>
      <x:c r="L1964" s="39" t="str">
        <x:v>E112:P2891</x:v>
      </x:c>
      <x:c r="M1964" s="39" t="str"/>
      <x:c r="N1964" s="39" t="str">
        <x:v>نسخه پایه ۳۱۵۰</x:v>
      </x:c>
    </x:row>
    <x:row r="1965" ht="34" customHeight="1">
      <x:c r="A1965" s="34" t="str">
        <x:v>☐</x:v>
      </x:c>
      <x:c r="B1965" s="34" t="str">
        <x:v>MI-0200</x:v>
      </x:c>
      <x:c r="C1965" s="34" t="str">
        <x:v>M5 — دانش، فرهنگ، حکمرانی و بانک مطالعاتی</x:v>
      </x:c>
      <x:c r="D1965" s="34" t="str">
        <x:v>H16</x:v>
      </x:c>
      <x:c r="E1965" s="34" t="str">
        <x:v>سیاست، حکمرانی، حقوق و اقتصاد کلان</x:v>
      </x:c>
      <x:c r="F1965" s="34" t="str">
        <x:v>P3/CLARIFY</x:v>
      </x:c>
      <x:c r="G1965" s="34" t="str">
        <x:v>هدف/موضوع</x:v>
      </x:c>
      <x:c r="H1965" s="39" t="str">
        <x:v>علوم اقتصادی</x:v>
      </x:c>
      <x:c r="I1965" s="39" t="str">
        <x:v>نیازمند تعریف خروجی یا پارک</x:v>
      </x:c>
      <x:c r="J1965" s="39" t="str">
        <x:v>پژوهشگر سیاست‌گذاری/حقوق/اقتصاد؛ صرفاً تحلیلی</x:v>
      </x:c>
      <x:c r="K1965" s="39" t="str"/>
      <x:c r="L1965" s="39" t="str">
        <x:v>PL:R206</x:v>
      </x:c>
      <x:c r="M1965" s="39" t="str"/>
      <x:c r="N1965" s="39" t="str">
        <x:v>نسخه پایه ۳۱۵۰</x:v>
      </x:c>
    </x:row>
    <x:row r="1966" ht="34" customHeight="1">
      <x:c r="A1966" s="34" t="str">
        <x:v>☐</x:v>
      </x:c>
      <x:c r="B1966" s="34" t="str">
        <x:v>MI-0216</x:v>
      </x:c>
      <x:c r="C1966" s="34" t="str">
        <x:v>M5 — دانش، فرهنگ، حکمرانی و بانک مطالعاتی</x:v>
      </x:c>
      <x:c r="D1966" s="34" t="str">
        <x:v>H16</x:v>
      </x:c>
      <x:c r="E1966" s="34" t="str">
        <x:v>سیاست، حکمرانی، حقوق و اقتصاد کلان</x:v>
      </x:c>
      <x:c r="F1966" s="34" t="str">
        <x:v>P3/CLARIFY</x:v>
      </x:c>
      <x:c r="G1966" s="34" t="str">
        <x:v>هدف/موضوع</x:v>
      </x:c>
      <x:c r="H1966" s="39" t="str">
        <x:v>سرمایهگذاری و اقتصاد</x:v>
      </x:c>
      <x:c r="I1966" s="39" t="str">
        <x:v>نیازمند تعریف خروجی یا پارک</x:v>
      </x:c>
      <x:c r="J1966" s="39" t="str">
        <x:v>پژوهشگر سیاست‌گذاری/حقوق/اقتصاد؛ صرفاً تحلیلی</x:v>
      </x:c>
      <x:c r="K1966" s="39" t="str"/>
      <x:c r="L1966" s="39" t="str">
        <x:v>PL:R305</x:v>
      </x:c>
      <x:c r="M1966" s="39" t="str"/>
      <x:c r="N1966" s="39" t="str">
        <x:v>نسخه پایه ۳۱۵۰</x:v>
      </x:c>
    </x:row>
    <x:row r="1967" ht="34" customHeight="1">
      <x:c r="A1967" s="34" t="str">
        <x:v>☐</x:v>
      </x:c>
      <x:c r="B1967" s="34" t="str">
        <x:v>MI-0257</x:v>
      </x:c>
      <x:c r="C1967" s="34" t="str">
        <x:v>M5 — دانش، فرهنگ، حکمرانی و بانک مطالعاتی</x:v>
      </x:c>
      <x:c r="D1967" s="34" t="str">
        <x:v>H16</x:v>
      </x:c>
      <x:c r="E1967" s="34" t="str">
        <x:v>سیاست، حکمرانی، حقوق و اقتصاد کلان</x:v>
      </x:c>
      <x:c r="F1967" s="34" t="str">
        <x:v>P3/CLARIFY</x:v>
      </x:c>
      <x:c r="G1967" s="34" t="str">
        <x:v>هدف/موضوع</x:v>
      </x:c>
      <x:c r="H1967" s="39" t="str">
        <x:v>جهاد تبیین سیاسی و اقتصادی و فرهنگی</x:v>
      </x:c>
      <x:c r="I1967" s="39" t="str">
        <x:v>نیازمند تعریف خروجی یا پارک</x:v>
      </x:c>
      <x:c r="J1967" s="39" t="str">
        <x:v>پژوهشگر سیاست‌گذاری/حقوق/اقتصاد؛ صرفاً تحلیلی</x:v>
      </x:c>
      <x:c r="K1967" s="39" t="str"/>
      <x:c r="L1967" s="39" t="str">
        <x:v>AP:P28</x:v>
      </x:c>
      <x:c r="M1967" s="39" t="str"/>
      <x:c r="N1967" s="39" t="str">
        <x:v>نسخه پایه ۳۱۵۰</x:v>
      </x:c>
    </x:row>
    <x:row r="1968" ht="34" customHeight="1">
      <x:c r="A1968" s="34" t="str">
        <x:v>☐</x:v>
      </x:c>
      <x:c r="B1968" s="34" t="str">
        <x:v>MI-0261</x:v>
      </x:c>
      <x:c r="C1968" s="34" t="str">
        <x:v>M5 — دانش، فرهنگ، حکمرانی و بانک مطالعاتی</x:v>
      </x:c>
      <x:c r="D1968" s="34" t="str">
        <x:v>H16</x:v>
      </x:c>
      <x:c r="E1968" s="34" t="str">
        <x:v>سیاست، حکمرانی، حقوق و اقتصاد کلان</x:v>
      </x:c>
      <x:c r="F1968" s="34" t="str">
        <x:v>P3/CLARIFY</x:v>
      </x:c>
      <x:c r="G1968" s="34" t="str">
        <x:v>هدف/موضوع</x:v>
      </x:c>
      <x:c r="H1968" s="39" t="str">
        <x:v>تاکید رهبر انقلاب بر روابات اقتصادی و صنعتی و علمی</x:v>
      </x:c>
      <x:c r="I1968" s="39" t="str">
        <x:v>نیازمند تعریف خروجی یا پارک</x:v>
      </x:c>
      <x:c r="J1968" s="39" t="str">
        <x:v>پژوهشگر سیاست‌گذاری/حقوق/اقتصاد؛ صرفاً تحلیلی</x:v>
      </x:c>
      <x:c r="K1968" s="39" t="str"/>
      <x:c r="L1968" s="39" t="str">
        <x:v>AP:P32</x:v>
      </x:c>
      <x:c r="M1968" s="39" t="str"/>
      <x:c r="N1968" s="39" t="str">
        <x:v>نسخه پایه ۳۱۵۰</x:v>
      </x:c>
    </x:row>
    <x:row r="1969" ht="34" customHeight="1">
      <x:c r="A1969" s="34" t="str">
        <x:v>☐</x:v>
      </x:c>
      <x:c r="B1969" s="34" t="str">
        <x:v>MI-0283</x:v>
      </x:c>
      <x:c r="C1969" s="34" t="str">
        <x:v>M5 — دانش، فرهنگ، حکمرانی و بانک مطالعاتی</x:v>
      </x:c>
      <x:c r="D1969" s="34" t="str">
        <x:v>H16</x:v>
      </x:c>
      <x:c r="E1969" s="34" t="str">
        <x:v>سیاست، حکمرانی، حقوق و اقتصاد کلان</x:v>
      </x:c>
      <x:c r="F1969" s="34" t="str">
        <x:v>P3/CLARIFY</x:v>
      </x:c>
      <x:c r="G1969" s="34" t="str">
        <x:v>هدف/موضوع</x:v>
      </x:c>
      <x:c r="H1969" s="39" t="str">
        <x:v>اقتصادی</x:v>
      </x:c>
      <x:c r="I1969" s="39" t="str">
        <x:v>نیازمند تعریف خروجی یا پارک</x:v>
      </x:c>
      <x:c r="J1969" s="39" t="str">
        <x:v>پژوهشگر سیاست‌گذاری/حقوق/اقتصاد؛ صرفاً تحلیلی</x:v>
      </x:c>
      <x:c r="K1969" s="39" t="str"/>
      <x:c r="L1969" s="39" t="str">
        <x:v>AP:P54</x:v>
      </x:c>
      <x:c r="M1969" s="39" t="str"/>
      <x:c r="N1969" s="39" t="str">
        <x:v>نسخه پایه ۳۱۵۰</x:v>
      </x:c>
    </x:row>
    <x:row r="1970" ht="34" customHeight="1">
      <x:c r="A1970" s="34" t="str">
        <x:v>☐</x:v>
      </x:c>
      <x:c r="B1970" s="34" t="str">
        <x:v>MI-0284</x:v>
      </x:c>
      <x:c r="C1970" s="34" t="str">
        <x:v>M5 — دانش، فرهنگ، حکمرانی و بانک مطالعاتی</x:v>
      </x:c>
      <x:c r="D1970" s="34" t="str">
        <x:v>H16</x:v>
      </x:c>
      <x:c r="E1970" s="34" t="str">
        <x:v>سیاست، حکمرانی، حقوق و اقتصاد کلان</x:v>
      </x:c>
      <x:c r="F1970" s="34" t="str">
        <x:v>P3/CLARIFY</x:v>
      </x:c>
      <x:c r="G1970" s="34" t="str">
        <x:v>هدف/موضوع</x:v>
      </x:c>
      <x:c r="H1970" s="39" t="str">
        <x:v>مقاومتی</x:v>
      </x:c>
      <x:c r="I1970" s="39" t="str">
        <x:v>نیازمند تعریف خروجی یا پارک</x:v>
      </x:c>
      <x:c r="J1970" s="39" t="str">
        <x:v>پژوهشگر سیاست‌گذاری/حقوق/اقتصاد؛ صرفاً تحلیلی</x:v>
      </x:c>
      <x:c r="K1970" s="39" t="str"/>
      <x:c r="L1970" s="39" t="str">
        <x:v>AP:P55</x:v>
      </x:c>
      <x:c r="M1970" s="39" t="str"/>
      <x:c r="N1970" s="39" t="str">
        <x:v>نسخه پایه ۳۱۵۰</x:v>
      </x:c>
    </x:row>
    <x:row r="1971" ht="34" customHeight="1">
      <x:c r="A1971" s="34" t="str">
        <x:v>☐</x:v>
      </x:c>
      <x:c r="B1971" s="34" t="str">
        <x:v>MI-0285</x:v>
      </x:c>
      <x:c r="C1971" s="34" t="str">
        <x:v>M5 — دانش، فرهنگ، حکمرانی و بانک مطالعاتی</x:v>
      </x:c>
      <x:c r="D1971" s="34" t="str">
        <x:v>H16</x:v>
      </x:c>
      <x:c r="E1971" s="34" t="str">
        <x:v>سیاست، حکمرانی، حقوق و اقتصاد کلان</x:v>
      </x:c>
      <x:c r="F1971" s="34" t="str">
        <x:v>P3/CLARIFY</x:v>
      </x:c>
      <x:c r="G1971" s="34" t="str">
        <x:v>هدف/موضوع</x:v>
      </x:c>
      <x:c r="H1971" s="39" t="str">
        <x:v>تعاونی</x:v>
      </x:c>
      <x:c r="I1971" s="39" t="str">
        <x:v>نیازمند تعریف خروجی یا پارک</x:v>
      </x:c>
      <x:c r="J1971" s="39" t="str">
        <x:v>پژوهشگر سیاست‌گذاری/حقوق/اقتصاد؛ صرفاً تحلیلی</x:v>
      </x:c>
      <x:c r="K1971" s="39" t="str"/>
      <x:c r="L1971" s="39" t="str">
        <x:v>AP:P56</x:v>
      </x:c>
      <x:c r="M1971" s="39" t="str"/>
      <x:c r="N1971" s="39" t="str">
        <x:v>نسخه پایه ۳۱۵۰</x:v>
      </x:c>
    </x:row>
    <x:row r="1972" ht="34" customHeight="1">
      <x:c r="A1972" s="34" t="str">
        <x:v>☐</x:v>
      </x:c>
      <x:c r="B1972" s="34" t="str">
        <x:v>MI-0286</x:v>
      </x:c>
      <x:c r="C1972" s="34" t="str">
        <x:v>M5 — دانش، فرهنگ، حکمرانی و بانک مطالعاتی</x:v>
      </x:c>
      <x:c r="D1972" s="34" t="str">
        <x:v>H16</x:v>
      </x:c>
      <x:c r="E1972" s="34" t="str">
        <x:v>سیاست، حکمرانی، حقوق و اقتصاد کلان</x:v>
      </x:c>
      <x:c r="F1972" s="34" t="str">
        <x:v>P3/CLARIFY</x:v>
      </x:c>
      <x:c r="G1972" s="34" t="str">
        <x:v>هدف/موضوع</x:v>
      </x:c>
      <x:c r="H1972" s="39" t="str">
        <x:v>اسلامی</x:v>
      </x:c>
      <x:c r="I1972" s="39" t="str">
        <x:v>نیازمند تعریف خروجی یا پارک</x:v>
      </x:c>
      <x:c r="J1972" s="39" t="str">
        <x:v>پژوهشگر سیاست‌گذاری/حقوق/اقتصاد؛ صرفاً تحلیلی</x:v>
      </x:c>
      <x:c r="K1972" s="39" t="str"/>
      <x:c r="L1972" s="39" t="str">
        <x:v>AP:P57</x:v>
      </x:c>
      <x:c r="M1972" s="39" t="str"/>
      <x:c r="N1972" s="39" t="str">
        <x:v>نسخه پایه ۳۱۵۰</x:v>
      </x:c>
    </x:row>
    <x:row r="1973" ht="34" customHeight="1">
      <x:c r="A1973" s="34" t="str">
        <x:v>☐</x:v>
      </x:c>
      <x:c r="B1973" s="34" t="str">
        <x:v>MI-1116</x:v>
      </x:c>
      <x:c r="C1973" s="34" t="str">
        <x:v>M5 — دانش، فرهنگ، حکمرانی و بانک مطالعاتی</x:v>
      </x:c>
      <x:c r="D1973" s="34" t="str">
        <x:v>H16</x:v>
      </x:c>
      <x:c r="E1973" s="34" t="str">
        <x:v>سیاست، حکمرانی، حقوق و اقتصاد کلان</x:v>
      </x:c>
      <x:c r="F1973" s="34" t="str">
        <x:v>P3/CLARIFY</x:v>
      </x:c>
      <x:c r="G1973" s="34" t="str">
        <x:v>هدف/موضوع</x:v>
      </x:c>
      <x:c r="H1973" s="39" t="str">
        <x:v>پخش کلیپ های کوتاه به همراه تحلیلی چند خطی توسط تشکل ها و یا نهاد و یا سخنوری سیاسی</x:v>
      </x:c>
      <x:c r="I1973" s="39" t="str">
        <x:v>نیازمند تعریف خروجی یا پارک</x:v>
      </x:c>
      <x:c r="J1973" s="39" t="str">
        <x:v>پژوهشگر سیاست‌گذاری/حقوق/اقتصاد؛ صرفاً تحلیلی</x:v>
      </x:c>
      <x:c r="K1973" s="39" t="str"/>
      <x:c r="L1973" s="39" t="str">
        <x:v>AP:P964</x:v>
      </x:c>
      <x:c r="M1973" s="39" t="str"/>
      <x:c r="N1973" s="39" t="str">
        <x:v>نسخه پایه ۳۱۵۰</x:v>
      </x:c>
    </x:row>
    <x:row r="1974" ht="34" customHeight="1">
      <x:c r="A1974" s="34" t="str">
        <x:v>☐</x:v>
      </x:c>
      <x:c r="B1974" s="34" t="str">
        <x:v>MI-1557</x:v>
      </x:c>
      <x:c r="C1974" s="34" t="str">
        <x:v>M5 — دانش، فرهنگ، حکمرانی و بانک مطالعاتی</x:v>
      </x:c>
      <x:c r="D1974" s="34" t="str">
        <x:v>H16</x:v>
      </x:c>
      <x:c r="E1974" s="34" t="str">
        <x:v>سیاست، حکمرانی، حقوق و اقتصاد کلان</x:v>
      </x:c>
      <x:c r="F1974" s="34" t="str">
        <x:v>P3/CLARIFY</x:v>
      </x:c>
      <x:c r="G1974" s="34" t="str">
        <x:v>هدف/موضوع</x:v>
      </x:c>
      <x:c r="H1974" s="39" t="str">
        <x:v>جهاد سیاسی</x:v>
      </x:c>
      <x:c r="I1974" s="39" t="str">
        <x:v>نیازمند تعریف خروجی یا پارک</x:v>
      </x:c>
      <x:c r="J1974" s="39" t="str">
        <x:v>پژوهشگر سیاست‌گذاری/حقوق/اقتصاد؛ صرفاً تحلیلی</x:v>
      </x:c>
      <x:c r="K1974" s="39" t="str"/>
      <x:c r="L1974" s="39" t="str">
        <x:v>AP:P1544</x:v>
      </x:c>
      <x:c r="M1974" s="39" t="str"/>
      <x:c r="N1974" s="39" t="str">
        <x:v>نسخه پایه ۳۱۵۰</x:v>
      </x:c>
    </x:row>
    <x:row r="1975" ht="34" customHeight="1">
      <x:c r="A1975" s="34" t="str">
        <x:v>☐</x:v>
      </x:c>
      <x:c r="B1975" s="34" t="str">
        <x:v>MI-1558</x:v>
      </x:c>
      <x:c r="C1975" s="34" t="str">
        <x:v>M5 — دانش، فرهنگ، حکمرانی و بانک مطالعاتی</x:v>
      </x:c>
      <x:c r="D1975" s="34" t="str">
        <x:v>H16</x:v>
      </x:c>
      <x:c r="E1975" s="34" t="str">
        <x:v>سیاست، حکمرانی، حقوق و اقتصاد کلان</x:v>
      </x:c>
      <x:c r="F1975" s="34" t="str">
        <x:v>P3/CLARIFY</x:v>
      </x:c>
      <x:c r="G1975" s="34" t="str">
        <x:v>هدف/موضوع</x:v>
      </x:c>
      <x:c r="H1975" s="39" t="str">
        <x:v>جهاد اقتصادی</x:v>
      </x:c>
      <x:c r="I1975" s="39" t="str">
        <x:v>نیازمند تعریف خروجی یا پارک</x:v>
      </x:c>
      <x:c r="J1975" s="39" t="str">
        <x:v>پژوهشگر سیاست‌گذاری/حقوق/اقتصاد؛ صرفاً تحلیلی</x:v>
      </x:c>
      <x:c r="K1975" s="39" t="str"/>
      <x:c r="L1975" s="39" t="str">
        <x:v>AP:P1545</x:v>
      </x:c>
      <x:c r="M1975" s="39" t="str"/>
      <x:c r="N1975" s="39" t="str">
        <x:v>نسخه پایه ۳۱۵۰</x:v>
      </x:c>
    </x:row>
    <x:row r="1976" ht="34" customHeight="1">
      <x:c r="A1976" s="34" t="str">
        <x:v>☐</x:v>
      </x:c>
      <x:c r="B1976" s="34" t="str">
        <x:v>MI-1588</x:v>
      </x:c>
      <x:c r="C1976" s="34" t="str">
        <x:v>M5 — دانش، فرهنگ، حکمرانی و بانک مطالعاتی</x:v>
      </x:c>
      <x:c r="D1976" s="34" t="str">
        <x:v>H16</x:v>
      </x:c>
      <x:c r="E1976" s="34" t="str">
        <x:v>سیاست، حکمرانی، حقوق و اقتصاد کلان</x:v>
      </x:c>
      <x:c r="F1976" s="34" t="str">
        <x:v>P3/CLARIFY</x:v>
      </x:c>
      <x:c r="G1976" s="34" t="str">
        <x:v>هدف/موضوع</x:v>
      </x:c>
      <x:c r="H1976" s="39" t="str">
        <x:v>یا در حوزه های خاص و استراتژیک استانداری ورود کنی و برای اون مسابقه بزاری یا جذب پروپوزال یا همایش و یا غیره در لاین بستر اردوگاهی برای مهمان های از راه دور اومده یا ....</x:v>
      </x:c>
      <x:c r="I1976" s="39" t="str">
        <x:v>نیازمند تعریف خروجی یا پارک</x:v>
      </x:c>
      <x:c r="J1976" s="39" t="str">
        <x:v>پژوهشگر سیاست‌گذاری/حقوق/اقتصاد؛ صرفاً تحلیلی</x:v>
      </x:c>
      <x:c r="K1976" s="39" t="str"/>
      <x:c r="L1976" s="39" t="str">
        <x:v>E112:P31؛ E112:P1811؛ E112:P2277</x:v>
      </x:c>
      <x:c r="M1976" s="39" t="str"/>
      <x:c r="N1976" s="39" t="str">
        <x:v>نسخه پایه ۳۱۵۰</x:v>
      </x:c>
    </x:row>
    <x:row r="1977" ht="34" customHeight="1">
      <x:c r="A1977" s="34" t="str">
        <x:v>☐</x:v>
      </x:c>
      <x:c r="B1977" s="34" t="str">
        <x:v>MI-1990</x:v>
      </x:c>
      <x:c r="C1977" s="34" t="str">
        <x:v>M5 — دانش، فرهنگ، حکمرانی و بانک مطالعاتی</x:v>
      </x:c>
      <x:c r="D1977" s="34" t="str">
        <x:v>H16</x:v>
      </x:c>
      <x:c r="E1977" s="34" t="str">
        <x:v>سیاست، حکمرانی، حقوق و اقتصاد کلان</x:v>
      </x:c>
      <x:c r="F1977" s="34" t="str">
        <x:v>P3/CLARIFY</x:v>
      </x:c>
      <x:c r="G1977" s="34" t="str">
        <x:v>هدف/موضوع</x:v>
      </x:c>
      <x:c r="H1977" s="39" t="str">
        <x:v>صندوق های دولتی</x:v>
      </x:c>
      <x:c r="I1977" s="39" t="str">
        <x:v>نیازمند تعریف خروجی یا پارک</x:v>
      </x:c>
      <x:c r="J1977" s="39" t="str">
        <x:v>پژوهشگر سیاست‌گذاری/حقوق/اقتصاد؛ صرفاً تحلیلی</x:v>
      </x:c>
      <x:c r="K1977" s="39" t="str"/>
      <x:c r="L1977" s="39" t="str">
        <x:v>E112:P631</x:v>
      </x:c>
      <x:c r="M1977" s="39" t="str"/>
      <x:c r="N1977" s="39" t="str">
        <x:v>نسخه پایه ۳۱۵۰</x:v>
      </x:c>
    </x:row>
    <x:row r="1978" ht="34" customHeight="1">
      <x:c r="A1978" s="34" t="str">
        <x:v>☐</x:v>
      </x:c>
      <x:c r="B1978" s="34" t="str">
        <x:v>MI-2009</x:v>
      </x:c>
      <x:c r="C1978" s="34" t="str">
        <x:v>M5 — دانش، فرهنگ، حکمرانی و بانک مطالعاتی</x:v>
      </x:c>
      <x:c r="D1978" s="34" t="str">
        <x:v>H16</x:v>
      </x:c>
      <x:c r="E1978" s="34" t="str">
        <x:v>سیاست، حکمرانی، حقوق و اقتصاد کلان</x:v>
      </x:c>
      <x:c r="F1978" s="34" t="str">
        <x:v>P3/CLARIFY</x:v>
      </x:c>
      <x:c r="G1978" s="34" t="str">
        <x:v>هدف/موضوع</x:v>
      </x:c>
      <x:c r="H1978" s="39" t="str">
        <x:v>استانداری</x:v>
      </x:c>
      <x:c r="I1978" s="39" t="str">
        <x:v>نیازمند تعریف خروجی یا پارک</x:v>
      </x:c>
      <x:c r="J1978" s="39" t="str">
        <x:v>پژوهشگر سیاست‌گذاری/حقوق/اقتصاد؛ صرفاً تحلیلی</x:v>
      </x:c>
      <x:c r="K1978" s="39" t="str"/>
      <x:c r="L1978" s="39" t="str">
        <x:v>E112:P664؛ E112:P816؛ E112:P1036؛ E112:P2077؛ E112:P2725</x:v>
      </x:c>
      <x:c r="M1978" s="39" t="str"/>
      <x:c r="N1978" s="39" t="str">
        <x:v>نسخه پایه ۳۱۵۰</x:v>
      </x:c>
    </x:row>
    <x:row r="1979" ht="34" customHeight="1">
      <x:c r="A1979" s="34" t="str">
        <x:v>☐</x:v>
      </x:c>
      <x:c r="B1979" s="34" t="str">
        <x:v>MI-2087</x:v>
      </x:c>
      <x:c r="C1979" s="34" t="str">
        <x:v>M5 — دانش، فرهنگ، حکمرانی و بانک مطالعاتی</x:v>
      </x:c>
      <x:c r="D1979" s="34" t="str">
        <x:v>H16</x:v>
      </x:c>
      <x:c r="E1979" s="34" t="str">
        <x:v>سیاست، حکمرانی، حقوق و اقتصاد کلان</x:v>
      </x:c>
      <x:c r="F1979" s="34" t="str">
        <x:v>P3/CLARIFY</x:v>
      </x:c>
      <x:c r="G1979" s="34" t="str">
        <x:v>هدف/موضوع</x:v>
      </x:c>
      <x:c r="H1979" s="39" t="str">
        <x:v>معاونت اقتصادی</x:v>
      </x:c>
      <x:c r="I1979" s="39" t="str">
        <x:v>نیازمند تعریف خروجی یا پارک</x:v>
      </x:c>
      <x:c r="J1979" s="39" t="str">
        <x:v>پژوهشگر سیاست‌گذاری/حقوق/اقتصاد؛ صرفاً تحلیلی</x:v>
      </x:c>
      <x:c r="K1979" s="39" t="str"/>
      <x:c r="L1979" s="39" t="str">
        <x:v>E112:P817</x:v>
      </x:c>
      <x:c r="M1979" s="39" t="str"/>
      <x:c r="N1979" s="39" t="str">
        <x:v>نسخه پایه ۳۱۵۰</x:v>
      </x:c>
    </x:row>
    <x:row r="1980" ht="34" customHeight="1">
      <x:c r="A1980" s="34" t="str">
        <x:v>☐</x:v>
      </x:c>
      <x:c r="B1980" s="34" t="str">
        <x:v>MI-2211</x:v>
      </x:c>
      <x:c r="C1980" s="34" t="str">
        <x:v>M5 — دانش، فرهنگ، حکمرانی و بانک مطالعاتی</x:v>
      </x:c>
      <x:c r="D1980" s="34" t="str">
        <x:v>H16</x:v>
      </x:c>
      <x:c r="E1980" s="34" t="str">
        <x:v>سیاست، حکمرانی، حقوق و اقتصاد کلان</x:v>
      </x:c>
      <x:c r="F1980" s="34" t="str">
        <x:v>P3/CLARIFY</x:v>
      </x:c>
      <x:c r="G1980" s="34" t="str">
        <x:v>هدف/موضوع</x:v>
      </x:c>
      <x:c r="H1980" s="39" t="str">
        <x:v>این استان ها بیشترین تبادل انسانی و اقتصادی را با مازندران دارند.</x:v>
      </x:c>
      <x:c r="I1980" s="39" t="str">
        <x:v>نیازمند تعریف خروجی یا پارک</x:v>
      </x:c>
      <x:c r="J1980" s="39" t="str">
        <x:v>پژوهشگر سیاست‌گذاری/حقوق/اقتصاد؛ صرفاً تحلیلی</x:v>
      </x:c>
      <x:c r="K1980" s="39" t="str"/>
      <x:c r="L1980" s="39" t="str">
        <x:v>E112:P1046</x:v>
      </x:c>
      <x:c r="M1980" s="39" t="str"/>
      <x:c r="N1980" s="39" t="str">
        <x:v>نسخه پایه ۳۱۵۰</x:v>
      </x:c>
    </x:row>
    <x:row r="1981" ht="34" customHeight="1">
      <x:c r="A1981" s="34" t="str">
        <x:v>☐</x:v>
      </x:c>
      <x:c r="B1981" s="34" t="str">
        <x:v>MI-2338</x:v>
      </x:c>
      <x:c r="C1981" s="34" t="str">
        <x:v>M5 — دانش، فرهنگ، حکمرانی و بانک مطالعاتی</x:v>
      </x:c>
      <x:c r="D1981" s="34" t="str">
        <x:v>H16</x:v>
      </x:c>
      <x:c r="E1981" s="34" t="str">
        <x:v>سیاست، حکمرانی، حقوق و اقتصاد کلان</x:v>
      </x:c>
      <x:c r="F1981" s="34" t="str">
        <x:v>P3/CLARIFY</x:v>
      </x:c>
      <x:c r="G1981" s="34" t="str">
        <x:v>هدف/موضوع</x:v>
      </x:c>
      <x:c r="H1981" s="39" t="str">
        <x:v>اقتصاد اقامتگاه ها</x:v>
      </x:c>
      <x:c r="I1981" s="39" t="str">
        <x:v>نیازمند تعریف خروجی یا پارک</x:v>
      </x:c>
      <x:c r="J1981" s="39" t="str">
        <x:v>پژوهشگر سیاست‌گذاری/حقوق/اقتصاد؛ صرفاً تحلیلی</x:v>
      </x:c>
      <x:c r="K1981" s="39" t="str"/>
      <x:c r="L1981" s="39" t="str">
        <x:v>E112:P1340</x:v>
      </x:c>
      <x:c r="M1981" s="39" t="str"/>
      <x:c r="N1981" s="39" t="str">
        <x:v>نسخه پایه ۳۱۵۰</x:v>
      </x:c>
    </x:row>
    <x:row r="1982" ht="34" customHeight="1">
      <x:c r="A1982" s="34" t="str">
        <x:v>☐</x:v>
      </x:c>
      <x:c r="B1982" s="34" t="str">
        <x:v>MI-2341</x:v>
      </x:c>
      <x:c r="C1982" s="34" t="str">
        <x:v>M5 — دانش، فرهنگ، حکمرانی و بانک مطالعاتی</x:v>
      </x:c>
      <x:c r="D1982" s="34" t="str">
        <x:v>H16</x:v>
      </x:c>
      <x:c r="E1982" s="34" t="str">
        <x:v>سیاست، حکمرانی، حقوق و اقتصاد کلان</x:v>
      </x:c>
      <x:c r="F1982" s="34" t="str">
        <x:v>P3/CLARIFY</x:v>
      </x:c>
      <x:c r="G1982" s="34" t="str">
        <x:v>هدف/موضوع</x:v>
      </x:c>
      <x:c r="H1982" s="39" t="str">
        <x:v>اقتصاد ساحلی</x:v>
      </x:c>
      <x:c r="I1982" s="39" t="str">
        <x:v>نیازمند تعریف خروجی یا پارک</x:v>
      </x:c>
      <x:c r="J1982" s="39" t="str">
        <x:v>پژوهشگر سیاست‌گذاری/حقوق/اقتصاد؛ صرفاً تحلیلی</x:v>
      </x:c>
      <x:c r="K1982" s="39" t="str"/>
      <x:c r="L1982" s="39" t="str">
        <x:v>E112:P1348</x:v>
      </x:c>
      <x:c r="M1982" s="39" t="str"/>
      <x:c r="N1982" s="39" t="str">
        <x:v>نسخه پایه ۳۱۵۰</x:v>
      </x:c>
    </x:row>
    <x:row r="1983" ht="34" customHeight="1">
      <x:c r="A1983" s="34" t="str">
        <x:v>☐</x:v>
      </x:c>
      <x:c r="B1983" s="34" t="str">
        <x:v>MI-2470</x:v>
      </x:c>
      <x:c r="C1983" s="34" t="str">
        <x:v>M5 — دانش، فرهنگ، حکمرانی و بانک مطالعاتی</x:v>
      </x:c>
      <x:c r="D1983" s="34" t="str">
        <x:v>H16</x:v>
      </x:c>
      <x:c r="E1983" s="34" t="str">
        <x:v>سیاست، حکمرانی، حقوق و اقتصاد کلان</x:v>
      </x:c>
      <x:c r="F1983" s="34" t="str">
        <x:v>P3/CLARIFY</x:v>
      </x:c>
      <x:c r="G1983" s="34" t="str">
        <x:v>هدف/موضوع</x:v>
      </x:c>
      <x:c r="H1983" s="39" t="str">
        <x:v>مزیت های اقتصادی منطقه:</x:v>
      </x:c>
      <x:c r="I1983" s="39" t="str">
        <x:v>نیازمند تعریف خروجی یا پارک</x:v>
      </x:c>
      <x:c r="J1983" s="39" t="str">
        <x:v>پژوهشگر سیاست‌گذاری/حقوق/اقتصاد؛ صرفاً تحلیلی</x:v>
      </x:c>
      <x:c r="K1983" s="39" t="str"/>
      <x:c r="L1983" s="39" t="str">
        <x:v>E112:P1769</x:v>
      </x:c>
      <x:c r="M1983" s="39" t="str"/>
      <x:c r="N1983" s="39" t="str">
        <x:v>نسخه پایه ۳۱۵۰</x:v>
      </x:c>
    </x:row>
    <x:row r="1984" ht="34" customHeight="1">
      <x:c r="A1984" s="34" t="str">
        <x:v>☐</x:v>
      </x:c>
      <x:c r="B1984" s="34" t="str">
        <x:v>MI-2719</x:v>
      </x:c>
      <x:c r="C1984" s="34" t="str">
        <x:v>M5 — دانش، فرهنگ، حکمرانی و بانک مطالعاتی</x:v>
      </x:c>
      <x:c r="D1984" s="34" t="str">
        <x:v>H16</x:v>
      </x:c>
      <x:c r="E1984" s="34" t="str">
        <x:v>سیاست، حکمرانی، حقوق و اقتصاد کلان</x:v>
      </x:c>
      <x:c r="F1984" s="34" t="str">
        <x:v>P3/CLARIFY</x:v>
      </x:c>
      <x:c r="G1984" s="34" t="str">
        <x:v>هدف/موضوع</x:v>
      </x:c>
      <x:c r="H1984" s="39" t="str">
        <x:v>سازمان های دولتی</x:v>
      </x:c>
      <x:c r="I1984" s="39" t="str">
        <x:v>نیازمند تعریف خروجی یا پارک</x:v>
      </x:c>
      <x:c r="J1984" s="39" t="str">
        <x:v>پژوهشگر سیاست‌گذاری/حقوق/اقتصاد؛ صرفاً تحلیلی</x:v>
      </x:c>
      <x:c r="K1984" s="39" t="str"/>
      <x:c r="L1984" s="39" t="str">
        <x:v>E112:P2727؛ E112:P3051</x:v>
      </x:c>
      <x:c r="M1984" s="39" t="str"/>
      <x:c r="N1984" s="39" t="str">
        <x:v>نسخه پایه ۳۱۵۰</x:v>
      </x:c>
    </x:row>
    <x:row r="1985" ht="34" customHeight="1">
      <x:c r="A1985" s="34" t="str">
        <x:v>☐</x:v>
      </x:c>
      <x:c r="B1985" s="34" t="str">
        <x:v>MI-2764</x:v>
      </x:c>
      <x:c r="C1985" s="34" t="str">
        <x:v>M5 — دانش، فرهنگ، حکمرانی و بانک مطالعاتی</x:v>
      </x:c>
      <x:c r="D1985" s="34" t="str">
        <x:v>H16</x:v>
      </x:c>
      <x:c r="E1985" s="34" t="str">
        <x:v>سیاست، حکمرانی، حقوق و اقتصاد کلان</x:v>
      </x:c>
      <x:c r="F1985" s="34" t="str">
        <x:v>P3/CLARIFY</x:v>
      </x:c>
      <x:c r="G1985" s="34" t="str">
        <x:v>هدف/موضوع</x:v>
      </x:c>
      <x:c r="H1985" s="39" t="str">
        <x:v>16. مزیت های اقتصادی مازندران</x:v>
      </x:c>
      <x:c r="I1985" s="39" t="str">
        <x:v>نیازمند تعریف خروجی یا پارک</x:v>
      </x:c>
      <x:c r="J1985" s="39" t="str">
        <x:v>پژوهشگر سیاست‌گذاری/حقوق/اقتصاد؛ صرفاً تحلیلی</x:v>
      </x:c>
      <x:c r="K1985" s="39" t="str"/>
      <x:c r="L1985" s="39" t="str">
        <x:v>E112:P2851</x:v>
      </x:c>
      <x:c r="M1985" s="39" t="str"/>
      <x:c r="N1985" s="39" t="str">
        <x:v>نسخه پایه ۳۱۵۰</x:v>
      </x:c>
    </x:row>
    <x:row r="1986" ht="34" customHeight="1">
      <x:c r="A1986" s="34" t="str">
        <x:v>☐</x:v>
      </x:c>
      <x:c r="B1986" s="34" t="str">
        <x:v>MI-2765</x:v>
      </x:c>
      <x:c r="C1986" s="34" t="str">
        <x:v>M5 — دانش، فرهنگ، حکمرانی و بانک مطالعاتی</x:v>
      </x:c>
      <x:c r="D1986" s="34" t="str">
        <x:v>H16</x:v>
      </x:c>
      <x:c r="E1986" s="34" t="str">
        <x:v>سیاست، حکمرانی، حقوق و اقتصاد کلان</x:v>
      </x:c>
      <x:c r="F1986" s="34" t="str">
        <x:v>P3/CLARIFY</x:v>
      </x:c>
      <x:c r="G1986" s="34" t="str">
        <x:v>هدف/موضوع</x:v>
      </x:c>
      <x:c r="H1986" s="39" t="str">
        <x:v>استان مازندران دارای مزیت های اقتصادی مهمی است:</x:v>
      </x:c>
      <x:c r="I1986" s="39" t="str">
        <x:v>نیازمند تعریف خروجی یا پارک</x:v>
      </x:c>
      <x:c r="J1986" s="39" t="str">
        <x:v>پژوهشگر سیاست‌گذاری/حقوق/اقتصاد؛ صرفاً تحلیلی</x:v>
      </x:c>
      <x:c r="K1986" s="39" t="str"/>
      <x:c r="L1986" s="39" t="str">
        <x:v>E112:P2853</x:v>
      </x:c>
      <x:c r="M1986" s="39" t="str"/>
      <x:c r="N1986" s="39" t="str">
        <x:v>نسخه پایه ۳۱۵۰</x:v>
      </x:c>
    </x:row>
    <x:row r="1987" ht="34" customHeight="1">
      <x:c r="A1987" s="34" t="str">
        <x:v>☐</x:v>
      </x:c>
      <x:c r="B1987" s="34" t="str">
        <x:v>MI-2772</x:v>
      </x:c>
      <x:c r="C1987" s="34" t="str">
        <x:v>M5 — دانش، فرهنگ، حکمرانی و بانک مطالعاتی</x:v>
      </x:c>
      <x:c r="D1987" s="34" t="str">
        <x:v>H16</x:v>
      </x:c>
      <x:c r="E1987" s="34" t="str">
        <x:v>سیاست، حکمرانی، حقوق و اقتصاد کلان</x:v>
      </x:c>
      <x:c r="F1987" s="34" t="str">
        <x:v>P3/CLARIFY</x:v>
      </x:c>
      <x:c r="G1987" s="34" t="str">
        <x:v>هدف/موضوع</x:v>
      </x:c>
      <x:c r="H1987" s="39" t="str">
        <x:v>مناطق ویژه اقتصادی</x:v>
      </x:c>
      <x:c r="I1987" s="39" t="str">
        <x:v>نیازمند تعریف خروجی یا پارک</x:v>
      </x:c>
      <x:c r="J1987" s="39" t="str">
        <x:v>پژوهشگر سیاست‌گذاری/حقوق/اقتصاد؛ صرفاً تحلیلی</x:v>
      </x:c>
      <x:c r="K1987" s="39" t="str"/>
      <x:c r="L1987" s="39" t="str">
        <x:v>E112:P2867</x:v>
      </x:c>
      <x:c r="M1987" s="39" t="str"/>
      <x:c r="N1987" s="39" t="str">
        <x:v>نسخه پایه ۳۱۵۰</x:v>
      </x:c>
    </x:row>
    <x:row r="1988" ht="34" customHeight="1">
      <x:c r="A1988" s="34" t="str">
        <x:v>☐</x:v>
      </x:c>
      <x:c r="B1988" s="34" t="str">
        <x:v>MI-2978</x:v>
      </x:c>
      <x:c r="C1988" s="34" t="str">
        <x:v>M5 — دانش، فرهنگ، حکمرانی و بانک مطالعاتی</x:v>
      </x:c>
      <x:c r="D1988" s="34" t="str">
        <x:v>H16</x:v>
      </x:c>
      <x:c r="E1988" s="34" t="str">
        <x:v>سیاست، حکمرانی، حقوق و اقتصاد کلان</x:v>
      </x:c>
      <x:c r="F1988" s="34" t="str">
        <x:v>P3/CLARIFY</x:v>
      </x:c>
      <x:c r="G1988" s="34" t="str">
        <x:v>هدف/موضوع</x:v>
      </x:c>
      <x:c r="H1988" s="39" t="str">
        <x:v>اینجا جایی است که اکوسیستم به اقتصاد واقعی وصل می شود.</x:v>
      </x:c>
      <x:c r="I1988" s="39" t="str">
        <x:v>نیازمند تعریف خروجی یا پارک</x:v>
      </x:c>
      <x:c r="J1988" s="39" t="str">
        <x:v>پژوهشگر سیاست‌گذاری/حقوق/اقتصاد؛ صرفاً تحلیلی</x:v>
      </x:c>
      <x:c r="K1988" s="39" t="str"/>
      <x:c r="L1988" s="39" t="str">
        <x:v>E112:P3413</x:v>
      </x:c>
      <x:c r="M1988" s="39" t="str"/>
      <x:c r="N1988" s="39" t="str">
        <x:v>نسخه پایه ۳۱۵۰</x:v>
      </x:c>
    </x:row>
    <x:row r="1989" ht="34" customHeight="1">
      <x:c r="A1989" s="34" t="str">
        <x:v>☐</x:v>
      </x:c>
      <x:c r="B1989" s="34" t="str">
        <x:v>MI-3072</x:v>
      </x:c>
      <x:c r="C1989" s="34" t="str">
        <x:v>M1 — فرد، پایه‌های عملکرد و خودشناسی</x:v>
      </x:c>
      <x:c r="D1989" s="34" t="str">
        <x:v>H17</x:v>
      </x:c>
      <x:c r="E1989" s="34" t="str">
        <x:v>سفر، تفریح، هنر و ورزش</x:v>
      </x:c>
      <x:c r="F1989" s="34" t="str">
        <x:v>BANK</x:v>
      </x:c>
      <x:c r="G1989" s="34" t="str">
        <x:v>مطالعه/منبع</x:v>
      </x:c>
      <x:c r="H1989" s="39"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I1989" s="39" t="str">
        <x:v>بانک مطالعه؛ سقف زمانی</x:v>
      </x:c>
      <x:c r="J1989" s="39" t="str">
        <x:v>کوچ سبک زندگی</x:v>
      </x:c>
      <x:c r="K1989" s="39" t="str"/>
      <x:c r="L1989" s="39" t="str">
        <x:v>INT:T12 R2</x:v>
      </x:c>
      <x:c r="M1989" s="39" t="str"/>
      <x:c r="N1989" s="39" t="str">
        <x:v>نسخه پایه ۳۱۵۰</x:v>
      </x:c>
    </x:row>
    <x:row r="1990" ht="34" customHeight="1">
      <x:c r="A1990" s="34" t="str">
        <x:v>☐</x:v>
      </x:c>
      <x:c r="B1990" s="34" t="str">
        <x:v>MI-3084</x:v>
      </x:c>
      <x:c r="C1990" s="34" t="str">
        <x:v>M1 — فرد، پایه‌های عملکرد و خودشناسی</x:v>
      </x:c>
      <x:c r="D1990" s="34" t="str">
        <x:v>H17</x:v>
      </x:c>
      <x:c r="E1990" s="34" t="str">
        <x:v>سفر، تفریح، هنر و ورزش</x:v>
      </x:c>
      <x:c r="F1990" s="34" t="str">
        <x:v>BANK</x:v>
      </x:c>
      <x:c r="G1990" s="34" t="str">
        <x:v>مطالعه/منبع</x:v>
      </x:c>
      <x:c r="H1990" s="39" t="str">
        <x:v>به سه تار نوازی علاقه دارم نقاشی تا حدودی تولید انیمیشن برام جذابه داستان سرایی تقلید از افرادی که برای یه عده آشنا هستند بازیگری</x:v>
      </x:c>
      <x:c r="I1990" s="39" t="str">
        <x:v>بانک مطالعه؛ سقف زمانی</x:v>
      </x:c>
      <x:c r="J1990" s="39" t="str">
        <x:v>کوچ سبک زندگی</x:v>
      </x:c>
      <x:c r="K1990" s="39" t="str"/>
      <x:c r="L1990" s="39" t="str">
        <x:v>INT:T22 R2</x:v>
      </x:c>
      <x:c r="M1990" s="39" t="str"/>
      <x:c r="N1990" s="39" t="str">
        <x:v>نسخه پایه ۳۱۵۰</x:v>
      </x:c>
    </x:row>
    <x:row r="1991" ht="34" customHeight="1">
      <x:c r="A1991" s="34" t="str">
        <x:v>☐</x:v>
      </x:c>
      <x:c r="B1991" s="34" t="str">
        <x:v>MI-3077</x:v>
      </x:c>
      <x:c r="C1991" s="34" t="str">
        <x:v>M1 — فرد، پایه‌های عملکرد و خودشناسی</x:v>
      </x:c>
      <x:c r="D1991" s="34" t="str">
        <x:v>H17</x:v>
      </x:c>
      <x:c r="E1991" s="34" t="str">
        <x:v>سفر، تفریح، هنر و ورزش</x:v>
      </x:c>
      <x:c r="F1991" s="34" t="str">
        <x:v>P3</x:v>
      </x:c>
      <x:c r="G1991" s="34" t="str">
        <x:v>اقدام اجرایی</x:v>
      </x:c>
      <x:c r="H1991" s="39" t="str">
        <x:v>از نظر بقیه من آدم اجتماعی هستم، می جوشم ، راحت ارتباط برقرار میکنم، خوشرو، خوش برخورد، خوش بو، مدیریت پسندم، کار در بیار هستم، یکم زود عصبانی میشم ، بی برنامه ، نا منظم ، کارا رو تا تهش پیش نمیبرم، لحظه آخری ، وقت نشناس</x:v>
      </x:c>
      <x:c r="I1991" s="39" t="str">
        <x:v>زمان‌بندی محدود/شبکه‌ای</x:v>
      </x:c>
      <x:c r="J1991" s="39" t="str">
        <x:v>کوچ سبک زندگی</x:v>
      </x:c>
      <x:c r="K1991" s="39" t="str"/>
      <x:c r="L1991" s="39" t="str">
        <x:v>INT:T15 R2</x:v>
      </x:c>
      <x:c r="M1991" s="39" t="str"/>
      <x:c r="N1991" s="39" t="str">
        <x:v>نسخه پایه ۳۱۵۰</x:v>
      </x:c>
    </x:row>
    <x:row r="1992" ht="34" customHeight="1">
      <x:c r="A1992" s="34" t="str">
        <x:v>☐</x:v>
      </x:c>
      <x:c r="B1992" s="34" t="str">
        <x:v>MI-0295</x:v>
      </x:c>
      <x:c r="C1992" s="34" t="str">
        <x:v>M1 — فرد، پایه‌های عملکرد و خودشناسی</x:v>
      </x:c>
      <x:c r="D1992" s="34" t="str">
        <x:v>H17</x:v>
      </x:c>
      <x:c r="E1992" s="34" t="str">
        <x:v>سفر، تفریح، هنر و ورزش</x:v>
      </x:c>
      <x:c r="F1992" s="34" t="str">
        <x:v>P3</x:v>
      </x:c>
      <x:c r="G1992" s="34" t="str">
        <x:v>پروژه/طرح</x:v>
      </x:c>
      <x:c r="H1992" s="39" t="str">
        <x:v>جریان سازی</x:v>
      </x:c>
      <x:c r="I1992" s="39" t="str">
        <x:v>زمان‌بندی محدود/شبکه‌ای</x:v>
      </x:c>
      <x:c r="J1992" s="39" t="str">
        <x:v>کوچ سبک زندگی</x:v>
      </x:c>
      <x:c r="K1992" s="39" t="str"/>
      <x:c r="L1992" s="39" t="str">
        <x:v>AP:P66؛ AP:P1098</x:v>
      </x:c>
      <x:c r="M1992" s="39" t="str"/>
      <x:c r="N1992" s="39" t="str">
        <x:v>نسخه پایه ۳۱۵۰</x:v>
      </x:c>
    </x:row>
    <x:row r="1993" ht="34" customHeight="1">
      <x:c r="A1993" s="34" t="str">
        <x:v>☐</x:v>
      </x:c>
      <x:c r="B1993" s="34" t="str">
        <x:v>MI-0296</x:v>
      </x:c>
      <x:c r="C1993" s="34" t="str">
        <x:v>M1 — فرد، پایه‌های عملکرد و خودشناسی</x:v>
      </x:c>
      <x:c r="D1993" s="34" t="str">
        <x:v>H17</x:v>
      </x:c>
      <x:c r="E1993" s="34" t="str">
        <x:v>سفر، تفریح، هنر و ورزش</x:v>
      </x:c>
      <x:c r="F1993" s="34" t="str">
        <x:v>P3</x:v>
      </x:c>
      <x:c r="G1993" s="34" t="str">
        <x:v>پروژه/طرح</x:v>
      </x:c>
      <x:c r="H1993" s="39" t="str">
        <x:v>جریان سوزی</x:v>
      </x:c>
      <x:c r="I1993" s="39" t="str">
        <x:v>زمان‌بندی محدود/شبکه‌ای</x:v>
      </x:c>
      <x:c r="J1993" s="39" t="str">
        <x:v>کوچ سبک زندگی</x:v>
      </x:c>
      <x:c r="K1993" s="39" t="str"/>
      <x:c r="L1993" s="39" t="str">
        <x:v>AP:P67؛ AP:P1099</x:v>
      </x:c>
      <x:c r="M1993" s="39" t="str"/>
      <x:c r="N1993" s="39" t="str">
        <x:v>نسخه پایه ۳۱۵۰</x:v>
      </x:c>
    </x:row>
    <x:row r="1994" ht="34" customHeight="1">
      <x:c r="A1994" s="34" t="str">
        <x:v>☐</x:v>
      </x:c>
      <x:c r="B1994" s="34" t="str">
        <x:v>MI-0687</x:v>
      </x:c>
      <x:c r="C1994" s="34" t="str">
        <x:v>M1 — فرد، پایه‌های عملکرد و خودشناسی</x:v>
      </x:c>
      <x:c r="D1994" s="34" t="str">
        <x:v>H17</x:v>
      </x:c>
      <x:c r="E1994" s="34" t="str">
        <x:v>سفر، تفریح، هنر و ورزش</x:v>
      </x:c>
      <x:c r="F1994" s="34" t="str">
        <x:v>P3</x:v>
      </x:c>
      <x:c r="G1994" s="34" t="str">
        <x:v>پروژه/طرح</x:v>
      </x:c>
      <x:c r="H1994" s="39" t="str">
        <x:v>باکس امانت به حراست</x:v>
      </x:c>
      <x:c r="I1994" s="39" t="str">
        <x:v>زمان‌بندی محدود/شبکه‌ای</x:v>
      </x:c>
      <x:c r="J1994" s="39" t="str">
        <x:v>کوچ سبک زندگی</x:v>
      </x:c>
      <x:c r="K1994" s="39" t="str"/>
      <x:c r="L1994" s="39" t="str">
        <x:v>AP:P477؛ AP:P645</x:v>
      </x:c>
      <x:c r="M1994" s="39" t="str"/>
      <x:c r="N1994" s="39" t="str">
        <x:v>نسخه پایه ۳۱۵۰</x:v>
      </x:c>
    </x:row>
    <x:row r="1995" ht="34" customHeight="1">
      <x:c r="A1995" s="34" t="str">
        <x:v>☐</x:v>
      </x:c>
      <x:c r="B1995" s="34" t="str">
        <x:v>MI-0690</x:v>
      </x:c>
      <x:c r="C1995" s="34" t="str">
        <x:v>M1 — فرد، پایه‌های عملکرد و خودشناسی</x:v>
      </x:c>
      <x:c r="D1995" s="34" t="str">
        <x:v>H17</x:v>
      </x:c>
      <x:c r="E1995" s="34" t="str">
        <x:v>سفر، تفریح، هنر و ورزش</x:v>
      </x:c>
      <x:c r="F1995" s="34" t="str">
        <x:v>P3</x:v>
      </x:c>
      <x:c r="G1995" s="34" t="str">
        <x:v>پروژه/طرح</x:v>
      </x:c>
      <x:c r="H1995" s="39" t="str">
        <x:v>غییر تکاربری انبار و بازسازی زیمن والیبال ساحلی</x:v>
      </x:c>
      <x:c r="I1995" s="39" t="str">
        <x:v>زمان‌بندی محدود/شبکه‌ای</x:v>
      </x:c>
      <x:c r="J1995" s="39" t="str">
        <x:v>کوچ سبک زندگی</x:v>
      </x:c>
      <x:c r="K1995" s="39" t="str"/>
      <x:c r="L1995" s="39" t="str">
        <x:v>AP:P480؛ AP:P642</x:v>
      </x:c>
      <x:c r="M1995" s="39" t="str"/>
      <x:c r="N1995" s="39" t="str">
        <x:v>نسخه پایه ۳۱۵۰</x:v>
      </x:c>
    </x:row>
    <x:row r="1996" ht="34" customHeight="1">
      <x:c r="A1996" s="34" t="str">
        <x:v>☐</x:v>
      </x:c>
      <x:c r="B1996" s="34" t="str">
        <x:v>MI-0691</x:v>
      </x:c>
      <x:c r="C1996" s="34" t="str">
        <x:v>M1 — فرد، پایه‌های عملکرد و خودشناسی</x:v>
      </x:c>
      <x:c r="D1996" s="34" t="str">
        <x:v>H17</x:v>
      </x:c>
      <x:c r="E1996" s="34" t="str">
        <x:v>سفر، تفریح، هنر و ورزش</x:v>
      </x:c>
      <x:c r="F1996" s="34" t="str">
        <x:v>P3</x:v>
      </x:c>
      <x:c r="G1996" s="34" t="str">
        <x:v>پروژه/طرح</x:v>
      </x:c>
      <x:c r="H1996" s="39" t="str">
        <x:v>دوربین کتاخانه به حراست</x:v>
      </x:c>
      <x:c r="I1996" s="39" t="str">
        <x:v>زمان‌بندی محدود/شبکه‌ای</x:v>
      </x:c>
      <x:c r="J1996" s="39" t="str">
        <x:v>کوچ سبک زندگی</x:v>
      </x:c>
      <x:c r="K1996" s="39" t="str"/>
      <x:c r="L1996" s="39" t="str">
        <x:v>AP:P481؛ AP:P641</x:v>
      </x:c>
      <x:c r="M1996" s="39" t="str"/>
      <x:c r="N1996" s="39" t="str">
        <x:v>نسخه پایه ۳۱۵۰</x:v>
      </x:c>
    </x:row>
    <x:row r="1997" ht="34" customHeight="1">
      <x:c r="A1997" s="34" t="str">
        <x:v>☐</x:v>
      </x:c>
      <x:c r="B1997" s="34" t="str">
        <x:v>MI-0731</x:v>
      </x:c>
      <x:c r="C1997" s="34" t="str">
        <x:v>M1 — فرد، پایه‌های عملکرد و خودشناسی</x:v>
      </x:c>
      <x:c r="D1997" s="34" t="str">
        <x:v>H17</x:v>
      </x:c>
      <x:c r="E1997" s="34" t="str">
        <x:v>سفر، تفریح، هنر و ورزش</x:v>
      </x:c>
      <x:c r="F1997" s="34" t="str">
        <x:v>P3</x:v>
      </x:c>
      <x:c r="G1997" s="34" t="str">
        <x:v>پروژه/طرح</x:v>
      </x:c>
      <x:c r="H1997" s="39" t="str">
        <x:v>باشگاه پینگ پنگ و فوتبال دستی و پی اس و اینا</x:v>
      </x:c>
      <x:c r="I1997" s="39" t="str">
        <x:v>زمان‌بندی محدود/شبکه‌ای</x:v>
      </x:c>
      <x:c r="J1997" s="39" t="str">
        <x:v>کوچ سبک زندگی</x:v>
      </x:c>
      <x:c r="K1997" s="39" t="str"/>
      <x:c r="L1997" s="39" t="str">
        <x:v>AP:P522</x:v>
      </x:c>
      <x:c r="M1997" s="39" t="str"/>
      <x:c r="N1997" s="39" t="str">
        <x:v>نسخه پایه ۳۱۵۰</x:v>
      </x:c>
    </x:row>
    <x:row r="1998" ht="34" customHeight="1">
      <x:c r="A1998" s="34" t="str">
        <x:v>☐</x:v>
      </x:c>
      <x:c r="B1998" s="34" t="str">
        <x:v>MI-2613</x:v>
      </x:c>
      <x:c r="C1998" s="34" t="str">
        <x:v>M1 — فرد، پایه‌های عملکرد و خودشناسی</x:v>
      </x:c>
      <x:c r="D1998" s="34" t="str">
        <x:v>H17</x:v>
      </x:c>
      <x:c r="E1998" s="34" t="str">
        <x:v>سفر، تفریح، هنر و ورزش</x:v>
      </x:c>
      <x:c r="F1998" s="34" t="str">
        <x:v>P3</x:v>
      </x:c>
      <x:c r="G1998" s="34" t="str">
        <x:v>پروژه/طرح</x:v>
      </x:c>
      <x:c r="H1998" s="39" t="str">
        <x:v>هدف این طرح ایجاد یک سیستم یکپارچه برای شناسایی، پرورش و هدایت سرمایه انسانی در استان مازندران است تا از طریق آن:</x:v>
      </x:c>
      <x:c r="I1998" s="39" t="str">
        <x:v>زمان‌بندی محدود/شبکه‌ای</x:v>
      </x:c>
      <x:c r="J1998" s="39" t="str">
        <x:v>کوچ سبک زندگی</x:v>
      </x:c>
      <x:c r="K1998" s="39" t="str"/>
      <x:c r="L1998" s="39" t="str">
        <x:v>E112:P2447</x:v>
      </x:c>
      <x:c r="M1998" s="39" t="str"/>
      <x:c r="N1998" s="39" t="str">
        <x:v>نسخه پایه ۳۱۵۰</x:v>
      </x:c>
    </x:row>
    <x:row r="1999" ht="34" customHeight="1">
      <x:c r="A1999" s="34" t="str">
        <x:v>☐</x:v>
      </x:c>
      <x:c r="B1999" s="34" t="str">
        <x:v>MI-0009</x:v>
      </x:c>
      <x:c r="C1999" s="34" t="str">
        <x:v>M1 — فرد، پایه‌های عملکرد و خودشناسی</x:v>
      </x:c>
      <x:c r="D1999" s="34" t="str">
        <x:v>H17</x:v>
      </x:c>
      <x:c r="E1999" s="34" t="str">
        <x:v>سفر، تفریح، هنر و ورزش</x:v>
      </x:c>
      <x:c r="F1999" s="34" t="str">
        <x:v>P3</x:v>
      </x:c>
      <x:c r="G1999" s="34" t="str">
        <x:v>مهارت/یادگیری</x:v>
      </x:c>
      <x:c r="H1999" s="39" t="str">
        <x:v>آشنایی با دانش محصول</x:v>
      </x:c>
      <x:c r="I1999" s="39" t="str">
        <x:v>زمان‌بندی محدود/شبکه‌ای</x:v>
      </x:c>
      <x:c r="J1999" s="39" t="str">
        <x:v>کوچ سبک زندگی</x:v>
      </x:c>
      <x:c r="K1999" s="39" t="str"/>
      <x:c r="L1999" s="39" t="str">
        <x:v>PL:R10</x:v>
      </x:c>
      <x:c r="M1999" s="39" t="str"/>
      <x:c r="N1999" s="39" t="str">
        <x:v>نسخه پایه ۳۱۵۰</x:v>
      </x:c>
    </x:row>
    <x:row r="2000" ht="34" customHeight="1">
      <x:c r="A2000" s="34" t="str">
        <x:v>☐</x:v>
      </x:c>
      <x:c r="B2000" s="34" t="str">
        <x:v>MI-0010</x:v>
      </x:c>
      <x:c r="C2000" s="34" t="str">
        <x:v>M1 — فرد، پایه‌های عملکرد و خودشناسی</x:v>
      </x:c>
      <x:c r="D2000" s="34" t="str">
        <x:v>H17</x:v>
      </x:c>
      <x:c r="E2000" s="34" t="str">
        <x:v>سفر، تفریح، هنر و ورزش</x:v>
      </x:c>
      <x:c r="F2000" s="34" t="str">
        <x:v>P3</x:v>
      </x:c>
      <x:c r="G2000" s="34" t="str">
        <x:v>مهارت/یادگیری</x:v>
      </x:c>
      <x:c r="H2000" s="39" t="str">
        <x:v>آشنایی با سیستم CRM</x:v>
      </x:c>
      <x:c r="I2000" s="39" t="str">
        <x:v>زمان‌بندی محدود/شبکه‌ای</x:v>
      </x:c>
      <x:c r="J2000" s="39" t="str">
        <x:v>کوچ سبک زندگی</x:v>
      </x:c>
      <x:c r="K2000" s="39" t="str"/>
      <x:c r="L2000" s="39" t="str">
        <x:v>PL:R11</x:v>
      </x:c>
      <x:c r="M2000" s="39" t="str"/>
      <x:c r="N2000" s="39" t="str">
        <x:v>نسخه پایه ۳۱۵۰</x:v>
      </x:c>
    </x:row>
    <x:row r="2001" ht="34" customHeight="1">
      <x:c r="A2001" s="34" t="str">
        <x:v>☐</x:v>
      </x:c>
      <x:c r="B2001" s="34" t="str">
        <x:v>MI-0011</x:v>
      </x:c>
      <x:c r="C2001" s="34" t="str">
        <x:v>M1 — فرد، پایه‌های عملکرد و خودشناسی</x:v>
      </x:c>
      <x:c r="D2001" s="34" t="str">
        <x:v>H17</x:v>
      </x:c>
      <x:c r="E2001" s="34" t="str">
        <x:v>سفر، تفریح، هنر و ورزش</x:v>
      </x:c>
      <x:c r="F2001" s="34" t="str">
        <x:v>P3</x:v>
      </x:c>
      <x:c r="G2001" s="34" t="str">
        <x:v>مهارت/یادگیری</x:v>
      </x:c>
      <x:c r="H2001" s="39" t="str">
        <x:v>آشنایی با قوانین و مقررات عمومی - مدنی - مجلس</x:v>
      </x:c>
      <x:c r="I2001" s="39" t="str">
        <x:v>زمان‌بندی محدود/شبکه‌ای</x:v>
      </x:c>
      <x:c r="J2001" s="39" t="str">
        <x:v>کوچ سبک زندگی</x:v>
      </x:c>
      <x:c r="K2001" s="39" t="str"/>
      <x:c r="L2001" s="39" t="str">
        <x:v>PL:R12</x:v>
      </x:c>
      <x:c r="M2001" s="39" t="str"/>
      <x:c r="N2001" s="39" t="str">
        <x:v>نسخه پایه ۳۱۵۰</x:v>
      </x:c>
    </x:row>
    <x:row r="2002" ht="34" customHeight="1">
      <x:c r="A2002" s="34" t="str">
        <x:v>☐</x:v>
      </x:c>
      <x:c r="B2002" s="34" t="str">
        <x:v>MI-0013</x:v>
      </x:c>
      <x:c r="C2002" s="34" t="str">
        <x:v>M1 — فرد، پایه‌های عملکرد و خودشناسی</x:v>
      </x:c>
      <x:c r="D2002" s="34" t="str">
        <x:v>H17</x:v>
      </x:c>
      <x:c r="E2002" s="34" t="str">
        <x:v>سفر، تفریح، هنر و ورزش</x:v>
      </x:c>
      <x:c r="F2002" s="34" t="str">
        <x:v>P3</x:v>
      </x:c>
      <x:c r="G2002" s="34" t="str">
        <x:v>مهارت/یادگیری</x:v>
      </x:c>
      <x:c r="H2002" s="39" t="str">
        <x:v>آشنایی با گوگل ادورد</x:v>
      </x:c>
      <x:c r="I2002" s="39" t="str">
        <x:v>زمان‌بندی محدود/شبکه‌ای</x:v>
      </x:c>
      <x:c r="J2002" s="39" t="str">
        <x:v>کوچ سبک زندگی</x:v>
      </x:c>
      <x:c r="K2002" s="39" t="str"/>
      <x:c r="L2002" s="39" t="str">
        <x:v>PL:R14</x:v>
      </x:c>
      <x:c r="M2002" s="39" t="str"/>
      <x:c r="N2002" s="39" t="str">
        <x:v>نسخه پایه ۳۱۵۰</x:v>
      </x:c>
    </x:row>
    <x:row r="2003" ht="34" customHeight="1">
      <x:c r="A2003" s="34" t="str">
        <x:v>☐</x:v>
      </x:c>
      <x:c r="B2003" s="34" t="str">
        <x:v>MI-0079</x:v>
      </x:c>
      <x:c r="C2003" s="34" t="str">
        <x:v>M1 — فرد، پایه‌های عملکرد و خودشناسی</x:v>
      </x:c>
      <x:c r="D2003" s="34" t="str">
        <x:v>H17</x:v>
      </x:c>
      <x:c r="E2003" s="34" t="str">
        <x:v>سفر، تفریح، هنر و ورزش</x:v>
      </x:c>
      <x:c r="F2003" s="34" t="str">
        <x:v>P3</x:v>
      </x:c>
      <x:c r="G2003" s="34" t="str">
        <x:v>مهارت/یادگیری</x:v>
      </x:c>
      <x:c r="H2003" s="39" t="str">
        <x:v>فراگیری آشنایی با مفهیم بورس</x:v>
      </x:c>
      <x:c r="I2003" s="39" t="str">
        <x:v>زمان‌بندی محدود/شبکه‌ای</x:v>
      </x:c>
      <x:c r="J2003" s="39" t="str">
        <x:v>کوچ سبک زندگی</x:v>
      </x:c>
      <x:c r="K2003" s="39" t="str"/>
      <x:c r="L2003" s="39" t="str">
        <x:v>PL:R80</x:v>
      </x:c>
      <x:c r="M2003" s="39" t="str"/>
      <x:c r="N2003" s="39" t="str">
        <x:v>نسخه پایه ۳۱۵۰</x:v>
      </x:c>
    </x:row>
    <x:row r="2004" ht="34" customHeight="1">
      <x:c r="A2004" s="34" t="str">
        <x:v>☐</x:v>
      </x:c>
      <x:c r="B2004" s="34" t="str">
        <x:v>MI-0210</x:v>
      </x:c>
      <x:c r="C2004" s="34" t="str">
        <x:v>M1 — فرد، پایه‌های عملکرد و خودشناسی</x:v>
      </x:c>
      <x:c r="D2004" s="34" t="str">
        <x:v>H17</x:v>
      </x:c>
      <x:c r="E2004" s="34" t="str">
        <x:v>سفر، تفریح، هنر و ورزش</x:v>
      </x:c>
      <x:c r="F2004" s="34" t="str">
        <x:v>P3</x:v>
      </x:c>
      <x:c r="G2004" s="34" t="str">
        <x:v>مهارت/یادگیری</x:v>
      </x:c>
      <x:c r="H2004" s="39" t="str">
        <x:v>حقوق و آشنایی با مقررات</x:v>
      </x:c>
      <x:c r="I2004" s="39" t="str">
        <x:v>زمان‌بندی محدود/شبکه‌ای</x:v>
      </x:c>
      <x:c r="J2004" s="39" t="str">
        <x:v>کوچ سبک زندگی</x:v>
      </x:c>
      <x:c r="K2004" s="39" t="str"/>
      <x:c r="L2004" s="39" t="str">
        <x:v>PL:R283</x:v>
      </x:c>
      <x:c r="M2004" s="39" t="str"/>
      <x:c r="N2004" s="39" t="str">
        <x:v>نسخه پایه ۳۱۵۰</x:v>
      </x:c>
    </x:row>
    <x:row r="2005" ht="34" customHeight="1">
      <x:c r="A2005" s="34" t="str">
        <x:v>☐</x:v>
      </x:c>
      <x:c r="B2005" s="34" t="str">
        <x:v>MI-0225</x:v>
      </x:c>
      <x:c r="C2005" s="34" t="str">
        <x:v>M1 — فرد، پایه‌های عملکرد و خودشناسی</x:v>
      </x:c>
      <x:c r="D2005" s="34" t="str">
        <x:v>H17</x:v>
      </x:c>
      <x:c r="E2005" s="34" t="str">
        <x:v>سفر، تفریح، هنر و ورزش</x:v>
      </x:c>
      <x:c r="F2005" s="34" t="str">
        <x:v>P3</x:v>
      </x:c>
      <x:c r="G2005" s="34" t="str">
        <x:v>مهارت/یادگیری</x:v>
      </x:c>
      <x:c r="H2005" s="39" t="str">
        <x:v>مهارتهای ارتباطی و روانشناسی</x:v>
      </x:c>
      <x:c r="I2005" s="39" t="str">
        <x:v>زمان‌بندی محدود/شبکه‌ای</x:v>
      </x:c>
      <x:c r="J2005" s="39" t="str">
        <x:v>کوچ سبک زندگی</x:v>
      </x:c>
      <x:c r="K2005" s="39" t="str"/>
      <x:c r="L2005" s="39" t="str">
        <x:v>PL:R368</x:v>
      </x:c>
      <x:c r="M2005" s="39" t="str"/>
      <x:c r="N2005" s="39" t="str">
        <x:v>نسخه پایه ۳۱۵۰</x:v>
      </x:c>
    </x:row>
    <x:row r="2006" ht="34" customHeight="1">
      <x:c r="A2006" s="34" t="str">
        <x:v>☐</x:v>
      </x:c>
      <x:c r="B2006" s="34" t="str">
        <x:v>MI-3099</x:v>
      </x:c>
      <x:c r="C2006" s="34" t="str">
        <x:v>M1 — فرد، پایه‌های عملکرد و خودشناسی</x:v>
      </x:c>
      <x:c r="D2006" s="34" t="str">
        <x:v>H17</x:v>
      </x:c>
      <x:c r="E2006" s="34" t="str">
        <x:v>سفر، تفریح، هنر و ورزش</x:v>
      </x:c>
      <x:c r="F2006" s="34" t="str">
        <x:v>P3</x:v>
      </x:c>
      <x:c r="G2006" s="34" t="str">
        <x:v>مهارت/یادگیری</x:v>
      </x:c>
      <x:c r="H2006" s="39" t="str">
        <x:v>فیلم ببینم اکسپلور چک کنم تو زمینه فان و صنعت و تکنولوژی آماده سازی محتوای ارایه مورد علاقه ام اماده سازی وسایل یه سفر در مقام مسیولیتم اگر علاقه مند باشم بهش میمونم تا کارای عقب افتاده رو انجام بدم ، وظایفم رو چند پله جلوتر ببرم یا بشینم وقت صرف آشناییت با محیط اونجا کنم با دوستام بیرون برم و صحبت کنیم</x:v>
      </x:c>
      <x:c r="I2006" s="39" t="str">
        <x:v>زمان‌بندی محدود/شبکه‌ای</x:v>
      </x:c>
      <x:c r="J2006" s="39" t="str">
        <x:v>کوچ سبک زندگی</x:v>
      </x:c>
      <x:c r="K2006" s="39" t="str"/>
      <x:c r="L2006" s="39" t="str">
        <x:v>INT:T30 R2</x:v>
      </x:c>
      <x:c r="M2006" s="39" t="str"/>
      <x:c r="N2006" s="39" t="str">
        <x:v>نسخه پایه ۳۱۵۰</x:v>
      </x:c>
    </x:row>
    <x:row r="2007" ht="34" customHeight="1">
      <x:c r="A2007" s="34" t="str">
        <x:v>☐</x:v>
      </x:c>
      <x:c r="B2007" s="34" t="str">
        <x:v>MI-0043</x:v>
      </x:c>
      <x:c r="C2007" s="34" t="str">
        <x:v>M1 — فرد، پایه‌های عملکرد و خودشناسی</x:v>
      </x:c>
      <x:c r="D2007" s="34" t="str">
        <x:v>H17</x:v>
      </x:c>
      <x:c r="E2007" s="34" t="str">
        <x:v>سفر، تفریح، هنر و ورزش</x:v>
      </x:c>
      <x:c r="F2007" s="34" t="str">
        <x:v>P3</x:v>
      </x:c>
      <x:c r="G2007" s="34" t="str">
        <x:v>هدف/موضوع</x:v>
      </x:c>
      <x:c r="H2007" s="39" t="str">
        <x:v>سفر به ترکیه</x:v>
      </x:c>
      <x:c r="I2007" s="39" t="str">
        <x:v>زمان‌بندی محدود/شبکه‌ای</x:v>
      </x:c>
      <x:c r="J2007" s="39" t="str">
        <x:v>کوچ سبک زندگی</x:v>
      </x:c>
      <x:c r="K2007" s="39" t="str"/>
      <x:c r="L2007" s="39" t="str">
        <x:v>PL:R44</x:v>
      </x:c>
      <x:c r="M2007" s="39" t="str"/>
      <x:c r="N2007" s="39" t="str">
        <x:v>نسخه پایه ۳۱۵۰</x:v>
      </x:c>
    </x:row>
    <x:row r="2008" ht="34" customHeight="1">
      <x:c r="A2008" s="34" t="str">
        <x:v>☐</x:v>
      </x:c>
      <x:c r="B2008" s="34" t="str">
        <x:v>MI-0044</x:v>
      </x:c>
      <x:c r="C2008" s="34" t="str">
        <x:v>M1 — فرد، پایه‌های عملکرد و خودشناسی</x:v>
      </x:c>
      <x:c r="D2008" s="34" t="str">
        <x:v>H17</x:v>
      </x:c>
      <x:c r="E2008" s="34" t="str">
        <x:v>سفر، تفریح، هنر و ورزش</x:v>
      </x:c>
      <x:c r="F2008" s="34" t="str">
        <x:v>P3</x:v>
      </x:c>
      <x:c r="G2008" s="34" t="str">
        <x:v>هدف/موضوع</x:v>
      </x:c>
      <x:c r="H2008" s="39" t="str">
        <x:v>سفر به دبی</x:v>
      </x:c>
      <x:c r="I2008" s="39" t="str">
        <x:v>زمان‌بندی محدود/شبکه‌ای</x:v>
      </x:c>
      <x:c r="J2008" s="39" t="str">
        <x:v>کوچ سبک زندگی</x:v>
      </x:c>
      <x:c r="K2008" s="39" t="str"/>
      <x:c r="L2008" s="39" t="str">
        <x:v>PL:R45</x:v>
      </x:c>
      <x:c r="M2008" s="39" t="str"/>
      <x:c r="N2008" s="39" t="str">
        <x:v>نسخه پایه ۳۱۵۰</x:v>
      </x:c>
    </x:row>
    <x:row r="2009" ht="34" customHeight="1">
      <x:c r="A2009" s="34" t="str">
        <x:v>☐</x:v>
      </x:c>
      <x:c r="B2009" s="34" t="str">
        <x:v>MI-0163</x:v>
      </x:c>
      <x:c r="C2009" s="34" t="str">
        <x:v>M1 — فرد، پایه‌های عملکرد و خودشناسی</x:v>
      </x:c>
      <x:c r="D2009" s="34" t="str">
        <x:v>H17</x:v>
      </x:c>
      <x:c r="E2009" s="34" t="str">
        <x:v>سفر، تفریح، هنر و ورزش</x:v>
      </x:c>
      <x:c r="F2009" s="34" t="str">
        <x:v>P3</x:v>
      </x:c>
      <x:c r="G2009" s="34" t="str">
        <x:v>هدف/موضوع</x:v>
      </x:c>
      <x:c r="H2009" s="39" t="str">
        <x:v>تراشکاری با ماشین ابزار</x:v>
      </x:c>
      <x:c r="I2009" s="39" t="str">
        <x:v>زمان‌بندی محدود/شبکه‌ای</x:v>
      </x:c>
      <x:c r="J2009" s="39" t="str">
        <x:v>کوچ سبک زندگی</x:v>
      </x:c>
      <x:c r="K2009" s="39" t="str"/>
      <x:c r="L2009" s="39" t="str">
        <x:v>PL:R168</x:v>
      </x:c>
      <x:c r="M2009" s="39" t="str"/>
      <x:c r="N2009" s="39" t="str">
        <x:v>نسخه پایه ۳۱۵۰</x:v>
      </x:c>
    </x:row>
    <x:row r="2010" ht="34" customHeight="1">
      <x:c r="A2010" s="34" t="str">
        <x:v>☐</x:v>
      </x:c>
      <x:c r="B2010" s="34" t="str">
        <x:v>MI-0165</x:v>
      </x:c>
      <x:c r="C2010" s="34" t="str">
        <x:v>M1 — فرد، پایه‌های عملکرد و خودشناسی</x:v>
      </x:c>
      <x:c r="D2010" s="34" t="str">
        <x:v>H17</x:v>
      </x:c>
      <x:c r="E2010" s="34" t="str">
        <x:v>سفر، تفریح، هنر و ورزش</x:v>
      </x:c>
      <x:c r="F2010" s="34" t="str">
        <x:v>P3</x:v>
      </x:c>
      <x:c r="G2010" s="34" t="str">
        <x:v>هدف/موضوع</x:v>
      </x:c>
      <x:c r="H2010" s="39" t="str">
        <x:v>کارشناس HSE</x:v>
      </x:c>
      <x:c r="I2010" s="39" t="str">
        <x:v>زمان‌بندی محدود/شبکه‌ای</x:v>
      </x:c>
      <x:c r="J2010" s="39" t="str">
        <x:v>کوچ سبک زندگی</x:v>
      </x:c>
      <x:c r="K2010" s="39" t="str"/>
      <x:c r="L2010" s="39" t="str">
        <x:v>PL:R170</x:v>
      </x:c>
      <x:c r="M2010" s="39" t="str"/>
      <x:c r="N2010" s="39" t="str">
        <x:v>نسخه پایه ۳۱۵۰</x:v>
      </x:c>
    </x:row>
    <x:row r="2011" ht="34" customHeight="1">
      <x:c r="A2011" s="34" t="str">
        <x:v>☐</x:v>
      </x:c>
      <x:c r="B2011" s="34" t="str">
        <x:v>MI-0178</x:v>
      </x:c>
      <x:c r="C2011" s="34" t="str">
        <x:v>M1 — فرد، پایه‌های عملکرد و خودشناسی</x:v>
      </x:c>
      <x:c r="D2011" s="34" t="str">
        <x:v>H17</x:v>
      </x:c>
      <x:c r="E2011" s="34" t="str">
        <x:v>سفر، تفریح، هنر و ورزش</x:v>
      </x:c>
      <x:c r="F2011" s="34" t="str">
        <x:v>P3</x:v>
      </x:c>
      <x:c r="G2011" s="34" t="str">
        <x:v>هدف/موضوع</x:v>
      </x:c>
      <x:c r="H2011" s="39" t="str">
        <x:v>جامعه شناسی سیاسی فرهنگی نظری</x:v>
      </x:c>
      <x:c r="I2011" s="39" t="str">
        <x:v>زمان‌بندی محدود/شبکه‌ای</x:v>
      </x:c>
      <x:c r="J2011" s="39" t="str">
        <x:v>کوچ سبک زندگی</x:v>
      </x:c>
      <x:c r="K2011" s="39" t="str"/>
      <x:c r="L2011" s="39" t="str">
        <x:v>PL:R183</x:v>
      </x:c>
      <x:c r="M2011" s="39" t="str"/>
      <x:c r="N2011" s="39" t="str">
        <x:v>نسخه پایه ۳۱۵۰</x:v>
      </x:c>
    </x:row>
    <x:row r="2012" ht="34" customHeight="1">
      <x:c r="A2012" s="34" t="str">
        <x:v>☐</x:v>
      </x:c>
      <x:c r="B2012" s="34" t="str">
        <x:v>MI-0217</x:v>
      </x:c>
      <x:c r="C2012" s="34" t="str">
        <x:v>M1 — فرد، پایه‌های عملکرد و خودشناسی</x:v>
      </x:c>
      <x:c r="D2012" s="34" t="str">
        <x:v>H17</x:v>
      </x:c>
      <x:c r="E2012" s="34" t="str">
        <x:v>سفر، تفریح، هنر و ورزش</x:v>
      </x:c>
      <x:c r="F2012" s="34" t="str">
        <x:v>P3</x:v>
      </x:c>
      <x:c r="G2012" s="34" t="str">
        <x:v>هدف/موضوع</x:v>
      </x:c>
      <x:c r="H2012" s="39" t="str">
        <x:v>سفر و بینالملل</x:v>
      </x:c>
      <x:c r="I2012" s="39" t="str">
        <x:v>زمان‌بندی محدود/شبکه‌ای</x:v>
      </x:c>
      <x:c r="J2012" s="39" t="str">
        <x:v>کوچ سبک زندگی</x:v>
      </x:c>
      <x:c r="K2012" s="39" t="str"/>
      <x:c r="L2012" s="39" t="str">
        <x:v>PL:R312</x:v>
      </x:c>
      <x:c r="M2012" s="39" t="str"/>
      <x:c r="N2012" s="39" t="str">
        <x:v>نسخه پایه ۳۱۵۰</x:v>
      </x:c>
    </x:row>
    <x:row r="2013" ht="34" customHeight="1">
      <x:c r="A2013" s="34" t="str">
        <x:v>☐</x:v>
      </x:c>
      <x:c r="B2013" s="34" t="str">
        <x:v>MI-0290</x:v>
      </x:c>
      <x:c r="C2013" s="34" t="str">
        <x:v>M1 — فرد، پایه‌های عملکرد و خودشناسی</x:v>
      </x:c>
      <x:c r="D2013" s="34" t="str">
        <x:v>H17</x:v>
      </x:c>
      <x:c r="E2013" s="34" t="str">
        <x:v>سفر، تفریح، هنر و ورزش</x:v>
      </x:c>
      <x:c r="F2013" s="34" t="str">
        <x:v>P3</x:v>
      </x:c>
      <x:c r="G2013" s="34" t="str">
        <x:v>هدف/موضوع</x:v>
      </x:c>
      <x:c r="H2013" s="39" t="str">
        <x:v>تفریحی</x:v>
      </x:c>
      <x:c r="I2013" s="39" t="str">
        <x:v>زمان‌بندی محدود/شبکه‌ای</x:v>
      </x:c>
      <x:c r="J2013" s="39" t="str">
        <x:v>کوچ سبک زندگی</x:v>
      </x:c>
      <x:c r="K2013" s="39" t="str"/>
      <x:c r="L2013" s="39" t="str">
        <x:v>AP:P61</x:v>
      </x:c>
      <x:c r="M2013" s="39" t="str"/>
      <x:c r="N2013" s="39" t="str">
        <x:v>نسخه پایه ۳۱۵۰</x:v>
      </x:c>
    </x:row>
    <x:row r="2014" ht="34" customHeight="1">
      <x:c r="A2014" s="34" t="str">
        <x:v>☐</x:v>
      </x:c>
      <x:c r="B2014" s="34" t="str">
        <x:v>MI-0294</x:v>
      </x:c>
      <x:c r="C2014" s="34" t="str">
        <x:v>M1 — فرد، پایه‌های عملکرد و خودشناسی</x:v>
      </x:c>
      <x:c r="D2014" s="34" t="str">
        <x:v>H17</x:v>
      </x:c>
      <x:c r="E2014" s="34" t="str">
        <x:v>سفر، تفریح، هنر و ورزش</x:v>
      </x:c>
      <x:c r="F2014" s="34" t="str">
        <x:v>P3</x:v>
      </x:c>
      <x:c r="G2014" s="34" t="str">
        <x:v>هدف/موضوع</x:v>
      </x:c>
      <x:c r="H2014" s="39" t="str">
        <x:v>جریان شناسی</x:v>
      </x:c>
      <x:c r="I2014" s="39" t="str">
        <x:v>زمان‌بندی محدود/شبکه‌ای</x:v>
      </x:c>
      <x:c r="J2014" s="39" t="str">
        <x:v>کوچ سبک زندگی</x:v>
      </x:c>
      <x:c r="K2014" s="39" t="str"/>
      <x:c r="L2014" s="39" t="str">
        <x:v>AP:P65</x:v>
      </x:c>
      <x:c r="M2014" s="39" t="str"/>
      <x:c r="N2014" s="39" t="str">
        <x:v>نسخه پایه ۳۱۵۰</x:v>
      </x:c>
    </x:row>
    <x:row r="2015" ht="34" customHeight="1">
      <x:c r="A2015" s="34" t="str">
        <x:v>☐</x:v>
      </x:c>
      <x:c r="B2015" s="34" t="str">
        <x:v>MI-1452</x:v>
      </x:c>
      <x:c r="C2015" s="34" t="str">
        <x:v>M1 — فرد، پایه‌های عملکرد و خودشناسی</x:v>
      </x:c>
      <x:c r="D2015" s="34" t="str">
        <x:v>H17</x:v>
      </x:c>
      <x:c r="E2015" s="34" t="str">
        <x:v>سفر، تفریح، هنر و ورزش</x:v>
      </x:c>
      <x:c r="F2015" s="34" t="str">
        <x:v>P3</x:v>
      </x:c>
      <x:c r="G2015" s="34" t="str">
        <x:v>هدف/موضوع</x:v>
      </x:c>
      <x:c r="H2015" s="39" t="str">
        <x:v>سفر به ترکیه و دبی</x:v>
      </x:c>
      <x:c r="I2015" s="39" t="str">
        <x:v>زمان‌بندی محدود/شبکه‌ای</x:v>
      </x:c>
      <x:c r="J2015" s="39" t="str">
        <x:v>کوچ سبک زندگی</x:v>
      </x:c>
      <x:c r="K2015" s="39" t="str"/>
      <x:c r="L2015" s="39" t="str">
        <x:v>AP:P1353</x:v>
      </x:c>
      <x:c r="M2015" s="39" t="str"/>
      <x:c r="N2015" s="39" t="str">
        <x:v>نسخه پایه ۳۱۵۰</x:v>
      </x:c>
    </x:row>
    <x:row r="2016" ht="34" customHeight="1">
      <x:c r="A2016" s="34" t="str">
        <x:v>☐</x:v>
      </x:c>
      <x:c r="B2016" s="34" t="str">
        <x:v>MI-1633</x:v>
      </x:c>
      <x:c r="C2016" s="34" t="str">
        <x:v>M1 — فرد، پایه‌های عملکرد و خودشناسی</x:v>
      </x:c>
      <x:c r="D2016" s="34" t="str">
        <x:v>H17</x:v>
      </x:c>
      <x:c r="E2016" s="34" t="str">
        <x:v>سفر، تفریح، هنر و ورزش</x:v>
      </x:c>
      <x:c r="F2016" s="34" t="str">
        <x:v>P3</x:v>
      </x:c>
      <x:c r="G2016" s="34" t="str">
        <x:v>هدف/موضوع</x:v>
      </x:c>
      <x:c r="H2016" s="39" t="str">
        <x:v>• با صنایع آشنا شود</x:v>
      </x:c>
      <x:c r="I2016" s="39" t="str">
        <x:v>زمان‌بندی محدود/شبکه‌ای</x:v>
      </x:c>
      <x:c r="J2016" s="39" t="str">
        <x:v>کوچ سبک زندگی</x:v>
      </x:c>
      <x:c r="K2016" s="39" t="str"/>
      <x:c r="L2016" s="39" t="str">
        <x:v>E112:P94؛ E112:P1566؛ E112:P1874؛ E112:P2340</x:v>
      </x:c>
      <x:c r="M2016" s="39" t="str"/>
      <x:c r="N2016" s="39" t="str">
        <x:v>نسخه پایه ۳۱۵۰</x:v>
      </x:c>
    </x:row>
    <x:row r="2017" ht="34" customHeight="1">
      <x:c r="A2017" s="34" t="str">
        <x:v>☐</x:v>
      </x:c>
      <x:c r="B2017" s="34" t="str">
        <x:v>MI-1684</x:v>
      </x:c>
      <x:c r="C2017" s="34" t="str">
        <x:v>M1 — فرد، پایه‌های عملکرد و خودشناسی</x:v>
      </x:c>
      <x:c r="D2017" s="34" t="str">
        <x:v>H17</x:v>
      </x:c>
      <x:c r="E2017" s="34" t="str">
        <x:v>سفر، تفریح، هنر و ورزش</x:v>
      </x:c>
      <x:c r="F2017" s="34" t="str">
        <x:v>P3</x:v>
      </x:c>
      <x:c r="G2017" s="34" t="str">
        <x:v>هدف/موضوع</x:v>
      </x:c>
      <x:c r="H2017" s="39" t="str">
        <x:v>شناسایی صنایع/مدل هایی که در کشورهای مشابه موفق بوده اند (مثلاً در ترکیه، هلند، نروژ).</x:v>
      </x:c>
      <x:c r="I2017" s="39" t="str">
        <x:v>زمان‌بندی محدود/شبکه‌ای</x:v>
      </x:c>
      <x:c r="J2017" s="39" t="str">
        <x:v>کوچ سبک زندگی</x:v>
      </x:c>
      <x:c r="K2017" s="39" t="str"/>
      <x:c r="L2017" s="39" t="str">
        <x:v>E112:P150؛ E112:P1661؛ E112:P1932؛ E112:P2398</x:v>
      </x:c>
      <x:c r="M2017" s="39" t="str"/>
      <x:c r="N2017" s="39" t="str">
        <x:v>نسخه پایه ۳۱۵۰</x:v>
      </x:c>
    </x:row>
    <x:row r="2018" ht="34" customHeight="1">
      <x:c r="A2018" s="34" t="str">
        <x:v>☐</x:v>
      </x:c>
      <x:c r="B2018" s="34" t="str">
        <x:v>MI-2092</x:v>
      </x:c>
      <x:c r="C2018" s="34" t="str">
        <x:v>M1 — فرد، پایه‌های عملکرد و خودشناسی</x:v>
      </x:c>
      <x:c r="D2018" s="34" t="str">
        <x:v>H17</x:v>
      </x:c>
      <x:c r="E2018" s="34" t="str">
        <x:v>سفر، تفریح، هنر و ورزش</x:v>
      </x:c>
      <x:c r="F2018" s="34" t="str">
        <x:v>P3</x:v>
      </x:c>
      <x:c r="G2018" s="34" t="str">
        <x:v>هدف/موضوع</x:v>
      </x:c>
      <x:c r="H2018" s="39" t="str">
        <x:v>همه آنها را می شناسند</x:v>
      </x:c>
      <x:c r="I2018" s="39" t="str">
        <x:v>زمان‌بندی محدود/شبکه‌ای</x:v>
      </x:c>
      <x:c r="J2018" s="39" t="str">
        <x:v>کوچ سبک زندگی</x:v>
      </x:c>
      <x:c r="K2018" s="39" t="str"/>
      <x:c r="L2018" s="39" t="str">
        <x:v>E112:P827</x:v>
      </x:c>
      <x:c r="M2018" s="39" t="str"/>
      <x:c r="N2018" s="39" t="str">
        <x:v>نسخه پایه ۳۱۵۰</x:v>
      </x:c>
    </x:row>
    <x:row r="2019" ht="34" customHeight="1">
      <x:c r="A2019" s="34" t="str">
        <x:v>☐</x:v>
      </x:c>
      <x:c r="B2019" s="34" t="str">
        <x:v>MI-2243</x:v>
      </x:c>
      <x:c r="C2019" s="34" t="str">
        <x:v>M1 — فرد، پایه‌های عملکرد و خودشناسی</x:v>
      </x:c>
      <x:c r="D2019" s="34" t="str">
        <x:v>H17</x:v>
      </x:c>
      <x:c r="E2019" s="34" t="str">
        <x:v>سفر، تفریح، هنر و ورزش</x:v>
      </x:c>
      <x:c r="F2019" s="34" t="str">
        <x:v>P3</x:v>
      </x:c>
      <x:c r="G2019" s="34" t="str">
        <x:v>هدف/موضوع</x:v>
      </x:c>
      <x:c r="H2019" s="39" t="str">
        <x:v>چند کارآفرین شناخته شده استان</x:v>
      </x:c>
      <x:c r="I2019" s="39" t="str">
        <x:v>زمان‌بندی محدود/شبکه‌ای</x:v>
      </x:c>
      <x:c r="J2019" s="39" t="str">
        <x:v>کوچ سبک زندگی</x:v>
      </x:c>
      <x:c r="K2019" s="39" t="str"/>
      <x:c r="L2019" s="39" t="str">
        <x:v>E112:P1128؛ E112:P3593</x:v>
      </x:c>
      <x:c r="M2019" s="39" t="str"/>
      <x:c r="N2019" s="39" t="str">
        <x:v>نسخه پایه ۳۱۵۰</x:v>
      </x:c>
    </x:row>
    <x:row r="2020" ht="34" customHeight="1">
      <x:c r="A2020" s="34" t="str">
        <x:v>☐</x:v>
      </x:c>
      <x:c r="B2020" s="34" t="str">
        <x:v>MI-2448</x:v>
      </x:c>
      <x:c r="C2020" s="34" t="str">
        <x:v>M1 — فرد، پایه‌های عملکرد و خودشناسی</x:v>
      </x:c>
      <x:c r="D2020" s="34" t="str">
        <x:v>H17</x:v>
      </x:c>
      <x:c r="E2020" s="34" t="str">
        <x:v>سفر، تفریح، هنر و ورزش</x:v>
      </x:c>
      <x:c r="F2020" s="34" t="str">
        <x:v>P3</x:v>
      </x:c>
      <x:c r="G2020" s="34" t="str">
        <x:v>هدف/موضوع</x:v>
      </x:c>
      <x:c r="H2020" s="39" t="str">
        <x:v>شناسایی گره های قدرت در مازندران</x:v>
      </x:c>
      <x:c r="I2020" s="39" t="str">
        <x:v>زمان‌بندی محدود/شبکه‌ای</x:v>
      </x:c>
      <x:c r="J2020" s="39" t="str">
        <x:v>کوچ سبک زندگی</x:v>
      </x:c>
      <x:c r="K2020" s="39" t="str"/>
      <x:c r="L2020" s="39" t="str">
        <x:v>E112:P1732</x:v>
      </x:c>
      <x:c r="M2020" s="39" t="str"/>
      <x:c r="N2020" s="39" t="str">
        <x:v>نسخه پایه ۳۱۵۰</x:v>
      </x:c>
    </x:row>
    <x:row r="2021" ht="34" customHeight="1">
      <x:c r="A2021" s="34" t="str">
        <x:v>☐</x:v>
      </x:c>
      <x:c r="B2021" s="34" t="str">
        <x:v>MI-2479</x:v>
      </x:c>
      <x:c r="C2021" s="34" t="str">
        <x:v>M1 — فرد، پایه‌های عملکرد و خودشناسی</x:v>
      </x:c>
      <x:c r="D2021" s="34" t="str">
        <x:v>H17</x:v>
      </x:c>
      <x:c r="E2021" s="34" t="str">
        <x:v>سفر، تفریح، هنر و ورزش</x:v>
      </x:c>
      <x:c r="F2021" s="34" t="str">
        <x:v>P3</x:v>
      </x:c>
      <x:c r="G2021" s="34" t="str">
        <x:v>هدف/موضوع</x:v>
      </x:c>
      <x:c r="H2021" s="39" t="str">
        <x:v>1. سیستم پایش و شناسایی استعداد</x:v>
      </x:c>
      <x:c r="I2021" s="39" t="str">
        <x:v>زمان‌بندی محدود/شبکه‌ای</x:v>
      </x:c>
      <x:c r="J2021" s="39" t="str">
        <x:v>کوچ سبک زندگی</x:v>
      </x:c>
      <x:c r="K2021" s="39" t="str"/>
      <x:c r="L2021" s="39" t="str">
        <x:v>E112:P1970</x:v>
      </x:c>
      <x:c r="M2021" s="39" t="str"/>
      <x:c r="N2021" s="39" t="str">
        <x:v>نسخه پایه ۳۱۵۰</x:v>
      </x:c>
    </x:row>
    <x:row r="2022" ht="34" customHeight="1">
      <x:c r="A2022" s="34" t="str">
        <x:v>☐</x:v>
      </x:c>
      <x:c r="B2022" s="34" t="str">
        <x:v>MI-2614</x:v>
      </x:c>
      <x:c r="C2022" s="34" t="str">
        <x:v>M1 — فرد، پایه‌های عملکرد و خودشناسی</x:v>
      </x:c>
      <x:c r="D2022" s="34" t="str">
        <x:v>H17</x:v>
      </x:c>
      <x:c r="E2022" s="34" t="str">
        <x:v>سفر، تفریح، هنر و ورزش</x:v>
      </x:c>
      <x:c r="F2022" s="34" t="str">
        <x:v>P3</x:v>
      </x:c>
      <x:c r="G2022" s="34" t="str">
        <x:v>هدف/موضوع</x:v>
      </x:c>
      <x:c r="H2022" s="39" t="str">
        <x:v>استعدادهای استان شناسایی شوند</x:v>
      </x:c>
      <x:c r="I2022" s="39" t="str">
        <x:v>زمان‌بندی محدود/شبکه‌ای</x:v>
      </x:c>
      <x:c r="J2022" s="39" t="str">
        <x:v>کوچ سبک زندگی</x:v>
      </x:c>
      <x:c r="K2022" s="39" t="str"/>
      <x:c r="L2022" s="39" t="str">
        <x:v>E112:P2449</x:v>
      </x:c>
      <x:c r="M2022" s="39" t="str"/>
      <x:c r="N2022" s="39" t="str">
        <x:v>نسخه پایه ۳۱۵۰</x:v>
      </x:c>
    </x:row>
    <x:row r="2023" ht="34" customHeight="1">
      <x:c r="A2023" s="34" t="str">
        <x:v>☐</x:v>
      </x:c>
      <x:c r="B2023" s="34" t="str">
        <x:v>MI-2781</x:v>
      </x:c>
      <x:c r="C2023" s="34" t="str">
        <x:v>M1 — فرد، پایه‌های عملکرد و خودشناسی</x:v>
      </x:c>
      <x:c r="D2023" s="34" t="str">
        <x:v>H17</x:v>
      </x:c>
      <x:c r="E2023" s="34" t="str">
        <x:v>سفر، تفریح، هنر و ورزش</x:v>
      </x:c>
      <x:c r="F2023" s="34" t="str">
        <x:v>P3</x:v>
      </x:c>
      <x:c r="G2023" s="34" t="str">
        <x:v>هدف/موضوع</x:v>
      </x:c>
      <x:c r="H2023" s="39" t="str">
        <x:v>شناسایی استعداد</x:v>
      </x:c>
      <x:c r="I2023" s="39" t="str">
        <x:v>زمان‌بندی محدود/شبکه‌ای</x:v>
      </x:c>
      <x:c r="J2023" s="39" t="str">
        <x:v>کوچ سبک زندگی</x:v>
      </x:c>
      <x:c r="K2023" s="39" t="str"/>
      <x:c r="L2023" s="39" t="str">
        <x:v>E112:P2895</x:v>
      </x:c>
      <x:c r="M2023" s="39" t="str"/>
      <x:c r="N2023" s="39" t="str">
        <x:v>نسخه پایه ۳۱۵۰</x:v>
      </x:c>
    </x:row>
    <x:row r="2024" ht="34" customHeight="1">
      <x:c r="A2024" s="34" t="str">
        <x:v>☐</x:v>
      </x:c>
      <x:c r="B2024" s="34" t="str">
        <x:v>MI-3017</x:v>
      </x:c>
      <x:c r="C2024" s="34" t="str">
        <x:v>M1 — فرد، پایه‌های عملکرد و خودشناسی</x:v>
      </x:c>
      <x:c r="D2024" s="34" t="str">
        <x:v>H17</x:v>
      </x:c>
      <x:c r="E2024" s="34" t="str">
        <x:v>سفر، تفریح، هنر و ورزش</x:v>
      </x:c>
      <x:c r="F2024" s="34" t="str">
        <x:v>P3</x:v>
      </x:c>
      <x:c r="G2024" s="34" t="str">
        <x:v>هدف/موضوع</x:v>
      </x:c>
      <x:c r="H2024" s="39" t="str">
        <x:v>شناسایی استعدادها در:</x:v>
      </x:c>
      <x:c r="I2024" s="39" t="str">
        <x:v>زمان‌بندی محدود/شبکه‌ای</x:v>
      </x:c>
      <x:c r="J2024" s="39" t="str">
        <x:v>کوچ سبک زندگی</x:v>
      </x:c>
      <x:c r="K2024" s="39" t="str"/>
      <x:c r="L2024" s="39" t="str">
        <x:v>E112:P3551</x:v>
      </x:c>
      <x:c r="M2024" s="39" t="str"/>
      <x:c r="N2024" s="39" t="str">
        <x:v>نسخه پایه ۳۱۵۰</x:v>
      </x:c>
    </x:row>
    <x:row r="2025" ht="34" customHeight="1">
      <x:c r="A2025" s="34" t="str">
        <x:v>☐</x:v>
      </x:c>
      <x:c r="B2025" s="34" t="str">
        <x:v>MI-3071</x:v>
      </x:c>
      <x:c r="C2025" s="34" t="str">
        <x:v>M1 — فرد، پایه‌های عملکرد و خودشناسی</x:v>
      </x:c>
      <x:c r="D2025" s="34" t="str">
        <x:v>H17</x:v>
      </x:c>
      <x:c r="E2025" s="34" t="str">
        <x:v>سفر، تفریح، هنر و ورزش</x:v>
      </x:c>
      <x:c r="F2025" s="34" t="str">
        <x:v>P3</x:v>
      </x:c>
      <x:c r="G2025" s="34" t="str">
        <x:v>هدف/موضوع</x:v>
      </x:c>
      <x:c r="H2025" s="39" t="str">
        <x:v>فکر کنید برای تفریح و سرگرمی هر کاری که دلتون می خواهد می توانید انجام دهید، چکار می کنید؟</x:v>
      </x:c>
      <x:c r="I2025" s="39" t="str">
        <x:v>زمان‌بندی محدود/شبکه‌ای</x:v>
      </x:c>
      <x:c r="J2025" s="39" t="str">
        <x:v>کوچ سبک زندگی</x:v>
      </x:c>
      <x:c r="K2025" s="39" t="str"/>
      <x:c r="L2025" s="39" t="str">
        <x:v>INT:T12 R1</x:v>
      </x:c>
      <x:c r="M2025" s="39" t="str"/>
      <x:c r="N2025" s="39" t="str">
        <x:v>نسخه پایه ۳۱۵۰</x:v>
      </x:c>
    </x:row>
    <x:row r="2026" ht="34" customHeight="1">
      <x:c r="A2026" s="34" t="str">
        <x:v>☐</x:v>
      </x:c>
      <x:c r="B2026" s="34" t="str">
        <x:v>MI-3085</x:v>
      </x:c>
      <x:c r="C2026" s="34" t="str">
        <x:v>M1 — فرد، پایه‌های عملکرد و خودشناسی</x:v>
      </x:c>
      <x:c r="D2026" s="34" t="str">
        <x:v>H17</x:v>
      </x:c>
      <x:c r="E2026" s="34" t="str">
        <x:v>سفر، تفریح، هنر و ورزش</x:v>
      </x:c>
      <x:c r="F2026" s="34" t="str">
        <x:v>P3</x:v>
      </x:c>
      <x:c r="G2026" s="34" t="str">
        <x:v>هدف/موضوع</x:v>
      </x:c>
      <x:c r="H2026" s="39" t="str">
        <x:v>چه کلاس هایی رفته اید و تو چه زمینه هایی کار کردید؟(بجز زبان، هنر و ورزش )</x:v>
      </x:c>
      <x:c r="I2026" s="39" t="str">
        <x:v>زمان‌بندی محدود/شبکه‌ای</x:v>
      </x:c>
      <x:c r="J2026" s="39" t="str">
        <x:v>کوچ سبک زندگی</x:v>
      </x:c>
      <x:c r="K2026" s="39" t="str"/>
      <x:c r="L2026" s="39" t="str">
        <x:v>INT:T23 R1</x:v>
      </x:c>
      <x:c r="M2026" s="39" t="str"/>
      <x:c r="N2026" s="39" t="str">
        <x:v>نسخه پایه ۳۱۵۰</x:v>
      </x:c>
    </x:row>
    <x:row r="2027" ht="34" customHeight="1">
      <x:c r="A2027" s="34" t="str">
        <x:v>☐</x:v>
      </x:c>
      <x:c r="B2027" s="34" t="str">
        <x:v>MI-3102</x:v>
      </x:c>
      <x:c r="C2027" s="34" t="str">
        <x:v>M1 — فرد، پایه‌های عملکرد و خودشناسی</x:v>
      </x:c>
      <x:c r="D2027" s="34" t="str">
        <x:v>H17</x:v>
      </x:c>
      <x:c r="E2027" s="34" t="str">
        <x:v>سفر، تفریح، هنر و ورزش</x:v>
      </x:c>
      <x:c r="F2027" s="34" t="str">
        <x:v>P3</x:v>
      </x:c>
      <x:c r="G2027" s="34" t="str">
        <x:v>هدف/موضوع</x:v>
      </x:c>
      <x:c r="H2027" s="39" t="str">
        <x:v>آیا اهل تفریح و مسافرت هستید؟ چندبار در ماه؟ چه سفرهایی؟ ترجیح شما برای سفر با چه افرادی میباشد؟</x:v>
      </x:c>
      <x:c r="I2027" s="39" t="str">
        <x:v>زمان‌بندی محدود/شبکه‌ای</x:v>
      </x:c>
      <x:c r="J2027" s="39" t="str">
        <x:v>کوچ سبک زندگی</x:v>
      </x:c>
      <x:c r="K2027" s="39" t="str"/>
      <x:c r="L2027" s="39" t="str">
        <x:v>INT:T32 R1</x:v>
      </x:c>
      <x:c r="M2027" s="39" t="str"/>
      <x:c r="N2027" s="39" t="str">
        <x:v>نسخه پایه ۳۱۵۰</x:v>
      </x:c>
    </x:row>
    <x:row r="2028" ht="34" customHeight="1">
      <x:c r="A2028" s="34" t="str">
        <x:v>☐</x:v>
      </x:c>
      <x:c r="B2028" s="34" t="str">
        <x:v>MI-0034</x:v>
      </x:c>
      <x:c r="C2028" s="34" t="str">
        <x:v>M5 — دانش، فرهنگ، حکمرانی و بانک مطالعاتی</x:v>
      </x:c>
      <x:c r="D2028" s="34" t="str">
        <x:v>H18</x:v>
      </x:c>
      <x:c r="E2028" s="34" t="str">
        <x:v>بانک مطالعه، منابع و موضوعات کنجکاوی</x:v>
      </x:c>
      <x:c r="F2028" s="34" t="str">
        <x:v>BANK</x:v>
      </x:c>
      <x:c r="G2028" s="34" t="str">
        <x:v>مطالعه/منبع</x:v>
      </x:c>
      <x:c r="H2028" s="39" t="str">
        <x:v>خواندن حداقل یک کتاب در روز</x:v>
      </x:c>
      <x:c r="I2028" s="39" t="str">
        <x:v>بانک مطالعه؛ سقف زمانی</x:v>
      </x:c>
      <x:c r="J2028" s="39" t="str">
        <x:v>مدیر دانش/کیوریتور محتوا</x:v>
      </x:c>
      <x:c r="K2028" s="39" t="str"/>
      <x:c r="L2028" s="39" t="str">
        <x:v>PL:R35</x:v>
      </x:c>
      <x:c r="M2028" s="39" t="str"/>
      <x:c r="N2028" s="39" t="str">
        <x:v>نسخه پایه ۳۱۵۰</x:v>
      </x:c>
    </x:row>
    <x:row r="2029" ht="34" customHeight="1">
      <x:c r="A2029" s="34" t="str">
        <x:v>☐</x:v>
      </x:c>
      <x:c r="B2029" s="34" t="str">
        <x:v>MI-0039</x:v>
      </x:c>
      <x:c r="C2029" s="34" t="str">
        <x:v>M5 — دانش، فرهنگ، حکمرانی و بانک مطالعاتی</x:v>
      </x:c>
      <x:c r="D2029" s="34" t="str">
        <x:v>H18</x:v>
      </x:c>
      <x:c r="E2029" s="34" t="str">
        <x:v>بانک مطالعه، منابع و موضوعات کنجکاوی</x:v>
      </x:c>
      <x:c r="F2029" s="34" t="str">
        <x:v>BANK</x:v>
      </x:c>
      <x:c r="G2029" s="34" t="str">
        <x:v>مطالعه/منبع</x:v>
      </x:c>
      <x:c r="H2029" s="39" t="str">
        <x:v>راه اندازی سایت و گروه تلگرام و ایتا و بله و روبیکا شجامث</x:v>
      </x:c>
      <x:c r="I2029" s="39" t="str">
        <x:v>بانک مطالعه؛ سقف زمانی</x:v>
      </x:c>
      <x:c r="J2029" s="39" t="str">
        <x:v>مدیر دانش/کیوریتور محتوا</x:v>
      </x:c>
      <x:c r="K2029" s="39" t="str"/>
      <x:c r="L2029" s="39" t="str">
        <x:v>PL:R40</x:v>
      </x:c>
      <x:c r="M2029" s="39" t="str"/>
      <x:c r="N2029" s="39" t="str">
        <x:v>نسخه پایه ۳۱۵۰</x:v>
      </x:c>
    </x:row>
    <x:row r="2030" ht="34" customHeight="1">
      <x:c r="A2030" s="34" t="str">
        <x:v>☐</x:v>
      </x:c>
      <x:c r="B2030" s="34" t="str">
        <x:v>MI-0041</x:v>
      </x:c>
      <x:c r="C2030" s="34" t="str">
        <x:v>M5 — دانش، فرهنگ، حکمرانی و بانک مطالعاتی</x:v>
      </x:c>
      <x:c r="D2030" s="34" t="str">
        <x:v>H18</x:v>
      </x:c>
      <x:c r="E2030" s="34" t="str">
        <x:v>بانک مطالعه، منابع و موضوعات کنجکاوی</x:v>
      </x:c>
      <x:c r="F2030" s="34" t="str">
        <x:v>BANK</x:v>
      </x:c>
      <x:c r="G2030" s="34" t="str">
        <x:v>مطالعه/منبع</x:v>
      </x:c>
      <x:c r="H2030" s="39" t="str">
        <x:v>ساخت اپلیکیشن خلاصه کتب و نکات نگارشی، نکات گفتاری، فن بیان ، دیدگاه افراد از خواندن کتاب</x:v>
      </x:c>
      <x:c r="I2030" s="39" t="str">
        <x:v>بانک مطالعه؛ سقف زمانی</x:v>
      </x:c>
      <x:c r="J2030" s="39" t="str">
        <x:v>مدیر دانش/کیوریتور محتوا</x:v>
      </x:c>
      <x:c r="K2030" s="39" t="str"/>
      <x:c r="L2030" s="39" t="str">
        <x:v>PL:R42؛ AP:P1493</x:v>
      </x:c>
      <x:c r="M2030" s="39" t="str"/>
      <x:c r="N2030" s="39" t="str">
        <x:v>نسخه پایه ۳۱۵۰</x:v>
      </x:c>
    </x:row>
    <x:row r="2031" ht="34" customHeight="1">
      <x:c r="A2031" s="34" t="str">
        <x:v>☐</x:v>
      </x:c>
      <x:c r="B2031" s="34" t="str">
        <x:v>MI-0121</x:v>
      </x:c>
      <x:c r="C2031" s="34" t="str">
        <x:v>M5 — دانش، فرهنگ، حکمرانی و بانک مطالعاتی</x:v>
      </x:c>
      <x:c r="D2031" s="34" t="str">
        <x:v>H18</x:v>
      </x:c>
      <x:c r="E2031" s="34" t="str">
        <x:v>بانک مطالعه، منابع و موضوعات کنجکاوی</x:v>
      </x:c>
      <x:c r="F2031" s="34" t="str">
        <x:v>BANK</x:v>
      </x:c>
      <x:c r="G2031" s="34" t="str">
        <x:v>مطالعه/منبع</x:v>
      </x:c>
      <x:c r="H2031" s="39" t="str">
        <x:v>کامسول</x:v>
      </x:c>
      <x:c r="I2031" s="39" t="str">
        <x:v>بانک مطالعه؛ سقف زمانی</x:v>
      </x:c>
      <x:c r="J2031" s="39" t="str">
        <x:v>مدیر دانش/کیوریتور محتوا</x:v>
      </x:c>
      <x:c r="K2031" s="39" t="str"/>
      <x:c r="L2031" s="39" t="str">
        <x:v>PL:R123؛ AP:P161</x:v>
      </x:c>
      <x:c r="M2031" s="39" t="str"/>
      <x:c r="N2031" s="39" t="str">
        <x:v>نسخه پایه ۳۱۵۰</x:v>
      </x:c>
    </x:row>
    <x:row r="2032" ht="34" customHeight="1">
      <x:c r="A2032" s="34" t="str">
        <x:v>☐</x:v>
      </x:c>
      <x:c r="B2032" s="34" t="str">
        <x:v>MI-0171</x:v>
      </x:c>
      <x:c r="C2032" s="34" t="str">
        <x:v>M5 — دانش، فرهنگ، حکمرانی و بانک مطالعاتی</x:v>
      </x:c>
      <x:c r="D2032" s="34" t="str">
        <x:v>H18</x:v>
      </x:c>
      <x:c r="E2032" s="34" t="str">
        <x:v>بانک مطالعه، منابع و موضوعات کنجکاوی</x:v>
      </x:c>
      <x:c r="F2032" s="34" t="str">
        <x:v>BANK</x:v>
      </x:c>
      <x:c r="G2032" s="34" t="str">
        <x:v>مطالعه/منبع</x:v>
      </x:c>
      <x:c r="H2032" s="39" t="str">
        <x:v>NLP</x:v>
      </x:c>
      <x:c r="I2032" s="39" t="str">
        <x:v>بانک مطالعه؛ سقف زمانی</x:v>
      </x:c>
      <x:c r="J2032" s="39" t="str">
        <x:v>مدیر دانش/کیوریتور محتوا</x:v>
      </x:c>
      <x:c r="K2032" s="39" t="str"/>
      <x:c r="L2032" s="39" t="str">
        <x:v>PL:R176؛ AP:P172</x:v>
      </x:c>
      <x:c r="M2032" s="39" t="str"/>
      <x:c r="N2032" s="39" t="str">
        <x:v>نسخه پایه ۳۱۵۰</x:v>
      </x:c>
    </x:row>
    <x:row r="2033" ht="34" customHeight="1">
      <x:c r="A2033" s="34" t="str">
        <x:v>☐</x:v>
      </x:c>
      <x:c r="B2033" s="34" t="str">
        <x:v>MI-0180</x:v>
      </x:c>
      <x:c r="C2033" s="34" t="str">
        <x:v>M5 — دانش، فرهنگ، حکمرانی و بانک مطالعاتی</x:v>
      </x:c>
      <x:c r="D2033" s="34" t="str">
        <x:v>H18</x:v>
      </x:c>
      <x:c r="E2033" s="34" t="str">
        <x:v>بانک مطالعه، منابع و موضوعات کنجکاوی</x:v>
      </x:c>
      <x:c r="F2033" s="34" t="str">
        <x:v>BANK</x:v>
      </x:c>
      <x:c r="G2033" s="34" t="str">
        <x:v>مطالعه/منبع</x:v>
      </x:c>
      <x:c r="H2033" s="39" t="str">
        <x:v>مستند سازی نیازهای فناورانه صنعتی</x:v>
      </x:c>
      <x:c r="I2033" s="39" t="str">
        <x:v>بانک مطالعه؛ سقف زمانی</x:v>
      </x:c>
      <x:c r="J2033" s="39" t="str">
        <x:v>مدیر دانش/کیوریتور محتوا</x:v>
      </x:c>
      <x:c r="K2033" s="39" t="str"/>
      <x:c r="L2033" s="39" t="str">
        <x:v>PL:R185</x:v>
      </x:c>
      <x:c r="M2033" s="39" t="str"/>
      <x:c r="N2033" s="39" t="str">
        <x:v>نسخه پایه ۳۱۵۰</x:v>
      </x:c>
    </x:row>
    <x:row r="2034" ht="34" customHeight="1">
      <x:c r="A2034" s="34" t="str">
        <x:v>☐</x:v>
      </x:c>
      <x:c r="B2034" s="34" t="str">
        <x:v>MI-0356</x:v>
      </x:c>
      <x:c r="C2034" s="34" t="str">
        <x:v>M5 — دانش، فرهنگ، حکمرانی و بانک مطالعاتی</x:v>
      </x:c>
      <x:c r="D2034" s="34" t="str">
        <x:v>H18</x:v>
      </x:c>
      <x:c r="E2034" s="34" t="str">
        <x:v>بانک مطالعه، منابع و موضوعات کنجکاوی</x:v>
      </x:c>
      <x:c r="F2034" s="34" t="str">
        <x:v>BANK</x:v>
      </x:c>
      <x:c r="G2034" s="34" t="str">
        <x:v>مطالعه/منبع</x:v>
      </x:c>
      <x:c r="H2034" s="39" t="str">
        <x:v>مطالعه و تحقیق</x:v>
      </x:c>
      <x:c r="I2034" s="39" t="str">
        <x:v>بانک مطالعه؛ سقف زمانی</x:v>
      </x:c>
      <x:c r="J2034" s="39" t="str">
        <x:v>مدیر دانش/کیوریتور محتوا</x:v>
      </x:c>
      <x:c r="K2034" s="39" t="str"/>
      <x:c r="L2034" s="39" t="str">
        <x:v>AP:P136؛ AP:P138؛ AP:P227</x:v>
      </x:c>
      <x:c r="M2034" s="39" t="str"/>
      <x:c r="N2034" s="39" t="str">
        <x:v>نسخه پایه ۳۱۵۰</x:v>
      </x:c>
    </x:row>
    <x:row r="2035" ht="34" customHeight="1">
      <x:c r="A2035" s="34" t="str">
        <x:v>☐</x:v>
      </x:c>
      <x:c r="B2035" s="34" t="str">
        <x:v>MI-0357</x:v>
      </x:c>
      <x:c r="C2035" s="34" t="str">
        <x:v>M5 — دانش، فرهنگ، حکمرانی و بانک مطالعاتی</x:v>
      </x:c>
      <x:c r="D2035" s="34" t="str">
        <x:v>H18</x:v>
      </x:c>
      <x:c r="E2035" s="34" t="str">
        <x:v>بانک مطالعه، منابع و موضوعات کنجکاوی</x:v>
      </x:c>
      <x:c r="F2035" s="34" t="str">
        <x:v>BANK</x:v>
      </x:c>
      <x:c r="G2035" s="34" t="str">
        <x:v>مطالعه/منبع</x:v>
      </x:c>
      <x:c r="H2035" s="39" t="str">
        <x:v>لیست نهایی (تکرارها حذف شده، تمام موارد عیناً حفظ شده):</x:v>
      </x:c>
      <x:c r="I2035" s="39" t="str">
        <x:v>بانک مطالعه؛ سقف زمانی</x:v>
      </x:c>
      <x:c r="J2035" s="39" t="str">
        <x:v>مدیر دانش/کیوریتور محتوا</x:v>
      </x:c>
      <x:c r="K2035" s="39" t="str"/>
      <x:c r="L2035" s="39" t="str">
        <x:v>AP:P137</x:v>
      </x:c>
      <x:c r="M2035" s="39" t="str"/>
      <x:c r="N2035" s="39" t="str">
        <x:v>نسخه پایه ۳۱۵۰</x:v>
      </x:c>
    </x:row>
    <x:row r="2036" ht="34" customHeight="1">
      <x:c r="A2036" s="34" t="str">
        <x:v>☐</x:v>
      </x:c>
      <x:c r="B2036" s="34" t="str">
        <x:v>MI-0359</x:v>
      </x:c>
      <x:c r="C2036" s="34" t="str">
        <x:v>M5 — دانش، فرهنگ، حکمرانی و بانک مطالعاتی</x:v>
      </x:c>
      <x:c r="D2036" s="34" t="str">
        <x:v>H18</x:v>
      </x:c>
      <x:c r="E2036" s="34" t="str">
        <x:v>بانک مطالعه، منابع و موضوعات کنجکاوی</x:v>
      </x:c>
      <x:c r="F2036" s="34" t="str">
        <x:v>BANK</x:v>
      </x:c>
      <x:c r="G2036" s="34" t="str">
        <x:v>مطالعه/منبع</x:v>
      </x:c>
      <x:c r="H2036" s="39" t="str">
        <x:v>کار کردن niche</x:v>
      </x:c>
      <x:c r="I2036" s="39" t="str">
        <x:v>بانک مطالعه؛ سقف زمانی</x:v>
      </x:c>
      <x:c r="J2036" s="39" t="str">
        <x:v>مدیر دانش/کیوریتور محتوا</x:v>
      </x:c>
      <x:c r="K2036" s="39" t="str"/>
      <x:c r="L2036" s="39" t="str">
        <x:v>AP:P140</x:v>
      </x:c>
      <x:c r="M2036" s="39" t="str"/>
      <x:c r="N2036" s="39" t="str">
        <x:v>نسخه پایه ۳۱۵۰</x:v>
      </x:c>
    </x:row>
    <x:row r="2037" ht="34" customHeight="1">
      <x:c r="A2037" s="34" t="str">
        <x:v>☐</x:v>
      </x:c>
      <x:c r="B2037" s="34" t="str">
        <x:v>MI-0360</x:v>
      </x:c>
      <x:c r="C2037" s="34" t="str">
        <x:v>M5 — دانش، فرهنگ، حکمرانی و بانک مطالعاتی</x:v>
      </x:c>
      <x:c r="D2037" s="34" t="str">
        <x:v>H18</x:v>
      </x:c>
      <x:c r="E2037" s="34" t="str">
        <x:v>بانک مطالعه، منابع و موضوعات کنجکاوی</x:v>
      </x:c>
      <x:c r="F2037" s="34" t="str">
        <x:v>BANK</x:v>
      </x:c>
      <x:c r="G2037" s="34" t="str">
        <x:v>مطالعه/منبع</x:v>
      </x:c>
      <x:c r="H2037" s="39" t="str">
        <x:v>ایجاد فومو و ترس و خاموشی منطق</x:v>
      </x:c>
      <x:c r="I2037" s="39" t="str">
        <x:v>بانک مطالعه؛ سقف زمانی</x:v>
      </x:c>
      <x:c r="J2037" s="39" t="str">
        <x:v>مدیر دانش/کیوریتور محتوا</x:v>
      </x:c>
      <x:c r="K2037" s="39" t="str"/>
      <x:c r="L2037" s="39" t="str">
        <x:v>AP:P141</x:v>
      </x:c>
      <x:c r="M2037" s="39" t="str"/>
      <x:c r="N2037" s="39" t="str">
        <x:v>نسخه پایه ۳۱۵۰</x:v>
      </x:c>
    </x:row>
    <x:row r="2038" ht="34" customHeight="1">
      <x:c r="A2038" s="34" t="str">
        <x:v>☐</x:v>
      </x:c>
      <x:c r="B2038" s="34" t="str">
        <x:v>MI-0361</x:v>
      </x:c>
      <x:c r="C2038" s="34" t="str">
        <x:v>M5 — دانش، فرهنگ، حکمرانی و بانک مطالعاتی</x:v>
      </x:c>
      <x:c r="D2038" s="34" t="str">
        <x:v>H18</x:v>
      </x:c>
      <x:c r="E2038" s="34" t="str">
        <x:v>بانک مطالعه، منابع و موضوعات کنجکاوی</x:v>
      </x:c>
      <x:c r="F2038" s="34" t="str">
        <x:v>BANK</x:v>
      </x:c>
      <x:c r="G2038" s="34" t="str">
        <x:v>مطالعه/منبع</x:v>
      </x:c>
      <x:c r="H2038" s="39" t="str">
        <x:v>پیوند همزمانِ شوخطبعی + معنا + هدف</x:v>
      </x:c>
      <x:c r="I2038" s="39" t="str">
        <x:v>بانک مطالعه؛ سقف زمانی</x:v>
      </x:c>
      <x:c r="J2038" s="39" t="str">
        <x:v>مدیر دانش/کیوریتور محتوا</x:v>
      </x:c>
      <x:c r="K2038" s="39" t="str"/>
      <x:c r="L2038" s="39" t="str">
        <x:v>AP:P142</x:v>
      </x:c>
      <x:c r="M2038" s="39" t="str"/>
      <x:c r="N2038" s="39" t="str">
        <x:v>نسخه پایه ۳۱۵۰</x:v>
      </x:c>
    </x:row>
    <x:row r="2039" ht="34" customHeight="1">
      <x:c r="A2039" s="34" t="str">
        <x:v>☐</x:v>
      </x:c>
      <x:c r="B2039" s="34" t="str">
        <x:v>MI-0362</x:v>
      </x:c>
      <x:c r="C2039" s="34" t="str">
        <x:v>M5 — دانش، فرهنگ، حکمرانی و بانک مطالعاتی</x:v>
      </x:c>
      <x:c r="D2039" s="34" t="str">
        <x:v>H18</x:v>
      </x:c>
      <x:c r="E2039" s="34" t="str">
        <x:v>بانک مطالعه، منابع و موضوعات کنجکاوی</x:v>
      </x:c>
      <x:c r="F2039" s="34" t="str">
        <x:v>BANK</x:v>
      </x:c>
      <x:c r="G2039" s="34" t="str">
        <x:v>مطالعه/منبع</x:v>
      </x:c>
      <x:c r="H2039" s="39" t="str">
        <x:v>مکانیزم کاهش مقاومت ذهنی مخاطب</x:v>
      </x:c>
      <x:c r="I2039" s="39" t="str">
        <x:v>بانک مطالعه؛ سقف زمانی</x:v>
      </x:c>
      <x:c r="J2039" s="39" t="str">
        <x:v>مدیر دانش/کیوریتور محتوا</x:v>
      </x:c>
      <x:c r="K2039" s="39" t="str"/>
      <x:c r="L2039" s="39" t="str">
        <x:v>AP:P143</x:v>
      </x:c>
      <x:c r="M2039" s="39" t="str"/>
      <x:c r="N2039" s="39" t="str">
        <x:v>نسخه پایه ۳۱۵۰</x:v>
      </x:c>
    </x:row>
    <x:row r="2040" ht="34" customHeight="1">
      <x:c r="A2040" s="34" t="str">
        <x:v>☐</x:v>
      </x:c>
      <x:c r="B2040" s="34" t="str">
        <x:v>MI-0363</x:v>
      </x:c>
      <x:c r="C2040" s="34" t="str">
        <x:v>M5 — دانش، فرهنگ، حکمرانی و بانک مطالعاتی</x:v>
      </x:c>
      <x:c r="D2040" s="34" t="str">
        <x:v>H18</x:v>
      </x:c>
      <x:c r="E2040" s="34" t="str">
        <x:v>بانک مطالعه، منابع و موضوعات کنجکاوی</x:v>
      </x:c>
      <x:c r="F2040" s="34" t="str">
        <x:v>BANK</x:v>
      </x:c>
      <x:c r="G2040" s="34" t="str">
        <x:v>مطالعه/منبع</x:v>
      </x:c>
      <x:c r="H2040" s="39" t="str">
        <x:v>ابزار اقناع غیرمستقیم</x:v>
      </x:c>
      <x:c r="I2040" s="39" t="str">
        <x:v>بانک مطالعه؛ سقف زمانی</x:v>
      </x:c>
      <x:c r="J2040" s="39" t="str">
        <x:v>مدیر دانش/کیوریتور محتوا</x:v>
      </x:c>
      <x:c r="K2040" s="39" t="str"/>
      <x:c r="L2040" s="39" t="str">
        <x:v>AP:P144</x:v>
      </x:c>
      <x:c r="M2040" s="39" t="str"/>
      <x:c r="N2040" s="39" t="str">
        <x:v>نسخه پایه ۳۱۵۰</x:v>
      </x:c>
    </x:row>
    <x:row r="2041" ht="34" customHeight="1">
      <x:c r="A2041" s="34" t="str">
        <x:v>☐</x:v>
      </x:c>
      <x:c r="B2041" s="34" t="str">
        <x:v>MI-0364</x:v>
      </x:c>
      <x:c r="C2041" s="34" t="str">
        <x:v>M5 — دانش، فرهنگ، حکمرانی و بانک مطالعاتی</x:v>
      </x:c>
      <x:c r="D2041" s="34" t="str">
        <x:v>H18</x:v>
      </x:c>
      <x:c r="E2041" s="34" t="str">
        <x:v>بانک مطالعه، منابع و موضوعات کنجکاوی</x:v>
      </x:c>
      <x:c r="F2041" s="34" t="str">
        <x:v>BANK</x:v>
      </x:c>
      <x:c r="G2041" s="34" t="str">
        <x:v>مطالعه/منبع</x:v>
      </x:c>
      <x:c r="H2041" s="39" t="str">
        <x:v>توجیه ماکیاولیسم با دین</x:v>
      </x:c>
      <x:c r="I2041" s="39" t="str">
        <x:v>بانک مطالعه؛ سقف زمانی</x:v>
      </x:c>
      <x:c r="J2041" s="39" t="str">
        <x:v>مدیر دانش/کیوریتور محتوا</x:v>
      </x:c>
      <x:c r="K2041" s="39" t="str"/>
      <x:c r="L2041" s="39" t="str">
        <x:v>AP:P145</x:v>
      </x:c>
      <x:c r="M2041" s="39" t="str"/>
      <x:c r="N2041" s="39" t="str">
        <x:v>نسخه پایه ۳۱۵۰</x:v>
      </x:c>
    </x:row>
    <x:row r="2042" ht="34" customHeight="1">
      <x:c r="A2042" s="34" t="str">
        <x:v>☐</x:v>
      </x:c>
      <x:c r="B2042" s="34" t="str">
        <x:v>MI-0365</x:v>
      </x:c>
      <x:c r="C2042" s="34" t="str">
        <x:v>M5 — دانش، فرهنگ، حکمرانی و بانک مطالعاتی</x:v>
      </x:c>
      <x:c r="D2042" s="34" t="str">
        <x:v>H18</x:v>
      </x:c>
      <x:c r="E2042" s="34" t="str">
        <x:v>بانک مطالعه، منابع و موضوعات کنجکاوی</x:v>
      </x:c>
      <x:c r="F2042" s="34" t="str">
        <x:v>BANK</x:v>
      </x:c>
      <x:c r="G2042" s="34" t="str">
        <x:v>مطالعه/منبع</x:v>
      </x:c>
      <x:c r="H2042" s="39" t="str">
        <x:v>BCM-B و مهندسی صنایع (گرایش سیستمها و بهرهوری)</x:v>
      </x:c>
      <x:c r="I2042" s="39" t="str">
        <x:v>بانک مطالعه؛ سقف زمانی</x:v>
      </x:c>
      <x:c r="J2042" s="39" t="str">
        <x:v>مدیر دانش/کیوریتور محتوا</x:v>
      </x:c>
      <x:c r="K2042" s="39" t="str"/>
      <x:c r="L2042" s="39" t="str">
        <x:v>AP:P147</x:v>
      </x:c>
      <x:c r="M2042" s="39" t="str"/>
      <x:c r="N2042" s="39" t="str">
        <x:v>نسخه پایه ۳۱۵۰</x:v>
      </x:c>
    </x:row>
    <x:row r="2043" ht="34" customHeight="1">
      <x:c r="A2043" s="34" t="str">
        <x:v>☐</x:v>
      </x:c>
      <x:c r="B2043" s="34" t="str">
        <x:v>MI-0366</x:v>
      </x:c>
      <x:c r="C2043" s="34" t="str">
        <x:v>M5 — دانش، فرهنگ، حکمرانی و بانک مطالعاتی</x:v>
      </x:c>
      <x:c r="D2043" s="34" t="str">
        <x:v>H18</x:v>
      </x:c>
      <x:c r="E2043" s="34" t="str">
        <x:v>بانک مطالعه، منابع و موضوعات کنجکاوی</x:v>
      </x:c>
      <x:c r="F2043" s="34" t="str">
        <x:v>BANK</x:v>
      </x:c>
      <x:c r="G2043" s="34" t="str">
        <x:v>مطالعه/منبع</x:v>
      </x:c>
      <x:c r="H2043" s="39" t="str">
        <x:v>فناوری هدایت پرتو صدا</x:v>
      </x:c>
      <x:c r="I2043" s="39" t="str">
        <x:v>بانک مطالعه؛ سقف زمانی</x:v>
      </x:c>
      <x:c r="J2043" s="39" t="str">
        <x:v>مدیر دانش/کیوریتور محتوا</x:v>
      </x:c>
      <x:c r="K2043" s="39" t="str"/>
      <x:c r="L2043" s="39" t="str">
        <x:v>AP:P148</x:v>
      </x:c>
      <x:c r="M2043" s="39" t="str"/>
      <x:c r="N2043" s="39" t="str">
        <x:v>نسخه پایه ۳۱۵۰</x:v>
      </x:c>
    </x:row>
    <x:row r="2044" ht="34" customHeight="1">
      <x:c r="A2044" s="34" t="str">
        <x:v>☐</x:v>
      </x:c>
      <x:c r="B2044" s="34" t="str">
        <x:v>MI-0367</x:v>
      </x:c>
      <x:c r="C2044" s="34" t="str">
        <x:v>M5 — دانش، فرهنگ، حکمرانی و بانک مطالعاتی</x:v>
      </x:c>
      <x:c r="D2044" s="34" t="str">
        <x:v>H18</x:v>
      </x:c>
      <x:c r="E2044" s="34" t="str">
        <x:v>بانک مطالعه، منابع و موضوعات کنجکاوی</x:v>
      </x:c>
      <x:c r="F2044" s="34" t="str">
        <x:v>BANK</x:v>
      </x:c>
      <x:c r="G2044" s="34" t="str">
        <x:v>مطالعه/منبع</x:v>
      </x:c>
      <x:c r="H2044" s="39" t="str">
        <x:v>رنگ با قابلیت پوشش و ترمیم خراش</x:v>
      </x:c>
      <x:c r="I2044" s="39" t="str">
        <x:v>بانک مطالعه؛ سقف زمانی</x:v>
      </x:c>
      <x:c r="J2044" s="39" t="str">
        <x:v>مدیر دانش/کیوریتور محتوا</x:v>
      </x:c>
      <x:c r="K2044" s="39" t="str"/>
      <x:c r="L2044" s="39" t="str">
        <x:v>AP:P149</x:v>
      </x:c>
      <x:c r="M2044" s="39" t="str"/>
      <x:c r="N2044" s="39" t="str">
        <x:v>نسخه پایه ۳۱۵۰</x:v>
      </x:c>
    </x:row>
    <x:row r="2045" ht="34" customHeight="1">
      <x:c r="A2045" s="34" t="str">
        <x:v>☐</x:v>
      </x:c>
      <x:c r="B2045" s="34" t="str">
        <x:v>MI-0368</x:v>
      </x:c>
      <x:c r="C2045" s="34" t="str">
        <x:v>M5 — دانش، فرهنگ، حکمرانی و بانک مطالعاتی</x:v>
      </x:c>
      <x:c r="D2045" s="34" t="str">
        <x:v>H18</x:v>
      </x:c>
      <x:c r="E2045" s="34" t="str">
        <x:v>بانک مطالعه، منابع و موضوعات کنجکاوی</x:v>
      </x:c>
      <x:c r="F2045" s="34" t="str">
        <x:v>BANK</x:v>
      </x:c>
      <x:c r="G2045" s="34" t="str">
        <x:v>مطالعه/منبع</x:v>
      </x:c>
      <x:c r="H2045" s="39" t="str">
        <x:v>فلزات و یا مواد خودترمیم شونده</x:v>
      </x:c>
      <x:c r="I2045" s="39" t="str">
        <x:v>بانک مطالعه؛ سقف زمانی</x:v>
      </x:c>
      <x:c r="J2045" s="39" t="str">
        <x:v>مدیر دانش/کیوریتور محتوا</x:v>
      </x:c>
      <x:c r="K2045" s="39" t="str"/>
      <x:c r="L2045" s="39" t="str">
        <x:v>AP:P150</x:v>
      </x:c>
      <x:c r="M2045" s="39" t="str"/>
      <x:c r="N2045" s="39" t="str">
        <x:v>نسخه پایه ۳۱۵۰</x:v>
      </x:c>
    </x:row>
    <x:row r="2046" ht="34" customHeight="1">
      <x:c r="A2046" s="34" t="str">
        <x:v>☐</x:v>
      </x:c>
      <x:c r="B2046" s="34" t="str">
        <x:v>MI-0369</x:v>
      </x:c>
      <x:c r="C2046" s="34" t="str">
        <x:v>M5 — دانش، فرهنگ، حکمرانی و بانک مطالعاتی</x:v>
      </x:c>
      <x:c r="D2046" s="34" t="str">
        <x:v>H18</x:v>
      </x:c>
      <x:c r="E2046" s="34" t="str">
        <x:v>بانک مطالعه، منابع و موضوعات کنجکاوی</x:v>
      </x:c>
      <x:c r="F2046" s="34" t="str">
        <x:v>BANK</x:v>
      </x:c>
      <x:c r="G2046" s="34" t="str">
        <x:v>مطالعه/منبع</x:v>
      </x:c>
      <x:c r="H2046" s="39" t="str">
        <x:v>پساب</x:v>
      </x:c>
      <x:c r="I2046" s="39" t="str">
        <x:v>بانک مطالعه؛ سقف زمانی</x:v>
      </x:c>
      <x:c r="J2046" s="39" t="str">
        <x:v>مدیر دانش/کیوریتور محتوا</x:v>
      </x:c>
      <x:c r="K2046" s="39" t="str"/>
      <x:c r="L2046" s="39" t="str">
        <x:v>AP:P151</x:v>
      </x:c>
      <x:c r="M2046" s="39" t="str"/>
      <x:c r="N2046" s="39" t="str">
        <x:v>نسخه پایه ۳۱۵۰</x:v>
      </x:c>
    </x:row>
    <x:row r="2047" ht="34" customHeight="1">
      <x:c r="A2047" s="34" t="str">
        <x:v>☐</x:v>
      </x:c>
      <x:c r="B2047" s="34" t="str">
        <x:v>MI-0374</x:v>
      </x:c>
      <x:c r="C2047" s="34" t="str">
        <x:v>M5 — دانش، فرهنگ، حکمرانی و بانک مطالعاتی</x:v>
      </x:c>
      <x:c r="D2047" s="34" t="str">
        <x:v>H18</x:v>
      </x:c>
      <x:c r="E2047" s="34" t="str">
        <x:v>بانک مطالعه، منابع و موضوعات کنجکاوی</x:v>
      </x:c>
      <x:c r="F2047" s="34" t="str">
        <x:v>BANK</x:v>
      </x:c>
      <x:c r="G2047" s="34" t="str">
        <x:v>مطالعه/منبع</x:v>
      </x:c>
      <x:c r="H2047" s="39" t="str">
        <x:v>سوآپ کردن</x:v>
      </x:c>
      <x:c r="I2047" s="39" t="str">
        <x:v>بانک مطالعه؛ سقف زمانی</x:v>
      </x:c>
      <x:c r="J2047" s="39" t="str">
        <x:v>مدیر دانش/کیوریتور محتوا</x:v>
      </x:c>
      <x:c r="K2047" s="39" t="str"/>
      <x:c r="L2047" s="39" t="str">
        <x:v>AP:P156</x:v>
      </x:c>
      <x:c r="M2047" s="39" t="str"/>
      <x:c r="N2047" s="39" t="str">
        <x:v>نسخه پایه ۳۱۵۰</x:v>
      </x:c>
    </x:row>
    <x:row r="2048" ht="34" customHeight="1">
      <x:c r="A2048" s="34" t="str">
        <x:v>☐</x:v>
      </x:c>
      <x:c r="B2048" s="34" t="str">
        <x:v>MI-0375</x:v>
      </x:c>
      <x:c r="C2048" s="34" t="str">
        <x:v>M5 — دانش، فرهنگ، حکمرانی و بانک مطالعاتی</x:v>
      </x:c>
      <x:c r="D2048" s="34" t="str">
        <x:v>H18</x:v>
      </x:c>
      <x:c r="E2048" s="34" t="str">
        <x:v>بانک مطالعه، منابع و موضوعات کنجکاوی</x:v>
      </x:c>
      <x:c r="F2048" s="34" t="str">
        <x:v>BANK</x:v>
      </x:c>
      <x:c r="G2048" s="34" t="str">
        <x:v>مطالعه/منبع</x:v>
      </x:c>
      <x:c r="H2048" s="39" t="str">
        <x:v>ترفند مثلث موسیقی برهنگی الکل</x:v>
      </x:c>
      <x:c r="I2048" s="39" t="str">
        <x:v>بانک مطالعه؛ سقف زمانی</x:v>
      </x:c>
      <x:c r="J2048" s="39" t="str">
        <x:v>مدیر دانش/کیوریتور محتوا</x:v>
      </x:c>
      <x:c r="K2048" s="39" t="str"/>
      <x:c r="L2048" s="39" t="str">
        <x:v>AP:P157</x:v>
      </x:c>
      <x:c r="M2048" s="39" t="str"/>
      <x:c r="N2048" s="39" t="str">
        <x:v>نسخه پایه ۳۱۵۰</x:v>
      </x:c>
    </x:row>
    <x:row r="2049" ht="34" customHeight="1">
      <x:c r="A2049" s="34" t="str">
        <x:v>☐</x:v>
      </x:c>
      <x:c r="B2049" s="34" t="str">
        <x:v>MI-0376</x:v>
      </x:c>
      <x:c r="C2049" s="34" t="str">
        <x:v>M5 — دانش، فرهنگ، حکمرانی و بانک مطالعاتی</x:v>
      </x:c>
      <x:c r="D2049" s="34" t="str">
        <x:v>H18</x:v>
      </x:c>
      <x:c r="E2049" s="34" t="str">
        <x:v>بانک مطالعه، منابع و موضوعات کنجکاوی</x:v>
      </x:c>
      <x:c r="F2049" s="34" t="str">
        <x:v>BANK</x:v>
      </x:c>
      <x:c r="G2049" s="34" t="str">
        <x:v>مطالعه/منبع</x:v>
      </x:c>
      <x:c r="H2049" s="39" t="str">
        <x:v>پابلو اسکوار</x:v>
      </x:c>
      <x:c r="I2049" s="39" t="str">
        <x:v>بانک مطالعه؛ سقف زمانی</x:v>
      </x:c>
      <x:c r="J2049" s="39" t="str">
        <x:v>مدیر دانش/کیوریتور محتوا</x:v>
      </x:c>
      <x:c r="K2049" s="39" t="str"/>
      <x:c r="L2049" s="39" t="str">
        <x:v>AP:P158</x:v>
      </x:c>
      <x:c r="M2049" s="39" t="str"/>
      <x:c r="N2049" s="39" t="str">
        <x:v>نسخه پایه ۳۱۵۰</x:v>
      </x:c>
    </x:row>
    <x:row r="2050" ht="34" customHeight="1">
      <x:c r="A2050" s="34" t="str">
        <x:v>☐</x:v>
      </x:c>
      <x:c r="B2050" s="34" t="str">
        <x:v>MI-0378</x:v>
      </x:c>
      <x:c r="C2050" s="34" t="str">
        <x:v>M5 — دانش، فرهنگ، حکمرانی و بانک مطالعاتی</x:v>
      </x:c>
      <x:c r="D2050" s="34" t="str">
        <x:v>H18</x:v>
      </x:c>
      <x:c r="E2050" s="34" t="str">
        <x:v>بانک مطالعه، منابع و موضوعات کنجکاوی</x:v>
      </x:c>
      <x:c r="F2050" s="34" t="str">
        <x:v>BANK</x:v>
      </x:c>
      <x:c r="G2050" s="34" t="str">
        <x:v>مطالعه/منبع</x:v>
      </x:c>
      <x:c r="H2050" s="39" t="str">
        <x:v>ماشین لرنینگ</x:v>
      </x:c>
      <x:c r="I2050" s="39" t="str">
        <x:v>بانک مطالعه؛ سقف زمانی</x:v>
      </x:c>
      <x:c r="J2050" s="39" t="str">
        <x:v>مدیر دانش/کیوریتور محتوا</x:v>
      </x:c>
      <x:c r="K2050" s="39" t="str"/>
      <x:c r="L2050" s="39" t="str">
        <x:v>AP:P160</x:v>
      </x:c>
      <x:c r="M2050" s="39" t="str"/>
      <x:c r="N2050" s="39" t="str">
        <x:v>نسخه پایه ۳۱۵۰</x:v>
      </x:c>
    </x:row>
    <x:row r="2051" ht="34" customHeight="1">
      <x:c r="A2051" s="34" t="str">
        <x:v>☐</x:v>
      </x:c>
      <x:c r="B2051" s="34" t="str">
        <x:v>MI-0379</x:v>
      </x:c>
      <x:c r="C2051" s="34" t="str">
        <x:v>M5 — دانش، فرهنگ، حکمرانی و بانک مطالعاتی</x:v>
      </x:c>
      <x:c r="D2051" s="34" t="str">
        <x:v>H18</x:v>
      </x:c>
      <x:c r="E2051" s="34" t="str">
        <x:v>بانک مطالعه، منابع و موضوعات کنجکاوی</x:v>
      </x:c>
      <x:c r="F2051" s="34" t="str">
        <x:v>BANK</x:v>
      </x:c>
      <x:c r="G2051" s="34" t="str">
        <x:v>مطالعه/منبع</x:v>
      </x:c>
      <x:c r="H2051" s="39" t="str">
        <x:v>Pde couple در پایتون</x:v>
      </x:c>
      <x:c r="I2051" s="39" t="str">
        <x:v>بانک مطالعه؛ سقف زمانی</x:v>
      </x:c>
      <x:c r="J2051" s="39" t="str">
        <x:v>مدیر دانش/کیوریتور محتوا</x:v>
      </x:c>
      <x:c r="K2051" s="39" t="str"/>
      <x:c r="L2051" s="39" t="str">
        <x:v>AP:P162</x:v>
      </x:c>
      <x:c r="M2051" s="39" t="str"/>
      <x:c r="N2051" s="39" t="str">
        <x:v>نسخه پایه ۳۱۵۰</x:v>
      </x:c>
    </x:row>
    <x:row r="2052" ht="34" customHeight="1">
      <x:c r="A2052" s="34" t="str">
        <x:v>☐</x:v>
      </x:c>
      <x:c r="B2052" s="34" t="str">
        <x:v>MI-0380</x:v>
      </x:c>
      <x:c r="C2052" s="34" t="str">
        <x:v>M5 — دانش، فرهنگ، حکمرانی و بانک مطالعاتی</x:v>
      </x:c>
      <x:c r="D2052" s="34" t="str">
        <x:v>H18</x:v>
      </x:c>
      <x:c r="E2052" s="34" t="str">
        <x:v>بانک مطالعه، منابع و موضوعات کنجکاوی</x:v>
      </x:c>
      <x:c r="F2052" s="34" t="str">
        <x:v>BANK</x:v>
      </x:c>
      <x:c r="G2052" s="34" t="str">
        <x:v>مطالعه/منبع</x:v>
      </x:c>
      <x:c r="H2052" s="39" t="str">
        <x:v>هفتم اکتبر ایران و آمریکا</x:v>
      </x:c>
      <x:c r="I2052" s="39" t="str">
        <x:v>بانک مطالعه؛ سقف زمانی</x:v>
      </x:c>
      <x:c r="J2052" s="39" t="str">
        <x:v>مدیر دانش/کیوریتور محتوا</x:v>
      </x:c>
      <x:c r="K2052" s="39" t="str"/>
      <x:c r="L2052" s="39" t="str">
        <x:v>AP:P163</x:v>
      </x:c>
      <x:c r="M2052" s="39" t="str"/>
      <x:c r="N2052" s="39" t="str">
        <x:v>نسخه پایه ۳۱۵۰</x:v>
      </x:c>
    </x:row>
    <x:row r="2053" ht="34" customHeight="1">
      <x:c r="A2053" s="34" t="str">
        <x:v>☐</x:v>
      </x:c>
      <x:c r="B2053" s="34" t="str">
        <x:v>MI-0382</x:v>
      </x:c>
      <x:c r="C2053" s="34" t="str">
        <x:v>M5 — دانش، فرهنگ، حکمرانی و بانک مطالعاتی</x:v>
      </x:c>
      <x:c r="D2053" s="34" t="str">
        <x:v>H18</x:v>
      </x:c>
      <x:c r="E2053" s="34" t="str">
        <x:v>بانک مطالعه، منابع و موضوعات کنجکاوی</x:v>
      </x:c>
      <x:c r="F2053" s="34" t="str">
        <x:v>BANK</x:v>
      </x:c>
      <x:c r="G2053" s="34" t="str">
        <x:v>مطالعه/منبع</x:v>
      </x:c>
      <x:c r="H2053" s="39" t="str">
        <x:v>ادبیات فاخر سخنوری</x:v>
      </x:c>
      <x:c r="I2053" s="39" t="str">
        <x:v>بانک مطالعه؛ سقف زمانی</x:v>
      </x:c>
      <x:c r="J2053" s="39" t="str">
        <x:v>مدیر دانش/کیوریتور محتوا</x:v>
      </x:c>
      <x:c r="K2053" s="39" t="str"/>
      <x:c r="L2053" s="39" t="str">
        <x:v>AP:P165</x:v>
      </x:c>
      <x:c r="M2053" s="39" t="str"/>
      <x:c r="N2053" s="39" t="str">
        <x:v>نسخه پایه ۳۱۵۰</x:v>
      </x:c>
    </x:row>
    <x:row r="2054" ht="34" customHeight="1">
      <x:c r="A2054" s="34" t="str">
        <x:v>☐</x:v>
      </x:c>
      <x:c r="B2054" s="34" t="str">
        <x:v>MI-0383</x:v>
      </x:c>
      <x:c r="C2054" s="34" t="str">
        <x:v>M5 — دانش، فرهنگ، حکمرانی و بانک مطالعاتی</x:v>
      </x:c>
      <x:c r="D2054" s="34" t="str">
        <x:v>H18</x:v>
      </x:c>
      <x:c r="E2054" s="34" t="str">
        <x:v>بانک مطالعه، منابع و موضوعات کنجکاوی</x:v>
      </x:c>
      <x:c r="F2054" s="34" t="str">
        <x:v>BANK</x:v>
      </x:c>
      <x:c r="G2054" s="34" t="str">
        <x:v>مطالعه/منبع</x:v>
      </x:c>
      <x:c r="H2054" s="39" t="str">
        <x:v>قذافی</x:v>
      </x:c>
      <x:c r="I2054" s="39" t="str">
        <x:v>بانک مطالعه؛ سقف زمانی</x:v>
      </x:c>
      <x:c r="J2054" s="39" t="str">
        <x:v>مدیر دانش/کیوریتور محتوا</x:v>
      </x:c>
      <x:c r="K2054" s="39" t="str"/>
      <x:c r="L2054" s="39" t="str">
        <x:v>AP:P166</x:v>
      </x:c>
      <x:c r="M2054" s="39" t="str"/>
      <x:c r="N2054" s="39" t="str">
        <x:v>نسخه پایه ۳۱۵۰</x:v>
      </x:c>
    </x:row>
    <x:row r="2055" ht="34" customHeight="1">
      <x:c r="A2055" s="34" t="str">
        <x:v>☐</x:v>
      </x:c>
      <x:c r="B2055" s="34" t="str">
        <x:v>MI-0384</x:v>
      </x:c>
      <x:c r="C2055" s="34" t="str">
        <x:v>M5 — دانش، فرهنگ، حکمرانی و بانک مطالعاتی</x:v>
      </x:c>
      <x:c r="D2055" s="34" t="str">
        <x:v>H18</x:v>
      </x:c>
      <x:c r="E2055" s="34" t="str">
        <x:v>بانک مطالعه، منابع و موضوعات کنجکاوی</x:v>
      </x:c>
      <x:c r="F2055" s="34" t="str">
        <x:v>BANK</x:v>
      </x:c>
      <x:c r="G2055" s="34" t="str">
        <x:v>مطالعه/منبع</x:v>
      </x:c>
      <x:c r="H2055" s="39" t="str">
        <x:v>هنری کیسینجر</x:v>
      </x:c>
      <x:c r="I2055" s="39" t="str">
        <x:v>بانک مطالعه؛ سقف زمانی</x:v>
      </x:c>
      <x:c r="J2055" s="39" t="str">
        <x:v>مدیر دانش/کیوریتور محتوا</x:v>
      </x:c>
      <x:c r="K2055" s="39" t="str"/>
      <x:c r="L2055" s="39" t="str">
        <x:v>AP:P167</x:v>
      </x:c>
      <x:c r="M2055" s="39" t="str"/>
      <x:c r="N2055" s="39" t="str">
        <x:v>نسخه پایه ۳۱۵۰</x:v>
      </x:c>
    </x:row>
    <x:row r="2056" ht="34" customHeight="1">
      <x:c r="A2056" s="34" t="str">
        <x:v>☐</x:v>
      </x:c>
      <x:c r="B2056" s="34" t="str">
        <x:v>MI-0385</x:v>
      </x:c>
      <x:c r="C2056" s="34" t="str">
        <x:v>M5 — دانش، فرهنگ، حکمرانی و بانک مطالعاتی</x:v>
      </x:c>
      <x:c r="D2056" s="34" t="str">
        <x:v>H18</x:v>
      </x:c>
      <x:c r="E2056" s="34" t="str">
        <x:v>بانک مطالعه، منابع و موضوعات کنجکاوی</x:v>
      </x:c>
      <x:c r="F2056" s="34" t="str">
        <x:v>BANK</x:v>
      </x:c>
      <x:c r="G2056" s="34" t="str">
        <x:v>مطالعه/منبع</x:v>
      </x:c>
      <x:c r="H2056" s="39" t="str">
        <x:v>سایت هاگ</x:v>
      </x:c>
      <x:c r="I2056" s="39" t="str">
        <x:v>بانک مطالعه؛ سقف زمانی</x:v>
      </x:c>
      <x:c r="J2056" s="39" t="str">
        <x:v>مدیر دانش/کیوریتور محتوا</x:v>
      </x:c>
      <x:c r="K2056" s="39" t="str"/>
      <x:c r="L2056" s="39" t="str">
        <x:v>AP:P168</x:v>
      </x:c>
      <x:c r="M2056" s="39" t="str"/>
      <x:c r="N2056" s="39" t="str">
        <x:v>نسخه پایه ۳۱۵۰</x:v>
      </x:c>
    </x:row>
    <x:row r="2057" ht="34" customHeight="1">
      <x:c r="A2057" s="34" t="str">
        <x:v>☐</x:v>
      </x:c>
      <x:c r="B2057" s="34" t="str">
        <x:v>MI-0386</x:v>
      </x:c>
      <x:c r="C2057" s="34" t="str">
        <x:v>M5 — دانش، فرهنگ، حکمرانی و بانک مطالعاتی</x:v>
      </x:c>
      <x:c r="D2057" s="34" t="str">
        <x:v>H18</x:v>
      </x:c>
      <x:c r="E2057" s="34" t="str">
        <x:v>بانک مطالعه، منابع و موضوعات کنجکاوی</x:v>
      </x:c>
      <x:c r="F2057" s="34" t="str">
        <x:v>BANK</x:v>
      </x:c>
      <x:c r="G2057" s="34" t="str">
        <x:v>مطالعه/منبع</x:v>
      </x:c>
      <x:c r="H2057" s="39" t="str">
        <x:v>پیزو الکتریک</x:v>
      </x:c>
      <x:c r="I2057" s="39" t="str">
        <x:v>بانک مطالعه؛ سقف زمانی</x:v>
      </x:c>
      <x:c r="J2057" s="39" t="str">
        <x:v>مدیر دانش/کیوریتور محتوا</x:v>
      </x:c>
      <x:c r="K2057" s="39" t="str"/>
      <x:c r="L2057" s="39" t="str">
        <x:v>AP:P169</x:v>
      </x:c>
      <x:c r="M2057" s="39" t="str"/>
      <x:c r="N2057" s="39" t="str">
        <x:v>نسخه پایه ۳۱۵۰</x:v>
      </x:c>
    </x:row>
    <x:row r="2058" ht="34" customHeight="1">
      <x:c r="A2058" s="34" t="str">
        <x:v>☐</x:v>
      </x:c>
      <x:c r="B2058" s="34" t="str">
        <x:v>MI-0387</x:v>
      </x:c>
      <x:c r="C2058" s="34" t="str">
        <x:v>M5 — دانش، فرهنگ، حکمرانی و بانک مطالعاتی</x:v>
      </x:c>
      <x:c r="D2058" s="34" t="str">
        <x:v>H18</x:v>
      </x:c>
      <x:c r="E2058" s="34" t="str">
        <x:v>بانک مطالعه، منابع و موضوعات کنجکاوی</x:v>
      </x:c>
      <x:c r="F2058" s="34" t="str">
        <x:v>BANK</x:v>
      </x:c>
      <x:c r="G2058" s="34" t="str">
        <x:v>مطالعه/منبع</x:v>
      </x:c>
      <x:c r="H2058" s="39" t="str">
        <x:v>ژنوم مواد</x:v>
      </x:c>
      <x:c r="I2058" s="39" t="str">
        <x:v>بانک مطالعه؛ سقف زمانی</x:v>
      </x:c>
      <x:c r="J2058" s="39" t="str">
        <x:v>مدیر دانش/کیوریتور محتوا</x:v>
      </x:c>
      <x:c r="K2058" s="39" t="str"/>
      <x:c r="L2058" s="39" t="str">
        <x:v>AP:P170</x:v>
      </x:c>
      <x:c r="M2058" s="39" t="str"/>
      <x:c r="N2058" s="39" t="str">
        <x:v>نسخه پایه ۳۱۵۰</x:v>
      </x:c>
    </x:row>
    <x:row r="2059" ht="34" customHeight="1">
      <x:c r="A2059" s="34" t="str">
        <x:v>☐</x:v>
      </x:c>
      <x:c r="B2059" s="34" t="str">
        <x:v>MI-0389</x:v>
      </x:c>
      <x:c r="C2059" s="34" t="str">
        <x:v>M5 — دانش، فرهنگ، حکمرانی و بانک مطالعاتی</x:v>
      </x:c>
      <x:c r="D2059" s="34" t="str">
        <x:v>H18</x:v>
      </x:c>
      <x:c r="E2059" s="34" t="str">
        <x:v>بانک مطالعه، منابع و موضوعات کنجکاوی</x:v>
      </x:c>
      <x:c r="F2059" s="34" t="str">
        <x:v>BANK</x:v>
      </x:c>
      <x:c r="G2059" s="34" t="str">
        <x:v>مطالعه/منبع</x:v>
      </x:c>
      <x:c r="H2059" s="39" t="str">
        <x:v>ERD</x:v>
      </x:c>
      <x:c r="I2059" s="39" t="str">
        <x:v>بانک مطالعه؛ سقف زمانی</x:v>
      </x:c>
      <x:c r="J2059" s="39" t="str">
        <x:v>مدیر دانش/کیوریتور محتوا</x:v>
      </x:c>
      <x:c r="K2059" s="39" t="str"/>
      <x:c r="L2059" s="39" t="str">
        <x:v>AP:P173</x:v>
      </x:c>
      <x:c r="M2059" s="39" t="str"/>
      <x:c r="N2059" s="39" t="str">
        <x:v>نسخه پایه ۳۱۵۰</x:v>
      </x:c>
    </x:row>
    <x:row r="2060" ht="34" customHeight="1">
      <x:c r="A2060" s="34" t="str">
        <x:v>☐</x:v>
      </x:c>
      <x:c r="B2060" s="34" t="str">
        <x:v>MI-0390</x:v>
      </x:c>
      <x:c r="C2060" s="34" t="str">
        <x:v>M5 — دانش، فرهنگ، حکمرانی و بانک مطالعاتی</x:v>
      </x:c>
      <x:c r="D2060" s="34" t="str">
        <x:v>H18</x:v>
      </x:c>
      <x:c r="E2060" s="34" t="str">
        <x:v>بانک مطالعه، منابع و موضوعات کنجکاوی</x:v>
      </x:c>
      <x:c r="F2060" s="34" t="str">
        <x:v>BANK</x:v>
      </x:c>
      <x:c r="G2060" s="34" t="str">
        <x:v>مطالعه/منبع</x:v>
      </x:c>
      <x:c r="H2060" s="39" t="str">
        <x:v>رویالتی</x:v>
      </x:c>
      <x:c r="I2060" s="39" t="str">
        <x:v>بانک مطالعه؛ سقف زمانی</x:v>
      </x:c>
      <x:c r="J2060" s="39" t="str">
        <x:v>مدیر دانش/کیوریتور محتوا</x:v>
      </x:c>
      <x:c r="K2060" s="39" t="str"/>
      <x:c r="L2060" s="39" t="str">
        <x:v>AP:P174</x:v>
      </x:c>
      <x:c r="M2060" s="39" t="str"/>
      <x:c r="N2060" s="39" t="str">
        <x:v>نسخه پایه ۳۱۵۰</x:v>
      </x:c>
    </x:row>
    <x:row r="2061" ht="34" customHeight="1">
      <x:c r="A2061" s="34" t="str">
        <x:v>☐</x:v>
      </x:c>
      <x:c r="B2061" s="34" t="str">
        <x:v>MI-0391</x:v>
      </x:c>
      <x:c r="C2061" s="34" t="str">
        <x:v>M5 — دانش، فرهنگ، حکمرانی و بانک مطالعاتی</x:v>
      </x:c>
      <x:c r="D2061" s="34" t="str">
        <x:v>H18</x:v>
      </x:c>
      <x:c r="E2061" s="34" t="str">
        <x:v>بانک مطالعه، منابع و موضوعات کنجکاوی</x:v>
      </x:c>
      <x:c r="F2061" s="34" t="str">
        <x:v>BANK</x:v>
      </x:c>
      <x:c r="G2061" s="34" t="str">
        <x:v>مطالعه/منبع</x:v>
      </x:c>
      <x:c r="H2061" s="39" t="str">
        <x:v>بلنک های سوییفتی</x:v>
      </x:c>
      <x:c r="I2061" s="39" t="str">
        <x:v>بانک مطالعه؛ سقف زمانی</x:v>
      </x:c>
      <x:c r="J2061" s="39" t="str">
        <x:v>مدیر دانش/کیوریتور محتوا</x:v>
      </x:c>
      <x:c r="K2061" s="39" t="str"/>
      <x:c r="L2061" s="39" t="str">
        <x:v>AP:P175</x:v>
      </x:c>
      <x:c r="M2061" s="39" t="str"/>
      <x:c r="N2061" s="39" t="str">
        <x:v>نسخه پایه ۳۱۵۰</x:v>
      </x:c>
    </x:row>
    <x:row r="2062" ht="34" customHeight="1">
      <x:c r="A2062" s="34" t="str">
        <x:v>☐</x:v>
      </x:c>
      <x:c r="B2062" s="34" t="str">
        <x:v>MI-0392</x:v>
      </x:c>
      <x:c r="C2062" s="34" t="str">
        <x:v>M5 — دانش، فرهنگ، حکمرانی و بانک مطالعاتی</x:v>
      </x:c>
      <x:c r="D2062" s="34" t="str">
        <x:v>H18</x:v>
      </x:c>
      <x:c r="E2062" s="34" t="str">
        <x:v>بانک مطالعه، منابع و موضوعات کنجکاوی</x:v>
      </x:c>
      <x:c r="F2062" s="34" t="str">
        <x:v>BANK</x:v>
      </x:c>
      <x:c r="G2062" s="34" t="str">
        <x:v>مطالعه/منبع</x:v>
      </x:c>
      <x:c r="H2062" s="39" t="str">
        <x:v>وینچ 10 تن</x:v>
      </x:c>
      <x:c r="I2062" s="39" t="str">
        <x:v>بانک مطالعه؛ سقف زمانی</x:v>
      </x:c>
      <x:c r="J2062" s="39" t="str">
        <x:v>مدیر دانش/کیوریتور محتوا</x:v>
      </x:c>
      <x:c r="K2062" s="39" t="str"/>
      <x:c r="L2062" s="39" t="str">
        <x:v>AP:P176</x:v>
      </x:c>
      <x:c r="M2062" s="39" t="str"/>
      <x:c r="N2062" s="39" t="str">
        <x:v>نسخه پایه ۳۱۵۰</x:v>
      </x:c>
    </x:row>
    <x:row r="2063" ht="34" customHeight="1">
      <x:c r="A2063" s="34" t="str">
        <x:v>☐</x:v>
      </x:c>
      <x:c r="B2063" s="34" t="str">
        <x:v>MI-0393</x:v>
      </x:c>
      <x:c r="C2063" s="34" t="str">
        <x:v>M5 — دانش، فرهنگ، حکمرانی و بانک مطالعاتی</x:v>
      </x:c>
      <x:c r="D2063" s="34" t="str">
        <x:v>H18</x:v>
      </x:c>
      <x:c r="E2063" s="34" t="str">
        <x:v>بانک مطالعه، منابع و موضوعات کنجکاوی</x:v>
      </x:c>
      <x:c r="F2063" s="34" t="str">
        <x:v>BANK</x:v>
      </x:c>
      <x:c r="G2063" s="34" t="str">
        <x:v>مطالعه/منبع</x:v>
      </x:c>
      <x:c r="H2063" s="39" t="str">
        <x:v>اسناد sfo و کرسنت</x:v>
      </x:c>
      <x:c r="I2063" s="39" t="str">
        <x:v>بانک مطالعه؛ سقف زمانی</x:v>
      </x:c>
      <x:c r="J2063" s="39" t="str">
        <x:v>مدیر دانش/کیوریتور محتوا</x:v>
      </x:c>
      <x:c r="K2063" s="39" t="str"/>
      <x:c r="L2063" s="39" t="str">
        <x:v>AP:P177</x:v>
      </x:c>
      <x:c r="M2063" s="39" t="str"/>
      <x:c r="N2063" s="39" t="str">
        <x:v>نسخه پایه ۳۱۵۰</x:v>
      </x:c>
    </x:row>
    <x:row r="2064" ht="34" customHeight="1">
      <x:c r="A2064" s="34" t="str">
        <x:v>☐</x:v>
      </x:c>
      <x:c r="B2064" s="34" t="str">
        <x:v>MI-0394</x:v>
      </x:c>
      <x:c r="C2064" s="34" t="str">
        <x:v>M5 — دانش، فرهنگ، حکمرانی و بانک مطالعاتی</x:v>
      </x:c>
      <x:c r="D2064" s="34" t="str">
        <x:v>H18</x:v>
      </x:c>
      <x:c r="E2064" s="34" t="str">
        <x:v>بانک مطالعه، منابع و موضوعات کنجکاوی</x:v>
      </x:c>
      <x:c r="F2064" s="34" t="str">
        <x:v>BANK</x:v>
      </x:c>
      <x:c r="G2064" s="34" t="str">
        <x:v>مطالعه/منبع</x:v>
      </x:c>
      <x:c r="H2064" s="39" t="str">
        <x:v>کفشگران</x:v>
      </x:c>
      <x:c r="I2064" s="39" t="str">
        <x:v>بانک مطالعه؛ سقف زمانی</x:v>
      </x:c>
      <x:c r="J2064" s="39" t="str">
        <x:v>مدیر دانش/کیوریتور محتوا</x:v>
      </x:c>
      <x:c r="K2064" s="39" t="str"/>
      <x:c r="L2064" s="39" t="str">
        <x:v>AP:P178</x:v>
      </x:c>
      <x:c r="M2064" s="39" t="str"/>
      <x:c r="N2064" s="39" t="str">
        <x:v>نسخه پایه ۳۱۵۰</x:v>
      </x:c>
    </x:row>
    <x:row r="2065" ht="34" customHeight="1">
      <x:c r="A2065" s="34" t="str">
        <x:v>☐</x:v>
      </x:c>
      <x:c r="B2065" s="34" t="str">
        <x:v>MI-0395</x:v>
      </x:c>
      <x:c r="C2065" s="34" t="str">
        <x:v>M5 — دانش، فرهنگ، حکمرانی و بانک مطالعاتی</x:v>
      </x:c>
      <x:c r="D2065" s="34" t="str">
        <x:v>H18</x:v>
      </x:c>
      <x:c r="E2065" s="34" t="str">
        <x:v>بانک مطالعه، منابع و موضوعات کنجکاوی</x:v>
      </x:c>
      <x:c r="F2065" s="34" t="str">
        <x:v>BANK</x:v>
      </x:c>
      <x:c r="G2065" s="34" t="str">
        <x:v>مطالعه/منبع</x:v>
      </x:c>
      <x:c r="H2065" s="39" t="str">
        <x:v>مدیریت تکنولوژی</x:v>
      </x:c>
      <x:c r="I2065" s="39" t="str">
        <x:v>بانک مطالعه؛ سقف زمانی</x:v>
      </x:c>
      <x:c r="J2065" s="39" t="str">
        <x:v>مدیر دانش/کیوریتور محتوا</x:v>
      </x:c>
      <x:c r="K2065" s="39" t="str"/>
      <x:c r="L2065" s="39" t="str">
        <x:v>AP:P179</x:v>
      </x:c>
      <x:c r="M2065" s="39" t="str"/>
      <x:c r="N2065" s="39" t="str">
        <x:v>نسخه پایه ۳۱۵۰</x:v>
      </x:c>
    </x:row>
    <x:row r="2066" ht="34" customHeight="1">
      <x:c r="A2066" s="34" t="str">
        <x:v>☐</x:v>
      </x:c>
      <x:c r="B2066" s="34" t="str">
        <x:v>MI-0396</x:v>
      </x:c>
      <x:c r="C2066" s="34" t="str">
        <x:v>M5 — دانش، فرهنگ، حکمرانی و بانک مطالعاتی</x:v>
      </x:c>
      <x:c r="D2066" s="34" t="str">
        <x:v>H18</x:v>
      </x:c>
      <x:c r="E2066" s="34" t="str">
        <x:v>بانک مطالعه، منابع و موضوعات کنجکاوی</x:v>
      </x:c>
      <x:c r="F2066" s="34" t="str">
        <x:v>BANK</x:v>
      </x:c>
      <x:c r="G2066" s="34" t="str">
        <x:v>مطالعه/منبع</x:v>
      </x:c>
      <x:c r="H2066" s="39" t="str">
        <x:v>علی چیتسازیان</x:v>
      </x:c>
      <x:c r="I2066" s="39" t="str">
        <x:v>بانک مطالعه؛ سقف زمانی</x:v>
      </x:c>
      <x:c r="J2066" s="39" t="str">
        <x:v>مدیر دانش/کیوریتور محتوا</x:v>
      </x:c>
      <x:c r="K2066" s="39" t="str"/>
      <x:c r="L2066" s="39" t="str">
        <x:v>AP:P180</x:v>
      </x:c>
      <x:c r="M2066" s="39" t="str"/>
      <x:c r="N2066" s="39" t="str">
        <x:v>نسخه پایه ۳۱۵۰</x:v>
      </x:c>
    </x:row>
    <x:row r="2067" ht="34" customHeight="1">
      <x:c r="A2067" s="34" t="str">
        <x:v>☐</x:v>
      </x:c>
      <x:c r="B2067" s="34" t="str">
        <x:v>MI-0397</x:v>
      </x:c>
      <x:c r="C2067" s="34" t="str">
        <x:v>M5 — دانش، فرهنگ، حکمرانی و بانک مطالعاتی</x:v>
      </x:c>
      <x:c r="D2067" s="34" t="str">
        <x:v>H18</x:v>
      </x:c>
      <x:c r="E2067" s="34" t="str">
        <x:v>بانک مطالعه، منابع و موضوعات کنجکاوی</x:v>
      </x:c>
      <x:c r="F2067" s="34" t="str">
        <x:v>BANK</x:v>
      </x:c>
      <x:c r="G2067" s="34" t="str">
        <x:v>مطالعه/منبع</x:v>
      </x:c>
      <x:c r="H2067" s="39" t="str">
        <x:v>هنر تحریم</x:v>
      </x:c>
      <x:c r="I2067" s="39" t="str">
        <x:v>بانک مطالعه؛ سقف زمانی</x:v>
      </x:c>
      <x:c r="J2067" s="39" t="str">
        <x:v>مدیر دانش/کیوریتور محتوا</x:v>
      </x:c>
      <x:c r="K2067" s="39" t="str"/>
      <x:c r="L2067" s="39" t="str">
        <x:v>AP:P181</x:v>
      </x:c>
      <x:c r="M2067" s="39" t="str"/>
      <x:c r="N2067" s="39" t="str">
        <x:v>نسخه پایه ۳۱۵۰</x:v>
      </x:c>
    </x:row>
    <x:row r="2068" ht="34" customHeight="1">
      <x:c r="A2068" s="34" t="str">
        <x:v>☐</x:v>
      </x:c>
      <x:c r="B2068" s="34" t="str">
        <x:v>MI-0398</x:v>
      </x:c>
      <x:c r="C2068" s="34" t="str">
        <x:v>M5 — دانش، فرهنگ، حکمرانی و بانک مطالعاتی</x:v>
      </x:c>
      <x:c r="D2068" s="34" t="str">
        <x:v>H18</x:v>
      </x:c>
      <x:c r="E2068" s="34" t="str">
        <x:v>بانک مطالعه، منابع و موضوعات کنجکاوی</x:v>
      </x:c>
      <x:c r="F2068" s="34" t="str">
        <x:v>BANK</x:v>
      </x:c>
      <x:c r="G2068" s="34" t="str">
        <x:v>مطالعه/منبع</x:v>
      </x:c>
      <x:c r="H2068" s="39" t="str">
        <x:v>مسلم بن ارتات</x:v>
      </x:c>
      <x:c r="I2068" s="39" t="str">
        <x:v>بانک مطالعه؛ سقف زمانی</x:v>
      </x:c>
      <x:c r="J2068" s="39" t="str">
        <x:v>مدیر دانش/کیوریتور محتوا</x:v>
      </x:c>
      <x:c r="K2068" s="39" t="str"/>
      <x:c r="L2068" s="39" t="str">
        <x:v>AP:P182</x:v>
      </x:c>
      <x:c r="M2068" s="39" t="str"/>
      <x:c r="N2068" s="39" t="str">
        <x:v>نسخه پایه ۳۱۵۰</x:v>
      </x:c>
    </x:row>
    <x:row r="2069" ht="34" customHeight="1">
      <x:c r="A2069" s="34" t="str">
        <x:v>☐</x:v>
      </x:c>
      <x:c r="B2069" s="34" t="str">
        <x:v>MI-0399</x:v>
      </x:c>
      <x:c r="C2069" s="34" t="str">
        <x:v>M5 — دانش، فرهنگ، حکمرانی و بانک مطالعاتی</x:v>
      </x:c>
      <x:c r="D2069" s="34" t="str">
        <x:v>H18</x:v>
      </x:c>
      <x:c r="E2069" s="34" t="str">
        <x:v>بانک مطالعه، منابع و موضوعات کنجکاوی</x:v>
      </x:c>
      <x:c r="F2069" s="34" t="str">
        <x:v>BANK</x:v>
      </x:c>
      <x:c r="G2069" s="34" t="str">
        <x:v>مطالعه/منبع</x:v>
      </x:c>
      <x:c r="H2069" s="39" t="str">
        <x:v>واکنش هیستریک</x:v>
      </x:c>
      <x:c r="I2069" s="39" t="str">
        <x:v>بانک مطالعه؛ سقف زمانی</x:v>
      </x:c>
      <x:c r="J2069" s="39" t="str">
        <x:v>مدیر دانش/کیوریتور محتوا</x:v>
      </x:c>
      <x:c r="K2069" s="39" t="str"/>
      <x:c r="L2069" s="39" t="str">
        <x:v>AP:P183</x:v>
      </x:c>
      <x:c r="M2069" s="39" t="str"/>
      <x:c r="N2069" s="39" t="str">
        <x:v>نسخه پایه ۳۱۵۰</x:v>
      </x:c>
    </x:row>
    <x:row r="2070" ht="34" customHeight="1">
      <x:c r="A2070" s="34" t="str">
        <x:v>☐</x:v>
      </x:c>
      <x:c r="B2070" s="34" t="str">
        <x:v>MI-0400</x:v>
      </x:c>
      <x:c r="C2070" s="34" t="str">
        <x:v>M5 — دانش، فرهنگ، حکمرانی و بانک مطالعاتی</x:v>
      </x:c>
      <x:c r="D2070" s="34" t="str">
        <x:v>H18</x:v>
      </x:c>
      <x:c r="E2070" s="34" t="str">
        <x:v>بانک مطالعه، منابع و موضوعات کنجکاوی</x:v>
      </x:c>
      <x:c r="F2070" s="34" t="str">
        <x:v>BANK</x:v>
      </x:c>
      <x:c r="G2070" s="34" t="str">
        <x:v>مطالعه/منبع</x:v>
      </x:c>
      <x:c r="H2070" s="39" t="str">
        <x:v>دو رکعت نماز طلب خیر</x:v>
      </x:c>
      <x:c r="I2070" s="39" t="str">
        <x:v>بانک مطالعه؛ سقف زمانی</x:v>
      </x:c>
      <x:c r="J2070" s="39" t="str">
        <x:v>مدیر دانش/کیوریتور محتوا</x:v>
      </x:c>
      <x:c r="K2070" s="39" t="str"/>
      <x:c r="L2070" s="39" t="str">
        <x:v>AP:P184</x:v>
      </x:c>
      <x:c r="M2070" s="39" t="str"/>
      <x:c r="N2070" s="39" t="str">
        <x:v>نسخه پایه ۳۱۵۰</x:v>
      </x:c>
    </x:row>
    <x:row r="2071" ht="34" customHeight="1">
      <x:c r="A2071" s="34" t="str">
        <x:v>☐</x:v>
      </x:c>
      <x:c r="B2071" s="34" t="str">
        <x:v>MI-0401</x:v>
      </x:c>
      <x:c r="C2071" s="34" t="str">
        <x:v>M5 — دانش، فرهنگ، حکمرانی و بانک مطالعاتی</x:v>
      </x:c>
      <x:c r="D2071" s="34" t="str">
        <x:v>H18</x:v>
      </x:c>
      <x:c r="E2071" s="34" t="str">
        <x:v>بانک مطالعه، منابع و موضوعات کنجکاوی</x:v>
      </x:c>
      <x:c r="F2071" s="34" t="str">
        <x:v>BANK</x:v>
      </x:c>
      <x:c r="G2071" s="34" t="str">
        <x:v>مطالعه/منبع</x:v>
      </x:c>
      <x:c r="H2071" s="39" t="str">
        <x:v>تجارت ناتاشا</x:v>
      </x:c>
      <x:c r="I2071" s="39" t="str">
        <x:v>بانک مطالعه؛ سقف زمانی</x:v>
      </x:c>
      <x:c r="J2071" s="39" t="str">
        <x:v>مدیر دانش/کیوریتور محتوا</x:v>
      </x:c>
      <x:c r="K2071" s="39" t="str"/>
      <x:c r="L2071" s="39" t="str">
        <x:v>AP:P185</x:v>
      </x:c>
      <x:c r="M2071" s="39" t="str"/>
      <x:c r="N2071" s="39" t="str">
        <x:v>نسخه پایه ۳۱۵۰</x:v>
      </x:c>
    </x:row>
    <x:row r="2072" ht="34" customHeight="1">
      <x:c r="A2072" s="34" t="str">
        <x:v>☐</x:v>
      </x:c>
      <x:c r="B2072" s="34" t="str">
        <x:v>MI-0402</x:v>
      </x:c>
      <x:c r="C2072" s="34" t="str">
        <x:v>M5 — دانش، فرهنگ، حکمرانی و بانک مطالعاتی</x:v>
      </x:c>
      <x:c r="D2072" s="34" t="str">
        <x:v>H18</x:v>
      </x:c>
      <x:c r="E2072" s="34" t="str">
        <x:v>بانک مطالعه، منابع و موضوعات کنجکاوی</x:v>
      </x:c>
      <x:c r="F2072" s="34" t="str">
        <x:v>BANK</x:v>
      </x:c>
      <x:c r="G2072" s="34" t="str">
        <x:v>مطالعه/منبع</x:v>
      </x:c>
      <x:c r="H2072" s="39" t="str">
        <x:v>سید مهدی تقوی</x:v>
      </x:c>
      <x:c r="I2072" s="39" t="str">
        <x:v>بانک مطالعه؛ سقف زمانی</x:v>
      </x:c>
      <x:c r="J2072" s="39" t="str">
        <x:v>مدیر دانش/کیوریتور محتوا</x:v>
      </x:c>
      <x:c r="K2072" s="39" t="str"/>
      <x:c r="L2072" s="39" t="str">
        <x:v>AP:P186</x:v>
      </x:c>
      <x:c r="M2072" s="39" t="str"/>
      <x:c r="N2072" s="39" t="str">
        <x:v>نسخه پایه ۳۱۵۰</x:v>
      </x:c>
    </x:row>
    <x:row r="2073" ht="34" customHeight="1">
      <x:c r="A2073" s="34" t="str">
        <x:v>☐</x:v>
      </x:c>
      <x:c r="B2073" s="34" t="str">
        <x:v>MI-0404</x:v>
      </x:c>
      <x:c r="C2073" s="34" t="str">
        <x:v>M5 — دانش، فرهنگ، حکمرانی و بانک مطالعاتی</x:v>
      </x:c>
      <x:c r="D2073" s="34" t="str">
        <x:v>H18</x:v>
      </x:c>
      <x:c r="E2073" s="34" t="str">
        <x:v>بانک مطالعه، منابع و موضوعات کنجکاوی</x:v>
      </x:c>
      <x:c r="F2073" s="34" t="str">
        <x:v>BANK</x:v>
      </x:c>
      <x:c r="G2073" s="34" t="str">
        <x:v>مطالعه/منبع</x:v>
      </x:c>
      <x:c r="H2073" s="39" t="str">
        <x:v>حدیث جهل</x:v>
      </x:c>
      <x:c r="I2073" s="39" t="str">
        <x:v>بانک مطالعه؛ سقف زمانی</x:v>
      </x:c>
      <x:c r="J2073" s="39" t="str">
        <x:v>مدیر دانش/کیوریتور محتوا</x:v>
      </x:c>
      <x:c r="K2073" s="39" t="str"/>
      <x:c r="L2073" s="39" t="str">
        <x:v>AP:P188</x:v>
      </x:c>
      <x:c r="M2073" s="39" t="str"/>
      <x:c r="N2073" s="39" t="str">
        <x:v>نسخه پایه ۳۱۵۰</x:v>
      </x:c>
    </x:row>
    <x:row r="2074" ht="34" customHeight="1">
      <x:c r="A2074" s="34" t="str">
        <x:v>☐</x:v>
      </x:c>
      <x:c r="B2074" s="34" t="str">
        <x:v>MI-0405</x:v>
      </x:c>
      <x:c r="C2074" s="34" t="str">
        <x:v>M5 — دانش، فرهنگ، حکمرانی و بانک مطالعاتی</x:v>
      </x:c>
      <x:c r="D2074" s="34" t="str">
        <x:v>H18</x:v>
      </x:c>
      <x:c r="E2074" s="34" t="str">
        <x:v>بانک مطالعه، منابع و موضوعات کنجکاوی</x:v>
      </x:c>
      <x:c r="F2074" s="34" t="str">
        <x:v>BANK</x:v>
      </x:c>
      <x:c r="G2074" s="34" t="str">
        <x:v>مطالعه/منبع</x:v>
      </x:c>
      <x:c r="H2074" s="39" t="str">
        <x:v>مصطفی تاجزاده</x:v>
      </x:c>
      <x:c r="I2074" s="39" t="str">
        <x:v>بانک مطالعه؛ سقف زمانی</x:v>
      </x:c>
      <x:c r="J2074" s="39" t="str">
        <x:v>مدیر دانش/کیوریتور محتوا</x:v>
      </x:c>
      <x:c r="K2074" s="39" t="str"/>
      <x:c r="L2074" s="39" t="str">
        <x:v>AP:P189</x:v>
      </x:c>
      <x:c r="M2074" s="39" t="str"/>
      <x:c r="N2074" s="39" t="str">
        <x:v>نسخه پایه ۳۱۵۰</x:v>
      </x:c>
    </x:row>
    <x:row r="2075" ht="34" customHeight="1">
      <x:c r="A2075" s="34" t="str">
        <x:v>☐</x:v>
      </x:c>
      <x:c r="B2075" s="34" t="str">
        <x:v>MI-0406</x:v>
      </x:c>
      <x:c r="C2075" s="34" t="str">
        <x:v>M5 — دانش، فرهنگ، حکمرانی و بانک مطالعاتی</x:v>
      </x:c>
      <x:c r="D2075" s="34" t="str">
        <x:v>H18</x:v>
      </x:c>
      <x:c r="E2075" s="34" t="str">
        <x:v>بانک مطالعه، منابع و موضوعات کنجکاوی</x:v>
      </x:c>
      <x:c r="F2075" s="34" t="str">
        <x:v>BANK</x:v>
      </x:c>
      <x:c r="G2075" s="34" t="str">
        <x:v>مطالعه/منبع</x:v>
      </x:c>
      <x:c r="H2075" s="39" t="str">
        <x:v>مستند دیوار کشی</x:v>
      </x:c>
      <x:c r="I2075" s="39" t="str">
        <x:v>بانک مطالعه؛ سقف زمانی</x:v>
      </x:c>
      <x:c r="J2075" s="39" t="str">
        <x:v>مدیر دانش/کیوریتور محتوا</x:v>
      </x:c>
      <x:c r="K2075" s="39" t="str"/>
      <x:c r="L2075" s="39" t="str">
        <x:v>AP:P190</x:v>
      </x:c>
      <x:c r="M2075" s="39" t="str"/>
      <x:c r="N2075" s="39" t="str">
        <x:v>نسخه پایه ۳۱۵۰</x:v>
      </x:c>
    </x:row>
    <x:row r="2076" ht="34" customHeight="1">
      <x:c r="A2076" s="34" t="str">
        <x:v>☐</x:v>
      </x:c>
      <x:c r="B2076" s="34" t="str">
        <x:v>MI-0407</x:v>
      </x:c>
      <x:c r="C2076" s="34" t="str">
        <x:v>M5 — دانش، فرهنگ، حکمرانی و بانک مطالعاتی</x:v>
      </x:c>
      <x:c r="D2076" s="34" t="str">
        <x:v>H18</x:v>
      </x:c>
      <x:c r="E2076" s="34" t="str">
        <x:v>بانک مطالعه، منابع و موضوعات کنجکاوی</x:v>
      </x:c>
      <x:c r="F2076" s="34" t="str">
        <x:v>BANK</x:v>
      </x:c>
      <x:c r="G2076" s="34" t="str">
        <x:v>مطالعه/منبع</x:v>
      </x:c>
      <x:c r="H2076" s="39" t="str">
        <x:v>کمیته رصد فضای مجازی</x:v>
      </x:c>
      <x:c r="I2076" s="39" t="str">
        <x:v>بانک مطالعه؛ سقف زمانی</x:v>
      </x:c>
      <x:c r="J2076" s="39" t="str">
        <x:v>مدیر دانش/کیوریتور محتوا</x:v>
      </x:c>
      <x:c r="K2076" s="39" t="str"/>
      <x:c r="L2076" s="39" t="str">
        <x:v>AP:P191</x:v>
      </x:c>
      <x:c r="M2076" s="39" t="str"/>
      <x:c r="N2076" s="39" t="str">
        <x:v>نسخه پایه ۳۱۵۰</x:v>
      </x:c>
    </x:row>
    <x:row r="2077" ht="34" customHeight="1">
      <x:c r="A2077" s="34" t="str">
        <x:v>☐</x:v>
      </x:c>
      <x:c r="B2077" s="34" t="str">
        <x:v>MI-0408</x:v>
      </x:c>
      <x:c r="C2077" s="34" t="str">
        <x:v>M5 — دانش، فرهنگ، حکمرانی و بانک مطالعاتی</x:v>
      </x:c>
      <x:c r="D2077" s="34" t="str">
        <x:v>H18</x:v>
      </x:c>
      <x:c r="E2077" s="34" t="str">
        <x:v>بانک مطالعه، منابع و موضوعات کنجکاوی</x:v>
      </x:c>
      <x:c r="F2077" s="34" t="str">
        <x:v>BANK</x:v>
      </x:c>
      <x:c r="G2077" s="34" t="str">
        <x:v>مطالعه/منبع</x:v>
      </x:c>
      <x:c r="H2077" s="39" t="str">
        <x:v>عبدالکریم بیژنی</x:v>
      </x:c>
      <x:c r="I2077" s="39" t="str">
        <x:v>بانک مطالعه؛ سقف زمانی</x:v>
      </x:c>
      <x:c r="J2077" s="39" t="str">
        <x:v>مدیر دانش/کیوریتور محتوا</x:v>
      </x:c>
      <x:c r="K2077" s="39" t="str"/>
      <x:c r="L2077" s="39" t="str">
        <x:v>AP:P192</x:v>
      </x:c>
      <x:c r="M2077" s="39" t="str"/>
      <x:c r="N2077" s="39" t="str">
        <x:v>نسخه پایه ۳۱۵۰</x:v>
      </x:c>
    </x:row>
    <x:row r="2078" ht="34" customHeight="1">
      <x:c r="A2078" s="34" t="str">
        <x:v>☐</x:v>
      </x:c>
      <x:c r="B2078" s="34" t="str">
        <x:v>MI-0409</x:v>
      </x:c>
      <x:c r="C2078" s="34" t="str">
        <x:v>M5 — دانش، فرهنگ، حکمرانی و بانک مطالعاتی</x:v>
      </x:c>
      <x:c r="D2078" s="34" t="str">
        <x:v>H18</x:v>
      </x:c>
      <x:c r="E2078" s="34" t="str">
        <x:v>بانک مطالعه، منابع و موضوعات کنجکاوی</x:v>
      </x:c>
      <x:c r="F2078" s="34" t="str">
        <x:v>BANK</x:v>
      </x:c>
      <x:c r="G2078" s="34" t="str">
        <x:v>مطالعه/منبع</x:v>
      </x:c>
      <x:c r="H2078" s="39" t="str">
        <x:v>Whats the woman</x:v>
      </x:c>
      <x:c r="I2078" s="39" t="str">
        <x:v>بانک مطالعه؛ سقف زمانی</x:v>
      </x:c>
      <x:c r="J2078" s="39" t="str">
        <x:v>مدیر دانش/کیوریتور محتوا</x:v>
      </x:c>
      <x:c r="K2078" s="39" t="str"/>
      <x:c r="L2078" s="39" t="str">
        <x:v>AP:P193</x:v>
      </x:c>
      <x:c r="M2078" s="39" t="str"/>
      <x:c r="N2078" s="39" t="str">
        <x:v>نسخه پایه ۳۱۵۰</x:v>
      </x:c>
    </x:row>
    <x:row r="2079" ht="34" customHeight="1">
      <x:c r="A2079" s="34" t="str">
        <x:v>☐</x:v>
      </x:c>
      <x:c r="B2079" s="34" t="str">
        <x:v>MI-0410</x:v>
      </x:c>
      <x:c r="C2079" s="34" t="str">
        <x:v>M5 — دانش، فرهنگ، حکمرانی و بانک مطالعاتی</x:v>
      </x:c>
      <x:c r="D2079" s="34" t="str">
        <x:v>H18</x:v>
      </x:c>
      <x:c r="E2079" s="34" t="str">
        <x:v>بانک مطالعه، منابع و موضوعات کنجکاوی</x:v>
      </x:c>
      <x:c r="F2079" s="34" t="str">
        <x:v>BANK</x:v>
      </x:c>
      <x:c r="G2079" s="34" t="str">
        <x:v>مطالعه/منبع</x:v>
      </x:c>
      <x:c r="H2079" s="39" t="str">
        <x:v>کوپک</x:v>
      </x:c>
      <x:c r="I2079" s="39" t="str">
        <x:v>بانک مطالعه؛ سقف زمانی</x:v>
      </x:c>
      <x:c r="J2079" s="39" t="str">
        <x:v>مدیر دانش/کیوریتور محتوا</x:v>
      </x:c>
      <x:c r="K2079" s="39" t="str"/>
      <x:c r="L2079" s="39" t="str">
        <x:v>AP:P194</x:v>
      </x:c>
      <x:c r="M2079" s="39" t="str"/>
      <x:c r="N2079" s="39" t="str">
        <x:v>نسخه پایه ۳۱۵۰</x:v>
      </x:c>
    </x:row>
    <x:row r="2080" ht="34" customHeight="1">
      <x:c r="A2080" s="34" t="str">
        <x:v>☐</x:v>
      </x:c>
      <x:c r="B2080" s="34" t="str">
        <x:v>MI-0412</x:v>
      </x:c>
      <x:c r="C2080" s="34" t="str">
        <x:v>M5 — دانش، فرهنگ، حکمرانی و بانک مطالعاتی</x:v>
      </x:c>
      <x:c r="D2080" s="34" t="str">
        <x:v>H18</x:v>
      </x:c>
      <x:c r="E2080" s="34" t="str">
        <x:v>بانک مطالعه، منابع و موضوعات کنجکاوی</x:v>
      </x:c>
      <x:c r="F2080" s="34" t="str">
        <x:v>BANK</x:v>
      </x:c>
      <x:c r="G2080" s="34" t="str">
        <x:v>مطالعه/منبع</x:v>
      </x:c>
      <x:c r="H2080" s="39" t="str">
        <x:v>ماموران کا. گ. ب.</x:v>
      </x:c>
      <x:c r="I2080" s="39" t="str">
        <x:v>بانک مطالعه؛ سقف زمانی</x:v>
      </x:c>
      <x:c r="J2080" s="39" t="str">
        <x:v>مدیر دانش/کیوریتور محتوا</x:v>
      </x:c>
      <x:c r="K2080" s="39" t="str"/>
      <x:c r="L2080" s="39" t="str">
        <x:v>AP:P196</x:v>
      </x:c>
      <x:c r="M2080" s="39" t="str"/>
      <x:c r="N2080" s="39" t="str">
        <x:v>نسخه پایه ۳۱۵۰</x:v>
      </x:c>
    </x:row>
    <x:row r="2081" ht="34" customHeight="1">
      <x:c r="A2081" s="34" t="str">
        <x:v>☐</x:v>
      </x:c>
      <x:c r="B2081" s="34" t="str">
        <x:v>MI-0413</x:v>
      </x:c>
      <x:c r="C2081" s="34" t="str">
        <x:v>M5 — دانش، فرهنگ، حکمرانی و بانک مطالعاتی</x:v>
      </x:c>
      <x:c r="D2081" s="34" t="str">
        <x:v>H18</x:v>
      </x:c>
      <x:c r="E2081" s="34" t="str">
        <x:v>بانک مطالعه، منابع و موضوعات کنجکاوی</x:v>
      </x:c>
      <x:c r="F2081" s="34" t="str">
        <x:v>BANK</x:v>
      </x:c>
      <x:c r="G2081" s="34" t="str">
        <x:v>مطالعه/منبع</x:v>
      </x:c>
      <x:c r="H2081" s="39" t="str">
        <x:v>انقلاب بلشویک</x:v>
      </x:c>
      <x:c r="I2081" s="39" t="str">
        <x:v>بانک مطالعه؛ سقف زمانی</x:v>
      </x:c>
      <x:c r="J2081" s="39" t="str">
        <x:v>مدیر دانش/کیوریتور محتوا</x:v>
      </x:c>
      <x:c r="K2081" s="39" t="str"/>
      <x:c r="L2081" s="39" t="str">
        <x:v>AP:P197</x:v>
      </x:c>
      <x:c r="M2081" s="39" t="str"/>
      <x:c r="N2081" s="39" t="str">
        <x:v>نسخه پایه ۳۱۵۰</x:v>
      </x:c>
    </x:row>
    <x:row r="2082" ht="34" customHeight="1">
      <x:c r="A2082" s="34" t="str">
        <x:v>☐</x:v>
      </x:c>
      <x:c r="B2082" s="34" t="str">
        <x:v>MI-0415</x:v>
      </x:c>
      <x:c r="C2082" s="34" t="str">
        <x:v>M5 — دانش، فرهنگ، حکمرانی و بانک مطالعاتی</x:v>
      </x:c>
      <x:c r="D2082" s="34" t="str">
        <x:v>H18</x:v>
      </x:c>
      <x:c r="E2082" s="34" t="str">
        <x:v>بانک مطالعه، منابع و موضوعات کنجکاوی</x:v>
      </x:c>
      <x:c r="F2082" s="34" t="str">
        <x:v>BANK</x:v>
      </x:c>
      <x:c r="G2082" s="34" t="str">
        <x:v>مطالعه/منبع</x:v>
      </x:c>
      <x:c r="H2082" s="39" t="str">
        <x:v>یوسراییل و صهیوناکراسی</x:v>
      </x:c>
      <x:c r="I2082" s="39" t="str">
        <x:v>بانک مطالعه؛ سقف زمانی</x:v>
      </x:c>
      <x:c r="J2082" s="39" t="str">
        <x:v>مدیر دانش/کیوریتور محتوا</x:v>
      </x:c>
      <x:c r="K2082" s="39" t="str"/>
      <x:c r="L2082" s="39" t="str">
        <x:v>AP:P199</x:v>
      </x:c>
      <x:c r="M2082" s="39" t="str"/>
      <x:c r="N2082" s="39" t="str">
        <x:v>نسخه پایه ۳۱۵۰</x:v>
      </x:c>
    </x:row>
    <x:row r="2083" ht="34" customHeight="1">
      <x:c r="A2083" s="34" t="str">
        <x:v>☐</x:v>
      </x:c>
      <x:c r="B2083" s="34" t="str">
        <x:v>MI-0416</x:v>
      </x:c>
      <x:c r="C2083" s="34" t="str">
        <x:v>M5 — دانش، فرهنگ، حکمرانی و بانک مطالعاتی</x:v>
      </x:c>
      <x:c r="D2083" s="34" t="str">
        <x:v>H18</x:v>
      </x:c>
      <x:c r="E2083" s="34" t="str">
        <x:v>بانک مطالعه، منابع و موضوعات کنجکاوی</x:v>
      </x:c>
      <x:c r="F2083" s="34" t="str">
        <x:v>BANK</x:v>
      </x:c>
      <x:c r="G2083" s="34" t="str">
        <x:v>مطالعه/منبع</x:v>
      </x:c>
      <x:c r="H2083" s="39" t="str">
        <x:v>گشت ارشاد در آمریکا</x:v>
      </x:c>
      <x:c r="I2083" s="39" t="str">
        <x:v>بانک مطالعه؛ سقف زمانی</x:v>
      </x:c>
      <x:c r="J2083" s="39" t="str">
        <x:v>مدیر دانش/کیوریتور محتوا</x:v>
      </x:c>
      <x:c r="K2083" s="39" t="str"/>
      <x:c r="L2083" s="39" t="str">
        <x:v>AP:P200</x:v>
      </x:c>
      <x:c r="M2083" s="39" t="str"/>
      <x:c r="N2083" s="39" t="str">
        <x:v>نسخه پایه ۳۱۵۰</x:v>
      </x:c>
    </x:row>
    <x:row r="2084" ht="34" customHeight="1">
      <x:c r="A2084" s="34" t="str">
        <x:v>☐</x:v>
      </x:c>
      <x:c r="B2084" s="34" t="str">
        <x:v>MI-0417</x:v>
      </x:c>
      <x:c r="C2084" s="34" t="str">
        <x:v>M5 — دانش، فرهنگ، حکمرانی و بانک مطالعاتی</x:v>
      </x:c>
      <x:c r="D2084" s="34" t="str">
        <x:v>H18</x:v>
      </x:c>
      <x:c r="E2084" s="34" t="str">
        <x:v>بانک مطالعه، منابع و موضوعات کنجکاوی</x:v>
      </x:c>
      <x:c r="F2084" s="34" t="str">
        <x:v>BANK</x:v>
      </x:c>
      <x:c r="G2084" s="34" t="str">
        <x:v>مطالعه/منبع</x:v>
      </x:c>
      <x:c r="H2084" s="39" t="str">
        <x:v>طرح نسلکشی یهود علیه غیر یهود</x:v>
      </x:c>
      <x:c r="I2084" s="39" t="str">
        <x:v>بانک مطالعه؛ سقف زمانی</x:v>
      </x:c>
      <x:c r="J2084" s="39" t="str">
        <x:v>مدیر دانش/کیوریتور محتوا</x:v>
      </x:c>
      <x:c r="K2084" s="39" t="str"/>
      <x:c r="L2084" s="39" t="str">
        <x:v>AP:P201</x:v>
      </x:c>
      <x:c r="M2084" s="39" t="str"/>
      <x:c r="N2084" s="39" t="str">
        <x:v>نسخه پایه ۳۱۵۰</x:v>
      </x:c>
    </x:row>
    <x:row r="2085" ht="34" customHeight="1">
      <x:c r="A2085" s="34" t="str">
        <x:v>☐</x:v>
      </x:c>
      <x:c r="B2085" s="34" t="str">
        <x:v>MI-0418</x:v>
      </x:c>
      <x:c r="C2085" s="34" t="str">
        <x:v>M5 — دانش، فرهنگ، حکمرانی و بانک مطالعاتی</x:v>
      </x:c>
      <x:c r="D2085" s="34" t="str">
        <x:v>H18</x:v>
      </x:c>
      <x:c r="E2085" s="34" t="str">
        <x:v>بانک مطالعه، منابع و موضوعات کنجکاوی</x:v>
      </x:c>
      <x:c r="F2085" s="34" t="str">
        <x:v>BANK</x:v>
      </x:c>
      <x:c r="G2085" s="34" t="str">
        <x:v>مطالعه/منبع</x:v>
      </x:c>
      <x:c r="H2085" s="39" t="str">
        <x:v>لحوف</x:v>
      </x:c>
      <x:c r="I2085" s="39" t="str">
        <x:v>بانک مطالعه؛ سقف زمانی</x:v>
      </x:c>
      <x:c r="J2085" s="39" t="str">
        <x:v>مدیر دانش/کیوریتور محتوا</x:v>
      </x:c>
      <x:c r="K2085" s="39" t="str"/>
      <x:c r="L2085" s="39" t="str">
        <x:v>AP:P202</x:v>
      </x:c>
      <x:c r="M2085" s="39" t="str"/>
      <x:c r="N2085" s="39" t="str">
        <x:v>نسخه پایه ۳۱۵۰</x:v>
      </x:c>
    </x:row>
    <x:row r="2086" ht="34" customHeight="1">
      <x:c r="A2086" s="34" t="str">
        <x:v>☐</x:v>
      </x:c>
      <x:c r="B2086" s="34" t="str">
        <x:v>MI-0419</x:v>
      </x:c>
      <x:c r="C2086" s="34" t="str">
        <x:v>M5 — دانش، فرهنگ، حکمرانی و بانک مطالعاتی</x:v>
      </x:c>
      <x:c r="D2086" s="34" t="str">
        <x:v>H18</x:v>
      </x:c>
      <x:c r="E2086" s="34" t="str">
        <x:v>بانک مطالعه، منابع و موضوعات کنجکاوی</x:v>
      </x:c>
      <x:c r="F2086" s="34" t="str">
        <x:v>BANK</x:v>
      </x:c>
      <x:c r="G2086" s="34" t="str">
        <x:v>مطالعه/منبع</x:v>
      </x:c>
      <x:c r="H2086" s="39" t="str">
        <x:v>کودتا نوژه</x:v>
      </x:c>
      <x:c r="I2086" s="39" t="str">
        <x:v>بانک مطالعه؛ سقف زمانی</x:v>
      </x:c>
      <x:c r="J2086" s="39" t="str">
        <x:v>مدیر دانش/کیوریتور محتوا</x:v>
      </x:c>
      <x:c r="K2086" s="39" t="str"/>
      <x:c r="L2086" s="39" t="str">
        <x:v>AP:P203</x:v>
      </x:c>
      <x:c r="M2086" s="39" t="str"/>
      <x:c r="N2086" s="39" t="str">
        <x:v>نسخه پایه ۳۱۵۰</x:v>
      </x:c>
    </x:row>
    <x:row r="2087" ht="34" customHeight="1">
      <x:c r="A2087" s="34" t="str">
        <x:v>☐</x:v>
      </x:c>
      <x:c r="B2087" s="34" t="str">
        <x:v>MI-0421</x:v>
      </x:c>
      <x:c r="C2087" s="34" t="str">
        <x:v>M5 — دانش، فرهنگ، حکمرانی و بانک مطالعاتی</x:v>
      </x:c>
      <x:c r="D2087" s="34" t="str">
        <x:v>H18</x:v>
      </x:c>
      <x:c r="E2087" s="34" t="str">
        <x:v>بانک مطالعه، منابع و موضوعات کنجکاوی</x:v>
      </x:c>
      <x:c r="F2087" s="34" t="str">
        <x:v>BANK</x:v>
      </x:c>
      <x:c r="G2087" s="34" t="str">
        <x:v>مطالعه/منبع</x:v>
      </x:c>
      <x:c r="H2087" s="39" t="str">
        <x:v>مرد چچنی</x:v>
      </x:c>
      <x:c r="I2087" s="39" t="str">
        <x:v>بانک مطالعه؛ سقف زمانی</x:v>
      </x:c>
      <x:c r="J2087" s="39" t="str">
        <x:v>مدیر دانش/کیوریتور محتوا</x:v>
      </x:c>
      <x:c r="K2087" s="39" t="str"/>
      <x:c r="L2087" s="39" t="str">
        <x:v>AP:P205</x:v>
      </x:c>
      <x:c r="M2087" s="39" t="str"/>
      <x:c r="N2087" s="39" t="str">
        <x:v>نسخه پایه ۳۱۵۰</x:v>
      </x:c>
    </x:row>
    <x:row r="2088" ht="34" customHeight="1">
      <x:c r="A2088" s="34" t="str">
        <x:v>☐</x:v>
      </x:c>
      <x:c r="B2088" s="34" t="str">
        <x:v>MI-0423</x:v>
      </x:c>
      <x:c r="C2088" s="34" t="str">
        <x:v>M5 — دانش، فرهنگ، حکمرانی و بانک مطالعاتی</x:v>
      </x:c>
      <x:c r="D2088" s="34" t="str">
        <x:v>H18</x:v>
      </x:c>
      <x:c r="E2088" s="34" t="str">
        <x:v>بانک مطالعه، منابع و موضوعات کنجکاوی</x:v>
      </x:c>
      <x:c r="F2088" s="34" t="str">
        <x:v>BANK</x:v>
      </x:c>
      <x:c r="G2088" s="34" t="str">
        <x:v>مطالعه/منبع</x:v>
      </x:c>
      <x:c r="H2088" s="39" t="str">
        <x:v>کیمیای محبت</x:v>
      </x:c>
      <x:c r="I2088" s="39" t="str">
        <x:v>بانک مطالعه؛ سقف زمانی</x:v>
      </x:c>
      <x:c r="J2088" s="39" t="str">
        <x:v>مدیر دانش/کیوریتور محتوا</x:v>
      </x:c>
      <x:c r="K2088" s="39" t="str"/>
      <x:c r="L2088" s="39" t="str">
        <x:v>AP:P207</x:v>
      </x:c>
      <x:c r="M2088" s="39" t="str"/>
      <x:c r="N2088" s="39" t="str">
        <x:v>نسخه پایه ۳۱۵۰</x:v>
      </x:c>
    </x:row>
    <x:row r="2089" ht="34" customHeight="1">
      <x:c r="A2089" s="34" t="str">
        <x:v>☐</x:v>
      </x:c>
      <x:c r="B2089" s="34" t="str">
        <x:v>MI-0424</x:v>
      </x:c>
      <x:c r="C2089" s="34" t="str">
        <x:v>M5 — دانش، فرهنگ، حکمرانی و بانک مطالعاتی</x:v>
      </x:c>
      <x:c r="D2089" s="34" t="str">
        <x:v>H18</x:v>
      </x:c>
      <x:c r="E2089" s="34" t="str">
        <x:v>بانک مطالعه، منابع و موضوعات کنجکاوی</x:v>
      </x:c>
      <x:c r="F2089" s="34" t="str">
        <x:v>BANK</x:v>
      </x:c>
      <x:c r="G2089" s="34" t="str">
        <x:v>مطالعه/منبع</x:v>
      </x:c>
      <x:c r="H2089" s="39" t="str">
        <x:v>طوبای محبت</x:v>
      </x:c>
      <x:c r="I2089" s="39" t="str">
        <x:v>بانک مطالعه؛ سقف زمانی</x:v>
      </x:c>
      <x:c r="J2089" s="39" t="str">
        <x:v>مدیر دانش/کیوریتور محتوا</x:v>
      </x:c>
      <x:c r="K2089" s="39" t="str"/>
      <x:c r="L2089" s="39" t="str">
        <x:v>AP:P208</x:v>
      </x:c>
      <x:c r="M2089" s="39" t="str"/>
      <x:c r="N2089" s="39" t="str">
        <x:v>نسخه پایه ۳۱۵۰</x:v>
      </x:c>
    </x:row>
    <x:row r="2090" ht="34" customHeight="1">
      <x:c r="A2090" s="34" t="str">
        <x:v>☐</x:v>
      </x:c>
      <x:c r="B2090" s="34" t="str">
        <x:v>MI-0425</x:v>
      </x:c>
      <x:c r="C2090" s="34" t="str">
        <x:v>M5 — دانش، فرهنگ، حکمرانی و بانک مطالعاتی</x:v>
      </x:c>
      <x:c r="D2090" s="34" t="str">
        <x:v>H18</x:v>
      </x:c>
      <x:c r="E2090" s="34" t="str">
        <x:v>بانک مطالعه، منابع و موضوعات کنجکاوی</x:v>
      </x:c>
      <x:c r="F2090" s="34" t="str">
        <x:v>BANK</x:v>
      </x:c>
      <x:c r="G2090" s="34" t="str">
        <x:v>مطالعه/منبع</x:v>
      </x:c>
      <x:c r="H2090" s="39" t="str">
        <x:v>ایران و آمریکا برخی تفاوت ها و انتظارات مردم</x:v>
      </x:c>
      <x:c r="I2090" s="39" t="str">
        <x:v>بانک مطالعه؛ سقف زمانی</x:v>
      </x:c>
      <x:c r="J2090" s="39" t="str">
        <x:v>مدیر دانش/کیوریتور محتوا</x:v>
      </x:c>
      <x:c r="K2090" s="39" t="str"/>
      <x:c r="L2090" s="39" t="str">
        <x:v>AP:P209</x:v>
      </x:c>
      <x:c r="M2090" s="39" t="str"/>
      <x:c r="N2090" s="39" t="str">
        <x:v>نسخه پایه ۳۱۵۰</x:v>
      </x:c>
    </x:row>
    <x:row r="2091" ht="34" customHeight="1">
      <x:c r="A2091" s="34" t="str">
        <x:v>☐</x:v>
      </x:c>
      <x:c r="B2091" s="34" t="str">
        <x:v>MI-0426</x:v>
      </x:c>
      <x:c r="C2091" s="34" t="str">
        <x:v>M5 — دانش، فرهنگ، حکمرانی و بانک مطالعاتی</x:v>
      </x:c>
      <x:c r="D2091" s="34" t="str">
        <x:v>H18</x:v>
      </x:c>
      <x:c r="E2091" s="34" t="str">
        <x:v>بانک مطالعه، منابع و موضوعات کنجکاوی</x:v>
      </x:c>
      <x:c r="F2091" s="34" t="str">
        <x:v>BANK</x:v>
      </x:c>
      <x:c r="G2091" s="34" t="str">
        <x:v>مطالعه/منبع</x:v>
      </x:c>
      <x:c r="H2091" s="39" t="str">
        <x:v>سوخت های نسل سوم</x:v>
      </x:c>
      <x:c r="I2091" s="39" t="str">
        <x:v>بانک مطالعه؛ سقف زمانی</x:v>
      </x:c>
      <x:c r="J2091" s="39" t="str">
        <x:v>مدیر دانش/کیوریتور محتوا</x:v>
      </x:c>
      <x:c r="K2091" s="39" t="str"/>
      <x:c r="L2091" s="39" t="str">
        <x:v>AP:P210</x:v>
      </x:c>
      <x:c r="M2091" s="39" t="str"/>
      <x:c r="N2091" s="39" t="str">
        <x:v>نسخه پایه ۳۱۵۰</x:v>
      </x:c>
    </x:row>
    <x:row r="2092" ht="34" customHeight="1">
      <x:c r="A2092" s="34" t="str">
        <x:v>☐</x:v>
      </x:c>
      <x:c r="B2092" s="34" t="str">
        <x:v>MI-0427</x:v>
      </x:c>
      <x:c r="C2092" s="34" t="str">
        <x:v>M5 — دانش، فرهنگ، حکمرانی و بانک مطالعاتی</x:v>
      </x:c>
      <x:c r="D2092" s="34" t="str">
        <x:v>H18</x:v>
      </x:c>
      <x:c r="E2092" s="34" t="str">
        <x:v>بانک مطالعه، منابع و موضوعات کنجکاوی</x:v>
      </x:c>
      <x:c r="F2092" s="34" t="str">
        <x:v>BANK</x:v>
      </x:c>
      <x:c r="G2092" s="34" t="str">
        <x:v>مطالعه/منبع</x:v>
      </x:c>
      <x:c r="H2092" s="39" t="str">
        <x:v>دو آیه آخر</x:v>
      </x:c>
      <x:c r="I2092" s="39" t="str">
        <x:v>بانک مطالعه؛ سقف زمانی</x:v>
      </x:c>
      <x:c r="J2092" s="39" t="str">
        <x:v>مدیر دانش/کیوریتور محتوا</x:v>
      </x:c>
      <x:c r="K2092" s="39" t="str"/>
      <x:c r="L2092" s="39" t="str">
        <x:v>AP:P211</x:v>
      </x:c>
      <x:c r="M2092" s="39" t="str"/>
      <x:c r="N2092" s="39" t="str">
        <x:v>نسخه پایه ۳۱۵۰</x:v>
      </x:c>
    </x:row>
    <x:row r="2093" ht="34" customHeight="1">
      <x:c r="A2093" s="34" t="str">
        <x:v>☐</x:v>
      </x:c>
      <x:c r="B2093" s="34" t="str">
        <x:v>MI-0428</x:v>
      </x:c>
      <x:c r="C2093" s="34" t="str">
        <x:v>M5 — دانش، فرهنگ، حکمرانی و بانک مطالعاتی</x:v>
      </x:c>
      <x:c r="D2093" s="34" t="str">
        <x:v>H18</x:v>
      </x:c>
      <x:c r="E2093" s="34" t="str">
        <x:v>بانک مطالعه، منابع و موضوعات کنجکاوی</x:v>
      </x:c>
      <x:c r="F2093" s="34" t="str">
        <x:v>BANK</x:v>
      </x:c>
      <x:c r="G2093" s="34" t="str">
        <x:v>مطالعه/منبع</x:v>
      </x:c>
      <x:c r="H2093" s="39" t="str">
        <x:v>امن بالله تا آخر سوره بقره</x:v>
      </x:c>
      <x:c r="I2093" s="39" t="str">
        <x:v>بانک مطالعه؛ سقف زمانی</x:v>
      </x:c>
      <x:c r="J2093" s="39" t="str">
        <x:v>مدیر دانش/کیوریتور محتوا</x:v>
      </x:c>
      <x:c r="K2093" s="39" t="str"/>
      <x:c r="L2093" s="39" t="str">
        <x:v>AP:P212</x:v>
      </x:c>
      <x:c r="M2093" s="39" t="str"/>
      <x:c r="N2093" s="39" t="str">
        <x:v>نسخه پایه ۳۱۵۰</x:v>
      </x:c>
    </x:row>
    <x:row r="2094" ht="34" customHeight="1">
      <x:c r="A2094" s="34" t="str">
        <x:v>☐</x:v>
      </x:c>
      <x:c r="B2094" s="34" t="str">
        <x:v>MI-0429</x:v>
      </x:c>
      <x:c r="C2094" s="34" t="str">
        <x:v>M5 — دانش، فرهنگ، حکمرانی و بانک مطالعاتی</x:v>
      </x:c>
      <x:c r="D2094" s="34" t="str">
        <x:v>H18</x:v>
      </x:c>
      <x:c r="E2094" s="34" t="str">
        <x:v>بانک مطالعه، منابع و موضوعات کنجکاوی</x:v>
      </x:c>
      <x:c r="F2094" s="34" t="str">
        <x:v>BANK</x:v>
      </x:c>
      <x:c r="G2094" s="34" t="str">
        <x:v>مطالعه/منبع</x:v>
      </x:c>
      <x:c r="H2094" s="39" t="str">
        <x:v>و دیگه مشنری به فکر قیمت نباشه</x:v>
      </x:c>
      <x:c r="I2094" s="39" t="str">
        <x:v>بانک مطالعه؛ سقف زمانی</x:v>
      </x:c>
      <x:c r="J2094" s="39" t="str">
        <x:v>مدیر دانش/کیوریتور محتوا</x:v>
      </x:c>
      <x:c r="K2094" s="39" t="str"/>
      <x:c r="L2094" s="39" t="str">
        <x:v>AP:P213</x:v>
      </x:c>
      <x:c r="M2094" s="39" t="str"/>
      <x:c r="N2094" s="39" t="str">
        <x:v>نسخه پایه ۳۱۵۰</x:v>
      </x:c>
    </x:row>
    <x:row r="2095" ht="34" customHeight="1">
      <x:c r="A2095" s="34" t="str">
        <x:v>☐</x:v>
      </x:c>
      <x:c r="B2095" s="34" t="str">
        <x:v>MI-0430</x:v>
      </x:c>
      <x:c r="C2095" s="34" t="str">
        <x:v>M5 — دانش، فرهنگ، حکمرانی و بانک مطالعاتی</x:v>
      </x:c>
      <x:c r="D2095" s="34" t="str">
        <x:v>H18</x:v>
      </x:c>
      <x:c r="E2095" s="34" t="str">
        <x:v>بانک مطالعه، منابع و موضوعات کنجکاوی</x:v>
      </x:c>
      <x:c r="F2095" s="34" t="str">
        <x:v>BANK</x:v>
      </x:c>
      <x:c r="G2095" s="34" t="str">
        <x:v>مطالعه/منبع</x:v>
      </x:c>
      <x:c r="H2095" s="39" t="str">
        <x:v>خلق ارزش افزوده</x:v>
      </x:c>
      <x:c r="I2095" s="39" t="str">
        <x:v>بانک مطالعه؛ سقف زمانی</x:v>
      </x:c>
      <x:c r="J2095" s="39" t="str">
        <x:v>مدیر دانش/کیوریتور محتوا</x:v>
      </x:c>
      <x:c r="K2095" s="39" t="str"/>
      <x:c r="L2095" s="39" t="str">
        <x:v>AP:P214</x:v>
      </x:c>
      <x:c r="M2095" s="39" t="str"/>
      <x:c r="N2095" s="39" t="str">
        <x:v>نسخه پایه ۳۱۵۰</x:v>
      </x:c>
    </x:row>
    <x:row r="2096" ht="34" customHeight="1">
      <x:c r="A2096" s="34" t="str">
        <x:v>☐</x:v>
      </x:c>
      <x:c r="B2096" s="34" t="str">
        <x:v>MI-0431</x:v>
      </x:c>
      <x:c r="C2096" s="34" t="str">
        <x:v>M5 — دانش، فرهنگ، حکمرانی و بانک مطالعاتی</x:v>
      </x:c>
      <x:c r="D2096" s="34" t="str">
        <x:v>H18</x:v>
      </x:c>
      <x:c r="E2096" s="34" t="str">
        <x:v>بانک مطالعه، منابع و موضوعات کنجکاوی</x:v>
      </x:c>
      <x:c r="F2096" s="34" t="str">
        <x:v>BANK</x:v>
      </x:c>
      <x:c r="G2096" s="34" t="str">
        <x:v>مطالعه/منبع</x:v>
      </x:c>
      <x:c r="H2096" s="39" t="str">
        <x:v>price war</x:v>
      </x:c>
      <x:c r="I2096" s="39" t="str">
        <x:v>بانک مطالعه؛ سقف زمانی</x:v>
      </x:c>
      <x:c r="J2096" s="39" t="str">
        <x:v>مدیر دانش/کیوریتور محتوا</x:v>
      </x:c>
      <x:c r="K2096" s="39" t="str"/>
      <x:c r="L2096" s="39" t="str">
        <x:v>AP:P215</x:v>
      </x:c>
      <x:c r="M2096" s="39" t="str"/>
      <x:c r="N2096" s="39" t="str">
        <x:v>نسخه پایه ۳۱۵۰</x:v>
      </x:c>
    </x:row>
    <x:row r="2097" ht="34" customHeight="1">
      <x:c r="A2097" s="34" t="str">
        <x:v>☐</x:v>
      </x:c>
      <x:c r="B2097" s="34" t="str">
        <x:v>MI-0432</x:v>
      </x:c>
      <x:c r="C2097" s="34" t="str">
        <x:v>M5 — دانش، فرهنگ، حکمرانی و بانک مطالعاتی</x:v>
      </x:c>
      <x:c r="D2097" s="34" t="str">
        <x:v>H18</x:v>
      </x:c>
      <x:c r="E2097" s="34" t="str">
        <x:v>بانک مطالعه، منابع و موضوعات کنجکاوی</x:v>
      </x:c>
      <x:c r="F2097" s="34" t="str">
        <x:v>BANK</x:v>
      </x:c>
      <x:c r="G2097" s="34" t="str">
        <x:v>مطالعه/منبع</x:v>
      </x:c>
      <x:c r="H2097" s="39" t="str">
        <x:v>قرار داد NDA</x:v>
      </x:c>
      <x:c r="I2097" s="39" t="str">
        <x:v>بانک مطالعه؛ سقف زمانی</x:v>
      </x:c>
      <x:c r="J2097" s="39" t="str">
        <x:v>مدیر دانش/کیوریتور محتوا</x:v>
      </x:c>
      <x:c r="K2097" s="39" t="str"/>
      <x:c r="L2097" s="39" t="str">
        <x:v>AP:P216</x:v>
      </x:c>
      <x:c r="M2097" s="39" t="str"/>
      <x:c r="N2097" s="39" t="str">
        <x:v>نسخه پایه ۳۱۵۰</x:v>
      </x:c>
    </x:row>
    <x:row r="2098" ht="34" customHeight="1">
      <x:c r="A2098" s="34" t="str">
        <x:v>☐</x:v>
      </x:c>
      <x:c r="B2098" s="34" t="str">
        <x:v>MI-0433</x:v>
      </x:c>
      <x:c r="C2098" s="34" t="str">
        <x:v>M5 — دانش، فرهنگ، حکمرانی و بانک مطالعاتی</x:v>
      </x:c>
      <x:c r="D2098" s="34" t="str">
        <x:v>H18</x:v>
      </x:c>
      <x:c r="E2098" s="34" t="str">
        <x:v>بانک مطالعه، منابع و موضوعات کنجکاوی</x:v>
      </x:c>
      <x:c r="F2098" s="34" t="str">
        <x:v>BANK</x:v>
      </x:c>
      <x:c r="G2098" s="34" t="str">
        <x:v>مطالعه/منبع</x:v>
      </x:c>
      <x:c r="H2098" s="39" t="str">
        <x:v>اقتصاد دریا محور</x:v>
      </x:c>
      <x:c r="I2098" s="39" t="str">
        <x:v>بانک مطالعه؛ سقف زمانی</x:v>
      </x:c>
      <x:c r="J2098" s="39" t="str">
        <x:v>مدیر دانش/کیوریتور محتوا</x:v>
      </x:c>
      <x:c r="K2098" s="39" t="str"/>
      <x:c r="L2098" s="39" t="str">
        <x:v>AP:P217</x:v>
      </x:c>
      <x:c r="M2098" s="39" t="str"/>
      <x:c r="N2098" s="39" t="str">
        <x:v>نسخه پایه ۳۱۵۰</x:v>
      </x:c>
    </x:row>
    <x:row r="2099" ht="34" customHeight="1">
      <x:c r="A2099" s="34" t="str">
        <x:v>☐</x:v>
      </x:c>
      <x:c r="B2099" s="34" t="str">
        <x:v>MI-0434</x:v>
      </x:c>
      <x:c r="C2099" s="34" t="str">
        <x:v>M5 — دانش، فرهنگ، حکمرانی و بانک مطالعاتی</x:v>
      </x:c>
      <x:c r="D2099" s="34" t="str">
        <x:v>H18</x:v>
      </x:c>
      <x:c r="E2099" s="34" t="str">
        <x:v>بانک مطالعه، منابع و موضوعات کنجکاوی</x:v>
      </x:c>
      <x:c r="F2099" s="34" t="str">
        <x:v>BANK</x:v>
      </x:c>
      <x:c r="G2099" s="34" t="str">
        <x:v>مطالعه/منبع</x:v>
      </x:c>
      <x:c r="H2099" s="39" t="str">
        <x:v>هوش اقتصادی</x:v>
      </x:c>
      <x:c r="I2099" s="39" t="str">
        <x:v>بانک مطالعه؛ سقف زمانی</x:v>
      </x:c>
      <x:c r="J2099" s="39" t="str">
        <x:v>مدیر دانش/کیوریتور محتوا</x:v>
      </x:c>
      <x:c r="K2099" s="39" t="str"/>
      <x:c r="L2099" s="39" t="str">
        <x:v>AP:P218</x:v>
      </x:c>
      <x:c r="M2099" s="39" t="str"/>
      <x:c r="N2099" s="39" t="str">
        <x:v>نسخه پایه ۳۱۵۰</x:v>
      </x:c>
    </x:row>
    <x:row r="2100" ht="34" customHeight="1">
      <x:c r="A2100" s="34" t="str">
        <x:v>☐</x:v>
      </x:c>
      <x:c r="B2100" s="34" t="str">
        <x:v>MI-0435</x:v>
      </x:c>
      <x:c r="C2100" s="34" t="str">
        <x:v>M5 — دانش، فرهنگ، حکمرانی و بانک مطالعاتی</x:v>
      </x:c>
      <x:c r="D2100" s="34" t="str">
        <x:v>H18</x:v>
      </x:c>
      <x:c r="E2100" s="34" t="str">
        <x:v>بانک مطالعه، منابع و موضوعات کنجکاوی</x:v>
      </x:c>
      <x:c r="F2100" s="34" t="str">
        <x:v>BANK</x:v>
      </x:c>
      <x:c r="G2100" s="34" t="str">
        <x:v>مطالعه/منبع</x:v>
      </x:c>
      <x:c r="H2100" s="39" t="str">
        <x:v>بچه های گردان لشکر 25</x:v>
      </x:c>
      <x:c r="I2100" s="39" t="str">
        <x:v>بانک مطالعه؛ سقف زمانی</x:v>
      </x:c>
      <x:c r="J2100" s="39" t="str">
        <x:v>مدیر دانش/کیوریتور محتوا</x:v>
      </x:c>
      <x:c r="K2100" s="39" t="str"/>
      <x:c r="L2100" s="39" t="str">
        <x:v>AP:P219</x:v>
      </x:c>
      <x:c r="M2100" s="39" t="str"/>
      <x:c r="N2100" s="39" t="str">
        <x:v>نسخه پایه ۳۱۵۰</x:v>
      </x:c>
    </x:row>
    <x:row r="2101" ht="34" customHeight="1">
      <x:c r="A2101" s="34" t="str">
        <x:v>☐</x:v>
      </x:c>
      <x:c r="B2101" s="34" t="str">
        <x:v>MI-0436</x:v>
      </x:c>
      <x:c r="C2101" s="34" t="str">
        <x:v>M5 — دانش، فرهنگ، حکمرانی و بانک مطالعاتی</x:v>
      </x:c>
      <x:c r="D2101" s="34" t="str">
        <x:v>H18</x:v>
      </x:c>
      <x:c r="E2101" s="34" t="str">
        <x:v>بانک مطالعه، منابع و موضوعات کنجکاوی</x:v>
      </x:c>
      <x:c r="F2101" s="34" t="str">
        <x:v>BANK</x:v>
      </x:c>
      <x:c r="G2101" s="34" t="str">
        <x:v>مطالعه/منبع</x:v>
      </x:c>
      <x:c r="H2101" s="39" t="str">
        <x:v>اثر تکوینی معنویت</x:v>
      </x:c>
      <x:c r="I2101" s="39" t="str">
        <x:v>بانک مطالعه؛ سقف زمانی</x:v>
      </x:c>
      <x:c r="J2101" s="39" t="str">
        <x:v>مدیر دانش/کیوریتور محتوا</x:v>
      </x:c>
      <x:c r="K2101" s="39" t="str"/>
      <x:c r="L2101" s="39" t="str">
        <x:v>AP:P220</x:v>
      </x:c>
      <x:c r="M2101" s="39" t="str"/>
      <x:c r="N2101" s="39" t="str">
        <x:v>نسخه پایه ۳۱۵۰</x:v>
      </x:c>
    </x:row>
    <x:row r="2102" ht="34" customHeight="1">
      <x:c r="A2102" s="34" t="str">
        <x:v>☐</x:v>
      </x:c>
      <x:c r="B2102" s="34" t="str">
        <x:v>MI-0437</x:v>
      </x:c>
      <x:c r="C2102" s="34" t="str">
        <x:v>M5 — دانش، فرهنگ، حکمرانی و بانک مطالعاتی</x:v>
      </x:c>
      <x:c r="D2102" s="34" t="str">
        <x:v>H18</x:v>
      </x:c>
      <x:c r="E2102" s="34" t="str">
        <x:v>بانک مطالعه، منابع و موضوعات کنجکاوی</x:v>
      </x:c>
      <x:c r="F2102" s="34" t="str">
        <x:v>BANK</x:v>
      </x:c>
      <x:c r="G2102" s="34" t="str">
        <x:v>مطالعه/منبع</x:v>
      </x:c>
      <x:c r="H2102" s="39" t="str">
        <x:v>3.بروید روی نداشته های افراد کار کنید</x:v>
      </x:c>
      <x:c r="I2102" s="39" t="str">
        <x:v>بانک مطالعه؛ سقف زمانی</x:v>
      </x:c>
      <x:c r="J2102" s="39" t="str">
        <x:v>مدیر دانش/کیوریتور محتوا</x:v>
      </x:c>
      <x:c r="K2102" s="39" t="str"/>
      <x:c r="L2102" s="39" t="str">
        <x:v>AP:P221</x:v>
      </x:c>
      <x:c r="M2102" s="39" t="str"/>
      <x:c r="N2102" s="39" t="str">
        <x:v>نسخه پایه ۳۱۵۰</x:v>
      </x:c>
    </x:row>
    <x:row r="2103" ht="34" customHeight="1">
      <x:c r="A2103" s="34" t="str">
        <x:v>☐</x:v>
      </x:c>
      <x:c r="B2103" s="34" t="str">
        <x:v>MI-0438</x:v>
      </x:c>
      <x:c r="C2103" s="34" t="str">
        <x:v>M5 — دانش، فرهنگ، حکمرانی و بانک مطالعاتی</x:v>
      </x:c>
      <x:c r="D2103" s="34" t="str">
        <x:v>H18</x:v>
      </x:c>
      <x:c r="E2103" s="34" t="str">
        <x:v>بانک مطالعه، منابع و موضوعات کنجکاوی</x:v>
      </x:c>
      <x:c r="F2103" s="34" t="str">
        <x:v>BANK</x:v>
      </x:c>
      <x:c r="G2103" s="34" t="str">
        <x:v>مطالعه/منبع</x:v>
      </x:c>
      <x:c r="H2103" s="39" t="str">
        <x:v>رفاقت(صمیمیت، حمایت)</x:v>
      </x:c>
      <x:c r="I2103" s="39" t="str">
        <x:v>بانک مطالعه؛ سقف زمانی</x:v>
      </x:c>
      <x:c r="J2103" s="39" t="str">
        <x:v>مدیر دانش/کیوریتور محتوا</x:v>
      </x:c>
      <x:c r="K2103" s="39" t="str"/>
      <x:c r="L2103" s="39" t="str">
        <x:v>AP:P222</x:v>
      </x:c>
      <x:c r="M2103" s="39" t="str"/>
      <x:c r="N2103" s="39" t="str">
        <x:v>نسخه پایه ۳۱۵۰</x:v>
      </x:c>
    </x:row>
    <x:row r="2104" ht="34" customHeight="1">
      <x:c r="A2104" s="34" t="str">
        <x:v>☐</x:v>
      </x:c>
      <x:c r="B2104" s="34" t="str">
        <x:v>MI-0439</x:v>
      </x:c>
      <x:c r="C2104" s="34" t="str">
        <x:v>M5 — دانش، فرهنگ، حکمرانی و بانک مطالعاتی</x:v>
      </x:c>
      <x:c r="D2104" s="34" t="str">
        <x:v>H18</x:v>
      </x:c>
      <x:c r="E2104" s="34" t="str">
        <x:v>بانک مطالعه، منابع و موضوعات کنجکاوی</x:v>
      </x:c>
      <x:c r="F2104" s="34" t="str">
        <x:v>BANK</x:v>
      </x:c>
      <x:c r="G2104" s="34" t="str">
        <x:v>مطالعه/منبع</x:v>
      </x:c>
      <x:c r="H2104" s="39" t="str">
        <x:v>رفتار مداری</x:v>
      </x:c>
      <x:c r="I2104" s="39" t="str">
        <x:v>بانک مطالعه؛ سقف زمانی</x:v>
      </x:c>
      <x:c r="J2104" s="39" t="str">
        <x:v>مدیر دانش/کیوریتور محتوا</x:v>
      </x:c>
      <x:c r="K2104" s="39" t="str"/>
      <x:c r="L2104" s="39" t="str">
        <x:v>AP:P223</x:v>
      </x:c>
      <x:c r="M2104" s="39" t="str"/>
      <x:c r="N2104" s="39" t="str">
        <x:v>نسخه پایه ۳۱۵۰</x:v>
      </x:c>
    </x:row>
    <x:row r="2105" ht="34" customHeight="1">
      <x:c r="A2105" s="34" t="str">
        <x:v>☐</x:v>
      </x:c>
      <x:c r="B2105" s="34" t="str">
        <x:v>MI-0442</x:v>
      </x:c>
      <x:c r="C2105" s="34" t="str">
        <x:v>M5 — دانش، فرهنگ، حکمرانی و بانک مطالعاتی</x:v>
      </x:c>
      <x:c r="D2105" s="34" t="str">
        <x:v>H18</x:v>
      </x:c>
      <x:c r="E2105" s="34" t="str">
        <x:v>بانک مطالعه، منابع و موضوعات کنجکاوی</x:v>
      </x:c>
      <x:c r="F2105" s="34" t="str">
        <x:v>BANK</x:v>
      </x:c>
      <x:c r="G2105" s="34" t="str">
        <x:v>مطالعه/منبع</x:v>
      </x:c>
      <x:c r="H2105" s="39" t="str">
        <x:v>درِامد شیخ جیکاک</x:v>
      </x:c>
      <x:c r="I2105" s="39" t="str">
        <x:v>بانک مطالعه؛ سقف زمانی</x:v>
      </x:c>
      <x:c r="J2105" s="39" t="str">
        <x:v>مدیر دانش/کیوریتور محتوا</x:v>
      </x:c>
      <x:c r="K2105" s="39" t="str"/>
      <x:c r="L2105" s="39" t="str">
        <x:v>AP:P226</x:v>
      </x:c>
      <x:c r="M2105" s="39" t="str"/>
      <x:c r="N2105" s="39" t="str">
        <x:v>نسخه پایه ۳۱۵۰</x:v>
      </x:c>
    </x:row>
    <x:row r="2106" ht="34" customHeight="1">
      <x:c r="A2106" s="34" t="str">
        <x:v>☐</x:v>
      </x:c>
      <x:c r="B2106" s="34" t="str">
        <x:v>MI-0443</x:v>
      </x:c>
      <x:c r="C2106" s="34" t="str">
        <x:v>M5 — دانش، فرهنگ، حکمرانی و بانک مطالعاتی</x:v>
      </x:c>
      <x:c r="D2106" s="34" t="str">
        <x:v>H18</x:v>
      </x:c>
      <x:c r="E2106" s="34" t="str">
        <x:v>بانک مطالعه، منابع و موضوعات کنجکاوی</x:v>
      </x:c>
      <x:c r="F2106" s="34" t="str">
        <x:v>BANK</x:v>
      </x:c>
      <x:c r="G2106" s="34" t="str">
        <x:v>مطالعه/منبع</x:v>
      </x:c>
      <x:c r="H2106" s="39" t="str">
        <x:v>موضوعات ناشناخته</x:v>
      </x:c>
      <x:c r="I2106" s="39" t="str">
        <x:v>بانک مطالعه؛ سقف زمانی</x:v>
      </x:c>
      <x:c r="J2106" s="39" t="str">
        <x:v>مدیر دانش/کیوریتور محتوا</x:v>
      </x:c>
      <x:c r="K2106" s="39" t="str"/>
      <x:c r="L2106" s="39" t="str">
        <x:v>AP:P228</x:v>
      </x:c>
      <x:c r="M2106" s="39" t="str"/>
      <x:c r="N2106" s="39" t="str">
        <x:v>نسخه پایه ۳۱۵۰</x:v>
      </x:c>
    </x:row>
    <x:row r="2107" ht="34" customHeight="1">
      <x:c r="A2107" s="34" t="str">
        <x:v>☐</x:v>
      </x:c>
      <x:c r="B2107" s="34" t="str">
        <x:v>MI-0444</x:v>
      </x:c>
      <x:c r="C2107" s="34" t="str">
        <x:v>M5 — دانش، فرهنگ، حکمرانی و بانک مطالعاتی</x:v>
      </x:c>
      <x:c r="D2107" s="34" t="str">
        <x:v>H18</x:v>
      </x:c>
      <x:c r="E2107" s="34" t="str">
        <x:v>بانک مطالعه، منابع و موضوعات کنجکاوی</x:v>
      </x:c>
      <x:c r="F2107" s="34" t="str">
        <x:v>BANK</x:v>
      </x:c>
      <x:c r="G2107" s="34" t="str">
        <x:v>مطالعه/منبع</x:v>
      </x:c>
      <x:c r="H2107" s="39" t="str">
        <x:v>مفاتیح الحیات</x:v>
      </x:c>
      <x:c r="I2107" s="39" t="str">
        <x:v>بانک مطالعه؛ سقف زمانی</x:v>
      </x:c>
      <x:c r="J2107" s="39" t="str">
        <x:v>مدیر دانش/کیوریتور محتوا</x:v>
      </x:c>
      <x:c r="K2107" s="39" t="str"/>
      <x:c r="L2107" s="39" t="str">
        <x:v>AP:P229</x:v>
      </x:c>
      <x:c r="M2107" s="39" t="str"/>
      <x:c r="N2107" s="39" t="str">
        <x:v>نسخه پایه ۳۱۵۰</x:v>
      </x:c>
    </x:row>
    <x:row r="2108" ht="34" customHeight="1">
      <x:c r="A2108" s="34" t="str">
        <x:v>☐</x:v>
      </x:c>
      <x:c r="B2108" s="34" t="str">
        <x:v>MI-0445</x:v>
      </x:c>
      <x:c r="C2108" s="34" t="str">
        <x:v>M5 — دانش، فرهنگ، حکمرانی و بانک مطالعاتی</x:v>
      </x:c>
      <x:c r="D2108" s="34" t="str">
        <x:v>H18</x:v>
      </x:c>
      <x:c r="E2108" s="34" t="str">
        <x:v>بانک مطالعه، منابع و موضوعات کنجکاوی</x:v>
      </x:c>
      <x:c r="F2108" s="34" t="str">
        <x:v>BANK</x:v>
      </x:c>
      <x:c r="G2108" s="34" t="str">
        <x:v>مطالعه/منبع</x:v>
      </x:c>
      <x:c r="H2108" s="39" t="str">
        <x:v>اقتصاد توجه</x:v>
      </x:c>
      <x:c r="I2108" s="39" t="str">
        <x:v>بانک مطالعه؛ سقف زمانی</x:v>
      </x:c>
      <x:c r="J2108" s="39" t="str">
        <x:v>مدیر دانش/کیوریتور محتوا</x:v>
      </x:c>
      <x:c r="K2108" s="39" t="str"/>
      <x:c r="L2108" s="39" t="str">
        <x:v>AP:P230</x:v>
      </x:c>
      <x:c r="M2108" s="39" t="str"/>
      <x:c r="N2108" s="39" t="str">
        <x:v>نسخه پایه ۳۱۵۰</x:v>
      </x:c>
    </x:row>
    <x:row r="2109" ht="34" customHeight="1">
      <x:c r="A2109" s="34" t="str">
        <x:v>☐</x:v>
      </x:c>
      <x:c r="B2109" s="34" t="str">
        <x:v>MI-0446</x:v>
      </x:c>
      <x:c r="C2109" s="34" t="str">
        <x:v>M5 — دانش، فرهنگ، حکمرانی و بانک مطالعاتی</x:v>
      </x:c>
      <x:c r="D2109" s="34" t="str">
        <x:v>H18</x:v>
      </x:c>
      <x:c r="E2109" s="34" t="str">
        <x:v>بانک مطالعه، منابع و موضوعات کنجکاوی</x:v>
      </x:c>
      <x:c r="F2109" s="34" t="str">
        <x:v>BANK</x:v>
      </x:c>
      <x:c r="G2109" s="34" t="str">
        <x:v>مطالعه/منبع</x:v>
      </x:c>
      <x:c r="H2109" s="39" t="str">
        <x:v>کتاب سایه روشن</x:v>
      </x:c>
      <x:c r="I2109" s="39" t="str">
        <x:v>بانک مطالعه؛ سقف زمانی</x:v>
      </x:c>
      <x:c r="J2109" s="39" t="str">
        <x:v>مدیر دانش/کیوریتور محتوا</x:v>
      </x:c>
      <x:c r="K2109" s="39" t="str"/>
      <x:c r="L2109" s="39" t="str">
        <x:v>AP:P231</x:v>
      </x:c>
      <x:c r="M2109" s="39" t="str"/>
      <x:c r="N2109" s="39" t="str">
        <x:v>نسخه پایه ۳۱۵۰</x:v>
      </x:c>
    </x:row>
    <x:row r="2110" ht="34" customHeight="1">
      <x:c r="A2110" s="34" t="str">
        <x:v>☐</x:v>
      </x:c>
      <x:c r="B2110" s="34" t="str">
        <x:v>MI-0447</x:v>
      </x:c>
      <x:c r="C2110" s="34" t="str">
        <x:v>M5 — دانش، فرهنگ، حکمرانی و بانک مطالعاتی</x:v>
      </x:c>
      <x:c r="D2110" s="34" t="str">
        <x:v>H18</x:v>
      </x:c>
      <x:c r="E2110" s="34" t="str">
        <x:v>بانک مطالعه، منابع و موضوعات کنجکاوی</x:v>
      </x:c>
      <x:c r="F2110" s="34" t="str">
        <x:v>BANK</x:v>
      </x:c>
      <x:c r="G2110" s="34" t="str">
        <x:v>مطالعه/منبع</x:v>
      </x:c>
      <x:c r="H2110" s="39" t="str">
        <x:v>داستان سید ضیا نبوی</x:v>
      </x:c>
      <x:c r="I2110" s="39" t="str">
        <x:v>بانک مطالعه؛ سقف زمانی</x:v>
      </x:c>
      <x:c r="J2110" s="39" t="str">
        <x:v>مدیر دانش/کیوریتور محتوا</x:v>
      </x:c>
      <x:c r="K2110" s="39" t="str"/>
      <x:c r="L2110" s="39" t="str">
        <x:v>AP:P232</x:v>
      </x:c>
      <x:c r="M2110" s="39" t="str"/>
      <x:c r="N2110" s="39" t="str">
        <x:v>نسخه پایه ۳۱۵۰</x:v>
      </x:c>
    </x:row>
    <x:row r="2111" ht="34" customHeight="1">
      <x:c r="A2111" s="34" t="str">
        <x:v>☐</x:v>
      </x:c>
      <x:c r="B2111" s="34" t="str">
        <x:v>MI-0448</x:v>
      </x:c>
      <x:c r="C2111" s="34" t="str">
        <x:v>M5 — دانش، فرهنگ، حکمرانی و بانک مطالعاتی</x:v>
      </x:c>
      <x:c r="D2111" s="34" t="str">
        <x:v>H18</x:v>
      </x:c>
      <x:c r="E2111" s="34" t="str">
        <x:v>بانک مطالعه، منابع و موضوعات کنجکاوی</x:v>
      </x:c>
      <x:c r="F2111" s="34" t="str">
        <x:v>BANK</x:v>
      </x:c>
      <x:c r="G2111" s="34" t="str">
        <x:v>مطالعه/منبع</x:v>
      </x:c>
      <x:c r="H2111" s="39" t="str">
        <x:v>داستان بهنود رمضانی</x:v>
      </x:c>
      <x:c r="I2111" s="39" t="str">
        <x:v>بانک مطالعه؛ سقف زمانی</x:v>
      </x:c>
      <x:c r="J2111" s="39" t="str">
        <x:v>مدیر دانش/کیوریتور محتوا</x:v>
      </x:c>
      <x:c r="K2111" s="39" t="str"/>
      <x:c r="L2111" s="39" t="str">
        <x:v>AP:P233</x:v>
      </x:c>
      <x:c r="M2111" s="39" t="str"/>
      <x:c r="N2111" s="39" t="str">
        <x:v>نسخه پایه ۳۱۵۰</x:v>
      </x:c>
    </x:row>
    <x:row r="2112" ht="34" customHeight="1">
      <x:c r="A2112" s="34" t="str">
        <x:v>☐</x:v>
      </x:c>
      <x:c r="B2112" s="34" t="str">
        <x:v>MI-0449</x:v>
      </x:c>
      <x:c r="C2112" s="34" t="str">
        <x:v>M5 — دانش، فرهنگ، حکمرانی و بانک مطالعاتی</x:v>
      </x:c>
      <x:c r="D2112" s="34" t="str">
        <x:v>H18</x:v>
      </x:c>
      <x:c r="E2112" s="34" t="str">
        <x:v>بانک مطالعه، منابع و موضوعات کنجکاوی</x:v>
      </x:c>
      <x:c r="F2112" s="34" t="str">
        <x:v>BANK</x:v>
      </x:c>
      <x:c r="G2112" s="34" t="str">
        <x:v>مطالعه/منبع</x:v>
      </x:c>
      <x:c r="H2112" s="39" t="str">
        <x:v>تکنوکرات</x:v>
      </x:c>
      <x:c r="I2112" s="39" t="str">
        <x:v>بانک مطالعه؛ سقف زمانی</x:v>
      </x:c>
      <x:c r="J2112" s="39" t="str">
        <x:v>مدیر دانش/کیوریتور محتوا</x:v>
      </x:c>
      <x:c r="K2112" s="39" t="str"/>
      <x:c r="L2112" s="39" t="str">
        <x:v>AP:P234؛ AP:P290</x:v>
      </x:c>
      <x:c r="M2112" s="39" t="str"/>
      <x:c r="N2112" s="39" t="str">
        <x:v>نسخه پایه ۳۱۵۰</x:v>
      </x:c>
    </x:row>
    <x:row r="2113" ht="34" customHeight="1">
      <x:c r="A2113" s="34" t="str">
        <x:v>☐</x:v>
      </x:c>
      <x:c r="B2113" s="34" t="str">
        <x:v>MI-0450</x:v>
      </x:c>
      <x:c r="C2113" s="34" t="str">
        <x:v>M5 — دانش، فرهنگ، حکمرانی و بانک مطالعاتی</x:v>
      </x:c>
      <x:c r="D2113" s="34" t="str">
        <x:v>H18</x:v>
      </x:c>
      <x:c r="E2113" s="34" t="str">
        <x:v>بانک مطالعه، منابع و موضوعات کنجکاوی</x:v>
      </x:c>
      <x:c r="F2113" s="34" t="str">
        <x:v>BANK</x:v>
      </x:c>
      <x:c r="G2113" s="34" t="str">
        <x:v>مطالعه/منبع</x:v>
      </x:c>
      <x:c r="H2113" s="39" t="str">
        <x:v>رژیم مارکسیستی</x:v>
      </x:c>
      <x:c r="I2113" s="39" t="str">
        <x:v>بانک مطالعه؛ سقف زمانی</x:v>
      </x:c>
      <x:c r="J2113" s="39" t="str">
        <x:v>مدیر دانش/کیوریتور محتوا</x:v>
      </x:c>
      <x:c r="K2113" s="39" t="str"/>
      <x:c r="L2113" s="39" t="str">
        <x:v>AP:P235</x:v>
      </x:c>
      <x:c r="M2113" s="39" t="str"/>
      <x:c r="N2113" s="39" t="str">
        <x:v>نسخه پایه ۳۱۵۰</x:v>
      </x:c>
    </x:row>
    <x:row r="2114" ht="34" customHeight="1">
      <x:c r="A2114" s="34" t="str">
        <x:v>☐</x:v>
      </x:c>
      <x:c r="B2114" s="34" t="str">
        <x:v>MI-0451</x:v>
      </x:c>
      <x:c r="C2114" s="34" t="str">
        <x:v>M5 — دانش، فرهنگ، حکمرانی و بانک مطالعاتی</x:v>
      </x:c>
      <x:c r="D2114" s="34" t="str">
        <x:v>H18</x:v>
      </x:c>
      <x:c r="E2114" s="34" t="str">
        <x:v>بانک مطالعه، منابع و موضوعات کنجکاوی</x:v>
      </x:c>
      <x:c r="F2114" s="34" t="str">
        <x:v>BANK</x:v>
      </x:c>
      <x:c r="G2114" s="34" t="str">
        <x:v>مطالعه/منبع</x:v>
      </x:c>
      <x:c r="H2114" s="39" t="str">
        <x:v>دریادار مدنی</x:v>
      </x:c>
      <x:c r="I2114" s="39" t="str">
        <x:v>بانک مطالعه؛ سقف زمانی</x:v>
      </x:c>
      <x:c r="J2114" s="39" t="str">
        <x:v>مدیر دانش/کیوریتور محتوا</x:v>
      </x:c>
      <x:c r="K2114" s="39" t="str"/>
      <x:c r="L2114" s="39" t="str">
        <x:v>AP:P236</x:v>
      </x:c>
      <x:c r="M2114" s="39" t="str"/>
      <x:c r="N2114" s="39" t="str">
        <x:v>نسخه پایه ۳۱۵۰</x:v>
      </x:c>
    </x:row>
    <x:row r="2115" ht="34" customHeight="1">
      <x:c r="A2115" s="34" t="str">
        <x:v>☐</x:v>
      </x:c>
      <x:c r="B2115" s="34" t="str">
        <x:v>MI-0453</x:v>
      </x:c>
      <x:c r="C2115" s="34" t="str">
        <x:v>M5 — دانش، فرهنگ، حکمرانی و بانک مطالعاتی</x:v>
      </x:c>
      <x:c r="D2115" s="34" t="str">
        <x:v>H18</x:v>
      </x:c>
      <x:c r="E2115" s="34" t="str">
        <x:v>بانک مطالعه، منابع و موضوعات کنجکاوی</x:v>
      </x:c>
      <x:c r="F2115" s="34" t="str">
        <x:v>BANK</x:v>
      </x:c>
      <x:c r="G2115" s="34" t="str">
        <x:v>مطالعه/منبع</x:v>
      </x:c>
      <x:c r="H2115" s="39" t="str">
        <x:v>مطالعات استراتژیک</x:v>
      </x:c>
      <x:c r="I2115" s="39" t="str">
        <x:v>بانک مطالعه؛ سقف زمانی</x:v>
      </x:c>
      <x:c r="J2115" s="39" t="str">
        <x:v>مدیر دانش/کیوریتور محتوا</x:v>
      </x:c>
      <x:c r="K2115" s="39" t="str"/>
      <x:c r="L2115" s="39" t="str">
        <x:v>AP:P238</x:v>
      </x:c>
      <x:c r="M2115" s="39" t="str"/>
      <x:c r="N2115" s="39" t="str">
        <x:v>نسخه پایه ۳۱۵۰</x:v>
      </x:c>
    </x:row>
    <x:row r="2116" ht="34" customHeight="1">
      <x:c r="A2116" s="34" t="str">
        <x:v>☐</x:v>
      </x:c>
      <x:c r="B2116" s="34" t="str">
        <x:v>MI-0454</x:v>
      </x:c>
      <x:c r="C2116" s="34" t="str">
        <x:v>M5 — دانش، فرهنگ، حکمرانی و بانک مطالعاتی</x:v>
      </x:c>
      <x:c r="D2116" s="34" t="str">
        <x:v>H18</x:v>
      </x:c>
      <x:c r="E2116" s="34" t="str">
        <x:v>بانک مطالعه، منابع و موضوعات کنجکاوی</x:v>
      </x:c>
      <x:c r="F2116" s="34" t="str">
        <x:v>BANK</x:v>
      </x:c>
      <x:c r="G2116" s="34" t="str">
        <x:v>مطالعه/منبع</x:v>
      </x:c>
      <x:c r="H2116" s="39" t="str">
        <x:v>پلاک الوند</x:v>
      </x:c>
      <x:c r="I2116" s="39" t="str">
        <x:v>بانک مطالعه؛ سقف زمانی</x:v>
      </x:c>
      <x:c r="J2116" s="39" t="str">
        <x:v>مدیر دانش/کیوریتور محتوا</x:v>
      </x:c>
      <x:c r="K2116" s="39" t="str"/>
      <x:c r="L2116" s="39" t="str">
        <x:v>AP:P239</x:v>
      </x:c>
      <x:c r="M2116" s="39" t="str"/>
      <x:c r="N2116" s="39" t="str">
        <x:v>نسخه پایه ۳۱۵۰</x:v>
      </x:c>
    </x:row>
    <x:row r="2117" ht="34" customHeight="1">
      <x:c r="A2117" s="34" t="str">
        <x:v>☐</x:v>
      </x:c>
      <x:c r="B2117" s="34" t="str">
        <x:v>MI-0455</x:v>
      </x:c>
      <x:c r="C2117" s="34" t="str">
        <x:v>M5 — دانش، فرهنگ، حکمرانی و بانک مطالعاتی</x:v>
      </x:c>
      <x:c r="D2117" s="34" t="str">
        <x:v>H18</x:v>
      </x:c>
      <x:c r="E2117" s="34" t="str">
        <x:v>بانک مطالعه، منابع و موضوعات کنجکاوی</x:v>
      </x:c>
      <x:c r="F2117" s="34" t="str">
        <x:v>BANK</x:v>
      </x:c>
      <x:c r="G2117" s="34" t="str">
        <x:v>مطالعه/منبع</x:v>
      </x:c>
      <x:c r="H2117" s="39" t="str">
        <x:v>ملّت هرازه</x:v>
      </x:c>
      <x:c r="I2117" s="39" t="str">
        <x:v>بانک مطالعه؛ سقف زمانی</x:v>
      </x:c>
      <x:c r="J2117" s="39" t="str">
        <x:v>مدیر دانش/کیوریتور محتوا</x:v>
      </x:c>
      <x:c r="K2117" s="39" t="str"/>
      <x:c r="L2117" s="39" t="str">
        <x:v>AP:P240</x:v>
      </x:c>
      <x:c r="M2117" s="39" t="str"/>
      <x:c r="N2117" s="39" t="str">
        <x:v>نسخه پایه ۳۱۵۰</x:v>
      </x:c>
    </x:row>
    <x:row r="2118" ht="34" customHeight="1">
      <x:c r="A2118" s="34" t="str">
        <x:v>☐</x:v>
      </x:c>
      <x:c r="B2118" s="34" t="str">
        <x:v>MI-0456</x:v>
      </x:c>
      <x:c r="C2118" s="34" t="str">
        <x:v>M5 — دانش، فرهنگ، حکمرانی و بانک مطالعاتی</x:v>
      </x:c>
      <x:c r="D2118" s="34" t="str">
        <x:v>H18</x:v>
      </x:c>
      <x:c r="E2118" s="34" t="str">
        <x:v>بانک مطالعه، منابع و موضوعات کنجکاوی</x:v>
      </x:c>
      <x:c r="F2118" s="34" t="str">
        <x:v>BANK</x:v>
      </x:c>
      <x:c r="G2118" s="34" t="str">
        <x:v>مطالعه/منبع</x:v>
      </x:c>
      <x:c r="H2118" s="39" t="str">
        <x:v>تمرکز روز حقوق زن</x:v>
      </x:c>
      <x:c r="I2118" s="39" t="str">
        <x:v>بانک مطالعه؛ سقف زمانی</x:v>
      </x:c>
      <x:c r="J2118" s="39" t="str">
        <x:v>مدیر دانش/کیوریتور محتوا</x:v>
      </x:c>
      <x:c r="K2118" s="39" t="str"/>
      <x:c r="L2118" s="39" t="str">
        <x:v>AP:P241</x:v>
      </x:c>
      <x:c r="M2118" s="39" t="str"/>
      <x:c r="N2118" s="39" t="str">
        <x:v>نسخه پایه ۳۱۵۰</x:v>
      </x:c>
    </x:row>
    <x:row r="2119" ht="34" customHeight="1">
      <x:c r="A2119" s="34" t="str">
        <x:v>☐</x:v>
      </x:c>
      <x:c r="B2119" s="34" t="str">
        <x:v>MI-0458</x:v>
      </x:c>
      <x:c r="C2119" s="34" t="str">
        <x:v>M5 — دانش، فرهنگ، حکمرانی و بانک مطالعاتی</x:v>
      </x:c>
      <x:c r="D2119" s="34" t="str">
        <x:v>H18</x:v>
      </x:c>
      <x:c r="E2119" s="34" t="str">
        <x:v>بانک مطالعه، منابع و موضوعات کنجکاوی</x:v>
      </x:c>
      <x:c r="F2119" s="34" t="str">
        <x:v>BANK</x:v>
      </x:c>
      <x:c r="G2119" s="34" t="str">
        <x:v>مطالعه/منبع</x:v>
      </x:c>
      <x:c r="H2119" s="39" t="str">
        <x:v>قحطی (مردم علف میخوردند، جنازه ها را میخوردند.)</x:v>
      </x:c>
      <x:c r="I2119" s="39" t="str">
        <x:v>بانک مطالعه؛ سقف زمانی</x:v>
      </x:c>
      <x:c r="J2119" s="39" t="str">
        <x:v>مدیر دانش/کیوریتور محتوا</x:v>
      </x:c>
      <x:c r="K2119" s="39" t="str"/>
      <x:c r="L2119" s="39" t="str">
        <x:v>AP:P243</x:v>
      </x:c>
      <x:c r="M2119" s="39" t="str"/>
      <x:c r="N2119" s="39" t="str">
        <x:v>نسخه پایه ۳۱۵۰</x:v>
      </x:c>
    </x:row>
    <x:row r="2120" ht="34" customHeight="1">
      <x:c r="A2120" s="34" t="str">
        <x:v>☐</x:v>
      </x:c>
      <x:c r="B2120" s="34" t="str">
        <x:v>MI-0459</x:v>
      </x:c>
      <x:c r="C2120" s="34" t="str">
        <x:v>M5 — دانش، فرهنگ، حکمرانی و بانک مطالعاتی</x:v>
      </x:c>
      <x:c r="D2120" s="34" t="str">
        <x:v>H18</x:v>
      </x:c>
      <x:c r="E2120" s="34" t="str">
        <x:v>بانک مطالعه، منابع و موضوعات کنجکاوی</x:v>
      </x:c>
      <x:c r="F2120" s="34" t="str">
        <x:v>BANK</x:v>
      </x:c>
      <x:c r="G2120" s="34" t="str">
        <x:v>مطالعه/منبع</x:v>
      </x:c>
      <x:c r="H2120" s="39" t="str">
        <x:v>نشست آمریکا، انگلیس، شوروی و عدم احترام به محمدرضا شاه</x:v>
      </x:c>
      <x:c r="I2120" s="39" t="str">
        <x:v>بانک مطالعه؛ سقف زمانی</x:v>
      </x:c>
      <x:c r="J2120" s="39" t="str">
        <x:v>مدیر دانش/کیوریتور محتوا</x:v>
      </x:c>
      <x:c r="K2120" s="39" t="str"/>
      <x:c r="L2120" s="39" t="str">
        <x:v>AP:P244</x:v>
      </x:c>
      <x:c r="M2120" s="39" t="str"/>
      <x:c r="N2120" s="39" t="str">
        <x:v>نسخه پایه ۳۱۵۰</x:v>
      </x:c>
    </x:row>
    <x:row r="2121" ht="34" customHeight="1">
      <x:c r="A2121" s="34" t="str">
        <x:v>☐</x:v>
      </x:c>
      <x:c r="B2121" s="34" t="str">
        <x:v>MI-0460</x:v>
      </x:c>
      <x:c r="C2121" s="34" t="str">
        <x:v>M5 — دانش، فرهنگ، حکمرانی و بانک مطالعاتی</x:v>
      </x:c>
      <x:c r="D2121" s="34" t="str">
        <x:v>H18</x:v>
      </x:c>
      <x:c r="E2121" s="34" t="str">
        <x:v>بانک مطالعه، منابع و موضوعات کنجکاوی</x:v>
      </x:c>
      <x:c r="F2121" s="34" t="str">
        <x:v>BANK</x:v>
      </x:c>
      <x:c r="G2121" s="34" t="str">
        <x:v>مطالعه/منبع</x:v>
      </x:c>
      <x:c r="H2121" s="39" t="str">
        <x:v>بردن همه هواپیماهای کشور به ویتنام</x:v>
      </x:c>
      <x:c r="I2121" s="39" t="str">
        <x:v>بانک مطالعه؛ سقف زمانی</x:v>
      </x:c>
      <x:c r="J2121" s="39" t="str">
        <x:v>مدیر دانش/کیوریتور محتوا</x:v>
      </x:c>
      <x:c r="K2121" s="39" t="str"/>
      <x:c r="L2121" s="39" t="str">
        <x:v>AP:P245</x:v>
      </x:c>
      <x:c r="M2121" s="39" t="str"/>
      <x:c r="N2121" s="39" t="str">
        <x:v>نسخه پایه ۳۱۵۰</x:v>
      </x:c>
    </x:row>
    <x:row r="2122" ht="34" customHeight="1">
      <x:c r="A2122" s="34" t="str">
        <x:v>☐</x:v>
      </x:c>
      <x:c r="B2122" s="34" t="str">
        <x:v>MI-0461</x:v>
      </x:c>
      <x:c r="C2122" s="34" t="str">
        <x:v>M5 — دانش، فرهنگ، حکمرانی و بانک مطالعاتی</x:v>
      </x:c>
      <x:c r="D2122" s="34" t="str">
        <x:v>H18</x:v>
      </x:c>
      <x:c r="E2122" s="34" t="str">
        <x:v>بانک مطالعه، منابع و موضوعات کنجکاوی</x:v>
      </x:c>
      <x:c r="F2122" s="34" t="str">
        <x:v>BANK</x:v>
      </x:c>
      <x:c r="G2122" s="34" t="str">
        <x:v>مطالعه/منبع</x:v>
      </x:c>
      <x:c r="H2122" s="39" t="str">
        <x:v>44000 سند منگوله دار رضا پالان</x:v>
      </x:c>
      <x:c r="I2122" s="39" t="str">
        <x:v>بانک مطالعه؛ سقف زمانی</x:v>
      </x:c>
      <x:c r="J2122" s="39" t="str">
        <x:v>مدیر دانش/کیوریتور محتوا</x:v>
      </x:c>
      <x:c r="K2122" s="39" t="str"/>
      <x:c r="L2122" s="39" t="str">
        <x:v>AP:P246</x:v>
      </x:c>
      <x:c r="M2122" s="39" t="str"/>
      <x:c r="N2122" s="39" t="str">
        <x:v>نسخه پایه ۳۱۵۰</x:v>
      </x:c>
    </x:row>
    <x:row r="2123" ht="34" customHeight="1">
      <x:c r="A2123" s="34" t="str">
        <x:v>☐</x:v>
      </x:c>
      <x:c r="B2123" s="34" t="str">
        <x:v>MI-0462</x:v>
      </x:c>
      <x:c r="C2123" s="34" t="str">
        <x:v>M5 — دانش، فرهنگ، حکمرانی و بانک مطالعاتی</x:v>
      </x:c>
      <x:c r="D2123" s="34" t="str">
        <x:v>H18</x:v>
      </x:c>
      <x:c r="E2123" s="34" t="str">
        <x:v>بانک مطالعه، منابع و موضوعات کنجکاوی</x:v>
      </x:c>
      <x:c r="F2123" s="34" t="str">
        <x:v>BANK</x:v>
      </x:c>
      <x:c r="G2123" s="34" t="str">
        <x:v>مطالعه/منبع</x:v>
      </x:c>
      <x:c r="H2123" s="39" t="str">
        <x:v>طعم آدامس رییس جمهور</x:v>
      </x:c>
      <x:c r="I2123" s="39" t="str">
        <x:v>بانک مطالعه؛ سقف زمانی</x:v>
      </x:c>
      <x:c r="J2123" s="39" t="str">
        <x:v>مدیر دانش/کیوریتور محتوا</x:v>
      </x:c>
      <x:c r="K2123" s="39" t="str"/>
      <x:c r="L2123" s="39" t="str">
        <x:v>AP:P247</x:v>
      </x:c>
      <x:c r="M2123" s="39" t="str"/>
      <x:c r="N2123" s="39" t="str">
        <x:v>نسخه پایه ۳۱۵۰</x:v>
      </x:c>
    </x:row>
    <x:row r="2124" ht="34" customHeight="1">
      <x:c r="A2124" s="34" t="str">
        <x:v>☐</x:v>
      </x:c>
      <x:c r="B2124" s="34" t="str">
        <x:v>MI-0463</x:v>
      </x:c>
      <x:c r="C2124" s="34" t="str">
        <x:v>M5 — دانش، فرهنگ، حکمرانی و بانک مطالعاتی</x:v>
      </x:c>
      <x:c r="D2124" s="34" t="str">
        <x:v>H18</x:v>
      </x:c>
      <x:c r="E2124" s="34" t="str">
        <x:v>بانک مطالعه، منابع و موضوعات کنجکاوی</x:v>
      </x:c>
      <x:c r="F2124" s="34" t="str">
        <x:v>BANK</x:v>
      </x:c>
      <x:c r="G2124" s="34" t="str">
        <x:v>مطالعه/منبع</x:v>
      </x:c>
      <x:c r="H2124" s="39" t="str">
        <x:v>سن امید به زندگی مردم ایران از 56</x:v>
      </x:c>
      <x:c r="I2124" s="39" t="str">
        <x:v>بانک مطالعه؛ سقف زمانی</x:v>
      </x:c>
      <x:c r="J2124" s="39" t="str">
        <x:v>مدیر دانش/کیوریتور محتوا</x:v>
      </x:c>
      <x:c r="K2124" s="39" t="str"/>
      <x:c r="L2124" s="39" t="str">
        <x:v>AP:P248</x:v>
      </x:c>
      <x:c r="M2124" s="39" t="str"/>
      <x:c r="N2124" s="39" t="str">
        <x:v>نسخه پایه ۳۱۵۰</x:v>
      </x:c>
    </x:row>
    <x:row r="2125" ht="34" customHeight="1">
      <x:c r="A2125" s="34" t="str">
        <x:v>☐</x:v>
      </x:c>
      <x:c r="B2125" s="34" t="str">
        <x:v>MI-0464</x:v>
      </x:c>
      <x:c r="C2125" s="34" t="str">
        <x:v>M5 — دانش، فرهنگ، حکمرانی و بانک مطالعاتی</x:v>
      </x:c>
      <x:c r="D2125" s="34" t="str">
        <x:v>H18</x:v>
      </x:c>
      <x:c r="E2125" s="34" t="str">
        <x:v>بانک مطالعه، منابع و موضوعات کنجکاوی</x:v>
      </x:c>
      <x:c r="F2125" s="34" t="str">
        <x:v>BANK</x:v>
      </x:c>
      <x:c r="G2125" s="34" t="str">
        <x:v>مطالعه/منبع</x:v>
      </x:c>
      <x:c r="H2125" s="39" t="str">
        <x:v>سیم خاردار نداشتیم</x:v>
      </x:c>
      <x:c r="I2125" s="39" t="str">
        <x:v>بانک مطالعه؛ سقف زمانی</x:v>
      </x:c>
      <x:c r="J2125" s="39" t="str">
        <x:v>مدیر دانش/کیوریتور محتوا</x:v>
      </x:c>
      <x:c r="K2125" s="39" t="str"/>
      <x:c r="L2125" s="39" t="str">
        <x:v>AP:P249</x:v>
      </x:c>
      <x:c r="M2125" s="39" t="str"/>
      <x:c r="N2125" s="39" t="str">
        <x:v>نسخه پایه ۳۱۵۰</x:v>
      </x:c>
    </x:row>
    <x:row r="2126" ht="34" customHeight="1">
      <x:c r="A2126" s="34" t="str">
        <x:v>☐</x:v>
      </x:c>
      <x:c r="B2126" s="34" t="str">
        <x:v>MI-0465</x:v>
      </x:c>
      <x:c r="C2126" s="34" t="str">
        <x:v>M5 — دانش، فرهنگ، حکمرانی و بانک مطالعاتی</x:v>
      </x:c>
      <x:c r="D2126" s="34" t="str">
        <x:v>H18</x:v>
      </x:c>
      <x:c r="E2126" s="34" t="str">
        <x:v>بانک مطالعه، منابع و موضوعات کنجکاوی</x:v>
      </x:c>
      <x:c r="F2126" s="34" t="str">
        <x:v>BANK</x:v>
      </x:c>
      <x:c r="G2126" s="34" t="str">
        <x:v>مطالعه/منبع</x:v>
      </x:c>
      <x:c r="H2126" s="39" t="str">
        <x:v>سالی 1 میلیون مسکن</x:v>
      </x:c>
      <x:c r="I2126" s="39" t="str">
        <x:v>بانک مطالعه؛ سقف زمانی</x:v>
      </x:c>
      <x:c r="J2126" s="39" t="str">
        <x:v>مدیر دانش/کیوریتور محتوا</x:v>
      </x:c>
      <x:c r="K2126" s="39" t="str"/>
      <x:c r="L2126" s="39" t="str">
        <x:v>AP:P250</x:v>
      </x:c>
      <x:c r="M2126" s="39" t="str"/>
      <x:c r="N2126" s="39" t="str">
        <x:v>نسخه پایه ۳۱۵۰</x:v>
      </x:c>
    </x:row>
    <x:row r="2127" ht="34" customHeight="1">
      <x:c r="A2127" s="34" t="str">
        <x:v>☐</x:v>
      </x:c>
      <x:c r="B2127" s="34" t="str">
        <x:v>MI-0466</x:v>
      </x:c>
      <x:c r="C2127" s="34" t="str">
        <x:v>M5 — دانش، فرهنگ، حکمرانی و بانک مطالعاتی</x:v>
      </x:c>
      <x:c r="D2127" s="34" t="str">
        <x:v>H18</x:v>
      </x:c>
      <x:c r="E2127" s="34" t="str">
        <x:v>بانک مطالعه، منابع و موضوعات کنجکاوی</x:v>
      </x:c>
      <x:c r="F2127" s="34" t="str">
        <x:v>BANK</x:v>
      </x:c>
      <x:c r="G2127" s="34" t="str">
        <x:v>مطالعه/منبع</x:v>
      </x:c>
      <x:c r="H2127" s="39" t="str">
        <x:v>تفکر لیبرال سرمایه داری</x:v>
      </x:c>
      <x:c r="I2127" s="39" t="str">
        <x:v>بانک مطالعه؛ سقف زمانی</x:v>
      </x:c>
      <x:c r="J2127" s="39" t="str">
        <x:v>مدیر دانش/کیوریتور محتوا</x:v>
      </x:c>
      <x:c r="K2127" s="39" t="str"/>
      <x:c r="L2127" s="39" t="str">
        <x:v>AP:P251</x:v>
      </x:c>
      <x:c r="M2127" s="39" t="str"/>
      <x:c r="N2127" s="39" t="str">
        <x:v>نسخه پایه ۳۱۵۰</x:v>
      </x:c>
    </x:row>
    <x:row r="2128" ht="34" customHeight="1">
      <x:c r="A2128" s="34" t="str">
        <x:v>☐</x:v>
      </x:c>
      <x:c r="B2128" s="34" t="str">
        <x:v>MI-0467</x:v>
      </x:c>
      <x:c r="C2128" s="34" t="str">
        <x:v>M5 — دانش، فرهنگ، حکمرانی و بانک مطالعاتی</x:v>
      </x:c>
      <x:c r="D2128" s="34" t="str">
        <x:v>H18</x:v>
      </x:c>
      <x:c r="E2128" s="34" t="str">
        <x:v>بانک مطالعه، منابع و موضوعات کنجکاوی</x:v>
      </x:c>
      <x:c r="F2128" s="34" t="str">
        <x:v>BANK</x:v>
      </x:c>
      <x:c r="G2128" s="34" t="str">
        <x:v>مطالعه/منبع</x:v>
      </x:c>
      <x:c r="H2128" s="39" t="str">
        <x:v>80 درصد صنایع خودرو سرریز صنایع دفاعی</x:v>
      </x:c>
      <x:c r="I2128" s="39" t="str">
        <x:v>بانک مطالعه؛ سقف زمانی</x:v>
      </x:c>
      <x:c r="J2128" s="39" t="str">
        <x:v>مدیر دانش/کیوریتور محتوا</x:v>
      </x:c>
      <x:c r="K2128" s="39" t="str"/>
      <x:c r="L2128" s="39" t="str">
        <x:v>AP:P252</x:v>
      </x:c>
      <x:c r="M2128" s="39" t="str"/>
      <x:c r="N2128" s="39" t="str">
        <x:v>نسخه پایه ۳۱۵۰</x:v>
      </x:c>
    </x:row>
    <x:row r="2129" ht="34" customHeight="1">
      <x:c r="A2129" s="34" t="str">
        <x:v>☐</x:v>
      </x:c>
      <x:c r="B2129" s="34" t="str">
        <x:v>MI-0468</x:v>
      </x:c>
      <x:c r="C2129" s="34" t="str">
        <x:v>M5 — دانش، فرهنگ، حکمرانی و بانک مطالعاتی</x:v>
      </x:c>
      <x:c r="D2129" s="34" t="str">
        <x:v>H18</x:v>
      </x:c>
      <x:c r="E2129" s="34" t="str">
        <x:v>بانک مطالعه، منابع و موضوعات کنجکاوی</x:v>
      </x:c>
      <x:c r="F2129" s="34" t="str">
        <x:v>BANK</x:v>
      </x:c>
      <x:c r="G2129" s="34" t="str">
        <x:v>مطالعه/منبع</x:v>
      </x:c>
      <x:c r="H2129" s="39" t="str">
        <x:v>مسکن حسن روحانی از 1 میلیون به 300 هزار تا</x:v>
      </x:c>
      <x:c r="I2129" s="39" t="str">
        <x:v>بانک مطالعه؛ سقف زمانی</x:v>
      </x:c>
      <x:c r="J2129" s="39" t="str">
        <x:v>مدیر دانش/کیوریتور محتوا</x:v>
      </x:c>
      <x:c r="K2129" s="39" t="str"/>
      <x:c r="L2129" s="39" t="str">
        <x:v>AP:P253</x:v>
      </x:c>
      <x:c r="M2129" s="39" t="str"/>
      <x:c r="N2129" s="39" t="str">
        <x:v>نسخه پایه ۳۱۵۰</x:v>
      </x:c>
    </x:row>
    <x:row r="2130" ht="34" customHeight="1">
      <x:c r="A2130" s="34" t="str">
        <x:v>☐</x:v>
      </x:c>
      <x:c r="B2130" s="34" t="str">
        <x:v>MI-0470</x:v>
      </x:c>
      <x:c r="C2130" s="34" t="str">
        <x:v>M5 — دانش، فرهنگ، حکمرانی و بانک مطالعاتی</x:v>
      </x:c>
      <x:c r="D2130" s="34" t="str">
        <x:v>H18</x:v>
      </x:c>
      <x:c r="E2130" s="34" t="str">
        <x:v>بانک مطالعه، منابع و موضوعات کنجکاوی</x:v>
      </x:c>
      <x:c r="F2130" s="34" t="str">
        <x:v>BANK</x:v>
      </x:c>
      <x:c r="G2130" s="34" t="str">
        <x:v>مطالعه/منبع</x:v>
      </x:c>
      <x:c r="H2130" s="39" t="str">
        <x:v>با چکمه دشمن بیدار می شوند.</x:v>
      </x:c>
      <x:c r="I2130" s="39" t="str">
        <x:v>بانک مطالعه؛ سقف زمانی</x:v>
      </x:c>
      <x:c r="J2130" s="39" t="str">
        <x:v>مدیر دانش/کیوریتور محتوا</x:v>
      </x:c>
      <x:c r="K2130" s="39" t="str"/>
      <x:c r="L2130" s="39" t="str">
        <x:v>AP:P255</x:v>
      </x:c>
      <x:c r="M2130" s="39" t="str"/>
      <x:c r="N2130" s="39" t="str">
        <x:v>نسخه پایه ۳۱۵۰</x:v>
      </x:c>
    </x:row>
    <x:row r="2131" ht="34" customHeight="1">
      <x:c r="A2131" s="34" t="str">
        <x:v>☐</x:v>
      </x:c>
      <x:c r="B2131" s="34" t="str">
        <x:v>MI-0471</x:v>
      </x:c>
      <x:c r="C2131" s="34" t="str">
        <x:v>M5 — دانش، فرهنگ، حکمرانی و بانک مطالعاتی</x:v>
      </x:c>
      <x:c r="D2131" s="34" t="str">
        <x:v>H18</x:v>
      </x:c>
      <x:c r="E2131" s="34" t="str">
        <x:v>بانک مطالعه، منابع و موضوعات کنجکاوی</x:v>
      </x:c>
      <x:c r="F2131" s="34" t="str">
        <x:v>BANK</x:v>
      </x:c>
      <x:c r="G2131" s="34" t="str">
        <x:v>مطالعه/منبع</x:v>
      </x:c>
      <x:c r="H2131" s="39" t="str">
        <x:v>علم رو با قلم به چنگ بیارید.</x:v>
      </x:c>
      <x:c r="I2131" s="39" t="str">
        <x:v>بانک مطالعه؛ سقف زمانی</x:v>
      </x:c>
      <x:c r="J2131" s="39" t="str">
        <x:v>مدیر دانش/کیوریتور محتوا</x:v>
      </x:c>
      <x:c r="K2131" s="39" t="str"/>
      <x:c r="L2131" s="39" t="str">
        <x:v>AP:P256</x:v>
      </x:c>
      <x:c r="M2131" s="39" t="str"/>
      <x:c r="N2131" s="39" t="str">
        <x:v>نسخه پایه ۳۱۵۰</x:v>
      </x:c>
    </x:row>
    <x:row r="2132" ht="34" customHeight="1">
      <x:c r="A2132" s="34" t="str">
        <x:v>☐</x:v>
      </x:c>
      <x:c r="B2132" s="34" t="str">
        <x:v>MI-0472</x:v>
      </x:c>
      <x:c r="C2132" s="34" t="str">
        <x:v>M5 — دانش، فرهنگ، حکمرانی و بانک مطالعاتی</x:v>
      </x:c>
      <x:c r="D2132" s="34" t="str">
        <x:v>H18</x:v>
      </x:c>
      <x:c r="E2132" s="34" t="str">
        <x:v>بانک مطالعه، منابع و موضوعات کنجکاوی</x:v>
      </x:c>
      <x:c r="F2132" s="34" t="str">
        <x:v>BANK</x:v>
      </x:c>
      <x:c r="G2132" s="34" t="str">
        <x:v>مطالعه/منبع</x:v>
      </x:c>
      <x:c r="H2132" s="39" t="str">
        <x:v>استعمار دیجیتال</x:v>
      </x:c>
      <x:c r="I2132" s="39" t="str">
        <x:v>بانک مطالعه؛ سقف زمانی</x:v>
      </x:c>
      <x:c r="J2132" s="39" t="str">
        <x:v>مدیر دانش/کیوریتور محتوا</x:v>
      </x:c>
      <x:c r="K2132" s="39" t="str"/>
      <x:c r="L2132" s="39" t="str">
        <x:v>AP:P257</x:v>
      </x:c>
      <x:c r="M2132" s="39" t="str"/>
      <x:c r="N2132" s="39" t="str">
        <x:v>نسخه پایه ۳۱۵۰</x:v>
      </x:c>
    </x:row>
    <x:row r="2133" ht="34" customHeight="1">
      <x:c r="A2133" s="34" t="str">
        <x:v>☐</x:v>
      </x:c>
      <x:c r="B2133" s="34" t="str">
        <x:v>MI-0473</x:v>
      </x:c>
      <x:c r="C2133" s="34" t="str">
        <x:v>M5 — دانش، فرهنگ، حکمرانی و بانک مطالعاتی</x:v>
      </x:c>
      <x:c r="D2133" s="34" t="str">
        <x:v>H18</x:v>
      </x:c>
      <x:c r="E2133" s="34" t="str">
        <x:v>بانک مطالعه، منابع و موضوعات کنجکاوی</x:v>
      </x:c>
      <x:c r="F2133" s="34" t="str">
        <x:v>BANK</x:v>
      </x:c>
      <x:c r="G2133" s="34" t="str">
        <x:v>مطالعه/منبع</x:v>
      </x:c>
      <x:c r="H2133" s="39" t="str">
        <x:v>شاخص توسعه انسانی</x:v>
      </x:c>
      <x:c r="I2133" s="39" t="str">
        <x:v>بانک مطالعه؛ سقف زمانی</x:v>
      </x:c>
      <x:c r="J2133" s="39" t="str">
        <x:v>مدیر دانش/کیوریتور محتوا</x:v>
      </x:c>
      <x:c r="K2133" s="39" t="str"/>
      <x:c r="L2133" s="39" t="str">
        <x:v>AP:P258</x:v>
      </x:c>
      <x:c r="M2133" s="39" t="str"/>
      <x:c r="N2133" s="39" t="str">
        <x:v>نسخه پایه ۳۱۵۰</x:v>
      </x:c>
    </x:row>
    <x:row r="2134" ht="34" customHeight="1">
      <x:c r="A2134" s="34" t="str">
        <x:v>☐</x:v>
      </x:c>
      <x:c r="B2134" s="34" t="str">
        <x:v>MI-0474</x:v>
      </x:c>
      <x:c r="C2134" s="34" t="str">
        <x:v>M5 — دانش، فرهنگ، حکمرانی و بانک مطالعاتی</x:v>
      </x:c>
      <x:c r="D2134" s="34" t="str">
        <x:v>H18</x:v>
      </x:c>
      <x:c r="E2134" s="34" t="str">
        <x:v>بانک مطالعه، منابع و موضوعات کنجکاوی</x:v>
      </x:c>
      <x:c r="F2134" s="34" t="str">
        <x:v>BANK</x:v>
      </x:c>
      <x:c r="G2134" s="34" t="str">
        <x:v>مطالعه/منبع</x:v>
      </x:c>
      <x:c r="H2134" s="39" t="str">
        <x:v>IGF - DSA - DMA در اروپا</x:v>
      </x:c>
      <x:c r="I2134" s="39" t="str">
        <x:v>بانک مطالعه؛ سقف زمانی</x:v>
      </x:c>
      <x:c r="J2134" s="39" t="str">
        <x:v>مدیر دانش/کیوریتور محتوا</x:v>
      </x:c>
      <x:c r="K2134" s="39" t="str"/>
      <x:c r="L2134" s="39" t="str">
        <x:v>AP:P259</x:v>
      </x:c>
      <x:c r="M2134" s="39" t="str"/>
      <x:c r="N2134" s="39" t="str">
        <x:v>نسخه پایه ۳۱۵۰</x:v>
      </x:c>
    </x:row>
    <x:row r="2135" ht="34" customHeight="1">
      <x:c r="A2135" s="34" t="str">
        <x:v>☐</x:v>
      </x:c>
      <x:c r="B2135" s="34" t="str">
        <x:v>MI-0475</x:v>
      </x:c>
      <x:c r="C2135" s="34" t="str">
        <x:v>M5 — دانش، فرهنگ، حکمرانی و بانک مطالعاتی</x:v>
      </x:c>
      <x:c r="D2135" s="34" t="str">
        <x:v>H18</x:v>
      </x:c>
      <x:c r="E2135" s="34" t="str">
        <x:v>بانک مطالعه، منابع و موضوعات کنجکاوی</x:v>
      </x:c>
      <x:c r="F2135" s="34" t="str">
        <x:v>BANK</x:v>
      </x:c>
      <x:c r="G2135" s="34" t="str">
        <x:v>مطالعه/منبع</x:v>
      </x:c>
      <x:c r="H2135" s="39" t="str">
        <x:v>HDI</x:v>
      </x:c>
      <x:c r="I2135" s="39" t="str">
        <x:v>بانک مطالعه؛ سقف زمانی</x:v>
      </x:c>
      <x:c r="J2135" s="39" t="str">
        <x:v>مدیر دانش/کیوریتور محتوا</x:v>
      </x:c>
      <x:c r="K2135" s="39" t="str"/>
      <x:c r="L2135" s="39" t="str">
        <x:v>AP:P260</x:v>
      </x:c>
      <x:c r="M2135" s="39" t="str"/>
      <x:c r="N2135" s="39" t="str">
        <x:v>نسخه پایه ۳۱۵۰</x:v>
      </x:c>
    </x:row>
    <x:row r="2136" ht="34" customHeight="1">
      <x:c r="A2136" s="34" t="str">
        <x:v>☐</x:v>
      </x:c>
      <x:c r="B2136" s="34" t="str">
        <x:v>MI-0476</x:v>
      </x:c>
      <x:c r="C2136" s="34" t="str">
        <x:v>M5 — دانش، فرهنگ، حکمرانی و بانک مطالعاتی</x:v>
      </x:c>
      <x:c r="D2136" s="34" t="str">
        <x:v>H18</x:v>
      </x:c>
      <x:c r="E2136" s="34" t="str">
        <x:v>بانک مطالعه، منابع و موضوعات کنجکاوی</x:v>
      </x:c>
      <x:c r="F2136" s="34" t="str">
        <x:v>BANK</x:v>
      </x:c>
      <x:c r="G2136" s="34" t="str">
        <x:v>مطالعه/منبع</x:v>
      </x:c>
      <x:c r="H2136" s="39" t="str">
        <x:v>جلسه استماع آمریکا - TikTok</x:v>
      </x:c>
      <x:c r="I2136" s="39" t="str">
        <x:v>بانک مطالعه؛ سقف زمانی</x:v>
      </x:c>
      <x:c r="J2136" s="39" t="str">
        <x:v>مدیر دانش/کیوریتور محتوا</x:v>
      </x:c>
      <x:c r="K2136" s="39" t="str"/>
      <x:c r="L2136" s="39" t="str">
        <x:v>AP:P261</x:v>
      </x:c>
      <x:c r="M2136" s="39" t="str"/>
      <x:c r="N2136" s="39" t="str">
        <x:v>نسخه پایه ۳۱۵۰</x:v>
      </x:c>
    </x:row>
    <x:row r="2137" ht="34" customHeight="1">
      <x:c r="A2137" s="34" t="str">
        <x:v>☐</x:v>
      </x:c>
      <x:c r="B2137" s="34" t="str">
        <x:v>MI-0477</x:v>
      </x:c>
      <x:c r="C2137" s="34" t="str">
        <x:v>M5 — دانش، فرهنگ، حکمرانی و بانک مطالعاتی</x:v>
      </x:c>
      <x:c r="D2137" s="34" t="str">
        <x:v>H18</x:v>
      </x:c>
      <x:c r="E2137" s="34" t="str">
        <x:v>بانک مطالعه، منابع و موضوعات کنجکاوی</x:v>
      </x:c>
      <x:c r="F2137" s="34" t="str">
        <x:v>BANK</x:v>
      </x:c>
      <x:c r="G2137" s="34" t="str">
        <x:v>مطالعه/منبع</x:v>
      </x:c>
      <x:c r="H2137" s="39" t="str">
        <x:v>شاخص KAPI ، SIA</x:v>
      </x:c>
      <x:c r="I2137" s="39" t="str">
        <x:v>بانک مطالعه؛ سقف زمانی</x:v>
      </x:c>
      <x:c r="J2137" s="39" t="str">
        <x:v>مدیر دانش/کیوریتور محتوا</x:v>
      </x:c>
      <x:c r="K2137" s="39" t="str"/>
      <x:c r="L2137" s="39" t="str">
        <x:v>AP:P262</x:v>
      </x:c>
      <x:c r="M2137" s="39" t="str"/>
      <x:c r="N2137" s="39" t="str">
        <x:v>نسخه پایه ۳۱۵۰</x:v>
      </x:c>
    </x:row>
    <x:row r="2138" ht="34" customHeight="1">
      <x:c r="A2138" s="34" t="str">
        <x:v>☐</x:v>
      </x:c>
      <x:c r="B2138" s="34" t="str">
        <x:v>MI-0479</x:v>
      </x:c>
      <x:c r="C2138" s="34" t="str">
        <x:v>M5 — دانش، فرهنگ، حکمرانی و بانک مطالعاتی</x:v>
      </x:c>
      <x:c r="D2138" s="34" t="str">
        <x:v>H18</x:v>
      </x:c>
      <x:c r="E2138" s="34" t="str">
        <x:v>بانک مطالعه، منابع و موضوعات کنجکاوی</x:v>
      </x:c>
      <x:c r="F2138" s="34" t="str">
        <x:v>BANK</x:v>
      </x:c>
      <x:c r="G2138" s="34" t="str">
        <x:v>مطالعه/منبع</x:v>
      </x:c>
      <x:c r="H2138" s="39" t="str">
        <x:v>بچه پولدار ملی</x:v>
      </x:c>
      <x:c r="I2138" s="39" t="str">
        <x:v>بانک مطالعه؛ سقف زمانی</x:v>
      </x:c>
      <x:c r="J2138" s="39" t="str">
        <x:v>مدیر دانش/کیوریتور محتوا</x:v>
      </x:c>
      <x:c r="K2138" s="39" t="str"/>
      <x:c r="L2138" s="39" t="str">
        <x:v>AP:P264</x:v>
      </x:c>
      <x:c r="M2138" s="39" t="str"/>
      <x:c r="N2138" s="39" t="str">
        <x:v>نسخه پایه ۳۱۵۰</x:v>
      </x:c>
    </x:row>
    <x:row r="2139" ht="34" customHeight="1">
      <x:c r="A2139" s="34" t="str">
        <x:v>☐</x:v>
      </x:c>
      <x:c r="B2139" s="34" t="str">
        <x:v>MI-0480</x:v>
      </x:c>
      <x:c r="C2139" s="34" t="str">
        <x:v>M5 — دانش، فرهنگ، حکمرانی و بانک مطالعاتی</x:v>
      </x:c>
      <x:c r="D2139" s="34" t="str">
        <x:v>H18</x:v>
      </x:c>
      <x:c r="E2139" s="34" t="str">
        <x:v>بانک مطالعه، منابع و موضوعات کنجکاوی</x:v>
      </x:c>
      <x:c r="F2139" s="34" t="str">
        <x:v>BANK</x:v>
      </x:c>
      <x:c r="G2139" s="34" t="str">
        <x:v>مطالعه/منبع</x:v>
      </x:c>
      <x:c r="H2139" s="39" t="str">
        <x:v>خصولتی ایران خودرو و سایپا</x:v>
      </x:c>
      <x:c r="I2139" s="39" t="str">
        <x:v>بانک مطالعه؛ سقف زمانی</x:v>
      </x:c>
      <x:c r="J2139" s="39" t="str">
        <x:v>مدیر دانش/کیوریتور محتوا</x:v>
      </x:c>
      <x:c r="K2139" s="39" t="str"/>
      <x:c r="L2139" s="39" t="str">
        <x:v>AP:P265</x:v>
      </x:c>
      <x:c r="M2139" s="39" t="str"/>
      <x:c r="N2139" s="39" t="str">
        <x:v>نسخه پایه ۳۱۵۰</x:v>
      </x:c>
    </x:row>
    <x:row r="2140" ht="34" customHeight="1">
      <x:c r="A2140" s="34" t="str">
        <x:v>☐</x:v>
      </x:c>
      <x:c r="B2140" s="34" t="str">
        <x:v>MI-0481</x:v>
      </x:c>
      <x:c r="C2140" s="34" t="str">
        <x:v>M5 — دانش، فرهنگ، حکمرانی و بانک مطالعاتی</x:v>
      </x:c>
      <x:c r="D2140" s="34" t="str">
        <x:v>H18</x:v>
      </x:c>
      <x:c r="E2140" s="34" t="str">
        <x:v>بانک مطالعه، منابع و موضوعات کنجکاوی</x:v>
      </x:c>
      <x:c r="F2140" s="34" t="str">
        <x:v>BANK</x:v>
      </x:c>
      <x:c r="G2140" s="34" t="str">
        <x:v>مطالعه/منبع</x:v>
      </x:c>
      <x:c r="H2140" s="39" t="str">
        <x:v>ویراستی</x:v>
      </x:c>
      <x:c r="I2140" s="39" t="str">
        <x:v>بانک مطالعه؛ سقف زمانی</x:v>
      </x:c>
      <x:c r="J2140" s="39" t="str">
        <x:v>مدیر دانش/کیوریتور محتوا</x:v>
      </x:c>
      <x:c r="K2140" s="39" t="str"/>
      <x:c r="L2140" s="39" t="str">
        <x:v>AP:P266</x:v>
      </x:c>
      <x:c r="M2140" s="39" t="str"/>
      <x:c r="N2140" s="39" t="str">
        <x:v>نسخه پایه ۳۱۵۰</x:v>
      </x:c>
    </x:row>
    <x:row r="2141" ht="34" customHeight="1">
      <x:c r="A2141" s="34" t="str">
        <x:v>☐</x:v>
      </x:c>
      <x:c r="B2141" s="34" t="str">
        <x:v>MI-0482</x:v>
      </x:c>
      <x:c r="C2141" s="34" t="str">
        <x:v>M5 — دانش، فرهنگ، حکمرانی و بانک مطالعاتی</x:v>
      </x:c>
      <x:c r="D2141" s="34" t="str">
        <x:v>H18</x:v>
      </x:c>
      <x:c r="E2141" s="34" t="str">
        <x:v>بانک مطالعه، منابع و موضوعات کنجکاوی</x:v>
      </x:c>
      <x:c r="F2141" s="34" t="str">
        <x:v>BANK</x:v>
      </x:c>
      <x:c r="G2141" s="34" t="str">
        <x:v>مطالعه/منبع</x:v>
      </x:c>
      <x:c r="H2141" s="39" t="str">
        <x:v>انصاف نیوز</x:v>
      </x:c>
      <x:c r="I2141" s="39" t="str">
        <x:v>بانک مطالعه؛ سقف زمانی</x:v>
      </x:c>
      <x:c r="J2141" s="39" t="str">
        <x:v>مدیر دانش/کیوریتور محتوا</x:v>
      </x:c>
      <x:c r="K2141" s="39" t="str"/>
      <x:c r="L2141" s="39" t="str">
        <x:v>AP:P267</x:v>
      </x:c>
      <x:c r="M2141" s="39" t="str"/>
      <x:c r="N2141" s="39" t="str">
        <x:v>نسخه پایه ۳۱۵۰</x:v>
      </x:c>
    </x:row>
    <x:row r="2142" ht="34" customHeight="1">
      <x:c r="A2142" s="34" t="str">
        <x:v>☐</x:v>
      </x:c>
      <x:c r="B2142" s="34" t="str">
        <x:v>MI-0483</x:v>
      </x:c>
      <x:c r="C2142" s="34" t="str">
        <x:v>M5 — دانش، فرهنگ، حکمرانی و بانک مطالعاتی</x:v>
      </x:c>
      <x:c r="D2142" s="34" t="str">
        <x:v>H18</x:v>
      </x:c>
      <x:c r="E2142" s="34" t="str">
        <x:v>بانک مطالعه، منابع و موضوعات کنجکاوی</x:v>
      </x:c>
      <x:c r="F2142" s="34" t="str">
        <x:v>BANK</x:v>
      </x:c>
      <x:c r="G2142" s="34" t="str">
        <x:v>مطالعه/منبع</x:v>
      </x:c>
      <x:c r="H2142" s="39" t="str">
        <x:v>بامداد نو</x:v>
      </x:c>
      <x:c r="I2142" s="39" t="str">
        <x:v>بانک مطالعه؛ سقف زمانی</x:v>
      </x:c>
      <x:c r="J2142" s="39" t="str">
        <x:v>مدیر دانش/کیوریتور محتوا</x:v>
      </x:c>
      <x:c r="K2142" s="39" t="str"/>
      <x:c r="L2142" s="39" t="str">
        <x:v>AP:P268</x:v>
      </x:c>
      <x:c r="M2142" s="39" t="str"/>
      <x:c r="N2142" s="39" t="str">
        <x:v>نسخه پایه ۳۱۵۰</x:v>
      </x:c>
    </x:row>
    <x:row r="2143" ht="34" customHeight="1">
      <x:c r="A2143" s="34" t="str">
        <x:v>☐</x:v>
      </x:c>
      <x:c r="B2143" s="34" t="str">
        <x:v>MI-0484</x:v>
      </x:c>
      <x:c r="C2143" s="34" t="str">
        <x:v>M5 — دانش، فرهنگ، حکمرانی و بانک مطالعاتی</x:v>
      </x:c>
      <x:c r="D2143" s="34" t="str">
        <x:v>H18</x:v>
      </x:c>
      <x:c r="E2143" s="34" t="str">
        <x:v>بانک مطالعه، منابع و موضوعات کنجکاوی</x:v>
      </x:c>
      <x:c r="F2143" s="34" t="str">
        <x:v>BANK</x:v>
      </x:c>
      <x:c r="G2143" s="34" t="str">
        <x:v>مطالعه/منبع</x:v>
      </x:c>
      <x:c r="H2143" s="39" t="str">
        <x:v>عصر ایران (هاشمی فَن)</x:v>
      </x:c>
      <x:c r="I2143" s="39" t="str">
        <x:v>بانک مطالعه؛ سقف زمانی</x:v>
      </x:c>
      <x:c r="J2143" s="39" t="str">
        <x:v>مدیر دانش/کیوریتور محتوا</x:v>
      </x:c>
      <x:c r="K2143" s="39" t="str"/>
      <x:c r="L2143" s="39" t="str">
        <x:v>AP:P269</x:v>
      </x:c>
      <x:c r="M2143" s="39" t="str"/>
      <x:c r="N2143" s="39" t="str">
        <x:v>نسخه پایه ۳۱۵۰</x:v>
      </x:c>
    </x:row>
    <x:row r="2144" ht="34" customHeight="1">
      <x:c r="A2144" s="34" t="str">
        <x:v>☐</x:v>
      </x:c>
      <x:c r="B2144" s="34" t="str">
        <x:v>MI-0486</x:v>
      </x:c>
      <x:c r="C2144" s="34" t="str">
        <x:v>M5 — دانش، فرهنگ، حکمرانی و بانک مطالعاتی</x:v>
      </x:c>
      <x:c r="D2144" s="34" t="str">
        <x:v>H18</x:v>
      </x:c>
      <x:c r="E2144" s="34" t="str">
        <x:v>بانک مطالعه، منابع و موضوعات کنجکاوی</x:v>
      </x:c>
      <x:c r="F2144" s="34" t="str">
        <x:v>BANK</x:v>
      </x:c>
      <x:c r="G2144" s="34" t="str">
        <x:v>مطالعه/منبع</x:v>
      </x:c>
      <x:c r="H2144" s="39" t="str">
        <x:v>فقط totalism غلطه</x:v>
      </x:c>
      <x:c r="I2144" s="39" t="str">
        <x:v>بانک مطالعه؛ سقف زمانی</x:v>
      </x:c>
      <x:c r="J2144" s="39" t="str">
        <x:v>مدیر دانش/کیوریتور محتوا</x:v>
      </x:c>
      <x:c r="K2144" s="39" t="str"/>
      <x:c r="L2144" s="39" t="str">
        <x:v>AP:P271</x:v>
      </x:c>
      <x:c r="M2144" s="39" t="str"/>
      <x:c r="N2144" s="39" t="str">
        <x:v>نسخه پایه ۳۱۵۰</x:v>
      </x:c>
    </x:row>
    <x:row r="2145" ht="34" customHeight="1">
      <x:c r="A2145" s="34" t="str">
        <x:v>☐</x:v>
      </x:c>
      <x:c r="B2145" s="34" t="str">
        <x:v>MI-0487</x:v>
      </x:c>
      <x:c r="C2145" s="34" t="str">
        <x:v>M5 — دانش، فرهنگ، حکمرانی و بانک مطالعاتی</x:v>
      </x:c>
      <x:c r="D2145" s="34" t="str">
        <x:v>H18</x:v>
      </x:c>
      <x:c r="E2145" s="34" t="str">
        <x:v>بانک مطالعه، منابع و موضوعات کنجکاوی</x:v>
      </x:c>
      <x:c r="F2145" s="34" t="str">
        <x:v>BANK</x:v>
      </x:c>
      <x:c r="G2145" s="34" t="str">
        <x:v>مطالعه/منبع</x:v>
      </x:c>
      <x:c r="H2145" s="39" t="str">
        <x:v>جعبه سیاه تضعیف ریال</x:v>
      </x:c>
      <x:c r="I2145" s="39" t="str">
        <x:v>بانک مطالعه؛ سقف زمانی</x:v>
      </x:c>
      <x:c r="J2145" s="39" t="str">
        <x:v>مدیر دانش/کیوریتور محتوا</x:v>
      </x:c>
      <x:c r="K2145" s="39" t="str"/>
      <x:c r="L2145" s="39" t="str">
        <x:v>AP:P272</x:v>
      </x:c>
      <x:c r="M2145" s="39" t="str"/>
      <x:c r="N2145" s="39" t="str">
        <x:v>نسخه پایه ۳۱۵۰</x:v>
      </x:c>
    </x:row>
    <x:row r="2146" ht="34" customHeight="1">
      <x:c r="A2146" s="34" t="str">
        <x:v>☐</x:v>
      </x:c>
      <x:c r="B2146" s="34" t="str">
        <x:v>MI-0488</x:v>
      </x:c>
      <x:c r="C2146" s="34" t="str">
        <x:v>M5 — دانش، فرهنگ، حکمرانی و بانک مطالعاتی</x:v>
      </x:c>
      <x:c r="D2146" s="34" t="str">
        <x:v>H18</x:v>
      </x:c>
      <x:c r="E2146" s="34" t="str">
        <x:v>بانک مطالعه، منابع و موضوعات کنجکاوی</x:v>
      </x:c>
      <x:c r="F2146" s="34" t="str">
        <x:v>BANK</x:v>
      </x:c>
      <x:c r="G2146" s="34" t="str">
        <x:v>مطالعه/منبع</x:v>
      </x:c>
      <x:c r="H2146" s="39" t="str">
        <x:v>سوسیال دموکرات</x:v>
      </x:c>
      <x:c r="I2146" s="39" t="str">
        <x:v>بانک مطالعه؛ سقف زمانی</x:v>
      </x:c>
      <x:c r="J2146" s="39" t="str">
        <x:v>مدیر دانش/کیوریتور محتوا</x:v>
      </x:c>
      <x:c r="K2146" s="39" t="str"/>
      <x:c r="L2146" s="39" t="str">
        <x:v>AP:P273</x:v>
      </x:c>
      <x:c r="M2146" s="39" t="str"/>
      <x:c r="N2146" s="39" t="str">
        <x:v>نسخه پایه ۳۱۵۰</x:v>
      </x:c>
    </x:row>
    <x:row r="2147" ht="34" customHeight="1">
      <x:c r="A2147" s="34" t="str">
        <x:v>☐</x:v>
      </x:c>
      <x:c r="B2147" s="34" t="str">
        <x:v>MI-0489</x:v>
      </x:c>
      <x:c r="C2147" s="34" t="str">
        <x:v>M5 — دانش، فرهنگ، حکمرانی و بانک مطالعاتی</x:v>
      </x:c>
      <x:c r="D2147" s="34" t="str">
        <x:v>H18</x:v>
      </x:c>
      <x:c r="E2147" s="34" t="str">
        <x:v>بانک مطالعه، منابع و موضوعات کنجکاوی</x:v>
      </x:c>
      <x:c r="F2147" s="34" t="str">
        <x:v>BANK</x:v>
      </x:c>
      <x:c r="G2147" s="34" t="str">
        <x:v>مطالعه/منبع</x:v>
      </x:c>
      <x:c r="H2147" s="39" t="str">
        <x:v>لیبرال دموکرات</x:v>
      </x:c>
      <x:c r="I2147" s="39" t="str">
        <x:v>بانک مطالعه؛ سقف زمانی</x:v>
      </x:c>
      <x:c r="J2147" s="39" t="str">
        <x:v>مدیر دانش/کیوریتور محتوا</x:v>
      </x:c>
      <x:c r="K2147" s="39" t="str"/>
      <x:c r="L2147" s="39" t="str">
        <x:v>AP:P274</x:v>
      </x:c>
      <x:c r="M2147" s="39" t="str"/>
      <x:c r="N2147" s="39" t="str">
        <x:v>نسخه پایه ۳۱۵۰</x:v>
      </x:c>
    </x:row>
    <x:row r="2148" ht="34" customHeight="1">
      <x:c r="A2148" s="34" t="str">
        <x:v>☐</x:v>
      </x:c>
      <x:c r="B2148" s="34" t="str">
        <x:v>MI-0490</x:v>
      </x:c>
      <x:c r="C2148" s="34" t="str">
        <x:v>M5 — دانش، فرهنگ، حکمرانی و بانک مطالعاتی</x:v>
      </x:c>
      <x:c r="D2148" s="34" t="str">
        <x:v>H18</x:v>
      </x:c>
      <x:c r="E2148" s="34" t="str">
        <x:v>بانک مطالعه، منابع و موضوعات کنجکاوی</x:v>
      </x:c>
      <x:c r="F2148" s="34" t="str">
        <x:v>BANK</x:v>
      </x:c>
      <x:c r="G2148" s="34" t="str">
        <x:v>مطالعه/منبع</x:v>
      </x:c>
      <x:c r="H2148" s="39" t="str">
        <x:v>ماجرای کوی دانشگاه</x:v>
      </x:c>
      <x:c r="I2148" s="39" t="str">
        <x:v>بانک مطالعه؛ سقف زمانی</x:v>
      </x:c>
      <x:c r="J2148" s="39" t="str">
        <x:v>مدیر دانش/کیوریتور محتوا</x:v>
      </x:c>
      <x:c r="K2148" s="39" t="str"/>
      <x:c r="L2148" s="39" t="str">
        <x:v>AP:P275</x:v>
      </x:c>
      <x:c r="M2148" s="39" t="str"/>
      <x:c r="N2148" s="39" t="str">
        <x:v>نسخه پایه ۳۱۵۰</x:v>
      </x:c>
    </x:row>
    <x:row r="2149" ht="34" customHeight="1">
      <x:c r="A2149" s="34" t="str">
        <x:v>☐</x:v>
      </x:c>
      <x:c r="B2149" s="34" t="str">
        <x:v>MI-0491</x:v>
      </x:c>
      <x:c r="C2149" s="34" t="str">
        <x:v>M5 — دانش، فرهنگ، حکمرانی و بانک مطالعاتی</x:v>
      </x:c>
      <x:c r="D2149" s="34" t="str">
        <x:v>H18</x:v>
      </x:c>
      <x:c r="E2149" s="34" t="str">
        <x:v>بانک مطالعه، منابع و موضوعات کنجکاوی</x:v>
      </x:c>
      <x:c r="F2149" s="34" t="str">
        <x:v>BANK</x:v>
      </x:c>
      <x:c r="G2149" s="34" t="str">
        <x:v>مطالعه/منبع</x:v>
      </x:c>
      <x:c r="H2149" s="39" t="str">
        <x:v>سخنرانی روحانی 23 تتیر 78</x:v>
      </x:c>
      <x:c r="I2149" s="39" t="str">
        <x:v>بانک مطالعه؛ سقف زمانی</x:v>
      </x:c>
      <x:c r="J2149" s="39" t="str">
        <x:v>مدیر دانش/کیوریتور محتوا</x:v>
      </x:c>
      <x:c r="K2149" s="39" t="str"/>
      <x:c r="L2149" s="39" t="str">
        <x:v>AP:P276</x:v>
      </x:c>
      <x:c r="M2149" s="39" t="str"/>
      <x:c r="N2149" s="39" t="str">
        <x:v>نسخه پایه ۳۱۵۰</x:v>
      </x:c>
    </x:row>
    <x:row r="2150" ht="34" customHeight="1">
      <x:c r="A2150" s="34" t="str">
        <x:v>☐</x:v>
      </x:c>
      <x:c r="B2150" s="34" t="str">
        <x:v>MI-0492</x:v>
      </x:c>
      <x:c r="C2150" s="34" t="str">
        <x:v>M5 — دانش، فرهنگ، حکمرانی و بانک مطالعاتی</x:v>
      </x:c>
      <x:c r="D2150" s="34" t="str">
        <x:v>H18</x:v>
      </x:c>
      <x:c r="E2150" s="34" t="str">
        <x:v>بانک مطالعه، منابع و موضوعات کنجکاوی</x:v>
      </x:c>
      <x:c r="F2150" s="34" t="str">
        <x:v>BANK</x:v>
      </x:c>
      <x:c r="G2150" s="34" t="str">
        <x:v>مطالعه/منبع</x:v>
      </x:c>
      <x:c r="H2150" s="39" t="str">
        <x:v>رفتار های سینوسی</x:v>
      </x:c>
      <x:c r="I2150" s="39" t="str">
        <x:v>بانک مطالعه؛ سقف زمانی</x:v>
      </x:c>
      <x:c r="J2150" s="39" t="str">
        <x:v>مدیر دانش/کیوریتور محتوا</x:v>
      </x:c>
      <x:c r="K2150" s="39" t="str"/>
      <x:c r="L2150" s="39" t="str">
        <x:v>AP:P277</x:v>
      </x:c>
      <x:c r="M2150" s="39" t="str"/>
      <x:c r="N2150" s="39" t="str">
        <x:v>نسخه پایه ۳۱۵۰</x:v>
      </x:c>
    </x:row>
    <x:row r="2151" ht="34" customHeight="1">
      <x:c r="A2151" s="34" t="str">
        <x:v>☐</x:v>
      </x:c>
      <x:c r="B2151" s="34" t="str">
        <x:v>MI-0493</x:v>
      </x:c>
      <x:c r="C2151" s="34" t="str">
        <x:v>M5 — دانش، فرهنگ، حکمرانی و بانک مطالعاتی</x:v>
      </x:c>
      <x:c r="D2151" s="34" t="str">
        <x:v>H18</x:v>
      </x:c>
      <x:c r="E2151" s="34" t="str">
        <x:v>بانک مطالعه، منابع و موضوعات کنجکاوی</x:v>
      </x:c>
      <x:c r="F2151" s="34" t="str">
        <x:v>BANK</x:v>
      </x:c>
      <x:c r="G2151" s="34" t="str">
        <x:v>مطالعه/منبع</x:v>
      </x:c>
      <x:c r="H2151" s="39" t="str">
        <x:v>عملکرد مجلس 11</x:v>
      </x:c>
      <x:c r="I2151" s="39" t="str">
        <x:v>بانک مطالعه؛ سقف زمانی</x:v>
      </x:c>
      <x:c r="J2151" s="39" t="str">
        <x:v>مدیر دانش/کیوریتور محتوا</x:v>
      </x:c>
      <x:c r="K2151" s="39" t="str"/>
      <x:c r="L2151" s="39" t="str">
        <x:v>AP:P278</x:v>
      </x:c>
      <x:c r="M2151" s="39" t="str"/>
      <x:c r="N2151" s="39" t="str">
        <x:v>نسخه پایه ۳۱۵۰</x:v>
      </x:c>
    </x:row>
    <x:row r="2152" ht="34" customHeight="1">
      <x:c r="A2152" s="34" t="str">
        <x:v>☐</x:v>
      </x:c>
      <x:c r="B2152" s="34" t="str">
        <x:v>MI-0496</x:v>
      </x:c>
      <x:c r="C2152" s="34" t="str">
        <x:v>M5 — دانش، فرهنگ، حکمرانی و بانک مطالعاتی</x:v>
      </x:c>
      <x:c r="D2152" s="34" t="str">
        <x:v>H18</x:v>
      </x:c>
      <x:c r="E2152" s="34" t="str">
        <x:v>بانک مطالعه، منابع و موضوعات کنجکاوی</x:v>
      </x:c>
      <x:c r="F2152" s="34" t="str">
        <x:v>BANK</x:v>
      </x:c>
      <x:c r="G2152" s="34" t="str">
        <x:v>مطالعه/منبع</x:v>
      </x:c>
      <x:c r="H2152" s="39" t="str">
        <x:v>underingvoice واردات - قاچاق</x:v>
      </x:c>
      <x:c r="I2152" s="39" t="str">
        <x:v>بانک مطالعه؛ سقف زمانی</x:v>
      </x:c>
      <x:c r="J2152" s="39" t="str">
        <x:v>مدیر دانش/کیوریتور محتوا</x:v>
      </x:c>
      <x:c r="K2152" s="39" t="str"/>
      <x:c r="L2152" s="39" t="str">
        <x:v>AP:P281</x:v>
      </x:c>
      <x:c r="M2152" s="39" t="str"/>
      <x:c r="N2152" s="39" t="str">
        <x:v>نسخه پایه ۳۱۵۰</x:v>
      </x:c>
    </x:row>
    <x:row r="2153" ht="34" customHeight="1">
      <x:c r="A2153" s="34" t="str">
        <x:v>☐</x:v>
      </x:c>
      <x:c r="B2153" s="34" t="str">
        <x:v>MI-0497</x:v>
      </x:c>
      <x:c r="C2153" s="34" t="str">
        <x:v>M5 — دانش، فرهنگ، حکمرانی و بانک مطالعاتی</x:v>
      </x:c>
      <x:c r="D2153" s="34" t="str">
        <x:v>H18</x:v>
      </x:c>
      <x:c r="E2153" s="34" t="str">
        <x:v>بانک مطالعه، منابع و موضوعات کنجکاوی</x:v>
      </x:c>
      <x:c r="F2153" s="34" t="str">
        <x:v>BANK</x:v>
      </x:c>
      <x:c r="G2153" s="34" t="str">
        <x:v>مطالعه/منبع</x:v>
      </x:c>
      <x:c r="H2153" s="39" t="str">
        <x:v>GDP</x:v>
      </x:c>
      <x:c r="I2153" s="39" t="str">
        <x:v>بانک مطالعه؛ سقف زمانی</x:v>
      </x:c>
      <x:c r="J2153" s="39" t="str">
        <x:v>مدیر دانش/کیوریتور محتوا</x:v>
      </x:c>
      <x:c r="K2153" s="39" t="str"/>
      <x:c r="L2153" s="39" t="str">
        <x:v>AP:P282</x:v>
      </x:c>
      <x:c r="M2153" s="39" t="str"/>
      <x:c r="N2153" s="39" t="str">
        <x:v>نسخه پایه ۳۱۵۰</x:v>
      </x:c>
    </x:row>
    <x:row r="2154" ht="34" customHeight="1">
      <x:c r="A2154" s="34" t="str">
        <x:v>☐</x:v>
      </x:c>
      <x:c r="B2154" s="34" t="str">
        <x:v>MI-0498</x:v>
      </x:c>
      <x:c r="C2154" s="34" t="str">
        <x:v>M5 — دانش، فرهنگ، حکمرانی و بانک مطالعاتی</x:v>
      </x:c>
      <x:c r="D2154" s="34" t="str">
        <x:v>H18</x:v>
      </x:c>
      <x:c r="E2154" s="34" t="str">
        <x:v>بانک مطالعه، منابع و موضوعات کنجکاوی</x:v>
      </x:c>
      <x:c r="F2154" s="34" t="str">
        <x:v>BANK</x:v>
      </x:c>
      <x:c r="G2154" s="34" t="str">
        <x:v>مطالعه/منبع</x:v>
      </x:c>
      <x:c r="H2154" s="39" t="str">
        <x:v>انحصار صداوسیما</x:v>
      </x:c>
      <x:c r="I2154" s="39" t="str">
        <x:v>بانک مطالعه؛ سقف زمانی</x:v>
      </x:c>
      <x:c r="J2154" s="39" t="str">
        <x:v>مدیر دانش/کیوریتور محتوا</x:v>
      </x:c>
      <x:c r="K2154" s="39" t="str"/>
      <x:c r="L2154" s="39" t="str">
        <x:v>AP:P283</x:v>
      </x:c>
      <x:c r="M2154" s="39" t="str"/>
      <x:c r="N2154" s="39" t="str">
        <x:v>نسخه پایه ۳۱۵۰</x:v>
      </x:c>
    </x:row>
    <x:row r="2155" ht="34" customHeight="1">
      <x:c r="A2155" s="34" t="str">
        <x:v>☐</x:v>
      </x:c>
      <x:c r="B2155" s="34" t="str">
        <x:v>MI-0499</x:v>
      </x:c>
      <x:c r="C2155" s="34" t="str">
        <x:v>M5 — دانش، فرهنگ، حکمرانی و بانک مطالعاتی</x:v>
      </x:c>
      <x:c r="D2155" s="34" t="str">
        <x:v>H18</x:v>
      </x:c>
      <x:c r="E2155" s="34" t="str">
        <x:v>بانک مطالعه، منابع و موضوعات کنجکاوی</x:v>
      </x:c>
      <x:c r="F2155" s="34" t="str">
        <x:v>BANK</x:v>
      </x:c>
      <x:c r="G2155" s="34" t="str">
        <x:v>مطالعه/منبع</x:v>
      </x:c>
      <x:c r="H2155" s="39" t="str">
        <x:v>سمپات</x:v>
      </x:c>
      <x:c r="I2155" s="39" t="str">
        <x:v>بانک مطالعه؛ سقف زمانی</x:v>
      </x:c>
      <x:c r="J2155" s="39" t="str">
        <x:v>مدیر دانش/کیوریتور محتوا</x:v>
      </x:c>
      <x:c r="K2155" s="39" t="str"/>
      <x:c r="L2155" s="39" t="str">
        <x:v>AP:P284</x:v>
      </x:c>
      <x:c r="M2155" s="39" t="str"/>
      <x:c r="N2155" s="39" t="str">
        <x:v>نسخه پایه ۳۱۵۰</x:v>
      </x:c>
    </x:row>
    <x:row r="2156" ht="34" customHeight="1">
      <x:c r="A2156" s="34" t="str">
        <x:v>☐</x:v>
      </x:c>
      <x:c r="B2156" s="34" t="str">
        <x:v>MI-0500</x:v>
      </x:c>
      <x:c r="C2156" s="34" t="str">
        <x:v>M5 — دانش، فرهنگ، حکمرانی و بانک مطالعاتی</x:v>
      </x:c>
      <x:c r="D2156" s="34" t="str">
        <x:v>H18</x:v>
      </x:c>
      <x:c r="E2156" s="34" t="str">
        <x:v>بانک مطالعه، منابع و موضوعات کنجکاوی</x:v>
      </x:c>
      <x:c r="F2156" s="34" t="str">
        <x:v>BANK</x:v>
      </x:c>
      <x:c r="G2156" s="34" t="str">
        <x:v>مطالعه/منبع</x:v>
      </x:c>
      <x:c r="H2156" s="39" t="str">
        <x:v>مسجد مزار</x:v>
      </x:c>
      <x:c r="I2156" s="39" t="str">
        <x:v>بانک مطالعه؛ سقف زمانی</x:v>
      </x:c>
      <x:c r="J2156" s="39" t="str">
        <x:v>مدیر دانش/کیوریتور محتوا</x:v>
      </x:c>
      <x:c r="K2156" s="39" t="str"/>
      <x:c r="L2156" s="39" t="str">
        <x:v>AP:P285</x:v>
      </x:c>
      <x:c r="M2156" s="39" t="str"/>
      <x:c r="N2156" s="39" t="str">
        <x:v>نسخه پایه ۳۱۵۰</x:v>
      </x:c>
    </x:row>
    <x:row r="2157" ht="34" customHeight="1">
      <x:c r="A2157" s="34" t="str">
        <x:v>☐</x:v>
      </x:c>
      <x:c r="B2157" s="34" t="str">
        <x:v>MI-0501</x:v>
      </x:c>
      <x:c r="C2157" s="34" t="str">
        <x:v>M5 — دانش، فرهنگ، حکمرانی و بانک مطالعاتی</x:v>
      </x:c>
      <x:c r="D2157" s="34" t="str">
        <x:v>H18</x:v>
      </x:c>
      <x:c r="E2157" s="34" t="str">
        <x:v>بانک مطالعه، منابع و موضوعات کنجکاوی</x:v>
      </x:c>
      <x:c r="F2157" s="34" t="str">
        <x:v>BANK</x:v>
      </x:c>
      <x:c r="G2157" s="34" t="str">
        <x:v>مطالعه/منبع</x:v>
      </x:c>
      <x:c r="H2157" s="39" t="str">
        <x:v>fact check - راستی آزمایی</x:v>
      </x:c>
      <x:c r="I2157" s="39" t="str">
        <x:v>بانک مطالعه؛ سقف زمانی</x:v>
      </x:c>
      <x:c r="J2157" s="39" t="str">
        <x:v>مدیر دانش/کیوریتور محتوا</x:v>
      </x:c>
      <x:c r="K2157" s="39" t="str"/>
      <x:c r="L2157" s="39" t="str">
        <x:v>AP:P286</x:v>
      </x:c>
      <x:c r="M2157" s="39" t="str"/>
      <x:c r="N2157" s="39" t="str">
        <x:v>نسخه پایه ۳۱۵۰</x:v>
      </x:c>
    </x:row>
    <x:row r="2158" ht="34" customHeight="1">
      <x:c r="A2158" s="34" t="str">
        <x:v>☐</x:v>
      </x:c>
      <x:c r="B2158" s="34" t="str">
        <x:v>MI-0502</x:v>
      </x:c>
      <x:c r="C2158" s="34" t="str">
        <x:v>M5 — دانش، فرهنگ، حکمرانی و بانک مطالعاتی</x:v>
      </x:c>
      <x:c r="D2158" s="34" t="str">
        <x:v>H18</x:v>
      </x:c>
      <x:c r="E2158" s="34" t="str">
        <x:v>بانک مطالعه، منابع و موضوعات کنجکاوی</x:v>
      </x:c>
      <x:c r="F2158" s="34" t="str">
        <x:v>BANK</x:v>
      </x:c>
      <x:c r="G2158" s="34" t="str">
        <x:v>مطالعه/منبع</x:v>
      </x:c>
      <x:c r="H2158" s="39" t="str">
        <x:v>مازیار ابراهیمی</x:v>
      </x:c>
      <x:c r="I2158" s="39" t="str">
        <x:v>بانک مطالعه؛ سقف زمانی</x:v>
      </x:c>
      <x:c r="J2158" s="39" t="str">
        <x:v>مدیر دانش/کیوریتور محتوا</x:v>
      </x:c>
      <x:c r="K2158" s="39" t="str"/>
      <x:c r="L2158" s="39" t="str">
        <x:v>AP:P287</x:v>
      </x:c>
      <x:c r="M2158" s="39" t="str"/>
      <x:c r="N2158" s="39" t="str">
        <x:v>نسخه پایه ۳۱۵۰</x:v>
      </x:c>
    </x:row>
    <x:row r="2159" ht="34" customHeight="1">
      <x:c r="A2159" s="34" t="str">
        <x:v>☐</x:v>
      </x:c>
      <x:c r="B2159" s="34" t="str">
        <x:v>MI-0503</x:v>
      </x:c>
      <x:c r="C2159" s="34" t="str">
        <x:v>M5 — دانش، فرهنگ، حکمرانی و بانک مطالعاتی</x:v>
      </x:c>
      <x:c r="D2159" s="34" t="str">
        <x:v>H18</x:v>
      </x:c>
      <x:c r="E2159" s="34" t="str">
        <x:v>بانک مطالعه، منابع و موضوعات کنجکاوی</x:v>
      </x:c>
      <x:c r="F2159" s="34" t="str">
        <x:v>BANK</x:v>
      </x:c>
      <x:c r="G2159" s="34" t="str">
        <x:v>مطالعه/منبع</x:v>
      </x:c>
      <x:c r="H2159" s="39" t="str">
        <x:v>انسان رسانه</x:v>
      </x:c>
      <x:c r="I2159" s="39" t="str">
        <x:v>بانک مطالعه؛ سقف زمانی</x:v>
      </x:c>
      <x:c r="J2159" s="39" t="str">
        <x:v>مدیر دانش/کیوریتور محتوا</x:v>
      </x:c>
      <x:c r="K2159" s="39" t="str"/>
      <x:c r="L2159" s="39" t="str">
        <x:v>AP:P288</x:v>
      </x:c>
      <x:c r="M2159" s="39" t="str"/>
      <x:c r="N2159" s="39" t="str">
        <x:v>نسخه پایه ۳۱۵۰</x:v>
      </x:c>
    </x:row>
    <x:row r="2160" ht="34" customHeight="1">
      <x:c r="A2160" s="34" t="str">
        <x:v>☐</x:v>
      </x:c>
      <x:c r="B2160" s="34" t="str">
        <x:v>MI-0505</x:v>
      </x:c>
      <x:c r="C2160" s="34" t="str">
        <x:v>M5 — دانش، فرهنگ، حکمرانی و بانک مطالعاتی</x:v>
      </x:c>
      <x:c r="D2160" s="34" t="str">
        <x:v>H18</x:v>
      </x:c>
      <x:c r="E2160" s="34" t="str">
        <x:v>بانک مطالعه، منابع و موضوعات کنجکاوی</x:v>
      </x:c>
      <x:c r="F2160" s="34" t="str">
        <x:v>BANK</x:v>
      </x:c>
      <x:c r="G2160" s="34" t="str">
        <x:v>مطالعه/منبع</x:v>
      </x:c>
      <x:c r="H2160" s="39" t="str">
        <x:v>سجده شکر حضرت آقا برای انتخاب خاتمی</x:v>
      </x:c>
      <x:c r="I2160" s="39" t="str">
        <x:v>بانک مطالعه؛ سقف زمانی</x:v>
      </x:c>
      <x:c r="J2160" s="39" t="str">
        <x:v>مدیر دانش/کیوریتور محتوا</x:v>
      </x:c>
      <x:c r="K2160" s="39" t="str"/>
      <x:c r="L2160" s="39" t="str">
        <x:v>AP:P291</x:v>
      </x:c>
      <x:c r="M2160" s="39" t="str"/>
      <x:c r="N2160" s="39" t="str">
        <x:v>نسخه پایه ۳۱۵۰</x:v>
      </x:c>
    </x:row>
    <x:row r="2161" ht="34" customHeight="1">
      <x:c r="A2161" s="34" t="str">
        <x:v>☐</x:v>
      </x:c>
      <x:c r="B2161" s="34" t="str">
        <x:v>MI-0506</x:v>
      </x:c>
      <x:c r="C2161" s="34" t="str">
        <x:v>M5 — دانش، فرهنگ، حکمرانی و بانک مطالعاتی</x:v>
      </x:c>
      <x:c r="D2161" s="34" t="str">
        <x:v>H18</x:v>
      </x:c>
      <x:c r="E2161" s="34" t="str">
        <x:v>بانک مطالعه، منابع و موضوعات کنجکاوی</x:v>
      </x:c>
      <x:c r="F2161" s="34" t="str">
        <x:v>BANK</x:v>
      </x:c>
      <x:c r="G2161" s="34" t="str">
        <x:v>مطالعه/منبع</x:v>
      </x:c>
      <x:c r="H2161" s="39" t="str">
        <x:v>علی اکبر سیف - روان شناسی پرورشی نوین (نشر دوران)</x:v>
      </x:c>
      <x:c r="I2161" s="39" t="str">
        <x:v>بانک مطالعه؛ سقف زمانی</x:v>
      </x:c>
      <x:c r="J2161" s="39" t="str">
        <x:v>مدیر دانش/کیوریتور محتوا</x:v>
      </x:c>
      <x:c r="K2161" s="39" t="str"/>
      <x:c r="L2161" s="39" t="str">
        <x:v>AP:P292</x:v>
      </x:c>
      <x:c r="M2161" s="39" t="str"/>
      <x:c r="N2161" s="39" t="str">
        <x:v>نسخه پایه ۳۱۵۰</x:v>
      </x:c>
    </x:row>
    <x:row r="2162" ht="34" customHeight="1">
      <x:c r="A2162" s="34" t="str">
        <x:v>☐</x:v>
      </x:c>
      <x:c r="B2162" s="34" t="str">
        <x:v>MI-0507</x:v>
      </x:c>
      <x:c r="C2162" s="34" t="str">
        <x:v>M5 — دانش، فرهنگ، حکمرانی و بانک مطالعاتی</x:v>
      </x:c>
      <x:c r="D2162" s="34" t="str">
        <x:v>H18</x:v>
      </x:c>
      <x:c r="E2162" s="34" t="str">
        <x:v>بانک مطالعه، منابع و موضوعات کنجکاوی</x:v>
      </x:c>
      <x:c r="F2162" s="34" t="str">
        <x:v>BANK</x:v>
      </x:c>
      <x:c r="G2162" s="34" t="str">
        <x:v>مطالعه/منبع</x:v>
      </x:c>
      <x:c r="H2162" s="39" t="str">
        <x:v>یارانه</x:v>
      </x:c>
      <x:c r="I2162" s="39" t="str">
        <x:v>بانک مطالعه؛ سقف زمانی</x:v>
      </x:c>
      <x:c r="J2162" s="39" t="str">
        <x:v>مدیر دانش/کیوریتور محتوا</x:v>
      </x:c>
      <x:c r="K2162" s="39" t="str"/>
      <x:c r="L2162" s="39" t="str">
        <x:v>AP:P293</x:v>
      </x:c>
      <x:c r="M2162" s="39" t="str"/>
      <x:c r="N2162" s="39" t="str">
        <x:v>نسخه پایه ۳۱۵۰</x:v>
      </x:c>
    </x:row>
    <x:row r="2163" ht="34" customHeight="1">
      <x:c r="A2163" s="34" t="str">
        <x:v>☐</x:v>
      </x:c>
      <x:c r="B2163" s="34" t="str">
        <x:v>MI-0509</x:v>
      </x:c>
      <x:c r="C2163" s="34" t="str">
        <x:v>M5 — دانش، فرهنگ، حکمرانی و بانک مطالعاتی</x:v>
      </x:c>
      <x:c r="D2163" s="34" t="str">
        <x:v>H18</x:v>
      </x:c>
      <x:c r="E2163" s="34" t="str">
        <x:v>بانک مطالعه، منابع و موضوعات کنجکاوی</x:v>
      </x:c>
      <x:c r="F2163" s="34" t="str">
        <x:v>BANK</x:v>
      </x:c>
      <x:c r="G2163" s="34" t="str">
        <x:v>مطالعه/منبع</x:v>
      </x:c>
      <x:c r="H2163" s="39" t="str">
        <x:v>مستند شورش علیه سازندگی</x:v>
      </x:c>
      <x:c r="I2163" s="39" t="str">
        <x:v>بانک مطالعه؛ سقف زمانی</x:v>
      </x:c>
      <x:c r="J2163" s="39" t="str">
        <x:v>مدیر دانش/کیوریتور محتوا</x:v>
      </x:c>
      <x:c r="K2163" s="39" t="str"/>
      <x:c r="L2163" s="39" t="str">
        <x:v>AP:P295</x:v>
      </x:c>
      <x:c r="M2163" s="39" t="str"/>
      <x:c r="N2163" s="39" t="str">
        <x:v>نسخه پایه ۳۱۵۰</x:v>
      </x:c>
    </x:row>
    <x:row r="2164" ht="34" customHeight="1">
      <x:c r="A2164" s="34" t="str">
        <x:v>☐</x:v>
      </x:c>
      <x:c r="B2164" s="34" t="str">
        <x:v>MI-0511</x:v>
      </x:c>
      <x:c r="C2164" s="34" t="str">
        <x:v>M5 — دانش، فرهنگ، حکمرانی و بانک مطالعاتی</x:v>
      </x:c>
      <x:c r="D2164" s="34" t="str">
        <x:v>H18</x:v>
      </x:c>
      <x:c r="E2164" s="34" t="str">
        <x:v>بانک مطالعه، منابع و موضوعات کنجکاوی</x:v>
      </x:c>
      <x:c r="F2164" s="34" t="str">
        <x:v>BANK</x:v>
      </x:c>
      <x:c r="G2164" s="34" t="str">
        <x:v>مطالعه/منبع</x:v>
      </x:c>
      <x:c r="H2164" s="39" t="str">
        <x:v>سیاست تعدیل</x:v>
      </x:c>
      <x:c r="I2164" s="39" t="str">
        <x:v>بانک مطالعه؛ سقف زمانی</x:v>
      </x:c>
      <x:c r="J2164" s="39" t="str">
        <x:v>مدیر دانش/کیوریتور محتوا</x:v>
      </x:c>
      <x:c r="K2164" s="39" t="str"/>
      <x:c r="L2164" s="39" t="str">
        <x:v>AP:P297</x:v>
      </x:c>
      <x:c r="M2164" s="39" t="str"/>
      <x:c r="N2164" s="39" t="str">
        <x:v>نسخه پایه ۳۱۵۰</x:v>
      </x:c>
    </x:row>
    <x:row r="2165" ht="34" customHeight="1">
      <x:c r="A2165" s="34" t="str">
        <x:v>☐</x:v>
      </x:c>
      <x:c r="B2165" s="34" t="str">
        <x:v>MI-0513</x:v>
      </x:c>
      <x:c r="C2165" s="34" t="str">
        <x:v>M5 — دانش، فرهنگ، حکمرانی و بانک مطالعاتی</x:v>
      </x:c>
      <x:c r="D2165" s="34" t="str">
        <x:v>H18</x:v>
      </x:c>
      <x:c r="E2165" s="34" t="str">
        <x:v>بانک مطالعه، منابع و موضوعات کنجکاوی</x:v>
      </x:c>
      <x:c r="F2165" s="34" t="str">
        <x:v>BANK</x:v>
      </x:c>
      <x:c r="G2165" s="34" t="str">
        <x:v>مطالعه/منبع</x:v>
      </x:c>
      <x:c r="H2165" s="39" t="str">
        <x:v>مدنی زاده</x:v>
      </x:c>
      <x:c r="I2165" s="39" t="str">
        <x:v>بانک مطالعه؛ سقف زمانی</x:v>
      </x:c>
      <x:c r="J2165" s="39" t="str">
        <x:v>مدیر دانش/کیوریتور محتوا</x:v>
      </x:c>
      <x:c r="K2165" s="39" t="str"/>
      <x:c r="L2165" s="39" t="str">
        <x:v>AP:P299</x:v>
      </x:c>
      <x:c r="M2165" s="39" t="str"/>
      <x:c r="N2165" s="39" t="str">
        <x:v>نسخه پایه ۳۱۵۰</x:v>
      </x:c>
    </x:row>
    <x:row r="2166" ht="34" customHeight="1">
      <x:c r="A2166" s="34" t="str">
        <x:v>☐</x:v>
      </x:c>
      <x:c r="B2166" s="34" t="str">
        <x:v>MI-0514</x:v>
      </x:c>
      <x:c r="C2166" s="34" t="str">
        <x:v>M5 — دانش، فرهنگ، حکمرانی و بانک مطالعاتی</x:v>
      </x:c>
      <x:c r="D2166" s="34" t="str">
        <x:v>H18</x:v>
      </x:c>
      <x:c r="E2166" s="34" t="str">
        <x:v>بانک مطالعه، منابع و موضوعات کنجکاوی</x:v>
      </x:c>
      <x:c r="F2166" s="34" t="str">
        <x:v>BANK</x:v>
      </x:c>
      <x:c r="G2166" s="34" t="str">
        <x:v>مطالعه/منبع</x:v>
      </x:c>
      <x:c r="H2166" s="39" t="str">
        <x:v>کتاب هنر تحریم</x:v>
      </x:c>
      <x:c r="I2166" s="39" t="str">
        <x:v>بانک مطالعه؛ سقف زمانی</x:v>
      </x:c>
      <x:c r="J2166" s="39" t="str">
        <x:v>مدیر دانش/کیوریتور محتوا</x:v>
      </x:c>
      <x:c r="K2166" s="39" t="str"/>
      <x:c r="L2166" s="39" t="str">
        <x:v>AP:P300</x:v>
      </x:c>
      <x:c r="M2166" s="39" t="str"/>
      <x:c r="N2166" s="39" t="str">
        <x:v>نسخه پایه ۳۱۵۰</x:v>
      </x:c>
    </x:row>
    <x:row r="2167" ht="34" customHeight="1">
      <x:c r="A2167" s="34" t="str">
        <x:v>☐</x:v>
      </x:c>
      <x:c r="B2167" s="34" t="str">
        <x:v>MI-0515</x:v>
      </x:c>
      <x:c r="C2167" s="34" t="str">
        <x:v>M5 — دانش، فرهنگ، حکمرانی و بانک مطالعاتی</x:v>
      </x:c>
      <x:c r="D2167" s="34" t="str">
        <x:v>H18</x:v>
      </x:c>
      <x:c r="E2167" s="34" t="str">
        <x:v>بانک مطالعه، منابع و موضوعات کنجکاوی</x:v>
      </x:c>
      <x:c r="F2167" s="34" t="str">
        <x:v>BANK</x:v>
      </x:c>
      <x:c r="G2167" s="34" t="str">
        <x:v>مطالعه/منبع</x:v>
      </x:c>
      <x:c r="H2167" s="39" t="str">
        <x:v>مصاحبه علی افشاری</x:v>
      </x:c>
      <x:c r="I2167" s="39" t="str">
        <x:v>بانک مطالعه؛ سقف زمانی</x:v>
      </x:c>
      <x:c r="J2167" s="39" t="str">
        <x:v>مدیر دانش/کیوریتور محتوا</x:v>
      </x:c>
      <x:c r="K2167" s="39" t="str"/>
      <x:c r="L2167" s="39" t="str">
        <x:v>AP:P301</x:v>
      </x:c>
      <x:c r="M2167" s="39" t="str"/>
      <x:c r="N2167" s="39" t="str">
        <x:v>نسخه پایه ۳۱۵۰</x:v>
      </x:c>
    </x:row>
    <x:row r="2168" ht="34" customHeight="1">
      <x:c r="A2168" s="34" t="str">
        <x:v>☐</x:v>
      </x:c>
      <x:c r="B2168" s="34" t="str">
        <x:v>MI-0516</x:v>
      </x:c>
      <x:c r="C2168" s="34" t="str">
        <x:v>M5 — دانش، فرهنگ، حکمرانی و بانک مطالعاتی</x:v>
      </x:c>
      <x:c r="D2168" s="34" t="str">
        <x:v>H18</x:v>
      </x:c>
      <x:c r="E2168" s="34" t="str">
        <x:v>بانک مطالعه، منابع و موضوعات کنجکاوی</x:v>
      </x:c>
      <x:c r="F2168" s="34" t="str">
        <x:v>BANK</x:v>
      </x:c>
      <x:c r="G2168" s="34" t="str">
        <x:v>مطالعه/منبع</x:v>
      </x:c>
      <x:c r="H2168" s="39" t="str">
        <x:v>استراتژی pay what you want</x:v>
      </x:c>
      <x:c r="I2168" s="39" t="str">
        <x:v>بانک مطالعه؛ سقف زمانی</x:v>
      </x:c>
      <x:c r="J2168" s="39" t="str">
        <x:v>مدیر دانش/کیوریتور محتوا</x:v>
      </x:c>
      <x:c r="K2168" s="39" t="str"/>
      <x:c r="L2168" s="39" t="str">
        <x:v>AP:P302</x:v>
      </x:c>
      <x:c r="M2168" s="39" t="str"/>
      <x:c r="N2168" s="39" t="str">
        <x:v>نسخه پایه ۳۱۵۰</x:v>
      </x:c>
    </x:row>
    <x:row r="2169" ht="34" customHeight="1">
      <x:c r="A2169" s="34" t="str">
        <x:v>☐</x:v>
      </x:c>
      <x:c r="B2169" s="34" t="str">
        <x:v>MI-0517</x:v>
      </x:c>
      <x:c r="C2169" s="34" t="str">
        <x:v>M5 — دانش، فرهنگ، حکمرانی و بانک مطالعاتی</x:v>
      </x:c>
      <x:c r="D2169" s="34" t="str">
        <x:v>H18</x:v>
      </x:c>
      <x:c r="E2169" s="34" t="str">
        <x:v>بانک مطالعه، منابع و موضوعات کنجکاوی</x:v>
      </x:c>
      <x:c r="F2169" s="34" t="str">
        <x:v>BANK</x:v>
      </x:c>
      <x:c r="G2169" s="34" t="str">
        <x:v>مطالعه/منبع</x:v>
      </x:c>
      <x:c r="H2169" s="39" t="str">
        <x:v>دلاریزه بودن اقتصاد</x:v>
      </x:c>
      <x:c r="I2169" s="39" t="str">
        <x:v>بانک مطالعه؛ سقف زمانی</x:v>
      </x:c>
      <x:c r="J2169" s="39" t="str">
        <x:v>مدیر دانش/کیوریتور محتوا</x:v>
      </x:c>
      <x:c r="K2169" s="39" t="str"/>
      <x:c r="L2169" s="39" t="str">
        <x:v>AP:P303</x:v>
      </x:c>
      <x:c r="M2169" s="39" t="str"/>
      <x:c r="N2169" s="39" t="str">
        <x:v>نسخه پایه ۳۱۵۰</x:v>
      </x:c>
    </x:row>
    <x:row r="2170" ht="34" customHeight="1">
      <x:c r="A2170" s="34" t="str">
        <x:v>☐</x:v>
      </x:c>
      <x:c r="B2170" s="34" t="str">
        <x:v>MI-0518</x:v>
      </x:c>
      <x:c r="C2170" s="34" t="str">
        <x:v>M5 — دانش، فرهنگ، حکمرانی و بانک مطالعاتی</x:v>
      </x:c>
      <x:c r="D2170" s="34" t="str">
        <x:v>H18</x:v>
      </x:c>
      <x:c r="E2170" s="34" t="str">
        <x:v>بانک مطالعه، منابع و موضوعات کنجکاوی</x:v>
      </x:c>
      <x:c r="F2170" s="34" t="str">
        <x:v>BANK</x:v>
      </x:c>
      <x:c r="G2170" s="34" t="str">
        <x:v>مطالعه/منبع</x:v>
      </x:c>
      <x:c r="H2170" s="39" t="str">
        <x:v>کارتل</x:v>
      </x:c>
      <x:c r="I2170" s="39" t="str">
        <x:v>بانک مطالعه؛ سقف زمانی</x:v>
      </x:c>
      <x:c r="J2170" s="39" t="str">
        <x:v>مدیر دانش/کیوریتور محتوا</x:v>
      </x:c>
      <x:c r="K2170" s="39" t="str"/>
      <x:c r="L2170" s="39" t="str">
        <x:v>AP:P304</x:v>
      </x:c>
      <x:c r="M2170" s="39" t="str"/>
      <x:c r="N2170" s="39" t="str">
        <x:v>نسخه پایه ۳۱۵۰</x:v>
      </x:c>
    </x:row>
    <x:row r="2171" ht="34" customHeight="1">
      <x:c r="A2171" s="34" t="str">
        <x:v>☐</x:v>
      </x:c>
      <x:c r="B2171" s="34" t="str">
        <x:v>MI-0519</x:v>
      </x:c>
      <x:c r="C2171" s="34" t="str">
        <x:v>M5 — دانش، فرهنگ، حکمرانی و بانک مطالعاتی</x:v>
      </x:c>
      <x:c r="D2171" s="34" t="str">
        <x:v>H18</x:v>
      </x:c>
      <x:c r="E2171" s="34" t="str">
        <x:v>بانک مطالعه، منابع و موضوعات کنجکاوی</x:v>
      </x:c>
      <x:c r="F2171" s="34" t="str">
        <x:v>BANK</x:v>
      </x:c>
      <x:c r="G2171" s="34" t="str">
        <x:v>مطالعه/منبع</x:v>
      </x:c>
      <x:c r="H2171" s="39" t="str">
        <x:v>اسکالرشیپ</x:v>
      </x:c>
      <x:c r="I2171" s="39" t="str">
        <x:v>بانک مطالعه؛ سقف زمانی</x:v>
      </x:c>
      <x:c r="J2171" s="39" t="str">
        <x:v>مدیر دانش/کیوریتور محتوا</x:v>
      </x:c>
      <x:c r="K2171" s="39" t="str"/>
      <x:c r="L2171" s="39" t="str">
        <x:v>AP:P305</x:v>
      </x:c>
      <x:c r="M2171" s="39" t="str"/>
      <x:c r="N2171" s="39" t="str">
        <x:v>نسخه پایه ۳۱۵۰</x:v>
      </x:c>
    </x:row>
    <x:row r="2172" ht="34" customHeight="1">
      <x:c r="A2172" s="34" t="str">
        <x:v>☐</x:v>
      </x:c>
      <x:c r="B2172" s="34" t="str">
        <x:v>MI-0521</x:v>
      </x:c>
      <x:c r="C2172" s="34" t="str">
        <x:v>M5 — دانش، فرهنگ، حکمرانی و بانک مطالعاتی</x:v>
      </x:c>
      <x:c r="D2172" s="34" t="str">
        <x:v>H18</x:v>
      </x:c>
      <x:c r="E2172" s="34" t="str">
        <x:v>بانک مطالعه، منابع و موضوعات کنجکاوی</x:v>
      </x:c>
      <x:c r="F2172" s="34" t="str">
        <x:v>BANK</x:v>
      </x:c>
      <x:c r="G2172" s="34" t="str">
        <x:v>مطالعه/منبع</x:v>
      </x:c>
      <x:c r="H2172" s="39" t="str">
        <x:v>حواشی مجلس ششم</x:v>
      </x:c>
      <x:c r="I2172" s="39" t="str">
        <x:v>بانک مطالعه؛ سقف زمانی</x:v>
      </x:c>
      <x:c r="J2172" s="39" t="str">
        <x:v>مدیر دانش/کیوریتور محتوا</x:v>
      </x:c>
      <x:c r="K2172" s="39" t="str"/>
      <x:c r="L2172" s="39" t="str">
        <x:v>AP:P307</x:v>
      </x:c>
      <x:c r="M2172" s="39" t="str"/>
      <x:c r="N2172" s="39" t="str">
        <x:v>نسخه پایه ۳۱۵۰</x:v>
      </x:c>
    </x:row>
    <x:row r="2173" ht="34" customHeight="1">
      <x:c r="A2173" s="34" t="str">
        <x:v>☐</x:v>
      </x:c>
      <x:c r="B2173" s="34" t="str">
        <x:v>MI-0522</x:v>
      </x:c>
      <x:c r="C2173" s="34" t="str">
        <x:v>M5 — دانش، فرهنگ، حکمرانی و بانک مطالعاتی</x:v>
      </x:c>
      <x:c r="D2173" s="34" t="str">
        <x:v>H18</x:v>
      </x:c>
      <x:c r="E2173" s="34" t="str">
        <x:v>بانک مطالعه، منابع و موضوعات کنجکاوی</x:v>
      </x:c>
      <x:c r="F2173" s="34" t="str">
        <x:v>BANK</x:v>
      </x:c>
      <x:c r="G2173" s="34" t="str">
        <x:v>مطالعه/منبع</x:v>
      </x:c>
      <x:c r="H2173" s="39" t="str">
        <x:v>قطعنامه 2030 - 598</x:v>
      </x:c>
      <x:c r="I2173" s="39" t="str">
        <x:v>بانک مطالعه؛ سقف زمانی</x:v>
      </x:c>
      <x:c r="J2173" s="39" t="str">
        <x:v>مدیر دانش/کیوریتور محتوا</x:v>
      </x:c>
      <x:c r="K2173" s="39" t="str"/>
      <x:c r="L2173" s="39" t="str">
        <x:v>AP:P308</x:v>
      </x:c>
      <x:c r="M2173" s="39" t="str"/>
      <x:c r="N2173" s="39" t="str">
        <x:v>نسخه پایه ۳۱۵۰</x:v>
      </x:c>
    </x:row>
    <x:row r="2174" ht="34" customHeight="1">
      <x:c r="A2174" s="34" t="str">
        <x:v>☐</x:v>
      </x:c>
      <x:c r="B2174" s="34" t="str">
        <x:v>MI-0523</x:v>
      </x:c>
      <x:c r="C2174" s="34" t="str">
        <x:v>M5 — دانش، فرهنگ، حکمرانی و بانک مطالعاتی</x:v>
      </x:c>
      <x:c r="D2174" s="34" t="str">
        <x:v>H18</x:v>
      </x:c>
      <x:c r="E2174" s="34" t="str">
        <x:v>بانک مطالعه، منابع و موضوعات کنجکاوی</x:v>
      </x:c>
      <x:c r="F2174" s="34" t="str">
        <x:v>BANK</x:v>
      </x:c>
      <x:c r="G2174" s="34" t="str">
        <x:v>مطالعه/منبع</x:v>
      </x:c>
      <x:c r="H2174" s="39" t="str">
        <x:v>فلسطین باید آپارتایت زدایی بشه</x:v>
      </x:c>
      <x:c r="I2174" s="39" t="str">
        <x:v>بانک مطالعه؛ سقف زمانی</x:v>
      </x:c>
      <x:c r="J2174" s="39" t="str">
        <x:v>مدیر دانش/کیوریتور محتوا</x:v>
      </x:c>
      <x:c r="K2174" s="39" t="str"/>
      <x:c r="L2174" s="39" t="str">
        <x:v>AP:P309</x:v>
      </x:c>
      <x:c r="M2174" s="39" t="str"/>
      <x:c r="N2174" s="39" t="str">
        <x:v>نسخه پایه ۳۱۵۰</x:v>
      </x:c>
    </x:row>
    <x:row r="2175" ht="34" customHeight="1">
      <x:c r="A2175" s="34" t="str">
        <x:v>☐</x:v>
      </x:c>
      <x:c r="B2175" s="34" t="str">
        <x:v>MI-0539</x:v>
      </x:c>
      <x:c r="C2175" s="34" t="str">
        <x:v>M5 — دانش، فرهنگ، حکمرانی و بانک مطالعاتی</x:v>
      </x:c>
      <x:c r="D2175" s="34" t="str">
        <x:v>H18</x:v>
      </x:c>
      <x:c r="E2175" s="34" t="str">
        <x:v>بانک مطالعه، منابع و موضوعات کنجکاوی</x:v>
      </x:c>
      <x:c r="F2175" s="34" t="str">
        <x:v>BANK</x:v>
      </x:c>
      <x:c r="G2175" s="34" t="str">
        <x:v>مطالعه/منبع</x:v>
      </x:c>
      <x:c r="H2175" s="39" t="str">
        <x:v>مقاله</x:v>
      </x:c>
      <x:c r="I2175" s="39" t="str">
        <x:v>بانک مطالعه؛ سقف زمانی</x:v>
      </x:c>
      <x:c r="J2175" s="39" t="str">
        <x:v>مدیر دانش/کیوریتور محتوا</x:v>
      </x:c>
      <x:c r="K2175" s="39" t="str"/>
      <x:c r="L2175" s="39" t="str">
        <x:v>AP:P325</x:v>
      </x:c>
      <x:c r="M2175" s="39" t="str"/>
      <x:c r="N2175" s="39" t="str">
        <x:v>نسخه پایه ۳۱۵۰</x:v>
      </x:c>
    </x:row>
    <x:row r="2176" ht="34" customHeight="1">
      <x:c r="A2176" s="34" t="str">
        <x:v>☐</x:v>
      </x:c>
      <x:c r="B2176" s="34" t="str">
        <x:v>MI-0540</x:v>
      </x:c>
      <x:c r="C2176" s="34" t="str">
        <x:v>M5 — دانش، فرهنگ، حکمرانی و بانک مطالعاتی</x:v>
      </x:c>
      <x:c r="D2176" s="34" t="str">
        <x:v>H18</x:v>
      </x:c>
      <x:c r="E2176" s="34" t="str">
        <x:v>بانک مطالعه، منابع و موضوعات کنجکاوی</x:v>
      </x:c>
      <x:c r="F2176" s="34" t="str">
        <x:v>BANK</x:v>
      </x:c>
      <x:c r="G2176" s="34" t="str">
        <x:v>مطالعه/منبع</x:v>
      </x:c>
      <x:c r="H2176" s="39" t="str">
        <x:v>محمدرضا رجبی و مقاله</x:v>
      </x:c>
      <x:c r="I2176" s="39" t="str">
        <x:v>بانک مطالعه؛ سقف زمانی</x:v>
      </x:c>
      <x:c r="J2176" s="39" t="str">
        <x:v>مدیر دانش/کیوریتور محتوا</x:v>
      </x:c>
      <x:c r="K2176" s="39" t="str"/>
      <x:c r="L2176" s="39" t="str">
        <x:v>AP:P326</x:v>
      </x:c>
      <x:c r="M2176" s="39" t="str"/>
      <x:c r="N2176" s="39" t="str">
        <x:v>نسخه پایه ۳۱۵۰</x:v>
      </x:c>
    </x:row>
    <x:row r="2177" ht="34" customHeight="1">
      <x:c r="A2177" s="34" t="str">
        <x:v>☐</x:v>
      </x:c>
      <x:c r="B2177" s="34" t="str">
        <x:v>MI-0545</x:v>
      </x:c>
      <x:c r="C2177" s="34" t="str">
        <x:v>M5 — دانش، فرهنگ، حکمرانی و بانک مطالعاتی</x:v>
      </x:c>
      <x:c r="D2177" s="34" t="str">
        <x:v>H18</x:v>
      </x:c>
      <x:c r="E2177" s="34" t="str">
        <x:v>بانک مطالعه، منابع و موضوعات کنجکاوی</x:v>
      </x:c>
      <x:c r="F2177" s="34" t="str">
        <x:v>BANK</x:v>
      </x:c>
      <x:c r="G2177" s="34" t="str">
        <x:v>مطالعه/منبع</x:v>
      </x:c>
      <x:c r="H2177" s="39" t="str">
        <x:v>cibilica</x:v>
      </x:c>
      <x:c r="I2177" s="39" t="str">
        <x:v>بانک مطالعه؛ سقف زمانی</x:v>
      </x:c>
      <x:c r="J2177" s="39" t="str">
        <x:v>مدیر دانش/کیوریتور محتوا</x:v>
      </x:c>
      <x:c r="K2177" s="39" t="str"/>
      <x:c r="L2177" s="39" t="str">
        <x:v>AP:P331</x:v>
      </x:c>
      <x:c r="M2177" s="39" t="str"/>
      <x:c r="N2177" s="39" t="str">
        <x:v>نسخه پایه ۳۱۵۰</x:v>
      </x:c>
    </x:row>
    <x:row r="2178" ht="34" customHeight="1">
      <x:c r="A2178" s="34" t="str">
        <x:v>☐</x:v>
      </x:c>
      <x:c r="B2178" s="34" t="str">
        <x:v>MI-0546</x:v>
      </x:c>
      <x:c r="C2178" s="34" t="str">
        <x:v>M5 — دانش، فرهنگ، حکمرانی و بانک مطالعاتی</x:v>
      </x:c>
      <x:c r="D2178" s="34" t="str">
        <x:v>H18</x:v>
      </x:c>
      <x:c r="E2178" s="34" t="str">
        <x:v>بانک مطالعه، منابع و موضوعات کنجکاوی</x:v>
      </x:c>
      <x:c r="F2178" s="34" t="str">
        <x:v>BANK</x:v>
      </x:c>
      <x:c r="G2178" s="34" t="str">
        <x:v>مطالعه/منبع</x:v>
      </x:c>
      <x:c r="H2178" s="39" t="str">
        <x:v>google scolar</x:v>
      </x:c>
      <x:c r="I2178" s="39" t="str">
        <x:v>بانک مطالعه؛ سقف زمانی</x:v>
      </x:c>
      <x:c r="J2178" s="39" t="str">
        <x:v>مدیر دانش/کیوریتور محتوا</x:v>
      </x:c>
      <x:c r="K2178" s="39" t="str"/>
      <x:c r="L2178" s="39" t="str">
        <x:v>AP:P332</x:v>
      </x:c>
      <x:c r="M2178" s="39" t="str"/>
      <x:c r="N2178" s="39" t="str">
        <x:v>نسخه پایه ۳۱۵۰</x:v>
      </x:c>
    </x:row>
    <x:row r="2179" ht="34" customHeight="1">
      <x:c r="A2179" s="34" t="str">
        <x:v>☐</x:v>
      </x:c>
      <x:c r="B2179" s="34" t="str">
        <x:v>MI-0547</x:v>
      </x:c>
      <x:c r="C2179" s="34" t="str">
        <x:v>M5 — دانش، فرهنگ، حکمرانی و بانک مطالعاتی</x:v>
      </x:c>
      <x:c r="D2179" s="34" t="str">
        <x:v>H18</x:v>
      </x:c>
      <x:c r="E2179" s="34" t="str">
        <x:v>بانک مطالعه، منابع و موضوعات کنجکاوی</x:v>
      </x:c>
      <x:c r="F2179" s="34" t="str">
        <x:v>BANK</x:v>
      </x:c>
      <x:c r="G2179" s="34" t="str">
        <x:v>مطالعه/منبع</x:v>
      </x:c>
      <x:c r="H2179" s="39" t="str">
        <x:v>site</x:v>
      </x:c>
      <x:c r="I2179" s="39" t="str">
        <x:v>بانک مطالعه؛ سقف زمانی</x:v>
      </x:c>
      <x:c r="J2179" s="39" t="str">
        <x:v>مدیر دانش/کیوریتور محتوا</x:v>
      </x:c>
      <x:c r="K2179" s="39" t="str"/>
      <x:c r="L2179" s="39" t="str">
        <x:v>AP:P333</x:v>
      </x:c>
      <x:c r="M2179" s="39" t="str"/>
      <x:c r="N2179" s="39" t="str">
        <x:v>نسخه پایه ۳۱۵۰</x:v>
      </x:c>
    </x:row>
    <x:row r="2180" ht="34" customHeight="1">
      <x:c r="A2180" s="34" t="str">
        <x:v>☐</x:v>
      </x:c>
      <x:c r="B2180" s="34" t="str">
        <x:v>MI-0548</x:v>
      </x:c>
      <x:c r="C2180" s="34" t="str">
        <x:v>M5 — دانش، فرهنگ، حکمرانی و بانک مطالعاتی</x:v>
      </x:c>
      <x:c r="D2180" s="34" t="str">
        <x:v>H18</x:v>
      </x:c>
      <x:c r="E2180" s="34" t="str">
        <x:v>بانک مطالعه، منابع و موضوعات کنجکاوی</x:v>
      </x:c>
      <x:c r="F2180" s="34" t="str">
        <x:v>BANK</x:v>
      </x:c>
      <x:c r="G2180" s="34" t="str">
        <x:v>مطالعه/منبع</x:v>
      </x:c>
      <x:c r="H2180" s="39" t="str">
        <x:v>allversion</x:v>
      </x:c>
      <x:c r="I2180" s="39" t="str">
        <x:v>بانک مطالعه؛ سقف زمانی</x:v>
      </x:c>
      <x:c r="J2180" s="39" t="str">
        <x:v>مدیر دانش/کیوریتور محتوا</x:v>
      </x:c>
      <x:c r="K2180" s="39" t="str"/>
      <x:c r="L2180" s="39" t="str">
        <x:v>AP:P334</x:v>
      </x:c>
      <x:c r="M2180" s="39" t="str"/>
      <x:c r="N2180" s="39" t="str">
        <x:v>نسخه پایه ۳۱۵۰</x:v>
      </x:c>
    </x:row>
    <x:row r="2181" ht="34" customHeight="1">
      <x:c r="A2181" s="34" t="str">
        <x:v>☐</x:v>
      </x:c>
      <x:c r="B2181" s="34" t="str">
        <x:v>MI-0549</x:v>
      </x:c>
      <x:c r="C2181" s="34" t="str">
        <x:v>M5 — دانش، فرهنگ، حکمرانی و بانک مطالعاتی</x:v>
      </x:c>
      <x:c r="D2181" s="34" t="str">
        <x:v>H18</x:v>
      </x:c>
      <x:c r="E2181" s="34" t="str">
        <x:v>بانک مطالعه، منابع و موضوعات کنجکاوی</x:v>
      </x:c>
      <x:c r="F2181" s="34" t="str">
        <x:v>BANK</x:v>
      </x:c>
      <x:c r="G2181" s="34" t="str">
        <x:v>مطالعه/منبع</x:v>
      </x:c>
      <x:c r="H2181" s="39" t="str">
        <x:v>freepaper</x:v>
      </x:c>
      <x:c r="I2181" s="39" t="str">
        <x:v>بانک مطالعه؛ سقف زمانی</x:v>
      </x:c>
      <x:c r="J2181" s="39" t="str">
        <x:v>مدیر دانش/کیوریتور محتوا</x:v>
      </x:c>
      <x:c r="K2181" s="39" t="str"/>
      <x:c r="L2181" s="39" t="str">
        <x:v>AP:P335</x:v>
      </x:c>
      <x:c r="M2181" s="39" t="str"/>
      <x:c r="N2181" s="39" t="str">
        <x:v>نسخه پایه ۳۱۵۰</x:v>
      </x:c>
    </x:row>
    <x:row r="2182" ht="34" customHeight="1">
      <x:c r="A2182" s="34" t="str">
        <x:v>☐</x:v>
      </x:c>
      <x:c r="B2182" s="34" t="str">
        <x:v>MI-0550</x:v>
      </x:c>
      <x:c r="C2182" s="34" t="str">
        <x:v>M5 — دانش، فرهنگ، حکمرانی و بانک مطالعاتی</x:v>
      </x:c>
      <x:c r="D2182" s="34" t="str">
        <x:v>H18</x:v>
      </x:c>
      <x:c r="E2182" s="34" t="str">
        <x:v>بانک مطالعه، منابع و موضوعات کنجکاوی</x:v>
      </x:c>
      <x:c r="F2182" s="34" t="str">
        <x:v>BANK</x:v>
      </x:c>
      <x:c r="G2182" s="34" t="str">
        <x:v>مطالعه/منبع</x:v>
      </x:c>
      <x:c r="H2182" s="39" t="str">
        <x:v>کتب پیشنهادی برای مطالعه</x:v>
      </x:c>
      <x:c r="I2182" s="39" t="str">
        <x:v>بانک مطالعه؛ سقف زمانی</x:v>
      </x:c>
      <x:c r="J2182" s="39" t="str">
        <x:v>مدیر دانش/کیوریتور محتوا</x:v>
      </x:c>
      <x:c r="K2182" s="39" t="str"/>
      <x:c r="L2182" s="39" t="str">
        <x:v>AP:P336</x:v>
      </x:c>
      <x:c r="M2182" s="39" t="str"/>
      <x:c r="N2182" s="39" t="str">
        <x:v>نسخه پایه ۳۱۵۰</x:v>
      </x:c>
    </x:row>
    <x:row r="2183" ht="34" customHeight="1">
      <x:c r="A2183" s="34" t="str">
        <x:v>☐</x:v>
      </x:c>
      <x:c r="B2183" s="34" t="str">
        <x:v>MI-0551</x:v>
      </x:c>
      <x:c r="C2183" s="34" t="str">
        <x:v>M5 — دانش، فرهنگ، حکمرانی و بانک مطالعاتی</x:v>
      </x:c>
      <x:c r="D2183" s="34" t="str">
        <x:v>H18</x:v>
      </x:c>
      <x:c r="E2183" s="34" t="str">
        <x:v>بانک مطالعه، منابع و موضوعات کنجکاوی</x:v>
      </x:c>
      <x:c r="F2183" s="34" t="str">
        <x:v>BANK</x:v>
      </x:c>
      <x:c r="G2183" s="34" t="str">
        <x:v>مطالعه/منبع</x:v>
      </x:c>
      <x:c r="H2183" s="39" t="str">
        <x:v>رشد و حرکت صفایی حایری</x:v>
      </x:c>
      <x:c r="I2183" s="39" t="str">
        <x:v>بانک مطالعه؛ سقف زمانی</x:v>
      </x:c>
      <x:c r="J2183" s="39" t="str">
        <x:v>مدیر دانش/کیوریتور محتوا</x:v>
      </x:c>
      <x:c r="K2183" s="39" t="str"/>
      <x:c r="L2183" s="39" t="str">
        <x:v>AP:P337</x:v>
      </x:c>
      <x:c r="M2183" s="39" t="str"/>
      <x:c r="N2183" s="39" t="str">
        <x:v>نسخه پایه ۳۱۵۰</x:v>
      </x:c>
    </x:row>
    <x:row r="2184" ht="34" customHeight="1">
      <x:c r="A2184" s="34" t="str">
        <x:v>☐</x:v>
      </x:c>
      <x:c r="B2184" s="34" t="str">
        <x:v>MI-0552</x:v>
      </x:c>
      <x:c r="C2184" s="34" t="str">
        <x:v>M5 — دانش، فرهنگ، حکمرانی و بانک مطالعاتی</x:v>
      </x:c>
      <x:c r="D2184" s="34" t="str">
        <x:v>H18</x:v>
      </x:c>
      <x:c r="E2184" s="34" t="str">
        <x:v>بانک مطالعه، منابع و موضوعات کنجکاوی</x:v>
      </x:c>
      <x:c r="F2184" s="34" t="str">
        <x:v>BANK</x:v>
      </x:c>
      <x:c r="G2184" s="34" t="str">
        <x:v>مطالعه/منبع</x:v>
      </x:c>
      <x:c r="H2184" s="39" t="str">
        <x:v>دیل کارنگی و کتاب public speaking an influencing men in bussiness</x:v>
      </x:c>
      <x:c r="I2184" s="39" t="str">
        <x:v>بانک مطالعه؛ سقف زمانی</x:v>
      </x:c>
      <x:c r="J2184" s="39" t="str">
        <x:v>مدیر دانش/کیوریتور محتوا</x:v>
      </x:c>
      <x:c r="K2184" s="39" t="str"/>
      <x:c r="L2184" s="39" t="str">
        <x:v>AP:P338</x:v>
      </x:c>
      <x:c r="M2184" s="39" t="str"/>
      <x:c r="N2184" s="39" t="str">
        <x:v>نسخه پایه ۳۱۵۰</x:v>
      </x:c>
    </x:row>
    <x:row r="2185" ht="34" customHeight="1">
      <x:c r="A2185" s="34" t="str">
        <x:v>☐</x:v>
      </x:c>
      <x:c r="B2185" s="34" t="str">
        <x:v>MI-0553</x:v>
      </x:c>
      <x:c r="C2185" s="34" t="str">
        <x:v>M5 — دانش، فرهنگ، حکمرانی و بانک مطالعاتی</x:v>
      </x:c>
      <x:c r="D2185" s="34" t="str">
        <x:v>H18</x:v>
      </x:c>
      <x:c r="E2185" s="34" t="str">
        <x:v>بانک مطالعه، منابع و موضوعات کنجکاوی</x:v>
      </x:c>
      <x:c r="F2185" s="34" t="str">
        <x:v>BANK</x:v>
      </x:c>
      <x:c r="G2185" s="34" t="str">
        <x:v>مطالعه/منبع</x:v>
      </x:c>
      <x:c r="H2185" s="39" t="str">
        <x:v>مطلع مهر</x:v>
      </x:c>
      <x:c r="I2185" s="39" t="str">
        <x:v>بانک مطالعه؛ سقف زمانی</x:v>
      </x:c>
      <x:c r="J2185" s="39" t="str">
        <x:v>مدیر دانش/کیوریتور محتوا</x:v>
      </x:c>
      <x:c r="K2185" s="39" t="str"/>
      <x:c r="L2185" s="39" t="str">
        <x:v>AP:P339</x:v>
      </x:c>
      <x:c r="M2185" s="39" t="str"/>
      <x:c r="N2185" s="39" t="str">
        <x:v>نسخه پایه ۳۱۵۰</x:v>
      </x:c>
    </x:row>
    <x:row r="2186" ht="34" customHeight="1">
      <x:c r="A2186" s="34" t="str">
        <x:v>☐</x:v>
      </x:c>
      <x:c r="B2186" s="34" t="str">
        <x:v>MI-0554</x:v>
      </x:c>
      <x:c r="C2186" s="34" t="str">
        <x:v>M5 — دانش، فرهنگ، حکمرانی و بانک مطالعاتی</x:v>
      </x:c>
      <x:c r="D2186" s="34" t="str">
        <x:v>H18</x:v>
      </x:c>
      <x:c r="E2186" s="34" t="str">
        <x:v>بانک مطالعه، منابع و موضوعات کنجکاوی</x:v>
      </x:c>
      <x:c r="F2186" s="34" t="str">
        <x:v>BANK</x:v>
      </x:c>
      <x:c r="G2186" s="34" t="str">
        <x:v>مطالعه/منبع</x:v>
      </x:c>
      <x:c r="H2186" s="39" t="str">
        <x:v>ماجراهای فکر آوینی</x:v>
      </x:c>
      <x:c r="I2186" s="39" t="str">
        <x:v>بانک مطالعه؛ سقف زمانی</x:v>
      </x:c>
      <x:c r="J2186" s="39" t="str">
        <x:v>مدیر دانش/کیوریتور محتوا</x:v>
      </x:c>
      <x:c r="K2186" s="39" t="str"/>
      <x:c r="L2186" s="39" t="str">
        <x:v>AP:P340</x:v>
      </x:c>
      <x:c r="M2186" s="39" t="str"/>
      <x:c r="N2186" s="39" t="str">
        <x:v>نسخه پایه ۳۱۵۰</x:v>
      </x:c>
    </x:row>
    <x:row r="2187" ht="34" customHeight="1">
      <x:c r="A2187" s="34" t="str">
        <x:v>☐</x:v>
      </x:c>
      <x:c r="B2187" s="34" t="str">
        <x:v>MI-0555</x:v>
      </x:c>
      <x:c r="C2187" s="34" t="str">
        <x:v>M5 — دانش، فرهنگ، حکمرانی و بانک مطالعاتی</x:v>
      </x:c>
      <x:c r="D2187" s="34" t="str">
        <x:v>H18</x:v>
      </x:c>
      <x:c r="E2187" s="34" t="str">
        <x:v>بانک مطالعه، منابع و موضوعات کنجکاوی</x:v>
      </x:c>
      <x:c r="F2187" s="34" t="str">
        <x:v>BANK</x:v>
      </x:c>
      <x:c r="G2187" s="34" t="str">
        <x:v>مطالعه/منبع</x:v>
      </x:c>
      <x:c r="H2187" s="39" t="str">
        <x:v>بابک نوری</x:v>
      </x:c>
      <x:c r="I2187" s="39" t="str">
        <x:v>بانک مطالعه؛ سقف زمانی</x:v>
      </x:c>
      <x:c r="J2187" s="39" t="str">
        <x:v>مدیر دانش/کیوریتور محتوا</x:v>
      </x:c>
      <x:c r="K2187" s="39" t="str"/>
      <x:c r="L2187" s="39" t="str">
        <x:v>AP:P341</x:v>
      </x:c>
      <x:c r="M2187" s="39" t="str"/>
      <x:c r="N2187" s="39" t="str">
        <x:v>نسخه پایه ۳۱۵۰</x:v>
      </x:c>
    </x:row>
    <x:row r="2188" ht="34" customHeight="1">
      <x:c r="A2188" s="34" t="str">
        <x:v>☐</x:v>
      </x:c>
      <x:c r="B2188" s="34" t="str">
        <x:v>MI-0556</x:v>
      </x:c>
      <x:c r="C2188" s="34" t="str">
        <x:v>M5 — دانش، فرهنگ، حکمرانی و بانک مطالعاتی</x:v>
      </x:c>
      <x:c r="D2188" s="34" t="str">
        <x:v>H18</x:v>
      </x:c>
      <x:c r="E2188" s="34" t="str">
        <x:v>بانک مطالعه، منابع و موضوعات کنجکاوی</x:v>
      </x:c>
      <x:c r="F2188" s="34" t="str">
        <x:v>BANK</x:v>
      </x:c>
      <x:c r="G2188" s="34" t="str">
        <x:v>مطالعه/منبع</x:v>
      </x:c>
      <x:c r="H2188" s="39" t="str">
        <x:v>تکه هایی از یک کل منسجم</x:v>
      </x:c>
      <x:c r="I2188" s="39" t="str">
        <x:v>بانک مطالعه؛ سقف زمانی</x:v>
      </x:c>
      <x:c r="J2188" s="39" t="str">
        <x:v>مدیر دانش/کیوریتور محتوا</x:v>
      </x:c>
      <x:c r="K2188" s="39" t="str"/>
      <x:c r="L2188" s="39" t="str">
        <x:v>AP:P342</x:v>
      </x:c>
      <x:c r="M2188" s="39" t="str"/>
      <x:c r="N2188" s="39" t="str">
        <x:v>نسخه پایه ۳۱۵۰</x:v>
      </x:c>
    </x:row>
    <x:row r="2189" ht="34" customHeight="1">
      <x:c r="A2189" s="34" t="str">
        <x:v>☐</x:v>
      </x:c>
      <x:c r="B2189" s="34" t="str">
        <x:v>MI-0557</x:v>
      </x:c>
      <x:c r="C2189" s="34" t="str">
        <x:v>M5 — دانش، فرهنگ، حکمرانی و بانک مطالعاتی</x:v>
      </x:c>
      <x:c r="D2189" s="34" t="str">
        <x:v>H18</x:v>
      </x:c>
      <x:c r="E2189" s="34" t="str">
        <x:v>بانک مطالعه، منابع و موضوعات کنجکاوی</x:v>
      </x:c>
      <x:c r="F2189" s="34" t="str">
        <x:v>BANK</x:v>
      </x:c>
      <x:c r="G2189" s="34" t="str">
        <x:v>مطالعه/منبع</x:v>
      </x:c>
      <x:c r="H2189" s="39" t="str">
        <x:v>سید جمال اسداللهی</x:v>
      </x:c>
      <x:c r="I2189" s="39" t="str">
        <x:v>بانک مطالعه؛ سقف زمانی</x:v>
      </x:c>
      <x:c r="J2189" s="39" t="str">
        <x:v>مدیر دانش/کیوریتور محتوا</x:v>
      </x:c>
      <x:c r="K2189" s="39" t="str"/>
      <x:c r="L2189" s="39" t="str">
        <x:v>AP:P343</x:v>
      </x:c>
      <x:c r="M2189" s="39" t="str"/>
      <x:c r="N2189" s="39" t="str">
        <x:v>نسخه پایه ۳۱۵۰</x:v>
      </x:c>
    </x:row>
    <x:row r="2190" ht="34" customHeight="1">
      <x:c r="A2190" s="34" t="str">
        <x:v>☐</x:v>
      </x:c>
      <x:c r="B2190" s="34" t="str">
        <x:v>MI-0558</x:v>
      </x:c>
      <x:c r="C2190" s="34" t="str">
        <x:v>M5 — دانش، فرهنگ، حکمرانی و بانک مطالعاتی</x:v>
      </x:c>
      <x:c r="D2190" s="34" t="str">
        <x:v>H18</x:v>
      </x:c>
      <x:c r="E2190" s="34" t="str">
        <x:v>بانک مطالعه، منابع و موضوعات کنجکاوی</x:v>
      </x:c>
      <x:c r="F2190" s="34" t="str">
        <x:v>BANK</x:v>
      </x:c>
      <x:c r="G2190" s="34" t="str">
        <x:v>مطالعه/منبع</x:v>
      </x:c>
      <x:c r="H2190" s="39" t="str">
        <x:v>عشق یعنی پرهیز از گناه</x:v>
      </x:c>
      <x:c r="I2190" s="39" t="str">
        <x:v>بانک مطالعه؛ سقف زمانی</x:v>
      </x:c>
      <x:c r="J2190" s="39" t="str">
        <x:v>مدیر دانش/کیوریتور محتوا</x:v>
      </x:c>
      <x:c r="K2190" s="39" t="str"/>
      <x:c r="L2190" s="39" t="str">
        <x:v>AP:P344</x:v>
      </x:c>
      <x:c r="M2190" s="39" t="str"/>
      <x:c r="N2190" s="39" t="str">
        <x:v>نسخه پایه ۳۱۵۰</x:v>
      </x:c>
    </x:row>
    <x:row r="2191" ht="34" customHeight="1">
      <x:c r="A2191" s="34" t="str">
        <x:v>☐</x:v>
      </x:c>
      <x:c r="B2191" s="34" t="str">
        <x:v>MI-0559</x:v>
      </x:c>
      <x:c r="C2191" s="34" t="str">
        <x:v>M5 — دانش، فرهنگ، حکمرانی و بانک مطالعاتی</x:v>
      </x:c>
      <x:c r="D2191" s="34" t="str">
        <x:v>H18</x:v>
      </x:c>
      <x:c r="E2191" s="34" t="str">
        <x:v>بانک مطالعه، منابع و موضوعات کنجکاوی</x:v>
      </x:c>
      <x:c r="F2191" s="34" t="str">
        <x:v>BANK</x:v>
      </x:c>
      <x:c r="G2191" s="34" t="str">
        <x:v>مطالعه/منبع</x:v>
      </x:c>
      <x:c r="H2191" s="39" t="str">
        <x:v>کهکشان نیستی</x:v>
      </x:c>
      <x:c r="I2191" s="39" t="str">
        <x:v>بانک مطالعه؛ سقف زمانی</x:v>
      </x:c>
      <x:c r="J2191" s="39" t="str">
        <x:v>مدیر دانش/کیوریتور محتوا</x:v>
      </x:c>
      <x:c r="K2191" s="39" t="str"/>
      <x:c r="L2191" s="39" t="str">
        <x:v>AP:P345</x:v>
      </x:c>
      <x:c r="M2191" s="39" t="str"/>
      <x:c r="N2191" s="39" t="str">
        <x:v>نسخه پایه ۳۱۵۰</x:v>
      </x:c>
    </x:row>
    <x:row r="2192" ht="34" customHeight="1">
      <x:c r="A2192" s="34" t="str">
        <x:v>☐</x:v>
      </x:c>
      <x:c r="B2192" s="34" t="str">
        <x:v>MI-0560</x:v>
      </x:c>
      <x:c r="C2192" s="34" t="str">
        <x:v>M5 — دانش، فرهنگ، حکمرانی و بانک مطالعاتی</x:v>
      </x:c>
      <x:c r="D2192" s="34" t="str">
        <x:v>H18</x:v>
      </x:c>
      <x:c r="E2192" s="34" t="str">
        <x:v>بانک مطالعه، منابع و موضوعات کنجکاوی</x:v>
      </x:c>
      <x:c r="F2192" s="34" t="str">
        <x:v>BANK</x:v>
      </x:c>
      <x:c r="G2192" s="34" t="str">
        <x:v>مطالعه/منبع</x:v>
      </x:c>
      <x:c r="H2192" s="39" t="str">
        <x:v>کتابخانه نیمه شب</x:v>
      </x:c>
      <x:c r="I2192" s="39" t="str">
        <x:v>بانک مطالعه؛ سقف زمانی</x:v>
      </x:c>
      <x:c r="J2192" s="39" t="str">
        <x:v>مدیر دانش/کیوریتور محتوا</x:v>
      </x:c>
      <x:c r="K2192" s="39" t="str"/>
      <x:c r="L2192" s="39" t="str">
        <x:v>AP:P346</x:v>
      </x:c>
      <x:c r="M2192" s="39" t="str"/>
      <x:c r="N2192" s="39" t="str">
        <x:v>نسخه پایه ۳۱۵۰</x:v>
      </x:c>
    </x:row>
    <x:row r="2193" ht="34" customHeight="1">
      <x:c r="A2193" s="34" t="str">
        <x:v>☐</x:v>
      </x:c>
      <x:c r="B2193" s="34" t="str">
        <x:v>MI-0561</x:v>
      </x:c>
      <x:c r="C2193" s="34" t="str">
        <x:v>M5 — دانش، فرهنگ، حکمرانی و بانک مطالعاتی</x:v>
      </x:c>
      <x:c r="D2193" s="34" t="str">
        <x:v>H18</x:v>
      </x:c>
      <x:c r="E2193" s="34" t="str">
        <x:v>بانک مطالعه، منابع و موضوعات کنجکاوی</x:v>
      </x:c>
      <x:c r="F2193" s="34" t="str">
        <x:v>BANK</x:v>
      </x:c>
      <x:c r="G2193" s="34" t="str">
        <x:v>مطالعه/منبع</x:v>
      </x:c>
      <x:c r="H2193" s="39" t="str">
        <x:v>هر دو در نهایت میمیرند</x:v>
      </x:c>
      <x:c r="I2193" s="39" t="str">
        <x:v>بانک مطالعه؛ سقف زمانی</x:v>
      </x:c>
      <x:c r="J2193" s="39" t="str">
        <x:v>مدیر دانش/کیوریتور محتوا</x:v>
      </x:c>
      <x:c r="K2193" s="39" t="str"/>
      <x:c r="L2193" s="39" t="str">
        <x:v>AP:P347</x:v>
      </x:c>
      <x:c r="M2193" s="39" t="str"/>
      <x:c r="N2193" s="39" t="str">
        <x:v>نسخه پایه ۳۱۵۰</x:v>
      </x:c>
    </x:row>
    <x:row r="2194" ht="34" customHeight="1">
      <x:c r="A2194" s="34" t="str">
        <x:v>☐</x:v>
      </x:c>
      <x:c r="B2194" s="34" t="str">
        <x:v>MI-0563</x:v>
      </x:c>
      <x:c r="C2194" s="34" t="str">
        <x:v>M5 — دانش، فرهنگ، حکمرانی و بانک مطالعاتی</x:v>
      </x:c>
      <x:c r="D2194" s="34" t="str">
        <x:v>H18</x:v>
      </x:c>
      <x:c r="E2194" s="34" t="str">
        <x:v>بانک مطالعه، منابع و موضوعات کنجکاوی</x:v>
      </x:c>
      <x:c r="F2194" s="34" t="str">
        <x:v>BANK</x:v>
      </x:c>
      <x:c r="G2194" s="34" t="str">
        <x:v>مطالعه/منبع</x:v>
      </x:c>
      <x:c r="H2194" s="39" t="str">
        <x:v>جاسوس گردان خاطرات افسر اطلاعاتی روسیه</x:v>
      </x:c>
      <x:c r="I2194" s="39" t="str">
        <x:v>بانک مطالعه؛ سقف زمانی</x:v>
      </x:c>
      <x:c r="J2194" s="39" t="str">
        <x:v>مدیر دانش/کیوریتور محتوا</x:v>
      </x:c>
      <x:c r="K2194" s="39" t="str"/>
      <x:c r="L2194" s="39" t="str">
        <x:v>AP:P349</x:v>
      </x:c>
      <x:c r="M2194" s="39" t="str"/>
      <x:c r="N2194" s="39" t="str">
        <x:v>نسخه پایه ۳۱۵۰</x:v>
      </x:c>
    </x:row>
    <x:row r="2195" ht="34" customHeight="1">
      <x:c r="A2195" s="34" t="str">
        <x:v>☐</x:v>
      </x:c>
      <x:c r="B2195" s="34" t="str">
        <x:v>MI-0564</x:v>
      </x:c>
      <x:c r="C2195" s="34" t="str">
        <x:v>M5 — دانش، فرهنگ، حکمرانی و بانک مطالعاتی</x:v>
      </x:c>
      <x:c r="D2195" s="34" t="str">
        <x:v>H18</x:v>
      </x:c>
      <x:c r="E2195" s="34" t="str">
        <x:v>بانک مطالعه، منابع و موضوعات کنجکاوی</x:v>
      </x:c>
      <x:c r="F2195" s="34" t="str">
        <x:v>BANK</x:v>
      </x:c>
      <x:c r="G2195" s="34" t="str">
        <x:v>مطالعه/منبع</x:v>
      </x:c>
      <x:c r="H2195" s="39" t="str">
        <x:v>کف خیابون 1 و 2</x:v>
      </x:c>
      <x:c r="I2195" s="39" t="str">
        <x:v>بانک مطالعه؛ سقف زمانی</x:v>
      </x:c>
      <x:c r="J2195" s="39" t="str">
        <x:v>مدیر دانش/کیوریتور محتوا</x:v>
      </x:c>
      <x:c r="K2195" s="39" t="str"/>
      <x:c r="L2195" s="39" t="str">
        <x:v>AP:P350</x:v>
      </x:c>
      <x:c r="M2195" s="39" t="str"/>
      <x:c r="N2195" s="39" t="str">
        <x:v>نسخه پایه ۳۱۵۰</x:v>
      </x:c>
    </x:row>
    <x:row r="2196" ht="34" customHeight="1">
      <x:c r="A2196" s="34" t="str">
        <x:v>☐</x:v>
      </x:c>
      <x:c r="B2196" s="34" t="str">
        <x:v>MI-0565</x:v>
      </x:c>
      <x:c r="C2196" s="34" t="str">
        <x:v>M5 — دانش، فرهنگ، حکمرانی و بانک مطالعاتی</x:v>
      </x:c>
      <x:c r="D2196" s="34" t="str">
        <x:v>H18</x:v>
      </x:c>
      <x:c r="E2196" s="34" t="str">
        <x:v>بانک مطالعه، منابع و موضوعات کنجکاوی</x:v>
      </x:c>
      <x:c r="F2196" s="34" t="str">
        <x:v>BANK</x:v>
      </x:c>
      <x:c r="G2196" s="34" t="str">
        <x:v>مطالعه/منبع</x:v>
      </x:c>
      <x:c r="H2196" s="39" t="str">
        <x:v>کتاب دوره ای در معجزا</x:v>
      </x:c>
      <x:c r="I2196" s="39" t="str">
        <x:v>بانک مطالعه؛ سقف زمانی</x:v>
      </x:c>
      <x:c r="J2196" s="39" t="str">
        <x:v>مدیر دانش/کیوریتور محتوا</x:v>
      </x:c>
      <x:c r="K2196" s="39" t="str"/>
      <x:c r="L2196" s="39" t="str">
        <x:v>AP:P351</x:v>
      </x:c>
      <x:c r="M2196" s="39" t="str"/>
      <x:c r="N2196" s="39" t="str">
        <x:v>نسخه پایه ۳۱۵۰</x:v>
      </x:c>
    </x:row>
    <x:row r="2197" ht="34" customHeight="1">
      <x:c r="A2197" s="34" t="str">
        <x:v>☐</x:v>
      </x:c>
      <x:c r="B2197" s="34" t="str">
        <x:v>MI-0566</x:v>
      </x:c>
      <x:c r="C2197" s="34" t="str">
        <x:v>M5 — دانش، فرهنگ، حکمرانی و بانک مطالعاتی</x:v>
      </x:c>
      <x:c r="D2197" s="34" t="str">
        <x:v>H18</x:v>
      </x:c>
      <x:c r="E2197" s="34" t="str">
        <x:v>بانک مطالعه، منابع و موضوعات کنجکاوی</x:v>
      </x:c>
      <x:c r="F2197" s="34" t="str">
        <x:v>BANK</x:v>
      </x:c>
      <x:c r="G2197" s="34" t="str">
        <x:v>مطالعه/منبع</x:v>
      </x:c>
      <x:c r="H2197" s="39" t="str">
        <x:v>نخل و نارنج</x:v>
      </x:c>
      <x:c r="I2197" s="39" t="str">
        <x:v>بانک مطالعه؛ سقف زمانی</x:v>
      </x:c>
      <x:c r="J2197" s="39" t="str">
        <x:v>مدیر دانش/کیوریتور محتوا</x:v>
      </x:c>
      <x:c r="K2197" s="39" t="str"/>
      <x:c r="L2197" s="39" t="str">
        <x:v>AP:P352</x:v>
      </x:c>
      <x:c r="M2197" s="39" t="str"/>
      <x:c r="N2197" s="39" t="str">
        <x:v>نسخه پایه ۳۱۵۰</x:v>
      </x:c>
    </x:row>
    <x:row r="2198" ht="34" customHeight="1">
      <x:c r="A2198" s="34" t="str">
        <x:v>☐</x:v>
      </x:c>
      <x:c r="B2198" s="34" t="str">
        <x:v>MI-0567</x:v>
      </x:c>
      <x:c r="C2198" s="34" t="str">
        <x:v>M5 — دانش، فرهنگ، حکمرانی و بانک مطالعاتی</x:v>
      </x:c>
      <x:c r="D2198" s="34" t="str">
        <x:v>H18</x:v>
      </x:c>
      <x:c r="E2198" s="34" t="str">
        <x:v>بانک مطالعه، منابع و موضوعات کنجکاوی</x:v>
      </x:c>
      <x:c r="F2198" s="34" t="str">
        <x:v>BANK</x:v>
      </x:c>
      <x:c r="G2198" s="34" t="str">
        <x:v>مطالعه/منبع</x:v>
      </x:c>
      <x:c r="H2198" s="39" t="str">
        <x:v>کتب عبید زاکانی</x:v>
      </x:c>
      <x:c r="I2198" s="39" t="str">
        <x:v>بانک مطالعه؛ سقف زمانی</x:v>
      </x:c>
      <x:c r="J2198" s="39" t="str">
        <x:v>مدیر دانش/کیوریتور محتوا</x:v>
      </x:c>
      <x:c r="K2198" s="39" t="str"/>
      <x:c r="L2198" s="39" t="str">
        <x:v>AP:P353</x:v>
      </x:c>
      <x:c r="M2198" s="39" t="str"/>
      <x:c r="N2198" s="39" t="str">
        <x:v>نسخه پایه ۳۱۵۰</x:v>
      </x:c>
    </x:row>
    <x:row r="2199" ht="34" customHeight="1">
      <x:c r="A2199" s="34" t="str">
        <x:v>☐</x:v>
      </x:c>
      <x:c r="B2199" s="34" t="str">
        <x:v>MI-0568</x:v>
      </x:c>
      <x:c r="C2199" s="34" t="str">
        <x:v>M5 — دانش، فرهنگ، حکمرانی و بانک مطالعاتی</x:v>
      </x:c>
      <x:c r="D2199" s="34" t="str">
        <x:v>H18</x:v>
      </x:c>
      <x:c r="E2199" s="34" t="str">
        <x:v>بانک مطالعه، منابع و موضوعات کنجکاوی</x:v>
      </x:c>
      <x:c r="F2199" s="34" t="str">
        <x:v>BANK</x:v>
      </x:c>
      <x:c r="G2199" s="34" t="str">
        <x:v>مطالعه/منبع</x:v>
      </x:c>
      <x:c r="H2199" s="39" t="str">
        <x:v>کتاب نه حداد پور</x:v>
      </x:c>
      <x:c r="I2199" s="39" t="str">
        <x:v>بانک مطالعه؛ سقف زمانی</x:v>
      </x:c>
      <x:c r="J2199" s="39" t="str">
        <x:v>مدیر دانش/کیوریتور محتوا</x:v>
      </x:c>
      <x:c r="K2199" s="39" t="str"/>
      <x:c r="L2199" s="39" t="str">
        <x:v>AP:P354</x:v>
      </x:c>
      <x:c r="M2199" s="39" t="str"/>
      <x:c r="N2199" s="39" t="str">
        <x:v>نسخه پایه ۳۱۵۰</x:v>
      </x:c>
    </x:row>
    <x:row r="2200" ht="34" customHeight="1">
      <x:c r="A2200" s="34" t="str">
        <x:v>☐</x:v>
      </x:c>
      <x:c r="B2200" s="34" t="str">
        <x:v>MI-0569</x:v>
      </x:c>
      <x:c r="C2200" s="34" t="str">
        <x:v>M5 — دانش، فرهنگ، حکمرانی و بانک مطالعاتی</x:v>
      </x:c>
      <x:c r="D2200" s="34" t="str">
        <x:v>H18</x:v>
      </x:c>
      <x:c r="E2200" s="34" t="str">
        <x:v>بانک مطالعه، منابع و موضوعات کنجکاوی</x:v>
      </x:c>
      <x:c r="F2200" s="34" t="str">
        <x:v>BANK</x:v>
      </x:c>
      <x:c r="G2200" s="34" t="str">
        <x:v>مطالعه/منبع</x:v>
      </x:c>
      <x:c r="H2200" s="39" t="str">
        <x:v>کتاب howard zinn</x:v>
      </x:c>
      <x:c r="I2200" s="39" t="str">
        <x:v>بانک مطالعه؛ سقف زمانی</x:v>
      </x:c>
      <x:c r="J2200" s="39" t="str">
        <x:v>مدیر دانش/کیوریتور محتوا</x:v>
      </x:c>
      <x:c r="K2200" s="39" t="str"/>
      <x:c r="L2200" s="39" t="str">
        <x:v>AP:P355</x:v>
      </x:c>
      <x:c r="M2200" s="39" t="str"/>
      <x:c r="N2200" s="39" t="str">
        <x:v>نسخه پایه ۳۱۵۰</x:v>
      </x:c>
    </x:row>
    <x:row r="2201" ht="34" customHeight="1">
      <x:c r="A2201" s="34" t="str">
        <x:v>☐</x:v>
      </x:c>
      <x:c r="B2201" s="34" t="str">
        <x:v>MI-0570</x:v>
      </x:c>
      <x:c r="C2201" s="34" t="str">
        <x:v>M5 — دانش، فرهنگ، حکمرانی و بانک مطالعاتی</x:v>
      </x:c>
      <x:c r="D2201" s="34" t="str">
        <x:v>H18</x:v>
      </x:c>
      <x:c r="E2201" s="34" t="str">
        <x:v>بانک مطالعه، منابع و موضوعات کنجکاوی</x:v>
      </x:c>
      <x:c r="F2201" s="34" t="str">
        <x:v>BANK</x:v>
      </x:c>
      <x:c r="G2201" s="34" t="str">
        <x:v>مطالعه/منبع</x:v>
      </x:c>
      <x:c r="H2201" s="39" t="str">
        <x:v>تاریخ معاصر از نگاه رهبری</x:v>
      </x:c>
      <x:c r="I2201" s="39" t="str">
        <x:v>بانک مطالعه؛ سقف زمانی</x:v>
      </x:c>
      <x:c r="J2201" s="39" t="str">
        <x:v>مدیر دانش/کیوریتور محتوا</x:v>
      </x:c>
      <x:c r="K2201" s="39" t="str"/>
      <x:c r="L2201" s="39" t="str">
        <x:v>AP:P356</x:v>
      </x:c>
      <x:c r="M2201" s="39" t="str"/>
      <x:c r="N2201" s="39" t="str">
        <x:v>نسخه پایه ۳۱۵۰</x:v>
      </x:c>
    </x:row>
    <x:row r="2202" ht="34" customHeight="1">
      <x:c r="A2202" s="34" t="str">
        <x:v>☐</x:v>
      </x:c>
      <x:c r="B2202" s="34" t="str">
        <x:v>MI-0571</x:v>
      </x:c>
      <x:c r="C2202" s="34" t="str">
        <x:v>M5 — دانش، فرهنگ، حکمرانی و بانک مطالعاتی</x:v>
      </x:c>
      <x:c r="D2202" s="34" t="str">
        <x:v>H18</x:v>
      </x:c>
      <x:c r="E2202" s="34" t="str">
        <x:v>بانک مطالعه، منابع و موضوعات کنجکاوی</x:v>
      </x:c>
      <x:c r="F2202" s="34" t="str">
        <x:v>BANK</x:v>
      </x:c>
      <x:c r="G2202" s="34" t="str">
        <x:v>مطالعه/منبع</x:v>
      </x:c>
      <x:c r="H2202" s="39" t="str">
        <x:v>کتاب خاطرات اشرف</x:v>
      </x:c>
      <x:c r="I2202" s="39" t="str">
        <x:v>بانک مطالعه؛ سقف زمانی</x:v>
      </x:c>
      <x:c r="J2202" s="39" t="str">
        <x:v>مدیر دانش/کیوریتور محتوا</x:v>
      </x:c>
      <x:c r="K2202" s="39" t="str"/>
      <x:c r="L2202" s="39" t="str">
        <x:v>AP:P357</x:v>
      </x:c>
      <x:c r="M2202" s="39" t="str"/>
      <x:c r="N2202" s="39" t="str">
        <x:v>نسخه پایه ۳۱۵۰</x:v>
      </x:c>
    </x:row>
    <x:row r="2203" ht="34" customHeight="1">
      <x:c r="A2203" s="34" t="str">
        <x:v>☐</x:v>
      </x:c>
      <x:c r="B2203" s="34" t="str">
        <x:v>MI-0572</x:v>
      </x:c>
      <x:c r="C2203" s="34" t="str">
        <x:v>M5 — دانش، فرهنگ، حکمرانی و بانک مطالعاتی</x:v>
      </x:c>
      <x:c r="D2203" s="34" t="str">
        <x:v>H18</x:v>
      </x:c>
      <x:c r="E2203" s="34" t="str">
        <x:v>بانک مطالعه، منابع و موضوعات کنجکاوی</x:v>
      </x:c>
      <x:c r="F2203" s="34" t="str">
        <x:v>BANK</x:v>
      </x:c>
      <x:c r="G2203" s="34" t="str">
        <x:v>مطالعه/منبع</x:v>
      </x:c>
      <x:c r="H2203" s="39" t="str">
        <x:v>جعبه سیاه راجی</x:v>
      </x:c>
      <x:c r="I2203" s="39" t="str">
        <x:v>بانک مطالعه؛ سقف زمانی</x:v>
      </x:c>
      <x:c r="J2203" s="39" t="str">
        <x:v>مدیر دانش/کیوریتور محتوا</x:v>
      </x:c>
      <x:c r="K2203" s="39" t="str"/>
      <x:c r="L2203" s="39" t="str">
        <x:v>AP:P358</x:v>
      </x:c>
      <x:c r="M2203" s="39" t="str"/>
      <x:c r="N2203" s="39" t="str">
        <x:v>نسخه پایه ۳۱۵۰</x:v>
      </x:c>
    </x:row>
    <x:row r="2204" ht="34" customHeight="1">
      <x:c r="A2204" s="34" t="str">
        <x:v>☐</x:v>
      </x:c>
      <x:c r="B2204" s="34" t="str">
        <x:v>MI-0573</x:v>
      </x:c>
      <x:c r="C2204" s="34" t="str">
        <x:v>M5 — دانش، فرهنگ، حکمرانی و بانک مطالعاتی</x:v>
      </x:c>
      <x:c r="D2204" s="34" t="str">
        <x:v>H18</x:v>
      </x:c>
      <x:c r="E2204" s="34" t="str">
        <x:v>بانک مطالعه، منابع و موضوعات کنجکاوی</x:v>
      </x:c>
      <x:c r="F2204" s="34" t="str">
        <x:v>BANK</x:v>
      </x:c>
      <x:c r="G2204" s="34" t="str">
        <x:v>مطالعه/منبع</x:v>
      </x:c>
      <x:c r="H2204" s="39" t="str">
        <x:v>پایدار تا پای دار</x:v>
      </x:c>
      <x:c r="I2204" s="39" t="str">
        <x:v>بانک مطالعه؛ سقف زمانی</x:v>
      </x:c>
      <x:c r="J2204" s="39" t="str">
        <x:v>مدیر دانش/کیوریتور محتوا</x:v>
      </x:c>
      <x:c r="K2204" s="39" t="str"/>
      <x:c r="L2204" s="39" t="str">
        <x:v>AP:P359</x:v>
      </x:c>
      <x:c r="M2204" s="39" t="str"/>
      <x:c r="N2204" s="39" t="str">
        <x:v>نسخه پایه ۳۱۵۰</x:v>
      </x:c>
    </x:row>
    <x:row r="2205" ht="34" customHeight="1">
      <x:c r="A2205" s="34" t="str">
        <x:v>☐</x:v>
      </x:c>
      <x:c r="B2205" s="34" t="str">
        <x:v>MI-0574</x:v>
      </x:c>
      <x:c r="C2205" s="34" t="str">
        <x:v>M5 — دانش، فرهنگ، حکمرانی و بانک مطالعاتی</x:v>
      </x:c>
      <x:c r="D2205" s="34" t="str">
        <x:v>H18</x:v>
      </x:c>
      <x:c r="E2205" s="34" t="str">
        <x:v>بانک مطالعه، منابع و موضوعات کنجکاوی</x:v>
      </x:c>
      <x:c r="F2205" s="34" t="str">
        <x:v>BANK</x:v>
      </x:c>
      <x:c r="G2205" s="34" t="str">
        <x:v>مطالعه/منبع</x:v>
      </x:c>
      <x:c r="H2205" s="39" t="str">
        <x:v>کلاه برداری نیجریه ای</x:v>
      </x:c>
      <x:c r="I2205" s="39" t="str">
        <x:v>بانک مطالعه؛ سقف زمانی</x:v>
      </x:c>
      <x:c r="J2205" s="39" t="str">
        <x:v>مدیر دانش/کیوریتور محتوا</x:v>
      </x:c>
      <x:c r="K2205" s="39" t="str"/>
      <x:c r="L2205" s="39" t="str">
        <x:v>AP:P360</x:v>
      </x:c>
      <x:c r="M2205" s="39" t="str"/>
      <x:c r="N2205" s="39" t="str">
        <x:v>نسخه پایه ۳۱۵۰</x:v>
      </x:c>
    </x:row>
    <x:row r="2206" ht="34" customHeight="1">
      <x:c r="A2206" s="34" t="str">
        <x:v>☐</x:v>
      </x:c>
      <x:c r="B2206" s="34" t="str">
        <x:v>MI-0575</x:v>
      </x:c>
      <x:c r="C2206" s="34" t="str">
        <x:v>M5 — دانش، فرهنگ، حکمرانی و بانک مطالعاتی</x:v>
      </x:c>
      <x:c r="D2206" s="34" t="str">
        <x:v>H18</x:v>
      </x:c>
      <x:c r="E2206" s="34" t="str">
        <x:v>بانک مطالعه، منابع و موضوعات کنجکاوی</x:v>
      </x:c>
      <x:c r="F2206" s="34" t="str">
        <x:v>BANK</x:v>
      </x:c>
      <x:c r="G2206" s="34" t="str">
        <x:v>مطالعه/منبع</x:v>
      </x:c>
      <x:c r="H2206" s="39" t="str">
        <x:v>روح توحید نفی عبودیت غیر خدا</x:v>
      </x:c>
      <x:c r="I2206" s="39" t="str">
        <x:v>بانک مطالعه؛ سقف زمانی</x:v>
      </x:c>
      <x:c r="J2206" s="39" t="str">
        <x:v>مدیر دانش/کیوریتور محتوا</x:v>
      </x:c>
      <x:c r="K2206" s="39" t="str"/>
      <x:c r="L2206" s="39" t="str">
        <x:v>AP:P361</x:v>
      </x:c>
      <x:c r="M2206" s="39" t="str"/>
      <x:c r="N2206" s="39" t="str">
        <x:v>نسخه پایه ۳۱۵۰</x:v>
      </x:c>
    </x:row>
    <x:row r="2207" ht="34" customHeight="1">
      <x:c r="A2207" s="34" t="str">
        <x:v>☐</x:v>
      </x:c>
      <x:c r="B2207" s="34" t="str">
        <x:v>MI-0576</x:v>
      </x:c>
      <x:c r="C2207" s="34" t="str">
        <x:v>M5 — دانش، فرهنگ، حکمرانی و بانک مطالعاتی</x:v>
      </x:c>
      <x:c r="D2207" s="34" t="str">
        <x:v>H18</x:v>
      </x:c>
      <x:c r="E2207" s="34" t="str">
        <x:v>بانک مطالعه، منابع و موضوعات کنجکاوی</x:v>
      </x:c>
      <x:c r="F2207" s="34" t="str">
        <x:v>BANK</x:v>
      </x:c>
      <x:c r="G2207" s="34" t="str">
        <x:v>مطالعه/منبع</x:v>
      </x:c>
      <x:c r="H2207" s="39" t="str">
        <x:v>خانواده حضرت آقا</x:v>
      </x:c>
      <x:c r="I2207" s="39" t="str">
        <x:v>بانک مطالعه؛ سقف زمانی</x:v>
      </x:c>
      <x:c r="J2207" s="39" t="str">
        <x:v>مدیر دانش/کیوریتور محتوا</x:v>
      </x:c>
      <x:c r="K2207" s="39" t="str"/>
      <x:c r="L2207" s="39" t="str">
        <x:v>AP:P362</x:v>
      </x:c>
      <x:c r="M2207" s="39" t="str"/>
      <x:c r="N2207" s="39" t="str">
        <x:v>نسخه پایه ۳۱۵۰</x:v>
      </x:c>
    </x:row>
    <x:row r="2208" ht="34" customHeight="1">
      <x:c r="A2208" s="34" t="str">
        <x:v>☐</x:v>
      </x:c>
      <x:c r="B2208" s="34" t="str">
        <x:v>MI-0577</x:v>
      </x:c>
      <x:c r="C2208" s="34" t="str">
        <x:v>M5 — دانش، فرهنگ، حکمرانی و بانک مطالعاتی</x:v>
      </x:c>
      <x:c r="D2208" s="34" t="str">
        <x:v>H18</x:v>
      </x:c>
      <x:c r="E2208" s="34" t="str">
        <x:v>بانک مطالعه، منابع و موضوعات کنجکاوی</x:v>
      </x:c>
      <x:c r="F2208" s="34" t="str">
        <x:v>BANK</x:v>
      </x:c>
      <x:c r="G2208" s="34" t="str">
        <x:v>مطالعه/منبع</x:v>
      </x:c>
      <x:c r="H2208" s="39" t="str">
        <x:v>مقاله علامه طباطبایی</x:v>
      </x:c>
      <x:c r="I2208" s="39" t="str">
        <x:v>بانک مطالعه؛ سقف زمانی</x:v>
      </x:c>
      <x:c r="J2208" s="39" t="str">
        <x:v>مدیر دانش/کیوریتور محتوا</x:v>
      </x:c>
      <x:c r="K2208" s="39" t="str"/>
      <x:c r="L2208" s="39" t="str">
        <x:v>AP:P363</x:v>
      </x:c>
      <x:c r="M2208" s="39" t="str"/>
      <x:c r="N2208" s="39" t="str">
        <x:v>نسخه پایه ۳۱۵۰</x:v>
      </x:c>
    </x:row>
    <x:row r="2209" ht="34" customHeight="1">
      <x:c r="A2209" s="34" t="str">
        <x:v>☐</x:v>
      </x:c>
      <x:c r="B2209" s="34" t="str">
        <x:v>MI-0578</x:v>
      </x:c>
      <x:c r="C2209" s="34" t="str">
        <x:v>M5 — دانش، فرهنگ، حکمرانی و بانک مطالعاتی</x:v>
      </x:c>
      <x:c r="D2209" s="34" t="str">
        <x:v>H18</x:v>
      </x:c>
      <x:c r="E2209" s="34" t="str">
        <x:v>بانک مطالعه، منابع و موضوعات کنجکاوی</x:v>
      </x:c>
      <x:c r="F2209" s="34" t="str">
        <x:v>BANK</x:v>
      </x:c>
      <x:c r="G2209" s="34" t="str">
        <x:v>مطالعه/منبع</x:v>
      </x:c>
      <x:c r="H2209" s="39" t="str">
        <x:v>)زندگی اجتماعی و مادی انسان بهمنزله گهواره ای است که زندگی انسان در آن شکل میگیرد)</x:v>
      </x:c>
      <x:c r="I2209" s="39" t="str">
        <x:v>بانک مطالعه؛ سقف زمانی</x:v>
      </x:c>
      <x:c r="J2209" s="39" t="str">
        <x:v>مدیر دانش/کیوریتور محتوا</x:v>
      </x:c>
      <x:c r="K2209" s="39" t="str"/>
      <x:c r="L2209" s="39" t="str">
        <x:v>AP:P364</x:v>
      </x:c>
      <x:c r="M2209" s="39" t="str"/>
      <x:c r="N2209" s="39" t="str">
        <x:v>نسخه پایه ۳۱۵۰</x:v>
      </x:c>
    </x:row>
    <x:row r="2210" ht="34" customHeight="1">
      <x:c r="A2210" s="34" t="str">
        <x:v>☐</x:v>
      </x:c>
      <x:c r="B2210" s="34" t="str">
        <x:v>MI-0579</x:v>
      </x:c>
      <x:c r="C2210" s="34" t="str">
        <x:v>M5 — دانش، فرهنگ، حکمرانی و بانک مطالعاتی</x:v>
      </x:c>
      <x:c r="D2210" s="34" t="str">
        <x:v>H18</x:v>
      </x:c>
      <x:c r="E2210" s="34" t="str">
        <x:v>بانک مطالعه، منابع و موضوعات کنجکاوی</x:v>
      </x:c>
      <x:c r="F2210" s="34" t="str">
        <x:v>BANK</x:v>
      </x:c>
      <x:c r="G2210" s="34" t="str">
        <x:v>مطالعه/منبع</x:v>
      </x:c>
      <x:c r="H2210" s="39" t="str">
        <x:v>10باور بی اساس علم مدرن رابرت</x:v>
      </x:c>
      <x:c r="I2210" s="39" t="str">
        <x:v>بانک مطالعه؛ سقف زمانی</x:v>
      </x:c>
      <x:c r="J2210" s="39" t="str">
        <x:v>مدیر دانش/کیوریتور محتوا</x:v>
      </x:c>
      <x:c r="K2210" s="39" t="str"/>
      <x:c r="L2210" s="39" t="str">
        <x:v>AP:P365</x:v>
      </x:c>
      <x:c r="M2210" s="39" t="str"/>
      <x:c r="N2210" s="39" t="str">
        <x:v>نسخه پایه ۳۱۵۰</x:v>
      </x:c>
    </x:row>
    <x:row r="2211" ht="34" customHeight="1">
      <x:c r="A2211" s="34" t="str">
        <x:v>☐</x:v>
      </x:c>
      <x:c r="B2211" s="34" t="str">
        <x:v>MI-0580</x:v>
      </x:c>
      <x:c r="C2211" s="34" t="str">
        <x:v>M5 — دانش، فرهنگ، حکمرانی و بانک مطالعاتی</x:v>
      </x:c>
      <x:c r="D2211" s="34" t="str">
        <x:v>H18</x:v>
      </x:c>
      <x:c r="E2211" s="34" t="str">
        <x:v>بانک مطالعه، منابع و موضوعات کنجکاوی</x:v>
      </x:c>
      <x:c r="F2211" s="34" t="str">
        <x:v>BANK</x:v>
      </x:c>
      <x:c r="G2211" s="34" t="str">
        <x:v>مطالعه/منبع</x:v>
      </x:c>
      <x:c r="H2211" s="39" t="str">
        <x:v>محمدجواد جهانی</x:v>
      </x:c>
      <x:c r="I2211" s="39" t="str">
        <x:v>بانک مطالعه؛ سقف زمانی</x:v>
      </x:c>
      <x:c r="J2211" s="39" t="str">
        <x:v>مدیر دانش/کیوریتور محتوا</x:v>
      </x:c>
      <x:c r="K2211" s="39" t="str"/>
      <x:c r="L2211" s="39" t="str">
        <x:v>AP:P366</x:v>
      </x:c>
      <x:c r="M2211" s="39" t="str"/>
      <x:c r="N2211" s="39" t="str">
        <x:v>نسخه پایه ۳۱۵۰</x:v>
      </x:c>
    </x:row>
    <x:row r="2212" ht="34" customHeight="1">
      <x:c r="A2212" s="34" t="str">
        <x:v>☐</x:v>
      </x:c>
      <x:c r="B2212" s="34" t="str">
        <x:v>MI-0582</x:v>
      </x:c>
      <x:c r="C2212" s="34" t="str">
        <x:v>M5 — دانش، فرهنگ، حکمرانی و بانک مطالعاتی</x:v>
      </x:c>
      <x:c r="D2212" s="34" t="str">
        <x:v>H18</x:v>
      </x:c>
      <x:c r="E2212" s="34" t="str">
        <x:v>بانک مطالعه، منابع و موضوعات کنجکاوی</x:v>
      </x:c>
      <x:c r="F2212" s="34" t="str">
        <x:v>BANK</x:v>
      </x:c>
      <x:c r="G2212" s="34" t="str">
        <x:v>مطالعه/منبع</x:v>
      </x:c>
      <x:c r="H2212" s="39" t="str">
        <x:v>زندگی خود نوشته علامه جعفری</x:v>
      </x:c>
      <x:c r="I2212" s="39" t="str">
        <x:v>بانک مطالعه؛ سقف زمانی</x:v>
      </x:c>
      <x:c r="J2212" s="39" t="str">
        <x:v>مدیر دانش/کیوریتور محتوا</x:v>
      </x:c>
      <x:c r="K2212" s="39" t="str"/>
      <x:c r="L2212" s="39" t="str">
        <x:v>AP:P368</x:v>
      </x:c>
      <x:c r="M2212" s="39" t="str"/>
      <x:c r="N2212" s="39" t="str">
        <x:v>نسخه پایه ۳۱۵۰</x:v>
      </x:c>
    </x:row>
    <x:row r="2213" ht="34" customHeight="1">
      <x:c r="A2213" s="34" t="str">
        <x:v>☐</x:v>
      </x:c>
      <x:c r="B2213" s="34" t="str">
        <x:v>MI-0583</x:v>
      </x:c>
      <x:c r="C2213" s="34" t="str">
        <x:v>M5 — دانش، فرهنگ، حکمرانی و بانک مطالعاتی</x:v>
      </x:c>
      <x:c r="D2213" s="34" t="str">
        <x:v>H18</x:v>
      </x:c>
      <x:c r="E2213" s="34" t="str">
        <x:v>بانک مطالعه، منابع و موضوعات کنجکاوی</x:v>
      </x:c>
      <x:c r="F2213" s="34" t="str">
        <x:v>BANK</x:v>
      </x:c>
      <x:c r="G2213" s="34" t="str">
        <x:v>مطالعه/منبع</x:v>
      </x:c>
      <x:c r="H2213" s="39" t="str">
        <x:v>کتابچه های عبدالحمید دیالم</x:v>
      </x:c>
      <x:c r="I2213" s="39" t="str">
        <x:v>بانک مطالعه؛ سقف زمانی</x:v>
      </x:c>
      <x:c r="J2213" s="39" t="str">
        <x:v>مدیر دانش/کیوریتور محتوا</x:v>
      </x:c>
      <x:c r="K2213" s="39" t="str"/>
      <x:c r="L2213" s="39" t="str">
        <x:v>AP:P369</x:v>
      </x:c>
      <x:c r="M2213" s="39" t="str"/>
      <x:c r="N2213" s="39" t="str">
        <x:v>نسخه پایه ۳۱۵۰</x:v>
      </x:c>
    </x:row>
    <x:row r="2214" ht="34" customHeight="1">
      <x:c r="A2214" s="34" t="str">
        <x:v>☐</x:v>
      </x:c>
      <x:c r="B2214" s="34" t="str">
        <x:v>MI-0584</x:v>
      </x:c>
      <x:c r="C2214" s="34" t="str">
        <x:v>M5 — دانش، فرهنگ، حکمرانی و بانک مطالعاتی</x:v>
      </x:c>
      <x:c r="D2214" s="34" t="str">
        <x:v>H18</x:v>
      </x:c>
      <x:c r="E2214" s="34" t="str">
        <x:v>بانک مطالعه، منابع و موضوعات کنجکاوی</x:v>
      </x:c>
      <x:c r="F2214" s="34" t="str">
        <x:v>BANK</x:v>
      </x:c>
      <x:c r="G2214" s="34" t="str">
        <x:v>مطالعه/منبع</x:v>
      </x:c>
      <x:c r="H2214" s="39" t="str">
        <x:v>(هییت)رحیم ازقدی</x:v>
      </x:c>
      <x:c r="I2214" s="39" t="str">
        <x:v>بانک مطالعه؛ سقف زمانی</x:v>
      </x:c>
      <x:c r="J2214" s="39" t="str">
        <x:v>مدیر دانش/کیوریتور محتوا</x:v>
      </x:c>
      <x:c r="K2214" s="39" t="str"/>
      <x:c r="L2214" s="39" t="str">
        <x:v>AP:P370</x:v>
      </x:c>
      <x:c r="M2214" s="39" t="str"/>
      <x:c r="N2214" s="39" t="str">
        <x:v>نسخه پایه ۳۱۵۰</x:v>
      </x:c>
    </x:row>
    <x:row r="2215" ht="34" customHeight="1">
      <x:c r="A2215" s="34" t="str">
        <x:v>☐</x:v>
      </x:c>
      <x:c r="B2215" s="34" t="str">
        <x:v>MI-0585</x:v>
      </x:c>
      <x:c r="C2215" s="34" t="str">
        <x:v>M5 — دانش، فرهنگ، حکمرانی و بانک مطالعاتی</x:v>
      </x:c>
      <x:c r="D2215" s="34" t="str">
        <x:v>H18</x:v>
      </x:c>
      <x:c r="E2215" s="34" t="str">
        <x:v>بانک مطالعه، منابع و موضوعات کنجکاوی</x:v>
      </x:c>
      <x:c r="F2215" s="34" t="str">
        <x:v>BANK</x:v>
      </x:c>
      <x:c r="G2215" s="34" t="str">
        <x:v>مطالعه/منبع</x:v>
      </x:c>
      <x:c r="H2215" s="39" t="str">
        <x:v>زندگی اکبر طبری</x:v>
      </x:c>
      <x:c r="I2215" s="39" t="str">
        <x:v>بانک مطالعه؛ سقف زمانی</x:v>
      </x:c>
      <x:c r="J2215" s="39" t="str">
        <x:v>مدیر دانش/کیوریتور محتوا</x:v>
      </x:c>
      <x:c r="K2215" s="39" t="str"/>
      <x:c r="L2215" s="39" t="str">
        <x:v>AP:P371</x:v>
      </x:c>
      <x:c r="M2215" s="39" t="str"/>
      <x:c r="N2215" s="39" t="str">
        <x:v>نسخه پایه ۳۱۵۰</x:v>
      </x:c>
    </x:row>
    <x:row r="2216" ht="34" customHeight="1">
      <x:c r="A2216" s="34" t="str">
        <x:v>☐</x:v>
      </x:c>
      <x:c r="B2216" s="34" t="str">
        <x:v>MI-0586</x:v>
      </x:c>
      <x:c r="C2216" s="34" t="str">
        <x:v>M5 — دانش، فرهنگ، حکمرانی و بانک مطالعاتی</x:v>
      </x:c>
      <x:c r="D2216" s="34" t="str">
        <x:v>H18</x:v>
      </x:c>
      <x:c r="E2216" s="34" t="str">
        <x:v>بانک مطالعه، منابع و موضوعات کنجکاوی</x:v>
      </x:c>
      <x:c r="F2216" s="34" t="str">
        <x:v>BANK</x:v>
      </x:c>
      <x:c r="G2216" s="34" t="str">
        <x:v>مطالعه/منبع</x:v>
      </x:c>
      <x:c r="H2216" s="39" t="str">
        <x:v>مرکز مطالعات راهبردی</x:v>
      </x:c>
      <x:c r="I2216" s="39" t="str">
        <x:v>بانک مطالعه؛ سقف زمانی</x:v>
      </x:c>
      <x:c r="J2216" s="39" t="str">
        <x:v>مدیر دانش/کیوریتور محتوا</x:v>
      </x:c>
      <x:c r="K2216" s="39" t="str"/>
      <x:c r="L2216" s="39" t="str">
        <x:v>AP:P372</x:v>
      </x:c>
      <x:c r="M2216" s="39" t="str"/>
      <x:c r="N2216" s="39" t="str">
        <x:v>نسخه پایه ۳۱۵۰</x:v>
      </x:c>
    </x:row>
    <x:row r="2217" ht="34" customHeight="1">
      <x:c r="A2217" s="34" t="str">
        <x:v>☐</x:v>
      </x:c>
      <x:c r="B2217" s="34" t="str">
        <x:v>MI-0587</x:v>
      </x:c>
      <x:c r="C2217" s="34" t="str">
        <x:v>M5 — دانش، فرهنگ، حکمرانی و بانک مطالعاتی</x:v>
      </x:c>
      <x:c r="D2217" s="34" t="str">
        <x:v>H18</x:v>
      </x:c>
      <x:c r="E2217" s="34" t="str">
        <x:v>بانک مطالعه، منابع و موضوعات کنجکاوی</x:v>
      </x:c>
      <x:c r="F2217" s="34" t="str">
        <x:v>BANK</x:v>
      </x:c>
      <x:c r="G2217" s="34" t="str">
        <x:v>مطالعه/منبع</x:v>
      </x:c>
      <x:c r="H2217" s="39" t="str">
        <x:v>حسین دخانچی</x:v>
      </x:c>
      <x:c r="I2217" s="39" t="str">
        <x:v>بانک مطالعه؛ سقف زمانی</x:v>
      </x:c>
      <x:c r="J2217" s="39" t="str">
        <x:v>مدیر دانش/کیوریتور محتوا</x:v>
      </x:c>
      <x:c r="K2217" s="39" t="str"/>
      <x:c r="L2217" s="39" t="str">
        <x:v>AP:P373</x:v>
      </x:c>
      <x:c r="M2217" s="39" t="str"/>
      <x:c r="N2217" s="39" t="str">
        <x:v>نسخه پایه ۳۱۵۰</x:v>
      </x:c>
    </x:row>
    <x:row r="2218" ht="34" customHeight="1">
      <x:c r="A2218" s="34" t="str">
        <x:v>☐</x:v>
      </x:c>
      <x:c r="B2218" s="34" t="str">
        <x:v>MI-0588</x:v>
      </x:c>
      <x:c r="C2218" s="34" t="str">
        <x:v>M5 — دانش، فرهنگ، حکمرانی و بانک مطالعاتی</x:v>
      </x:c>
      <x:c r="D2218" s="34" t="str">
        <x:v>H18</x:v>
      </x:c>
      <x:c r="E2218" s="34" t="str">
        <x:v>بانک مطالعه، منابع و موضوعات کنجکاوی</x:v>
      </x:c>
      <x:c r="F2218" s="34" t="str">
        <x:v>BANK</x:v>
      </x:c>
      <x:c r="G2218" s="34" t="str">
        <x:v>مطالعه/منبع</x:v>
      </x:c>
      <x:c r="H2218" s="39" t="str">
        <x:v>کتاب خاطرات پسر ایرانی (نورالدین)</x:v>
      </x:c>
      <x:c r="I2218" s="39" t="str">
        <x:v>بانک مطالعه؛ سقف زمانی</x:v>
      </x:c>
      <x:c r="J2218" s="39" t="str">
        <x:v>مدیر دانش/کیوریتور محتوا</x:v>
      </x:c>
      <x:c r="K2218" s="39" t="str"/>
      <x:c r="L2218" s="39" t="str">
        <x:v>AP:P374</x:v>
      </x:c>
      <x:c r="M2218" s="39" t="str"/>
      <x:c r="N2218" s="39" t="str">
        <x:v>نسخه پایه ۳۱۵۰</x:v>
      </x:c>
    </x:row>
    <x:row r="2219" ht="34" customHeight="1">
      <x:c r="A2219" s="34" t="str">
        <x:v>☐</x:v>
      </x:c>
      <x:c r="B2219" s="34" t="str">
        <x:v>MI-0589</x:v>
      </x:c>
      <x:c r="C2219" s="34" t="str">
        <x:v>M5 — دانش، فرهنگ، حکمرانی و بانک مطالعاتی</x:v>
      </x:c>
      <x:c r="D2219" s="34" t="str">
        <x:v>H18</x:v>
      </x:c>
      <x:c r="E2219" s="34" t="str">
        <x:v>بانک مطالعه، منابع و موضوعات کنجکاوی</x:v>
      </x:c>
      <x:c r="F2219" s="34" t="str">
        <x:v>BANK</x:v>
      </x:c>
      <x:c r="G2219" s="34" t="str">
        <x:v>مطالعه/منبع</x:v>
      </x:c>
      <x:c r="H2219" s="39" t="str">
        <x:v>سفر سرخ</x:v>
      </x:c>
      <x:c r="I2219" s="39" t="str">
        <x:v>بانک مطالعه؛ سقف زمانی</x:v>
      </x:c>
      <x:c r="J2219" s="39" t="str">
        <x:v>مدیر دانش/کیوریتور محتوا</x:v>
      </x:c>
      <x:c r="K2219" s="39" t="str"/>
      <x:c r="L2219" s="39" t="str">
        <x:v>AP:P375</x:v>
      </x:c>
      <x:c r="M2219" s="39" t="str"/>
      <x:c r="N2219" s="39" t="str">
        <x:v>نسخه پایه ۳۱۵۰</x:v>
      </x:c>
    </x:row>
    <x:row r="2220" ht="34" customHeight="1">
      <x:c r="A2220" s="34" t="str">
        <x:v>☐</x:v>
      </x:c>
      <x:c r="B2220" s="34" t="str">
        <x:v>MI-0590</x:v>
      </x:c>
      <x:c r="C2220" s="34" t="str">
        <x:v>M5 — دانش، فرهنگ، حکمرانی و بانک مطالعاتی</x:v>
      </x:c>
      <x:c r="D2220" s="34" t="str">
        <x:v>H18</x:v>
      </x:c>
      <x:c r="E2220" s="34" t="str">
        <x:v>بانک مطالعه، منابع و موضوعات کنجکاوی</x:v>
      </x:c>
      <x:c r="F2220" s="34" t="str">
        <x:v>BANK</x:v>
      </x:c>
      <x:c r="G2220" s="34" t="str">
        <x:v>مطالعه/منبع</x:v>
      </x:c>
      <x:c r="H2220" s="39" t="str">
        <x:v>کتاب 27 روز و یک لبخند (بابک نوری)</x:v>
      </x:c>
      <x:c r="I2220" s="39" t="str">
        <x:v>بانک مطالعه؛ سقف زمانی</x:v>
      </x:c>
      <x:c r="J2220" s="39" t="str">
        <x:v>مدیر دانش/کیوریتور محتوا</x:v>
      </x:c>
      <x:c r="K2220" s="39" t="str"/>
      <x:c r="L2220" s="39" t="str">
        <x:v>AP:P376</x:v>
      </x:c>
      <x:c r="M2220" s="39" t="str"/>
      <x:c r="N2220" s="39" t="str">
        <x:v>نسخه پایه ۳۱۵۰</x:v>
      </x:c>
    </x:row>
    <x:row r="2221" ht="34" customHeight="1">
      <x:c r="A2221" s="34" t="str">
        <x:v>☐</x:v>
      </x:c>
      <x:c r="B2221" s="34" t="str">
        <x:v>MI-0591</x:v>
      </x:c>
      <x:c r="C2221" s="34" t="str">
        <x:v>M5 — دانش، فرهنگ، حکمرانی و بانک مطالعاتی</x:v>
      </x:c>
      <x:c r="D2221" s="34" t="str">
        <x:v>H18</x:v>
      </x:c>
      <x:c r="E2221" s="34" t="str">
        <x:v>بانک مطالعه، منابع و موضوعات کنجکاوی</x:v>
      </x:c>
      <x:c r="F2221" s="34" t="str">
        <x:v>BANK</x:v>
      </x:c>
      <x:c r="G2221" s="34" t="str">
        <x:v>مطالعه/منبع</x:v>
      </x:c>
      <x:c r="H2221" s="39" t="str">
        <x:v>کتاب میزان الحکمه</x:v>
      </x:c>
      <x:c r="I2221" s="39" t="str">
        <x:v>بانک مطالعه؛ سقف زمانی</x:v>
      </x:c>
      <x:c r="J2221" s="39" t="str">
        <x:v>مدیر دانش/کیوریتور محتوا</x:v>
      </x:c>
      <x:c r="K2221" s="39" t="str"/>
      <x:c r="L2221" s="39" t="str">
        <x:v>AP:P377</x:v>
      </x:c>
      <x:c r="M2221" s="39" t="str"/>
      <x:c r="N2221" s="39" t="str">
        <x:v>نسخه پایه ۳۱۵۰</x:v>
      </x:c>
    </x:row>
    <x:row r="2222" ht="34" customHeight="1">
      <x:c r="A2222" s="34" t="str">
        <x:v>☐</x:v>
      </x:c>
      <x:c r="B2222" s="34" t="str">
        <x:v>MI-0592</x:v>
      </x:c>
      <x:c r="C2222" s="34" t="str">
        <x:v>M5 — دانش، فرهنگ، حکمرانی و بانک مطالعاتی</x:v>
      </x:c>
      <x:c r="D2222" s="34" t="str">
        <x:v>H18</x:v>
      </x:c>
      <x:c r="E2222" s="34" t="str">
        <x:v>بانک مطالعه، منابع و موضوعات کنجکاوی</x:v>
      </x:c>
      <x:c r="F2222" s="34" t="str">
        <x:v>BANK</x:v>
      </x:c>
      <x:c r="G2222" s="34" t="str">
        <x:v>مطالعه/منبع</x:v>
      </x:c>
      <x:c r="H2222" s="39" t="str">
        <x:v>جنگ سرد ایران و آمریکا</x:v>
      </x:c>
      <x:c r="I2222" s="39" t="str">
        <x:v>بانک مطالعه؛ سقف زمانی</x:v>
      </x:c>
      <x:c r="J2222" s="39" t="str">
        <x:v>مدیر دانش/کیوریتور محتوا</x:v>
      </x:c>
      <x:c r="K2222" s="39" t="str"/>
      <x:c r="L2222" s="39" t="str">
        <x:v>AP:P378</x:v>
      </x:c>
      <x:c r="M2222" s="39" t="str"/>
      <x:c r="N2222" s="39" t="str">
        <x:v>نسخه پایه ۳۱۵۰</x:v>
      </x:c>
    </x:row>
    <x:row r="2223" ht="34" customHeight="1">
      <x:c r="A2223" s="34" t="str">
        <x:v>☐</x:v>
      </x:c>
      <x:c r="B2223" s="34" t="str">
        <x:v>MI-0593</x:v>
      </x:c>
      <x:c r="C2223" s="34" t="str">
        <x:v>M5 — دانش، فرهنگ، حکمرانی و بانک مطالعاتی</x:v>
      </x:c>
      <x:c r="D2223" s="34" t="str">
        <x:v>H18</x:v>
      </x:c>
      <x:c r="E2223" s="34" t="str">
        <x:v>بانک مطالعه، منابع و موضوعات کنجکاوی</x:v>
      </x:c>
      <x:c r="F2223" s="34" t="str">
        <x:v>BANK</x:v>
      </x:c>
      <x:c r="G2223" s="34" t="str">
        <x:v>مطالعه/منبع</x:v>
      </x:c>
      <x:c r="H2223" s="39" t="str">
        <x:v>داریوش رضایی نژاد خاطرات</x:v>
      </x:c>
      <x:c r="I2223" s="39" t="str">
        <x:v>بانک مطالعه؛ سقف زمانی</x:v>
      </x:c>
      <x:c r="J2223" s="39" t="str">
        <x:v>مدیر دانش/کیوریتور محتوا</x:v>
      </x:c>
      <x:c r="K2223" s="39" t="str"/>
      <x:c r="L2223" s="39" t="str">
        <x:v>AP:P379</x:v>
      </x:c>
      <x:c r="M2223" s="39" t="str"/>
      <x:c r="N2223" s="39" t="str">
        <x:v>نسخه پایه ۳۱۵۰</x:v>
      </x:c>
    </x:row>
    <x:row r="2224" ht="34" customHeight="1">
      <x:c r="A2224" s="34" t="str">
        <x:v>☐</x:v>
      </x:c>
      <x:c r="B2224" s="34" t="str">
        <x:v>MI-0594</x:v>
      </x:c>
      <x:c r="C2224" s="34" t="str">
        <x:v>M5 — دانش، فرهنگ، حکمرانی و بانک مطالعاتی</x:v>
      </x:c>
      <x:c r="D2224" s="34" t="str">
        <x:v>H18</x:v>
      </x:c>
      <x:c r="E2224" s="34" t="str">
        <x:v>بانک مطالعه، منابع و موضوعات کنجکاوی</x:v>
      </x:c>
      <x:c r="F2224" s="34" t="str">
        <x:v>BANK</x:v>
      </x:c>
      <x:c r="G2224" s="34" t="str">
        <x:v>مطالعه/منبع</x:v>
      </x:c>
      <x:c r="H2224" s="39" t="str">
        <x:v>صلحی که همه صلح ها رو از بین برد</x:v>
      </x:c>
      <x:c r="I2224" s="39" t="str">
        <x:v>بانک مطالعه؛ سقف زمانی</x:v>
      </x:c>
      <x:c r="J2224" s="39" t="str">
        <x:v>مدیر دانش/کیوریتور محتوا</x:v>
      </x:c>
      <x:c r="K2224" s="39" t="str"/>
      <x:c r="L2224" s="39" t="str">
        <x:v>AP:P380</x:v>
      </x:c>
      <x:c r="M2224" s="39" t="str"/>
      <x:c r="N2224" s="39" t="str">
        <x:v>نسخه پایه ۳۱۵۰</x:v>
      </x:c>
    </x:row>
    <x:row r="2225" ht="34" customHeight="1">
      <x:c r="A2225" s="34" t="str">
        <x:v>☐</x:v>
      </x:c>
      <x:c r="B2225" s="34" t="str">
        <x:v>MI-0595</x:v>
      </x:c>
      <x:c r="C2225" s="34" t="str">
        <x:v>M5 — دانش، فرهنگ، حکمرانی و بانک مطالعاتی</x:v>
      </x:c>
      <x:c r="D2225" s="34" t="str">
        <x:v>H18</x:v>
      </x:c>
      <x:c r="E2225" s="34" t="str">
        <x:v>بانک مطالعه، منابع و موضوعات کنجکاوی</x:v>
      </x:c>
      <x:c r="F2225" s="34" t="str">
        <x:v>BANK</x:v>
      </x:c>
      <x:c r="G2225" s="34" t="str">
        <x:v>مطالعه/منبع</x:v>
      </x:c>
      <x:c r="H2225" s="39" t="str">
        <x:v>سیاست های خیابانی عارف بیات</x:v>
      </x:c>
      <x:c r="I2225" s="39" t="str">
        <x:v>بانک مطالعه؛ سقف زمانی</x:v>
      </x:c>
      <x:c r="J2225" s="39" t="str">
        <x:v>مدیر دانش/کیوریتور محتوا</x:v>
      </x:c>
      <x:c r="K2225" s="39" t="str"/>
      <x:c r="L2225" s="39" t="str">
        <x:v>AP:P381</x:v>
      </x:c>
      <x:c r="M2225" s="39" t="str"/>
      <x:c r="N2225" s="39" t="str">
        <x:v>نسخه پایه ۳۱۵۰</x:v>
      </x:c>
    </x:row>
    <x:row r="2226" ht="34" customHeight="1">
      <x:c r="A2226" s="34" t="str">
        <x:v>☐</x:v>
      </x:c>
      <x:c r="B2226" s="34" t="str">
        <x:v>MI-0596</x:v>
      </x:c>
      <x:c r="C2226" s="34" t="str">
        <x:v>M5 — دانش، فرهنگ، حکمرانی و بانک مطالعاتی</x:v>
      </x:c>
      <x:c r="D2226" s="34" t="str">
        <x:v>H18</x:v>
      </x:c>
      <x:c r="E2226" s="34" t="str">
        <x:v>بانک مطالعه، منابع و موضوعات کنجکاوی</x:v>
      </x:c>
      <x:c r="F2226" s="34" t="str">
        <x:v>BANK</x:v>
      </x:c>
      <x:c r="G2226" s="34" t="str">
        <x:v>مطالعه/منبع</x:v>
      </x:c>
      <x:c r="H2226" s="39" t="str">
        <x:v>زندگی</x:v>
      </x:c>
      <x:c r="I2226" s="39" t="str">
        <x:v>بانک مطالعه؛ سقف زمانی</x:v>
      </x:c>
      <x:c r="J2226" s="39" t="str">
        <x:v>مدیر دانش/کیوریتور محتوا</x:v>
      </x:c>
      <x:c r="K2226" s="39" t="str"/>
      <x:c r="L2226" s="39" t="str">
        <x:v>AP:P382</x:v>
      </x:c>
      <x:c r="M2226" s="39" t="str"/>
      <x:c r="N2226" s="39" t="str">
        <x:v>نسخه پایه ۳۱۵۰</x:v>
      </x:c>
    </x:row>
    <x:row r="2227" ht="34" customHeight="1">
      <x:c r="A2227" s="34" t="str">
        <x:v>☐</x:v>
      </x:c>
      <x:c r="B2227" s="34" t="str">
        <x:v>MI-0597</x:v>
      </x:c>
      <x:c r="C2227" s="34" t="str">
        <x:v>M5 — دانش، فرهنگ، حکمرانی و بانک مطالعاتی</x:v>
      </x:c>
      <x:c r="D2227" s="34" t="str">
        <x:v>H18</x:v>
      </x:c>
      <x:c r="E2227" s="34" t="str">
        <x:v>بانک مطالعه، منابع و موضوعات کنجکاوی</x:v>
      </x:c>
      <x:c r="F2227" s="34" t="str">
        <x:v>BANK</x:v>
      </x:c>
      <x:c r="G2227" s="34" t="str">
        <x:v>مطالعه/منبع</x:v>
      </x:c>
      <x:c r="H2227" s="39" t="str">
        <x:v>دروغگویی روی مبل</x:v>
      </x:c>
      <x:c r="I2227" s="39" t="str">
        <x:v>بانک مطالعه؛ سقف زمانی</x:v>
      </x:c>
      <x:c r="J2227" s="39" t="str">
        <x:v>مدیر دانش/کیوریتور محتوا</x:v>
      </x:c>
      <x:c r="K2227" s="39" t="str"/>
      <x:c r="L2227" s="39" t="str">
        <x:v>AP:P383</x:v>
      </x:c>
      <x:c r="M2227" s="39" t="str"/>
      <x:c r="N2227" s="39" t="str">
        <x:v>نسخه پایه ۳۱۵۰</x:v>
      </x:c>
    </x:row>
    <x:row r="2228" ht="34" customHeight="1">
      <x:c r="A2228" s="34" t="str">
        <x:v>☐</x:v>
      </x:c>
      <x:c r="B2228" s="34" t="str">
        <x:v>MI-0598</x:v>
      </x:c>
      <x:c r="C2228" s="34" t="str">
        <x:v>M5 — دانش، فرهنگ، حکمرانی و بانک مطالعاتی</x:v>
      </x:c>
      <x:c r="D2228" s="34" t="str">
        <x:v>H18</x:v>
      </x:c>
      <x:c r="E2228" s="34" t="str">
        <x:v>بانک مطالعه، منابع و موضوعات کنجکاوی</x:v>
      </x:c>
      <x:c r="F2228" s="34" t="str">
        <x:v>BANK</x:v>
      </x:c>
      <x:c r="G2228" s="34" t="str">
        <x:v>مطالعه/منبع</x:v>
      </x:c>
      <x:c r="H2228" s="39" t="str">
        <x:v>قوز فکری رضا راهداری</x:v>
      </x:c>
      <x:c r="I2228" s="39" t="str">
        <x:v>بانک مطالعه؛ سقف زمانی</x:v>
      </x:c>
      <x:c r="J2228" s="39" t="str">
        <x:v>مدیر دانش/کیوریتور محتوا</x:v>
      </x:c>
      <x:c r="K2228" s="39" t="str"/>
      <x:c r="L2228" s="39" t="str">
        <x:v>AP:P384</x:v>
      </x:c>
      <x:c r="M2228" s="39" t="str"/>
      <x:c r="N2228" s="39" t="str">
        <x:v>نسخه پایه ۳۱۵۰</x:v>
      </x:c>
    </x:row>
    <x:row r="2229" ht="34" customHeight="1">
      <x:c r="A2229" s="34" t="str">
        <x:v>☐</x:v>
      </x:c>
      <x:c r="B2229" s="34" t="str">
        <x:v>MI-0599</x:v>
      </x:c>
      <x:c r="C2229" s="34" t="str">
        <x:v>M5 — دانش، فرهنگ، حکمرانی و بانک مطالعاتی</x:v>
      </x:c>
      <x:c r="D2229" s="34" t="str">
        <x:v>H18</x:v>
      </x:c>
      <x:c r="E2229" s="34" t="str">
        <x:v>بانک مطالعه، منابع و موضوعات کنجکاوی</x:v>
      </x:c>
      <x:c r="F2229" s="34" t="str">
        <x:v>BANK</x:v>
      </x:c>
      <x:c r="G2229" s="34" t="str">
        <x:v>مطالعه/منبع</x:v>
      </x:c>
      <x:c r="H2229" s="39" t="str">
        <x:v>موج سوم دموکراسی</x:v>
      </x:c>
      <x:c r="I2229" s="39" t="str">
        <x:v>بانک مطالعه؛ سقف زمانی</x:v>
      </x:c>
      <x:c r="J2229" s="39" t="str">
        <x:v>مدیر دانش/کیوریتور محتوا</x:v>
      </x:c>
      <x:c r="K2229" s="39" t="str"/>
      <x:c r="L2229" s="39" t="str">
        <x:v>AP:P385</x:v>
      </x:c>
      <x:c r="M2229" s="39" t="str"/>
      <x:c r="N2229" s="39" t="str">
        <x:v>نسخه پایه ۳۱۵۰</x:v>
      </x:c>
    </x:row>
    <x:row r="2230" ht="34" customHeight="1">
      <x:c r="A2230" s="34" t="str">
        <x:v>☐</x:v>
      </x:c>
      <x:c r="B2230" s="34" t="str">
        <x:v>MI-0600</x:v>
      </x:c>
      <x:c r="C2230" s="34" t="str">
        <x:v>M5 — دانش، فرهنگ، حکمرانی و بانک مطالعاتی</x:v>
      </x:c>
      <x:c r="D2230" s="34" t="str">
        <x:v>H18</x:v>
      </x:c>
      <x:c r="E2230" s="34" t="str">
        <x:v>بانک مطالعه، منابع و موضوعات کنجکاوی</x:v>
      </x:c>
      <x:c r="F2230" s="34" t="str">
        <x:v>BANK</x:v>
      </x:c>
      <x:c r="G2230" s="34" t="str">
        <x:v>مطالعه/منبع</x:v>
      </x:c>
      <x:c r="H2230" s="39" t="str">
        <x:v>مدرسه حکمرانی شریعتی</x:v>
      </x:c>
      <x:c r="I2230" s="39" t="str">
        <x:v>بانک مطالعه؛ سقف زمانی</x:v>
      </x:c>
      <x:c r="J2230" s="39" t="str">
        <x:v>مدیر دانش/کیوریتور محتوا</x:v>
      </x:c>
      <x:c r="K2230" s="39" t="str"/>
      <x:c r="L2230" s="39" t="str">
        <x:v>AP:P386</x:v>
      </x:c>
      <x:c r="M2230" s="39" t="str"/>
      <x:c r="N2230" s="39" t="str">
        <x:v>نسخه پایه ۳۱۵۰</x:v>
      </x:c>
    </x:row>
    <x:row r="2231" ht="34" customHeight="1">
      <x:c r="A2231" s="34" t="str">
        <x:v>☐</x:v>
      </x:c>
      <x:c r="B2231" s="34" t="str">
        <x:v>MI-0601</x:v>
      </x:c>
      <x:c r="C2231" s="34" t="str">
        <x:v>M5 — دانش، فرهنگ، حکمرانی و بانک مطالعاتی</x:v>
      </x:c>
      <x:c r="D2231" s="34" t="str">
        <x:v>H18</x:v>
      </x:c>
      <x:c r="E2231" s="34" t="str">
        <x:v>بانک مطالعه، منابع و موضوعات کنجکاوی</x:v>
      </x:c>
      <x:c r="F2231" s="34" t="str">
        <x:v>BANK</x:v>
      </x:c>
      <x:c r="G2231" s="34" t="str">
        <x:v>مطالعه/منبع</x:v>
      </x:c>
      <x:c r="H2231" s="39" t="str">
        <x:v>جدال دو اسلام</x:v>
      </x:c>
      <x:c r="I2231" s="39" t="str">
        <x:v>بانک مطالعه؛ سقف زمانی</x:v>
      </x:c>
      <x:c r="J2231" s="39" t="str">
        <x:v>مدیر دانش/کیوریتور محتوا</x:v>
      </x:c>
      <x:c r="K2231" s="39" t="str"/>
      <x:c r="L2231" s="39" t="str">
        <x:v>AP:P387</x:v>
      </x:c>
      <x:c r="M2231" s="39" t="str"/>
      <x:c r="N2231" s="39" t="str">
        <x:v>نسخه پایه ۳۱۵۰</x:v>
      </x:c>
    </x:row>
    <x:row r="2232" ht="34" customHeight="1">
      <x:c r="A2232" s="34" t="str">
        <x:v>☐</x:v>
      </x:c>
      <x:c r="B2232" s="34" t="str">
        <x:v>MI-0602</x:v>
      </x:c>
      <x:c r="C2232" s="34" t="str">
        <x:v>M5 — دانش، فرهنگ، حکمرانی و بانک مطالعاتی</x:v>
      </x:c>
      <x:c r="D2232" s="34" t="str">
        <x:v>H18</x:v>
      </x:c>
      <x:c r="E2232" s="34" t="str">
        <x:v>بانک مطالعه، منابع و موضوعات کنجکاوی</x:v>
      </x:c>
      <x:c r="F2232" s="34" t="str">
        <x:v>BANK</x:v>
      </x:c>
      <x:c r="G2232" s="34" t="str">
        <x:v>مطالعه/منبع</x:v>
      </x:c>
      <x:c r="H2232" s="39" t="str">
        <x:v>کتاب بهترین آفریده</x:v>
      </x:c>
      <x:c r="I2232" s="39" t="str">
        <x:v>بانک مطالعه؛ سقف زمانی</x:v>
      </x:c>
      <x:c r="J2232" s="39" t="str">
        <x:v>مدیر دانش/کیوریتور محتوا</x:v>
      </x:c>
      <x:c r="K2232" s="39" t="str"/>
      <x:c r="L2232" s="39" t="str">
        <x:v>AP:P388</x:v>
      </x:c>
      <x:c r="M2232" s="39" t="str"/>
      <x:c r="N2232" s="39" t="str">
        <x:v>نسخه پایه ۳۱۵۰</x:v>
      </x:c>
    </x:row>
    <x:row r="2233" ht="34" customHeight="1">
      <x:c r="A2233" s="34" t="str">
        <x:v>☐</x:v>
      </x:c>
      <x:c r="B2233" s="34" t="str">
        <x:v>MI-0603</x:v>
      </x:c>
      <x:c r="C2233" s="34" t="str">
        <x:v>M5 — دانش، فرهنگ، حکمرانی و بانک مطالعاتی</x:v>
      </x:c>
      <x:c r="D2233" s="34" t="str">
        <x:v>H18</x:v>
      </x:c>
      <x:c r="E2233" s="34" t="str">
        <x:v>بانک مطالعه، منابع و موضوعات کنجکاوی</x:v>
      </x:c>
      <x:c r="F2233" s="34" t="str">
        <x:v>BANK</x:v>
      </x:c>
      <x:c r="G2233" s="34" t="str">
        <x:v>مطالعه/منبع</x:v>
      </x:c>
      <x:c r="H2233" s="39" t="str">
        <x:v>کتاب تویی که نمیشناختمت</x:v>
      </x:c>
      <x:c r="I2233" s="39" t="str">
        <x:v>بانک مطالعه؛ سقف زمانی</x:v>
      </x:c>
      <x:c r="J2233" s="39" t="str">
        <x:v>مدیر دانش/کیوریتور محتوا</x:v>
      </x:c>
      <x:c r="K2233" s="39" t="str"/>
      <x:c r="L2233" s="39" t="str">
        <x:v>AP:P389</x:v>
      </x:c>
      <x:c r="M2233" s="39" t="str"/>
      <x:c r="N2233" s="39" t="str">
        <x:v>نسخه پایه ۳۱۵۰</x:v>
      </x:c>
    </x:row>
    <x:row r="2234" ht="34" customHeight="1">
      <x:c r="A2234" s="34" t="str">
        <x:v>☐</x:v>
      </x:c>
      <x:c r="B2234" s="34" t="str">
        <x:v>MI-0604</x:v>
      </x:c>
      <x:c r="C2234" s="34" t="str">
        <x:v>M5 — دانش، فرهنگ، حکمرانی و بانک مطالعاتی</x:v>
      </x:c>
      <x:c r="D2234" s="34" t="str">
        <x:v>H18</x:v>
      </x:c>
      <x:c r="E2234" s="34" t="str">
        <x:v>بانک مطالعه، منابع و موضوعات کنجکاوی</x:v>
      </x:c>
      <x:c r="F2234" s="34" t="str">
        <x:v>BANK</x:v>
      </x:c>
      <x:c r="G2234" s="34" t="str">
        <x:v>مطالعه/منبع</x:v>
      </x:c>
      <x:c r="H2234" s="39" t="str">
        <x:v>مستند ها</x:v>
      </x:c>
      <x:c r="I2234" s="39" t="str">
        <x:v>بانک مطالعه؛ سقف زمانی</x:v>
      </x:c>
      <x:c r="J2234" s="39" t="str">
        <x:v>مدیر دانش/کیوریتور محتوا</x:v>
      </x:c>
      <x:c r="K2234" s="39" t="str"/>
      <x:c r="L2234" s="39" t="str">
        <x:v>AP:P390</x:v>
      </x:c>
      <x:c r="M2234" s="39" t="str"/>
      <x:c r="N2234" s="39" t="str">
        <x:v>نسخه پایه ۳۱۵۰</x:v>
      </x:c>
    </x:row>
    <x:row r="2235" ht="34" customHeight="1">
      <x:c r="A2235" s="34" t="str">
        <x:v>☐</x:v>
      </x:c>
      <x:c r="B2235" s="34" t="str">
        <x:v>MI-0605</x:v>
      </x:c>
      <x:c r="C2235" s="34" t="str">
        <x:v>M5 — دانش، فرهنگ، حکمرانی و بانک مطالعاتی</x:v>
      </x:c>
      <x:c r="D2235" s="34" t="str">
        <x:v>H18</x:v>
      </x:c>
      <x:c r="E2235" s="34" t="str">
        <x:v>بانک مطالعه، منابع و موضوعات کنجکاوی</x:v>
      </x:c>
      <x:c r="F2235" s="34" t="str">
        <x:v>BANK</x:v>
      </x:c>
      <x:c r="G2235" s="34" t="str">
        <x:v>مطالعه/منبع</x:v>
      </x:c>
      <x:c r="H2235" s="39" t="str">
        <x:v>چگونه بانک بزنیم</x:v>
      </x:c>
      <x:c r="I2235" s="39" t="str">
        <x:v>بانک مطالعه؛ سقف زمانی</x:v>
      </x:c>
      <x:c r="J2235" s="39" t="str">
        <x:v>مدیر دانش/کیوریتور محتوا</x:v>
      </x:c>
      <x:c r="K2235" s="39" t="str"/>
      <x:c r="L2235" s="39" t="str">
        <x:v>AP:P391</x:v>
      </x:c>
      <x:c r="M2235" s="39" t="str"/>
      <x:c r="N2235" s="39" t="str">
        <x:v>نسخه پایه ۳۱۵۰</x:v>
      </x:c>
    </x:row>
    <x:row r="2236" ht="34" customHeight="1">
      <x:c r="A2236" s="34" t="str">
        <x:v>☐</x:v>
      </x:c>
      <x:c r="B2236" s="34" t="str">
        <x:v>MI-0606</x:v>
      </x:c>
      <x:c r="C2236" s="34" t="str">
        <x:v>M5 — دانش، فرهنگ، حکمرانی و بانک مطالعاتی</x:v>
      </x:c>
      <x:c r="D2236" s="34" t="str">
        <x:v>H18</x:v>
      </x:c>
      <x:c r="E2236" s="34" t="str">
        <x:v>بانک مطالعه، منابع و موضوعات کنجکاوی</x:v>
      </x:c>
      <x:c r="F2236" s="34" t="str">
        <x:v>BANK</x:v>
      </x:c>
      <x:c r="G2236" s="34" t="str">
        <x:v>مطالعه/منبع</x:v>
      </x:c>
      <x:c r="H2236" s="39" t="str">
        <x:v>عبای سوخته</x:v>
      </x:c>
      <x:c r="I2236" s="39" t="str">
        <x:v>بانک مطالعه؛ سقف زمانی</x:v>
      </x:c>
      <x:c r="J2236" s="39" t="str">
        <x:v>مدیر دانش/کیوریتور محتوا</x:v>
      </x:c>
      <x:c r="K2236" s="39" t="str"/>
      <x:c r="L2236" s="39" t="str">
        <x:v>AP:P392</x:v>
      </x:c>
      <x:c r="M2236" s="39" t="str"/>
      <x:c r="N2236" s="39" t="str">
        <x:v>نسخه پایه ۳۱۵۰</x:v>
      </x:c>
    </x:row>
    <x:row r="2237" ht="34" customHeight="1">
      <x:c r="A2237" s="34" t="str">
        <x:v>☐</x:v>
      </x:c>
      <x:c r="B2237" s="34" t="str">
        <x:v>MI-0607</x:v>
      </x:c>
      <x:c r="C2237" s="34" t="str">
        <x:v>M5 — دانش، فرهنگ، حکمرانی و بانک مطالعاتی</x:v>
      </x:c>
      <x:c r="D2237" s="34" t="str">
        <x:v>H18</x:v>
      </x:c>
      <x:c r="E2237" s="34" t="str">
        <x:v>بانک مطالعه، منابع و موضوعات کنجکاوی</x:v>
      </x:c>
      <x:c r="F2237" s="34" t="str">
        <x:v>BANK</x:v>
      </x:c>
      <x:c r="G2237" s="34" t="str">
        <x:v>مطالعه/منبع</x:v>
      </x:c>
      <x:c r="H2237" s="39" t="str">
        <x:v>عابدان کهنز</x:v>
      </x:c>
      <x:c r="I2237" s="39" t="str">
        <x:v>بانک مطالعه؛ سقف زمانی</x:v>
      </x:c>
      <x:c r="J2237" s="39" t="str">
        <x:v>مدیر دانش/کیوریتور محتوا</x:v>
      </x:c>
      <x:c r="K2237" s="39" t="str"/>
      <x:c r="L2237" s="39" t="str">
        <x:v>AP:P393</x:v>
      </x:c>
      <x:c r="M2237" s="39" t="str"/>
      <x:c r="N2237" s="39" t="str">
        <x:v>نسخه پایه ۳۱۵۰</x:v>
      </x:c>
    </x:row>
    <x:row r="2238" ht="34" customHeight="1">
      <x:c r="A2238" s="34" t="str">
        <x:v>☐</x:v>
      </x:c>
      <x:c r="B2238" s="34" t="str">
        <x:v>MI-0609</x:v>
      </x:c>
      <x:c r="C2238" s="34" t="str">
        <x:v>M5 — دانش، فرهنگ، حکمرانی و بانک مطالعاتی</x:v>
      </x:c>
      <x:c r="D2238" s="34" t="str">
        <x:v>H18</x:v>
      </x:c>
      <x:c r="E2238" s="34" t="str">
        <x:v>بانک مطالعه، منابع و موضوعات کنجکاوی</x:v>
      </x:c>
      <x:c r="F2238" s="34" t="str">
        <x:v>BANK</x:v>
      </x:c>
      <x:c r="G2238" s="34" t="str">
        <x:v>مطالعه/منبع</x:v>
      </x:c>
      <x:c r="H2238" s="39" t="str">
        <x:v>کتاب رباتیک اسپانگ</x:v>
      </x:c>
      <x:c r="I2238" s="39" t="str">
        <x:v>بانک مطالعه؛ سقف زمانی</x:v>
      </x:c>
      <x:c r="J2238" s="39" t="str">
        <x:v>مدیر دانش/کیوریتور محتوا</x:v>
      </x:c>
      <x:c r="K2238" s="39" t="str"/>
      <x:c r="L2238" s="39" t="str">
        <x:v>AP:P395</x:v>
      </x:c>
      <x:c r="M2238" s="39" t="str"/>
      <x:c r="N2238" s="39" t="str">
        <x:v>نسخه پایه ۳۱۵۰</x:v>
      </x:c>
    </x:row>
    <x:row r="2239" ht="34" customHeight="1">
      <x:c r="A2239" s="34" t="str">
        <x:v>☐</x:v>
      </x:c>
      <x:c r="B2239" s="34" t="str">
        <x:v>MI-0843</x:v>
      </x:c>
      <x:c r="C2239" s="34" t="str">
        <x:v>M5 — دانش، فرهنگ، حکمرانی و بانک مطالعاتی</x:v>
      </x:c>
      <x:c r="D2239" s="34" t="str">
        <x:v>H18</x:v>
      </x:c>
      <x:c r="E2239" s="34" t="str">
        <x:v>بانک مطالعه، منابع و موضوعات کنجکاوی</x:v>
      </x:c>
      <x:c r="F2239" s="34" t="str">
        <x:v>BANK</x:v>
      </x:c>
      <x:c r="G2239" s="34" t="str">
        <x:v>مطالعه/منبع</x:v>
      </x:c>
      <x:c r="H2239" s="39" t="str">
        <x:v>سایت صنفی</x:v>
      </x:c>
      <x:c r="I2239" s="39" t="str">
        <x:v>بانک مطالعه؛ سقف زمانی</x:v>
      </x:c>
      <x:c r="J2239" s="39" t="str">
        <x:v>مدیر دانش/کیوریتور محتوا</x:v>
      </x:c>
      <x:c r="K2239" s="39" t="str"/>
      <x:c r="L2239" s="39" t="str">
        <x:v>AP:P647</x:v>
      </x:c>
      <x:c r="M2239" s="39" t="str"/>
      <x:c r="N2239" s="39" t="str">
        <x:v>نسخه پایه ۳۱۵۰</x:v>
      </x:c>
    </x:row>
    <x:row r="2240" ht="34" customHeight="1">
      <x:c r="A2240" s="34" t="str">
        <x:v>☐</x:v>
      </x:c>
      <x:c r="B2240" s="34" t="str">
        <x:v>MI-0845</x:v>
      </x:c>
      <x:c r="C2240" s="34" t="str">
        <x:v>M5 — دانش، فرهنگ، حکمرانی و بانک مطالعاتی</x:v>
      </x:c>
      <x:c r="D2240" s="34" t="str">
        <x:v>H18</x:v>
      </x:c>
      <x:c r="E2240" s="34" t="str">
        <x:v>بانک مطالعه، منابع و موضوعات کنجکاوی</x:v>
      </x:c>
      <x:c r="F2240" s="34" t="str">
        <x:v>BANK</x:v>
      </x:c>
      <x:c r="G2240" s="34" t="str">
        <x:v>مطالعه/منبع</x:v>
      </x:c>
      <x:c r="H2240" s="39" t="str">
        <x:v>رزرو کمد در سایت و عکس از نمای سه بعدی بالای ساختمان و نحوه قرار گیری کمد ها</x:v>
      </x:c>
      <x:c r="I2240" s="39" t="str">
        <x:v>بانک مطالعه؛ سقف زمانی</x:v>
      </x:c>
      <x:c r="J2240" s="39" t="str">
        <x:v>مدیر دانش/کیوریتور محتوا</x:v>
      </x:c>
      <x:c r="K2240" s="39" t="str"/>
      <x:c r="L2240" s="39" t="str">
        <x:v>AP:P650</x:v>
      </x:c>
      <x:c r="M2240" s="39" t="str"/>
      <x:c r="N2240" s="39" t="str">
        <x:v>نسخه پایه ۳۱۵۰</x:v>
      </x:c>
    </x:row>
    <x:row r="2241" ht="34" customHeight="1">
      <x:c r="A2241" s="34" t="str">
        <x:v>☐</x:v>
      </x:c>
      <x:c r="B2241" s="34" t="str">
        <x:v>MI-0846</x:v>
      </x:c>
      <x:c r="C2241" s="34" t="str">
        <x:v>M5 — دانش، فرهنگ، حکمرانی و بانک مطالعاتی</x:v>
      </x:c>
      <x:c r="D2241" s="34" t="str">
        <x:v>H18</x:v>
      </x:c>
      <x:c r="E2241" s="34" t="str">
        <x:v>بانک مطالعه، منابع و موضوعات کنجکاوی</x:v>
      </x:c>
      <x:c r="F2241" s="34" t="str">
        <x:v>BANK</x:v>
      </x:c>
      <x:c r="G2241" s="34" t="str">
        <x:v>مطالعه/منبع</x:v>
      </x:c>
      <x:c r="H2241" s="39" t="str">
        <x:v>ساخت تصویر سه بعدی از قرارگیری کمد ها مثل برنامه نشان برای چرخش 360 درجه سه بعدی</x:v>
      </x:c>
      <x:c r="I2241" s="39" t="str">
        <x:v>بانک مطالعه؛ سقف زمانی</x:v>
      </x:c>
      <x:c r="J2241" s="39" t="str">
        <x:v>مدیر دانش/کیوریتور محتوا</x:v>
      </x:c>
      <x:c r="K2241" s="39" t="str"/>
      <x:c r="L2241" s="39" t="str">
        <x:v>AP:P651</x:v>
      </x:c>
      <x:c r="M2241" s="39" t="str"/>
      <x:c r="N2241" s="39" t="str">
        <x:v>نسخه پایه ۳۱۵۰</x:v>
      </x:c>
    </x:row>
    <x:row r="2242" ht="34" customHeight="1">
      <x:c r="A2242" s="34" t="str">
        <x:v>☐</x:v>
      </x:c>
      <x:c r="B2242" s="34" t="str">
        <x:v>MI-0847</x:v>
      </x:c>
      <x:c r="C2242" s="34" t="str">
        <x:v>M5 — دانش، فرهنگ، حکمرانی و بانک مطالعاتی</x:v>
      </x:c>
      <x:c r="D2242" s="34" t="str">
        <x:v>H18</x:v>
      </x:c>
      <x:c r="E2242" s="34" t="str">
        <x:v>بانک مطالعه، منابع و موضوعات کنجکاوی</x:v>
      </x:c>
      <x:c r="F2242" s="34" t="str">
        <x:v>BANK</x:v>
      </x:c>
      <x:c r="G2242" s="34" t="str">
        <x:v>مطالعه/منبع</x:v>
      </x:c>
      <x:c r="H2242" s="39" t="str">
        <x:v>بخش کارزار ها</x:v>
      </x:c>
      <x:c r="I2242" s="39" t="str">
        <x:v>بانک مطالعه؛ سقف زمانی</x:v>
      </x:c>
      <x:c r="J2242" s="39" t="str">
        <x:v>مدیر دانش/کیوریتور محتوا</x:v>
      </x:c>
      <x:c r="K2242" s="39" t="str"/>
      <x:c r="L2242" s="39" t="str">
        <x:v>AP:P652</x:v>
      </x:c>
      <x:c r="M2242" s="39" t="str"/>
      <x:c r="N2242" s="39" t="str">
        <x:v>نسخه پایه ۳۱۵۰</x:v>
      </x:c>
    </x:row>
    <x:row r="2243" ht="34" customHeight="1">
      <x:c r="A2243" s="34" t="str">
        <x:v>☐</x:v>
      </x:c>
      <x:c r="B2243" s="34" t="str">
        <x:v>MI-0848</x:v>
      </x:c>
      <x:c r="C2243" s="34" t="str">
        <x:v>M5 — دانش، فرهنگ، حکمرانی و بانک مطالعاتی</x:v>
      </x:c>
      <x:c r="D2243" s="34" t="str">
        <x:v>H18</x:v>
      </x:c>
      <x:c r="E2243" s="34" t="str">
        <x:v>بانک مطالعه، منابع و موضوعات کنجکاوی</x:v>
      </x:c>
      <x:c r="F2243" s="34" t="str">
        <x:v>BANK</x:v>
      </x:c>
      <x:c r="G2243" s="34" t="str">
        <x:v>مطالعه/منبع</x:v>
      </x:c>
      <x:c r="H2243" s="39" t="str">
        <x:v>بخش ثبت شکایت و انتقاد و پیشنهاد</x:v>
      </x:c>
      <x:c r="I2243" s="39" t="str">
        <x:v>بانک مطالعه؛ سقف زمانی</x:v>
      </x:c>
      <x:c r="J2243" s="39" t="str">
        <x:v>مدیر دانش/کیوریتور محتوا</x:v>
      </x:c>
      <x:c r="K2243" s="39" t="str"/>
      <x:c r="L2243" s="39" t="str">
        <x:v>AP:P653</x:v>
      </x:c>
      <x:c r="M2243" s="39" t="str"/>
      <x:c r="N2243" s="39" t="str">
        <x:v>نسخه پایه ۳۱۵۰</x:v>
      </x:c>
    </x:row>
    <x:row r="2244" ht="34" customHeight="1">
      <x:c r="A2244" s="34" t="str">
        <x:v>☐</x:v>
      </x:c>
      <x:c r="B2244" s="34" t="str">
        <x:v>MI-0849</x:v>
      </x:c>
      <x:c r="C2244" s="34" t="str">
        <x:v>M5 — دانش، فرهنگ، حکمرانی و بانک مطالعاتی</x:v>
      </x:c>
      <x:c r="D2244" s="34" t="str">
        <x:v>H18</x:v>
      </x:c>
      <x:c r="E2244" s="34" t="str">
        <x:v>بانک مطالعه، منابع و موضوعات کنجکاوی</x:v>
      </x:c>
      <x:c r="F2244" s="34" t="str">
        <x:v>BANK</x:v>
      </x:c>
      <x:c r="G2244" s="34" t="str">
        <x:v>مطالعه/منبع</x:v>
      </x:c>
      <x:c r="H2244" s="39" t="str">
        <x:v>بخش ثبت مشکل</x:v>
      </x:c>
      <x:c r="I2244" s="39" t="str">
        <x:v>بانک مطالعه؛ سقف زمانی</x:v>
      </x:c>
      <x:c r="J2244" s="39" t="str">
        <x:v>مدیر دانش/کیوریتور محتوا</x:v>
      </x:c>
      <x:c r="K2244" s="39" t="str"/>
      <x:c r="L2244" s="39" t="str">
        <x:v>AP:P654</x:v>
      </x:c>
      <x:c r="M2244" s="39" t="str"/>
      <x:c r="N2244" s="39" t="str">
        <x:v>نسخه پایه ۳۱۵۰</x:v>
      </x:c>
    </x:row>
    <x:row r="2245" ht="34" customHeight="1">
      <x:c r="A2245" s="34" t="str">
        <x:v>☐</x:v>
      </x:c>
      <x:c r="B2245" s="34" t="str">
        <x:v>MI-0854</x:v>
      </x:c>
      <x:c r="C2245" s="34" t="str">
        <x:v>M5 — دانش، فرهنگ، حکمرانی و بانک مطالعاتی</x:v>
      </x:c>
      <x:c r="D2245" s="34" t="str">
        <x:v>H18</x:v>
      </x:c>
      <x:c r="E2245" s="34" t="str">
        <x:v>بانک مطالعه، منابع و موضوعات کنجکاوی</x:v>
      </x:c>
      <x:c r="F2245" s="34" t="str">
        <x:v>BANK</x:v>
      </x:c>
      <x:c r="G2245" s="34" t="str">
        <x:v>مطالعه/منبع</x:v>
      </x:c>
      <x:c r="H2245" s="39" t="str">
        <x:v>میزان حجم اینترنت تعلق گرفته</x:v>
      </x:c>
      <x:c r="I2245" s="39" t="str">
        <x:v>بانک مطالعه؛ سقف زمانی</x:v>
      </x:c>
      <x:c r="J2245" s="39" t="str">
        <x:v>مدیر دانش/کیوریتور محتوا</x:v>
      </x:c>
      <x:c r="K2245" s="39" t="str"/>
      <x:c r="L2245" s="39" t="str">
        <x:v>AP:P659</x:v>
      </x:c>
      <x:c r="M2245" s="39" t="str"/>
      <x:c r="N2245" s="39" t="str">
        <x:v>نسخه پایه ۳۱۵۰</x:v>
      </x:c>
    </x:row>
    <x:row r="2246" ht="34" customHeight="1">
      <x:c r="A2246" s="34" t="str">
        <x:v>☐</x:v>
      </x:c>
      <x:c r="B2246" s="34" t="str">
        <x:v>MI-0977</x:v>
      </x:c>
      <x:c r="C2246" s="34" t="str">
        <x:v>M5 — دانش، فرهنگ، حکمرانی و بانک مطالعاتی</x:v>
      </x:c>
      <x:c r="D2246" s="34" t="str">
        <x:v>H18</x:v>
      </x:c>
      <x:c r="E2246" s="34" t="str">
        <x:v>بانک مطالعه، منابع و موضوعات کنجکاوی</x:v>
      </x:c>
      <x:c r="F2246" s="34" t="str">
        <x:v>BANK</x:v>
      </x:c>
      <x:c r="G2246" s="34" t="str">
        <x:v>مطالعه/منبع</x:v>
      </x:c>
      <x:c r="H2246" s="39" t="str">
        <x:v>آرام بند درب سالن های مطالعه بدون قفل شدن مغزی در و فقط دستگیره ها باشن</x:v>
      </x:c>
      <x:c r="I2246" s="39" t="str">
        <x:v>بانک مطالعه؛ سقف زمانی</x:v>
      </x:c>
      <x:c r="J2246" s="39" t="str">
        <x:v>مدیر دانش/کیوریتور محتوا</x:v>
      </x:c>
      <x:c r="K2246" s="39" t="str"/>
      <x:c r="L2246" s="39" t="str">
        <x:v>AP:P806</x:v>
      </x:c>
      <x:c r="M2246" s="39" t="str"/>
      <x:c r="N2246" s="39" t="str">
        <x:v>نسخه پایه ۳۱۵۰</x:v>
      </x:c>
    </x:row>
    <x:row r="2247" ht="34" customHeight="1">
      <x:c r="A2247" s="34" t="str">
        <x:v>☐</x:v>
      </x:c>
      <x:c r="B2247" s="34" t="str">
        <x:v>MI-1108</x:v>
      </x:c>
      <x:c r="C2247" s="34" t="str">
        <x:v>M5 — دانش، فرهنگ، حکمرانی و بانک مطالعاتی</x:v>
      </x:c>
      <x:c r="D2247" s="34" t="str">
        <x:v>H18</x:v>
      </x:c>
      <x:c r="E2247" s="34" t="str">
        <x:v>بانک مطالعه، منابع و موضوعات کنجکاوی</x:v>
      </x:c>
      <x:c r="F2247" s="34" t="str">
        <x:v>BANK</x:v>
      </x:c>
      <x:c r="G2247" s="34" t="str">
        <x:v>مطالعه/منبع</x:v>
      </x:c>
      <x:c r="H2247" s="39" t="str">
        <x:v>مسابقه کتابخوانی ندارقم</x:v>
      </x:c>
      <x:c r="I2247" s="39" t="str">
        <x:v>بانک مطالعه؛ سقف زمانی</x:v>
      </x:c>
      <x:c r="J2247" s="39" t="str">
        <x:v>مدیر دانش/کیوریتور محتوا</x:v>
      </x:c>
      <x:c r="K2247" s="39" t="str"/>
      <x:c r="L2247" s="39" t="str">
        <x:v>AP:P956</x:v>
      </x:c>
      <x:c r="M2247" s="39" t="str"/>
      <x:c r="N2247" s="39" t="str">
        <x:v>نسخه پایه ۳۱۵۰</x:v>
      </x:c>
    </x:row>
    <x:row r="2248" ht="34" customHeight="1">
      <x:c r="A2248" s="34" t="str">
        <x:v>☐</x:v>
      </x:c>
      <x:c r="B2248" s="34" t="str">
        <x:v>MI-1144</x:v>
      </x:c>
      <x:c r="C2248" s="34" t="str">
        <x:v>M5 — دانش، فرهنگ، حکمرانی و بانک مطالعاتی</x:v>
      </x:c>
      <x:c r="D2248" s="34" t="str">
        <x:v>H18</x:v>
      </x:c>
      <x:c r="E2248" s="34" t="str">
        <x:v>بانک مطالعه، منابع و موضوعات کنجکاوی</x:v>
      </x:c>
      <x:c r="F2248" s="34" t="str">
        <x:v>BANK</x:v>
      </x:c>
      <x:c r="G2248" s="34" t="str">
        <x:v>مطالعه/منبع</x:v>
      </x:c>
      <x:c r="H2248" s="39" t="str">
        <x:v>تجهیز قفسه های کتاب در مسحد بخش برادران و خوارهان</x:v>
      </x:c>
      <x:c r="I2248" s="39" t="str">
        <x:v>بانک مطالعه؛ سقف زمانی</x:v>
      </x:c>
      <x:c r="J2248" s="39" t="str">
        <x:v>مدیر دانش/کیوریتور محتوا</x:v>
      </x:c>
      <x:c r="K2248" s="39" t="str"/>
      <x:c r="L2248" s="39" t="str">
        <x:v>AP:P994</x:v>
      </x:c>
      <x:c r="M2248" s="39" t="str"/>
      <x:c r="N2248" s="39" t="str">
        <x:v>نسخه پایه ۳۱۵۰</x:v>
      </x:c>
    </x:row>
    <x:row r="2249" ht="34" customHeight="1">
      <x:c r="A2249" s="34" t="str">
        <x:v>☐</x:v>
      </x:c>
      <x:c r="B2249" s="34" t="str">
        <x:v>MI-1215</x:v>
      </x:c>
      <x:c r="C2249" s="34" t="str">
        <x:v>M5 — دانش، فرهنگ، حکمرانی و بانک مطالعاتی</x:v>
      </x:c>
      <x:c r="D2249" s="34" t="str">
        <x:v>H18</x:v>
      </x:c>
      <x:c r="E2249" s="34" t="str">
        <x:v>بانک مطالعه، منابع و موضوعات کنجکاوی</x:v>
      </x:c>
      <x:c r="F2249" s="34" t="str">
        <x:v>BANK</x:v>
      </x:c>
      <x:c r="G2249" s="34" t="str">
        <x:v>مطالعه/منبع</x:v>
      </x:c>
      <x:c r="H2249" s="39" t="str">
        <x:v>پروپوزال سایت صنفی</x:v>
      </x:c>
      <x:c r="I2249" s="39" t="str">
        <x:v>بانک مطالعه؛ سقف زمانی</x:v>
      </x:c>
      <x:c r="J2249" s="39" t="str">
        <x:v>مدیر دانش/کیوریتور محتوا</x:v>
      </x:c>
      <x:c r="K2249" s="39" t="str"/>
      <x:c r="L2249" s="39" t="str">
        <x:v>AP:P1078</x:v>
      </x:c>
      <x:c r="M2249" s="39" t="str"/>
      <x:c r="N2249" s="39" t="str">
        <x:v>نسخه پایه ۳۱۵۰</x:v>
      </x:c>
    </x:row>
    <x:row r="2250" ht="34" customHeight="1">
      <x:c r="A2250" s="34" t="str">
        <x:v>☐</x:v>
      </x:c>
      <x:c r="B2250" s="34" t="str">
        <x:v>MI-1217</x:v>
      </x:c>
      <x:c r="C2250" s="34" t="str">
        <x:v>M5 — دانش، فرهنگ، حکمرانی و بانک مطالعاتی</x:v>
      </x:c>
      <x:c r="D2250" s="34" t="str">
        <x:v>H18</x:v>
      </x:c>
      <x:c r="E2250" s="34" t="str">
        <x:v>بانک مطالعه، منابع و موضوعات کنجکاوی</x:v>
      </x:c>
      <x:c r="F2250" s="34" t="str">
        <x:v>BANK</x:v>
      </x:c>
      <x:c r="G2250" s="34" t="str">
        <x:v>مطالعه/منبع</x:v>
      </x:c>
      <x:c r="H2250" s="39" t="str">
        <x:v>ثبت تیکت</x:v>
      </x:c>
      <x:c r="I2250" s="39" t="str">
        <x:v>بانک مطالعه؛ سقف زمانی</x:v>
      </x:c>
      <x:c r="J2250" s="39" t="str">
        <x:v>مدیر دانش/کیوریتور محتوا</x:v>
      </x:c>
      <x:c r="K2250" s="39" t="str"/>
      <x:c r="L2250" s="39" t="str">
        <x:v>AP:P1080</x:v>
      </x:c>
      <x:c r="M2250" s="39" t="str"/>
      <x:c r="N2250" s="39" t="str">
        <x:v>نسخه پایه ۳۱۵۰</x:v>
      </x:c>
    </x:row>
    <x:row r="2251" ht="34" customHeight="1">
      <x:c r="A2251" s="34" t="str">
        <x:v>☐</x:v>
      </x:c>
      <x:c r="B2251" s="34" t="str">
        <x:v>MI-1218</x:v>
      </x:c>
      <x:c r="C2251" s="34" t="str">
        <x:v>M5 — دانش، فرهنگ، حکمرانی و بانک مطالعاتی</x:v>
      </x:c>
      <x:c r="D2251" s="34" t="str">
        <x:v>H18</x:v>
      </x:c>
      <x:c r="E2251" s="34" t="str">
        <x:v>بانک مطالعه، منابع و موضوعات کنجکاوی</x:v>
      </x:c>
      <x:c r="F2251" s="34" t="str">
        <x:v>BANK</x:v>
      </x:c>
      <x:c r="G2251" s="34" t="str">
        <x:v>مطالعه/منبع</x:v>
      </x:c>
      <x:c r="H2251" s="39" t="str">
        <x:v>بایگانی درسی</x:v>
      </x:c>
      <x:c r="I2251" s="39" t="str">
        <x:v>بانک مطالعه؛ سقف زمانی</x:v>
      </x:c>
      <x:c r="J2251" s="39" t="str">
        <x:v>مدیر دانش/کیوریتور محتوا</x:v>
      </x:c>
      <x:c r="K2251" s="39" t="str"/>
      <x:c r="L2251" s="39" t="str">
        <x:v>AP:P1081</x:v>
      </x:c>
      <x:c r="M2251" s="39" t="str"/>
      <x:c r="N2251" s="39" t="str">
        <x:v>نسخه پایه ۳۱۵۰</x:v>
      </x:c>
    </x:row>
    <x:row r="2252" ht="34" customHeight="1">
      <x:c r="A2252" s="34" t="str">
        <x:v>☐</x:v>
      </x:c>
      <x:c r="B2252" s="34" t="str">
        <x:v>MI-1304</x:v>
      </x:c>
      <x:c r="C2252" s="34" t="str">
        <x:v>M5 — دانش، فرهنگ، حکمرانی و بانک مطالعاتی</x:v>
      </x:c>
      <x:c r="D2252" s="34" t="str">
        <x:v>H18</x:v>
      </x:c>
      <x:c r="E2252" s="34" t="str">
        <x:v>بانک مطالعه، منابع و موضوعات کنجکاوی</x:v>
      </x:c>
      <x:c r="F2252" s="34" t="str">
        <x:v>BANK</x:v>
      </x:c>
      <x:c r="G2252" s="34" t="str">
        <x:v>مطالعه/منبع</x:v>
      </x:c>
      <x:c r="H2252" s="39" t="str">
        <x:v>جمع آوری درب های بطری ها و تهیه ویلچر ها به تعداد و اهدا آن به موسسات مورد نیاز و ارایه و انتشار مستندات این اقدام ها جهت تبلیغ صنف همکار</x:v>
      </x:c>
      <x:c r="I2252" s="39" t="str">
        <x:v>بانک مطالعه؛ سقف زمانی</x:v>
      </x:c>
      <x:c r="J2252" s="39" t="str">
        <x:v>مدیر دانش/کیوریتور محتوا</x:v>
      </x:c>
      <x:c r="K2252" s="39" t="str"/>
      <x:c r="L2252" s="39" t="str">
        <x:v>AP:P1196</x:v>
      </x:c>
      <x:c r="M2252" s="39" t="str"/>
      <x:c r="N2252" s="39" t="str">
        <x:v>نسخه پایه ۳۱۵۰</x:v>
      </x:c>
    </x:row>
    <x:row r="2253" ht="34" customHeight="1">
      <x:c r="A2253" s="34" t="str">
        <x:v>☐</x:v>
      </x:c>
      <x:c r="B2253" s="34" t="str">
        <x:v>MI-1341</x:v>
      </x:c>
      <x:c r="C2253" s="34" t="str">
        <x:v>M5 — دانش، فرهنگ، حکمرانی و بانک مطالعاتی</x:v>
      </x:c>
      <x:c r="D2253" s="34" t="str">
        <x:v>H18</x:v>
      </x:c>
      <x:c r="E2253" s="34" t="str">
        <x:v>بانک مطالعه، منابع و موضوعات کنجکاوی</x:v>
      </x:c>
      <x:c r="F2253" s="34" t="str">
        <x:v>BANK</x:v>
      </x:c>
      <x:c r="G2253" s="34" t="str">
        <x:v>مطالعه/منبع</x:v>
      </x:c>
      <x:c r="H2253" s="39" t="str">
        <x:v>برخی از کتاب ها و مجلات</x:v>
      </x:c>
      <x:c r="I2253" s="39" t="str">
        <x:v>بانک مطالعه؛ سقف زمانی</x:v>
      </x:c>
      <x:c r="J2253" s="39" t="str">
        <x:v>مدیر دانش/کیوریتور محتوا</x:v>
      </x:c>
      <x:c r="K2253" s="39" t="str"/>
      <x:c r="L2253" s="39" t="str">
        <x:v>AP:P1234</x:v>
      </x:c>
      <x:c r="M2253" s="39" t="str"/>
      <x:c r="N2253" s="39" t="str">
        <x:v>نسخه پایه ۳۱۵۰</x:v>
      </x:c>
    </x:row>
    <x:row r="2254" ht="34" customHeight="1">
      <x:c r="A2254" s="34" t="str">
        <x:v>☐</x:v>
      </x:c>
      <x:c r="B2254" s="34" t="str">
        <x:v>MI-1426</x:v>
      </x:c>
      <x:c r="C2254" s="34" t="str">
        <x:v>M5 — دانش، فرهنگ، حکمرانی و بانک مطالعاتی</x:v>
      </x:c>
      <x:c r="D2254" s="34" t="str">
        <x:v>H18</x:v>
      </x:c>
      <x:c r="E2254" s="34" t="str">
        <x:v>بانک مطالعه، منابع و موضوعات کنجکاوی</x:v>
      </x:c>
      <x:c r="F2254" s="34" t="str">
        <x:v>BANK</x:v>
      </x:c>
      <x:c r="G2254" s="34" t="str">
        <x:v>مطالعه/منبع</x:v>
      </x:c>
      <x:c r="H2254" s="39" t="str">
        <x:v>قفسه کتاب و مجله، کانون شعر و کتاب</x:v>
      </x:c>
      <x:c r="I2254" s="39" t="str">
        <x:v>بانک مطالعه؛ سقف زمانی</x:v>
      </x:c>
      <x:c r="J2254" s="39" t="str">
        <x:v>مدیر دانش/کیوریتور محتوا</x:v>
      </x:c>
      <x:c r="K2254" s="39" t="str"/>
      <x:c r="L2254" s="39" t="str">
        <x:v>AP:P1325</x:v>
      </x:c>
      <x:c r="M2254" s="39" t="str"/>
      <x:c r="N2254" s="39" t="str">
        <x:v>نسخه پایه ۳۱۵۰</x:v>
      </x:c>
    </x:row>
    <x:row r="2255" ht="34" customHeight="1">
      <x:c r="A2255" s="34" t="str">
        <x:v>☐</x:v>
      </x:c>
      <x:c r="B2255" s="34" t="str">
        <x:v>MI-1427</x:v>
      </x:c>
      <x:c r="C2255" s="34" t="str">
        <x:v>M5 — دانش، فرهنگ، حکمرانی و بانک مطالعاتی</x:v>
      </x:c>
      <x:c r="D2255" s="34" t="str">
        <x:v>H18</x:v>
      </x:c>
      <x:c r="E2255" s="34" t="str">
        <x:v>بانک مطالعه، منابع و موضوعات کنجکاوی</x:v>
      </x:c>
      <x:c r="F2255" s="34" t="str">
        <x:v>BANK</x:v>
      </x:c>
      <x:c r="G2255" s="34" t="str">
        <x:v>مطالعه/منبع</x:v>
      </x:c>
      <x:c r="H2255" s="39" t="str">
        <x:v>&lt;قفسه کتاب و مجله 2</x:v>
      </x:c>
      <x:c r="I2255" s="39" t="str">
        <x:v>بانک مطالعه؛ سقف زمانی</x:v>
      </x:c>
      <x:c r="J2255" s="39" t="str">
        <x:v>مدیر دانش/کیوریتور محتوا</x:v>
      </x:c>
      <x:c r="K2255" s="39" t="str"/>
      <x:c r="L2255" s="39" t="str">
        <x:v>AP:P1326</x:v>
      </x:c>
      <x:c r="M2255" s="39" t="str"/>
      <x:c r="N2255" s="39" t="str">
        <x:v>نسخه پایه ۳۱۵۰</x:v>
      </x:c>
    </x:row>
    <x:row r="2256" ht="34" customHeight="1">
      <x:c r="A2256" s="34" t="str">
        <x:v>☐</x:v>
      </x:c>
      <x:c r="B2256" s="34" t="str">
        <x:v>MI-1428</x:v>
      </x:c>
      <x:c r="C2256" s="34" t="str">
        <x:v>M5 — دانش، فرهنگ، حکمرانی و بانک مطالعاتی</x:v>
      </x:c>
      <x:c r="D2256" s="34" t="str">
        <x:v>H18</x:v>
      </x:c>
      <x:c r="E2256" s="34" t="str">
        <x:v>بانک مطالعه، منابع و موضوعات کنجکاوی</x:v>
      </x:c>
      <x:c r="F2256" s="34" t="str">
        <x:v>BANK</x:v>
      </x:c>
      <x:c r="G2256" s="34" t="str">
        <x:v>مطالعه/منبع</x:v>
      </x:c>
      <x:c r="H2256" s="39" t="str">
        <x:v>چالش</x:v>
      </x:c>
      <x:c r="I2256" s="39" t="str">
        <x:v>بانک مطالعه؛ سقف زمانی</x:v>
      </x:c>
      <x:c r="J2256" s="39" t="str">
        <x:v>مدیر دانش/کیوریتور محتوا</x:v>
      </x:c>
      <x:c r="K2256" s="39" t="str"/>
      <x:c r="L2256" s="39" t="str">
        <x:v>AP:P1327</x:v>
      </x:c>
      <x:c r="M2256" s="39" t="str"/>
      <x:c r="N2256" s="39" t="str">
        <x:v>نسخه پایه ۳۱۵۰</x:v>
      </x:c>
    </x:row>
    <x:row r="2257" ht="34" customHeight="1">
      <x:c r="A2257" s="34" t="str">
        <x:v>☐</x:v>
      </x:c>
      <x:c r="B2257" s="34" t="str">
        <x:v>MI-1429</x:v>
      </x:c>
      <x:c r="C2257" s="34" t="str">
        <x:v>M5 — دانش، فرهنگ، حکمرانی و بانک مطالعاتی</x:v>
      </x:c>
      <x:c r="D2257" s="34" t="str">
        <x:v>H18</x:v>
      </x:c>
      <x:c r="E2257" s="34" t="str">
        <x:v>بانک مطالعه، منابع و موضوعات کنجکاوی</x:v>
      </x:c>
      <x:c r="F2257" s="34" t="str">
        <x:v>BANK</x:v>
      </x:c>
      <x:c r="G2257" s="34" t="str">
        <x:v>مطالعه/منبع</x:v>
      </x:c>
      <x:c r="H2257" s="39" t="str">
        <x:v>مکان و نحوه به امانت بردن</x:v>
      </x:c>
      <x:c r="I2257" s="39" t="str">
        <x:v>بانک مطالعه؛ سقف زمانی</x:v>
      </x:c>
      <x:c r="J2257" s="39" t="str">
        <x:v>مدیر دانش/کیوریتور محتوا</x:v>
      </x:c>
      <x:c r="K2257" s="39" t="str"/>
      <x:c r="L2257" s="39" t="str">
        <x:v>AP:P1328</x:v>
      </x:c>
      <x:c r="M2257" s="39" t="str"/>
      <x:c r="N2257" s="39" t="str">
        <x:v>نسخه پایه ۳۱۵۰</x:v>
      </x:c>
    </x:row>
    <x:row r="2258" ht="34" customHeight="1">
      <x:c r="A2258" s="34" t="str">
        <x:v>☐</x:v>
      </x:c>
      <x:c r="B2258" s="34" t="str">
        <x:v>MI-1430</x:v>
      </x:c>
      <x:c r="C2258" s="34" t="str">
        <x:v>M5 — دانش، فرهنگ، حکمرانی و بانک مطالعاتی</x:v>
      </x:c>
      <x:c r="D2258" s="34" t="str">
        <x:v>H18</x:v>
      </x:c>
      <x:c r="E2258" s="34" t="str">
        <x:v>بانک مطالعه، منابع و موضوعات کنجکاوی</x:v>
      </x:c>
      <x:c r="F2258" s="34" t="str">
        <x:v>BANK</x:v>
      </x:c>
      <x:c r="G2258" s="34" t="str">
        <x:v>مطالعه/منبع</x:v>
      </x:c>
      <x:c r="H2258" s="39" t="str">
        <x:v>سالن مطالعه و موقتی یا بازه زمانی خاص</x:v>
      </x:c>
      <x:c r="I2258" s="39" t="str">
        <x:v>بانک مطالعه؛ سقف زمانی</x:v>
      </x:c>
      <x:c r="J2258" s="39" t="str">
        <x:v>مدیر دانش/کیوریتور محتوا</x:v>
      </x:c>
      <x:c r="K2258" s="39" t="str"/>
      <x:c r="L2258" s="39" t="str">
        <x:v>AP:P1329</x:v>
      </x:c>
      <x:c r="M2258" s="39" t="str"/>
      <x:c r="N2258" s="39" t="str">
        <x:v>نسخه پایه ۳۱۵۰</x:v>
      </x:c>
    </x:row>
    <x:row r="2259" ht="34" customHeight="1">
      <x:c r="A2259" s="34" t="str">
        <x:v>☐</x:v>
      </x:c>
      <x:c r="B2259" s="34" t="str">
        <x:v>MI-1432</x:v>
      </x:c>
      <x:c r="C2259" s="34" t="str">
        <x:v>M5 — دانش، فرهنگ، حکمرانی و بانک مطالعاتی</x:v>
      </x:c>
      <x:c r="D2259" s="34" t="str">
        <x:v>H18</x:v>
      </x:c>
      <x:c r="E2259" s="34" t="str">
        <x:v>بانک مطالعه، منابع و موضوعات کنجکاوی</x:v>
      </x:c>
      <x:c r="F2259" s="34" t="str">
        <x:v>BANK</x:v>
      </x:c>
      <x:c r="G2259" s="34" t="str">
        <x:v>مطالعه/منبع</x:v>
      </x:c>
      <x:c r="H2259" s="39" t="str">
        <x:v>نحوه ارزیابی ،نحوه تهیه کتاب ، نحوه تخصیص بودجه ، هماهنگی با افراد مدعو</x:v>
      </x:c>
      <x:c r="I2259" s="39" t="str">
        <x:v>بانک مطالعه؛ سقف زمانی</x:v>
      </x:c>
      <x:c r="J2259" s="39" t="str">
        <x:v>مدیر دانش/کیوریتور محتوا</x:v>
      </x:c>
      <x:c r="K2259" s="39" t="str"/>
      <x:c r="L2259" s="39" t="str">
        <x:v>AP:P1331</x:v>
      </x:c>
      <x:c r="M2259" s="39" t="str"/>
      <x:c r="N2259" s="39" t="str">
        <x:v>نسخه پایه ۳۱۵۰</x:v>
      </x:c>
    </x:row>
    <x:row r="2260" ht="34" customHeight="1">
      <x:c r="A2260" s="34" t="str">
        <x:v>☐</x:v>
      </x:c>
      <x:c r="B2260" s="34" t="str">
        <x:v>MI-1984</x:v>
      </x:c>
      <x:c r="C2260" s="34" t="str">
        <x:v>M5 — دانش، فرهنگ، حکمرانی و بانک مطالعاتی</x:v>
      </x:c>
      <x:c r="D2260" s="34" t="str">
        <x:v>H18</x:v>
      </x:c>
      <x:c r="E2260" s="34" t="str">
        <x:v>بانک مطالعه، منابع و موضوعات کنجکاوی</x:v>
      </x:c>
      <x:c r="F2260" s="34" t="str">
        <x:v>BANK</x:v>
      </x:c>
      <x:c r="G2260" s="34" t="str">
        <x:v>مطالعه/منبع</x:v>
      </x:c>
      <x:c r="H2260" s="39" t="str">
        <x:v>سایت های کاریابی</x:v>
      </x:c>
      <x:c r="I2260" s="39" t="str">
        <x:v>بانک مطالعه؛ سقف زمانی</x:v>
      </x:c>
      <x:c r="J2260" s="39" t="str">
        <x:v>مدیر دانش/کیوریتور محتوا</x:v>
      </x:c>
      <x:c r="K2260" s="39" t="str"/>
      <x:c r="L2260" s="39" t="str">
        <x:v>E112:P619</x:v>
      </x:c>
      <x:c r="M2260" s="39" t="str"/>
      <x:c r="N2260" s="39" t="str">
        <x:v>نسخه پایه ۳۱۵۰</x:v>
      </x:c>
    </x:row>
    <x:row r="2261" ht="34" customHeight="1">
      <x:c r="A2261" s="34" t="str">
        <x:v>☐</x:v>
      </x:c>
      <x:c r="B2261" s="34" t="str">
        <x:v>MI-2060</x:v>
      </x:c>
      <x:c r="C2261" s="34" t="str">
        <x:v>M5 — دانش، فرهنگ، حکمرانی و بانک مطالعاتی</x:v>
      </x:c>
      <x:c r="D2261" s="34" t="str">
        <x:v>H18</x:v>
      </x:c>
      <x:c r="E2261" s="34" t="str">
        <x:v>بانک مطالعه، منابع و موضوعات کنجکاوی</x:v>
      </x:c>
      <x:c r="F2261" s="34" t="str">
        <x:v>BANK</x:v>
      </x:c>
      <x:c r="G2261" s="34" t="str">
        <x:v>مطالعه/منبع</x:v>
      </x:c>
      <x:c r="H2261" s="39" t="str">
        <x:v>برای پاسخ دقیق معمولاً باید داده محلی داشته باشیم، اما می شود با مدل اکوسیستم نوآوری و با درنظرگرفتن ساختار معمول استان ها در ایران (از جمله مازندران) یک تحلیل ساختاری نسبتاً دقیق انجام داد. من آن را در چهار بخش می شکنم.</x:v>
      </x:c>
      <x:c r="I2261" s="39" t="str">
        <x:v>بانک مطالعه؛ سقف زمانی</x:v>
      </x:c>
      <x:c r="J2261" s="39" t="str">
        <x:v>مدیر دانش/کیوریتور محتوا</x:v>
      </x:c>
      <x:c r="K2261" s="39" t="str"/>
      <x:c r="L2261" s="39" t="str">
        <x:v>E112:P758</x:v>
      </x:c>
      <x:c r="M2261" s="39" t="str"/>
      <x:c r="N2261" s="39" t="str">
        <x:v>نسخه پایه ۳۱۵۰</x:v>
      </x:c>
    </x:row>
    <x:row r="2262" ht="34" customHeight="1">
      <x:c r="A2262" s="34" t="str">
        <x:v>☐</x:v>
      </x:c>
      <x:c r="B2262" s="34" t="str">
        <x:v>MI-2128</x:v>
      </x:c>
      <x:c r="C2262" s="34" t="str">
        <x:v>M5 — دانش، فرهنگ، حکمرانی و بانک مطالعاتی</x:v>
      </x:c>
      <x:c r="D2262" s="34" t="str">
        <x:v>H18</x:v>
      </x:c>
      <x:c r="E2262" s="34" t="str">
        <x:v>بانک مطالعه، منابع و موضوعات کنجکاوی</x:v>
      </x:c>
      <x:c r="F2262" s="34" t="str">
        <x:v>BANK</x:v>
      </x:c>
      <x:c r="G2262" s="34" t="str">
        <x:v>مطالعه/منبع</x:v>
      </x:c>
      <x:c r="H2262" s="39" t="str">
        <x:v>داستان داشته باشند</x:v>
      </x:c>
      <x:c r="I2262" s="39" t="str">
        <x:v>بانک مطالعه؛ سقف زمانی</x:v>
      </x:c>
      <x:c r="J2262" s="39" t="str">
        <x:v>مدیر دانش/کیوریتور محتوا</x:v>
      </x:c>
      <x:c r="K2262" s="39" t="str"/>
      <x:c r="L2262" s="39" t="str">
        <x:v>E112:P884</x:v>
      </x:c>
      <x:c r="M2262" s="39" t="str"/>
      <x:c r="N2262" s="39" t="str">
        <x:v>نسخه پایه ۳۱۵۰</x:v>
      </x:c>
    </x:row>
    <x:row r="2263" ht="34" customHeight="1">
      <x:c r="A2263" s="34" t="str">
        <x:v>☐</x:v>
      </x:c>
      <x:c r="B2263" s="34" t="str">
        <x:v>MI-2259</x:v>
      </x:c>
      <x:c r="C2263" s="34" t="str">
        <x:v>M5 — دانش، فرهنگ، حکمرانی و بانک مطالعاتی</x:v>
      </x:c>
      <x:c r="D2263" s="34" t="str">
        <x:v>H18</x:v>
      </x:c>
      <x:c r="E2263" s="34" t="str">
        <x:v>بانک مطالعه، منابع و موضوعات کنجکاوی</x:v>
      </x:c>
      <x:c r="F2263" s="34" t="str">
        <x:v>BANK</x:v>
      </x:c>
      <x:c r="G2263" s="34" t="str">
        <x:v>مطالعه/منبع</x:v>
      </x:c>
      <x:c r="H2263" s="39" t="str">
        <x:v>داستان ها را منتشر کند</x:v>
      </x:c>
      <x:c r="I2263" s="39" t="str">
        <x:v>بانک مطالعه؛ سقف زمانی</x:v>
      </x:c>
      <x:c r="J2263" s="39" t="str">
        <x:v>مدیر دانش/کیوریتور محتوا</x:v>
      </x:c>
      <x:c r="K2263" s="39" t="str"/>
      <x:c r="L2263" s="39" t="str">
        <x:v>E112:P1170</x:v>
      </x:c>
      <x:c r="M2263" s="39" t="str"/>
      <x:c r="N2263" s="39" t="str">
        <x:v>نسخه پایه ۳۱۵۰</x:v>
      </x:c>
    </x:row>
    <x:row r="2264" ht="34" customHeight="1">
      <x:c r="A2264" s="34" t="str">
        <x:v>☐</x:v>
      </x:c>
      <x:c r="B2264" s="34" t="str">
        <x:v>MI-2599</x:v>
      </x:c>
      <x:c r="C2264" s="34" t="str">
        <x:v>M5 — دانش، فرهنگ، حکمرانی و بانک مطالعاتی</x:v>
      </x:c>
      <x:c r="D2264" s="34" t="str">
        <x:v>H18</x:v>
      </x:c>
      <x:c r="E2264" s="34" t="str">
        <x:v>بانک مطالعه، منابع و موضوعات کنجکاوی</x:v>
      </x:c>
      <x:c r="F2264" s="34" t="str">
        <x:v>BANK</x:v>
      </x:c>
      <x:c r="G2264" s="34" t="str">
        <x:v>مطالعه/منبع</x:v>
      </x:c>
      <x:c r="H2264" s="39" t="str">
        <x:v>اگر کل این سیستم را در یک جمله بگوییم</x:v>
      </x:c>
      <x:c r="I2264" s="39" t="str">
        <x:v>بانک مطالعه؛ سقف زمانی</x:v>
      </x:c>
      <x:c r="J2264" s="39" t="str">
        <x:v>مدیر دانش/کیوریتور محتوا</x:v>
      </x:c>
      <x:c r="K2264" s="39" t="str"/>
      <x:c r="L2264" s="39" t="str">
        <x:v>E112:P2204</x:v>
      </x:c>
      <x:c r="M2264" s="39" t="str"/>
      <x:c r="N2264" s="39" t="str">
        <x:v>نسخه پایه ۳۱۵۰</x:v>
      </x:c>
    </x:row>
    <x:row r="2265" ht="34" customHeight="1">
      <x:c r="A2265" s="34" t="str">
        <x:v>☐</x:v>
      </x:c>
      <x:c r="B2265" s="34" t="str">
        <x:v>MI-3078</x:v>
      </x:c>
      <x:c r="C2265" s="34" t="str">
        <x:v>M5 — دانش، فرهنگ، حکمرانی و بانک مطالعاتی</x:v>
      </x:c>
      <x:c r="D2265" s="34" t="str">
        <x:v>H18</x:v>
      </x:c>
      <x:c r="E2265" s="34" t="str">
        <x:v>بانک مطالعه، منابع و موضوعات کنجکاوی</x:v>
      </x:c>
      <x:c r="F2265" s="34" t="str">
        <x:v>BANK</x:v>
      </x:c>
      <x:c r="G2265" s="34" t="str">
        <x:v>مطالعه/منبع</x:v>
      </x:c>
      <x:c r="H2265" s="39" t="str">
        <x:v>چه کتاب هایی را تا الان خواندید و چه کتاب هایی را دوست دارید بخونید؟</x:v>
      </x:c>
      <x:c r="I2265" s="39" t="str">
        <x:v>بانک مطالعه؛ سقف زمانی</x:v>
      </x:c>
      <x:c r="J2265" s="39" t="str">
        <x:v>مدیر دانش/کیوریتور محتوا</x:v>
      </x:c>
      <x:c r="K2265" s="39" t="str"/>
      <x:c r="L2265" s="39" t="str">
        <x:v>INT:T16 R1</x:v>
      </x:c>
      <x:c r="M2265" s="39" t="str"/>
      <x:c r="N2265" s="39" t="str">
        <x:v>نسخه پایه ۳۱۵۰</x:v>
      </x:c>
    </x:row>
    <x:row r="2266" ht="34" customHeight="1">
      <x:c r="A2266" s="34" t="str">
        <x:v>☐</x:v>
      </x:c>
      <x:c r="B2266" s="34" t="str">
        <x:v>MI-3118</x:v>
      </x:c>
      <x:c r="C2266" s="34" t="str">
        <x:v>M5 — دانش، فرهنگ، حکمرانی و بانک مطالعاتی</x:v>
      </x:c>
      <x:c r="D2266" s="34" t="str">
        <x:v>H18</x:v>
      </x:c>
      <x:c r="E2266" s="34" t="str">
        <x:v>بانک مطالعه، منابع و موضوعات کنجکاوی</x:v>
      </x:c>
      <x:c r="F2266" s="34" t="str">
        <x:v>BANK</x:v>
      </x:c>
      <x:c r="G2266" s="34" t="str">
        <x:v>مطالعه/منبع</x:v>
      </x:c>
      <x:c r="H2266" s="39" t="str">
        <x:v>باورت میشه که هیچ پس اندازی ندارم تقریبا، دارایی ام یه لپ تاپه ، یه گوشی ، یه سری کتاب ، جفت کفش هام</x:v>
      </x:c>
      <x:c r="I2266" s="39" t="str">
        <x:v>بانک مطالعه؛ سقف زمانی</x:v>
      </x:c>
      <x:c r="J2266" s="39" t="str">
        <x:v>مدیر دانش/کیوریتور محتوا</x:v>
      </x:c>
      <x:c r="K2266" s="39" t="str"/>
      <x:c r="L2266" s="39" t="str">
        <x:v>INT:T40 R2</x:v>
      </x:c>
      <x:c r="M2266" s="39" t="str"/>
      <x:c r="N2266" s="39" t="str">
        <x:v>نسخه پایه ۳۱۵۰</x:v>
      </x:c>
    </x:row>
    <x:row r="2267" ht="34" customHeight="1">
      <x:c r="A2267" s="34" t="str">
        <x:v>☐</x:v>
      </x:c>
      <x:c r="B2267" s="34" t="str">
        <x:v>N115-0001</x:v>
      </x:c>
      <x:c r="C2267" s="34" t="str">
        <x:v>M5 — دانش، فرهنگ، حکمرانی و بانک مطالعاتی</x:v>
      </x:c>
      <x:c r="D2267" s="34" t="str">
        <x:v>H18</x:v>
      </x:c>
      <x:c r="E2267" s="34" t="str">
        <x:v>بانک مطالعه، منابع و موضوعات کنجکاوی</x:v>
      </x:c>
      <x:c r="F2267" s="34" t="str">
        <x:v>BANK</x:v>
      </x:c>
      <x:c r="G2267" s="34" t="str">
        <x:v>مطالعه/منبع</x:v>
      </x:c>
      <x:c r="H2267" s="39" t="str">
        <x:v>هارتلند (Heartland)</x:v>
      </x:c>
      <x:c r="I2267" s="39" t="str">
        <x:v>بانک مطالعه؛ بدون تخصیص زمان تا نیاز واقعی</x:v>
      </x:c>
      <x:c r="J2267" s="39" t="str">
        <x:v>مدیر دانش/کیوریتور محتوا</x:v>
      </x:c>
      <x:c r="K2267" s="39" t="str">
        <x:v>ژئواستراتژی</x:v>
      </x:c>
      <x:c r="L2267" s="39" t="str">
        <x:v>115:P1506</x:v>
      </x:c>
      <x:c r="M2267" s="39" t="str"/>
      <x:c r="N2267" s="39" t="str">
        <x:v>1154878548.docx / ممیزی جدید</x:v>
      </x:c>
    </x:row>
    <x:row r="2268" ht="34" customHeight="1">
      <x:c r="A2268" s="34" t="str">
        <x:v>☐</x:v>
      </x:c>
      <x:c r="B2268" s="34" t="str">
        <x:v>N115-0002</x:v>
      </x:c>
      <x:c r="C2268" s="34" t="str">
        <x:v>M5 — دانش، فرهنگ، حکمرانی و بانک مطالعاتی</x:v>
      </x:c>
      <x:c r="D2268" s="34" t="str">
        <x:v>H18</x:v>
      </x:c>
      <x:c r="E2268" s="34" t="str">
        <x:v>بانک مطالعه، منابع و موضوعات کنجکاوی</x:v>
      </x:c>
      <x:c r="F2268" s="34" t="str">
        <x:v>BANK</x:v>
      </x:c>
      <x:c r="G2268" s="34" t="str">
        <x:v>مطالعه/منبع</x:v>
      </x:c>
      <x:c r="H2268" s="39" t="str">
        <x:v>ریملند (Rimland)</x:v>
      </x:c>
      <x:c r="I2268" s="39" t="str">
        <x:v>بانک مطالعه؛ بدون تخصیص زمان تا نیاز واقعی</x:v>
      </x:c>
      <x:c r="J2268" s="39" t="str">
        <x:v>مدیر دانش/کیوریتور محتوا</x:v>
      </x:c>
      <x:c r="K2268" s="39" t="str">
        <x:v>ژئواستراتژی</x:v>
      </x:c>
      <x:c r="L2268" s="39" t="str">
        <x:v>115:P1506</x:v>
      </x:c>
      <x:c r="M2268" s="39" t="str"/>
      <x:c r="N2268" s="39" t="str">
        <x:v>1154878548.docx / ممیزی جدید</x:v>
      </x:c>
    </x:row>
    <x:row r="2269" ht="34" customHeight="1">
      <x:c r="A2269" s="34" t="str">
        <x:v>☐</x:v>
      </x:c>
      <x:c r="B2269" s="34" t="str">
        <x:v>N115-0003</x:v>
      </x:c>
      <x:c r="C2269" s="34" t="str">
        <x:v>M5 — دانش، فرهنگ، حکمرانی و بانک مطالعاتی</x:v>
      </x:c>
      <x:c r="D2269" s="34" t="str">
        <x:v>H18</x:v>
      </x:c>
      <x:c r="E2269" s="34" t="str">
        <x:v>بانک مطالعه، منابع و موضوعات کنجکاوی</x:v>
      </x:c>
      <x:c r="F2269" s="34" t="str">
        <x:v>BANK</x:v>
      </x:c>
      <x:c r="G2269" s="34" t="str">
        <x:v>مطالعه/منبع</x:v>
      </x:c>
      <x:c r="H2269" s="39" t="str">
        <x:v>ژئوپلیتیک فضا (Astropolitics)</x:v>
      </x:c>
      <x:c r="I2269" s="39" t="str">
        <x:v>بانک مطالعه</x:v>
      </x:c>
      <x:c r="J2269" s="39" t="str">
        <x:v>مدیر دانش/کیوریتور محتوا</x:v>
      </x:c>
      <x:c r="K2269" s="39" t="str">
        <x:v>ژئواستراتژی</x:v>
      </x:c>
      <x:c r="L2269" s="39" t="str">
        <x:v>115:P1506</x:v>
      </x:c>
      <x:c r="M2269" s="39" t="str"/>
      <x:c r="N2269" s="39" t="str">
        <x:v>1154878548.docx / ممیزی جدید</x:v>
      </x:c>
    </x:row>
    <x:row r="2270" ht="34" customHeight="1">
      <x:c r="A2270" s="34" t="str">
        <x:v>☐</x:v>
      </x:c>
      <x:c r="B2270" s="34" t="str">
        <x:v>N115-0004</x:v>
      </x:c>
      <x:c r="C2270" s="34" t="str">
        <x:v>M5 — دانش، فرهنگ، حکمرانی و بانک مطالعاتی</x:v>
      </x:c>
      <x:c r="D2270" s="34" t="str">
        <x:v>H18</x:v>
      </x:c>
      <x:c r="E2270" s="34" t="str">
        <x:v>بانک مطالعه، منابع و موضوعات کنجکاوی</x:v>
      </x:c>
      <x:c r="F2270" s="34" t="str">
        <x:v>BANK</x:v>
      </x:c>
      <x:c r="G2270" s="34" t="str">
        <x:v>مطالعه/منبع</x:v>
      </x:c>
      <x:c r="H2270" s="39" t="str">
        <x:v>نظم پسا-آمریکایی</x:v>
      </x:c>
      <x:c r="I2270" s="39" t="str">
        <x:v>بانک مطالعه</x:v>
      </x:c>
      <x:c r="J2270" s="39" t="str">
        <x:v>مدیر دانش/کیوریتور محتوا</x:v>
      </x:c>
      <x:c r="K2270" s="39" t="str">
        <x:v>ژئواستراتژی</x:v>
      </x:c>
      <x:c r="L2270" s="39" t="str">
        <x:v>115:P1507</x:v>
      </x:c>
      <x:c r="M2270" s="39" t="str"/>
      <x:c r="N2270" s="39" t="str">
        <x:v>1154878548.docx / ممیزی جدید</x:v>
      </x:c>
    </x:row>
    <x:row r="2271" ht="34" customHeight="1">
      <x:c r="A2271" s="34" t="str">
        <x:v>☐</x:v>
      </x:c>
      <x:c r="B2271" s="34" t="str">
        <x:v>N115-0005</x:v>
      </x:c>
      <x:c r="C2271" s="34" t="str">
        <x:v>M5 — دانش، فرهنگ، حکمرانی و بانک مطالعاتی</x:v>
      </x:c>
      <x:c r="D2271" s="34" t="str">
        <x:v>H18</x:v>
      </x:c>
      <x:c r="E2271" s="34" t="str">
        <x:v>بانک مطالعه، منابع و موضوعات کنجکاوی</x:v>
      </x:c>
      <x:c r="F2271" s="34" t="str">
        <x:v>BANK</x:v>
      </x:c>
      <x:c r="G2271" s="34" t="str">
        <x:v>مطالعه/منبع</x:v>
      </x:c>
      <x:c r="H2271" s="39" t="str">
        <x:v>جهان جی-صفر (G-Zero)</x:v>
      </x:c>
      <x:c r="I2271" s="39" t="str">
        <x:v>بانک مطالعه</x:v>
      </x:c>
      <x:c r="J2271" s="39" t="str">
        <x:v>مدیر دانش/کیوریتور محتوا</x:v>
      </x:c>
      <x:c r="K2271" s="39" t="str">
        <x:v>ژئواستراتژی</x:v>
      </x:c>
      <x:c r="L2271" s="39" t="str">
        <x:v>115:P1507</x:v>
      </x:c>
      <x:c r="M2271" s="39" t="str"/>
      <x:c r="N2271" s="39" t="str">
        <x:v>1154878548.docx / ممیزی جدید</x:v>
      </x:c>
    </x:row>
    <x:row r="2272" ht="34" customHeight="1">
      <x:c r="A2272" s="34" t="str">
        <x:v>☐</x:v>
      </x:c>
      <x:c r="B2272" s="34" t="str">
        <x:v>N115-0006</x:v>
      </x:c>
      <x:c r="C2272" s="34" t="str">
        <x:v>M5 — دانش، فرهنگ، حکمرانی و بانک مطالعاتی</x:v>
      </x:c>
      <x:c r="D2272" s="34" t="str">
        <x:v>H18</x:v>
      </x:c>
      <x:c r="E2272" s="34" t="str">
        <x:v>بانک مطالعه، منابع و موضوعات کنجکاوی</x:v>
      </x:c>
      <x:c r="F2272" s="34" t="str">
        <x:v>BANK</x:v>
      </x:c>
      <x:c r="G2272" s="34" t="str">
        <x:v>مطالعه/منبع</x:v>
      </x:c>
      <x:c r="H2272" s="39" t="str">
        <x:v>چندقطبی شدن نظام بین‌الملل</x:v>
      </x:c>
      <x:c r="I2272" s="39" t="str">
        <x:v>بانک مطالعه</x:v>
      </x:c>
      <x:c r="J2272" s="39" t="str">
        <x:v>مدیر دانش/کیوریتور محتوا</x:v>
      </x:c>
      <x:c r="K2272" s="39" t="str">
        <x:v>ژئواستراتژی</x:v>
      </x:c>
      <x:c r="L2272" s="39" t="str">
        <x:v>115:P1507</x:v>
      </x:c>
      <x:c r="M2272" s="39" t="str"/>
      <x:c r="N2272" s="39" t="str">
        <x:v>1154878548.docx / ممیزی جدید</x:v>
      </x:c>
    </x:row>
    <x:row r="2273" ht="34" customHeight="1">
      <x:c r="A2273" s="34" t="str">
        <x:v>☐</x:v>
      </x:c>
      <x:c r="B2273" s="34" t="str">
        <x:v>N115-0007</x:v>
      </x:c>
      <x:c r="C2273" s="34" t="str">
        <x:v>M5 — دانش، فرهنگ، حکمرانی و بانک مطالعاتی</x:v>
      </x:c>
      <x:c r="D2273" s="34" t="str">
        <x:v>H18</x:v>
      </x:c>
      <x:c r="E2273" s="34" t="str">
        <x:v>بانک مطالعه، منابع و موضوعات کنجکاوی</x:v>
      </x:c>
      <x:c r="F2273" s="34" t="str">
        <x:v>BANK</x:v>
      </x:c>
      <x:c r="G2273" s="34" t="str">
        <x:v>مطالعه/منبع</x:v>
      </x:c>
      <x:c r="H2273" s="39" t="str">
        <x:v>بالکانیزه شدن به‌عنوان سناریوی ژئوپلیتیکی</x:v>
      </x:c>
      <x:c r="I2273" s="39" t="str">
        <x:v>بانک مطالعه</x:v>
      </x:c>
      <x:c r="J2273" s="39" t="str">
        <x:v>مدیر دانش/کیوریتور محتوا</x:v>
      </x:c>
      <x:c r="K2273" s="39" t="str">
        <x:v>ژئواستراتژی</x:v>
      </x:c>
      <x:c r="L2273" s="39" t="str">
        <x:v>115:P1508</x:v>
      </x:c>
      <x:c r="M2273" s="39" t="str"/>
      <x:c r="N2273" s="39" t="str">
        <x:v>1154878548.docx / ممیزی جدید</x:v>
      </x:c>
    </x:row>
    <x:row r="2274" ht="34" customHeight="1">
      <x:c r="A2274" s="34" t="str">
        <x:v>☐</x:v>
      </x:c>
      <x:c r="B2274" s="34" t="str">
        <x:v>N115-0008</x:v>
      </x:c>
      <x:c r="C2274" s="34" t="str">
        <x:v>M5 — دانش، فرهنگ، حکمرانی و بانک مطالعاتی</x:v>
      </x:c>
      <x:c r="D2274" s="34" t="str">
        <x:v>H18</x:v>
      </x:c>
      <x:c r="E2274" s="34" t="str">
        <x:v>بانک مطالعه، منابع و موضوعات کنجکاوی</x:v>
      </x:c>
      <x:c r="F2274" s="34" t="str">
        <x:v>BANK</x:v>
      </x:c>
      <x:c r="G2274" s="34" t="str">
        <x:v>مطالعه/منبع</x:v>
      </x:c>
      <x:c r="H2274" s="39" t="str">
        <x:v>سناریوی حمله زنبوری تنگه هرمز</x:v>
      </x:c>
      <x:c r="I2274" s="39" t="str">
        <x:v>بانک مطالعه</x:v>
      </x:c>
      <x:c r="J2274" s="39" t="str">
        <x:v>مدیر دانش/کیوریتور محتوا</x:v>
      </x:c>
      <x:c r="K2274" s="39" t="str">
        <x:v>ژئواستراتژی</x:v>
      </x:c>
      <x:c r="L2274" s="39" t="str">
        <x:v>115:P1508</x:v>
      </x:c>
      <x:c r="M2274" s="39" t="str"/>
      <x:c r="N2274" s="39" t="str">
        <x:v>1154878548.docx / ممیزی جدید</x:v>
      </x:c>
    </x:row>
    <x:row r="2275" ht="34" customHeight="1">
      <x:c r="A2275" s="34" t="str">
        <x:v>☐</x:v>
      </x:c>
      <x:c r="B2275" s="34" t="str">
        <x:v>N115-0009</x:v>
      </x:c>
      <x:c r="C2275" s="34" t="str">
        <x:v>M5 — دانش، فرهنگ، حکمرانی و بانک مطالعاتی</x:v>
      </x:c>
      <x:c r="D2275" s="34" t="str">
        <x:v>H18</x:v>
      </x:c>
      <x:c r="E2275" s="34" t="str">
        <x:v>بانک مطالعه، منابع و موضوعات کنجکاوی</x:v>
      </x:c>
      <x:c r="F2275" s="34" t="str">
        <x:v>BANK</x:v>
      </x:c>
      <x:c r="G2275" s="34" t="str">
        <x:v>مطالعه/منبع</x:v>
      </x:c>
      <x:c r="H2275" s="39" t="str">
        <x:v>کریدور شمال-جنوب و کمربند-جاده</x:v>
      </x:c>
      <x:c r="I2275" s="39" t="str">
        <x:v>بانک مطالعه</x:v>
      </x:c>
      <x:c r="J2275" s="39" t="str">
        <x:v>مدیر دانش/کیوریتور محتوا</x:v>
      </x:c>
      <x:c r="K2275" s="39" t="str">
        <x:v>ژئواستراتژی</x:v>
      </x:c>
      <x:c r="L2275" s="39" t="str">
        <x:v>115:P1508</x:v>
      </x:c>
      <x:c r="M2275" s="39" t="str"/>
      <x:c r="N2275" s="39" t="str">
        <x:v>1154878548.docx / ممیزی جدید</x:v>
      </x:c>
    </x:row>
    <x:row r="2276" ht="34" customHeight="1">
      <x:c r="A2276" s="34" t="str">
        <x:v>☐</x:v>
      </x:c>
      <x:c r="B2276" s="34" t="str">
        <x:v>N115-0010</x:v>
      </x:c>
      <x:c r="C2276" s="34" t="str">
        <x:v>M5 — دانش، فرهنگ، حکمرانی و بانک مطالعاتی</x:v>
      </x:c>
      <x:c r="D2276" s="34" t="str">
        <x:v>H18</x:v>
      </x:c>
      <x:c r="E2276" s="34" t="str">
        <x:v>بانک مطالعه، منابع و موضوعات کنجکاوی</x:v>
      </x:c>
      <x:c r="F2276" s="34" t="str">
        <x:v>BANK</x:v>
      </x:c>
      <x:c r="G2276" s="34" t="str">
        <x:v>مطالعه/منبع</x:v>
      </x:c>
      <x:c r="H2276" s="39" t="str">
        <x:v>بریکس پلاس، سازمان شانگهای و AIIB</x:v>
      </x:c>
      <x:c r="I2276" s="39" t="str">
        <x:v>بانک مطالعه</x:v>
      </x:c>
      <x:c r="J2276" s="39" t="str">
        <x:v>مدیر دانش/کیوریتور محتوا</x:v>
      </x:c>
      <x:c r="K2276" s="39" t="str">
        <x:v>ژئواستراتژی</x:v>
      </x:c>
      <x:c r="L2276" s="39" t="str">
        <x:v>115:P1509</x:v>
      </x:c>
      <x:c r="M2276" s="39" t="str"/>
      <x:c r="N2276" s="39" t="str">
        <x:v>1154878548.docx / ممیزی جدید</x:v>
      </x:c>
    </x:row>
    <x:row r="2277" ht="34" customHeight="1">
      <x:c r="A2277" s="34" t="str">
        <x:v>☐</x:v>
      </x:c>
      <x:c r="B2277" s="34" t="str">
        <x:v>N115-0011</x:v>
      </x:c>
      <x:c r="C2277" s="34" t="str">
        <x:v>M5 — دانش، فرهنگ، حکمرانی و بانک مطالعاتی</x:v>
      </x:c>
      <x:c r="D2277" s="34" t="str">
        <x:v>H18</x:v>
      </x:c>
      <x:c r="E2277" s="34" t="str">
        <x:v>بانک مطالعه، منابع و موضوعات کنجکاوی</x:v>
      </x:c>
      <x:c r="F2277" s="34" t="str">
        <x:v>BANK</x:v>
      </x:c>
      <x:c r="G2277" s="34" t="str">
        <x:v>مطالعه/منبع</x:v>
      </x:c>
      <x:c r="H2277" s="39" t="str">
        <x:v>مطالعه برژینسکی</x:v>
      </x:c>
      <x:c r="I2277" s="39" t="str">
        <x:v>بانک مطالعه</x:v>
      </x:c>
      <x:c r="J2277" s="39" t="str">
        <x:v>مدیر دانش/کیوریتور محتوا</x:v>
      </x:c>
      <x:c r="K2277" s="39" t="str">
        <x:v>ژئواستراتژی</x:v>
      </x:c>
      <x:c r="L2277" s="39" t="str">
        <x:v>115:P1510</x:v>
      </x:c>
      <x:c r="M2277" s="39" t="str"/>
      <x:c r="N2277" s="39" t="str">
        <x:v>1154878548.docx / ممیزی جدید</x:v>
      </x:c>
    </x:row>
    <x:row r="2278" ht="34" customHeight="1">
      <x:c r="A2278" s="34" t="str">
        <x:v>☐</x:v>
      </x:c>
      <x:c r="B2278" s="34" t="str">
        <x:v>N115-0012</x:v>
      </x:c>
      <x:c r="C2278" s="34" t="str">
        <x:v>M5 — دانش، فرهنگ، حکمرانی و بانک مطالعاتی</x:v>
      </x:c>
      <x:c r="D2278" s="34" t="str">
        <x:v>H18</x:v>
      </x:c>
      <x:c r="E2278" s="34" t="str">
        <x:v>بانک مطالعه، منابع و موضوعات کنجکاوی</x:v>
      </x:c>
      <x:c r="F2278" s="34" t="str">
        <x:v>BANK</x:v>
      </x:c>
      <x:c r="G2278" s="34" t="str">
        <x:v>مطالعه/منبع</x:v>
      </x:c>
      <x:c r="H2278" s="39" t="str">
        <x:v>مطالعه کودتای پینوشه</x:v>
      </x:c>
      <x:c r="I2278" s="39" t="str">
        <x:v>بانک مطالعه</x:v>
      </x:c>
      <x:c r="J2278" s="39" t="str">
        <x:v>مدیر دانش/کیوریتور محتوا</x:v>
      </x:c>
      <x:c r="K2278" s="39" t="str">
        <x:v>تاریخ/سیاست</x:v>
      </x:c>
      <x:c r="L2278" s="39" t="str">
        <x:v>115:P1510</x:v>
      </x:c>
      <x:c r="M2278" s="39" t="str"/>
      <x:c r="N2278" s="39" t="str">
        <x:v>1154878548.docx / ممیزی جدید</x:v>
      </x:c>
    </x:row>
    <x:row r="2279" ht="34" customHeight="1">
      <x:c r="A2279" s="34" t="str">
        <x:v>☐</x:v>
      </x:c>
      <x:c r="B2279" s="34" t="str">
        <x:v>N115-0013</x:v>
      </x:c>
      <x:c r="C2279" s="34" t="str">
        <x:v>M5 — دانش، فرهنگ، حکمرانی و بانک مطالعاتی</x:v>
      </x:c>
      <x:c r="D2279" s="34" t="str">
        <x:v>H18</x:v>
      </x:c>
      <x:c r="E2279" s="34" t="str">
        <x:v>بانک مطالعه، منابع و موضوعات کنجکاوی</x:v>
      </x:c>
      <x:c r="F2279" s="34" t="str">
        <x:v>BANK</x:v>
      </x:c>
      <x:c r="G2279" s="34" t="str">
        <x:v>مطالعه/منبع</x:v>
      </x:c>
      <x:c r="H2279" s="39" t="str">
        <x:v>اشغال عراق به‌عنوان مطالعه موردی</x:v>
      </x:c>
      <x:c r="I2279" s="39" t="str">
        <x:v>بانک مطالعه</x:v>
      </x:c>
      <x:c r="J2279" s="39" t="str">
        <x:v>مدیر دانش/کیوریتور محتوا</x:v>
      </x:c>
      <x:c r="K2279" s="39" t="str">
        <x:v>تاریخ/سیاست</x:v>
      </x:c>
      <x:c r="L2279" s="39" t="str">
        <x:v>115:P1511</x:v>
      </x:c>
      <x:c r="M2279" s="39" t="str"/>
      <x:c r="N2279" s="39" t="str">
        <x:v>1154878548.docx / ممیزی جدید</x:v>
      </x:c>
    </x:row>
    <x:row r="2280" ht="34" customHeight="1">
      <x:c r="A2280" s="34" t="str">
        <x:v>☐</x:v>
      </x:c>
      <x:c r="B2280" s="34" t="str">
        <x:v>N115-0014</x:v>
      </x:c>
      <x:c r="C2280" s="34" t="str">
        <x:v>M5 — دانش، فرهنگ، حکمرانی و بانک مطالعاتی</x:v>
      </x:c>
      <x:c r="D2280" s="34" t="str">
        <x:v>H18</x:v>
      </x:c>
      <x:c r="E2280" s="34" t="str">
        <x:v>بانک مطالعه، منابع و موضوعات کنجکاوی</x:v>
      </x:c>
      <x:c r="F2280" s="34" t="str">
        <x:v>BANK</x:v>
      </x:c>
      <x:c r="G2280" s="34" t="str">
        <x:v>مطالعه/منبع</x:v>
      </x:c>
      <x:c r="H2280" s="39" t="str">
        <x:v>جنگ نسل ششم</x:v>
      </x:c>
      <x:c r="I2280" s="39" t="str">
        <x:v>بانک مطالعه؛ موضوع راهبردی</x:v>
      </x:c>
      <x:c r="J2280" s="39" t="str">
        <x:v>مدیر دانش/کیوریتور محتوا</x:v>
      </x:c>
      <x:c r="K2280" s="39" t="str">
        <x:v>امنیت/راهبرد</x:v>
      </x:c>
      <x:c r="L2280" s="39" t="str">
        <x:v>115:P1520</x:v>
      </x:c>
      <x:c r="M2280" s="39" t="str"/>
      <x:c r="N2280" s="39" t="str">
        <x:v>1154878548.docx / ممیزی جدید</x:v>
      </x:c>
    </x:row>
    <x:row r="2281" ht="34" customHeight="1">
      <x:c r="A2281" s="34" t="str">
        <x:v>☐</x:v>
      </x:c>
      <x:c r="B2281" s="34" t="str">
        <x:v>N115-0015</x:v>
      </x:c>
      <x:c r="C2281" s="34" t="str">
        <x:v>M5 — دانش، فرهنگ، حکمرانی و بانک مطالعاتی</x:v>
      </x:c>
      <x:c r="D2281" s="34" t="str">
        <x:v>H18</x:v>
      </x:c>
      <x:c r="E2281" s="34" t="str">
        <x:v>بانک مطالعه، منابع و موضوعات کنجکاوی</x:v>
      </x:c>
      <x:c r="F2281" s="34" t="str">
        <x:v>BANK</x:v>
      </x:c>
      <x:c r="G2281" s="34" t="str">
        <x:v>مطالعه/منبع</x:v>
      </x:c>
      <x:c r="H2281" s="39" t="str">
        <x:v>جنگ سایبر-فیزیکی</x:v>
      </x:c>
      <x:c r="I2281" s="39" t="str">
        <x:v>بانک مطالعه</x:v>
      </x:c>
      <x:c r="J2281" s="39" t="str">
        <x:v>مدیر دانش/کیوریتور محتوا</x:v>
      </x:c>
      <x:c r="K2281" s="39" t="str">
        <x:v>امنیت/راهبرد</x:v>
      </x:c>
      <x:c r="L2281" s="39" t="str">
        <x:v>115:P1520</x:v>
      </x:c>
      <x:c r="M2281" s="39" t="str"/>
      <x:c r="N2281" s="39" t="str">
        <x:v>1154878548.docx / ممیزی جدید</x:v>
      </x:c>
    </x:row>
    <x:row r="2282" ht="34" customHeight="1">
      <x:c r="A2282" s="34" t="str">
        <x:v>☐</x:v>
      </x:c>
      <x:c r="B2282" s="34" t="str">
        <x:v>N115-0016</x:v>
      </x:c>
      <x:c r="C2282" s="34" t="str">
        <x:v>M5 — دانش، فرهنگ، حکمرانی و بانک مطالعاتی</x:v>
      </x:c>
      <x:c r="D2282" s="34" t="str">
        <x:v>H18</x:v>
      </x:c>
      <x:c r="E2282" s="34" t="str">
        <x:v>بانک مطالعه، منابع و موضوعات کنجکاوی</x:v>
      </x:c>
      <x:c r="F2282" s="34" t="str">
        <x:v>BANK</x:v>
      </x:c>
      <x:c r="G2282" s="34" t="str">
        <x:v>مطالعه/منبع</x:v>
      </x:c>
      <x:c r="H2282" s="39" t="str">
        <x:v>جنگ هیبریدی</x:v>
      </x:c>
      <x:c r="I2282" s="39" t="str">
        <x:v>بانک مطالعه</x:v>
      </x:c>
      <x:c r="J2282" s="39" t="str">
        <x:v>مدیر دانش/کیوریتور محتوا</x:v>
      </x:c>
      <x:c r="K2282" s="39" t="str">
        <x:v>امنیت/راهبرد</x:v>
      </x:c>
      <x:c r="L2282" s="39" t="str">
        <x:v>115:P1520</x:v>
      </x:c>
      <x:c r="M2282" s="39" t="str"/>
      <x:c r="N2282" s="39" t="str">
        <x:v>1154878548.docx / ممیزی جدید</x:v>
      </x:c>
    </x:row>
    <x:row r="2283" ht="34" customHeight="1">
      <x:c r="A2283" s="34" t="str">
        <x:v>☐</x:v>
      </x:c>
      <x:c r="B2283" s="34" t="str">
        <x:v>N115-0017</x:v>
      </x:c>
      <x:c r="C2283" s="34" t="str">
        <x:v>M5 — دانش، فرهنگ، حکمرانی و بانک مطالعاتی</x:v>
      </x:c>
      <x:c r="D2283" s="34" t="str">
        <x:v>H18</x:v>
      </x:c>
      <x:c r="E2283" s="34" t="str">
        <x:v>بانک مطالعه، منابع و موضوعات کنجکاوی</x:v>
      </x:c>
      <x:c r="F2283" s="34" t="str">
        <x:v>BANK</x:v>
      </x:c>
      <x:c r="G2283" s="34" t="str">
        <x:v>مطالعه/منبع</x:v>
      </x:c>
      <x:c r="H2283" s="39" t="str">
        <x:v>آفند برق‌آسا</x:v>
      </x:c>
      <x:c r="I2283" s="39" t="str">
        <x:v>بانک مطالعه</x:v>
      </x:c>
      <x:c r="J2283" s="39" t="str">
        <x:v>مدیر دانش/کیوریتور محتوا</x:v>
      </x:c>
      <x:c r="K2283" s="39" t="str">
        <x:v>امنیت/راهبرد</x:v>
      </x:c>
      <x:c r="L2283" s="39" t="str">
        <x:v>115:P1520</x:v>
      </x:c>
      <x:c r="M2283" s="39" t="str"/>
      <x:c r="N2283" s="39" t="str">
        <x:v>1154878548.docx / ممیزی جدید</x:v>
      </x:c>
    </x:row>
    <x:row r="2284" ht="34" customHeight="1">
      <x:c r="A2284" s="34" t="str">
        <x:v>☐</x:v>
      </x:c>
      <x:c r="B2284" s="34" t="str">
        <x:v>N115-0022</x:v>
      </x:c>
      <x:c r="C2284" s="34" t="str">
        <x:v>M5 — دانش، فرهنگ، حکمرانی و بانک مطالعاتی</x:v>
      </x:c>
      <x:c r="D2284" s="34" t="str">
        <x:v>H18</x:v>
      </x:c>
      <x:c r="E2284" s="34" t="str">
        <x:v>بانک مطالعه، منابع و موضوعات کنجکاوی</x:v>
      </x:c>
      <x:c r="F2284" s="34" t="str">
        <x:v>BANK</x:v>
      </x:c>
      <x:c r="G2284" s="34" t="str">
        <x:v>مطالعه/منبع</x:v>
      </x:c>
      <x:c r="H2284" s="39" t="str">
        <x:v>تسلیحات مبتنی بر هوش مصنوعی</x:v>
      </x:c>
      <x:c r="I2284" s="39" t="str">
        <x:v>بانک مطالعه</x:v>
      </x:c>
      <x:c r="J2284" s="39" t="str">
        <x:v>مدیر دانش/کیوریتور محتوا</x:v>
      </x:c>
      <x:c r="K2284" s="39" t="str">
        <x:v>امنیت/فناوری</x:v>
      </x:c>
      <x:c r="L2284" s="39" t="str">
        <x:v>115:P1521</x:v>
      </x:c>
      <x:c r="M2284" s="39" t="str"/>
      <x:c r="N2284" s="39" t="str">
        <x:v>1154878548.docx / ممیزی جدید</x:v>
      </x:c>
    </x:row>
    <x:row r="2285" ht="34" customHeight="1">
      <x:c r="A2285" s="34" t="str">
        <x:v>☐</x:v>
      </x:c>
      <x:c r="B2285" s="34" t="str">
        <x:v>N115-0023</x:v>
      </x:c>
      <x:c r="C2285" s="34" t="str">
        <x:v>M5 — دانش، فرهنگ، حکمرانی و بانک مطالعاتی</x:v>
      </x:c>
      <x:c r="D2285" s="34" t="str">
        <x:v>H18</x:v>
      </x:c>
      <x:c r="E2285" s="34" t="str">
        <x:v>بانک مطالعه، منابع و موضوعات کنجکاوی</x:v>
      </x:c>
      <x:c r="F2285" s="34" t="str">
        <x:v>BANK</x:v>
      </x:c>
      <x:c r="G2285" s="34" t="str">
        <x:v>مطالعه/منبع</x:v>
      </x:c>
      <x:c r="H2285" s="39" t="str">
        <x:v>نفوذ نخبگانی و مدل‌های اطلاعاتی KGB</x:v>
      </x:c>
      <x:c r="I2285" s="39" t="str">
        <x:v>بانک مطالعه</x:v>
      </x:c>
      <x:c r="J2285" s="39" t="str">
        <x:v>مدیر دانش/کیوریتور محتوا</x:v>
      </x:c>
      <x:c r="K2285" s="39" t="str">
        <x:v>امنیت/اطلاعات</x:v>
      </x:c>
      <x:c r="L2285" s="39" t="str">
        <x:v>115:P1522</x:v>
      </x:c>
      <x:c r="M2285" s="39" t="str"/>
      <x:c r="N2285" s="39" t="str">
        <x:v>1154878548.docx / ممیزی جدید</x:v>
      </x:c>
    </x:row>
    <x:row r="2286" ht="34" customHeight="1">
      <x:c r="A2286" s="34" t="str">
        <x:v>☐</x:v>
      </x:c>
      <x:c r="B2286" s="34" t="str">
        <x:v>N115-0024</x:v>
      </x:c>
      <x:c r="C2286" s="34" t="str">
        <x:v>M5 — دانش، فرهنگ، حکمرانی و بانک مطالعاتی</x:v>
      </x:c>
      <x:c r="D2286" s="34" t="str">
        <x:v>H18</x:v>
      </x:c>
      <x:c r="E2286" s="34" t="str">
        <x:v>بانک مطالعه، منابع و موضوعات کنجکاوی</x:v>
      </x:c>
      <x:c r="F2286" s="34" t="str">
        <x:v>BANK</x:v>
      </x:c>
      <x:c r="G2286" s="34" t="str">
        <x:v>مطالعه/منبع</x:v>
      </x:c>
      <x:c r="H2286" s="39" t="str">
        <x:v>اقتصاد سایه</x:v>
      </x:c>
      <x:c r="I2286" s="39" t="str">
        <x:v>بانک مطالعه</x:v>
      </x:c>
      <x:c r="J2286" s="39" t="str">
        <x:v>مدیر دانش/کیوریتور محتوا</x:v>
      </x:c>
      <x:c r="K2286" s="39" t="str">
        <x:v>ژئواکونومی</x:v>
      </x:c>
      <x:c r="L2286" s="39" t="str">
        <x:v>115:P1530</x:v>
      </x:c>
      <x:c r="M2286" s="39" t="str"/>
      <x:c r="N2286" s="39" t="str">
        <x:v>1154878548.docx / ممیزی جدید</x:v>
      </x:c>
    </x:row>
    <x:row r="2287" ht="34" customHeight="1">
      <x:c r="A2287" s="34" t="str">
        <x:v>☐</x:v>
      </x:c>
      <x:c r="B2287" s="34" t="str">
        <x:v>N115-0025</x:v>
      </x:c>
      <x:c r="C2287" s="34" t="str">
        <x:v>M5 — دانش، فرهنگ، حکمرانی و بانک مطالعاتی</x:v>
      </x:c>
      <x:c r="D2287" s="34" t="str">
        <x:v>H18</x:v>
      </x:c>
      <x:c r="E2287" s="34" t="str">
        <x:v>بانک مطالعه، منابع و موضوعات کنجکاوی</x:v>
      </x:c>
      <x:c r="F2287" s="34" t="str">
        <x:v>BANK</x:v>
      </x:c>
      <x:c r="G2287" s="34" t="str">
        <x:v>مطالعه/منبع</x:v>
      </x:c>
      <x:c r="H2287" s="39" t="str">
        <x:v>بیماری هلندی</x:v>
      </x:c>
      <x:c r="I2287" s="39" t="str">
        <x:v>بانک مطالعه</x:v>
      </x:c>
      <x:c r="J2287" s="39" t="str">
        <x:v>مدیر دانش/کیوریتور محتوا</x:v>
      </x:c>
      <x:c r="K2287" s="39" t="str">
        <x:v>ژئواکونومی</x:v>
      </x:c>
      <x:c r="L2287" s="39" t="str">
        <x:v>115:P1530</x:v>
      </x:c>
      <x:c r="M2287" s="39" t="str"/>
      <x:c r="N2287" s="39" t="str">
        <x:v>1154878548.docx / ممیزی جدید</x:v>
      </x:c>
    </x:row>
    <x:row r="2288" ht="34" customHeight="1">
      <x:c r="A2288" s="34" t="str">
        <x:v>☐</x:v>
      </x:c>
      <x:c r="B2288" s="34" t="str">
        <x:v>N115-0026</x:v>
      </x:c>
      <x:c r="C2288" s="34" t="str">
        <x:v>M5 — دانش، فرهنگ، حکمرانی و بانک مطالعاتی</x:v>
      </x:c>
      <x:c r="D2288" s="34" t="str">
        <x:v>H18</x:v>
      </x:c>
      <x:c r="E2288" s="34" t="str">
        <x:v>بانک مطالعه، منابع و موضوعات کنجکاوی</x:v>
      </x:c>
      <x:c r="F2288" s="34" t="str">
        <x:v>BANK</x:v>
      </x:c>
      <x:c r="G2288" s="34" t="str">
        <x:v>مطالعه/منبع</x:v>
      </x:c>
      <x:c r="H2288" s="39" t="str">
        <x:v>زنجیره ارزش جهانی (GVC)</x:v>
      </x:c>
      <x:c r="I2288" s="39" t="str">
        <x:v>بانک مطالعه</x:v>
      </x:c>
      <x:c r="J2288" s="39" t="str">
        <x:v>مدیر دانش/کیوریتور محتوا</x:v>
      </x:c>
      <x:c r="K2288" s="39" t="str">
        <x:v>ژئواکونومی</x:v>
      </x:c>
      <x:c r="L2288" s="39" t="str">
        <x:v>115:P1530</x:v>
      </x:c>
      <x:c r="M2288" s="39" t="str"/>
      <x:c r="N2288" s="39" t="str">
        <x:v>1154878548.docx / ممیزی جدید</x:v>
      </x:c>
    </x:row>
    <x:row r="2289" ht="34" customHeight="1">
      <x:c r="A2289" s="34" t="str">
        <x:v>☐</x:v>
      </x:c>
      <x:c r="B2289" s="34" t="str">
        <x:v>N115-0027</x:v>
      </x:c>
      <x:c r="C2289" s="34" t="str">
        <x:v>M5 — دانش، فرهنگ، حکمرانی و بانک مطالعاتی</x:v>
      </x:c>
      <x:c r="D2289" s="34" t="str">
        <x:v>H18</x:v>
      </x:c>
      <x:c r="E2289" s="34" t="str">
        <x:v>بانک مطالعه، منابع و موضوعات کنجکاوی</x:v>
      </x:c>
      <x:c r="F2289" s="34" t="str">
        <x:v>BANK</x:v>
      </x:c>
      <x:c r="G2289" s="34" t="str">
        <x:v>مطالعه/منبع</x:v>
      </x:c>
      <x:c r="H2289" s="39" t="str">
        <x:v>انتقال کشتی به کشتی (STS) در تجارت انرژی</x:v>
      </x:c>
      <x:c r="I2289" s="39" t="str">
        <x:v>بانک مطالعه</x:v>
      </x:c>
      <x:c r="J2289" s="39" t="str">
        <x:v>مدیر دانش/کیوریتور محتوا</x:v>
      </x:c>
      <x:c r="K2289" s="39" t="str">
        <x:v>ژئواکونومی</x:v>
      </x:c>
      <x:c r="L2289" s="39" t="str">
        <x:v>115:P1531</x:v>
      </x:c>
      <x:c r="M2289" s="39" t="str"/>
      <x:c r="N2289" s="39" t="str">
        <x:v>1154878548.docx / ممیزی جدید</x:v>
      </x:c>
    </x:row>
    <x:row r="2290" ht="34" customHeight="1">
      <x:c r="A2290" s="34" t="str">
        <x:v>☐</x:v>
      </x:c>
      <x:c r="B2290" s="34" t="str">
        <x:v>N115-0028</x:v>
      </x:c>
      <x:c r="C2290" s="34" t="str">
        <x:v>M5 — دانش، فرهنگ، حکمرانی و بانک مطالعاتی</x:v>
      </x:c>
      <x:c r="D2290" s="34" t="str">
        <x:v>H18</x:v>
      </x:c>
      <x:c r="E2290" s="34" t="str">
        <x:v>بانک مطالعه، منابع و موضوعات کنجکاوی</x:v>
      </x:c>
      <x:c r="F2290" s="34" t="str">
        <x:v>BANK</x:v>
      </x:c>
      <x:c r="G2290" s="34" t="str">
        <x:v>مطالعه/منبع</x:v>
      </x:c>
      <x:c r="H2290" s="39" t="str">
        <x:v>کم‌اظهاری تجاری (Undervoicing)</x:v>
      </x:c>
      <x:c r="I2290" s="39" t="str">
        <x:v>بانک مطالعه</x:v>
      </x:c>
      <x:c r="J2290" s="39" t="str">
        <x:v>مدیر دانش/کیوریتور محتوا</x:v>
      </x:c>
      <x:c r="K2290" s="39" t="str">
        <x:v>ژئواکونومی</x:v>
      </x:c>
      <x:c r="L2290" s="39" t="str">
        <x:v>115:P1531</x:v>
      </x:c>
      <x:c r="M2290" s="39" t="str"/>
      <x:c r="N2290" s="39" t="str">
        <x:v>1154878548.docx / ممیزی جدید</x:v>
      </x:c>
    </x:row>
    <x:row r="2291" ht="34" customHeight="1">
      <x:c r="A2291" s="34" t="str">
        <x:v>☐</x:v>
      </x:c>
      <x:c r="B2291" s="34" t="str">
        <x:v>N115-0029</x:v>
      </x:c>
      <x:c r="C2291" s="34" t="str">
        <x:v>M5 — دانش، فرهنگ، حکمرانی و بانک مطالعاتی</x:v>
      </x:c>
      <x:c r="D2291" s="34" t="str">
        <x:v>H18</x:v>
      </x:c>
      <x:c r="E2291" s="34" t="str">
        <x:v>بانک مطالعه، منابع و موضوعات کنجکاوی</x:v>
      </x:c>
      <x:c r="F2291" s="34" t="str">
        <x:v>BANK</x:v>
      </x:c>
      <x:c r="G2291" s="34" t="str">
        <x:v>مطالعه/منبع</x:v>
      </x:c>
      <x:c r="H2291" s="39" t="str">
        <x:v>دلارزدایی</x:v>
      </x:c>
      <x:c r="I2291" s="39" t="str">
        <x:v>بانک مطالعه</x:v>
      </x:c>
      <x:c r="J2291" s="39" t="str">
        <x:v>مدیر دانش/کیوریتور محتوا</x:v>
      </x:c>
      <x:c r="K2291" s="39" t="str">
        <x:v>ژئواکونومی</x:v>
      </x:c>
      <x:c r="L2291" s="39" t="str">
        <x:v>115:P1531</x:v>
      </x:c>
      <x:c r="M2291" s="39" t="str"/>
      <x:c r="N2291" s="39" t="str">
        <x:v>1154878548.docx / ممیزی جدید</x:v>
      </x:c>
    </x:row>
    <x:row r="2292" ht="34" customHeight="1">
      <x:c r="A2292" s="34" t="str">
        <x:v>☐</x:v>
      </x:c>
      <x:c r="B2292" s="34" t="str">
        <x:v>N115-0030</x:v>
      </x:c>
      <x:c r="C2292" s="34" t="str">
        <x:v>M5 — دانش، فرهنگ، حکمرانی و بانک مطالعاتی</x:v>
      </x:c>
      <x:c r="D2292" s="34" t="str">
        <x:v>H18</x:v>
      </x:c>
      <x:c r="E2292" s="34" t="str">
        <x:v>بانک مطالعه، منابع و موضوعات کنجکاوی</x:v>
      </x:c>
      <x:c r="F2292" s="34" t="str">
        <x:v>BANK</x:v>
      </x:c>
      <x:c r="G2292" s="34" t="str">
        <x:v>مطالعه/منبع</x:v>
      </x:c>
      <x:c r="H2292" s="39" t="str">
        <x:v>بلاکچین و CBDC</x:v>
      </x:c>
      <x:c r="I2292" s="39" t="str">
        <x:v>بانک مطالعه</x:v>
      </x:c>
      <x:c r="J2292" s="39" t="str">
        <x:v>مدیر دانش/کیوریتور محتوا</x:v>
      </x:c>
      <x:c r="K2292" s="39" t="str">
        <x:v>فین‌تک</x:v>
      </x:c>
      <x:c r="L2292" s="39" t="str">
        <x:v>115:P1536</x:v>
      </x:c>
      <x:c r="M2292" s="39" t="str"/>
      <x:c r="N2292" s="39" t="str">
        <x:v>1154878548.docx / ممیزی جدید</x:v>
      </x:c>
    </x:row>
    <x:row r="2293" ht="34" customHeight="1">
      <x:c r="A2293" s="34" t="str">
        <x:v>☐</x:v>
      </x:c>
      <x:c r="B2293" s="34" t="str">
        <x:v>N115-0031</x:v>
      </x:c>
      <x:c r="C2293" s="34" t="str">
        <x:v>M5 — دانش، فرهنگ، حکمرانی و بانک مطالعاتی</x:v>
      </x:c>
      <x:c r="D2293" s="34" t="str">
        <x:v>H18</x:v>
      </x:c>
      <x:c r="E2293" s="34" t="str">
        <x:v>بانک مطالعه، منابع و موضوعات کنجکاوی</x:v>
      </x:c>
      <x:c r="F2293" s="34" t="str">
        <x:v>BANK</x:v>
      </x:c>
      <x:c r="G2293" s="34" t="str">
        <x:v>مطالعه/منبع</x:v>
      </x:c>
      <x:c r="H2293" s="39" t="str">
        <x:v>رمزارز در شرایط تحریم</x:v>
      </x:c>
      <x:c r="I2293" s="39" t="str">
        <x:v>بانک مطالعه</x:v>
      </x:c>
      <x:c r="J2293" s="39" t="str">
        <x:v>مدیر دانش/کیوریتور محتوا</x:v>
      </x:c>
      <x:c r="K2293" s="39" t="str">
        <x:v>فین‌تک</x:v>
      </x:c>
      <x:c r="L2293" s="39" t="str">
        <x:v>115:P1536</x:v>
      </x:c>
      <x:c r="M2293" s="39" t="str"/>
      <x:c r="N2293" s="39" t="str">
        <x:v>1154878548.docx / ممیزی جدید</x:v>
      </x:c>
    </x:row>
    <x:row r="2294" ht="34" customHeight="1">
      <x:c r="A2294" s="34" t="str">
        <x:v>☐</x:v>
      </x:c>
      <x:c r="B2294" s="34" t="str">
        <x:v>N115-0037</x:v>
      </x:c>
      <x:c r="C2294" s="34" t="str">
        <x:v>M5 — دانش، فرهنگ، حکمرانی و بانک مطالعاتی</x:v>
      </x:c>
      <x:c r="D2294" s="34" t="str">
        <x:v>H18</x:v>
      </x:c>
      <x:c r="E2294" s="34" t="str">
        <x:v>بانک مطالعه، منابع و موضوعات کنجکاوی</x:v>
      </x:c>
      <x:c r="F2294" s="34" t="str">
        <x:v>BANK</x:v>
      </x:c>
      <x:c r="G2294" s="34" t="str">
        <x:v>مطالعه/منبع</x:v>
      </x:c>
      <x:c r="H2294" s="39" t="str">
        <x:v>مارپیچ سکوت</x:v>
      </x:c>
      <x:c r="I2294" s="39" t="str">
        <x:v>بانک مطالعه رسانه</x:v>
      </x:c>
      <x:c r="J2294" s="39" t="str">
        <x:v>مدیر دانش/کیوریتور محتوا</x:v>
      </x:c>
      <x:c r="K2294" s="39" t="str">
        <x:v>رسانه/روانشناسی</x:v>
      </x:c>
      <x:c r="L2294" s="39" t="str">
        <x:v>115:P1546</x:v>
      </x:c>
      <x:c r="M2294" s="39" t="str"/>
      <x:c r="N2294" s="39" t="str">
        <x:v>1154878548.docx / ممیزی جدید</x:v>
      </x:c>
    </x:row>
    <x:row r="2295" ht="34" customHeight="1">
      <x:c r="A2295" s="34" t="str">
        <x:v>☐</x:v>
      </x:c>
      <x:c r="B2295" s="34" t="str">
        <x:v>N115-0038</x:v>
      </x:c>
      <x:c r="C2295" s="34" t="str">
        <x:v>M5 — دانش، فرهنگ، حکمرانی و بانک مطالعاتی</x:v>
      </x:c>
      <x:c r="D2295" s="34" t="str">
        <x:v>H18</x:v>
      </x:c>
      <x:c r="E2295" s="34" t="str">
        <x:v>بانک مطالعه، منابع و موضوعات کنجکاوی</x:v>
      </x:c>
      <x:c r="F2295" s="34" t="str">
        <x:v>BANK</x:v>
      </x:c>
      <x:c r="G2295" s="34" t="str">
        <x:v>مطالعه/منبع</x:v>
      </x:c>
      <x:c r="H2295" s="39" t="str">
        <x:v>استعمار الگوریتمی</x:v>
      </x:c>
      <x:c r="I2295" s="39" t="str">
        <x:v>بانک مطالعه رسانه</x:v>
      </x:c>
      <x:c r="J2295" s="39" t="str">
        <x:v>مدیر دانش/کیوریتور محتوا</x:v>
      </x:c>
      <x:c r="K2295" s="39" t="str">
        <x:v>رسانه/فناوری</x:v>
      </x:c>
      <x:c r="L2295" s="39" t="str">
        <x:v>115:P1546</x:v>
      </x:c>
      <x:c r="M2295" s="39" t="str"/>
      <x:c r="N2295" s="39" t="str">
        <x:v>1154878548.docx / ممیزی جدید</x:v>
      </x:c>
    </x:row>
    <x:row r="2296" ht="34" customHeight="1">
      <x:c r="A2296" s="34" t="str">
        <x:v>☐</x:v>
      </x:c>
      <x:c r="B2296" s="34" t="str">
        <x:v>N115-0039</x:v>
      </x:c>
      <x:c r="C2296" s="34" t="str">
        <x:v>M5 — دانش، فرهنگ، حکمرانی و بانک مطالعاتی</x:v>
      </x:c>
      <x:c r="D2296" s="34" t="str">
        <x:v>H18</x:v>
      </x:c>
      <x:c r="E2296" s="34" t="str">
        <x:v>بانک مطالعه، منابع و موضوعات کنجکاوی</x:v>
      </x:c>
      <x:c r="F2296" s="34" t="str">
        <x:v>BANK</x:v>
      </x:c>
      <x:c r="G2296" s="34" t="str">
        <x:v>مطالعه/منبع</x:v>
      </x:c>
      <x:c r="H2296" s="39" t="str">
        <x:v>دیپ‌فیک</x:v>
      </x:c>
      <x:c r="I2296" s="39" t="str">
        <x:v>بانک مطالعه فناوری رسانه</x:v>
      </x:c>
      <x:c r="J2296" s="39" t="str">
        <x:v>مدیر دانش/کیوریتور محتوا</x:v>
      </x:c>
      <x:c r="K2296" s="39" t="str">
        <x:v>رسانه/فناوری</x:v>
      </x:c>
      <x:c r="L2296" s="39" t="str">
        <x:v>115:P1547</x:v>
      </x:c>
      <x:c r="M2296" s="39" t="str"/>
      <x:c r="N2296" s="39" t="str">
        <x:v>1154878548.docx / ممیزی جدید</x:v>
      </x:c>
    </x:row>
    <x:row r="2297" ht="34" customHeight="1">
      <x:c r="A2297" s="34" t="str">
        <x:v>☐</x:v>
      </x:c>
      <x:c r="B2297" s="34" t="str">
        <x:v>N115-0040</x:v>
      </x:c>
      <x:c r="C2297" s="34" t="str">
        <x:v>M5 — دانش، فرهنگ، حکمرانی و بانک مطالعاتی</x:v>
      </x:c>
      <x:c r="D2297" s="34" t="str">
        <x:v>H18</x:v>
      </x:c>
      <x:c r="E2297" s="34" t="str">
        <x:v>بانک مطالعه، منابع و موضوعات کنجکاوی</x:v>
      </x:c>
      <x:c r="F2297" s="34" t="str">
        <x:v>BANK</x:v>
      </x:c>
      <x:c r="G2297" s="34" t="str">
        <x:v>مطالعه/منبع</x:v>
      </x:c>
      <x:c r="H2297" s="39" t="str">
        <x:v>بات‌فارم‌ها</x:v>
      </x:c>
      <x:c r="I2297" s="39" t="str">
        <x:v>بانک مطالعه رسانه</x:v>
      </x:c>
      <x:c r="J2297" s="39" t="str">
        <x:v>مدیر دانش/کیوریتور محتوا</x:v>
      </x:c>
      <x:c r="K2297" s="39" t="str">
        <x:v>رسانه/فناوری</x:v>
      </x:c>
      <x:c r="L2297" s="39" t="str">
        <x:v>115:P1547</x:v>
      </x:c>
      <x:c r="M2297" s="39" t="str"/>
      <x:c r="N2297" s="39" t="str">
        <x:v>1154878548.docx / ممیزی جدید</x:v>
      </x:c>
    </x:row>
    <x:row r="2298" ht="34" customHeight="1">
      <x:c r="A2298" s="34" t="str">
        <x:v>☐</x:v>
      </x:c>
      <x:c r="B2298" s="34" t="str">
        <x:v>N115-0041</x:v>
      </x:c>
      <x:c r="C2298" s="34" t="str">
        <x:v>M5 — دانش، فرهنگ، حکمرانی و بانک مطالعاتی</x:v>
      </x:c>
      <x:c r="D2298" s="34" t="str">
        <x:v>H18</x:v>
      </x:c>
      <x:c r="E2298" s="34" t="str">
        <x:v>بانک مطالعه، منابع و موضوعات کنجکاوی</x:v>
      </x:c>
      <x:c r="F2298" s="34" t="str">
        <x:v>BANK</x:v>
      </x:c>
      <x:c r="G2298" s="34" t="str">
        <x:v>مطالعه/منبع</x:v>
      </x:c>
      <x:c r="H2298" s="39" t="str">
        <x:v>الهیات سیاسی و فقه حکومتی</x:v>
      </x:c>
      <x:c r="I2298" s="39" t="str">
        <x:v>بانک مطالعه</x:v>
      </x:c>
      <x:c r="J2298" s="39" t="str">
        <x:v>مدیر دانش/کیوریتور محتوا</x:v>
      </x:c>
      <x:c r="K2298" s="39" t="str">
        <x:v>فرهنگ/حکمرانی</x:v>
      </x:c>
      <x:c r="L2298" s="39" t="str">
        <x:v>115:P1568</x:v>
      </x:c>
      <x:c r="M2298" s="39" t="str"/>
      <x:c r="N2298" s="39" t="str">
        <x:v>1154878548.docx / ممیزی جدید</x:v>
      </x:c>
    </x:row>
    <x:row r="2299" ht="34" customHeight="1">
      <x:c r="A2299" s="34" t="str">
        <x:v>☐</x:v>
      </x:c>
      <x:c r="B2299" s="34" t="str">
        <x:v>N115-0042</x:v>
      </x:c>
      <x:c r="C2299" s="34" t="str">
        <x:v>M5 — دانش، فرهنگ، حکمرانی و بانک مطالعاتی</x:v>
      </x:c>
      <x:c r="D2299" s="34" t="str">
        <x:v>H18</x:v>
      </x:c>
      <x:c r="E2299" s="34" t="str">
        <x:v>بانک مطالعه، منابع و موضوعات کنجکاوی</x:v>
      </x:c>
      <x:c r="F2299" s="34" t="str">
        <x:v>BANK</x:v>
      </x:c>
      <x:c r="G2299" s="34" t="str">
        <x:v>مطالعه/منبع</x:v>
      </x:c>
      <x:c r="H2299" s="39" t="str">
        <x:v>تروماهای جمعی و بازسازی تاریخی</x:v>
      </x:c>
      <x:c r="I2299" s="39" t="str">
        <x:v>بانک مطالعه</x:v>
      </x:c>
      <x:c r="J2299" s="39" t="str">
        <x:v>مدیر دانش/کیوریتور محتوا</x:v>
      </x:c>
      <x:c r="K2299" s="39" t="str">
        <x:v>تاریخ/حافظه</x:v>
      </x:c>
      <x:c r="L2299" s="39" t="str">
        <x:v>115:P1584</x:v>
      </x:c>
      <x:c r="M2299" s="39" t="str"/>
      <x:c r="N2299" s="39" t="str">
        <x:v>1154878548.docx / ممیزی جدید</x:v>
      </x:c>
    </x:row>
    <x:row r="2300" ht="34" customHeight="1">
      <x:c r="A2300" s="34" t="str">
        <x:v>☐</x:v>
      </x:c>
      <x:c r="B2300" s="34" t="str">
        <x:v>N115-0046</x:v>
      </x:c>
      <x:c r="C2300" s="34" t="str">
        <x:v>M5 — دانش، فرهنگ، حکمرانی و بانک مطالعاتی</x:v>
      </x:c>
      <x:c r="D2300" s="34" t="str">
        <x:v>H18</x:v>
      </x:c>
      <x:c r="E2300" s="34" t="str">
        <x:v>بانک مطالعه، منابع و موضوعات کنجکاوی</x:v>
      </x:c>
      <x:c r="F2300" s="34" t="str">
        <x:v>BANK</x:v>
      </x:c>
      <x:c r="G2300" s="34" t="str">
        <x:v>مطالعه/منبع</x:v>
      </x:c>
      <x:c r="H2300" s="39" t="str">
        <x:v>دیپلماسی علمی و قدرت نرم</x:v>
      </x:c>
      <x:c r="I2300" s="39" t="str">
        <x:v>بانک مطالعه</x:v>
      </x:c>
      <x:c r="J2300" s="39" t="str">
        <x:v>مدیر دانش/کیوریتور محتوا</x:v>
      </x:c>
      <x:c r="K2300" s="39" t="str">
        <x:v>بین‌الملل</x:v>
      </x:c>
      <x:c r="L2300" s="39" t="str">
        <x:v>115:P1653</x:v>
      </x:c>
      <x:c r="M2300" s="39" t="str"/>
      <x:c r="N2300" s="39" t="str">
        <x:v>1154878548.docx / ممیزی جدید</x:v>
      </x:c>
    </x:row>
    <x:row r="2301" ht="34" customHeight="1">
      <x:c r="A2301" s="34" t="str">
        <x:v>☐</x:v>
      </x:c>
      <x:c r="B2301" s="34" t="str">
        <x:v>N115-0047</x:v>
      </x:c>
      <x:c r="C2301" s="34" t="str">
        <x:v>M5 — دانش، فرهنگ، حکمرانی و بانک مطالعاتی</x:v>
      </x:c>
      <x:c r="D2301" s="34" t="str">
        <x:v>H18</x:v>
      </x:c>
      <x:c r="E2301" s="34" t="str">
        <x:v>بانک مطالعه، منابع و موضوعات کنجکاوی</x:v>
      </x:c>
      <x:c r="F2301" s="34" t="str">
        <x:v>BANK</x:v>
      </x:c>
      <x:c r="G2301" s="34" t="str">
        <x:v>مطالعه/منبع</x:v>
      </x:c>
      <x:c r="H2301" s="39" t="str">
        <x:v>جنگ آب و امنیت خاک</x:v>
      </x:c>
      <x:c r="I2301" s="39" t="str">
        <x:v>بانک مطالعه</x:v>
      </x:c>
      <x:c r="J2301" s="39" t="str">
        <x:v>مدیر دانش/کیوریتور محتوا</x:v>
      </x:c>
      <x:c r="K2301" s="39" t="str">
        <x:v>محیط‌زیست/ژئوپلیتیک</x:v>
      </x:c>
      <x:c r="L2301" s="39" t="str">
        <x:v>115:P1656</x:v>
      </x:c>
      <x:c r="M2301" s="39" t="str"/>
      <x:c r="N2301" s="39" t="str">
        <x:v>1154878548.docx / ممیزی جدید</x:v>
      </x:c>
    </x:row>
    <x:row r="2302" ht="34" customHeight="1">
      <x:c r="A2302" s="34" t="str">
        <x:v>☐</x:v>
      </x:c>
      <x:c r="B2302" s="34" t="str">
        <x:v>N115-0050</x:v>
      </x:c>
      <x:c r="C2302" s="34" t="str">
        <x:v>M5 — دانش، فرهنگ، حکمرانی و بانک مطالعاتی</x:v>
      </x:c>
      <x:c r="D2302" s="34" t="str">
        <x:v>H18</x:v>
      </x:c>
      <x:c r="E2302" s="34" t="str">
        <x:v>بانک مطالعه، منابع و موضوعات کنجکاوی</x:v>
      </x:c>
      <x:c r="F2302" s="34" t="str">
        <x:v>BANK</x:v>
      </x:c>
      <x:c r="G2302" s="34" t="str">
        <x:v>مطالعه/منبع</x:v>
      </x:c>
      <x:c r="H2302" s="39" t="str">
        <x:v>پوپولیسم، گروه‌زدگی و اتاق پژواک</x:v>
      </x:c>
      <x:c r="I2302" s="39" t="str">
        <x:v>بانک مطالعه</x:v>
      </x:c>
      <x:c r="J2302" s="39" t="str">
        <x:v>مدیر دانش/کیوریتور محتوا</x:v>
      </x:c>
      <x:c r="K2302" s="39" t="str">
        <x:v>روانشناسی اجتماعی</x:v>
      </x:c>
      <x:c r="L2302" s="39" t="str">
        <x:v>115:P1697</x:v>
      </x:c>
      <x:c r="M2302" s="39" t="str"/>
      <x:c r="N2302" s="39" t="str">
        <x:v>1154878548.docx / ممیزی جدید</x:v>
      </x:c>
    </x:row>
    <x:row r="2303" ht="34" customHeight="1">
      <x:c r="A2303" s="34" t="str">
        <x:v>☐</x:v>
      </x:c>
      <x:c r="B2303" s="34" t="str">
        <x:v>MI-1238</x:v>
      </x:c>
      <x:c r="C2303" s="34" t="str">
        <x:v>M5 — دانش، فرهنگ، حکمرانی و بانک مطالعاتی</x:v>
      </x:c>
      <x:c r="D2303" s="34" t="str">
        <x:v>H18</x:v>
      </x:c>
      <x:c r="E2303" s="34" t="str">
        <x:v>بانک مطالعه، منابع و موضوعات کنجکاوی</x:v>
      </x:c>
      <x:c r="F2303" s="34" t="str">
        <x:v>P3/CLARIFY</x:v>
      </x:c>
      <x:c r="G2303" s="34" t="str">
        <x:v>پروژه/طرح</x:v>
      </x:c>
      <x:c r="H2303" s="39" t="str">
        <x:v>معرفی کتب</x:v>
      </x:c>
      <x:c r="I2303" s="39" t="str">
        <x:v>نیازمند تعریف خروجی یا پارک</x:v>
      </x:c>
      <x:c r="J2303" s="39" t="str">
        <x:v>مدیر دانش/کیوریتور محتوا</x:v>
      </x:c>
      <x:c r="K2303" s="39" t="str"/>
      <x:c r="L2303" s="39" t="str">
        <x:v>AP:P1105</x:v>
      </x:c>
      <x:c r="M2303" s="39" t="str"/>
      <x:c r="N2303" s="39" t="str">
        <x:v>نسخه پایه ۳۱۵۰</x:v>
      </x:c>
    </x:row>
    <x:row r="2304" ht="34" customHeight="1">
      <x:c r="A2304" s="34" t="str">
        <x:v>☐</x:v>
      </x:c>
      <x:c r="B2304" s="34" t="str">
        <x:v>MI-0325</x:v>
      </x:c>
      <x:c r="C2304" s="34" t="str">
        <x:v>M5 — دانش، فرهنگ، حکمرانی و بانک مطالعاتی</x:v>
      </x:c>
      <x:c r="D2304" s="34" t="str">
        <x:v>H18</x:v>
      </x:c>
      <x:c r="E2304" s="34" t="str">
        <x:v>بانک مطالعه، منابع و موضوعات کنجکاوی</x:v>
      </x:c>
      <x:c r="F2304" s="34" t="str">
        <x:v>P3/CLARIFY</x:v>
      </x:c>
      <x:c r="G2304" s="34" t="str">
        <x:v>هدف/موضوع</x:v>
      </x:c>
      <x:c r="H2304" s="39" t="str">
        <x:v>جملات ناب:</x:v>
      </x:c>
      <x:c r="I2304" s="39" t="str">
        <x:v>نیازمند تعریف خروجی یا پارک</x:v>
      </x:c>
      <x:c r="J2304" s="39" t="str">
        <x:v>مدیر دانش/کیوریتور محتوا</x:v>
      </x:c>
      <x:c r="K2304" s="39" t="str"/>
      <x:c r="L2304" s="39" t="str">
        <x:v>AP:P101؛ AP:P102</x:v>
      </x:c>
      <x:c r="M2304" s="39" t="str"/>
      <x:c r="N2304" s="39" t="str">
        <x:v>نسخه پایه ۳۱۵۰</x:v>
      </x:c>
    </x:row>
    <x:row r="2305" ht="34" customHeight="1">
      <x:c r="A2305" s="34" t="str">
        <x:v>☐</x:v>
      </x:c>
      <x:c r="B2305" s="34" t="str">
        <x:v>MI-0326</x:v>
      </x:c>
      <x:c r="C2305" s="34" t="str">
        <x:v>M5 — دانش، فرهنگ، حکمرانی و بانک مطالعاتی</x:v>
      </x:c>
      <x:c r="D2305" s="34" t="str">
        <x:v>H18</x:v>
      </x:c>
      <x:c r="E2305" s="34" t="str">
        <x:v>بانک مطالعه، منابع و موضوعات کنجکاوی</x:v>
      </x:c>
      <x:c r="F2305" s="34" t="str">
        <x:v>P3/CLARIFY</x:v>
      </x:c>
      <x:c r="G2305" s="34" t="str">
        <x:v>هدف/موضوع</x:v>
      </x:c>
      <x:c r="H2305" s="39" t="str">
        <x:v>حتی نَمی از دریای عزم و اراده او نیست</x:v>
      </x:c>
      <x:c r="I2305" s="39" t="str">
        <x:v>نیازمند تعریف خروجی یا پارک</x:v>
      </x:c>
      <x:c r="J2305" s="39" t="str">
        <x:v>مدیر دانش/کیوریتور محتوا</x:v>
      </x:c>
      <x:c r="K2305" s="39" t="str"/>
      <x:c r="L2305" s="39" t="str">
        <x:v>AP:P103</x:v>
      </x:c>
      <x:c r="M2305" s="39" t="str"/>
      <x:c r="N2305" s="39" t="str">
        <x:v>نسخه پایه ۳۱۵۰</x:v>
      </x:c>
    </x:row>
    <x:row r="2306" ht="34" customHeight="1">
      <x:c r="A2306" s="34" t="str">
        <x:v>☐</x:v>
      </x:c>
      <x:c r="B2306" s="34" t="str">
        <x:v>MI-0327</x:v>
      </x:c>
      <x:c r="C2306" s="34" t="str">
        <x:v>M5 — دانش، فرهنگ، حکمرانی و بانک مطالعاتی</x:v>
      </x:c>
      <x:c r="D2306" s="34" t="str">
        <x:v>H18</x:v>
      </x:c>
      <x:c r="E2306" s="34" t="str">
        <x:v>بانک مطالعه، منابع و موضوعات کنجکاوی</x:v>
      </x:c>
      <x:c r="F2306" s="34" t="str">
        <x:v>P3/CLARIFY</x:v>
      </x:c>
      <x:c r="G2306" s="34" t="str">
        <x:v>هدف/موضوع</x:v>
      </x:c>
      <x:c r="H2306" s="39" t="str">
        <x:v>جا دارد در اینجا (یا از همینجا) به نیکی و بزرگی یاد کنم از فلانیکه</x:v>
      </x:c>
      <x:c r="I2306" s="39" t="str">
        <x:v>نیازمند تعریف خروجی یا پارک</x:v>
      </x:c>
      <x:c r="J2306" s="39" t="str">
        <x:v>مدیر دانش/کیوریتور محتوا</x:v>
      </x:c>
      <x:c r="K2306" s="39" t="str"/>
      <x:c r="L2306" s="39" t="str">
        <x:v>AP:P104</x:v>
      </x:c>
      <x:c r="M2306" s="39" t="str"/>
      <x:c r="N2306" s="39" t="str">
        <x:v>نسخه پایه ۳۱۵۰</x:v>
      </x:c>
    </x:row>
    <x:row r="2307" ht="34" customHeight="1">
      <x:c r="A2307" s="34" t="str">
        <x:v>☐</x:v>
      </x:c>
      <x:c r="B2307" s="34" t="str">
        <x:v>MI-0328</x:v>
      </x:c>
      <x:c r="C2307" s="34" t="str">
        <x:v>M5 — دانش، فرهنگ، حکمرانی و بانک مطالعاتی</x:v>
      </x:c>
      <x:c r="D2307" s="34" t="str">
        <x:v>H18</x:v>
      </x:c>
      <x:c r="E2307" s="34" t="str">
        <x:v>بانک مطالعه، منابع و موضوعات کنجکاوی</x:v>
      </x:c>
      <x:c r="F2307" s="34" t="str">
        <x:v>P3/CLARIFY</x:v>
      </x:c>
      <x:c r="G2307" s="34" t="str">
        <x:v>هدف/موضوع</x:v>
      </x:c>
      <x:c r="H2307" s="39" t="str">
        <x:v>تلویحاً قبول کرد</x:v>
      </x:c>
      <x:c r="I2307" s="39" t="str">
        <x:v>نیازمند تعریف خروجی یا پارک</x:v>
      </x:c>
      <x:c r="J2307" s="39" t="str">
        <x:v>مدیر دانش/کیوریتور محتوا</x:v>
      </x:c>
      <x:c r="K2307" s="39" t="str"/>
      <x:c r="L2307" s="39" t="str">
        <x:v>AP:P105</x:v>
      </x:c>
      <x:c r="M2307" s="39" t="str"/>
      <x:c r="N2307" s="39" t="str">
        <x:v>نسخه پایه ۳۱۵۰</x:v>
      </x:c>
    </x:row>
    <x:row r="2308" ht="34" customHeight="1">
      <x:c r="A2308" s="34" t="str">
        <x:v>☐</x:v>
      </x:c>
      <x:c r="B2308" s="34" t="str">
        <x:v>MI-0329</x:v>
      </x:c>
      <x:c r="C2308" s="34" t="str">
        <x:v>M5 — دانش، فرهنگ، حکمرانی و بانک مطالعاتی</x:v>
      </x:c>
      <x:c r="D2308" s="34" t="str">
        <x:v>H18</x:v>
      </x:c>
      <x:c r="E2308" s="34" t="str">
        <x:v>بانک مطالعه، منابع و موضوعات کنجکاوی</x:v>
      </x:c>
      <x:c r="F2308" s="34" t="str">
        <x:v>P3/CLARIFY</x:v>
      </x:c>
      <x:c r="G2308" s="34" t="str">
        <x:v>هدف/موضوع</x:v>
      </x:c>
      <x:c r="H2308" s="39" t="str">
        <x:v>در نطفه ان را خفه کردیم</x:v>
      </x:c>
      <x:c r="I2308" s="39" t="str">
        <x:v>نیازمند تعریف خروجی یا پارک</x:v>
      </x:c>
      <x:c r="J2308" s="39" t="str">
        <x:v>مدیر دانش/کیوریتور محتوا</x:v>
      </x:c>
      <x:c r="K2308" s="39" t="str"/>
      <x:c r="L2308" s="39" t="str">
        <x:v>AP:P106</x:v>
      </x:c>
      <x:c r="M2308" s="39" t="str"/>
      <x:c r="N2308" s="39" t="str">
        <x:v>نسخه پایه ۳۱۵۰</x:v>
      </x:c>
    </x:row>
    <x:row r="2309" ht="34" customHeight="1">
      <x:c r="A2309" s="34" t="str">
        <x:v>☐</x:v>
      </x:c>
      <x:c r="B2309" s="34" t="str">
        <x:v>MI-0330</x:v>
      </x:c>
      <x:c r="C2309" s="34" t="str">
        <x:v>M5 — دانش، فرهنگ، حکمرانی و بانک مطالعاتی</x:v>
      </x:c>
      <x:c r="D2309" s="34" t="str">
        <x:v>H18</x:v>
      </x:c>
      <x:c r="E2309" s="34" t="str">
        <x:v>بانک مطالعه، منابع و موضوعات کنجکاوی</x:v>
      </x:c>
      <x:c r="F2309" s="34" t="str">
        <x:v>P3/CLARIFY</x:v>
      </x:c>
      <x:c r="G2309" s="34" t="str">
        <x:v>هدف/موضوع</x:v>
      </x:c>
      <x:c r="H2309" s="39" t="str">
        <x:v>نطفه آن اینجا بسته شد</x:v>
      </x:c>
      <x:c r="I2309" s="39" t="str">
        <x:v>نیازمند تعریف خروجی یا پارک</x:v>
      </x:c>
      <x:c r="J2309" s="39" t="str">
        <x:v>مدیر دانش/کیوریتور محتوا</x:v>
      </x:c>
      <x:c r="K2309" s="39" t="str"/>
      <x:c r="L2309" s="39" t="str">
        <x:v>AP:P107</x:v>
      </x:c>
      <x:c r="M2309" s="39" t="str"/>
      <x:c r="N2309" s="39" t="str">
        <x:v>نسخه پایه ۳۱۵۰</x:v>
      </x:c>
    </x:row>
    <x:row r="2310" ht="34" customHeight="1">
      <x:c r="A2310" s="34" t="str">
        <x:v>☐</x:v>
      </x:c>
      <x:c r="B2310" s="34" t="str">
        <x:v>MI-0331</x:v>
      </x:c>
      <x:c r="C2310" s="34" t="str">
        <x:v>M5 — دانش، فرهنگ، حکمرانی و بانک مطالعاتی</x:v>
      </x:c>
      <x:c r="D2310" s="34" t="str">
        <x:v>H18</x:v>
      </x:c>
      <x:c r="E2310" s="34" t="str">
        <x:v>بانک مطالعه، منابع و موضوعات کنجکاوی</x:v>
      </x:c>
      <x:c r="F2310" s="34" t="str">
        <x:v>P3/CLARIFY</x:v>
      </x:c>
      <x:c r="G2310" s="34" t="str">
        <x:v>هدف/موضوع</x:v>
      </x:c>
      <x:c r="H2310" s="39" t="str">
        <x:v>نانوا هم جوش شیرین میزند بیچاره فرهاد</x:v>
      </x:c>
      <x:c r="I2310" s="39" t="str">
        <x:v>نیازمند تعریف خروجی یا پارک</x:v>
      </x:c>
      <x:c r="J2310" s="39" t="str">
        <x:v>مدیر دانش/کیوریتور محتوا</x:v>
      </x:c>
      <x:c r="K2310" s="39" t="str"/>
      <x:c r="L2310" s="39" t="str">
        <x:v>AP:P108</x:v>
      </x:c>
      <x:c r="M2310" s="39" t="str"/>
      <x:c r="N2310" s="39" t="str">
        <x:v>نسخه پایه ۳۱۵۰</x:v>
      </x:c>
    </x:row>
    <x:row r="2311" ht="34" customHeight="1">
      <x:c r="A2311" s="34" t="str">
        <x:v>☐</x:v>
      </x:c>
      <x:c r="B2311" s="34" t="str">
        <x:v>MI-0332</x:v>
      </x:c>
      <x:c r="C2311" s="34" t="str">
        <x:v>M5 — دانش، فرهنگ، حکمرانی و بانک مطالعاتی</x:v>
      </x:c>
      <x:c r="D2311" s="34" t="str">
        <x:v>H18</x:v>
      </x:c>
      <x:c r="E2311" s="34" t="str">
        <x:v>بانک مطالعه، منابع و موضوعات کنجکاوی</x:v>
      </x:c>
      <x:c r="F2311" s="34" t="str">
        <x:v>P3/CLARIFY</x:v>
      </x:c>
      <x:c r="G2311" s="34" t="str">
        <x:v>هدف/موضوع</x:v>
      </x:c>
      <x:c r="H2311" s="39" t="str">
        <x:v>بضاعت ما این بود</x:v>
      </x:c>
      <x:c r="I2311" s="39" t="str">
        <x:v>نیازمند تعریف خروجی یا پارک</x:v>
      </x:c>
      <x:c r="J2311" s="39" t="str">
        <x:v>مدیر دانش/کیوریتور محتوا</x:v>
      </x:c>
      <x:c r="K2311" s="39" t="str"/>
      <x:c r="L2311" s="39" t="str">
        <x:v>AP:P109</x:v>
      </x:c>
      <x:c r="M2311" s="39" t="str"/>
      <x:c r="N2311" s="39" t="str">
        <x:v>نسخه پایه ۳۱۵۰</x:v>
      </x:c>
    </x:row>
    <x:row r="2312" ht="34" customHeight="1">
      <x:c r="A2312" s="34" t="str">
        <x:v>☐</x:v>
      </x:c>
      <x:c r="B2312" s="34" t="str">
        <x:v>MI-0333</x:v>
      </x:c>
      <x:c r="C2312" s="34" t="str">
        <x:v>M5 — دانش، فرهنگ، حکمرانی و بانک مطالعاتی</x:v>
      </x:c>
      <x:c r="D2312" s="34" t="str">
        <x:v>H18</x:v>
      </x:c>
      <x:c r="E2312" s="34" t="str">
        <x:v>بانک مطالعه، منابع و موضوعات کنجکاوی</x:v>
      </x:c>
      <x:c r="F2312" s="34" t="str">
        <x:v>P3/CLARIFY</x:v>
      </x:c>
      <x:c r="G2312" s="34" t="str">
        <x:v>هدف/موضوع</x:v>
      </x:c>
      <x:c r="H2312" s="39" t="str">
        <x:v>در بضاعت خودمون جنگیدیم</x:v>
      </x:c>
      <x:c r="I2312" s="39" t="str">
        <x:v>نیازمند تعریف خروجی یا پارک</x:v>
      </x:c>
      <x:c r="J2312" s="39" t="str">
        <x:v>مدیر دانش/کیوریتور محتوا</x:v>
      </x:c>
      <x:c r="K2312" s="39" t="str"/>
      <x:c r="L2312" s="39" t="str">
        <x:v>AP:P110</x:v>
      </x:c>
      <x:c r="M2312" s="39" t="str"/>
      <x:c r="N2312" s="39" t="str">
        <x:v>نسخه پایه ۳۱۵۰</x:v>
      </x:c>
    </x:row>
    <x:row r="2313" ht="34" customHeight="1">
      <x:c r="A2313" s="34" t="str">
        <x:v>☐</x:v>
      </x:c>
      <x:c r="B2313" s="34" t="str">
        <x:v>MI-0334</x:v>
      </x:c>
      <x:c r="C2313" s="34" t="str">
        <x:v>M5 — دانش، فرهنگ، حکمرانی و بانک مطالعاتی</x:v>
      </x:c>
      <x:c r="D2313" s="34" t="str">
        <x:v>H18</x:v>
      </x:c>
      <x:c r="E2313" s="34" t="str">
        <x:v>بانک مطالعه، منابع و موضوعات کنجکاوی</x:v>
      </x:c>
      <x:c r="F2313" s="34" t="str">
        <x:v>P3/CLARIFY</x:v>
      </x:c>
      <x:c r="G2313" s="34" t="str">
        <x:v>هدف/موضوع</x:v>
      </x:c>
      <x:c r="H2313" s="39" t="str">
        <x:v>ما مسخ ایشان در اخلاق بودیم</x:v>
      </x:c>
      <x:c r="I2313" s="39" t="str">
        <x:v>نیازمند تعریف خروجی یا پارک</x:v>
      </x:c>
      <x:c r="J2313" s="39" t="str">
        <x:v>مدیر دانش/کیوریتور محتوا</x:v>
      </x:c>
      <x:c r="K2313" s="39" t="str"/>
      <x:c r="L2313" s="39" t="str">
        <x:v>AP:P111</x:v>
      </x:c>
      <x:c r="M2313" s="39" t="str"/>
      <x:c r="N2313" s="39" t="str">
        <x:v>نسخه پایه ۳۱۵۰</x:v>
      </x:c>
    </x:row>
    <x:row r="2314" ht="34" customHeight="1">
      <x:c r="A2314" s="34" t="str">
        <x:v>☐</x:v>
      </x:c>
      <x:c r="B2314" s="34" t="str">
        <x:v>MI-0335</x:v>
      </x:c>
      <x:c r="C2314" s="34" t="str">
        <x:v>M5 — دانش، فرهنگ، حکمرانی و بانک مطالعاتی</x:v>
      </x:c>
      <x:c r="D2314" s="34" t="str">
        <x:v>H18</x:v>
      </x:c>
      <x:c r="E2314" s="34" t="str">
        <x:v>بانک مطالعه، منابع و موضوعات کنجکاوی</x:v>
      </x:c>
      <x:c r="F2314" s="34" t="str">
        <x:v>P3/CLARIFY</x:v>
      </x:c>
      <x:c r="G2314" s="34" t="str">
        <x:v>هدف/موضوع</x:v>
      </x:c>
      <x:c r="H2314" s="39" t="str">
        <x:v>به قول نویسنده سلام بر ابراهیم</x:v>
      </x:c>
      <x:c r="I2314" s="39" t="str">
        <x:v>نیازمند تعریف خروجی یا پارک</x:v>
      </x:c>
      <x:c r="J2314" s="39" t="str">
        <x:v>مدیر دانش/کیوریتور محتوا</x:v>
      </x:c>
      <x:c r="K2314" s="39" t="str"/>
      <x:c r="L2314" s="39" t="str">
        <x:v>AP:P112</x:v>
      </x:c>
      <x:c r="M2314" s="39" t="str"/>
      <x:c r="N2314" s="39" t="str">
        <x:v>نسخه پایه ۳۱۵۰</x:v>
      </x:c>
    </x:row>
    <x:row r="2315" ht="34" customHeight="1">
      <x:c r="A2315" s="34" t="str">
        <x:v>☐</x:v>
      </x:c>
      <x:c r="B2315" s="34" t="str">
        <x:v>MI-0336</x:v>
      </x:c>
      <x:c r="C2315" s="34" t="str">
        <x:v>M5 — دانش، فرهنگ، حکمرانی و بانک مطالعاتی</x:v>
      </x:c>
      <x:c r="D2315" s="34" t="str">
        <x:v>H18</x:v>
      </x:c>
      <x:c r="E2315" s="34" t="str">
        <x:v>بانک مطالعه، منابع و موضوعات کنجکاوی</x:v>
      </x:c>
      <x:c r="F2315" s="34" t="str">
        <x:v>P3/CLARIFY</x:v>
      </x:c>
      <x:c r="G2315" s="34" t="str">
        <x:v>هدف/موضوع</x:v>
      </x:c>
      <x:c r="H2315" s="39" t="str">
        <x:v>چیرگی بر نفس را بیاموز نه از پوریای ولی بلکه ازمولایت علی</x:v>
      </x:c>
      <x:c r="I2315" s="39" t="str">
        <x:v>نیازمند تعریف خروجی یا پارک</x:v>
      </x:c>
      <x:c r="J2315" s="39" t="str">
        <x:v>مدیر دانش/کیوریتور محتوا</x:v>
      </x:c>
      <x:c r="K2315" s="39" t="str"/>
      <x:c r="L2315" s="39" t="str">
        <x:v>AP:P113</x:v>
      </x:c>
      <x:c r="M2315" s="39" t="str"/>
      <x:c r="N2315" s="39" t="str">
        <x:v>نسخه پایه ۳۱۵۰</x:v>
      </x:c>
    </x:row>
    <x:row r="2316" ht="34" customHeight="1">
      <x:c r="A2316" s="34" t="str">
        <x:v>☐</x:v>
      </x:c>
      <x:c r="B2316" s="34" t="str">
        <x:v>MI-0337</x:v>
      </x:c>
      <x:c r="C2316" s="34" t="str">
        <x:v>M5 — دانش، فرهنگ، حکمرانی و بانک مطالعاتی</x:v>
      </x:c>
      <x:c r="D2316" s="34" t="str">
        <x:v>H18</x:v>
      </x:c>
      <x:c r="E2316" s="34" t="str">
        <x:v>بانک مطالعه، منابع و موضوعات کنجکاوی</x:v>
      </x:c>
      <x:c r="F2316" s="34" t="str">
        <x:v>P3/CLARIFY</x:v>
      </x:c>
      <x:c r="G2316" s="34" t="str">
        <x:v>هدف/موضوع</x:v>
      </x:c>
      <x:c r="H2316" s="39" t="str">
        <x:v>به جای خصوصی سازی خودمونی سازی کرده</x:v>
      </x:c>
      <x:c r="I2316" s="39" t="str">
        <x:v>نیازمند تعریف خروجی یا پارک</x:v>
      </x:c>
      <x:c r="J2316" s="39" t="str">
        <x:v>مدیر دانش/کیوریتور محتوا</x:v>
      </x:c>
      <x:c r="K2316" s="39" t="str"/>
      <x:c r="L2316" s="39" t="str">
        <x:v>AP:P114</x:v>
      </x:c>
      <x:c r="M2316" s="39" t="str"/>
      <x:c r="N2316" s="39" t="str">
        <x:v>نسخه پایه ۳۱۵۰</x:v>
      </x:c>
    </x:row>
    <x:row r="2317" ht="34" customHeight="1">
      <x:c r="A2317" s="34" t="str">
        <x:v>☐</x:v>
      </x:c>
      <x:c r="B2317" s="34" t="str">
        <x:v>MI-0338</x:v>
      </x:c>
      <x:c r="C2317" s="34" t="str">
        <x:v>M5 — دانش، فرهنگ، حکمرانی و بانک مطالعاتی</x:v>
      </x:c>
      <x:c r="D2317" s="34" t="str">
        <x:v>H18</x:v>
      </x:c>
      <x:c r="E2317" s="34" t="str">
        <x:v>بانک مطالعه، منابع و موضوعات کنجکاوی</x:v>
      </x:c>
      <x:c r="F2317" s="34" t="str">
        <x:v>P3/CLARIFY</x:v>
      </x:c>
      <x:c r="G2317" s="34" t="str">
        <x:v>هدف/موضوع</x:v>
      </x:c>
      <x:c r="H2317" s="39" t="str">
        <x:v>بلند پرواز باش ولی پله پله پرواز کن اگه یه دفهبری بالا یه دفه با کله سقوط میکنی نابود میشی ولی اکه مده پله بری بالا جاتو سفتمیکنی هیچ چیز دکیه ای تمیتونه تگونت بده</x:v>
      </x:c>
      <x:c r="I2317" s="39" t="str">
        <x:v>نیازمند تعریف خروجی یا پارک</x:v>
      </x:c>
      <x:c r="J2317" s="39" t="str">
        <x:v>مدیر دانش/کیوریتور محتوا</x:v>
      </x:c>
      <x:c r="K2317" s="39" t="str"/>
      <x:c r="L2317" s="39" t="str">
        <x:v>AP:P115</x:v>
      </x:c>
      <x:c r="M2317" s="39" t="str"/>
      <x:c r="N2317" s="39" t="str">
        <x:v>نسخه پایه ۳۱۵۰</x:v>
      </x:c>
    </x:row>
    <x:row r="2318" ht="34" customHeight="1">
      <x:c r="A2318" s="34" t="str">
        <x:v>☐</x:v>
      </x:c>
      <x:c r="B2318" s="34" t="str">
        <x:v>MI-0339</x:v>
      </x:c>
      <x:c r="C2318" s="34" t="str">
        <x:v>M5 — دانش، فرهنگ، حکمرانی و بانک مطالعاتی</x:v>
      </x:c>
      <x:c r="D2318" s="34" t="str">
        <x:v>H18</x:v>
      </x:c>
      <x:c r="E2318" s="34" t="str">
        <x:v>بانک مطالعه، منابع و موضوعات کنجکاوی</x:v>
      </x:c>
      <x:c r="F2318" s="34" t="str">
        <x:v>P3/CLARIFY</x:v>
      </x:c>
      <x:c r="G2318" s="34" t="str">
        <x:v>هدف/موضوع</x:v>
      </x:c>
      <x:c r="H2318" s="39" t="str">
        <x:v>محتوا شما باید به قلب افراد نفوذ کنه نه بهمغزتون</x:v>
      </x:c>
      <x:c r="I2318" s="39" t="str">
        <x:v>نیازمند تعریف خروجی یا پارک</x:v>
      </x:c>
      <x:c r="J2318" s="39" t="str">
        <x:v>مدیر دانش/کیوریتور محتوا</x:v>
      </x:c>
      <x:c r="K2318" s="39" t="str"/>
      <x:c r="L2318" s="39" t="str">
        <x:v>AP:P116</x:v>
      </x:c>
      <x:c r="M2318" s="39" t="str"/>
      <x:c r="N2318" s="39" t="str">
        <x:v>نسخه پایه ۳۱۵۰</x:v>
      </x:c>
    </x:row>
    <x:row r="2319" ht="34" customHeight="1">
      <x:c r="A2319" s="34" t="str">
        <x:v>☐</x:v>
      </x:c>
      <x:c r="B2319" s="34" t="str">
        <x:v>MI-0340</x:v>
      </x:c>
      <x:c r="C2319" s="34" t="str">
        <x:v>M5 — دانش، فرهنگ، حکمرانی و بانک مطالعاتی</x:v>
      </x:c>
      <x:c r="D2319" s="34" t="str">
        <x:v>H18</x:v>
      </x:c>
      <x:c r="E2319" s="34" t="str">
        <x:v>بانک مطالعه، منابع و موضوعات کنجکاوی</x:v>
      </x:c>
      <x:c r="F2319" s="34" t="str">
        <x:v>P3/CLARIFY</x:v>
      </x:c>
      <x:c r="G2319" s="34" t="str">
        <x:v>هدف/موضوع</x:v>
      </x:c>
      <x:c r="H2319" s="39" t="str">
        <x:v>موارد جالب</x:v>
      </x:c>
      <x:c r="I2319" s="39" t="str">
        <x:v>نیازمند تعریف خروجی یا پارک</x:v>
      </x:c>
      <x:c r="J2319" s="39" t="str">
        <x:v>مدیر دانش/کیوریتور محتوا</x:v>
      </x:c>
      <x:c r="K2319" s="39" t="str"/>
      <x:c r="L2319" s="39" t="str">
        <x:v>AP:P117</x:v>
      </x:c>
      <x:c r="M2319" s="39" t="str"/>
      <x:c r="N2319" s="39" t="str">
        <x:v>نسخه پایه ۳۱۵۰</x:v>
      </x:c>
    </x:row>
    <x:row r="2320" ht="34" customHeight="1">
      <x:c r="A2320" s="34" t="str">
        <x:v>☐</x:v>
      </x:c>
      <x:c r="B2320" s="34" t="str">
        <x:v>MI-0341</x:v>
      </x:c>
      <x:c r="C2320" s="34" t="str">
        <x:v>M5 — دانش، فرهنگ، حکمرانی و بانک مطالعاتی</x:v>
      </x:c>
      <x:c r="D2320" s="34" t="str">
        <x:v>H18</x:v>
      </x:c>
      <x:c r="E2320" s="34" t="str">
        <x:v>بانک مطالعه، منابع و موضوعات کنجکاوی</x:v>
      </x:c>
      <x:c r="F2320" s="34" t="str">
        <x:v>P3/CLARIFY</x:v>
      </x:c>
      <x:c r="G2320" s="34" t="str">
        <x:v>هدف/موضوع</x:v>
      </x:c>
      <x:c r="H2320" s="39" t="str">
        <x:v>هرکجا دشمن حمله می کند، آنجا فعالیت کنید.</x:v>
      </x:c>
      <x:c r="I2320" s="39" t="str">
        <x:v>نیازمند تعریف خروجی یا پارک</x:v>
      </x:c>
      <x:c r="J2320" s="39" t="str">
        <x:v>مدیر دانش/کیوریتور محتوا</x:v>
      </x:c>
      <x:c r="K2320" s="39" t="str"/>
      <x:c r="L2320" s="39" t="str">
        <x:v>AP:P118</x:v>
      </x:c>
      <x:c r="M2320" s="39" t="str"/>
      <x:c r="N2320" s="39" t="str">
        <x:v>نسخه پایه ۳۱۵۰</x:v>
      </x:c>
    </x:row>
    <x:row r="2321" ht="34" customHeight="1">
      <x:c r="A2321" s="34" t="str">
        <x:v>☐</x:v>
      </x:c>
      <x:c r="B2321" s="34" t="str">
        <x:v>MI-0342</x:v>
      </x:c>
      <x:c r="C2321" s="34" t="str">
        <x:v>M5 — دانش، فرهنگ، حکمرانی و بانک مطالعاتی</x:v>
      </x:c>
      <x:c r="D2321" s="34" t="str">
        <x:v>H18</x:v>
      </x:c>
      <x:c r="E2321" s="34" t="str">
        <x:v>بانک مطالعه، منابع و موضوعات کنجکاوی</x:v>
      </x:c>
      <x:c r="F2321" s="34" t="str">
        <x:v>P3/CLARIFY</x:v>
      </x:c>
      <x:c r="G2321" s="34" t="str">
        <x:v>هدف/موضوع</x:v>
      </x:c>
      <x:c r="H2321" s="39" t="str">
        <x:v>به جای عمودی سازی، افقی سازی مسکن را در پیش بگیریم.</x:v>
      </x:c>
      <x:c r="I2321" s="39" t="str">
        <x:v>نیازمند تعریف خروجی یا پارک</x:v>
      </x:c>
      <x:c r="J2321" s="39" t="str">
        <x:v>مدیر دانش/کیوریتور محتوا</x:v>
      </x:c>
      <x:c r="K2321" s="39" t="str"/>
      <x:c r="L2321" s="39" t="str">
        <x:v>AP:P119</x:v>
      </x:c>
      <x:c r="M2321" s="39" t="str"/>
      <x:c r="N2321" s="39" t="str">
        <x:v>نسخه پایه ۳۱۵۰</x:v>
      </x:c>
    </x:row>
    <x:row r="2322" ht="34" customHeight="1">
      <x:c r="A2322" s="34" t="str">
        <x:v>☐</x:v>
      </x:c>
      <x:c r="B2322" s="34" t="str">
        <x:v>MI-0343</x:v>
      </x:c>
      <x:c r="C2322" s="34" t="str">
        <x:v>M5 — دانش، فرهنگ، حکمرانی و بانک مطالعاتی</x:v>
      </x:c>
      <x:c r="D2322" s="34" t="str">
        <x:v>H18</x:v>
      </x:c>
      <x:c r="E2322" s="34" t="str">
        <x:v>بانک مطالعه، منابع و موضوعات کنجکاوی</x:v>
      </x:c>
      <x:c r="F2322" s="34" t="str">
        <x:v>P3/CLARIFY</x:v>
      </x:c>
      <x:c r="G2322" s="34" t="str">
        <x:v>هدف/موضوع</x:v>
      </x:c>
      <x:c r="H2322" s="39" t="str">
        <x:v>در زمان کوروش در مدیترانه حضور نداشتیم، اما الان داریم..</x:v>
      </x:c>
      <x:c r="I2322" s="39" t="str">
        <x:v>نیازمند تعریف خروجی یا پارک</x:v>
      </x:c>
      <x:c r="J2322" s="39" t="str">
        <x:v>مدیر دانش/کیوریتور محتوا</x:v>
      </x:c>
      <x:c r="K2322" s="39" t="str"/>
      <x:c r="L2322" s="39" t="str">
        <x:v>AP:P120</x:v>
      </x:c>
      <x:c r="M2322" s="39" t="str"/>
      <x:c r="N2322" s="39" t="str">
        <x:v>نسخه پایه ۳۱۵۰</x:v>
      </x:c>
    </x:row>
    <x:row r="2323" ht="34" customHeight="1">
      <x:c r="A2323" s="34" t="str">
        <x:v>☐</x:v>
      </x:c>
      <x:c r="B2323" s="34" t="str">
        <x:v>MI-0345</x:v>
      </x:c>
      <x:c r="C2323" s="34" t="str">
        <x:v>M5 — دانش، فرهنگ، حکمرانی و بانک مطالعاتی</x:v>
      </x:c>
      <x:c r="D2323" s="34" t="str">
        <x:v>H18</x:v>
      </x:c>
      <x:c r="E2323" s="34" t="str">
        <x:v>بانک مطالعه، منابع و موضوعات کنجکاوی</x:v>
      </x:c>
      <x:c r="F2323" s="34" t="str">
        <x:v>P3/CLARIFY</x:v>
      </x:c>
      <x:c r="G2323" s="34" t="str">
        <x:v>هدف/موضوع</x:v>
      </x:c>
      <x:c r="H2323" s="39" t="str">
        <x:v>مریض اقتصادی</x:v>
      </x:c>
      <x:c r="I2323" s="39" t="str">
        <x:v>نیازمند تعریف خروجی یا پارک</x:v>
      </x:c>
      <x:c r="J2323" s="39" t="str">
        <x:v>مدیر دانش/کیوریتور محتوا</x:v>
      </x:c>
      <x:c r="K2323" s="39" t="str"/>
      <x:c r="L2323" s="39" t="str">
        <x:v>AP:P122</x:v>
      </x:c>
      <x:c r="M2323" s="39" t="str"/>
      <x:c r="N2323" s="39" t="str">
        <x:v>نسخه پایه ۳۱۵۰</x:v>
      </x:c>
    </x:row>
    <x:row r="2324" ht="34" customHeight="1">
      <x:c r="A2324" s="34" t="str">
        <x:v>☐</x:v>
      </x:c>
      <x:c r="B2324" s="34" t="str">
        <x:v>MI-0346</x:v>
      </x:c>
      <x:c r="C2324" s="34" t="str">
        <x:v>M5 — دانش، فرهنگ، حکمرانی و بانک مطالعاتی</x:v>
      </x:c>
      <x:c r="D2324" s="34" t="str">
        <x:v>H18</x:v>
      </x:c>
      <x:c r="E2324" s="34" t="str">
        <x:v>بانک مطالعه، منابع و موضوعات کنجکاوی</x:v>
      </x:c>
      <x:c r="F2324" s="34" t="str">
        <x:v>P3/CLARIFY</x:v>
      </x:c>
      <x:c r="G2324" s="34" t="str">
        <x:v>هدف/موضوع</x:v>
      </x:c>
      <x:c r="H2324" s="39" t="str">
        <x:v>فرصت سوزی</x:v>
      </x:c>
      <x:c r="I2324" s="39" t="str">
        <x:v>نیازمند تعریف خروجی یا پارک</x:v>
      </x:c>
      <x:c r="J2324" s="39" t="str">
        <x:v>مدیر دانش/کیوریتور محتوا</x:v>
      </x:c>
      <x:c r="K2324" s="39" t="str"/>
      <x:c r="L2324" s="39" t="str">
        <x:v>AP:P123</x:v>
      </x:c>
      <x:c r="M2324" s="39" t="str"/>
      <x:c r="N2324" s="39" t="str">
        <x:v>نسخه پایه ۳۱۵۰</x:v>
      </x:c>
    </x:row>
    <x:row r="2325" ht="34" customHeight="1">
      <x:c r="A2325" s="34" t="str">
        <x:v>☐</x:v>
      </x:c>
      <x:c r="B2325" s="34" t="str">
        <x:v>MI-0347</x:v>
      </x:c>
      <x:c r="C2325" s="34" t="str">
        <x:v>M5 — دانش، فرهنگ، حکمرانی و بانک مطالعاتی</x:v>
      </x:c>
      <x:c r="D2325" s="34" t="str">
        <x:v>H18</x:v>
      </x:c>
      <x:c r="E2325" s="34" t="str">
        <x:v>بانک مطالعه، منابع و موضوعات کنجکاوی</x:v>
      </x:c>
      <x:c r="F2325" s="34" t="str">
        <x:v>P3/CLARIFY</x:v>
      </x:c>
      <x:c r="G2325" s="34" t="str">
        <x:v>هدف/موضوع</x:v>
      </x:c>
      <x:c r="H2325" s="39" t="str">
        <x:v>یکی این وسط نمیزاره صدای حاکمیت به گوش مردم برسه.</x:v>
      </x:c>
      <x:c r="I2325" s="39" t="str">
        <x:v>نیازمند تعریف خروجی یا پارک</x:v>
      </x:c>
      <x:c r="J2325" s="39" t="str">
        <x:v>مدیر دانش/کیوریتور محتوا</x:v>
      </x:c>
      <x:c r="K2325" s="39" t="str"/>
      <x:c r="L2325" s="39" t="str">
        <x:v>AP:P124</x:v>
      </x:c>
      <x:c r="M2325" s="39" t="str"/>
      <x:c r="N2325" s="39" t="str">
        <x:v>نسخه پایه ۳۱۵۰</x:v>
      </x:c>
    </x:row>
    <x:row r="2326" ht="34" customHeight="1">
      <x:c r="A2326" s="34" t="str">
        <x:v>☐</x:v>
      </x:c>
      <x:c r="B2326" s="34" t="str">
        <x:v>MI-0348</x:v>
      </x:c>
      <x:c r="C2326" s="34" t="str">
        <x:v>M5 — دانش، فرهنگ، حکمرانی و بانک مطالعاتی</x:v>
      </x:c>
      <x:c r="D2326" s="34" t="str">
        <x:v>H18</x:v>
      </x:c>
      <x:c r="E2326" s="34" t="str">
        <x:v>بانک مطالعه، منابع و موضوعات کنجکاوی</x:v>
      </x:c>
      <x:c r="F2326" s="34" t="str">
        <x:v>P3/CLARIFY</x:v>
      </x:c>
      <x:c r="G2326" s="34" t="str">
        <x:v>هدف/موضوع</x:v>
      </x:c>
      <x:c r="H2326" s="39" t="str">
        <x:v>تنفس مصنوعی به یک جریان</x:v>
      </x:c>
      <x:c r="I2326" s="39" t="str">
        <x:v>نیازمند تعریف خروجی یا پارک</x:v>
      </x:c>
      <x:c r="J2326" s="39" t="str">
        <x:v>مدیر دانش/کیوریتور محتوا</x:v>
      </x:c>
      <x:c r="K2326" s="39" t="str"/>
      <x:c r="L2326" s="39" t="str">
        <x:v>AP:P125</x:v>
      </x:c>
      <x:c r="M2326" s="39" t="str"/>
      <x:c r="N2326" s="39" t="str">
        <x:v>نسخه پایه ۳۱۵۰</x:v>
      </x:c>
    </x:row>
    <x:row r="2327" ht="34" customHeight="1">
      <x:c r="A2327" s="34" t="str">
        <x:v>☐</x:v>
      </x:c>
      <x:c r="B2327" s="34" t="str">
        <x:v>MI-0349</x:v>
      </x:c>
      <x:c r="C2327" s="34" t="str">
        <x:v>M5 — دانش، فرهنگ، حکمرانی و بانک مطالعاتی</x:v>
      </x:c>
      <x:c r="D2327" s="34" t="str">
        <x:v>H18</x:v>
      </x:c>
      <x:c r="E2327" s="34" t="str">
        <x:v>بانک مطالعه، منابع و موضوعات کنجکاوی</x:v>
      </x:c>
      <x:c r="F2327" s="34" t="str">
        <x:v>P3/CLARIFY</x:v>
      </x:c>
      <x:c r="G2327" s="34" t="str">
        <x:v>هدف/موضوع</x:v>
      </x:c>
      <x:c r="H2327" s="39" t="str">
        <x:v>روزگار مرتبه مرا پایین آورد ، پایین آورد ، پایین آورد ، به حدی که میگفتند: معاویه و علی</x:v>
      </x:c>
      <x:c r="I2327" s="39" t="str">
        <x:v>نیازمند تعریف خروجی یا پارک</x:v>
      </x:c>
      <x:c r="J2327" s="39" t="str">
        <x:v>مدیر دانش/کیوریتور محتوا</x:v>
      </x:c>
      <x:c r="K2327" s="39" t="str"/>
      <x:c r="L2327" s="39" t="str">
        <x:v>AP:P126</x:v>
      </x:c>
      <x:c r="M2327" s="39" t="str"/>
      <x:c r="N2327" s="39" t="str">
        <x:v>نسخه پایه ۳۱۵۰</x:v>
      </x:c>
    </x:row>
    <x:row r="2328" ht="34" customHeight="1">
      <x:c r="A2328" s="34" t="str">
        <x:v>☐</x:v>
      </x:c>
      <x:c r="B2328" s="34" t="str">
        <x:v>MI-0350</x:v>
      </x:c>
      <x:c r="C2328" s="34" t="str">
        <x:v>M5 — دانش، فرهنگ، حکمرانی و بانک مطالعاتی</x:v>
      </x:c>
      <x:c r="D2328" s="34" t="str">
        <x:v>H18</x:v>
      </x:c>
      <x:c r="E2328" s="34" t="str">
        <x:v>بانک مطالعه، منابع و موضوعات کنجکاوی</x:v>
      </x:c>
      <x:c r="F2328" s="34" t="str">
        <x:v>P3/CLARIFY</x:v>
      </x:c>
      <x:c r="G2328" s="34" t="str">
        <x:v>هدف/موضوع</x:v>
      </x:c>
      <x:c r="H2328" s="39" t="str">
        <x:v>کلاف های پیچ در پیچ همیشه حرف های زیادی برای گفتن دارند مخصوصا اگر سرنخی به راحتی پیدا نشود</x:v>
      </x:c>
      <x:c r="I2328" s="39" t="str">
        <x:v>نیازمند تعریف خروجی یا پارک</x:v>
      </x:c>
      <x:c r="J2328" s="39" t="str">
        <x:v>مدیر دانش/کیوریتور محتوا</x:v>
      </x:c>
      <x:c r="K2328" s="39" t="str"/>
      <x:c r="L2328" s="39" t="str">
        <x:v>AP:P127</x:v>
      </x:c>
      <x:c r="M2328" s="39" t="str"/>
      <x:c r="N2328" s="39" t="str">
        <x:v>نسخه پایه ۳۱۵۰</x:v>
      </x:c>
    </x:row>
    <x:row r="2329" ht="34" customHeight="1">
      <x:c r="A2329" s="34" t="str">
        <x:v>☐</x:v>
      </x:c>
      <x:c r="B2329" s="34" t="str">
        <x:v>MI-0353</x:v>
      </x:c>
      <x:c r="C2329" s="34" t="str">
        <x:v>M5 — دانش، فرهنگ، حکمرانی و بانک مطالعاتی</x:v>
      </x:c>
      <x:c r="D2329" s="34" t="str">
        <x:v>H18</x:v>
      </x:c>
      <x:c r="E2329" s="34" t="str">
        <x:v>بانک مطالعه، منابع و موضوعات کنجکاوی</x:v>
      </x:c>
      <x:c r="F2329" s="34" t="str">
        <x:v>P3/CLARIFY</x:v>
      </x:c>
      <x:c r="G2329" s="34" t="str">
        <x:v>هدف/موضوع</x:v>
      </x:c>
      <x:c r="H2329" s="39" t="str">
        <x:v>نوشته پرطمطراق</x:v>
      </x:c>
      <x:c r="I2329" s="39" t="str">
        <x:v>نیازمند تعریف خروجی یا پارک</x:v>
      </x:c>
      <x:c r="J2329" s="39" t="str">
        <x:v>مدیر دانش/کیوریتور محتوا</x:v>
      </x:c>
      <x:c r="K2329" s="39" t="str"/>
      <x:c r="L2329" s="39" t="str">
        <x:v>AP:P132</x:v>
      </x:c>
      <x:c r="M2329" s="39" t="str"/>
      <x:c r="N2329" s="39" t="str">
        <x:v>نسخه پایه ۳۱۵۰</x:v>
      </x:c>
    </x:row>
    <x:row r="2330" ht="34" customHeight="1">
      <x:c r="A2330" s="34" t="str">
        <x:v>☐</x:v>
      </x:c>
      <x:c r="B2330" s="34" t="str">
        <x:v>MI-0354</x:v>
      </x:c>
      <x:c r="C2330" s="34" t="str">
        <x:v>M5 — دانش، فرهنگ، حکمرانی و بانک مطالعاتی</x:v>
      </x:c>
      <x:c r="D2330" s="34" t="str">
        <x:v>H18</x:v>
      </x:c>
      <x:c r="E2330" s="34" t="str">
        <x:v>بانک مطالعه، منابع و موضوعات کنجکاوی</x:v>
      </x:c>
      <x:c r="F2330" s="34" t="str">
        <x:v>P3/CLARIFY</x:v>
      </x:c>
      <x:c r="G2330" s="34" t="str">
        <x:v>هدف/موضوع</x:v>
      </x:c>
      <x:c r="H2330" s="39" t="str">
        <x:v>غایله ختم شد</x:v>
      </x:c>
      <x:c r="I2330" s="39" t="str">
        <x:v>نیازمند تعریف خروجی یا پارک</x:v>
      </x:c>
      <x:c r="J2330" s="39" t="str">
        <x:v>مدیر دانش/کیوریتور محتوا</x:v>
      </x:c>
      <x:c r="K2330" s="39" t="str"/>
      <x:c r="L2330" s="39" t="str">
        <x:v>AP:P133</x:v>
      </x:c>
      <x:c r="M2330" s="39" t="str"/>
      <x:c r="N2330" s="39" t="str">
        <x:v>نسخه پایه ۳۱۵۰</x:v>
      </x:c>
    </x:row>
    <x:row r="2331" ht="34" customHeight="1">
      <x:c r="A2331" s="34" t="str">
        <x:v>☐</x:v>
      </x:c>
      <x:c r="B2331" s="34" t="str">
        <x:v>MI-0355</x:v>
      </x:c>
      <x:c r="C2331" s="34" t="str">
        <x:v>M5 — دانش، فرهنگ، حکمرانی و بانک مطالعاتی</x:v>
      </x:c>
      <x:c r="D2331" s="34" t="str">
        <x:v>H18</x:v>
      </x:c>
      <x:c r="E2331" s="34" t="str">
        <x:v>بانک مطالعه، منابع و موضوعات کنجکاوی</x:v>
      </x:c>
      <x:c r="F2331" s="34" t="str">
        <x:v>P3/CLARIFY</x:v>
      </x:c>
      <x:c r="G2331" s="34" t="str">
        <x:v>هدف/موضوع</x:v>
      </x:c>
      <x:c r="H2331" s="39" t="str">
        <x:v>با غرور و نِخوت</x:v>
      </x:c>
      <x:c r="I2331" s="39" t="str">
        <x:v>نیازمند تعریف خروجی یا پارک</x:v>
      </x:c>
      <x:c r="J2331" s="39" t="str">
        <x:v>مدیر دانش/کیوریتور محتوا</x:v>
      </x:c>
      <x:c r="K2331" s="39" t="str"/>
      <x:c r="L2331" s="39" t="str">
        <x:v>AP:P134</x:v>
      </x:c>
      <x:c r="M2331" s="39" t="str"/>
      <x:c r="N2331" s="39" t="str">
        <x:v>نسخه پایه ۳۱۵۰</x:v>
      </x:c>
    </x:row>
    <x:row r="2332" ht="34" customHeight="1">
      <x:c r="A2332" s="34" t="str">
        <x:v>☐</x:v>
      </x:c>
      <x:c r="B2332" s="34" t="str">
        <x:v>MI-2185</x:v>
      </x:c>
      <x:c r="C2332" s="34" t="str">
        <x:v>M5 — دانش، فرهنگ، حکمرانی و بانک مطالعاتی</x:v>
      </x:c>
      <x:c r="D2332" s="34" t="str">
        <x:v>H18</x:v>
      </x:c>
      <x:c r="E2332" s="34" t="str">
        <x:v>بانک مطالعه، منابع و موضوعات کنجکاوی</x:v>
      </x:c>
      <x:c r="F2332" s="34" t="str">
        <x:v>P3/CLARIFY</x:v>
      </x:c>
      <x:c r="G2332" s="34" t="str">
        <x:v>هدف/موضوع</x:v>
      </x:c>
      <x:c r="H2332" s="39" t="str">
        <x:v>دانشگاه ها (منبع اصلی استعداد)</x:v>
      </x:c>
      <x:c r="I2332" s="39" t="str">
        <x:v>نیازمند تعریف خروجی یا پارک</x:v>
      </x:c>
      <x:c r="J2332" s="39" t="str">
        <x:v>مدیر دانش/کیوریتور محتوا</x:v>
      </x:c>
      <x:c r="K2332" s="39" t="str"/>
      <x:c r="L2332" s="39" t="str">
        <x:v>E112:P995</x:v>
      </x:c>
      <x:c r="M2332" s="39" t="str"/>
      <x:c r="N2332" s="39" t="str">
        <x:v>نسخه پایه ۳۱۵۰</x:v>
      </x:c>
    </x:row>
    <x:row r="2333" ht="34" customHeight="1">
      <x:c r="A2333" s="34" t="str">
        <x:v>☐</x:v>
      </x:c>
      <x:c r="B2333" s="34" t="str">
        <x:v>MI-2224</x:v>
      </x:c>
      <x:c r="C2333" s="34" t="str">
        <x:v>M5 — دانش، فرهنگ، حکمرانی و بانک مطالعاتی</x:v>
      </x:c>
      <x:c r="D2333" s="34" t="str">
        <x:v>H18</x:v>
      </x:c>
      <x:c r="E2333" s="34" t="str">
        <x:v>بانک مطالعه، منابع و موضوعات کنجکاوی</x:v>
      </x:c>
      <x:c r="F2333" s="34" t="str">
        <x:v>P3/CLARIFY</x:v>
      </x:c>
      <x:c r="G2333" s="34" t="str">
        <x:v>هدف/موضوع</x:v>
      </x:c>
      <x:c r="H2333" s="39" t="str">
        <x:v>بزرگ ترین منبع:</x:v>
      </x:c>
      <x:c r="I2333" s="39" t="str">
        <x:v>نیازمند تعریف خروجی یا پارک</x:v>
      </x:c>
      <x:c r="J2333" s="39" t="str">
        <x:v>مدیر دانش/کیوریتور محتوا</x:v>
      </x:c>
      <x:c r="K2333" s="39" t="str"/>
      <x:c r="L2333" s="39" t="str">
        <x:v>E112:P1076</x:v>
      </x:c>
      <x:c r="M2333" s="39" t="str"/>
      <x:c r="N2333" s="39" t="str">
        <x:v>نسخه پایه ۳۱۵۰</x:v>
      </x:c>
    </x:row>
    <x:row r="2334" ht="34" customHeight="1">
      <x:c r="A2334" s="34" t="str">
        <x:v>☐</x:v>
      </x:c>
      <x:c r="B2334" s="34" t="str">
        <x:v>N115-0018</x:v>
      </x:c>
      <x:c r="C2334" s="34" t="str">
        <x:v>M5 — دانش، فرهنگ، حکمرانی و بانک مطالعاتی</x:v>
      </x:c>
      <x:c r="D2334" s="34" t="str">
        <x:v>H18</x:v>
      </x:c>
      <x:c r="E2334" s="34" t="str">
        <x:v>بانک مطالعه، منابع و موضوعات کنجکاوی</x:v>
      </x:c>
      <x:c r="F2334" s="34" t="str">
        <x:v>REFERENCE</x:v>
      </x:c>
      <x:c r="G2334" s="34" t="str">
        <x:v>مطالعه/منبع</x:v>
      </x:c>
      <x:c r="H2334" s="39" t="str">
        <x:v>سامانه پاتریوت</x:v>
      </x:c>
      <x:c r="I2334" s="39" t="str">
        <x:v>مرجع مطالعاتی</x:v>
      </x:c>
      <x:c r="J2334" s="39" t="str">
        <x:v>مدیر دانش/کیوریتور محتوا</x:v>
      </x:c>
      <x:c r="K2334" s="39" t="str">
        <x:v>سامانه‌های پدافندی</x:v>
      </x:c>
      <x:c r="L2334" s="39" t="str">
        <x:v>115:P1521</x:v>
      </x:c>
      <x:c r="M2334" s="39" t="str"/>
      <x:c r="N2334" s="39" t="str">
        <x:v>1154878548.docx / ممیزی جدید</x:v>
      </x:c>
    </x:row>
    <x:row r="2335" ht="34" customHeight="1">
      <x:c r="A2335" s="34" t="str">
        <x:v>☐</x:v>
      </x:c>
      <x:c r="B2335" s="34" t="str">
        <x:v>N115-0019</x:v>
      </x:c>
      <x:c r="C2335" s="34" t="str">
        <x:v>M5 — دانش، فرهنگ، حکمرانی و بانک مطالعاتی</x:v>
      </x:c>
      <x:c r="D2335" s="34" t="str">
        <x:v>H18</x:v>
      </x:c>
      <x:c r="E2335" s="34" t="str">
        <x:v>بانک مطالعه، منابع و موضوعات کنجکاوی</x:v>
      </x:c>
      <x:c r="F2335" s="34" t="str">
        <x:v>REFERENCE</x:v>
      </x:c>
      <x:c r="G2335" s="34" t="str">
        <x:v>مطالعه/منبع</x:v>
      </x:c>
      <x:c r="H2335" s="39" t="str">
        <x:v>سامانه تاد (THAAD)</x:v>
      </x:c>
      <x:c r="I2335" s="39" t="str">
        <x:v>مرجع مطالعاتی</x:v>
      </x:c>
      <x:c r="J2335" s="39" t="str">
        <x:v>مدیر دانش/کیوریتور محتوا</x:v>
      </x:c>
      <x:c r="K2335" s="39" t="str">
        <x:v>سامانه‌های پدافندی</x:v>
      </x:c>
      <x:c r="L2335" s="39" t="str">
        <x:v>115:P1521</x:v>
      </x:c>
      <x:c r="M2335" s="39" t="str"/>
      <x:c r="N2335" s="39" t="str">
        <x:v>1154878548.docx / ممیزی جدید</x:v>
      </x:c>
    </x:row>
    <x:row r="2336" ht="34" customHeight="1">
      <x:c r="A2336" s="34" t="str">
        <x:v>☐</x:v>
      </x:c>
      <x:c r="B2336" s="34" t="str">
        <x:v>N115-0020</x:v>
      </x:c>
      <x:c r="C2336" s="34" t="str">
        <x:v>M5 — دانش، فرهنگ، حکمرانی و بانک مطالعاتی</x:v>
      </x:c>
      <x:c r="D2336" s="34" t="str">
        <x:v>H18</x:v>
      </x:c>
      <x:c r="E2336" s="34" t="str">
        <x:v>بانک مطالعه، منابع و موضوعات کنجکاوی</x:v>
      </x:c>
      <x:c r="F2336" s="34" t="str">
        <x:v>REFERENCE</x:v>
      </x:c>
      <x:c r="G2336" s="34" t="str">
        <x:v>مطالعه/منبع</x:v>
      </x:c>
      <x:c r="H2336" s="39" t="str">
        <x:v>گنبد آهنین</x:v>
      </x:c>
      <x:c r="I2336" s="39" t="str">
        <x:v>مرجع مطالعاتی</x:v>
      </x:c>
      <x:c r="J2336" s="39" t="str">
        <x:v>مدیر دانش/کیوریتور محتوا</x:v>
      </x:c>
      <x:c r="K2336" s="39" t="str">
        <x:v>سامانه‌های پدافندی</x:v>
      </x:c>
      <x:c r="L2336" s="39" t="str">
        <x:v>115:P1521</x:v>
      </x:c>
      <x:c r="M2336" s="39" t="str"/>
      <x:c r="N2336" s="39" t="str">
        <x:v>1154878548.docx / ممیزی جدید</x:v>
      </x:c>
    </x:row>
    <x:row r="2337" ht="34" customHeight="1">
      <x:c r="A2337" s="34" t="str">
        <x:v>☐</x:v>
      </x:c>
      <x:c r="B2337" s="34" t="str">
        <x:v>N115-0021</x:v>
      </x:c>
      <x:c r="C2337" s="34" t="str">
        <x:v>M5 — دانش، فرهنگ، حکمرانی و بانک مطالعاتی</x:v>
      </x:c>
      <x:c r="D2337" s="34" t="str">
        <x:v>H18</x:v>
      </x:c>
      <x:c r="E2337" s="34" t="str">
        <x:v>بانک مطالعه، منابع و موضوعات کنجکاوی</x:v>
      </x:c>
      <x:c r="F2337" s="34" t="str">
        <x:v>REFERENCE</x:v>
      </x:c>
      <x:c r="G2337" s="34" t="str">
        <x:v>مطالعه/منبع</x:v>
      </x:c>
      <x:c r="H2337" s="39" t="str">
        <x:v>باور ۳۷۳</x:v>
      </x:c>
      <x:c r="I2337" s="39" t="str">
        <x:v>مرجع مطالعاتی</x:v>
      </x:c>
      <x:c r="J2337" s="39" t="str">
        <x:v>مدیر دانش/کیوریتور محتوا</x:v>
      </x:c>
      <x:c r="K2337" s="39" t="str">
        <x:v>سامانه‌های پدافندی</x:v>
      </x:c>
      <x:c r="L2337" s="39" t="str">
        <x:v>115:P1521</x:v>
      </x:c>
      <x:c r="M2337" s="39" t="str"/>
      <x:c r="N2337" s="39" t="str">
        <x:v>1154878548.docx / ممیزی جدید</x:v>
      </x:c>
    </x:row>
    <x:row r="2338" ht="34" customHeight="1">
      <x:c r="A2338" s="34" t="str">
        <x:v>☐</x:v>
      </x:c>
      <x:c r="B2338" s="34" t="str">
        <x:v>MI-1568</x:v>
      </x:c>
      <x:c r="C2338" s="34" t="str">
        <x:v>M3 — کسب‌وکار، شبکه و زیست‌بوم نوآوری</x:v>
      </x:c>
      <x:c r="D2338" s="34" t="str">
        <x:v>H19</x:v>
      </x:c>
      <x:c r="E2338" s="34" t="str">
        <x:v>چشم‌انداز، ایده‌های بلندمدت و سرمایه‌گذاری</x:v>
      </x:c>
      <x:c r="F2338" s="34" t="str">
        <x:v>P3</x:v>
      </x:c>
      <x:c r="G2338" s="34" t="str">
        <x:v>اقدام اجرایی</x:v>
      </x:c>
      <x:c r="H2338" s="39" t="str">
        <x:v>تهیه کالا</x:v>
      </x:c>
      <x:c r="I2338" s="39" t="str">
        <x:v>افق بلندمدت؛ انکوبیت</x:v>
      </x:c>
      <x:c r="J2338" s="39" t="str">
        <x:v>استراتژیست کارآفرینی/سرمایه‌گذاری</x:v>
      </x:c>
      <x:c r="K2338" s="39" t="str"/>
      <x:c r="L2338" s="39" t="str">
        <x:v>AP:P1558</x:v>
      </x:c>
      <x:c r="M2338" s="39" t="str"/>
      <x:c r="N2338" s="39" t="str">
        <x:v>نسخه پایه ۳۱۵۰</x:v>
      </x:c>
    </x:row>
    <x:row r="2339" ht="34" customHeight="1">
      <x:c r="A2339" s="34" t="str">
        <x:v>☐</x:v>
      </x:c>
      <x:c r="B2339" s="34" t="str">
        <x:v>MI-1569</x:v>
      </x:c>
      <x:c r="C2339" s="34" t="str">
        <x:v>M3 — کسب‌وکار، شبکه و زیست‌بوم نوآوری</x:v>
      </x:c>
      <x:c r="D2339" s="34" t="str">
        <x:v>H19</x:v>
      </x:c>
      <x:c r="E2339" s="34" t="str">
        <x:v>چشم‌انداز، ایده‌های بلندمدت و سرمایه‌گذاری</x:v>
      </x:c>
      <x:c r="F2339" s="34" t="str">
        <x:v>P3</x:v>
      </x:c>
      <x:c r="G2339" s="34" t="str">
        <x:v>اقدام اجرایی</x:v>
      </x:c>
      <x:c r="H2339" s="39" t="str">
        <x:v>تهیه کالا معیشیتی</x:v>
      </x:c>
      <x:c r="I2339" s="39" t="str">
        <x:v>افق بلندمدت؛ انکوبیت</x:v>
      </x:c>
      <x:c r="J2339" s="39" t="str">
        <x:v>استراتژیست کارآفرینی/سرمایه‌گذاری</x:v>
      </x:c>
      <x:c r="K2339" s="39" t="str"/>
      <x:c r="L2339" s="39" t="str">
        <x:v>AP:P1559</x:v>
      </x:c>
      <x:c r="M2339" s="39" t="str"/>
      <x:c r="N2339" s="39" t="str">
        <x:v>نسخه پایه ۳۱۵۰</x:v>
      </x:c>
    </x:row>
    <x:row r="2340" ht="34" customHeight="1">
      <x:c r="A2340" s="34" t="str">
        <x:v>☐</x:v>
      </x:c>
      <x:c r="B2340" s="34" t="str">
        <x:v>MI-1631</x:v>
      </x:c>
      <x:c r="C2340" s="34" t="str">
        <x:v>M3 — کسب‌وکار، شبکه و زیست‌بوم نوآوری</x:v>
      </x:c>
      <x:c r="D2340" s="34" t="str">
        <x:v>H19</x:v>
      </x:c>
      <x:c r="E2340" s="34" t="str">
        <x:v>چشم‌انداز، ایده‌های بلندمدت و سرمایه‌گذاری</x:v>
      </x:c>
      <x:c r="F2340" s="34" t="str">
        <x:v>P3</x:v>
      </x:c>
      <x:c r="G2340" s="34" t="str">
        <x:v>اقدام اجرایی</x:v>
      </x:c>
      <x:c r="H2340" s="39" t="str">
        <x:v>کارآفرین خارجی یا ایرانی خارج از کشور برای چند ماه دعوت می شود تا:</x:v>
      </x:c>
      <x:c r="I2340" s="39" t="str">
        <x:v>افق بلندمدت؛ انکوبیت</x:v>
      </x:c>
      <x:c r="J2340" s="39" t="str">
        <x:v>استراتژیست کارآفرینی/سرمایه‌گذاری</x:v>
      </x:c>
      <x:c r="K2340" s="39" t="str"/>
      <x:c r="L2340" s="39" t="str">
        <x:v>E112:P92؛ E112:P1563؛ E112:P1872؛ E112:P2338</x:v>
      </x:c>
      <x:c r="M2340" s="39" t="str"/>
      <x:c r="N2340" s="39" t="str">
        <x:v>نسخه پایه ۳۱۵۰</x:v>
      </x:c>
    </x:row>
    <x:row r="2341" ht="34" customHeight="1">
      <x:c r="A2341" s="34" t="str">
        <x:v>☐</x:v>
      </x:c>
      <x:c r="B2341" s="34" t="str">
        <x:v>MI-1685</x:v>
      </x:c>
      <x:c r="C2341" s="34" t="str">
        <x:v>M3 — کسب‌وکار، شبکه و زیست‌بوم نوآوری</x:v>
      </x:c>
      <x:c r="D2341" s="34" t="str">
        <x:v>H19</x:v>
      </x:c>
      <x:c r="E2341" s="34" t="str">
        <x:v>چشم‌انداز، ایده‌های بلندمدت و سرمایه‌گذاری</x:v>
      </x:c>
      <x:c r="F2341" s="34" t="str">
        <x:v>P3</x:v>
      </x:c>
      <x:c r="G2341" s="34" t="str">
        <x:v>اقدام اجرایی</x:v>
      </x:c>
      <x:c r="H2341" s="39" t="str">
        <x:v>• دعوت از کارآفرین خارجی یا ایرانیِ خارج از کشور به عنوان EiR برای 2–6 ماه.</x:v>
      </x:c>
      <x:c r="I2341" s="39" t="str">
        <x:v>افق بلندمدت؛ انکوبیت</x:v>
      </x:c>
      <x:c r="J2341" s="39" t="str">
        <x:v>استراتژیست کارآفرینی/سرمایه‌گذاری</x:v>
      </x:c>
      <x:c r="K2341" s="39" t="str"/>
      <x:c r="L2341" s="39" t="str">
        <x:v>E112:P151؛ E112:P1662؛ E112:P1933؛ E112:P2399</x:v>
      </x:c>
      <x:c r="M2341" s="39" t="str"/>
      <x:c r="N2341" s="39" t="str">
        <x:v>نسخه پایه ۳۱۵۰</x:v>
      </x:c>
    </x:row>
    <x:row r="2342" ht="34" customHeight="1">
      <x:c r="A2342" s="34" t="str">
        <x:v>☐</x:v>
      </x:c>
      <x:c r="B2342" s="34" t="str">
        <x:v>MI-2180</x:v>
      </x:c>
      <x:c r="C2342" s="34" t="str">
        <x:v>M3 — کسب‌وکار، شبکه و زیست‌بوم نوآوری</x:v>
      </x:c>
      <x:c r="D2342" s="34" t="str">
        <x:v>H19</x:v>
      </x:c>
      <x:c r="E2342" s="34" t="str">
        <x:v>چشم‌انداز، ایده‌های بلندمدت و سرمایه‌گذاری</x:v>
      </x:c>
      <x:c r="F2342" s="34" t="str">
        <x:v>P3</x:v>
      </x:c>
      <x:c r="G2342" s="34" t="str">
        <x:v>اقدام اجرایی</x:v>
      </x:c>
      <x:c r="H2342" s="39" t="str">
        <x:v>اگر محور ماموریت زیست بوم نوآوری مازندران باشد، باید نگاه را از «یک استان جدا» به «یک هاب منطقه ای در شمال ایران» تغییر دهیم. مازندران مزیت خاصی دارد: در مرکز چند جریان جغرافیایی مهم قرار گرفته و می تواند از استان های اطراف تغذیه کند. بنابراین تحلیل باید دو لایه داشته باشد:</x:v>
      </x:c>
      <x:c r="I2342" s="39" t="str">
        <x:v>افق بلندمدت؛ انکوبیت</x:v>
      </x:c>
      <x:c r="J2342" s="39" t="str">
        <x:v>استراتژیست کارآفرینی/سرمایه‌گذاری</x:v>
      </x:c>
      <x:c r="K2342" s="39" t="str"/>
      <x:c r="L2342" s="39" t="str">
        <x:v>E112:P987</x:v>
      </x:c>
      <x:c r="M2342" s="39" t="str"/>
      <x:c r="N2342" s="39" t="str">
        <x:v>نسخه پایه ۳۱۵۰</x:v>
      </x:c>
    </x:row>
    <x:row r="2343" ht="34" customHeight="1">
      <x:c r="A2343" s="34" t="str">
        <x:v>☐</x:v>
      </x:c>
      <x:c r="B2343" s="34" t="str">
        <x:v>MI-2452</x:v>
      </x:c>
      <x:c r="C2343" s="34" t="str">
        <x:v>M3 — کسب‌وکار، شبکه و زیست‌بوم نوآوری</x:v>
      </x:c>
      <x:c r="D2343" s="34" t="str">
        <x:v>H19</x:v>
      </x:c>
      <x:c r="E2343" s="34" t="str">
        <x:v>چشم‌انداز، ایده‌های بلندمدت و سرمایه‌گذاری</x:v>
      </x:c>
      <x:c r="F2343" s="34" t="str">
        <x:v>P3</x:v>
      </x:c>
      <x:c r="G2343" s="34" t="str">
        <x:v>اقدام اجرایی</x:v>
      </x:c>
      <x:c r="H2343" s="39" t="str">
        <x:v>برنامه ها و ابزارهای توسعه زیست بوم:</x:v>
      </x:c>
      <x:c r="I2343" s="39" t="str">
        <x:v>افق بلندمدت؛ انکوبیت</x:v>
      </x:c>
      <x:c r="J2343" s="39" t="str">
        <x:v>استراتژیست کارآفرینی/سرمایه‌گذاری</x:v>
      </x:c>
      <x:c r="K2343" s="39" t="str"/>
      <x:c r="L2343" s="39" t="str">
        <x:v>E112:P1745</x:v>
      </x:c>
      <x:c r="M2343" s="39" t="str"/>
      <x:c r="N2343" s="39" t="str">
        <x:v>نسخه پایه ۳۱۵۰</x:v>
      </x:c>
    </x:row>
    <x:row r="2344" ht="34" customHeight="1">
      <x:c r="A2344" s="34" t="str">
        <x:v>☐</x:v>
      </x:c>
      <x:c r="B2344" s="34" t="str">
        <x:v>MI-3087</x:v>
      </x:c>
      <x:c r="C2344" s="34" t="str">
        <x:v>M3 — کسب‌وکار، شبکه و زیست‌بوم نوآوری</x:v>
      </x:c>
      <x:c r="D2344" s="34" t="str">
        <x:v>H19</x:v>
      </x:c>
      <x:c r="E2344" s="34" t="str">
        <x:v>چشم‌انداز، ایده‌های بلندمدت و سرمایه‌گذاری</x:v>
      </x:c>
      <x:c r="F2344" s="34" t="str">
        <x:v>P3</x:v>
      </x:c>
      <x:c r="G2344" s="34" t="str">
        <x:v>اقدام اجرایی</x:v>
      </x:c>
      <x:c r="H2344" s="39" t="str">
        <x:v>آرزو داشتم ماشین کنترلی داشته باشم ماشینمون بهتر بشه زودتر بزرگ بشم و رانندگی کنم مخترع بشم و چیزای جدید بسازم درس بخونم و مادرم رو شاد کنم الان آرزو دارم شرکت بزنم، افراد متعددی رو مشغول کنم تولید ثروت کنم و از قبل اون اموراتی که منتظر مبالغ کم هستند ولی تاثیر شگرف دارند رو پیش ببرم تاثیر گذار باشم و موفق سخنرانی در مجمعی انجام بدم و براشون جالب باشه و تاثیر گذار دوست دارم چند تا ایده که در ذهنم دارم رو بسازم محیط کاری و زندگی که وفق مرادم هست رو تهیه کنم همچنان علاقه دارم اتوموبیل خوبی رو سوار بشم</x:v>
      </x:c>
      <x:c r="I2344" s="39" t="str">
        <x:v>افق بلندمدت؛ انکوبیت</x:v>
      </x:c>
      <x:c r="J2344" s="39" t="str">
        <x:v>استراتژیست کارآفرینی/سرمایه‌گذاری</x:v>
      </x:c>
      <x:c r="K2344" s="39" t="str"/>
      <x:c r="L2344" s="39" t="str">
        <x:v>INT:T24 R2</x:v>
      </x:c>
      <x:c r="M2344" s="39" t="str"/>
      <x:c r="N2344" s="39" t="str">
        <x:v>نسخه پایه ۳۱۵۰</x:v>
      </x:c>
    </x:row>
    <x:row r="2345" ht="34" customHeight="1">
      <x:c r="A2345" s="34" t="str">
        <x:v>☐</x:v>
      </x:c>
      <x:c r="B2345" s="34" t="str">
        <x:v>MI-1718</x:v>
      </x:c>
      <x:c r="C2345" s="34" t="str">
        <x:v>M3 — کسب‌وکار، شبکه و زیست‌بوم نوآوری</x:v>
      </x:c>
      <x:c r="D2345" s="34" t="str">
        <x:v>H19</x:v>
      </x:c>
      <x:c r="E2345" s="34" t="str">
        <x:v>چشم‌انداز، ایده‌های بلندمدت و سرمایه‌گذاری</x:v>
      </x:c>
      <x:c r="F2345" s="34" t="str">
        <x:v>P3</x:v>
      </x:c>
      <x:c r="G2345" s="34" t="str">
        <x:v>پروژه/طرح</x:v>
      </x:c>
      <x:c r="H2345" s="39" t="str">
        <x:v>EiR می تواند سه کار انجام دهد—انتقال مدل موفق، جذب سرمایه، و ساخت تیم محلی—چه با کارآفرین خارجی، چه با کارآفرینان استان های دیگر. این دقیقاً همان اهرمی است که یک زیست بوم منطقه ای مثل مازندران نیاز دارد.</x:v>
      </x:c>
      <x:c r="I2345" s="39" t="str">
        <x:v>افق بلندمدت؛ انکوبیت</x:v>
      </x:c>
      <x:c r="J2345" s="39" t="str">
        <x:v>استراتژیست کارآفرینی/سرمایه‌گذاری</x:v>
      </x:c>
      <x:c r="K2345" s="39" t="str"/>
      <x:c r="L2345" s="39" t="str">
        <x:v>E112:P184؛ E112:P1709؛ E112:P1966؛ E112:P2432</x:v>
      </x:c>
      <x:c r="M2345" s="39" t="str"/>
      <x:c r="N2345" s="39" t="str">
        <x:v>نسخه پایه ۳۱۵۰</x:v>
      </x:c>
    </x:row>
    <x:row r="2346" ht="34" customHeight="1">
      <x:c r="A2346" s="34" t="str">
        <x:v>☐</x:v>
      </x:c>
      <x:c r="B2346" s="34" t="str">
        <x:v>MI-2291</x:v>
      </x:c>
      <x:c r="C2346" s="34" t="str">
        <x:v>M3 — کسب‌وکار، شبکه و زیست‌بوم نوآوری</x:v>
      </x:c>
      <x:c r="D2346" s="34" t="str">
        <x:v>H19</x:v>
      </x:c>
      <x:c r="E2346" s="34" t="str">
        <x:v>چشم‌انداز، ایده‌های بلندمدت و سرمایه‌گذاری</x:v>
      </x:c>
      <x:c r="F2346" s="34" t="str">
        <x:v>P3</x:v>
      </x:c>
      <x:c r="G2346" s="34" t="str">
        <x:v>پروژه/طرح</x:v>
      </x:c>
      <x:c r="H2346" s="39" t="str">
        <x:v>اگر ماموریت واقعاً ساخت زیست بوم کارآفرینی در مازندران باشد، باید از ظرفیت های استان به عنوان موتور نوآوری صنعتی استفاده کرد. یعنی کارآفرین فقط برای «استارتاپ عمومی» نیاید؛ بلکه برای حل مسیله های واقعی استان بیاید. مازندران چند مزیت طبیعی دارد که اگر زیست بوم حول آن ها شکل بگیرد، هم کارآفرین جذب می شود هم امکان صادرات کارآفرین به جاهای دیگر ایجاد می شود.</x:v>
      </x:c>
      <x:c r="I2346" s="39" t="str">
        <x:v>افق بلندمدت؛ انکوبیت</x:v>
      </x:c>
      <x:c r="J2346" s="39" t="str">
        <x:v>استراتژیست کارآفرینی/سرمایه‌گذاری</x:v>
      </x:c>
      <x:c r="K2346" s="39" t="str"/>
      <x:c r="L2346" s="39" t="str">
        <x:v>E112:P1251</x:v>
      </x:c>
      <x:c r="M2346" s="39" t="str"/>
      <x:c r="N2346" s="39" t="str">
        <x:v>نسخه پایه ۳۱۵۰</x:v>
      </x:c>
    </x:row>
    <x:row r="2347" ht="34" customHeight="1">
      <x:c r="A2347" s="34" t="str">
        <x:v>☐</x:v>
      </x:c>
      <x:c r="B2347" s="34" t="str">
        <x:v>MI-2292</x:v>
      </x:c>
      <x:c r="C2347" s="34" t="str">
        <x:v>M3 — کسب‌وکار، شبکه و زیست‌بوم نوآوری</x:v>
      </x:c>
      <x:c r="D2347" s="34" t="str">
        <x:v>H19</x:v>
      </x:c>
      <x:c r="E2347" s="34" t="str">
        <x:v>چشم‌انداز، ایده‌های بلندمدت و سرمایه‌گذاری</x:v>
      </x:c>
      <x:c r="F2347" s="34" t="str">
        <x:v>P3</x:v>
      </x:c>
      <x:c r="G2347" s="34" t="str">
        <x:v>پروژه/طرح</x:v>
      </x:c>
      <x:c r="H2347" s="39" t="str">
        <x:v>1. ظرفیت های واقعی مازندران که می توان حول آن زیست بوم ساخت</x:v>
      </x:c>
      <x:c r="I2347" s="39" t="str">
        <x:v>افق بلندمدت؛ انکوبیت</x:v>
      </x:c>
      <x:c r="J2347" s="39" t="str">
        <x:v>استراتژیست کارآفرینی/سرمایه‌گذاری</x:v>
      </x:c>
      <x:c r="K2347" s="39" t="str"/>
      <x:c r="L2347" s="39" t="str">
        <x:v>E112:P1252</x:v>
      </x:c>
      <x:c r="M2347" s="39" t="str"/>
      <x:c r="N2347" s="39" t="str">
        <x:v>نسخه پایه ۳۱۵۰</x:v>
      </x:c>
    </x:row>
    <x:row r="2348" ht="34" customHeight="1">
      <x:c r="A2348" s="34" t="str">
        <x:v>☐</x:v>
      </x:c>
      <x:c r="B2348" s="34" t="str">
        <x:v>MI-2392</x:v>
      </x:c>
      <x:c r="C2348" s="34" t="str">
        <x:v>M3 — کسب‌وکار، شبکه و زیست‌بوم نوآوری</x:v>
      </x:c>
      <x:c r="D2348" s="34" t="str">
        <x:v>H19</x:v>
      </x:c>
      <x:c r="E2348" s="34" t="str">
        <x:v>چشم‌انداز، ایده‌های بلندمدت و سرمایه‌گذاری</x:v>
      </x:c>
      <x:c r="F2348" s="34" t="str">
        <x:v>P3</x:v>
      </x:c>
      <x:c r="G2348" s="34" t="str">
        <x:v>پروژه/طرح</x:v>
      </x:c>
      <x:c r="H2348" s="39" t="str">
        <x:v>10 رویداد استراتژیک برای ساخت زیست بوم نوآوری مازندران</x:v>
      </x:c>
      <x:c r="I2348" s="39" t="str">
        <x:v>افق بلندمدت؛ انکوبیت</x:v>
      </x:c>
      <x:c r="J2348" s="39" t="str">
        <x:v>استراتژیست کارآفرینی/سرمایه‌گذاری</x:v>
      </x:c>
      <x:c r="K2348" s="39" t="str"/>
      <x:c r="L2348" s="39" t="str">
        <x:v>E112:P1464</x:v>
      </x:c>
      <x:c r="M2348" s="39" t="str"/>
      <x:c r="N2348" s="39" t="str">
        <x:v>نسخه پایه ۳۱۵۰</x:v>
      </x:c>
    </x:row>
    <x:row r="2349" ht="34" customHeight="1">
      <x:c r="A2349" s="34" t="str">
        <x:v>☐</x:v>
      </x:c>
      <x:c r="B2349" s="34" t="str">
        <x:v>MI-2478</x:v>
      </x:c>
      <x:c r="C2349" s="34" t="str">
        <x:v>M3 — کسب‌وکار، شبکه و زیست‌بوم نوآوری</x:v>
      </x:c>
      <x:c r="D2349" s="34" t="str">
        <x:v>H19</x:v>
      </x:c>
      <x:c r="E2349" s="34" t="str">
        <x:v>چشم‌انداز، ایده‌های بلندمدت و سرمایه‌گذاری</x:v>
      </x:c>
      <x:c r="F2349" s="34" t="str">
        <x:v>P3</x:v>
      </x:c>
      <x:c r="G2349" s="34" t="str">
        <x:v>پروژه/طرح</x:v>
      </x:c>
      <x:c r="H2349" s="39" t="str">
        <x:v>چیزی که توضیح دادی در واقع دارد به یک معماری کامل زیست بوم نوآوری و اشتغال در مازندران تبدیل می شود. اگر آن را ساختارمند کنیم، اجزای اصلی این سیستم به شکل زیر درمی آید:</x:v>
      </x:c>
      <x:c r="I2349" s="39" t="str">
        <x:v>افق بلندمدت؛ انکوبیت</x:v>
      </x:c>
      <x:c r="J2349" s="39" t="str">
        <x:v>استراتژیست کارآفرینی/سرمایه‌گذاری</x:v>
      </x:c>
      <x:c r="K2349" s="39" t="str"/>
      <x:c r="L2349" s="39" t="str">
        <x:v>E112:P1969</x:v>
      </x:c>
      <x:c r="M2349" s="39" t="str"/>
      <x:c r="N2349" s="39" t="str">
        <x:v>نسخه پایه ۳۱۵۰</x:v>
      </x:c>
    </x:row>
    <x:row r="2350" ht="34" customHeight="1">
      <x:c r="A2350" s="34" t="str">
        <x:v>☐</x:v>
      </x:c>
      <x:c r="B2350" s="34" t="str">
        <x:v>MI-2493</x:v>
      </x:c>
      <x:c r="C2350" s="34" t="str">
        <x:v>M3 — کسب‌وکار، شبکه و زیست‌بوم نوآوری</x:v>
      </x:c>
      <x:c r="D2350" s="34" t="str">
        <x:v>H19</x:v>
      </x:c>
      <x:c r="E2350" s="34" t="str">
        <x:v>چشم‌انداز، ایده‌های بلندمدت و سرمایه‌گذاری</x:v>
      </x:c>
      <x:c r="F2350" s="34" t="str">
        <x:v>P3</x:v>
      </x:c>
      <x:c r="G2350" s="34" t="str">
        <x:v>پروژه/طرح</x:v>
      </x:c>
      <x:c r="H2350" s="39" t="str">
        <x:v>این سامانه عملاً می شود مغز زیست بوم.</x:v>
      </x:c>
      <x:c r="I2350" s="39" t="str">
        <x:v>افق بلندمدت؛ انکوبیت</x:v>
      </x:c>
      <x:c r="J2350" s="39" t="str">
        <x:v>استراتژیست کارآفرینی/سرمایه‌گذاری</x:v>
      </x:c>
      <x:c r="K2350" s="39" t="str"/>
      <x:c r="L2350" s="39" t="str">
        <x:v>E112:P1989</x:v>
      </x:c>
      <x:c r="M2350" s="39" t="str"/>
      <x:c r="N2350" s="39" t="str">
        <x:v>نسخه پایه ۳۱۵۰</x:v>
      </x:c>
    </x:row>
    <x:row r="2351" ht="34" customHeight="1">
      <x:c r="A2351" s="34" t="str">
        <x:v>☐</x:v>
      </x:c>
      <x:c r="B2351" s="34" t="str">
        <x:v>MI-2565</x:v>
      </x:c>
      <x:c r="C2351" s="34" t="str">
        <x:v>M3 — کسب‌وکار، شبکه و زیست‌بوم نوآوری</x:v>
      </x:c>
      <x:c r="D2351" s="34" t="str">
        <x:v>H19</x:v>
      </x:c>
      <x:c r="E2351" s="34" t="str">
        <x:v>چشم‌انداز، ایده‌های بلندمدت و سرمایه‌گذاری</x:v>
      </x:c>
      <x:c r="F2351" s="34" t="str">
        <x:v>P3</x:v>
      </x:c>
      <x:c r="G2351" s="34" t="str">
        <x:v>پروژه/طرح</x:v>
      </x:c>
      <x:c r="H2351" s="39" t="str">
        <x:v>11. ساخت پارک علم و فناوری خصوصی</x:v>
      </x:c>
      <x:c r="I2351" s="39" t="str">
        <x:v>افق بلندمدت؛ انکوبیت</x:v>
      </x:c>
      <x:c r="J2351" s="39" t="str">
        <x:v>استراتژیست کارآفرینی/سرمایه‌گذاری</x:v>
      </x:c>
      <x:c r="K2351" s="39" t="str"/>
      <x:c r="L2351" s="39" t="str">
        <x:v>E112:P2132</x:v>
      </x:c>
      <x:c r="M2351" s="39" t="str"/>
      <x:c r="N2351" s="39" t="str">
        <x:v>نسخه پایه ۳۱۵۰</x:v>
      </x:c>
    </x:row>
    <x:row r="2352" ht="34" customHeight="1">
      <x:c r="A2352" s="34" t="str">
        <x:v>☐</x:v>
      </x:c>
      <x:c r="B2352" s="34" t="str">
        <x:v>MI-2570</x:v>
      </x:c>
      <x:c r="C2352" s="34" t="str">
        <x:v>M3 — کسب‌وکار، شبکه و زیست‌بوم نوآوری</x:v>
      </x:c>
      <x:c r="D2352" s="34" t="str">
        <x:v>H19</x:v>
      </x:c>
      <x:c r="E2352" s="34" t="str">
        <x:v>چشم‌انداز، ایده‌های بلندمدت و سرمایه‌گذاری</x:v>
      </x:c>
      <x:c r="F2352" s="34" t="str">
        <x:v>P3</x:v>
      </x:c>
      <x:c r="G2352" s="34" t="str">
        <x:v>پروژه/طرح</x:v>
      </x:c>
      <x:c r="H2352" s="39" t="str">
        <x:v>پارک علم و فناوری خصوصی ایجاد کرد.</x:v>
      </x:c>
      <x:c r="I2352" s="39" t="str">
        <x:v>افق بلندمدت؛ انکوبیت</x:v>
      </x:c>
      <x:c r="J2352" s="39" t="str">
        <x:v>استراتژیست کارآفرینی/سرمایه‌گذاری</x:v>
      </x:c>
      <x:c r="K2352" s="39" t="str"/>
      <x:c r="L2352" s="39" t="str">
        <x:v>E112:P2144</x:v>
      </x:c>
      <x:c r="M2352" s="39" t="str"/>
      <x:c r="N2352" s="39" t="str">
        <x:v>نسخه پایه ۳۱۵۰</x:v>
      </x:c>
    </x:row>
    <x:row r="2353" ht="34" customHeight="1">
      <x:c r="A2353" s="34" t="str">
        <x:v>☐</x:v>
      </x:c>
      <x:c r="B2353" s="34" t="str">
        <x:v>MI-2619</x:v>
      </x:c>
      <x:c r="C2353" s="34" t="str">
        <x:v>M3 — کسب‌وکار، شبکه و زیست‌بوم نوآوری</x:v>
      </x:c>
      <x:c r="D2353" s="34" t="str">
        <x:v>H19</x:v>
      </x:c>
      <x:c r="E2353" s="34" t="str">
        <x:v>چشم‌انداز، ایده‌های بلندمدت و سرمایه‌گذاری</x:v>
      </x:c>
      <x:c r="F2353" s="34" t="str">
        <x:v>P3</x:v>
      </x:c>
      <x:c r="G2353" s="34" t="str">
        <x:v>پروژه/طرح</x:v>
      </x:c>
      <x:c r="H2353" s="39" t="str">
        <x:v>این زیست بوم در نهایت می تواند منجر به شکل گیری شرکت های نوآور، استارتاپ ها و حتی تاسیس پارک علم و فناوری خصوصی در استان شود.</x:v>
      </x:c>
      <x:c r="I2353" s="39" t="str">
        <x:v>افق بلندمدت؛ انکوبیت</x:v>
      </x:c>
      <x:c r="J2353" s="39" t="str">
        <x:v>استراتژیست کارآفرینی/سرمایه‌گذاری</x:v>
      </x:c>
      <x:c r="K2353" s="39" t="str"/>
      <x:c r="L2353" s="39" t="str">
        <x:v>E112:P2455</x:v>
      </x:c>
      <x:c r="M2353" s="39" t="str"/>
      <x:c r="N2353" s="39" t="str">
        <x:v>نسخه پایه ۳۱۵۰</x:v>
      </x:c>
    </x:row>
    <x:row r="2354" ht="34" customHeight="1">
      <x:c r="A2354" s="34" t="str">
        <x:v>☐</x:v>
      </x:c>
      <x:c r="B2354" s="34" t="str">
        <x:v>MI-2640</x:v>
      </x:c>
      <x:c r="C2354" s="34" t="str">
        <x:v>M3 — کسب‌وکار، شبکه و زیست‌بوم نوآوری</x:v>
      </x:c>
      <x:c r="D2354" s="34" t="str">
        <x:v>H19</x:v>
      </x:c>
      <x:c r="E2354" s="34" t="str">
        <x:v>چشم‌انداز، ایده‌های بلندمدت و سرمایه‌گذاری</x:v>
      </x:c>
      <x:c r="F2354" s="34" t="str">
        <x:v>P3</x:v>
      </x:c>
      <x:c r="G2354" s="34" t="str">
        <x:v>پروژه/طرح</x:v>
      </x:c>
      <x:c r="H2354" s="39" t="str">
        <x:v>این سامانه در واقع مغز مدیریتی زیست بوم است و کمک می کند تصمیم ها مبتنی بر داده باشند.</x:v>
      </x:c>
      <x:c r="I2354" s="39" t="str">
        <x:v>افق بلندمدت؛ انکوبیت</x:v>
      </x:c>
      <x:c r="J2354" s="39" t="str">
        <x:v>استراتژیست کارآفرینی/سرمایه‌گذاری</x:v>
      </x:c>
      <x:c r="K2354" s="39" t="str"/>
      <x:c r="L2354" s="39" t="str">
        <x:v>E112:P2513</x:v>
      </x:c>
      <x:c r="M2354" s="39" t="str"/>
      <x:c r="N2354" s="39" t="str">
        <x:v>نسخه پایه ۳۱۵۰</x:v>
      </x:c>
    </x:row>
    <x:row r="2355" ht="34" customHeight="1">
      <x:c r="A2355" s="34" t="str">
        <x:v>☐</x:v>
      </x:c>
      <x:c r="B2355" s="34" t="str">
        <x:v>MI-2889</x:v>
      </x:c>
      <x:c r="C2355" s="34" t="str">
        <x:v>M3 — کسب‌وکار، شبکه و زیست‌بوم نوآوری</x:v>
      </x:c>
      <x:c r="D2355" s="34" t="str">
        <x:v>H19</x:v>
      </x:c>
      <x:c r="E2355" s="34" t="str">
        <x:v>چشم‌انداز، ایده‌های بلندمدت و سرمایه‌گذاری</x:v>
      </x:c>
      <x:c r="F2355" s="34" t="str">
        <x:v>P3</x:v>
      </x:c>
      <x:c r="G2355" s="34" t="str">
        <x:v>پروژه/طرح</x:v>
      </x:c>
      <x:c r="H2355" s="39" t="str">
        <x:v>و اینکه خودش رو به عناون مدیر منابع انسانی این زیست بوم در نظر بگیره و استراتژیست و ساختار چین این زیست بوم</x:v>
      </x:c>
      <x:c r="I2355" s="39" t="str">
        <x:v>افق بلندمدت؛ انکوبیت</x:v>
      </x:c>
      <x:c r="J2355" s="39" t="str">
        <x:v>استراتژیست کارآفرینی/سرمایه‌گذاری</x:v>
      </x:c>
      <x:c r="K2355" s="39" t="str"/>
      <x:c r="L2355" s="39" t="str">
        <x:v>E112:P3227</x:v>
      </x:c>
      <x:c r="M2355" s="39" t="str"/>
      <x:c r="N2355" s="39" t="str">
        <x:v>نسخه پایه ۳۱۵۰</x:v>
      </x:c>
    </x:row>
    <x:row r="2356" ht="34" customHeight="1">
      <x:c r="A2356" s="34" t="str">
        <x:v>☐</x:v>
      </x:c>
      <x:c r="B2356" s="34" t="str">
        <x:v>MI-2893</x:v>
      </x:c>
      <x:c r="C2356" s="34" t="str">
        <x:v>M3 — کسب‌وکار، شبکه و زیست‌بوم نوآوری</x:v>
      </x:c>
      <x:c r="D2356" s="34" t="str">
        <x:v>H19</x:v>
      </x:c>
      <x:c r="E2356" s="34" t="str">
        <x:v>چشم‌انداز، ایده‌های بلندمدت و سرمایه‌گذاری</x:v>
      </x:c>
      <x:c r="F2356" s="34" t="str">
        <x:v>P3</x:v>
      </x:c>
      <x:c r="G2356" s="34" t="str">
        <x:v>پروژه/طرح</x:v>
      </x:c>
      <x:c r="H2356" s="39" t="str">
        <x:v>نقش خودت را به عنوان «مدیر منابع انسانی، معمار ساختار و استراتژیست زیست بوم نوآوری مازندران» در نظر بگیر.</x:v>
      </x:c>
      <x:c r="I2356" s="39" t="str">
        <x:v>افق بلندمدت؛ انکوبیت</x:v>
      </x:c>
      <x:c r="J2356" s="39" t="str">
        <x:v>استراتژیست کارآفرینی/سرمایه‌گذاری</x:v>
      </x:c>
      <x:c r="K2356" s="39" t="str"/>
      <x:c r="L2356" s="39" t="str">
        <x:v>E112:P3235</x:v>
      </x:c>
      <x:c r="M2356" s="39" t="str"/>
      <x:c r="N2356" s="39" t="str">
        <x:v>نسخه پایه ۳۱۵۰</x:v>
      </x:c>
    </x:row>
    <x:row r="2357" ht="34" customHeight="1">
      <x:c r="A2357" s="34" t="str">
        <x:v>☐</x:v>
      </x:c>
      <x:c r="B2357" s="34" t="str">
        <x:v>MI-2894</x:v>
      </x:c>
      <x:c r="C2357" s="34" t="str">
        <x:v>M3 — کسب‌وکار، شبکه و زیست‌بوم نوآوری</x:v>
      </x:c>
      <x:c r="D2357" s="34" t="str">
        <x:v>H19</x:v>
      </x:c>
      <x:c r="E2357" s="34" t="str">
        <x:v>چشم‌انداز، ایده‌های بلندمدت و سرمایه‌گذاری</x:v>
      </x:c>
      <x:c r="F2357" s="34" t="str">
        <x:v>P3</x:v>
      </x:c>
      <x:c r="G2357" s="34" t="str">
        <x:v>پروژه/طرح</x:v>
      </x:c>
      <x:c r="H2357" s="39" t="str">
        <x:v>در این پروژه مجموعه ای از یادداشت ها و محتوا درباره طراحی یک زیست بوم شامل موارد زیر وجود دارد:</x:v>
      </x:c>
      <x:c r="I2357" s="39" t="str">
        <x:v>افق بلندمدت؛ انکوبیت</x:v>
      </x:c>
      <x:c r="J2357" s="39" t="str">
        <x:v>استراتژیست کارآفرینی/سرمایه‌گذاری</x:v>
      </x:c>
      <x:c r="K2357" s="39" t="str"/>
      <x:c r="L2357" s="39" t="str">
        <x:v>E112:P3237</x:v>
      </x:c>
      <x:c r="M2357" s="39" t="str"/>
      <x:c r="N2357" s="39" t="str">
        <x:v>نسخه پایه ۳۱۵۰</x:v>
      </x:c>
    </x:row>
    <x:row r="2358" ht="34" customHeight="1">
      <x:c r="A2358" s="34" t="str">
        <x:v>☐</x:v>
      </x:c>
      <x:c r="B2358" s="34" t="str">
        <x:v>MI-2934</x:v>
      </x:c>
      <x:c r="C2358" s="34" t="str">
        <x:v>M3 — کسب‌وکار، شبکه و زیست‌بوم نوآوری</x:v>
      </x:c>
      <x:c r="D2358" s="34" t="str">
        <x:v>H19</x:v>
      </x:c>
      <x:c r="E2358" s="34" t="str">
        <x:v>چشم‌انداز، ایده‌های بلندمدت و سرمایه‌گذاری</x:v>
      </x:c>
      <x:c r="F2358" s="34" t="str">
        <x:v>P3</x:v>
      </x:c>
      <x:c r="G2358" s="34" t="str">
        <x:v>پروژه/طرح</x:v>
      </x:c>
      <x:c r="H2358" s="39" t="str">
        <x:v>1. ساختار مدیریتی کل زیست بوم</x:v>
      </x:c>
      <x:c r="I2358" s="39" t="str">
        <x:v>افق بلندمدت؛ انکوبیت</x:v>
      </x:c>
      <x:c r="J2358" s="39" t="str">
        <x:v>استراتژیست کارآفرینی/سرمایه‌گذاری</x:v>
      </x:c>
      <x:c r="K2358" s="39" t="str"/>
      <x:c r="L2358" s="39" t="str">
        <x:v>E112:P3297</x:v>
      </x:c>
      <x:c r="M2358" s="39" t="str"/>
      <x:c r="N2358" s="39" t="str">
        <x:v>نسخه پایه ۳۱۵۰</x:v>
      </x:c>
    </x:row>
    <x:row r="2359" ht="34" customHeight="1">
      <x:c r="A2359" s="34" t="str">
        <x:v>☐</x:v>
      </x:c>
      <x:c r="B2359" s="34" t="str">
        <x:v>MI-3057</x:v>
      </x:c>
      <x:c r="C2359" s="34" t="str">
        <x:v>M3 — کسب‌وکار، شبکه و زیست‌بوم نوآوری</x:v>
      </x:c>
      <x:c r="D2359" s="34" t="str">
        <x:v>H19</x:v>
      </x:c>
      <x:c r="E2359" s="34" t="str">
        <x:v>چشم‌انداز، ایده‌های بلندمدت و سرمایه‌گذاری</x:v>
      </x:c>
      <x:c r="F2359" s="34" t="str">
        <x:v>P3</x:v>
      </x:c>
      <x:c r="G2359" s="34" t="str">
        <x:v>پروژه/طرح</x:v>
      </x:c>
      <x:c r="H2359" s="39" t="str">
        <x:v>اگر درگیر شوند این سیستم واقعاً راه می افتد (نه فقط روی کاغذ). این قسمت معمولاً 80٪ موفقیت چنین طرحی را تعیین می کند. حالا میخوام بدون اینکه محتوا رو حذف کنه بیاد و بررسی کنه که چه طبقه بندی و سیستمی میتونه اجرا کنه که کل این محتوا رو اجرا کنه و اینکه خودش رو به عناون مدیر منابع انسانی این زیست بوم در نظر بگیره و استراتژیست و ساختار چین این زیست بوم</x:v>
      </x:c>
      <x:c r="I2359" s="39" t="str">
        <x:v>افق بلندمدت؛ انکوبیت</x:v>
      </x:c>
      <x:c r="J2359" s="39" t="str">
        <x:v>استراتژیست کارآفرینی/سرمایه‌گذاری</x:v>
      </x:c>
      <x:c r="K2359" s="39" t="str"/>
      <x:c r="L2359" s="39" t="str">
        <x:v>E112:P3652</x:v>
      </x:c>
      <x:c r="M2359" s="39" t="str"/>
      <x:c r="N2359" s="39" t="str">
        <x:v>نسخه پایه ۳۱۵۰</x:v>
      </x:c>
    </x:row>
    <x:row r="2360" ht="34" customHeight="1">
      <x:c r="A2360" s="34" t="str">
        <x:v>☐</x:v>
      </x:c>
      <x:c r="B2360" s="34" t="str">
        <x:v>MI-3107</x:v>
      </x:c>
      <x:c r="C2360" s="34" t="str">
        <x:v>M3 — کسب‌وکار، شبکه و زیست‌بوم نوآوری</x:v>
      </x:c>
      <x:c r="D2360" s="34" t="str">
        <x:v>H19</x:v>
      </x:c>
      <x:c r="E2360" s="34" t="str">
        <x:v>چشم‌انداز، ایده‌های بلندمدت و سرمایه‌گذاری</x:v>
      </x:c>
      <x:c r="F2360" s="34" t="str">
        <x:v>P3</x:v>
      </x:c>
      <x:c r="G2360" s="34" t="str">
        <x:v>پروژه/طرح</x:v>
      </x:c>
      <x:c r="H2360" s="39" t="str">
        <x:v>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 بتونم خودم رو نشون بدم و شایسته سالاری اتفاق بیفته برای جایگاه شغلی محیط پویا باشه، توی کار از این ایده ها و ایده پردازی ها و خلاقیت و توسعه دادن ها استقبال کنم . 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 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مسیله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 خیلی به این فکر میکنم که شناسایی استعداد ها و گرد هم آوری اونها و متمرکز کردنشون بر مسایل میتونه در حل مشکلات موثر باشه. همچنین بتونه این دغدغه های من رو برطرف کنه، این نیاز های من که به مرحله ای برسه ببینم داره این اهدافم رو میرسونه ،</x:v>
      </x:c>
      <x:c r="I2360" s="39" t="str">
        <x:v>افق بلندمدت؛ انکوبیت</x:v>
      </x:c>
      <x:c r="J2360" s="39" t="str">
        <x:v>استراتژیست کارآفرینی/سرمایه‌گذاری</x:v>
      </x:c>
      <x:c r="K2360" s="39" t="str"/>
      <x:c r="L2360" s="39" t="str">
        <x:v>INT:T34 R2</x:v>
      </x:c>
      <x:c r="M2360" s="39" t="str"/>
      <x:c r="N2360" s="39" t="str">
        <x:v>نسخه پایه ۳۱۵۰</x:v>
      </x:c>
    </x:row>
    <x:row r="2361" ht="34" customHeight="1">
      <x:c r="A2361" s="34" t="str">
        <x:v>☐</x:v>
      </x:c>
      <x:c r="B2361" s="34" t="str">
        <x:v>MI-3091</x:v>
      </x:c>
      <x:c r="C2361" s="34" t="str">
        <x:v>M3 — کسب‌وکار، شبکه و زیست‌بوم نوآوری</x:v>
      </x:c>
      <x:c r="D2361" s="34" t="str">
        <x:v>H19</x:v>
      </x:c>
      <x:c r="E2361" s="34" t="str">
        <x:v>چشم‌انداز، ایده‌های بلندمدت و سرمایه‌گذاری</x:v>
      </x:c>
      <x:c r="F2361" s="34" t="str">
        <x:v>P3</x:v>
      </x:c>
      <x:c r="G2361" s="34" t="str">
        <x:v>مهارت/یادگیری</x:v>
      </x:c>
      <x:c r="H2361" s="39" t="str">
        <x:v>وقتی در جایی حضور پیدا میکنم تقریبا نقاط ضعفش رو پیدا میکنم و با افراد اون مجموعه در میون میزارم و وقتی با اشتیاق استقبال میکنند انرژی میگیرم وقتی جلسه ای هست و من در اون از تجارب تحصیلی و یا علایم میگیم ، یا حتی وقتی فرد رو نسبت به بقیه معطوف به گفتگوی دو نفره میکنم لذت بخشه یا وقتی کار خوبی انجام میدم که فرد سوای اعتقاداتش که شاید با من فرق داشته باشه نگرشش عوض بشه و با من صمیمی تر بشه وقتی در جمعی حضور پیدا میکنم و نظرمو میگم و با تایید مواجه میشم وقتی در رابطه با جلسه ای که داشته باشیم من پرزنتیشن با کیفیت تهیه کنم و ارایه داشته باشم وقتی تدریس ریاضی و فیزیک داشته باشم و دانش آموزانم راضی باشند وقتی موزیک خوب گوش میدم و میدویم یا ورزش میکنم وقتی در جلسه ای به احترام من بلند بشن وقتی تحسین خانواده ام رو بر می انگیزم وقتی کار یه نفرو با پیگیری ام راه میندازم و برام دعای خوب میکنه وقتی به من یه کاری رو بسپارن که خلاقیتم رو بخواد، نظرمو بخواد، دستم باز باشه برای انجامش وقتی با یه نرم افزار مهندسی کار میکنم و مسلطم وقتی نوشیدنی گرم موقع کارم میخورم وقتی اشتغال زایی کنم وقتی صحبتم برای یه عده جذاب باشه وقتی خارج از چارچوب یه جماعتی فکر میکنم و اقدامی جسورانه انجام میدم مثل صحبت یا انتقادی خلاف جریان صحبت هایی که انجام شده وقتی افراد رو رهبری میکنم و کاری رو که میخوام انجام میدن وقتی مسیولیت های بالاتر رو بهم میدن وقتی بحثی اتفاق میفته و با دست پر حاضر میشم و یا ورود میکنم و همه رو همسو با خودم میکنم یا وقتی همه چیز به یه سمت داره پیش میره و وارد میشم و همه نظرات رو با خودم همسو میکنم</x:v>
      </x:c>
      <x:c r="I2361" s="39" t="str">
        <x:v>افق بلندمدت؛ انکوبیت</x:v>
      </x:c>
      <x:c r="J2361" s="39" t="str">
        <x:v>استراتژیست کارآفرینی/سرمایه‌گذاری</x:v>
      </x:c>
      <x:c r="K2361" s="39" t="str"/>
      <x:c r="L2361" s="39" t="str">
        <x:v>INT:T26 R2</x:v>
      </x:c>
      <x:c r="M2361" s="39" t="str"/>
      <x:c r="N2361" s="39" t="str">
        <x:v>نسخه پایه ۳۱۵۰</x:v>
      </x:c>
    </x:row>
    <x:row r="2362" ht="34" customHeight="1">
      <x:c r="A2362" s="34" t="str">
        <x:v>☐</x:v>
      </x:c>
      <x:c r="B2362" s="34" t="str">
        <x:v>MI-0246</x:v>
      </x:c>
      <x:c r="C2362" s="34" t="str">
        <x:v>M3 — کسب‌وکار، شبکه و زیست‌بوم نوآوری</x:v>
      </x:c>
      <x:c r="D2362" s="34" t="str">
        <x:v>H19</x:v>
      </x:c>
      <x:c r="E2362" s="34" t="str">
        <x:v>چشم‌انداز، ایده‌های بلندمدت و سرمایه‌گذاری</x:v>
      </x:c>
      <x:c r="F2362" s="34" t="str">
        <x:v>P3</x:v>
      </x:c>
      <x:c r="G2362" s="34" t="str">
        <x:v>هدف/موضوع</x:v>
      </x:c>
      <x:c r="H2362" s="39" t="str">
        <x:v>صندوق تعاونی</x:v>
      </x:c>
      <x:c r="I2362" s="39" t="str">
        <x:v>افق بلندمدت؛ انکوبیت</x:v>
      </x:c>
      <x:c r="J2362" s="39" t="str">
        <x:v>استراتژیست کارآفرینی/سرمایه‌گذاری</x:v>
      </x:c>
      <x:c r="K2362" s="39" t="str"/>
      <x:c r="L2362" s="39" t="str">
        <x:v>AP:P17؛ AP:P1555</x:v>
      </x:c>
      <x:c r="M2362" s="39" t="str"/>
      <x:c r="N2362" s="39" t="str">
        <x:v>نسخه پایه ۳۱۵۰</x:v>
      </x:c>
    </x:row>
    <x:row r="2363" ht="34" customHeight="1">
      <x:c r="A2363" s="34" t="str">
        <x:v>☐</x:v>
      </x:c>
      <x:c r="B2363" s="34" t="str">
        <x:v>MI-1495</x:v>
      </x:c>
      <x:c r="C2363" s="34" t="str">
        <x:v>M3 — کسب‌وکار، شبکه و زیست‌بوم نوآوری</x:v>
      </x:c>
      <x:c r="D2363" s="34" t="str">
        <x:v>H19</x:v>
      </x:c>
      <x:c r="E2363" s="34" t="str">
        <x:v>چشم‌انداز، ایده‌های بلندمدت و سرمایه‌گذاری</x:v>
      </x:c>
      <x:c r="F2363" s="34" t="str">
        <x:v>P3</x:v>
      </x:c>
      <x:c r="G2363" s="34" t="str">
        <x:v>هدف/موضوع</x:v>
      </x:c>
      <x:c r="H2363" s="39" t="str">
        <x:v>مدیریت استراتژیک: تدوین چشم انداز، تعیین اهداف، طراحی استراتژی ها.</x:v>
      </x:c>
      <x:c r="I2363" s="39" t="str">
        <x:v>افق بلندمدت؛ انکوبیت</x:v>
      </x:c>
      <x:c r="J2363" s="39" t="str">
        <x:v>استراتژیست کارآفرینی/سرمایه‌گذاری</x:v>
      </x:c>
      <x:c r="K2363" s="39" t="str"/>
      <x:c r="L2363" s="39" t="str">
        <x:v>AP:P1444</x:v>
      </x:c>
      <x:c r="M2363" s="39" t="str"/>
      <x:c r="N2363" s="39" t="str">
        <x:v>نسخه پایه ۳۱۵۰</x:v>
      </x:c>
    </x:row>
    <x:row r="2364" ht="34" customHeight="1">
      <x:c r="A2364" s="34" t="str">
        <x:v>☐</x:v>
      </x:c>
      <x:c r="B2364" s="34" t="str">
        <x:v>MI-1566</x:v>
      </x:c>
      <x:c r="C2364" s="34" t="str">
        <x:v>M3 — کسب‌وکار، شبکه و زیست‌بوم نوآوری</x:v>
      </x:c>
      <x:c r="D2364" s="34" t="str">
        <x:v>H19</x:v>
      </x:c>
      <x:c r="E2364" s="34" t="str">
        <x:v>چشم‌انداز، ایده‌های بلندمدت و سرمایه‌گذاری</x:v>
      </x:c>
      <x:c r="F2364" s="34" t="str">
        <x:v>P3</x:v>
      </x:c>
      <x:c r="G2364" s="34" t="str">
        <x:v>هدف/موضوع</x:v>
      </x:c>
      <x:c r="H2364" s="39" t="str">
        <x:v>افراد با درآمد ثابت ملغی رو واریز کنند</x:v>
      </x:c>
      <x:c r="I2364" s="39" t="str">
        <x:v>افق بلندمدت؛ انکوبیت</x:v>
      </x:c>
      <x:c r="J2364" s="39" t="str">
        <x:v>استراتژیست کارآفرینی/سرمایه‌گذاری</x:v>
      </x:c>
      <x:c r="K2364" s="39" t="str"/>
      <x:c r="L2364" s="39" t="str">
        <x:v>AP:P1556</x:v>
      </x:c>
      <x:c r="M2364" s="39" t="str"/>
      <x:c r="N2364" s="39" t="str">
        <x:v>نسخه پایه ۳۱۵۰</x:v>
      </x:c>
    </x:row>
    <x:row r="2365" ht="34" customHeight="1">
      <x:c r="A2365" s="34" t="str">
        <x:v>☐</x:v>
      </x:c>
      <x:c r="B2365" s="34" t="str">
        <x:v>MI-1567</x:v>
      </x:c>
      <x:c r="C2365" s="34" t="str">
        <x:v>M3 — کسب‌وکار، شبکه و زیست‌بوم نوآوری</x:v>
      </x:c>
      <x:c r="D2365" s="34" t="str">
        <x:v>H19</x:v>
      </x:c>
      <x:c r="E2365" s="34" t="str">
        <x:v>چشم‌انداز، ایده‌های بلندمدت و سرمایه‌گذاری</x:v>
      </x:c>
      <x:c r="F2365" s="34" t="str">
        <x:v>P3</x:v>
      </x:c>
      <x:c r="G2365" s="34" t="str">
        <x:v>هدف/موضوع</x:v>
      </x:c>
      <x:c r="H2365" s="39" t="str">
        <x:v>وام</x:v>
      </x:c>
      <x:c r="I2365" s="39" t="str">
        <x:v>افق بلندمدت؛ انکوبیت</x:v>
      </x:c>
      <x:c r="J2365" s="39" t="str">
        <x:v>استراتژیست کارآفرینی/سرمایه‌گذاری</x:v>
      </x:c>
      <x:c r="K2365" s="39" t="str"/>
      <x:c r="L2365" s="39" t="str">
        <x:v>AP:P1557</x:v>
      </x:c>
      <x:c r="M2365" s="39" t="str"/>
      <x:c r="N2365" s="39" t="str">
        <x:v>نسخه پایه ۳۱۵۰</x:v>
      </x:c>
    </x:row>
    <x:row r="2366" ht="34" customHeight="1">
      <x:c r="A2366" s="34" t="str">
        <x:v>☐</x:v>
      </x:c>
      <x:c r="B2366" s="34" t="str">
        <x:v>MI-1570</x:v>
      </x:c>
      <x:c r="C2366" s="34" t="str">
        <x:v>M3 — کسب‌وکار، شبکه و زیست‌بوم نوآوری</x:v>
      </x:c>
      <x:c r="D2366" s="34" t="str">
        <x:v>H19</x:v>
      </x:c>
      <x:c r="E2366" s="34" t="str">
        <x:v>چشم‌انداز، ایده‌های بلندمدت و سرمایه‌گذاری</x:v>
      </x:c>
      <x:c r="F2366" s="34" t="str">
        <x:v>P3</x:v>
      </x:c>
      <x:c r="G2366" s="34" t="str">
        <x:v>هدف/موضوع</x:v>
      </x:c>
      <x:c r="H2366" s="39" t="str">
        <x:v>نیازممندان</x:v>
      </x:c>
      <x:c r="I2366" s="39" t="str">
        <x:v>افق بلندمدت؛ انکوبیت</x:v>
      </x:c>
      <x:c r="J2366" s="39" t="str">
        <x:v>استراتژیست کارآفرینی/سرمایه‌گذاری</x:v>
      </x:c>
      <x:c r="K2366" s="39" t="str"/>
      <x:c r="L2366" s="39" t="str">
        <x:v>AP:P1560</x:v>
      </x:c>
      <x:c r="M2366" s="39" t="str"/>
      <x:c r="N2366" s="39" t="str">
        <x:v>نسخه پایه ۳۱۵۰</x:v>
      </x:c>
    </x:row>
    <x:row r="2367" ht="34" customHeight="1">
      <x:c r="A2367" s="34" t="str">
        <x:v>☐</x:v>
      </x:c>
      <x:c r="B2367" s="34" t="str">
        <x:v>MI-1571</x:v>
      </x:c>
      <x:c r="C2367" s="34" t="str">
        <x:v>M3 — کسب‌وکار، شبکه و زیست‌بوم نوآوری</x:v>
      </x:c>
      <x:c r="D2367" s="34" t="str">
        <x:v>H19</x:v>
      </x:c>
      <x:c r="E2367" s="34" t="str">
        <x:v>چشم‌انداز، ایده‌های بلندمدت و سرمایه‌گذاری</x:v>
      </x:c>
      <x:c r="F2367" s="34" t="str">
        <x:v>P3</x:v>
      </x:c>
      <x:c r="G2367" s="34" t="str">
        <x:v>هدف/موضوع</x:v>
      </x:c>
      <x:c r="H2367" s="39" t="str">
        <x:v>زندانی</x:v>
      </x:c>
      <x:c r="I2367" s="39" t="str">
        <x:v>افق بلندمدت؛ انکوبیت</x:v>
      </x:c>
      <x:c r="J2367" s="39" t="str">
        <x:v>استراتژیست کارآفرینی/سرمایه‌گذاری</x:v>
      </x:c>
      <x:c r="K2367" s="39" t="str"/>
      <x:c r="L2367" s="39" t="str">
        <x:v>AP:P1561</x:v>
      </x:c>
      <x:c r="M2367" s="39" t="str"/>
      <x:c r="N2367" s="39" t="str">
        <x:v>نسخه پایه ۳۱۵۰</x:v>
      </x:c>
    </x:row>
    <x:row r="2368" ht="34" customHeight="1">
      <x:c r="A2368" s="34" t="str">
        <x:v>☐</x:v>
      </x:c>
      <x:c r="B2368" s="34" t="str">
        <x:v>MI-1628</x:v>
      </x:c>
      <x:c r="C2368" s="34" t="str">
        <x:v>M3 — کسب‌وکار، شبکه و زیست‌بوم نوآوری</x:v>
      </x:c>
      <x:c r="D2368" s="34" t="str">
        <x:v>H19</x:v>
      </x:c>
      <x:c r="E2368" s="34" t="str">
        <x:v>چشم‌انداز، ایده‌های بلندمدت و سرمایه‌گذاری</x:v>
      </x:c>
      <x:c r="F2368" s="34" t="str">
        <x:v>P3</x:v>
      </x:c>
      <x:c r="G2368" s="34" t="str">
        <x:v>هدف/موضوع</x:v>
      </x:c>
      <x:c r="H2368" s="39" t="str">
        <x:v>یعنی کارآفرین خارجی ابتدا به عنوان EiR وارد اکوسیستم می شود، بازار و ظرفیت ها را می بیند، بعد اگر فرصت مناسب باشد وارد سرمایه گذاری یا مشارکت صنعتی می شود.</x:v>
      </x:c>
      <x:c r="I2368" s="39" t="str">
        <x:v>افق بلندمدت؛ انکوبیت</x:v>
      </x:c>
      <x:c r="J2368" s="39" t="str">
        <x:v>استراتژیست کارآفرینی/سرمایه‌گذاری</x:v>
      </x:c>
      <x:c r="K2368" s="39" t="str"/>
      <x:c r="L2368" s="39" t="str">
        <x:v>E112:P88؛ E112:P1559؛ E112:P1868؛ E112:P2334</x:v>
      </x:c>
      <x:c r="M2368" s="39" t="str"/>
      <x:c r="N2368" s="39" t="str">
        <x:v>نسخه پایه ۳۱۵۰</x:v>
      </x:c>
    </x:row>
    <x:row r="2369" ht="34" customHeight="1">
      <x:c r="A2369" s="34" t="str">
        <x:v>☐</x:v>
      </x:c>
      <x:c r="B2369" s="34" t="str">
        <x:v>MI-1644</x:v>
      </x:c>
      <x:c r="C2369" s="34" t="str">
        <x:v>M3 — کسب‌وکار، شبکه و زیست‌بوم نوآوری</x:v>
      </x:c>
      <x:c r="D2369" s="34" t="str">
        <x:v>H19</x:v>
      </x:c>
      <x:c r="E2369" s="34" t="str">
        <x:v>چشم‌انداز، ایده‌های بلندمدت و سرمایه‌گذاری</x:v>
      </x:c>
      <x:c r="F2369" s="34" t="str">
        <x:v>P3</x:v>
      </x:c>
      <x:c r="G2369" s="34" t="str">
        <x:v>هدف/موضوع</x:v>
      </x:c>
      <x:c r="H2369" s="39" t="str">
        <x:v>مرحله 3: استفاده از مزیت منطقه آزاد</x:v>
      </x:c>
      <x:c r="I2369" s="39" t="str">
        <x:v>افق بلندمدت؛ انکوبیت</x:v>
      </x:c>
      <x:c r="J2369" s="39" t="str">
        <x:v>استراتژیست کارآفرینی/سرمایه‌گذاری</x:v>
      </x:c>
      <x:c r="K2369" s="39" t="str"/>
      <x:c r="L2369" s="39" t="str">
        <x:v>E112:P107؛ E112:P1582؛ E112:P1887؛ E112:P2353</x:v>
      </x:c>
      <x:c r="M2369" s="39" t="str"/>
      <x:c r="N2369" s="39" t="str">
        <x:v>نسخه پایه ۳۱۵۰</x:v>
      </x:c>
    </x:row>
    <x:row r="2370" ht="34" customHeight="1">
      <x:c r="A2370" s="34" t="str">
        <x:v>☐</x:v>
      </x:c>
      <x:c r="B2370" s="34" t="str">
        <x:v>MI-1645</x:v>
      </x:c>
      <x:c r="C2370" s="34" t="str">
        <x:v>M3 — کسب‌وکار، شبکه و زیست‌بوم نوآوری</x:v>
      </x:c>
      <x:c r="D2370" s="34" t="str">
        <x:v>H19</x:v>
      </x:c>
      <x:c r="E2370" s="34" t="str">
        <x:v>چشم‌انداز، ایده‌های بلندمدت و سرمایه‌گذاری</x:v>
      </x:c>
      <x:c r="F2370" s="34" t="str">
        <x:v>P3</x:v>
      </x:c>
      <x:c r="G2370" s="34" t="str">
        <x:v>هدف/موضوع</x:v>
      </x:c>
      <x:c r="H2370" s="39" t="str">
        <x:v>اگر مازندران از مزیت منطقه آزاد یا مناطق ویژه اقتصادی استفاده کند، می توان امتیازهایی ارایه داد مثل:</x:v>
      </x:c>
      <x:c r="I2370" s="39" t="str">
        <x:v>افق بلندمدت؛ انکوبیت</x:v>
      </x:c>
      <x:c r="J2370" s="39" t="str">
        <x:v>استراتژیست کارآفرینی/سرمایه‌گذاری</x:v>
      </x:c>
      <x:c r="K2370" s="39" t="str"/>
      <x:c r="L2370" s="39" t="str">
        <x:v>E112:P108؛ E112:P1584؛ E112:P1888؛ E112:P2354</x:v>
      </x:c>
      <x:c r="M2370" s="39" t="str"/>
      <x:c r="N2370" s="39" t="str">
        <x:v>نسخه پایه ۳۱۵۰</x:v>
      </x:c>
    </x:row>
    <x:row r="2371" ht="34" customHeight="1">
      <x:c r="A2371" s="34" t="str">
        <x:v>☐</x:v>
      </x:c>
      <x:c r="B2371" s="34" t="str">
        <x:v>MI-1648</x:v>
      </x:c>
      <x:c r="C2371" s="34" t="str">
        <x:v>M3 — کسب‌وکار، شبکه و زیست‌بوم نوآوری</x:v>
      </x:c>
      <x:c r="D2371" s="34" t="str">
        <x:v>H19</x:v>
      </x:c>
      <x:c r="E2371" s="34" t="str">
        <x:v>چشم‌انداز، ایده‌های بلندمدت و سرمایه‌گذاری</x:v>
      </x:c>
      <x:c r="F2371" s="34" t="str">
        <x:v>P3</x:v>
      </x:c>
      <x:c r="G2371" s="34" t="str">
        <x:v>هدف/موضوع</x:v>
      </x:c>
      <x:c r="H2371" s="39" t="str">
        <x:v>• قوانین ساده تر برای سرمایه گذاری خارجی</x:v>
      </x:c>
      <x:c r="I2371" s="39" t="str">
        <x:v>افق بلندمدت؛ انکوبیت</x:v>
      </x:c>
      <x:c r="J2371" s="39" t="str">
        <x:v>استراتژیست کارآفرینی/سرمایه‌گذاری</x:v>
      </x:c>
      <x:c r="K2371" s="39" t="str"/>
      <x:c r="L2371" s="39" t="str">
        <x:v>E112:P111؛ E112:P1588؛ E112:P1891؛ E112:P2357</x:v>
      </x:c>
      <x:c r="M2371" s="39" t="str"/>
      <x:c r="N2371" s="39" t="str">
        <x:v>نسخه پایه ۳۱۵۰</x:v>
      </x:c>
    </x:row>
    <x:row r="2372" ht="34" customHeight="1">
      <x:c r="A2372" s="34" t="str">
        <x:v>☐</x:v>
      </x:c>
      <x:c r="B2372" s="34" t="str">
        <x:v>MI-1668</x:v>
      </x:c>
      <x:c r="C2372" s="34" t="str">
        <x:v>M3 — کسب‌وکار، شبکه و زیست‌بوم نوآوری</x:v>
      </x:c>
      <x:c r="D2372" s="34" t="str">
        <x:v>H19</x:v>
      </x:c>
      <x:c r="E2372" s="34" t="str">
        <x:v>چشم‌انداز، ایده‌های بلندمدت و سرمایه‌گذاری</x:v>
      </x:c>
      <x:c r="F2372" s="34" t="str">
        <x:v>P3</x:v>
      </x:c>
      <x:c r="G2372" s="34" t="str">
        <x:v>هدف/موضوع</x:v>
      </x:c>
      <x:c r="H2372" s="39" t="str">
        <x:v>• کارآفرین خارجی</x:v>
      </x:c>
      <x:c r="I2372" s="39" t="str">
        <x:v>افق بلندمدت؛ انکوبیت</x:v>
      </x:c>
      <x:c r="J2372" s="39" t="str">
        <x:v>استراتژیست کارآفرینی/سرمایه‌گذاری</x:v>
      </x:c>
      <x:c r="K2372" s="39" t="str"/>
      <x:c r="L2372" s="39" t="str">
        <x:v>E112:P133؛ E112:P1619؛ E112:P1913؛ E112:P2172؛ E112:P2379؛ E112:P2844</x:v>
      </x:c>
      <x:c r="M2372" s="39" t="str"/>
      <x:c r="N2372" s="39" t="str">
        <x:v>نسخه پایه ۳۱۵۰</x:v>
      </x:c>
    </x:row>
    <x:row r="2373" ht="34" customHeight="1">
      <x:c r="A2373" s="34" t="str">
        <x:v>☐</x:v>
      </x:c>
      <x:c r="B2373" s="34" t="str">
        <x:v>MI-1696</x:v>
      </x:c>
      <x:c r="C2373" s="34" t="str">
        <x:v>M3 — کسب‌وکار، شبکه و زیست‌بوم نوآوری</x:v>
      </x:c>
      <x:c r="D2373" s="34" t="str">
        <x:v>H19</x:v>
      </x:c>
      <x:c r="E2373" s="34" t="str">
        <x:v>چشم‌انداز، ایده‌های بلندمدت و سرمایه‌گذاری</x:v>
      </x:c>
      <x:c r="F2373" s="34" t="str">
        <x:v>P3</x:v>
      </x:c>
      <x:c r="G2373" s="34" t="str">
        <x:v>هدف/موضوع</x:v>
      </x:c>
      <x:c r="H2373" s="39" t="str">
        <x:v>2) جذب سرمایه گذاری خارجی (FDI)</x:v>
      </x:c>
      <x:c r="I2373" s="39" t="str">
        <x:v>افق بلندمدت؛ انکوبیت</x:v>
      </x:c>
      <x:c r="J2373" s="39" t="str">
        <x:v>استراتژیست کارآفرینی/سرمایه‌گذاری</x:v>
      </x:c>
      <x:c r="K2373" s="39" t="str"/>
      <x:c r="L2373" s="39" t="str">
        <x:v>E112:P162؛ E112:P1676؛ E112:P1944؛ E112:P2410</x:v>
      </x:c>
      <x:c r="M2373" s="39" t="str"/>
      <x:c r="N2373" s="39" t="str">
        <x:v>نسخه پایه ۳۱۵۰</x:v>
      </x:c>
    </x:row>
    <x:row r="2374" ht="34" customHeight="1">
      <x:c r="A2374" s="34" t="str">
        <x:v>☐</x:v>
      </x:c>
      <x:c r="B2374" s="34" t="str">
        <x:v>MI-1699</x:v>
      </x:c>
      <x:c r="C2374" s="34" t="str">
        <x:v>M3 — کسب‌وکار، شبکه و زیست‌بوم نوآوری</x:v>
      </x:c>
      <x:c r="D2374" s="34" t="str">
        <x:v>H19</x:v>
      </x:c>
      <x:c r="E2374" s="34" t="str">
        <x:v>چشم‌انداز، ایده‌های بلندمدت و سرمایه‌گذاری</x:v>
      </x:c>
      <x:c r="F2374" s="34" t="str">
        <x:v>P3</x:v>
      </x:c>
      <x:c r="G2374" s="34" t="str">
        <x:v>هدف/موضوع</x:v>
      </x:c>
      <x:c r="H2374" s="39" t="str">
        <x:v>استفاده از مزیت های منطقه آزاد/ویژه: معافیت مالیاتی، تسهیل صادرات، دسترسی به بازارهای روسیه و اوراسیا.</x:v>
      </x:c>
      <x:c r="I2374" s="39" t="str">
        <x:v>افق بلندمدت؛ انکوبیت</x:v>
      </x:c>
      <x:c r="J2374" s="39" t="str">
        <x:v>استراتژیست کارآفرینی/سرمایه‌گذاری</x:v>
      </x:c>
      <x:c r="K2374" s="39" t="str"/>
      <x:c r="L2374" s="39" t="str">
        <x:v>E112:P165؛ E112:P1680؛ E112:P1947؛ E112:P2413</x:v>
      </x:c>
      <x:c r="M2374" s="39" t="str"/>
      <x:c r="N2374" s="39" t="str">
        <x:v>نسخه پایه ۳۱۵۰</x:v>
      </x:c>
    </x:row>
    <x:row r="2375" ht="34" customHeight="1">
      <x:c r="A2375" s="34" t="str">
        <x:v>☐</x:v>
      </x:c>
      <x:c r="B2375" s="34" t="str">
        <x:v>MI-1719</x:v>
      </x:c>
      <x:c r="C2375" s="34" t="str">
        <x:v>M3 — کسب‌وکار، شبکه و زیست‌بوم نوآوری</x:v>
      </x:c>
      <x:c r="D2375" s="34" t="str">
        <x:v>H19</x:v>
      </x:c>
      <x:c r="E2375" s="34" t="str">
        <x:v>چشم‌انداز، ایده‌های بلندمدت و سرمایه‌گذاری</x:v>
      </x:c>
      <x:c r="F2375" s="34" t="str">
        <x:v>P3</x:v>
      </x:c>
      <x:c r="G2375" s="34" t="str">
        <x:v>هدف/موضوع</x:v>
      </x:c>
      <x:c r="H2375" s="39" t="str">
        <x:v>من رو به عنوان مدیریت منابع انسانی یک زیست بوم در نظر بگیر</x:v>
      </x:c>
      <x:c r="I2375" s="39" t="str">
        <x:v>افق بلندمدت؛ انکوبیت</x:v>
      </x:c>
      <x:c r="J2375" s="39" t="str">
        <x:v>استراتژیست کارآفرینی/سرمایه‌گذاری</x:v>
      </x:c>
      <x:c r="K2375" s="39" t="str"/>
      <x:c r="L2375" s="39" t="str">
        <x:v>E112:P185</x:v>
      </x:c>
      <x:c r="M2375" s="39" t="str"/>
      <x:c r="N2375" s="39" t="str">
        <x:v>نسخه پایه ۳۱۵۰</x:v>
      </x:c>
    </x:row>
    <x:row r="2376" ht="34" customHeight="1">
      <x:c r="A2376" s="34" t="str">
        <x:v>☐</x:v>
      </x:c>
      <x:c r="B2376" s="34" t="str">
        <x:v>MI-1720</x:v>
      </x:c>
      <x:c r="C2376" s="34" t="str">
        <x:v>M3 — کسب‌وکار، شبکه و زیست‌بوم نوآوری</x:v>
      </x:c>
      <x:c r="D2376" s="34" t="str">
        <x:v>H19</x:v>
      </x:c>
      <x:c r="E2376" s="34" t="str">
        <x:v>چشم‌انداز، ایده‌های بلندمدت و سرمایه‌گذاری</x:v>
      </x:c>
      <x:c r="F2376" s="34" t="str">
        <x:v>P3</x:v>
      </x:c>
      <x:c r="G2376" s="34" t="str">
        <x:v>هدف/موضوع</x:v>
      </x:c>
      <x:c r="H2376" s="39" t="str">
        <x:v>حالا در این زیست بوم ای تم هایی هست که میتونم بر ان ها اشراف داشته باشم یا اینکه از اون ها به واسطه لینک بودنم به عنوان زمین بازی استفاده کنم</x:v>
      </x:c>
      <x:c r="I2376" s="39" t="str">
        <x:v>افق بلندمدت؛ انکوبیت</x:v>
      </x:c>
      <x:c r="J2376" s="39" t="str">
        <x:v>استراتژیست کارآفرینی/سرمایه‌گذاری</x:v>
      </x:c>
      <x:c r="K2376" s="39" t="str"/>
      <x:c r="L2376" s="39" t="str">
        <x:v>E112:P187</x:v>
      </x:c>
      <x:c r="M2376" s="39" t="str"/>
      <x:c r="N2376" s="39" t="str">
        <x:v>نسخه پایه ۳۱۵۰</x:v>
      </x:c>
    </x:row>
    <x:row r="2377" ht="34" customHeight="1">
      <x:c r="A2377" s="34" t="str">
        <x:v>☐</x:v>
      </x:c>
      <x:c r="B2377" s="34" t="str">
        <x:v>MI-1935</x:v>
      </x:c>
      <x:c r="C2377" s="34" t="str">
        <x:v>M3 — کسب‌وکار، شبکه و زیست‌بوم نوآوری</x:v>
      </x:c>
      <x:c r="D2377" s="34" t="str">
        <x:v>H19</x:v>
      </x:c>
      <x:c r="E2377" s="34" t="str">
        <x:v>چشم‌انداز، ایده‌های بلندمدت و سرمایه‌گذاری</x:v>
      </x:c>
      <x:c r="F2377" s="34" t="str">
        <x:v>P3</x:v>
      </x:c>
      <x:c r="G2377" s="34" t="str">
        <x:v>هدف/موضوع</x:v>
      </x:c>
      <x:c r="H2377" s="39" t="str">
        <x:v>پارک علم و فناوری خصوصی</x:v>
      </x:c>
      <x:c r="I2377" s="39" t="str">
        <x:v>افق بلندمدت؛ انکوبیت</x:v>
      </x:c>
      <x:c r="J2377" s="39" t="str">
        <x:v>استراتژیست کارآفرینی/سرمایه‌گذاری</x:v>
      </x:c>
      <x:c r="K2377" s="39" t="str"/>
      <x:c r="L2377" s="39" t="str">
        <x:v>E112:P543؛ E112:P694</x:v>
      </x:c>
      <x:c r="M2377" s="39" t="str"/>
      <x:c r="N2377" s="39" t="str">
        <x:v>نسخه پایه ۳۱۵۰</x:v>
      </x:c>
    </x:row>
    <x:row r="2378" ht="34" customHeight="1">
      <x:c r="A2378" s="34" t="str">
        <x:v>☐</x:v>
      </x:c>
      <x:c r="B2378" s="34" t="str">
        <x:v>MI-2178</x:v>
      </x:c>
      <x:c r="C2378" s="34" t="str">
        <x:v>M3 — کسب‌وکار، شبکه و زیست‌بوم نوآوری</x:v>
      </x:c>
      <x:c r="D2378" s="34" t="str">
        <x:v>H19</x:v>
      </x:c>
      <x:c r="E2378" s="34" t="str">
        <x:v>چشم‌انداز، ایده‌های بلندمدت و سرمایه‌گذاری</x:v>
      </x:c>
      <x:c r="F2378" s="34" t="str">
        <x:v>P3</x:v>
      </x:c>
      <x:c r="G2378" s="34" t="str">
        <x:v>هدف/موضوع</x:v>
      </x:c>
      <x:c r="H2378" s="39" t="str">
        <x:v>در این میان ماموریت بر سر زیست بوم در منطقه مازندران هست، طبق اون بیا و بازنگری کن</x:v>
      </x:c>
      <x:c r="I2378" s="39" t="str">
        <x:v>افق بلندمدت؛ انکوبیت</x:v>
      </x:c>
      <x:c r="J2378" s="39" t="str">
        <x:v>استراتژیست کارآفرینی/سرمایه‌گذاری</x:v>
      </x:c>
      <x:c r="K2378" s="39" t="str"/>
      <x:c r="L2378" s="39" t="str">
        <x:v>E112:P984</x:v>
      </x:c>
      <x:c r="M2378" s="39" t="str"/>
      <x:c r="N2378" s="39" t="str">
        <x:v>نسخه پایه ۳۱۵۰</x:v>
      </x:c>
    </x:row>
    <x:row r="2379" ht="34" customHeight="1">
      <x:c r="A2379" s="34" t="str">
        <x:v>☐</x:v>
      </x:c>
      <x:c r="B2379" s="34" t="str">
        <x:v>MI-2289</x:v>
      </x:c>
      <x:c r="C2379" s="34" t="str">
        <x:v>M3 — کسب‌وکار، شبکه و زیست‌بوم نوآوری</x:v>
      </x:c>
      <x:c r="D2379" s="34" t="str">
        <x:v>H19</x:v>
      </x:c>
      <x:c r="E2379" s="34" t="str">
        <x:v>چشم‌انداز، ایده‌های بلندمدت و سرمایه‌گذاری</x:v>
      </x:c>
      <x:c r="F2379" s="34" t="str">
        <x:v>P3</x:v>
      </x:c>
      <x:c r="G2379" s="34" t="str">
        <x:v>هدف/موضوع</x:v>
      </x:c>
      <x:c r="H2379" s="39" t="str">
        <x:v>از این ظرفیت چطور میشه در یه زیست بوم استفاده کرد مخصوصا اگه مازندران باشه میشه در چه صنایعی استفاده کرد و اینکه اگه فرد کارافرین رو تونستیم بیاریم چطور همایش برگزار کنیم حول چی؟؟</x:v>
      </x:c>
      <x:c r="I2379" s="39" t="str">
        <x:v>افق بلندمدت؛ انکوبیت</x:v>
      </x:c>
      <x:c r="J2379" s="39" t="str">
        <x:v>استراتژیست کارآفرینی/سرمایه‌گذاری</x:v>
      </x:c>
      <x:c r="K2379" s="39" t="str"/>
      <x:c r="L2379" s="39" t="str">
        <x:v>E112:P1247</x:v>
      </x:c>
      <x:c r="M2379" s="39" t="str"/>
      <x:c r="N2379" s="39" t="str">
        <x:v>نسخه پایه ۳۱۵۰</x:v>
      </x:c>
    </x:row>
    <x:row r="2380" ht="34" customHeight="1">
      <x:c r="A2380" s="34" t="str">
        <x:v>☐</x:v>
      </x:c>
      <x:c r="B2380" s="34" t="str">
        <x:v>MI-2398</x:v>
      </x:c>
      <x:c r="C2380" s="34" t="str">
        <x:v>M3 — کسب‌وکار، شبکه و زیست‌بوم نوآوری</x:v>
      </x:c>
      <x:c r="D2380" s="34" t="str">
        <x:v>H19</x:v>
      </x:c>
      <x:c r="E2380" s="34" t="str">
        <x:v>چشم‌انداز، ایده‌های بلندمدت و سرمایه‌گذاری</x:v>
      </x:c>
      <x:c r="F2380" s="34" t="str">
        <x:v>P3</x:v>
      </x:c>
      <x:c r="G2380" s="34" t="str">
        <x:v>هدف/موضوع</x:v>
      </x:c>
      <x:c r="H2380" s="39" t="str">
        <x:v>خیلی خلاصه اگر محور زیست بوم کارآفرینی مازندران باشد:</x:v>
      </x:c>
      <x:c r="I2380" s="39" t="str">
        <x:v>افق بلندمدت؛ انکوبیت</x:v>
      </x:c>
      <x:c r="J2380" s="39" t="str">
        <x:v>استراتژیست کارآفرینی/سرمایه‌گذاری</x:v>
      </x:c>
      <x:c r="K2380" s="39" t="str"/>
      <x:c r="L2380" s="39" t="str">
        <x:v>E112:P1474</x:v>
      </x:c>
      <x:c r="M2380" s="39" t="str"/>
      <x:c r="N2380" s="39" t="str">
        <x:v>نسخه پایه ۳۱۵۰</x:v>
      </x:c>
    </x:row>
    <x:row r="2381" ht="34" customHeight="1">
      <x:c r="A2381" s="34" t="str">
        <x:v>☐</x:v>
      </x:c>
      <x:c r="B2381" s="34" t="str">
        <x:v>MI-2417</x:v>
      </x:c>
      <x:c r="C2381" s="34" t="str">
        <x:v>M3 — کسب‌وکار، شبکه و زیست‌بوم نوآوری</x:v>
      </x:c>
      <x:c r="D2381" s="34" t="str">
        <x:v>H19</x:v>
      </x:c>
      <x:c r="E2381" s="34" t="str">
        <x:v>چشم‌انداز، ایده‌های بلندمدت و سرمایه‌گذاری</x:v>
      </x:c>
      <x:c r="F2381" s="34" t="str">
        <x:v>P3</x:v>
      </x:c>
      <x:c r="G2381" s="34" t="str">
        <x:v>هدف/موضوع</x:v>
      </x:c>
      <x:c r="H2381" s="39" t="str">
        <x:v>4. نقش زیست بوم</x:v>
      </x:c>
      <x:c r="I2381" s="39" t="str">
        <x:v>افق بلندمدت؛ انکوبیت</x:v>
      </x:c>
      <x:c r="J2381" s="39" t="str">
        <x:v>استراتژیست کارآفرینی/سرمایه‌گذاری</x:v>
      </x:c>
      <x:c r="K2381" s="39" t="str"/>
      <x:c r="L2381" s="39" t="str">
        <x:v>E112:P1501</x:v>
      </x:c>
      <x:c r="M2381" s="39" t="str"/>
      <x:c r="N2381" s="39" t="str">
        <x:v>نسخه پایه ۳۱۵۰</x:v>
      </x:c>
    </x:row>
    <x:row r="2382" ht="34" customHeight="1">
      <x:c r="A2382" s="34" t="str">
        <x:v>☐</x:v>
      </x:c>
      <x:c r="B2382" s="34" t="str">
        <x:v>MI-2435</x:v>
      </x:c>
      <x:c r="C2382" s="34" t="str">
        <x:v>M3 — کسب‌وکار، شبکه و زیست‌بوم نوآوری</x:v>
      </x:c>
      <x:c r="D2382" s="34" t="str">
        <x:v>H19</x:v>
      </x:c>
      <x:c r="E2382" s="34" t="str">
        <x:v>چشم‌انداز، ایده‌های بلندمدت و سرمایه‌گذاری</x:v>
      </x:c>
      <x:c r="F2382" s="34" t="str">
        <x:v>P3</x:v>
      </x:c>
      <x:c r="G2382" s="34" t="str">
        <x:v>هدف/موضوع</x:v>
      </x:c>
      <x:c r="H2382" s="39" t="str">
        <x:v>تعریف نقش مدیریت منابع انسانی در سطح زیست بوم</x:v>
      </x:c>
      <x:c r="I2382" s="39" t="str">
        <x:v>افق بلندمدت؛ انکوبیت</x:v>
      </x:c>
      <x:c r="J2382" s="39" t="str">
        <x:v>استراتژیست کارآفرینی/سرمایه‌گذاری</x:v>
      </x:c>
      <x:c r="K2382" s="39" t="str"/>
      <x:c r="L2382" s="39" t="str">
        <x:v>E112:P1716</x:v>
      </x:c>
      <x:c r="M2382" s="39" t="str"/>
      <x:c r="N2382" s="39" t="str">
        <x:v>نسخه پایه ۳۱۵۰</x:v>
      </x:c>
    </x:row>
    <x:row r="2383" ht="34" customHeight="1">
      <x:c r="A2383" s="34" t="str">
        <x:v>☐</x:v>
      </x:c>
      <x:c r="B2383" s="34" t="str">
        <x:v>MI-2447</x:v>
      </x:c>
      <x:c r="C2383" s="34" t="str">
        <x:v>M3 — کسب‌وکار، شبکه و زیست‌بوم نوآوری</x:v>
      </x:c>
      <x:c r="D2383" s="34" t="str">
        <x:v>H19</x:v>
      </x:c>
      <x:c r="E2383" s="34" t="str">
        <x:v>چشم‌انداز، ایده‌های بلندمدت و سرمایه‌گذاری</x:v>
      </x:c>
      <x:c r="F2383" s="34" t="str">
        <x:v>P3</x:v>
      </x:c>
      <x:c r="G2383" s="34" t="str">
        <x:v>هدف/موضوع</x:v>
      </x:c>
      <x:c r="H2383" s="39" t="str">
        <x:v>تحلیل زیست بوم نوآوری مازندران</x:v>
      </x:c>
      <x:c r="I2383" s="39" t="str">
        <x:v>افق بلندمدت؛ انکوبیت</x:v>
      </x:c>
      <x:c r="J2383" s="39" t="str">
        <x:v>استراتژیست کارآفرینی/سرمایه‌گذاری</x:v>
      </x:c>
      <x:c r="K2383" s="39" t="str"/>
      <x:c r="L2383" s="39" t="str">
        <x:v>E112:P1731</x:v>
      </x:c>
      <x:c r="M2383" s="39" t="str"/>
      <x:c r="N2383" s="39" t="str">
        <x:v>نسخه پایه ۳۱۵۰</x:v>
      </x:c>
    </x:row>
    <x:row r="2384" ht="34" customHeight="1">
      <x:c r="A2384" s="34" t="str">
        <x:v>☐</x:v>
      </x:c>
      <x:c r="B2384" s="34" t="str">
        <x:v>MI-2471</x:v>
      </x:c>
      <x:c r="C2384" s="34" t="str">
        <x:v>M3 — کسب‌وکار، شبکه و زیست‌بوم نوآوری</x:v>
      </x:c>
      <x:c r="D2384" s="34" t="str">
        <x:v>H19</x:v>
      </x:c>
      <x:c r="E2384" s="34" t="str">
        <x:v>چشم‌انداز، ایده‌های بلندمدت و سرمایه‌گذاری</x:v>
      </x:c>
      <x:c r="F2384" s="34" t="str">
        <x:v>P3</x:v>
      </x:c>
      <x:c r="G2384" s="34" t="str">
        <x:v>هدف/موضوع</x:v>
      </x:c>
      <x:c r="H2384" s="39" t="str">
        <x:v>استفاده از مزیت منطقه آزاد / منطقه ویژه</x:v>
      </x:c>
      <x:c r="I2384" s="39" t="str">
        <x:v>افق بلندمدت؛ انکوبیت</x:v>
      </x:c>
      <x:c r="J2384" s="39" t="str">
        <x:v>استراتژیست کارآفرینی/سرمایه‌گذاری</x:v>
      </x:c>
      <x:c r="K2384" s="39" t="str"/>
      <x:c r="L2384" s="39" t="str">
        <x:v>E112:P1771</x:v>
      </x:c>
      <x:c r="M2384" s="39" t="str"/>
      <x:c r="N2384" s="39" t="str">
        <x:v>نسخه پایه ۳۱۵۰</x:v>
      </x:c>
    </x:row>
    <x:row r="2385" ht="34" customHeight="1">
      <x:c r="A2385" s="34" t="str">
        <x:v>☐</x:v>
      </x:c>
      <x:c r="B2385" s="34" t="str">
        <x:v>MI-2577</x:v>
      </x:c>
      <x:c r="C2385" s="34" t="str">
        <x:v>M3 — کسب‌وکار، شبکه و زیست‌بوم نوآوری</x:v>
      </x:c>
      <x:c r="D2385" s="34" t="str">
        <x:v>H19</x:v>
      </x:c>
      <x:c r="E2385" s="34" t="str">
        <x:v>چشم‌انداز، ایده‌های بلندمدت و سرمایه‌گذاری</x:v>
      </x:c>
      <x:c r="F2385" s="34" t="str">
        <x:v>P3</x:v>
      </x:c>
      <x:c r="G2385" s="34" t="str">
        <x:v>هدف/موضوع</x:v>
      </x:c>
      <x:c r="H2385" s="39" t="str">
        <x:v>13. جذب سرمایه و کارآفرین خارجی</x:v>
      </x:c>
      <x:c r="I2385" s="39" t="str">
        <x:v>افق بلندمدت؛ انکوبیت</x:v>
      </x:c>
      <x:c r="J2385" s="39" t="str">
        <x:v>استراتژیست کارآفرینی/سرمایه‌گذاری</x:v>
      </x:c>
      <x:c r="K2385" s="39" t="str"/>
      <x:c r="L2385" s="39" t="str">
        <x:v>E112:P2162</x:v>
      </x:c>
      <x:c r="M2385" s="39" t="str"/>
      <x:c r="N2385" s="39" t="str">
        <x:v>نسخه پایه ۳۱۵۰</x:v>
      </x:c>
    </x:row>
    <x:row r="2386" ht="34" customHeight="1">
      <x:c r="A2386" s="34" t="str">
        <x:v>☐</x:v>
      </x:c>
      <x:c r="B2386" s="34" t="str">
        <x:v>MI-2579</x:v>
      </x:c>
      <x:c r="C2386" s="34" t="str">
        <x:v>M3 — کسب‌وکار، شبکه و زیست‌بوم نوآوری</x:v>
      </x:c>
      <x:c r="D2386" s="34" t="str">
        <x:v>H19</x:v>
      </x:c>
      <x:c r="E2386" s="34" t="str">
        <x:v>چشم‌انداز، ایده‌های بلندمدت و سرمایه‌گذاری</x:v>
      </x:c>
      <x:c r="F2386" s="34" t="str">
        <x:v>P3</x:v>
      </x:c>
      <x:c r="G2386" s="34" t="str">
        <x:v>هدف/موضوع</x:v>
      </x:c>
      <x:c r="H2386" s="39" t="str">
        <x:v>مزیت منطقه آزاد</x:v>
      </x:c>
      <x:c r="I2386" s="39" t="str">
        <x:v>افق بلندمدت؛ انکوبیت</x:v>
      </x:c>
      <x:c r="J2386" s="39" t="str">
        <x:v>استراتژیست کارآفرینی/سرمایه‌گذاری</x:v>
      </x:c>
      <x:c r="K2386" s="39" t="str"/>
      <x:c r="L2386" s="39" t="str">
        <x:v>E112:P2166</x:v>
      </x:c>
      <x:c r="M2386" s="39" t="str"/>
      <x:c r="N2386" s="39" t="str">
        <x:v>نسخه پایه ۳۱۵۰</x:v>
      </x:c>
    </x:row>
    <x:row r="2387" ht="34" customHeight="1">
      <x:c r="A2387" s="34" t="str">
        <x:v>☐</x:v>
      </x:c>
      <x:c r="B2387" s="34" t="str">
        <x:v>MI-2605</x:v>
      </x:c>
      <x:c r="C2387" s="34" t="str">
        <x:v>M3 — کسب‌وکار، شبکه و زیست‌بوم نوآوری</x:v>
      </x:c>
      <x:c r="D2387" s="34" t="str">
        <x:v>H19</x:v>
      </x:c>
      <x:c r="E2387" s="34" t="str">
        <x:v>چشم‌انداز، ایده‌های بلندمدت و سرمایه‌گذاری</x:v>
      </x:c>
      <x:c r="F2387" s="34" t="str">
        <x:v>P3</x:v>
      </x:c>
      <x:c r="G2387" s="34" t="str">
        <x:v>هدف/موضوع</x:v>
      </x:c>
      <x:c r="H2387" s="39" t="str">
        <x:v>طراحی نقشه معماری کل زیست بوم مازندران</x:v>
      </x:c>
      <x:c r="I2387" s="39" t="str">
        <x:v>افق بلندمدت؛ انکوبیت</x:v>
      </x:c>
      <x:c r="J2387" s="39" t="str">
        <x:v>استراتژیست کارآفرینی/سرمایه‌گذاری</x:v>
      </x:c>
      <x:c r="K2387" s="39" t="str"/>
      <x:c r="L2387" s="39" t="str">
        <x:v>E112:P2244</x:v>
      </x:c>
      <x:c r="M2387" s="39" t="str"/>
      <x:c r="N2387" s="39" t="str">
        <x:v>نسخه پایه ۳۱۵۰</x:v>
      </x:c>
    </x:row>
    <x:row r="2388" ht="34" customHeight="1">
      <x:c r="A2388" s="34" t="str">
        <x:v>☐</x:v>
      </x:c>
      <x:c r="B2388" s="34" t="str">
        <x:v>MI-2620</x:v>
      </x:c>
      <x:c r="C2388" s="34" t="str">
        <x:v>M3 — کسب‌وکار، شبکه و زیست‌بوم نوآوری</x:v>
      </x:c>
      <x:c r="D2388" s="34" t="str">
        <x:v>H19</x:v>
      </x:c>
      <x:c r="E2388" s="34" t="str">
        <x:v>چشم‌انداز، ایده‌های بلندمدت و سرمایه‌گذاری</x:v>
      </x:c>
      <x:c r="F2388" s="34" t="str">
        <x:v>P3</x:v>
      </x:c>
      <x:c r="G2388" s="34" t="str">
        <x:v>هدف/موضوع</x:v>
      </x:c>
      <x:c r="H2388" s="39" t="str">
        <x:v>2. معماری کلان زیست بوم</x:v>
      </x:c>
      <x:c r="I2388" s="39" t="str">
        <x:v>افق بلندمدت؛ انکوبیت</x:v>
      </x:c>
      <x:c r="J2388" s="39" t="str">
        <x:v>استراتژیست کارآفرینی/سرمایه‌گذاری</x:v>
      </x:c>
      <x:c r="K2388" s="39" t="str"/>
      <x:c r="L2388" s="39" t="str">
        <x:v>E112:P2456</x:v>
      </x:c>
      <x:c r="M2388" s="39" t="str"/>
      <x:c r="N2388" s="39" t="str">
        <x:v>نسخه پایه ۳۱۵۰</x:v>
      </x:c>
    </x:row>
    <x:row r="2389" ht="34" customHeight="1">
      <x:c r="A2389" s="34" t="str">
        <x:v>☐</x:v>
      </x:c>
      <x:c r="B2389" s="34" t="str">
        <x:v>MI-2621</x:v>
      </x:c>
      <x:c r="C2389" s="34" t="str">
        <x:v>M3 — کسب‌وکار، شبکه و زیست‌بوم نوآوری</x:v>
      </x:c>
      <x:c r="D2389" s="34" t="str">
        <x:v>H19</x:v>
      </x:c>
      <x:c r="E2389" s="34" t="str">
        <x:v>چشم‌انداز، ایده‌های بلندمدت و سرمایه‌گذاری</x:v>
      </x:c>
      <x:c r="F2389" s="34" t="str">
        <x:v>P3</x:v>
      </x:c>
      <x:c r="G2389" s="34" t="str">
        <x:v>هدف/موضوع</x:v>
      </x:c>
      <x:c r="H2389" s="39" t="str">
        <x:v>زیست بوم پیشنهادی بر پایه اتصال چند جریان اصلی شکل می گیرد:</x:v>
      </x:c>
      <x:c r="I2389" s="39" t="str">
        <x:v>افق بلندمدت؛ انکوبیت</x:v>
      </x:c>
      <x:c r="J2389" s="39" t="str">
        <x:v>استراتژیست کارآفرینی/سرمایه‌گذاری</x:v>
      </x:c>
      <x:c r="K2389" s="39" t="str"/>
      <x:c r="L2389" s="39" t="str">
        <x:v>E112:P2458</x:v>
      </x:c>
      <x:c r="M2389" s="39" t="str"/>
      <x:c r="N2389" s="39" t="str">
        <x:v>نسخه پایه ۳۱۵۰</x:v>
      </x:c>
    </x:row>
    <x:row r="2390" ht="34" customHeight="1">
      <x:c r="A2390" s="34" t="str">
        <x:v>☐</x:v>
      </x:c>
      <x:c r="B2390" s="34" t="str">
        <x:v>MI-2759</x:v>
      </x:c>
      <x:c r="C2390" s="34" t="str">
        <x:v>M3 — کسب‌وکار، شبکه و زیست‌بوم نوآوری</x:v>
      </x:c>
      <x:c r="D2390" s="34" t="str">
        <x:v>H19</x:v>
      </x:c>
      <x:c r="E2390" s="34" t="str">
        <x:v>چشم‌انداز، ایده‌های بلندمدت و سرمایه‌گذاری</x:v>
      </x:c>
      <x:c r="F2390" s="34" t="str">
        <x:v>P3</x:v>
      </x:c>
      <x:c r="G2390" s="34" t="str">
        <x:v>هدف/موضوع</x:v>
      </x:c>
      <x:c r="H2390" s="39" t="str">
        <x:v>15. جذب سرمایه گذاری خارجی</x:v>
      </x:c>
      <x:c r="I2390" s="39" t="str">
        <x:v>افق بلندمدت؛ انکوبیت</x:v>
      </x:c>
      <x:c r="J2390" s="39" t="str">
        <x:v>استراتژیست کارآفرینی/سرمایه‌گذاری</x:v>
      </x:c>
      <x:c r="K2390" s="39" t="str"/>
      <x:c r="L2390" s="39" t="str">
        <x:v>E112:P2839</x:v>
      </x:c>
      <x:c r="M2390" s="39" t="str"/>
      <x:c r="N2390" s="39" t="str">
        <x:v>نسخه پایه ۳۱۵۰</x:v>
      </x:c>
    </x:row>
    <x:row r="2391" ht="34" customHeight="1">
      <x:c r="A2391" s="34" t="str">
        <x:v>☐</x:v>
      </x:c>
      <x:c r="B2391" s="34" t="str">
        <x:v>MI-2902</x:v>
      </x:c>
      <x:c r="C2391" s="34" t="str">
        <x:v>M3 — کسب‌وکار، شبکه و زیست‌بوم نوآوری</x:v>
      </x:c>
      <x:c r="D2391" s="34" t="str">
        <x:v>H19</x:v>
      </x:c>
      <x:c r="E2391" s="34" t="str">
        <x:v>چشم‌انداز، ایده‌های بلندمدت و سرمایه‌گذاری</x:v>
      </x:c>
      <x:c r="F2391" s="34" t="str">
        <x:v>P3</x:v>
      </x:c>
      <x:c r="G2391" s="34" t="str">
        <x:v>هدف/موضوع</x:v>
      </x:c>
      <x:c r="H2391" s="39" t="str">
        <x:v>مشخص کنی این زیست بوم باید به چند بخش اصلی تقسیم شود.</x:v>
      </x:c>
      <x:c r="I2391" s="39" t="str">
        <x:v>افق بلندمدت؛ انکوبیت</x:v>
      </x:c>
      <x:c r="J2391" s="39" t="str">
        <x:v>استراتژیست کارآفرینی/سرمایه‌گذاری</x:v>
      </x:c>
      <x:c r="K2391" s="39" t="str"/>
      <x:c r="L2391" s="39" t="str">
        <x:v>E112:P3251</x:v>
      </x:c>
      <x:c r="M2391" s="39" t="str"/>
      <x:c r="N2391" s="39" t="str">
        <x:v>نسخه پایه ۳۱۵۰</x:v>
      </x:c>
    </x:row>
    <x:row r="2392" ht="34" customHeight="1">
      <x:c r="A2392" s="34" t="str">
        <x:v>☐</x:v>
      </x:c>
      <x:c r="B2392" s="34" t="str">
        <x:v>MI-2922</x:v>
      </x:c>
      <x:c r="C2392" s="34" t="str">
        <x:v>M3 — کسب‌وکار، شبکه و زیست‌بوم نوآوری</x:v>
      </x:c>
      <x:c r="D2392" s="34" t="str">
        <x:v>H19</x:v>
      </x:c>
      <x:c r="E2392" s="34" t="str">
        <x:v>چشم‌انداز، ایده‌های بلندمدت و سرمایه‌گذاری</x:v>
      </x:c>
      <x:c r="F2392" s="34" t="str">
        <x:v>P3</x:v>
      </x:c>
      <x:c r="G2392" s="34" t="str">
        <x:v>هدف/موضوع</x:v>
      </x:c>
      <x:c r="H2392" s="39" t="str">
        <x:v>خروجی باید یک «معماری مدیریتی قابل اجرا» برای کل این زیست بوم باشد، نه صرفاً یک توضیح نظری.</x:v>
      </x:c>
      <x:c r="I2392" s="39" t="str">
        <x:v>افق بلندمدت؛ انکوبیت</x:v>
      </x:c>
      <x:c r="J2392" s="39" t="str">
        <x:v>استراتژیست کارآفرینی/سرمایه‌گذاری</x:v>
      </x:c>
      <x:c r="K2392" s="39" t="str"/>
      <x:c r="L2392" s="39" t="str">
        <x:v>E112:P3276</x:v>
      </x:c>
      <x:c r="M2392" s="39" t="str"/>
      <x:c r="N2392" s="39" t="str">
        <x:v>نسخه پایه ۳۱۵۰</x:v>
      </x:c>
    </x:row>
    <x:row r="2393" ht="34" customHeight="1">
      <x:c r="A2393" s="34" t="str">
        <x:v>☐</x:v>
      </x:c>
      <x:c r="B2393" s="34" t="str">
        <x:v>MI-2933</x:v>
      </x:c>
      <x:c r="C2393" s="34" t="str">
        <x:v>M3 — کسب‌وکار، شبکه و زیست‌بوم نوآوری</x:v>
      </x:c>
      <x:c r="D2393" s="34" t="str">
        <x:v>H19</x:v>
      </x:c>
      <x:c r="E2393" s="34" t="str">
        <x:v>چشم‌انداز، ایده‌های بلندمدت و سرمایه‌گذاری</x:v>
      </x:c>
      <x:c r="F2393" s="34" t="str">
        <x:v>P3</x:v>
      </x:c>
      <x:c r="G2393" s="34" t="str">
        <x:v>هدف/موضوع</x:v>
      </x:c>
      <x:c r="H2393" s="39" t="str">
        <x:v>مدل اجرایی زیست بوم نوآوری مازندران</x:v>
      </x:c>
      <x:c r="I2393" s="39" t="str">
        <x:v>افق بلندمدت؛ انکوبیت</x:v>
      </x:c>
      <x:c r="J2393" s="39" t="str">
        <x:v>استراتژیست کارآفرینی/سرمایه‌گذاری</x:v>
      </x:c>
      <x:c r="K2393" s="39" t="str"/>
      <x:c r="L2393" s="39" t="str">
        <x:v>E112:P3296</x:v>
      </x:c>
      <x:c r="M2393" s="39" t="str"/>
      <x:c r="N2393" s="39" t="str">
        <x:v>نسخه پایه ۳۱۵۰</x:v>
      </x:c>
    </x:row>
    <x:row r="2394" ht="34" customHeight="1">
      <x:c r="A2394" s="34" t="str">
        <x:v>☐</x:v>
      </x:c>
      <x:c r="B2394" s="34" t="str">
        <x:v>MI-2937</x:v>
      </x:c>
      <x:c r="C2394" s="34" t="str">
        <x:v>M3 — کسب‌وکار، شبکه و زیست‌بوم نوآوری</x:v>
      </x:c>
      <x:c r="D2394" s="34" t="str">
        <x:v>H19</x:v>
      </x:c>
      <x:c r="E2394" s="34" t="str">
        <x:v>چشم‌انداز، ایده‌های بلندمدت و سرمایه‌گذاری</x:v>
      </x:c>
      <x:c r="F2394" s="34" t="str">
        <x:v>P3</x:v>
      </x:c>
      <x:c r="G2394" s="34" t="str">
        <x:v>هدف/موضوع</x:v>
      </x:c>
      <x:c r="H2394" s="39" t="str">
        <x:v>مدیر منابع انسانی زیست بوم (Talent Director)</x:v>
      </x:c>
      <x:c r="I2394" s="39" t="str">
        <x:v>افق بلندمدت؛ انکوبیت</x:v>
      </x:c>
      <x:c r="J2394" s="39" t="str">
        <x:v>استراتژیست کارآفرینی/سرمایه‌گذاری</x:v>
      </x:c>
      <x:c r="K2394" s="39" t="str"/>
      <x:c r="L2394" s="39" t="str">
        <x:v>E112:P3305</x:v>
      </x:c>
      <x:c r="M2394" s="39" t="str"/>
      <x:c r="N2394" s="39" t="str">
        <x:v>نسخه پایه ۳۱۵۰</x:v>
      </x:c>
    </x:row>
    <x:row r="2395" ht="34" customHeight="1">
      <x:c r="A2395" s="34" t="str">
        <x:v>☐</x:v>
      </x:c>
      <x:c r="B2395" s="34" t="str">
        <x:v>MI-1595</x:v>
      </x:c>
      <x:c r="C2395" s="34" t="str">
        <x:v>M3 — کسب‌وکار، شبکه و زیست‌بوم نوآوری</x:v>
      </x:c>
      <x:c r="D2395" s="34" t="str">
        <x:v>H19</x:v>
      </x:c>
      <x:c r="E2395" s="34" t="str">
        <x:v>چشم‌انداز، ایده‌های بلندمدت و سرمایه‌گذاری</x:v>
      </x:c>
      <x:c r="F2395" s="34" t="str">
        <x:v>P3</x:v>
      </x:c>
      <x:c r="G2395" s="34" t="str">
        <x:v>یادداشت/تحلیل</x:v>
      </x:c>
      <x:c r="H2395" s="39" t="str">
        <x:v>شما هم به مرحله ای از شبکه و اعتماد سازی و رسانه و بودجه وو حامی و سیاستگذاری خوب و بهینه رسیدی که میگیه من لینک رو دارم بستر هدایت شغلی رو دارم سرمایه رو دارم میخوام پارک علم و فناوری خصوصی بزنم</x:v>
      </x:c>
      <x:c r="I2395" s="39" t="str">
        <x:v>افق بلندمدت؛ انکوبیت</x:v>
      </x:c>
      <x:c r="J2395" s="39" t="str">
        <x:v>استراتژیست کارآفرینی/سرمایه‌گذاری</x:v>
      </x:c>
      <x:c r="K2395" s="39" t="str"/>
      <x:c r="L2395" s="39" t="str">
        <x:v>E112:P49؛ E112:P1829؛ E112:P2295</x:v>
      </x:c>
      <x:c r="M2395" s="39" t="str"/>
      <x:c r="N2395" s="39" t="str">
        <x:v>نسخه پایه ۳۱۵۰</x:v>
      </x:c>
    </x:row>
    <x:row r="2396" ht="34" customHeight="1">
      <x:c r="A2396" s="34" t="str">
        <x:v>☐</x:v>
      </x:c>
      <x:c r="B2396" s="34" t="str">
        <x:v>MI-1660</x:v>
      </x:c>
      <x:c r="C2396" s="34" t="str">
        <x:v>M6 — تحلیل‌های خام و ورودی‌های نیازمند پالایش</x:v>
      </x:c>
      <x:c r="D2396" s="34" t="str">
        <x:v>H20</x:v>
      </x:c>
      <x:c r="E2396" s="34" t="str">
        <x:v>یادداشت تحلیلی/راهبری ثبت‌شده در 11211</x:v>
      </x:c>
      <x:c r="F2396" s="34" t="str">
        <x:v>P3/CLARIFY</x:v>
      </x:c>
      <x:c r="G2396" s="34" t="str">
        <x:v>اقدام اجرایی</x:v>
      </x:c>
      <x:c r="H2396" s="39" t="str">
        <x:v>مثلاً یک برنامه با عنوان:</x:v>
      </x:c>
      <x:c r="I2396" s="39" t="str">
        <x:v>نیازمند تعریف خروجی یا پارک</x:v>
      </x:c>
      <x:c r="J2396" s="39" t="str">
        <x:v>تحلیلگر راهبری/PMO؛ تبدیل به فرضیه یا اقدام در صورت نیاز</x:v>
      </x:c>
      <x:c r="K2396" s="39" t="str"/>
      <x:c r="L2396" s="39" t="str">
        <x:v>E112:P125؛ E112:P1606؛ E112:P1905؛ E112:P2371</x:v>
      </x:c>
      <x:c r="M2396" s="39" t="str"/>
      <x:c r="N2396" s="39" t="str">
        <x:v>نسخه پایه ۳۱۵۰</x:v>
      </x:c>
    </x:row>
    <x:row r="2397" ht="34" customHeight="1">
      <x:c r="A2397" s="34" t="str">
        <x:v>☐</x:v>
      </x:c>
      <x:c r="B2397" s="34" t="str">
        <x:v>MI-1796</x:v>
      </x:c>
      <x:c r="C2397" s="34" t="str">
        <x:v>M6 — تحلیل‌های خام و ورودی‌های نیازمند پالایش</x:v>
      </x:c>
      <x:c r="D2397" s="34" t="str">
        <x:v>H20</x:v>
      </x:c>
      <x:c r="E2397" s="34" t="str">
        <x:v>یادداشت تحلیلی/راهبری ثبت‌شده در 11211</x:v>
      </x:c>
      <x:c r="F2397" s="34" t="str">
        <x:v>P3/CLARIFY</x:v>
      </x:c>
      <x:c r="G2397" s="34" t="str">
        <x:v>اقدام اجرایی</x:v>
      </x:c>
      <x:c r="H2397" s="39" t="str">
        <x:v>پایان نامه ها</x:v>
      </x:c>
      <x:c r="I2397" s="39" t="str">
        <x:v>نیازمند تعریف خروجی یا پارک</x:v>
      </x:c>
      <x:c r="J2397" s="39" t="str">
        <x:v>تحلیلگر راهبری/PMO؛ تبدیل به فرضیه یا اقدام در صورت نیاز</x:v>
      </x:c>
      <x:c r="K2397" s="39" t="str"/>
      <x:c r="L2397" s="39" t="str">
        <x:v>E112:P304؛ E112:P590</x:v>
      </x:c>
      <x:c r="M2397" s="39" t="str"/>
      <x:c r="N2397" s="39" t="str">
        <x:v>نسخه پایه ۳۱۵۰</x:v>
      </x:c>
    </x:row>
    <x:row r="2398" ht="34" customHeight="1">
      <x:c r="A2398" s="34" t="str">
        <x:v>☐</x:v>
      </x:c>
      <x:c r="B2398" s="34" t="str">
        <x:v>MI-1837</x:v>
      </x:c>
      <x:c r="C2398" s="34" t="str">
        <x:v>M6 — تحلیل‌های خام و ورودی‌های نیازمند پالایش</x:v>
      </x:c>
      <x:c r="D2398" s="34" t="str">
        <x:v>H20</x:v>
      </x:c>
      <x:c r="E2398" s="34" t="str">
        <x:v>یادداشت تحلیلی/راهبری ثبت‌شده در 11211</x:v>
      </x:c>
      <x:c r="F2398" s="34" t="str">
        <x:v>P3/CLARIFY</x:v>
      </x:c>
      <x:c r="G2398" s="34" t="str">
        <x:v>اقدام اجرایی</x:v>
      </x:c>
      <x:c r="H2398" s="39" t="str">
        <x:v>خبرنامه ها</x:v>
      </x:c>
      <x:c r="I2398" s="39" t="str">
        <x:v>نیازمند تعریف خروجی یا پارک</x:v>
      </x:c>
      <x:c r="J2398" s="39" t="str">
        <x:v>تحلیلگر راهبری/PMO؛ تبدیل به فرضیه یا اقدام در صورت نیاز</x:v>
      </x:c>
      <x:c r="K2398" s="39" t="str"/>
      <x:c r="L2398" s="39" t="str">
        <x:v>E112:P386؛ E112:P656</x:v>
      </x:c>
      <x:c r="M2398" s="39" t="str"/>
      <x:c r="N2398" s="39" t="str">
        <x:v>نسخه پایه ۳۱۵۰</x:v>
      </x:c>
    </x:row>
    <x:row r="2399" ht="34" customHeight="1">
      <x:c r="A2399" s="34" t="str">
        <x:v>☐</x:v>
      </x:c>
      <x:c r="B2399" s="34" t="str">
        <x:v>MI-1915</x:v>
      </x:c>
      <x:c r="C2399" s="34" t="str">
        <x:v>M6 — تحلیل‌های خام و ورودی‌های نیازمند پالایش</x:v>
      </x:c>
      <x:c r="D2399" s="34" t="str">
        <x:v>H20</x:v>
      </x:c>
      <x:c r="E2399" s="34" t="str">
        <x:v>یادداشت تحلیلی/راهبری ثبت‌شده در 11211</x:v>
      </x:c>
      <x:c r="F2399" s="34" t="str">
        <x:v>P3/CLARIFY</x:v>
      </x:c>
      <x:c r="G2399" s="34" t="str">
        <x:v>اقدام اجرایی</x:v>
      </x:c>
      <x:c r="H2399" s="39" t="str">
        <x:v>مدارس برنامه نویسی</x:v>
      </x:c>
      <x:c r="I2399" s="39" t="str">
        <x:v>نیازمند تعریف خروجی یا پارک</x:v>
      </x:c>
      <x:c r="J2399" s="39" t="str">
        <x:v>تحلیلگر راهبری/PMO؛ تبدیل به فرضیه یا اقدام در صورت نیاز</x:v>
      </x:c>
      <x:c r="K2399" s="39" t="str"/>
      <x:c r="L2399" s="39" t="str">
        <x:v>E112:P513</x:v>
      </x:c>
      <x:c r="M2399" s="39" t="str"/>
      <x:c r="N2399" s="39" t="str">
        <x:v>نسخه پایه ۳۱۵۰</x:v>
      </x:c>
    </x:row>
    <x:row r="2400" ht="34" customHeight="1">
      <x:c r="A2400" s="34" t="str">
        <x:v>☐</x:v>
      </x:c>
      <x:c r="B2400" s="34" t="str">
        <x:v>MI-1939</x:v>
      </x:c>
      <x:c r="C2400" s="34" t="str">
        <x:v>M6 — تحلیل‌های خام و ورودی‌های نیازمند پالایش</x:v>
      </x:c>
      <x:c r="D2400" s="34" t="str">
        <x:v>H20</x:v>
      </x:c>
      <x:c r="E2400" s="34" t="str">
        <x:v>یادداشت تحلیلی/راهبری ثبت‌شده در 11211</x:v>
      </x:c>
      <x:c r="F2400" s="34" t="str">
        <x:v>P3/CLARIFY</x:v>
      </x:c>
      <x:c r="G2400" s="34" t="str">
        <x:v>اقدام اجرایی</x:v>
      </x:c>
      <x:c r="H2400" s="39" t="str">
        <x:v>برنامه های خاص</x:v>
      </x:c>
      <x:c r="I2400" s="39" t="str">
        <x:v>نیازمند تعریف خروجی یا پارک</x:v>
      </x:c>
      <x:c r="J2400" s="39" t="str">
        <x:v>تحلیلگر راهبری/PMO؛ تبدیل به فرضیه یا اقدام در صورت نیاز</x:v>
      </x:c>
      <x:c r="K2400" s="39" t="str"/>
      <x:c r="L2400" s="39" t="str">
        <x:v>E112:P549</x:v>
      </x:c>
      <x:c r="M2400" s="39" t="str"/>
      <x:c r="N2400" s="39" t="str">
        <x:v>نسخه پایه ۳۱۵۰</x:v>
      </x:c>
    </x:row>
    <x:row r="2401" ht="34" customHeight="1">
      <x:c r="A2401" s="34" t="str">
        <x:v>☐</x:v>
      </x:c>
      <x:c r="B2401" s="34" t="str">
        <x:v>MI-1941</x:v>
      </x:c>
      <x:c r="C2401" s="34" t="str">
        <x:v>M6 — تحلیل‌های خام و ورودی‌های نیازمند پالایش</x:v>
      </x:c>
      <x:c r="D2401" s="34" t="str">
        <x:v>H20</x:v>
      </x:c>
      <x:c r="E2401" s="34" t="str">
        <x:v>یادداشت تحلیلی/راهبری ثبت‌شده در 11211</x:v>
      </x:c>
      <x:c r="F2401" s="34" t="str">
        <x:v>P3/CLARIFY</x:v>
      </x:c>
      <x:c r="G2401" s="34" t="str">
        <x:v>اقدام اجرایی</x:v>
      </x:c>
      <x:c r="H2401" s="39" t="str">
        <x:v>برنامه های انتقال فناوری</x:v>
      </x:c>
      <x:c r="I2401" s="39" t="str">
        <x:v>نیازمند تعریف خروجی یا پارک</x:v>
      </x:c>
      <x:c r="J2401" s="39" t="str">
        <x:v>تحلیلگر راهبری/PMO؛ تبدیل به فرضیه یا اقدام در صورت نیاز</x:v>
      </x:c>
      <x:c r="K2401" s="39" t="str"/>
      <x:c r="L2401" s="39" t="str">
        <x:v>E112:P552</x:v>
      </x:c>
      <x:c r="M2401" s="39" t="str"/>
      <x:c r="N2401" s="39" t="str">
        <x:v>نسخه پایه ۳۱۵۰</x:v>
      </x:c>
    </x:row>
    <x:row r="2402" ht="34" customHeight="1">
      <x:c r="A2402" s="34" t="str">
        <x:v>☐</x:v>
      </x:c>
      <x:c r="B2402" s="34" t="str">
        <x:v>MI-1942</x:v>
      </x:c>
      <x:c r="C2402" s="34" t="str">
        <x:v>M6 — تحلیل‌های خام و ورودی‌های نیازمند پالایش</x:v>
      </x:c>
      <x:c r="D2402" s="34" t="str">
        <x:v>H20</x:v>
      </x:c>
      <x:c r="E2402" s="34" t="str">
        <x:v>یادداشت تحلیلی/راهبری ثبت‌شده در 11211</x:v>
      </x:c>
      <x:c r="F2402" s="34" t="str">
        <x:v>P3/CLARIFY</x:v>
      </x:c>
      <x:c r="G2402" s="34" t="str">
        <x:v>اقدام اجرایی</x:v>
      </x:c>
      <x:c r="H2402" s="39" t="str">
        <x:v>برنامه های تجاری سازی</x:v>
      </x:c>
      <x:c r="I2402" s="39" t="str">
        <x:v>نیازمند تعریف خروجی یا پارک</x:v>
      </x:c>
      <x:c r="J2402" s="39" t="str">
        <x:v>تحلیلگر راهبری/PMO؛ تبدیل به فرضیه یا اقدام در صورت نیاز</x:v>
      </x:c>
      <x:c r="K2402" s="39" t="str"/>
      <x:c r="L2402" s="39" t="str">
        <x:v>E112:P553</x:v>
      </x:c>
      <x:c r="M2402" s="39" t="str"/>
      <x:c r="N2402" s="39" t="str">
        <x:v>نسخه پایه ۳۱۵۰</x:v>
      </x:c>
    </x:row>
    <x:row r="2403" ht="34" customHeight="1">
      <x:c r="A2403" s="34" t="str">
        <x:v>☐</x:v>
      </x:c>
      <x:c r="B2403" s="34" t="str">
        <x:v>MI-2000</x:v>
      </x:c>
      <x:c r="C2403" s="34" t="str">
        <x:v>M6 — تحلیل‌های خام و ورودی‌های نیازمند پالایش</x:v>
      </x:c>
      <x:c r="D2403" s="34" t="str">
        <x:v>H20</x:v>
      </x:c>
      <x:c r="E2403" s="34" t="str">
        <x:v>یادداشت تحلیلی/راهبری ثبت‌شده در 11211</x:v>
      </x:c>
      <x:c r="F2403" s="34" t="str">
        <x:v>P3/CLARIFY</x:v>
      </x:c>
      <x:c r="G2403" s="34" t="str">
        <x:v>اقدام اجرایی</x:v>
      </x:c>
      <x:c r="H2403" s="39" t="str">
        <x:v>(سمینار اشتغال جوانان که گفتی اینجا قرار می گیرد.)</x:v>
      </x:c>
      <x:c r="I2403" s="39" t="str">
        <x:v>نیازمند تعریف خروجی یا پارک</x:v>
      </x:c>
      <x:c r="J2403" s="39" t="str">
        <x:v>تحلیلگر راهبری/PMO؛ تبدیل به فرضیه یا اقدام در صورت نیاز</x:v>
      </x:c>
      <x:c r="K2403" s="39" t="str"/>
      <x:c r="L2403" s="39" t="str">
        <x:v>E112:P648</x:v>
      </x:c>
      <x:c r="M2403" s="39" t="str"/>
      <x:c r="N2403" s="39" t="str">
        <x:v>نسخه پایه ۳۱۵۰</x:v>
      </x:c>
    </x:row>
    <x:row r="2404" ht="34" customHeight="1">
      <x:c r="A2404" s="34" t="str">
        <x:v>☐</x:v>
      </x:c>
      <x:c r="B2404" s="34" t="str">
        <x:v>MI-2002</x:v>
      </x:c>
      <x:c r="C2404" s="34" t="str">
        <x:v>M6 — تحلیل‌های خام و ورودی‌های نیازمند پالایش</x:v>
      </x:c>
      <x:c r="D2404" s="34" t="str">
        <x:v>H20</x:v>
      </x:c>
      <x:c r="E2404" s="34" t="str">
        <x:v>یادداشت تحلیلی/راهبری ثبت‌شده در 11211</x:v>
      </x:c>
      <x:c r="F2404" s="34" t="str">
        <x:v>P3/CLARIFY</x:v>
      </x:c>
      <x:c r="G2404" s="34" t="str">
        <x:v>اقدام اجرایی</x:v>
      </x:c>
      <x:c r="H2404" s="39" t="str">
        <x:v>خبرگزاری ها</x:v>
      </x:c>
      <x:c r="I2404" s="39" t="str">
        <x:v>نیازمند تعریف خروجی یا پارک</x:v>
      </x:c>
      <x:c r="J2404" s="39" t="str">
        <x:v>تحلیلگر راهبری/PMO؛ تبدیل به فرضیه یا اقدام در صورت نیاز</x:v>
      </x:c>
      <x:c r="K2404" s="39" t="str"/>
      <x:c r="L2404" s="39" t="str">
        <x:v>E112:P652</x:v>
      </x:c>
      <x:c r="M2404" s="39" t="str"/>
      <x:c r="N2404" s="39" t="str">
        <x:v>نسخه پایه ۳۱۵۰</x:v>
      </x:c>
    </x:row>
    <x:row r="2405" ht="34" customHeight="1">
      <x:c r="A2405" s="34" t="str">
        <x:v>☐</x:v>
      </x:c>
      <x:c r="B2405" s="34" t="str">
        <x:v>MI-2025</x:v>
      </x:c>
      <x:c r="C2405" s="34" t="str">
        <x:v>M6 — تحلیل‌های خام و ورودی‌های نیازمند پالایش</x:v>
      </x:c>
      <x:c r="D2405" s="34" t="str">
        <x:v>H20</x:v>
      </x:c>
      <x:c r="E2405" s="34" t="str">
        <x:v>یادداشت تحلیلی/راهبری ثبت‌شده در 11211</x:v>
      </x:c>
      <x:c r="F2405" s="34" t="str">
        <x:v>P3/CLARIFY</x:v>
      </x:c>
      <x:c r="G2405" s="34" t="str">
        <x:v>اقدام اجرایی</x:v>
      </x:c>
      <x:c r="H2405" s="39" t="str">
        <x:v>برنامه های توسعه</x:v>
      </x:c>
      <x:c r="I2405" s="39" t="str">
        <x:v>نیازمند تعریف خروجی یا پارک</x:v>
      </x:c>
      <x:c r="J2405" s="39" t="str">
        <x:v>تحلیلگر راهبری/PMO؛ تبدیل به فرضیه یا اقدام در صورت نیاز</x:v>
      </x:c>
      <x:c r="K2405" s="39" t="str"/>
      <x:c r="L2405" s="39" t="str">
        <x:v>E112:P697</x:v>
      </x:c>
      <x:c r="M2405" s="39" t="str"/>
      <x:c r="N2405" s="39" t="str">
        <x:v>نسخه پایه ۳۱۵۰</x:v>
      </x:c>
    </x:row>
    <x:row r="2406" ht="34" customHeight="1">
      <x:c r="A2406" s="34" t="str">
        <x:v>☐</x:v>
      </x:c>
      <x:c r="B2406" s="34" t="str">
        <x:v>MI-2057</x:v>
      </x:c>
      <x:c r="C2406" s="34" t="str">
        <x:v>M6 — تحلیل‌های خام و ورودی‌های نیازمند پالایش</x:v>
      </x:c>
      <x:c r="D2406" s="34" t="str">
        <x:v>H20</x:v>
      </x:c>
      <x:c r="E2406" s="34" t="str">
        <x:v>یادداشت تحلیلی/راهبری ثبت‌شده در 11211</x:v>
      </x:c>
      <x:c r="F2406" s="34" t="str">
        <x:v>P3/CLARIFY</x:v>
      </x:c>
      <x:c r="G2406" s="34" t="str">
        <x:v>اقدام اجرایی</x:v>
      </x:c>
      <x:c r="H2406" s="39" t="str">
        <x:v>کجا باید برنامه جدید بسازی</x:v>
      </x:c>
      <x:c r="I2406" s="39" t="str">
        <x:v>نیازمند تعریف خروجی یا پارک</x:v>
      </x:c>
      <x:c r="J2406" s="39" t="str">
        <x:v>تحلیلگر راهبری/PMO؛ تبدیل به فرضیه یا اقدام در صورت نیاز</x:v>
      </x:c>
      <x:c r="K2406" s="39" t="str"/>
      <x:c r="L2406" s="39" t="str">
        <x:v>E112:P750</x:v>
      </x:c>
      <x:c r="M2406" s="39" t="str"/>
      <x:c r="N2406" s="39" t="str">
        <x:v>نسخه پایه ۳۱۵۰</x:v>
      </x:c>
    </x:row>
    <x:row r="2407" ht="34" customHeight="1">
      <x:c r="A2407" s="34" t="str">
        <x:v>☐</x:v>
      </x:c>
      <x:c r="B2407" s="34" t="str">
        <x:v>MI-2059</x:v>
      </x:c>
      <x:c r="C2407" s="34" t="str">
        <x:v>M6 — تحلیل‌های خام و ورودی‌های نیازمند پالایش</x:v>
      </x:c>
      <x:c r="D2407" s="34" t="str">
        <x:v>H20</x:v>
      </x:c>
      <x:c r="E2407" s="34" t="str">
        <x:v>یادداشت تحلیلی/راهبری ثبت‌شده در 11211</x:v>
      </x:c>
      <x:c r="F2407" s="34" t="str">
        <x:v>P3/CLARIFY</x:v>
      </x:c>
      <x:c r="G2407" s="34" t="str">
        <x:v>اقدام اجرایی</x:v>
      </x:c>
      <x:c r="H2407" s="39" t="str">
        <x:v>کجا باید برنامه جدید بسازیم</x:v>
      </x:c>
      <x:c r="I2407" s="39" t="str">
        <x:v>نیازمند تعریف خروجی یا پارک</x:v>
      </x:c>
      <x:c r="J2407" s="39" t="str">
        <x:v>تحلیلگر راهبری/PMO؛ تبدیل به فرضیه یا اقدام در صورت نیاز</x:v>
      </x:c>
      <x:c r="K2407" s="39" t="str"/>
      <x:c r="L2407" s="39" t="str">
        <x:v>E112:P755</x:v>
      </x:c>
      <x:c r="M2407" s="39" t="str"/>
      <x:c r="N2407" s="39" t="str">
        <x:v>نسخه پایه ۳۱۵۰</x:v>
      </x:c>
    </x:row>
    <x:row r="2408" ht="34" customHeight="1">
      <x:c r="A2408" s="34" t="str">
        <x:v>☐</x:v>
      </x:c>
      <x:c r="B2408" s="34" t="str">
        <x:v>MI-2114</x:v>
      </x:c>
      <x:c r="C2408" s="34" t="str">
        <x:v>M6 — تحلیل‌های خام و ورودی‌های نیازمند پالایش</x:v>
      </x:c>
      <x:c r="D2408" s="34" t="str">
        <x:v>H20</x:v>
      </x:c>
      <x:c r="E2408" s="34" t="str">
        <x:v>یادداشت تحلیلی/راهبری ثبت‌شده در 11211</x:v>
      </x:c>
      <x:c r="F2408" s="34" t="str">
        <x:v>P3/CLARIFY</x:v>
      </x:c>
      <x:c r="G2408" s="34" t="str">
        <x:v>اقدام اجرایی</x:v>
      </x:c>
      <x:c r="H2408" s="39" t="str">
        <x:v>جامعه برنامه نویسان</x:v>
      </x:c>
      <x:c r="I2408" s="39" t="str">
        <x:v>نیازمند تعریف خروجی یا پارک</x:v>
      </x:c>
      <x:c r="J2408" s="39" t="str">
        <x:v>تحلیلگر راهبری/PMO؛ تبدیل به فرضیه یا اقدام در صورت نیاز</x:v>
      </x:c>
      <x:c r="K2408" s="39" t="str"/>
      <x:c r="L2408" s="39" t="str">
        <x:v>E112:P862؛ E112:P1142</x:v>
      </x:c>
      <x:c r="M2408" s="39" t="str"/>
      <x:c r="N2408" s="39" t="str">
        <x:v>نسخه پایه ۳۱۵۰</x:v>
      </x:c>
    </x:row>
    <x:row r="2409" ht="34" customHeight="1">
      <x:c r="A2409" s="34" t="str">
        <x:v>☐</x:v>
      </x:c>
      <x:c r="B2409" s="34" t="str">
        <x:v>MI-2134</x:v>
      </x:c>
      <x:c r="C2409" s="34" t="str">
        <x:v>M6 — تحلیل‌های خام و ورودی‌های نیازمند پالایش</x:v>
      </x:c>
      <x:c r="D2409" s="34" t="str">
        <x:v>H20</x:v>
      </x:c>
      <x:c r="E2409" s="34" t="str">
        <x:v>یادداشت تحلیلی/راهبری ثبت‌شده در 11211</x:v>
      </x:c>
      <x:c r="F2409" s="34" t="str">
        <x:v>P3/CLARIFY</x:v>
      </x:c>
      <x:c r="G2409" s="34" t="str">
        <x:v>اقدام اجرایی</x:v>
      </x:c>
      <x:c r="H2409" s="39" t="str">
        <x:v>برنامه های بسیار ارزشمند</x:v>
      </x:c>
      <x:c r="I2409" s="39" t="str">
        <x:v>نیازمند تعریف خروجی یا پارک</x:v>
      </x:c>
      <x:c r="J2409" s="39" t="str">
        <x:v>تحلیلگر راهبری/PMO؛ تبدیل به فرضیه یا اقدام در صورت نیاز</x:v>
      </x:c>
      <x:c r="K2409" s="39" t="str"/>
      <x:c r="L2409" s="39" t="str">
        <x:v>E112:P893</x:v>
      </x:c>
      <x:c r="M2409" s="39" t="str"/>
      <x:c r="N2409" s="39" t="str">
        <x:v>نسخه پایه ۳۱۵۰</x:v>
      </x:c>
    </x:row>
    <x:row r="2410" ht="34" customHeight="1">
      <x:c r="A2410" s="34" t="str">
        <x:v>☐</x:v>
      </x:c>
      <x:c r="B2410" s="34" t="str">
        <x:v>MI-2140</x:v>
      </x:c>
      <x:c r="C2410" s="34" t="str">
        <x:v>M6 — تحلیل‌های خام و ورودی‌های نیازمند پالایش</x:v>
      </x:c>
      <x:c r="D2410" s="34" t="str">
        <x:v>H20</x:v>
      </x:c>
      <x:c r="E2410" s="34" t="str">
        <x:v>یادداشت تحلیلی/راهبری ثبت‌شده در 11211</x:v>
      </x:c>
      <x:c r="F2410" s="34" t="str">
        <x:v>P3/CLARIFY</x:v>
      </x:c>
      <x:c r="G2410" s="34" t="str">
        <x:v>اقدام اجرایی</x:v>
      </x:c>
      <x:c r="H2410" s="39" t="str">
        <x:v>برنامه نویسان</x:v>
      </x:c>
      <x:c r="I2410" s="39" t="str">
        <x:v>نیازمند تعریف خروجی یا پارک</x:v>
      </x:c>
      <x:c r="J2410" s="39" t="str">
        <x:v>تحلیلگر راهبری/PMO؛ تبدیل به فرضیه یا اقدام در صورت نیاز</x:v>
      </x:c>
      <x:c r="K2410" s="39" t="str"/>
      <x:c r="L2410" s="39" t="str">
        <x:v>E112:P911؛ E112:P1187</x:v>
      </x:c>
      <x:c r="M2410" s="39" t="str"/>
      <x:c r="N2410" s="39" t="str">
        <x:v>نسخه پایه ۳۱۵۰</x:v>
      </x:c>
    </x:row>
    <x:row r="2411" ht="34" customHeight="1">
      <x:c r="A2411" s="34" t="str">
        <x:v>☐</x:v>
      </x:c>
      <x:c r="B2411" s="34" t="str">
        <x:v>MI-2149</x:v>
      </x:c>
      <x:c r="C2411" s="34" t="str">
        <x:v>M6 — تحلیل‌های خام و ورودی‌های نیازمند پالایش</x:v>
      </x:c>
      <x:c r="D2411" s="34" t="str">
        <x:v>H20</x:v>
      </x:c>
      <x:c r="E2411" s="34" t="str">
        <x:v>یادداشت تحلیلی/راهبری ثبت‌شده در 11211</x:v>
      </x:c>
      <x:c r="F2411" s="34" t="str">
        <x:v>P3/CLARIFY</x:v>
      </x:c>
      <x:c r="G2411" s="34" t="str">
        <x:v>اقدام اجرایی</x:v>
      </x:c>
      <x:c r="H2411" s="39" t="str">
        <x:v>برنامه مخصوص:</x:v>
      </x:c>
      <x:c r="I2411" s="39" t="str">
        <x:v>نیازمند تعریف خروجی یا پارک</x:v>
      </x:c>
      <x:c r="J2411" s="39" t="str">
        <x:v>تحلیلگر راهبری/PMO؛ تبدیل به فرضیه یا اقدام در صورت نیاز</x:v>
      </x:c>
      <x:c r="K2411" s="39" t="str"/>
      <x:c r="L2411" s="39" t="str">
        <x:v>E112:P927</x:v>
      </x:c>
      <x:c r="M2411" s="39" t="str"/>
      <x:c r="N2411" s="39" t="str">
        <x:v>نسخه پایه ۳۱۵۰</x:v>
      </x:c>
    </x:row>
    <x:row r="2412" ht="34" customHeight="1">
      <x:c r="A2412" s="34" t="str">
        <x:v>☐</x:v>
      </x:c>
      <x:c r="B2412" s="34" t="str">
        <x:v>MI-2152</x:v>
      </x:c>
      <x:c r="C2412" s="34" t="str">
        <x:v>M6 — تحلیل‌های خام و ورودی‌های نیازمند پالایش</x:v>
      </x:c>
      <x:c r="D2412" s="34" t="str">
        <x:v>H20</x:v>
      </x:c>
      <x:c r="E2412" s="34" t="str">
        <x:v>یادداشت تحلیلی/راهبری ثبت‌شده در 11211</x:v>
      </x:c>
      <x:c r="F2412" s="34" t="str">
        <x:v>P3/CLARIFY</x:v>
      </x:c>
      <x:c r="G2412" s="34" t="str">
        <x:v>اقدام اجرایی</x:v>
      </x:c>
      <x:c r="H2412" s="39" t="str">
        <x:v>بعضی جاها اصلاً نیاز به برنامه جدید نیست؛ فقط اتصال لازم است.</x:v>
      </x:c>
      <x:c r="I2412" s="39" t="str">
        <x:v>نیازمند تعریف خروجی یا پارک</x:v>
      </x:c>
      <x:c r="J2412" s="39" t="str">
        <x:v>تحلیلگر راهبری/PMO؛ تبدیل به فرضیه یا اقدام در صورت نیاز</x:v>
      </x:c>
      <x:c r="K2412" s="39" t="str"/>
      <x:c r="L2412" s="39" t="str">
        <x:v>E112:P932</x:v>
      </x:c>
      <x:c r="M2412" s="39" t="str"/>
      <x:c r="N2412" s="39" t="str">
        <x:v>نسخه پایه ۳۱۵۰</x:v>
      </x:c>
    </x:row>
    <x:row r="2413" ht="34" customHeight="1">
      <x:c r="A2413" s="34" t="str">
        <x:v>☐</x:v>
      </x:c>
      <x:c r="B2413" s="34" t="str">
        <x:v>MI-2261</x:v>
      </x:c>
      <x:c r="C2413" s="34" t="str">
        <x:v>M6 — تحلیل‌های خام و ورودی‌های نیازمند پالایش</x:v>
      </x:c>
      <x:c r="D2413" s="34" t="str">
        <x:v>H20</x:v>
      </x:c>
      <x:c r="E2413" s="34" t="str">
        <x:v>یادداشت تحلیلی/راهبری ثبت‌شده در 11211</x:v>
      </x:c>
      <x:c r="F2413" s="34" t="str">
        <x:v>P3/CLARIFY</x:v>
      </x:c>
      <x:c r="G2413" s="34" t="str">
        <x:v>اقدام اجرایی</x:v>
      </x:c>
      <x:c r="H2413" s="39" t="str">
        <x:v>اگر بخواهیم در مازندران اثر واقعی بگذاریم، چند برنامه کلیدی است:</x:v>
      </x:c>
      <x:c r="I2413" s="39" t="str">
        <x:v>نیازمند تعریف خروجی یا پارک</x:v>
      </x:c>
      <x:c r="J2413" s="39" t="str">
        <x:v>تحلیلگر راهبری/PMO؛ تبدیل به فرضیه یا اقدام در صورت نیاز</x:v>
      </x:c>
      <x:c r="K2413" s="39" t="str"/>
      <x:c r="L2413" s="39" t="str">
        <x:v>E112:P1174</x:v>
      </x:c>
      <x:c r="M2413" s="39" t="str"/>
      <x:c r="N2413" s="39" t="str">
        <x:v>نسخه پایه ۳۱۵۰</x:v>
      </x:c>
    </x:row>
    <x:row r="2414" ht="34" customHeight="1">
      <x:c r="A2414" s="34" t="str">
        <x:v>☐</x:v>
      </x:c>
      <x:c r="B2414" s="34" t="str">
        <x:v>MI-2273</x:v>
      </x:c>
      <x:c r="C2414" s="34" t="str">
        <x:v>M6 — تحلیل‌های خام و ورودی‌های نیازمند پالایش</x:v>
      </x:c>
      <x:c r="D2414" s="34" t="str">
        <x:v>H20</x:v>
      </x:c>
      <x:c r="E2414" s="34" t="str">
        <x:v>یادداشت تحلیلی/راهبری ثبت‌شده در 11211</x:v>
      </x:c>
      <x:c r="F2414" s="34" t="str">
        <x:v>P3/CLARIFY</x:v>
      </x:c>
      <x:c r="G2414" s="34" t="str">
        <x:v>اقدام اجرایی</x:v>
      </x:c>
      <x:c r="H2414" s="39" t="str">
        <x:v>در بسیاری از موارد اصلاً نیاز به برنامه نیست.</x:v>
      </x:c>
      <x:c r="I2414" s="39" t="str">
        <x:v>نیازمند تعریف خروجی یا پارک</x:v>
      </x:c>
      <x:c r="J2414" s="39" t="str">
        <x:v>تحلیلگر راهبری/PMO؛ تبدیل به فرضیه یا اقدام در صورت نیاز</x:v>
      </x:c>
      <x:c r="K2414" s="39" t="str"/>
      <x:c r="L2414" s="39" t="str">
        <x:v>E112:P1208</x:v>
      </x:c>
      <x:c r="M2414" s="39" t="str"/>
      <x:c r="N2414" s="39" t="str">
        <x:v>نسخه پایه ۳۱۵۰</x:v>
      </x:c>
    </x:row>
    <x:row r="2415" ht="34" customHeight="1">
      <x:c r="A2415" s="34" t="str">
        <x:v>☐</x:v>
      </x:c>
      <x:c r="B2415" s="34" t="str">
        <x:v>MI-2308</x:v>
      </x:c>
      <x:c r="C2415" s="34" t="str">
        <x:v>M6 — تحلیل‌های خام و ورودی‌های نیازمند پالایش</x:v>
      </x:c>
      <x:c r="D2415" s="34" t="str">
        <x:v>H20</x:v>
      </x:c>
      <x:c r="E2415" s="34" t="str">
        <x:v>یادداشت تحلیلی/راهبری ثبت‌شده در 11211</x:v>
      </x:c>
      <x:c r="F2415" s="34" t="str">
        <x:v>P3/CLARIFY</x:v>
      </x:c>
      <x:c r="G2415" s="34" t="str">
        <x:v>اقدام اجرایی</x:v>
      </x:c>
      <x:c r="H2415" s="39" t="str">
        <x:v>پلتفرم های رزرو محلی</x:v>
      </x:c>
      <x:c r="I2415" s="39" t="str">
        <x:v>نیازمند تعریف خروجی یا پارک</x:v>
      </x:c>
      <x:c r="J2415" s="39" t="str">
        <x:v>تحلیلگر راهبری/PMO؛ تبدیل به فرضیه یا اقدام در صورت نیاز</x:v>
      </x:c>
      <x:c r="K2415" s="39" t="str"/>
      <x:c r="L2415" s="39" t="str">
        <x:v>E112:P1280</x:v>
      </x:c>
      <x:c r="M2415" s="39" t="str"/>
      <x:c r="N2415" s="39" t="str">
        <x:v>نسخه پایه ۳۱۵۰</x:v>
      </x:c>
    </x:row>
    <x:row r="2416" ht="34" customHeight="1">
      <x:c r="A2416" s="34" t="str">
        <x:v>☐</x:v>
      </x:c>
      <x:c r="B2416" s="34" t="str">
        <x:v>MI-2351</x:v>
      </x:c>
      <x:c r="C2416" s="34" t="str">
        <x:v>M6 — تحلیل‌های خام و ورودی‌های نیازمند پالایش</x:v>
      </x:c>
      <x:c r="D2416" s="34" t="str">
        <x:v>H20</x:v>
      </x:c>
      <x:c r="E2416" s="34" t="str">
        <x:v>یادداشت تحلیلی/راهبری ثبت‌شده در 11211</x:v>
      </x:c>
      <x:c r="F2416" s="34" t="str">
        <x:v>P3/CLARIFY</x:v>
      </x:c>
      <x:c r="G2416" s="34" t="str">
        <x:v>اقدام اجرایی</x:v>
      </x:c>
      <x:c r="H2416" s="39" t="str">
        <x:v>3. اگر کارآفرین آوردیم، چه مدل برنامه ای بهتر است؟</x:v>
      </x:c>
      <x:c r="I2416" s="39" t="str">
        <x:v>نیازمند تعریف خروجی یا پارک</x:v>
      </x:c>
      <x:c r="J2416" s="39" t="str">
        <x:v>تحلیلگر راهبری/PMO؛ تبدیل به فرضیه یا اقدام در صورت نیاز</x:v>
      </x:c>
      <x:c r="K2416" s="39" t="str"/>
      <x:c r="L2416" s="39" t="str">
        <x:v>E112:P1370</x:v>
      </x:c>
      <x:c r="M2416" s="39" t="str"/>
      <x:c r="N2416" s="39" t="str">
        <x:v>نسخه پایه ۳۱۵۰</x:v>
      </x:c>
    </x:row>
    <x:row r="2417" ht="34" customHeight="1">
      <x:c r="A2417" s="34" t="str">
        <x:v>☐</x:v>
      </x:c>
      <x:c r="B2417" s="34" t="str">
        <x:v>MI-2357</x:v>
      </x:c>
      <x:c r="C2417" s="34" t="str">
        <x:v>M6 — تحلیل‌های خام و ورودی‌های نیازمند پالایش</x:v>
      </x:c>
      <x:c r="D2417" s="34" t="str">
        <x:v>H20</x:v>
      </x:c>
      <x:c r="E2417" s="34" t="str">
        <x:v>یادداشت تحلیلی/راهبری ثبت‌شده در 11211</x:v>
      </x:c>
      <x:c r="F2417" s="34" t="str">
        <x:v>P3/CLARIFY</x:v>
      </x:c>
      <x:c r="G2417" s="34" t="str">
        <x:v>اقدام اجرایی</x:v>
      </x:c>
      <x:c r="H2417" s="39" t="str">
        <x:v>جلسه networking</x:v>
      </x:c>
      <x:c r="I2417" s="39" t="str">
        <x:v>نیازمند تعریف خروجی یا پارک</x:v>
      </x:c>
      <x:c r="J2417" s="39" t="str">
        <x:v>تحلیلگر راهبری/PMO؛ تبدیل به فرضیه یا اقدام در صورت نیاز</x:v>
      </x:c>
      <x:c r="K2417" s="39" t="str"/>
      <x:c r="L2417" s="39" t="str">
        <x:v>E112:P1378</x:v>
      </x:c>
      <x:c r="M2417" s="39" t="str"/>
      <x:c r="N2417" s="39" t="str">
        <x:v>نسخه پایه ۳۱۵۰</x:v>
      </x:c>
    </x:row>
    <x:row r="2418" ht="34" customHeight="1">
      <x:c r="A2418" s="34" t="str">
        <x:v>☐</x:v>
      </x:c>
      <x:c r="B2418" s="34" t="str">
        <x:v>MI-2367</x:v>
      </x:c>
      <x:c r="C2418" s="34" t="str">
        <x:v>M6 — تحلیل‌های خام و ورودی‌های نیازمند پالایش</x:v>
      </x:c>
      <x:c r="D2418" s="34" t="str">
        <x:v>H20</x:v>
      </x:c>
      <x:c r="E2418" s="34" t="str">
        <x:v>یادداشت تحلیلی/راهبری ثبت‌شده در 11211</x:v>
      </x:c>
      <x:c r="F2418" s="34" t="str">
        <x:v>P3/CLARIFY</x:v>
      </x:c>
      <x:c r="G2418" s="34" t="str">
        <x:v>اقدام اجرایی</x:v>
      </x:c>
      <x:c r="H2418" s="39" t="str">
        <x:v>2. برنامه Entrepreneur in Residence</x:v>
      </x:c>
      <x:c r="I2418" s="39" t="str">
        <x:v>نیازمند تعریف خروجی یا پارک</x:v>
      </x:c>
      <x:c r="J2418" s="39" t="str">
        <x:v>تحلیلگر راهبری/PMO؛ تبدیل به فرضیه یا اقدام در صورت نیاز</x:v>
      </x:c>
      <x:c r="K2418" s="39" t="str"/>
      <x:c r="L2418" s="39" t="str">
        <x:v>E112:P1395</x:v>
      </x:c>
      <x:c r="M2418" s="39" t="str"/>
      <x:c r="N2418" s="39" t="str">
        <x:v>نسخه پایه ۳۱۵۰</x:v>
      </x:c>
    </x:row>
    <x:row r="2419" ht="34" customHeight="1">
      <x:c r="A2419" s="34" t="str">
        <x:v>☐</x:v>
      </x:c>
      <x:c r="B2419" s="34" t="str">
        <x:v>MI-2395</x:v>
      </x:c>
      <x:c r="C2419" s="34" t="str">
        <x:v>M6 — تحلیل‌های خام و ورودی‌های نیازمند پالایش</x:v>
      </x:c>
      <x:c r="D2419" s="34" t="str">
        <x:v>H20</x:v>
      </x:c>
      <x:c r="E2419" s="34" t="str">
        <x:v>یادداشت تحلیلی/راهبری ثبت‌شده در 11211</x:v>
      </x:c>
      <x:c r="F2419" s="34" t="str">
        <x:v>P3/CLARIFY</x:v>
      </x:c>
      <x:c r="G2419" s="34" t="str">
        <x:v>اقدام اجرایی</x:v>
      </x:c>
      <x:c r="H2419" s="39" t="str">
        <x:v>چه کارآفرین هایی دعوت شوند</x:v>
      </x:c>
      <x:c r="I2419" s="39" t="str">
        <x:v>نیازمند تعریف خروجی یا پارک</x:v>
      </x:c>
      <x:c r="J2419" s="39" t="str">
        <x:v>تحلیلگر راهبری/PMO؛ تبدیل به فرضیه یا اقدام در صورت نیاز</x:v>
      </x:c>
      <x:c r="K2419" s="39" t="str"/>
      <x:c r="L2419" s="39" t="str">
        <x:v>E112:P1469</x:v>
      </x:c>
      <x:c r="M2419" s="39" t="str"/>
      <x:c r="N2419" s="39" t="str">
        <x:v>نسخه پایه ۳۱۵۰</x:v>
      </x:c>
    </x:row>
    <x:row r="2420" ht="34" customHeight="1">
      <x:c r="A2420" s="34" t="str">
        <x:v>☐</x:v>
      </x:c>
      <x:c r="B2420" s="34" t="str">
        <x:v>MI-2406</x:v>
      </x:c>
      <x:c r="C2420" s="34" t="str">
        <x:v>M6 — تحلیل‌های خام و ورودی‌های نیازمند پالایش</x:v>
      </x:c>
      <x:c r="D2420" s="34" t="str">
        <x:v>H20</x:v>
      </x:c>
      <x:c r="E2420" s="34" t="str">
        <x:v>یادداشت تحلیلی/راهبری ثبت‌شده در 11211</x:v>
      </x:c>
      <x:c r="F2420" s="34" t="str">
        <x:v>P3/CLARIFY</x:v>
      </x:c>
      <x:c r="G2420" s="34" t="str">
        <x:v>اقدام اجرایی</x:v>
      </x:c>
      <x:c r="H2420" s="39" t="str">
        <x:v>2. اگر کارآفرین دعوت کنیم، همایش حول این موضوعات باشد</x:v>
      </x:c>
      <x:c r="I2420" s="39" t="str">
        <x:v>نیازمند تعریف خروجی یا پارک</x:v>
      </x:c>
      <x:c r="J2420" s="39" t="str">
        <x:v>تحلیلگر راهبری/PMO؛ تبدیل به فرضیه یا اقدام در صورت نیاز</x:v>
      </x:c>
      <x:c r="K2420" s="39" t="str"/>
      <x:c r="L2420" s="39" t="str">
        <x:v>E112:P1484</x:v>
      </x:c>
      <x:c r="M2420" s="39" t="str"/>
      <x:c r="N2420" s="39" t="str">
        <x:v>نسخه پایه ۳۱۵۰</x:v>
      </x:c>
    </x:row>
    <x:row r="2421" ht="34" customHeight="1">
      <x:c r="A2421" s="34" t="str">
        <x:v>☐</x:v>
      </x:c>
      <x:c r="B2421" s="34" t="str">
        <x:v>MI-2415</x:v>
      </x:c>
      <x:c r="C2421" s="34" t="str">
        <x:v>M6 — تحلیل‌های خام و ورودی‌های نیازمند پالایش</x:v>
      </x:c>
      <x:c r="D2421" s="34" t="str">
        <x:v>H20</x:v>
      </x:c>
      <x:c r="E2421" s="34" t="str">
        <x:v>یادداشت تحلیلی/راهبری ثبت‌شده در 11211</x:v>
      </x:c>
      <x:c r="F2421" s="34" t="str">
        <x:v>P3/CLARIFY</x:v>
      </x:c>
      <x:c r="G2421" s="34" t="str">
        <x:v>اقدام اجرایی</x:v>
      </x:c>
      <x:c r="H2421" s="39" t="str">
        <x:v>اجرای برنامه Entrepreneur in Residence</x:v>
      </x:c>
      <x:c r="I2421" s="39" t="str">
        <x:v>نیازمند تعریف خروجی یا پارک</x:v>
      </x:c>
      <x:c r="J2421" s="39" t="str">
        <x:v>تحلیلگر راهبری/PMO؛ تبدیل به فرضیه یا اقدام در صورت نیاز</x:v>
      </x:c>
      <x:c r="K2421" s="39" t="str"/>
      <x:c r="L2421" s="39" t="str">
        <x:v>E112:P1498</x:v>
      </x:c>
      <x:c r="M2421" s="39" t="str"/>
      <x:c r="N2421" s="39" t="str">
        <x:v>نسخه پایه ۳۱۵۰</x:v>
      </x:c>
    </x:row>
    <x:row r="2422" ht="34" customHeight="1">
      <x:c r="A2422" s="34" t="str">
        <x:v>☐</x:v>
      </x:c>
      <x:c r="B2422" s="34" t="str">
        <x:v>MI-2463</x:v>
      </x:c>
      <x:c r="C2422" s="34" t="str">
        <x:v>M6 — تحلیل‌های خام و ورودی‌های نیازمند پالایش</x:v>
      </x:c>
      <x:c r="D2422" s="34" t="str">
        <x:v>H20</x:v>
      </x:c>
      <x:c r="E2422" s="34" t="str">
        <x:v>یادداشت تحلیلی/راهبری ثبت‌شده در 11211</x:v>
      </x:c>
      <x:c r="F2422" s="34" t="str">
        <x:v>P3/CLARIFY</x:v>
      </x:c>
      <x:c r="G2422" s="34" t="str">
        <x:v>اقدام اجرایی</x:v>
      </x:c>
      <x:c r="H2422" s="39" t="str">
        <x:v>دعوت کارآفرینان استان های دیگر</x:v>
      </x:c>
      <x:c r="I2422" s="39" t="str">
        <x:v>نیازمند تعریف خروجی یا پارک</x:v>
      </x:c>
      <x:c r="J2422" s="39" t="str">
        <x:v>تحلیلگر راهبری/PMO؛ تبدیل به فرضیه یا اقدام در صورت نیاز</x:v>
      </x:c>
      <x:c r="K2422" s="39" t="str"/>
      <x:c r="L2422" s="39" t="str">
        <x:v>E112:P1759</x:v>
      </x:c>
      <x:c r="M2422" s="39" t="str"/>
      <x:c r="N2422" s="39" t="str">
        <x:v>نسخه پایه ۳۱۵۰</x:v>
      </x:c>
    </x:row>
    <x:row r="2423" ht="34" customHeight="1">
      <x:c r="A2423" s="34" t="str">
        <x:v>☐</x:v>
      </x:c>
      <x:c r="B2423" s="34" t="str">
        <x:v>MI-2483</x:v>
      </x:c>
      <x:c r="C2423" s="34" t="str">
        <x:v>M6 — تحلیل‌های خام و ورودی‌های نیازمند پالایش</x:v>
      </x:c>
      <x:c r="D2423" s="34" t="str">
        <x:v>H20</x:v>
      </x:c>
      <x:c r="E2423" s="34" t="str">
        <x:v>یادداشت تحلیلی/راهبری ثبت‌شده در 11211</x:v>
      </x:c>
      <x:c r="F2423" s="34" t="str">
        <x:v>P3/CLARIFY</x:v>
      </x:c>
      <x:c r="G2423" s="34" t="str">
        <x:v>اقدام اجرایی</x:v>
      </x:c>
      <x:c r="H2423" s="39" t="str">
        <x:v>ثبت علاقه ها</x:v>
      </x:c>
      <x:c r="I2423" s="39" t="str">
        <x:v>نیازمند تعریف خروجی یا پارک</x:v>
      </x:c>
      <x:c r="J2423" s="39" t="str">
        <x:v>تحلیلگر راهبری/PMO؛ تبدیل به فرضیه یا اقدام در صورت نیاز</x:v>
      </x:c>
      <x:c r="K2423" s="39" t="str"/>
      <x:c r="L2423" s="39" t="str">
        <x:v>E112:P1976</x:v>
      </x:c>
      <x:c r="M2423" s="39" t="str"/>
      <x:c r="N2423" s="39" t="str">
        <x:v>نسخه پایه ۳۱۵۰</x:v>
      </x:c>
    </x:row>
    <x:row r="2424" ht="34" customHeight="1">
      <x:c r="A2424" s="34" t="str">
        <x:v>☐</x:v>
      </x:c>
      <x:c r="B2424" s="34" t="str">
        <x:v>MI-2698</x:v>
      </x:c>
      <x:c r="C2424" s="34" t="str">
        <x:v>M6 — تحلیل‌های خام و ورودی‌های نیازمند پالایش</x:v>
      </x:c>
      <x:c r="D2424" s="34" t="str">
        <x:v>H20</x:v>
      </x:c>
      <x:c r="E2424" s="34" t="str">
        <x:v>یادداشت تحلیلی/راهبری ثبت‌شده در 11211</x:v>
      </x:c>
      <x:c r="F2424" s="34" t="str">
        <x:v>P3/CLARIFY</x:v>
      </x:c>
      <x:c r="G2424" s="34" t="str">
        <x:v>اقدام اجرایی</x:v>
      </x:c>
      <x:c r="H2424" s="39" t="str">
        <x:v>هدف این برنامه:</x:v>
      </x:c>
      <x:c r="I2424" s="39" t="str">
        <x:v>نیازمند تعریف خروجی یا پارک</x:v>
      </x:c>
      <x:c r="J2424" s="39" t="str">
        <x:v>تحلیلگر راهبری/PMO؛ تبدیل به فرضیه یا اقدام در صورت نیاز</x:v>
      </x:c>
      <x:c r="K2424" s="39" t="str"/>
      <x:c r="L2424" s="39" t="str">
        <x:v>E112:P2673</x:v>
      </x:c>
      <x:c r="M2424" s="39" t="str"/>
      <x:c r="N2424" s="39" t="str">
        <x:v>نسخه پایه ۳۱۵۰</x:v>
      </x:c>
    </x:row>
    <x:row r="2425" ht="34" customHeight="1">
      <x:c r="A2425" s="34" t="str">
        <x:v>☐</x:v>
      </x:c>
      <x:c r="B2425" s="34" t="str">
        <x:v>MI-2703</x:v>
      </x:c>
      <x:c r="C2425" s="34" t="str">
        <x:v>M6 — تحلیل‌های خام و ورودی‌های نیازمند پالایش</x:v>
      </x:c>
      <x:c r="D2425" s="34" t="str">
        <x:v>H20</x:v>
      </x:c>
      <x:c r="E2425" s="34" t="str">
        <x:v>یادداشت تحلیلی/راهبری ثبت‌شده در 11211</x:v>
      </x:c>
      <x:c r="F2425" s="34" t="str">
        <x:v>P3/CLARIFY</x:v>
      </x:c>
      <x:c r="G2425" s="34" t="str">
        <x:v>اقدام اجرایی</x:v>
      </x:c>
      <x:c r="H2425" s="39" t="str">
        <x:v>برنامه های حل مسیله</x:v>
      </x:c>
      <x:c r="I2425" s="39" t="str">
        <x:v>نیازمند تعریف خروجی یا پارک</x:v>
      </x:c>
      <x:c r="J2425" s="39" t="str">
        <x:v>تحلیلگر راهبری/PMO؛ تبدیل به فرضیه یا اقدام در صورت نیاز</x:v>
      </x:c>
      <x:c r="K2425" s="39" t="str"/>
      <x:c r="L2425" s="39" t="str">
        <x:v>E112:P2686</x:v>
      </x:c>
      <x:c r="M2425" s="39" t="str"/>
      <x:c r="N2425" s="39" t="str">
        <x:v>نسخه پایه ۳۱۵۰</x:v>
      </x:c>
    </x:row>
    <x:row r="2426" ht="34" customHeight="1">
      <x:c r="A2426" s="34" t="str">
        <x:v>☐</x:v>
      </x:c>
      <x:c r="B2426" s="34" t="str">
        <x:v>MI-2706</x:v>
      </x:c>
      <x:c r="C2426" s="34" t="str">
        <x:v>M6 — تحلیل‌های خام و ورودی‌های نیازمند پالایش</x:v>
      </x:c>
      <x:c r="D2426" s="34" t="str">
        <x:v>H20</x:v>
      </x:c>
      <x:c r="E2426" s="34" t="str">
        <x:v>یادداشت تحلیلی/راهبری ثبت‌شده در 11211</x:v>
      </x:c>
      <x:c r="F2426" s="34" t="str">
        <x:v>P3/CLARIFY</x:v>
      </x:c>
      <x:c r="G2426" s="34" t="str">
        <x:v>اقدام اجرایی</x:v>
      </x:c>
      <x:c r="H2426" s="39" t="str">
        <x:v>در این برنامه ها می توان:</x:v>
      </x:c>
      <x:c r="I2426" s="39" t="str">
        <x:v>نیازمند تعریف خروجی یا پارک</x:v>
      </x:c>
      <x:c r="J2426" s="39" t="str">
        <x:v>تحلیلگر راهبری/PMO؛ تبدیل به فرضیه یا اقدام در صورت نیاز</x:v>
      </x:c>
      <x:c r="K2426" s="39" t="str"/>
      <x:c r="L2426" s="39" t="str">
        <x:v>E112:P2694</x:v>
      </x:c>
      <x:c r="M2426" s="39" t="str"/>
      <x:c r="N2426" s="39" t="str">
        <x:v>نسخه پایه ۳۱۵۰</x:v>
      </x:c>
    </x:row>
    <x:row r="2427" ht="34" customHeight="1">
      <x:c r="A2427" s="34" t="str">
        <x:v>☐</x:v>
      </x:c>
      <x:c r="B2427" s="34" t="str">
        <x:v>MI-2738</x:v>
      </x:c>
      <x:c r="C2427" s="34" t="str">
        <x:v>M6 — تحلیل‌های خام و ورودی‌های نیازمند پالایش</x:v>
      </x:c>
      <x:c r="D2427" s="34" t="str">
        <x:v>H20</x:v>
      </x:c>
      <x:c r="E2427" s="34" t="str">
        <x:v>یادداشت تحلیلی/راهبری ثبت‌شده در 11211</x:v>
      </x:c>
      <x:c r="F2427" s="34" t="str">
        <x:v>P3/CLARIFY</x:v>
      </x:c>
      <x:c r="G2427" s="34" t="str">
        <x:v>اقدام اجرایی</x:v>
      </x:c>
      <x:c r="H2427" s="39" t="str">
        <x:v>شرکت ثبت کنند</x:v>
      </x:c>
      <x:c r="I2427" s="39" t="str">
        <x:v>نیازمند تعریف خروجی یا پارک</x:v>
      </x:c>
      <x:c r="J2427" s="39" t="str">
        <x:v>تحلیلگر راهبری/PMO؛ تبدیل به فرضیه یا اقدام در صورت نیاز</x:v>
      </x:c>
      <x:c r="K2427" s="39" t="str"/>
      <x:c r="L2427" s="39" t="str">
        <x:v>E112:P2789</x:v>
      </x:c>
      <x:c r="M2427" s="39" t="str"/>
      <x:c r="N2427" s="39" t="str">
        <x:v>نسخه پایه ۳۱۵۰</x:v>
      </x:c>
    </x:row>
    <x:row r="2428" ht="34" customHeight="1">
      <x:c r="A2428" s="34" t="str">
        <x:v>☐</x:v>
      </x:c>
      <x:c r="B2428" s="34" t="str">
        <x:v>MI-2749</x:v>
      </x:c>
      <x:c r="C2428" s="34" t="str">
        <x:v>M6 — تحلیل‌های خام و ورودی‌های نیازمند پالایش</x:v>
      </x:c>
      <x:c r="D2428" s="34" t="str">
        <x:v>H20</x:v>
      </x:c>
      <x:c r="E2428" s="34" t="str">
        <x:v>یادداشت تحلیلی/راهبری ثبت‌شده در 11211</x:v>
      </x:c>
      <x:c r="F2428" s="34" t="str">
        <x:v>P3/CLARIFY</x:v>
      </x:c>
      <x:c r="G2428" s="34" t="str">
        <x:v>اقدام اجرایی</x:v>
      </x:c>
      <x:c r="H2428" s="39" t="str">
        <x:v>دعوت از کارآفرینان موفق از استان های دیگر ایران مانند:</x:v>
      </x:c>
      <x:c r="I2428" s="39" t="str">
        <x:v>نیازمند تعریف خروجی یا پارک</x:v>
      </x:c>
      <x:c r="J2428" s="39" t="str">
        <x:v>تحلیلگر راهبری/PMO؛ تبدیل به فرضیه یا اقدام در صورت نیاز</x:v>
      </x:c>
      <x:c r="K2428" s="39" t="str"/>
      <x:c r="L2428" s="39" t="str">
        <x:v>E112:P2814</x:v>
      </x:c>
      <x:c r="M2428" s="39" t="str"/>
      <x:c r="N2428" s="39" t="str">
        <x:v>نسخه پایه ۳۱۵۰</x:v>
      </x:c>
    </x:row>
    <x:row r="2429" ht="34" customHeight="1">
      <x:c r="A2429" s="34" t="str">
        <x:v>☐</x:v>
      </x:c>
      <x:c r="B2429" s="34" t="str">
        <x:v>MI-2754</x:v>
      </x:c>
      <x:c r="C2429" s="34" t="str">
        <x:v>M6 — تحلیل‌های خام و ورودی‌های نیازمند پالایش</x:v>
      </x:c>
      <x:c r="D2429" s="34" t="str">
        <x:v>H20</x:v>
      </x:c>
      <x:c r="E2429" s="34" t="str">
        <x:v>یادداشت تحلیلی/راهبری ثبت‌شده در 11211</x:v>
      </x:c>
      <x:c r="F2429" s="34" t="str">
        <x:v>P3/CLARIFY</x:v>
      </x:c>
      <x:c r="G2429" s="34" t="str">
        <x:v>اقدام اجرایی</x:v>
      </x:c>
      <x:c r="H2429" s="39" t="str">
        <x:v>دعوت از:</x:v>
      </x:c>
      <x:c r="I2429" s="39" t="str">
        <x:v>نیازمند تعریف خروجی یا پارک</x:v>
      </x:c>
      <x:c r="J2429" s="39" t="str">
        <x:v>تحلیلگر راهبری/PMO؛ تبدیل به فرضیه یا اقدام در صورت نیاز</x:v>
      </x:c>
      <x:c r="K2429" s="39" t="str"/>
      <x:c r="L2429" s="39" t="str">
        <x:v>E112:P2827</x:v>
      </x:c>
      <x:c r="M2429" s="39" t="str"/>
      <x:c r="N2429" s="39" t="str">
        <x:v>نسخه پایه ۳۱۵۰</x:v>
      </x:c>
    </x:row>
    <x:row r="2430" ht="34" customHeight="1">
      <x:c r="A2430" s="34" t="str">
        <x:v>☐</x:v>
      </x:c>
      <x:c r="B2430" s="34" t="str">
        <x:v>MI-2800</x:v>
      </x:c>
      <x:c r="C2430" s="34" t="str">
        <x:v>M6 — تحلیل‌های خام و ورودی‌های نیازمند پالایش</x:v>
      </x:c>
      <x:c r="D2430" s="34" t="str">
        <x:v>H20</x:v>
      </x:c>
      <x:c r="E2430" s="34" t="str">
        <x:v>یادداشت تحلیلی/راهبری ثبت‌شده در 11211</x:v>
      </x:c>
      <x:c r="F2430" s="34" t="str">
        <x:v>P3/CLARIFY</x:v>
      </x:c>
      <x:c r="G2430" s="34" t="str">
        <x:v>اقدام اجرایی</x:v>
      </x:c>
      <x:c r="H2430" s="39" t="str">
        <x:v>جامعه برنامه نویسان و متخصصان</x:v>
      </x:c>
      <x:c r="I2430" s="39" t="str">
        <x:v>نیازمند تعریف خروجی یا پارک</x:v>
      </x:c>
      <x:c r="J2430" s="39" t="str">
        <x:v>تحلیلگر راهبری/PMO؛ تبدیل به فرضیه یا اقدام در صورت نیاز</x:v>
      </x:c>
      <x:c r="K2430" s="39" t="str"/>
      <x:c r="L2430" s="39" t="str">
        <x:v>E112:P2941</x:v>
      </x:c>
      <x:c r="M2430" s="39" t="str"/>
      <x:c r="N2430" s="39" t="str">
        <x:v>نسخه پایه ۳۱۵۰</x:v>
      </x:c>
    </x:row>
    <x:row r="2431" ht="34" customHeight="1">
      <x:c r="A2431" s="34" t="str">
        <x:v>☐</x:v>
      </x:c>
      <x:c r="B2431" s="34" t="str">
        <x:v>MI-2808</x:v>
      </x:c>
      <x:c r="C2431" s="34" t="str">
        <x:v>M6 — تحلیل‌های خام و ورودی‌های نیازمند پالایش</x:v>
      </x:c>
      <x:c r="D2431" s="34" t="str">
        <x:v>H20</x:v>
      </x:c>
      <x:c r="E2431" s="34" t="str">
        <x:v>یادداشت تحلیلی/راهبری ثبت‌شده در 11211</x:v>
      </x:c>
      <x:c r="F2431" s="34" t="str">
        <x:v>P3/CLARIFY</x:v>
      </x:c>
      <x:c r="G2431" s="34" t="str">
        <x:v>اقدام اجرایی</x:v>
      </x:c>
      <x:c r="H2431" s="39" t="str">
        <x:v>ثبت علایق</x:v>
      </x:c>
      <x:c r="I2431" s="39" t="str">
        <x:v>نیازمند تعریف خروجی یا پارک</x:v>
      </x:c>
      <x:c r="J2431" s="39" t="str">
        <x:v>تحلیلگر راهبری/PMO؛ تبدیل به فرضیه یا اقدام در صورت نیاز</x:v>
      </x:c>
      <x:c r="K2431" s="39" t="str"/>
      <x:c r="L2431" s="39" t="str">
        <x:v>E112:P2957</x:v>
      </x:c>
      <x:c r="M2431" s="39" t="str"/>
      <x:c r="N2431" s="39" t="str">
        <x:v>نسخه پایه ۳۱۵۰</x:v>
      </x:c>
    </x:row>
    <x:row r="2432" ht="34" customHeight="1">
      <x:c r="A2432" s="34" t="str">
        <x:v>☐</x:v>
      </x:c>
      <x:c r="B2432" s="34" t="str">
        <x:v>MI-2839</x:v>
      </x:c>
      <x:c r="C2432" s="34" t="str">
        <x:v>M6 — تحلیل‌های خام و ورودی‌های نیازمند پالایش</x:v>
      </x:c>
      <x:c r="D2432" s="34" t="str">
        <x:v>H20</x:v>
      </x:c>
      <x:c r="E2432" s="34" t="str">
        <x:v>یادداشت تحلیلی/راهبری ثبت‌شده در 11211</x:v>
      </x:c>
      <x:c r="F2432" s="34" t="str">
        <x:v>P3/CLARIFY</x:v>
      </x:c>
      <x:c r="G2432" s="34" t="str">
        <x:v>اقدام اجرایی</x:v>
      </x:c>
      <x:c r="H2432" s="39" t="str">
        <x:v>انواع برنامه ها:</x:v>
      </x:c>
      <x:c r="I2432" s="39" t="str">
        <x:v>نیازمند تعریف خروجی یا پارک</x:v>
      </x:c>
      <x:c r="J2432" s="39" t="str">
        <x:v>تحلیلگر راهبری/PMO؛ تبدیل به فرضیه یا اقدام در صورت نیاز</x:v>
      </x:c>
      <x:c r="K2432" s="39" t="str"/>
      <x:c r="L2432" s="39" t="str">
        <x:v>E112:P3061</x:v>
      </x:c>
      <x:c r="M2432" s="39" t="str"/>
      <x:c r="N2432" s="39" t="str">
        <x:v>نسخه پایه ۳۱۵۰</x:v>
      </x:c>
    </x:row>
    <x:row r="2433" ht="34" customHeight="1">
      <x:c r="A2433" s="34" t="str">
        <x:v>☐</x:v>
      </x:c>
      <x:c r="B2433" s="34" t="str">
        <x:v>MI-2843</x:v>
      </x:c>
      <x:c r="C2433" s="34" t="str">
        <x:v>M6 — تحلیل‌های خام و ورودی‌های نیازمند پالایش</x:v>
      </x:c>
      <x:c r="D2433" s="34" t="str">
        <x:v>H20</x:v>
      </x:c>
      <x:c r="E2433" s="34" t="str">
        <x:v>یادداشت تحلیلی/راهبری ثبت‌شده در 11211</x:v>
      </x:c>
      <x:c r="F2433" s="34" t="str">
        <x:v>P3/CLARIFY</x:v>
      </x:c>
      <x:c r="G2433" s="34" t="str">
        <x:v>اقدام اجرایی</x:v>
      </x:c>
      <x:c r="H2433" s="39" t="str">
        <x:v>ظرفیت گردشگری بالا برای برگزاری این برنامه ها.</x:v>
      </x:c>
      <x:c r="I2433" s="39" t="str">
        <x:v>نیازمند تعریف خروجی یا پارک</x:v>
      </x:c>
      <x:c r="J2433" s="39" t="str">
        <x:v>تحلیلگر راهبری/PMO؛ تبدیل به فرضیه یا اقدام در صورت نیاز</x:v>
      </x:c>
      <x:c r="K2433" s="39" t="str"/>
      <x:c r="L2433" s="39" t="str">
        <x:v>E112:P3071</x:v>
      </x:c>
      <x:c r="M2433" s="39" t="str"/>
      <x:c r="N2433" s="39" t="str">
        <x:v>نسخه پایه ۳۱۵۰</x:v>
      </x:c>
    </x:row>
    <x:row r="2434" ht="34" customHeight="1">
      <x:c r="A2434" s="34" t="str">
        <x:v>☐</x:v>
      </x:c>
      <x:c r="B2434" s="34" t="str">
        <x:v>MI-2852</x:v>
      </x:c>
      <x:c r="C2434" s="34" t="str">
        <x:v>M6 — تحلیل‌های خام و ورودی‌های نیازمند پالایش</x:v>
      </x:c>
      <x:c r="D2434" s="34" t="str">
        <x:v>H20</x:v>
      </x:c>
      <x:c r="E2434" s="34" t="str">
        <x:v>یادداشت تحلیلی/راهبری ثبت‌شده در 11211</x:v>
      </x:c>
      <x:c r="F2434" s="34" t="str">
        <x:v>P3/CLARIFY</x:v>
      </x:c>
      <x:c r="G2434" s="34" t="str">
        <x:v>اقدام اجرایی</x:v>
      </x:c>
      <x:c r="H2434" s="39" t="str">
        <x:v>ثبت شرکت</x:v>
      </x:c>
      <x:c r="I2434" s="39" t="str">
        <x:v>نیازمند تعریف خروجی یا پارک</x:v>
      </x:c>
      <x:c r="J2434" s="39" t="str">
        <x:v>تحلیلگر راهبری/PMO؛ تبدیل به فرضیه یا اقدام در صورت نیاز</x:v>
      </x:c>
      <x:c r="K2434" s="39" t="str"/>
      <x:c r="L2434" s="39" t="str">
        <x:v>E112:P3104؛ E112:P3458</x:v>
      </x:c>
      <x:c r="M2434" s="39" t="str"/>
      <x:c r="N2434" s="39" t="str">
        <x:v>نسخه پایه ۳۱۵۰</x:v>
      </x:c>
    </x:row>
    <x:row r="2435" ht="34" customHeight="1">
      <x:c r="A2435" s="34" t="str">
        <x:v>☐</x:v>
      </x:c>
      <x:c r="B2435" s="34" t="str">
        <x:v>MI-2935</x:v>
      </x:c>
      <x:c r="C2435" s="34" t="str">
        <x:v>M6 — تحلیل‌های خام و ورودی‌های نیازمند پالایش</x:v>
      </x:c>
      <x:c r="D2435" s="34" t="str">
        <x:v>H20</x:v>
      </x:c>
      <x:c r="E2435" s="34" t="str">
        <x:v>یادداشت تحلیلی/راهبری ثبت‌شده در 11211</x:v>
      </x:c>
      <x:c r="F2435" s="34" t="str">
        <x:v>P3/CLARIFY</x:v>
      </x:c>
      <x:c r="G2435" s="34" t="str">
        <x:v>اقدام اجرایی</x:v>
      </x:c>
      <x:c r="H2435" s="39" t="str">
        <x:v>در راس سیستم یک هسته مدیریتی کوچک قرار می گیرد.</x:v>
      </x:c>
      <x:c r="I2435" s="39" t="str">
        <x:v>نیازمند تعریف خروجی یا پارک</x:v>
      </x:c>
      <x:c r="J2435" s="39" t="str">
        <x:v>تحلیلگر راهبری/PMO؛ تبدیل به فرضیه یا اقدام در صورت نیاز</x:v>
      </x:c>
      <x:c r="K2435" s="39" t="str"/>
      <x:c r="L2435" s="39" t="str">
        <x:v>E112:P3299</x:v>
      </x:c>
      <x:c r="M2435" s="39" t="str"/>
      <x:c r="N2435" s="39" t="str">
        <x:v>نسخه پایه ۳۱۵۰</x:v>
      </x:c>
    </x:row>
    <x:row r="2436" ht="34" customHeight="1">
      <x:c r="A2436" s="34" t="str">
        <x:v>☐</x:v>
      </x:c>
      <x:c r="B2436" s="34" t="str">
        <x:v>MI-2953</x:v>
      </x:c>
      <x:c r="C2436" s="34" t="str">
        <x:v>M6 — تحلیل‌های خام و ورودی‌های نیازمند پالایش</x:v>
      </x:c>
      <x:c r="D2436" s="34" t="str">
        <x:v>H20</x:v>
      </x:c>
      <x:c r="E2436" s="34" t="str">
        <x:v>یادداشت تحلیلی/راهبری ثبت‌شده در 11211</x:v>
      </x:c>
      <x:c r="F2436" s="34" t="str">
        <x:v>P3/CLARIFY</x:v>
      </x:c>
      <x:c r="G2436" s="34" t="str">
        <x:v>اقدام اجرایی</x:v>
      </x:c>
      <x:c r="H2436" s="39" t="str">
        <x:v>داده هایی که ثبت می شود:</x:v>
      </x:c>
      <x:c r="I2436" s="39" t="str">
        <x:v>نیازمند تعریف خروجی یا پارک</x:v>
      </x:c>
      <x:c r="J2436" s="39" t="str">
        <x:v>تحلیلگر راهبری/PMO؛ تبدیل به فرضیه یا اقدام در صورت نیاز</x:v>
      </x:c>
      <x:c r="K2436" s="39" t="str"/>
      <x:c r="L2436" s="39" t="str">
        <x:v>E112:P3335</x:v>
      </x:c>
      <x:c r="M2436" s="39" t="str"/>
      <x:c r="N2436" s="39" t="str">
        <x:v>نسخه پایه ۳۱۵۰</x:v>
      </x:c>
    </x:row>
    <x:row r="2437" ht="34" customHeight="1">
      <x:c r="A2437" s="34" t="str">
        <x:v>☐</x:v>
      </x:c>
      <x:c r="B2437" s="34" t="str">
        <x:v>MI-2971</x:v>
      </x:c>
      <x:c r="C2437" s="34" t="str">
        <x:v>M6 — تحلیل‌های خام و ورودی‌های نیازمند پالایش</x:v>
      </x:c>
      <x:c r="D2437" s="34" t="str">
        <x:v>H20</x:v>
      </x:c>
      <x:c r="E2437" s="34" t="str">
        <x:v>یادداشت تحلیلی/راهبری ثبت‌شده در 11211</x:v>
      </x:c>
      <x:c r="F2437" s="34" t="str">
        <x:v>P3/CLARIFY</x:v>
      </x:c>
      <x:c r="G2437" s="34" t="str">
        <x:v>اقدام اجرایی</x:v>
      </x:c>
      <x:c r="H2437" s="39" t="str">
        <x:v>برنامه های شتابدهی</x:v>
      </x:c>
      <x:c r="I2437" s="39" t="str">
        <x:v>نیازمند تعریف خروجی یا پارک</x:v>
      </x:c>
      <x:c r="J2437" s="39" t="str">
        <x:v>تحلیلگر راهبری/PMO؛ تبدیل به فرضیه یا اقدام در صورت نیاز</x:v>
      </x:c>
      <x:c r="K2437" s="39" t="str"/>
      <x:c r="L2437" s="39" t="str">
        <x:v>E112:P3386</x:v>
      </x:c>
      <x:c r="M2437" s="39" t="str"/>
      <x:c r="N2437" s="39" t="str">
        <x:v>نسخه پایه ۳۱۵۰</x:v>
      </x:c>
    </x:row>
    <x:row r="2438" ht="34" customHeight="1">
      <x:c r="A2438" s="34" t="str">
        <x:v>☐</x:v>
      </x:c>
      <x:c r="B2438" s="34" t="str">
        <x:v>MI-2990</x:v>
      </x:c>
      <x:c r="C2438" s="34" t="str">
        <x:v>M6 — تحلیل‌های خام و ورودی‌های نیازمند پالایش</x:v>
      </x:c>
      <x:c r="D2438" s="34" t="str">
        <x:v>H20</x:v>
      </x:c>
      <x:c r="E2438" s="34" t="str">
        <x:v>یادداشت تحلیلی/راهبری ثبت‌شده در 11211</x:v>
      </x:c>
      <x:c r="F2438" s="34" t="str">
        <x:v>P3/CLARIFY</x:v>
      </x:c>
      <x:c r="G2438" s="34" t="str">
        <x:v>اقدام اجرایی</x:v>
      </x:c>
      <x:c r="H2438" s="39" t="str">
        <x:v>برنامه ها:</x:v>
      </x:c>
      <x:c r="I2438" s="39" t="str">
        <x:v>نیازمند تعریف خروجی یا پارک</x:v>
      </x:c>
      <x:c r="J2438" s="39" t="str">
        <x:v>تحلیلگر راهبری/PMO؛ تبدیل به فرضیه یا اقدام در صورت نیاز</x:v>
      </x:c>
      <x:c r="K2438" s="39" t="str"/>
      <x:c r="L2438" s="39" t="str">
        <x:v>E112:P3468</x:v>
      </x:c>
      <x:c r="M2438" s="39" t="str"/>
      <x:c r="N2438" s="39" t="str">
        <x:v>نسخه پایه ۳۱۵۰</x:v>
      </x:c>
    </x:row>
    <x:row r="2439" ht="34" customHeight="1">
      <x:c r="A2439" s="34" t="str">
        <x:v>☐</x:v>
      </x:c>
      <x:c r="B2439" s="34" t="str">
        <x:v>MI-3015</x:v>
      </x:c>
      <x:c r="C2439" s="34" t="str">
        <x:v>M6 — تحلیل‌های خام و ورودی‌های نیازمند پالایش</x:v>
      </x:c>
      <x:c r="D2439" s="34" t="str">
        <x:v>H20</x:v>
      </x:c>
      <x:c r="E2439" s="34" t="str">
        <x:v>یادداشت تحلیلی/راهبری ثبت‌شده در 11211</x:v>
      </x:c>
      <x:c r="F2439" s="34" t="str">
        <x:v>P3/CLARIFY</x:v>
      </x:c>
      <x:c r="G2439" s="34" t="str">
        <x:v>اقدام اجرایی</x:v>
      </x:c>
      <x:c r="H2439" s="39" t="str">
        <x:v>5. برنامه های عملیاتی کلیدی</x:v>
      </x:c>
      <x:c r="I2439" s="39" t="str">
        <x:v>نیازمند تعریف خروجی یا پارک</x:v>
      </x:c>
      <x:c r="J2439" s="39" t="str">
        <x:v>تحلیلگر راهبری/PMO؛ تبدیل به فرضیه یا اقدام در صورت نیاز</x:v>
      </x:c>
      <x:c r="K2439" s="39" t="str"/>
      <x:c r="L2439" s="39" t="str">
        <x:v>E112:P3546</x:v>
      </x:c>
      <x:c r="M2439" s="39" t="str"/>
      <x:c r="N2439" s="39" t="str">
        <x:v>نسخه پایه ۳۱۵۰</x:v>
      </x:c>
    </x:row>
    <x:row r="2440" ht="34" customHeight="1">
      <x:c r="A2440" s="34" t="str">
        <x:v>☐</x:v>
      </x:c>
      <x:c r="B2440" s="34" t="str">
        <x:v>MI-3019</x:v>
      </x:c>
      <x:c r="C2440" s="34" t="str">
        <x:v>M6 — تحلیل‌های خام و ورودی‌های نیازمند پالایش</x:v>
      </x:c>
      <x:c r="D2440" s="34" t="str">
        <x:v>H20</x:v>
      </x:c>
      <x:c r="E2440" s="34" t="str">
        <x:v>یادداشت تحلیلی/راهبری ثبت‌شده در 11211</x:v>
      </x:c>
      <x:c r="F2440" s="34" t="str">
        <x:v>P3/CLARIFY</x:v>
      </x:c>
      <x:c r="G2440" s="34" t="str">
        <x:v>اقدام اجرایی</x:v>
      </x:c>
      <x:c r="H2440" s="39" t="str">
        <x:v>برنامه نویس ها</x:v>
      </x:c>
      <x:c r="I2440" s="39" t="str">
        <x:v>نیازمند تعریف خروجی یا پارک</x:v>
      </x:c>
      <x:c r="J2440" s="39" t="str">
        <x:v>تحلیلگر راهبری/PMO؛ تبدیل به فرضیه یا اقدام در صورت نیاز</x:v>
      </x:c>
      <x:c r="K2440" s="39" t="str"/>
      <x:c r="L2440" s="39" t="str">
        <x:v>E112:P3562</x:v>
      </x:c>
      <x:c r="M2440" s="39" t="str"/>
      <x:c r="N2440" s="39" t="str">
        <x:v>نسخه پایه ۳۱۵۰</x:v>
      </x:c>
    </x:row>
    <x:row r="2441" ht="34" customHeight="1">
      <x:c r="A2441" s="34" t="str">
        <x:v>☐</x:v>
      </x:c>
      <x:c r="B2441" s="34" t="str">
        <x:v>MI-3028</x:v>
      </x:c>
      <x:c r="C2441" s="34" t="str">
        <x:v>M6 — تحلیل‌های خام و ورودی‌های نیازمند پالایش</x:v>
      </x:c>
      <x:c r="D2441" s="34" t="str">
        <x:v>H20</x:v>
      </x:c>
      <x:c r="E2441" s="34" t="str">
        <x:v>یادداشت تحلیلی/راهبری ثبت‌شده در 11211</x:v>
      </x:c>
      <x:c r="F2441" s="34" t="str">
        <x:v>P3/CLARIFY</x:v>
      </x:c>
      <x:c r="G2441" s="34" t="str">
        <x:v>اقدام اجرایی</x:v>
      </x:c>
      <x:c r="H2441" s="39" t="str">
        <x:v>دعوت از کارآفرینان داخلی و خارجی.</x:v>
      </x:c>
      <x:c r="I2441" s="39" t="str">
        <x:v>نیازمند تعریف خروجی یا پارک</x:v>
      </x:c>
      <x:c r="J2441" s="39" t="str">
        <x:v>تحلیلگر راهبری/PMO؛ تبدیل به فرضیه یا اقدام در صورت نیاز</x:v>
      </x:c>
      <x:c r="K2441" s="39" t="str"/>
      <x:c r="L2441" s="39" t="str">
        <x:v>E112:P3580</x:v>
      </x:c>
      <x:c r="M2441" s="39" t="str"/>
      <x:c r="N2441" s="39" t="str">
        <x:v>نسخه پایه ۳۱۵۰</x:v>
      </x:c>
    </x:row>
    <x:row r="2442" ht="34" customHeight="1">
      <x:c r="A2442" s="34" t="str">
        <x:v>☐</x:v>
      </x:c>
      <x:c r="B2442" s="34" t="str">
        <x:v>MI-3044</x:v>
      </x:c>
      <x:c r="C2442" s="34" t="str">
        <x:v>M6 — تحلیل‌های خام و ورودی‌های نیازمند پالایش</x:v>
      </x:c>
      <x:c r="D2442" s="34" t="str">
        <x:v>H20</x:v>
      </x:c>
      <x:c r="E2442" s="34" t="str">
        <x:v>یادداشت تحلیلی/راهبری ثبت‌شده در 11211</x:v>
      </x:c>
      <x:c r="F2442" s="34" t="str">
        <x:v>P3/CLARIFY</x:v>
      </x:c>
      <x:c r="G2442" s="34" t="str">
        <x:v>اقدام اجرایی</x:v>
      </x:c>
      <x:c r="H2442" s="39" t="str">
        <x:v>اجرای اولین برنامه</x:v>
      </x:c>
      <x:c r="I2442" s="39" t="str">
        <x:v>نیازمند تعریف خروجی یا پارک</x:v>
      </x:c>
      <x:c r="J2442" s="39" t="str">
        <x:v>تحلیلگر راهبری/PMO؛ تبدیل به فرضیه یا اقدام در صورت نیاز</x:v>
      </x:c>
      <x:c r="K2442" s="39" t="str"/>
      <x:c r="L2442" s="39" t="str">
        <x:v>E112:P3627</x:v>
      </x:c>
      <x:c r="M2442" s="39" t="str"/>
      <x:c r="N2442" s="39" t="str">
        <x:v>نسخه پایه ۳۱۵۰</x:v>
      </x:c>
    </x:row>
    <x:row r="2443" ht="34" customHeight="1">
      <x:c r="A2443" s="34" t="str">
        <x:v>☐</x:v>
      </x:c>
      <x:c r="B2443" s="34" t="str">
        <x:v>MI-1652</x:v>
      </x:c>
      <x:c r="C2443" s="34" t="str">
        <x:v>M6 — تحلیل‌های خام و ورودی‌های نیازمند پالایش</x:v>
      </x:c>
      <x:c r="D2443" s="34" t="str">
        <x:v>H20</x:v>
      </x:c>
      <x:c r="E2443" s="34" t="str">
        <x:v>یادداشت تحلیلی/راهبری ثبت‌شده در 11211</x:v>
      </x:c>
      <x:c r="F2443" s="34" t="str">
        <x:v>P3/CLARIFY</x:v>
      </x:c>
      <x:c r="G2443" s="34" t="str">
        <x:v>پروژه/طرح</x:v>
      </x:c>
      <x:c r="H2443" s="39" t="str">
        <x:v>مرحله 4: ایجاد پروژه مشترک</x:v>
      </x:c>
      <x:c r="I2443" s="39" t="str">
        <x:v>نیازمند تعریف خروجی یا پارک</x:v>
      </x:c>
      <x:c r="J2443" s="39" t="str">
        <x:v>تحلیلگر راهبری/PMO؛ تبدیل به فرضیه یا اقدام در صورت نیاز</x:v>
      </x:c>
      <x:c r="K2443" s="39" t="str"/>
      <x:c r="L2443" s="39" t="str">
        <x:v>E112:P116؛ E112:P1593؛ E112:P1896؛ E112:P2362</x:v>
      </x:c>
      <x:c r="M2443" s="39" t="str"/>
      <x:c r="N2443" s="39" t="str">
        <x:v>نسخه پایه ۳۱۵۰</x:v>
      </x:c>
    </x:row>
    <x:row r="2444" ht="34" customHeight="1">
      <x:c r="A2444" s="34" t="str">
        <x:v>☐</x:v>
      </x:c>
      <x:c r="B2444" s="34" t="str">
        <x:v>MI-1711</x:v>
      </x:c>
      <x:c r="C2444" s="34" t="str">
        <x:v>M6 — تحلیل‌های خام و ورودی‌های نیازمند پالایش</x:v>
      </x:c>
      <x:c r="D2444" s="34" t="str">
        <x:v>H20</x:v>
      </x:c>
      <x:c r="E2444" s="34" t="str">
        <x:v>یادداشت تحلیلی/راهبری ثبت‌شده در 11211</x:v>
      </x:c>
      <x:c r="F2444" s="34" t="str">
        <x:v>P3/CLARIFY</x:v>
      </x:c>
      <x:c r="G2444" s="34" t="str">
        <x:v>پروژه/طرح</x:v>
      </x:c>
      <x:c r="H2444" s="39" t="str">
        <x:v>o ماه 1–2: طراحی پایلوت</x:v>
      </x:c>
      <x:c r="I2444" s="39" t="str">
        <x:v>نیازمند تعریف خروجی یا پارک</x:v>
      </x:c>
      <x:c r="J2444" s="39" t="str">
        <x:v>تحلیلگر راهبری/PMO؛ تبدیل به فرضیه یا اقدام در صورت نیاز</x:v>
      </x:c>
      <x:c r="K2444" s="39" t="str"/>
      <x:c r="L2444" s="39" t="str">
        <x:v>E112:P177؛ E112:P1696؛ E112:P1959؛ E112:P2425</x:v>
      </x:c>
      <x:c r="M2444" s="39" t="str"/>
      <x:c r="N2444" s="39" t="str">
        <x:v>نسخه پایه ۳۱۵۰</x:v>
      </x:c>
    </x:row>
    <x:row r="2445" ht="34" customHeight="1">
      <x:c r="A2445" s="34" t="str">
        <x:v>☐</x:v>
      </x:c>
      <x:c r="B2445" s="34" t="str">
        <x:v>MI-1740</x:v>
      </x:c>
      <x:c r="C2445" s="34" t="str">
        <x:v>M6 — تحلیل‌های خام و ورودی‌های نیازمند پالایش</x:v>
      </x:c>
      <x:c r="D2445" s="34" t="str">
        <x:v>H20</x:v>
      </x:c>
      <x:c r="E2445" s="34" t="str">
        <x:v>یادداشت تحلیلی/راهبری ثبت‌شده در 11211</x:v>
      </x:c>
      <x:c r="F2445" s="34" t="str">
        <x:v>P3/CLARIFY</x:v>
      </x:c>
      <x:c r="G2445" s="34" t="str">
        <x:v>پروژه/طرح</x:v>
      </x:c>
      <x:c r="H2445" s="39" t="str">
        <x:v>ساخت پروژه</x:v>
      </x:c>
      <x:c r="I2445" s="39" t="str">
        <x:v>نیازمند تعریف خروجی یا پارک</x:v>
      </x:c>
      <x:c r="J2445" s="39" t="str">
        <x:v>تحلیلگر راهبری/PMO؛ تبدیل به فرضیه یا اقدام در صورت نیاز</x:v>
      </x:c>
      <x:c r="K2445" s="39" t="str"/>
      <x:c r="L2445" s="39" t="str">
        <x:v>E112:P217</x:v>
      </x:c>
      <x:c r="M2445" s="39" t="str"/>
      <x:c r="N2445" s="39" t="str">
        <x:v>نسخه پایه ۳۱۵۰</x:v>
      </x:c>
    </x:row>
    <x:row r="2446" ht="34" customHeight="1">
      <x:c r="A2446" s="34" t="str">
        <x:v>☐</x:v>
      </x:c>
      <x:c r="B2446" s="34" t="str">
        <x:v>MI-1743</x:v>
      </x:c>
      <x:c r="C2446" s="34" t="str">
        <x:v>M6 — تحلیل‌های خام و ورودی‌های نیازمند پالایش</x:v>
      </x:c>
      <x:c r="D2446" s="34" t="str">
        <x:v>H20</x:v>
      </x:c>
      <x:c r="E2446" s="34" t="str">
        <x:v>یادداشت تحلیلی/راهبری ثبت‌شده در 11211</x:v>
      </x:c>
      <x:c r="F2446" s="34" t="str">
        <x:v>P3/CLARIFY</x:v>
      </x:c>
      <x:c r="G2446" s="34" t="str">
        <x:v>پروژه/طرح</x:v>
      </x:c>
      <x:c r="H2446" s="39" t="str">
        <x:v>ایجاد نفوذ</x:v>
      </x:c>
      <x:c r="I2446" s="39" t="str">
        <x:v>نیازمند تعریف خروجی یا پارک</x:v>
      </x:c>
      <x:c r="J2446" s="39" t="str">
        <x:v>تحلیلگر راهبری/PMO؛ تبدیل به فرضیه یا اقدام در صورت نیاز</x:v>
      </x:c>
      <x:c r="K2446" s="39" t="str"/>
      <x:c r="L2446" s="39" t="str">
        <x:v>E112:P220</x:v>
      </x:c>
      <x:c r="M2446" s="39" t="str"/>
      <x:c r="N2446" s="39" t="str">
        <x:v>نسخه پایه ۳۱۵۰</x:v>
      </x:c>
    </x:row>
    <x:row r="2447" ht="34" customHeight="1">
      <x:c r="A2447" s="34" t="str">
        <x:v>☐</x:v>
      </x:c>
      <x:c r="B2447" s="34" t="str">
        <x:v>MI-1774</x:v>
      </x:c>
      <x:c r="C2447" s="34" t="str">
        <x:v>M6 — تحلیل‌های خام و ورودی‌های نیازمند پالایش</x:v>
      </x:c>
      <x:c r="D2447" s="34" t="str">
        <x:v>H20</x:v>
      </x:c>
      <x:c r="E2447" s="34" t="str">
        <x:v>یادداشت تحلیلی/راهبری ثبت‌شده در 11211</x:v>
      </x:c>
      <x:c r="F2447" s="34" t="str">
        <x:v>P3/CLARIFY</x:v>
      </x:c>
      <x:c r="G2447" s="34" t="str">
        <x:v>پروژه/طرح</x:v>
      </x:c>
      <x:c r="H2447" s="39" t="str">
        <x:v>ساخت تیم</x:v>
      </x:c>
      <x:c r="I2447" s="39" t="str">
        <x:v>نیازمند تعریف خروجی یا پارک</x:v>
      </x:c>
      <x:c r="J2447" s="39" t="str">
        <x:v>تحلیلگر راهبری/PMO؛ تبدیل به فرضیه یا اقدام در صورت نیاز</x:v>
      </x:c>
      <x:c r="K2447" s="39" t="str"/>
      <x:c r="L2447" s="39" t="str">
        <x:v>E112:P264؛ E112:P2158</x:v>
      </x:c>
      <x:c r="M2447" s="39" t="str"/>
      <x:c r="N2447" s="39" t="str">
        <x:v>نسخه پایه ۳۱۵۰</x:v>
      </x:c>
    </x:row>
    <x:row r="2448" ht="34" customHeight="1">
      <x:c r="A2448" s="34" t="str">
        <x:v>☐</x:v>
      </x:c>
      <x:c r="B2448" s="34" t="str">
        <x:v>MI-1801</x:v>
      </x:c>
      <x:c r="C2448" s="34" t="str">
        <x:v>M6 — تحلیل‌های خام و ورودی‌های نیازمند پالایش</x:v>
      </x:c>
      <x:c r="D2448" s="34" t="str">
        <x:v>H20</x:v>
      </x:c>
      <x:c r="E2448" s="34" t="str">
        <x:v>یادداشت تحلیلی/راهبری ثبت‌شده در 11211</x:v>
      </x:c>
      <x:c r="F2448" s="34" t="str">
        <x:v>P3/CLARIFY</x:v>
      </x:c>
      <x:c r="G2448" s="34" t="str">
        <x:v>پروژه/طرح</x:v>
      </x:c>
      <x:c r="H2448" s="39" t="str">
        <x:v>پروژه های مشترک</x:v>
      </x:c>
      <x:c r="I2448" s="39" t="str">
        <x:v>نیازمند تعریف خروجی یا پارک</x:v>
      </x:c>
      <x:c r="J2448" s="39" t="str">
        <x:v>تحلیلگر راهبری/PMO؛ تبدیل به فرضیه یا اقدام در صورت نیاز</x:v>
      </x:c>
      <x:c r="K2448" s="39" t="str"/>
      <x:c r="L2448" s="39" t="str">
        <x:v>E112:P312</x:v>
      </x:c>
      <x:c r="M2448" s="39" t="str"/>
      <x:c r="N2448" s="39" t="str">
        <x:v>نسخه پایه ۳۱۵۰</x:v>
      </x:c>
    </x:row>
    <x:row r="2449" ht="34" customHeight="1">
      <x:c r="A2449" s="34" t="str">
        <x:v>☐</x:v>
      </x:c>
      <x:c r="B2449" s="34" t="str">
        <x:v>MI-1812</x:v>
      </x:c>
      <x:c r="C2449" s="34" t="str">
        <x:v>M6 — تحلیل‌های خام و ورودی‌های نیازمند پالایش</x:v>
      </x:c>
      <x:c r="D2449" s="34" t="str">
        <x:v>H20</x:v>
      </x:c>
      <x:c r="E2449" s="34" t="str">
        <x:v>یادداشت تحلیلی/راهبری ثبت‌شده در 11211</x:v>
      </x:c>
      <x:c r="F2449" s="34" t="str">
        <x:v>P3/CLARIFY</x:v>
      </x:c>
      <x:c r="G2449" s="34" t="str">
        <x:v>پروژه/طرح</x:v>
      </x:c>
      <x:c r="H2449" s="39" t="str">
        <x:v>اجرای پروژه</x:v>
      </x:c>
      <x:c r="I2449" s="39" t="str">
        <x:v>نیازمند تعریف خروجی یا پارک</x:v>
      </x:c>
      <x:c r="J2449" s="39" t="str">
        <x:v>تحلیلگر راهبری/PMO؛ تبدیل به فرضیه یا اقدام در صورت نیاز</x:v>
      </x:c>
      <x:c r="K2449" s="39" t="str"/>
      <x:c r="L2449" s="39" t="str">
        <x:v>E112:P333؛ E112:P3361</x:v>
      </x:c>
      <x:c r="M2449" s="39" t="str"/>
      <x:c r="N2449" s="39" t="str">
        <x:v>نسخه پایه ۳۱۵۰</x:v>
      </x:c>
    </x:row>
    <x:row r="2450" ht="34" customHeight="1">
      <x:c r="A2450" s="34" t="str">
        <x:v>☐</x:v>
      </x:c>
      <x:c r="B2450" s="34" t="str">
        <x:v>MI-1824</x:v>
      </x:c>
      <x:c r="C2450" s="34" t="str">
        <x:v>M6 — تحلیل‌های خام و ورودی‌های نیازمند پالایش</x:v>
      </x:c>
      <x:c r="D2450" s="34" t="str">
        <x:v>H20</x:v>
      </x:c>
      <x:c r="E2450" s="34" t="str">
        <x:v>یادداشت تحلیلی/راهبری ثبت‌شده در 11211</x:v>
      </x:c>
      <x:c r="F2450" s="34" t="str">
        <x:v>P3/CLARIFY</x:v>
      </x:c>
      <x:c r="G2450" s="34" t="str">
        <x:v>پروژه/طرح</x:v>
      </x:c>
      <x:c r="H2450" s="39" t="str">
        <x:v>6. پلتفرم ها و زیرساخت ها</x:v>
      </x:c>
      <x:c r="I2450" s="39" t="str">
        <x:v>نیازمند تعریف خروجی یا پارک</x:v>
      </x:c>
      <x:c r="J2450" s="39" t="str">
        <x:v>تحلیلگر راهبری/PMO؛ تبدیل به فرضیه یا اقدام در صورت نیاز</x:v>
      </x:c>
      <x:c r="K2450" s="39" t="str"/>
      <x:c r="L2450" s="39" t="str">
        <x:v>E112:P355</x:v>
      </x:c>
      <x:c r="M2450" s="39" t="str"/>
      <x:c r="N2450" s="39" t="str">
        <x:v>نسخه پایه ۳۱۵۰</x:v>
      </x:c>
    </x:row>
    <x:row r="2451" ht="34" customHeight="1">
      <x:c r="A2451" s="34" t="str">
        <x:v>☐</x:v>
      </x:c>
      <x:c r="B2451" s="34" t="str">
        <x:v>MI-1832</x:v>
      </x:c>
      <x:c r="C2451" s="34" t="str">
        <x:v>M6 — تحلیل‌های خام و ورودی‌های نیازمند پالایش</x:v>
      </x:c>
      <x:c r="D2451" s="34" t="str">
        <x:v>H20</x:v>
      </x:c>
      <x:c r="E2451" s="34" t="str">
        <x:v>یادداشت تحلیلی/راهبری ثبت‌شده در 11211</x:v>
      </x:c>
      <x:c r="F2451" s="34" t="str">
        <x:v>P3/CLARIFY</x:v>
      </x:c>
      <x:c r="G2451" s="34" t="str">
        <x:v>پروژه/طرح</x:v>
      </x:c>
      <x:c r="H2451" s="39" t="str">
        <x:v>ساخت محصول</x:v>
      </x:c>
      <x:c r="I2451" s="39" t="str">
        <x:v>نیازمند تعریف خروجی یا پارک</x:v>
      </x:c>
      <x:c r="J2451" s="39" t="str">
        <x:v>تحلیلگر راهبری/PMO؛ تبدیل به فرضیه یا اقدام در صورت نیاز</x:v>
      </x:c>
      <x:c r="K2451" s="39" t="str"/>
      <x:c r="L2451" s="39" t="str">
        <x:v>E112:P372</x:v>
      </x:c>
      <x:c r="M2451" s="39" t="str"/>
      <x:c r="N2451" s="39" t="str">
        <x:v>نسخه پایه ۳۱۵۰</x:v>
      </x:c>
    </x:row>
    <x:row r="2452" ht="34" customHeight="1">
      <x:c r="A2452" s="34" t="str">
        <x:v>☐</x:v>
      </x:c>
      <x:c r="B2452" s="34" t="str">
        <x:v>MI-1852</x:v>
      </x:c>
      <x:c r="C2452" s="34" t="str">
        <x:v>M6 — تحلیل‌های خام و ورودی‌های نیازمند پالایش</x:v>
      </x:c>
      <x:c r="D2452" s="34" t="str">
        <x:v>H20</x:v>
      </x:c>
      <x:c r="E2452" s="34" t="str">
        <x:v>یادداشت تحلیلی/راهبری ثبت‌شده در 11211</x:v>
      </x:c>
      <x:c r="F2452" s="34" t="str">
        <x:v>P3/CLARIFY</x:v>
      </x:c>
      <x:c r="G2452" s="34" t="str">
        <x:v>پروژه/طرح</x:v>
      </x:c>
      <x:c r="H2452" s="39" t="str">
        <x:v>ساخت رابطه</x:v>
      </x:c>
      <x:c r="I2452" s="39" t="str">
        <x:v>نیازمند تعریف خروجی یا پارک</x:v>
      </x:c>
      <x:c r="J2452" s="39" t="str">
        <x:v>تحلیلگر راهبری/PMO؛ تبدیل به فرضیه یا اقدام در صورت نیاز</x:v>
      </x:c>
      <x:c r="K2452" s="39" t="str"/>
      <x:c r="L2452" s="39" t="str">
        <x:v>E112:P414</x:v>
      </x:c>
      <x:c r="M2452" s="39" t="str"/>
      <x:c r="N2452" s="39" t="str">
        <x:v>نسخه پایه ۳۱۵۰</x:v>
      </x:c>
    </x:row>
    <x:row r="2453" ht="34" customHeight="1">
      <x:c r="A2453" s="34" t="str">
        <x:v>☐</x:v>
      </x:c>
      <x:c r="B2453" s="34" t="str">
        <x:v>MI-1893</x:v>
      </x:c>
      <x:c r="C2453" s="34" t="str">
        <x:v>M6 — تحلیل‌های خام و ورودی‌های نیازمند پالایش</x:v>
      </x:c>
      <x:c r="D2453" s="34" t="str">
        <x:v>H20</x:v>
      </x:c>
      <x:c r="E2453" s="34" t="str">
        <x:v>یادداشت تحلیلی/راهبری ثبت‌شده در 11211</x:v>
      </x:c>
      <x:c r="F2453" s="34" t="str">
        <x:v>P3/CLARIFY</x:v>
      </x:c>
      <x:c r="G2453" s="34" t="str">
        <x:v>پروژه/طرح</x:v>
      </x:c>
      <x:c r="H2453" s="39" t="str">
        <x:v>طرح کارآفرین در</x:v>
      </x:c>
      <x:c r="I2453" s="39" t="str">
        <x:v>نیازمند تعریف خروجی یا پارک</x:v>
      </x:c>
      <x:c r="J2453" s="39" t="str">
        <x:v>تحلیلگر راهبری/PMO؛ تبدیل به فرضیه یا اقدام در صورت نیاز</x:v>
      </x:c>
      <x:c r="K2453" s="39" t="str"/>
      <x:c r="L2453" s="39" t="str">
        <x:v>E112:P480؛ E112:P1508</x:v>
      </x:c>
      <x:c r="M2453" s="39" t="str"/>
      <x:c r="N2453" s="39" t="str">
        <x:v>نسخه پایه ۳۱۵۰</x:v>
      </x:c>
    </x:row>
    <x:row r="2454" ht="34" customHeight="1">
      <x:c r="A2454" s="34" t="str">
        <x:v>☐</x:v>
      </x:c>
      <x:c r="B2454" s="34" t="str">
        <x:v>MI-1897</x:v>
      </x:c>
      <x:c r="C2454" s="34" t="str">
        <x:v>M6 — تحلیل‌های خام و ورودی‌های نیازمند پالایش</x:v>
      </x:c>
      <x:c r="D2454" s="34" t="str">
        <x:v>H20</x:v>
      </x:c>
      <x:c r="E2454" s="34" t="str">
        <x:v>یادداشت تحلیلی/راهبری ثبت‌شده در 11211</x:v>
      </x:c>
      <x:c r="F2454" s="34" t="str">
        <x:v>P3/CLARIFY</x:v>
      </x:c>
      <x:c r="G2454" s="34" t="str">
        <x:v>پروژه/طرح</x:v>
      </x:c>
      <x:c r="H2454" s="39" t="str">
        <x:v>من ساختار قبلی را تقویت و عمیق تر می کنم و تعداد زیادی آیتم جدید اضافه می کنم تا تقریباً تمام زمین های بازی ممکن را ببینی.</x:v>
      </x:c>
      <x:c r="I2454" s="39" t="str">
        <x:v>نیازمند تعریف خروجی یا پارک</x:v>
      </x:c>
      <x:c r="J2454" s="39" t="str">
        <x:v>تحلیلگر راهبری/PMO؛ تبدیل به فرضیه یا اقدام در صورت نیاز</x:v>
      </x:c>
      <x:c r="K2454" s="39" t="str"/>
      <x:c r="L2454" s="39" t="str">
        <x:v>E112:P487</x:v>
      </x:c>
      <x:c r="M2454" s="39" t="str"/>
      <x:c r="N2454" s="39" t="str">
        <x:v>نسخه پایه ۳۱۵۰</x:v>
      </x:c>
    </x:row>
    <x:row r="2455" ht="34" customHeight="1">
      <x:c r="A2455" s="34" t="str">
        <x:v>☐</x:v>
      </x:c>
      <x:c r="B2455" s="34" t="str">
        <x:v>MI-1933</x:v>
      </x:c>
      <x:c r="C2455" s="34" t="str">
        <x:v>M6 — تحلیل‌های خام و ورودی‌های نیازمند پالایش</x:v>
      </x:c>
      <x:c r="D2455" s="34" t="str">
        <x:v>H20</x:v>
      </x:c>
      <x:c r="E2455" s="34" t="str">
        <x:v>یادداشت تحلیلی/راهبری ثبت‌شده در 11211</x:v>
      </x:c>
      <x:c r="F2455" s="34" t="str">
        <x:v>P3/CLARIFY</x:v>
      </x:c>
      <x:c r="G2455" s="34" t="str">
        <x:v>پروژه/طرح</x:v>
      </x:c>
      <x:c r="H2455" s="39" t="str">
        <x:v>زیرساخت های رسمی</x:v>
      </x:c>
      <x:c r="I2455" s="39" t="str">
        <x:v>نیازمند تعریف خروجی یا پارک</x:v>
      </x:c>
      <x:c r="J2455" s="39" t="str">
        <x:v>تحلیلگر راهبری/PMO؛ تبدیل به فرضیه یا اقدام در صورت نیاز</x:v>
      </x:c>
      <x:c r="K2455" s="39" t="str"/>
      <x:c r="L2455" s="39" t="str">
        <x:v>E112:P540</x:v>
      </x:c>
      <x:c r="M2455" s="39" t="str"/>
      <x:c r="N2455" s="39" t="str">
        <x:v>نسخه پایه ۳۱۵۰</x:v>
      </x:c>
    </x:row>
    <x:row r="2456" ht="34" customHeight="1">
      <x:c r="A2456" s="34" t="str">
        <x:v>☐</x:v>
      </x:c>
      <x:c r="B2456" s="34" t="str">
        <x:v>MI-1978</x:v>
      </x:c>
      <x:c r="C2456" s="34" t="str">
        <x:v>M6 — تحلیل‌های خام و ورودی‌های نیازمند پالایش</x:v>
      </x:c>
      <x:c r="D2456" s="34" t="str">
        <x:v>H20</x:v>
      </x:c>
      <x:c r="E2456" s="34" t="str">
        <x:v>یادداشت تحلیلی/راهبری ثبت‌شده در 11211</x:v>
      </x:c>
      <x:c r="F2456" s="34" t="str">
        <x:v>P3/CLARIFY</x:v>
      </x:c>
      <x:c r="G2456" s="34" t="str">
        <x:v>پروژه/طرح</x:v>
      </x:c>
      <x:c r="H2456" s="39" t="str">
        <x:v>ساختارهای کار</x:v>
      </x:c>
      <x:c r="I2456" s="39" t="str">
        <x:v>نیازمند تعریف خروجی یا پارک</x:v>
      </x:c>
      <x:c r="J2456" s="39" t="str">
        <x:v>تحلیلگر راهبری/PMO؛ تبدیل به فرضیه یا اقدام در صورت نیاز</x:v>
      </x:c>
      <x:c r="K2456" s="39" t="str"/>
      <x:c r="L2456" s="39" t="str">
        <x:v>E112:P610</x:v>
      </x:c>
      <x:c r="M2456" s="39" t="str"/>
      <x:c r="N2456" s="39" t="str">
        <x:v>نسخه پایه ۳۱۵۰</x:v>
      </x:c>
    </x:row>
    <x:row r="2457" ht="34" customHeight="1">
      <x:c r="A2457" s="34" t="str">
        <x:v>☐</x:v>
      </x:c>
      <x:c r="B2457" s="34" t="str">
        <x:v>MI-1986</x:v>
      </x:c>
      <x:c r="C2457" s="34" t="str">
        <x:v>M6 — تحلیل‌های خام و ورودی‌های نیازمند پالایش</x:v>
      </x:c>
      <x:c r="D2457" s="34" t="str">
        <x:v>H20</x:v>
      </x:c>
      <x:c r="E2457" s="34" t="str">
        <x:v>یادداشت تحلیلی/راهبری ثبت‌شده در 11211</x:v>
      </x:c>
      <x:c r="F2457" s="34" t="str">
        <x:v>P3/CLARIFY</x:v>
      </x:c>
      <x:c r="G2457" s="34" t="str">
        <x:v>پروژه/طرح</x:v>
      </x:c>
      <x:c r="H2457" s="39" t="str">
        <x:v>بازار پروژه</x:v>
      </x:c>
      <x:c r="I2457" s="39" t="str">
        <x:v>نیازمند تعریف خروجی یا پارک</x:v>
      </x:c>
      <x:c r="J2457" s="39" t="str">
        <x:v>تحلیلگر راهبری/PMO؛ تبدیل به فرضیه یا اقدام در صورت نیاز</x:v>
      </x:c>
      <x:c r="K2457" s="39" t="str"/>
      <x:c r="L2457" s="39" t="str">
        <x:v>E112:P621</x:v>
      </x:c>
      <x:c r="M2457" s="39" t="str"/>
      <x:c r="N2457" s="39" t="str">
        <x:v>نسخه پایه ۳۱۵۰</x:v>
      </x:c>
    </x:row>
    <x:row r="2458" ht="34" customHeight="1">
      <x:c r="A2458" s="34" t="str">
        <x:v>☐</x:v>
      </x:c>
      <x:c r="B2458" s="34" t="str">
        <x:v>MI-2132</x:v>
      </x:c>
      <x:c r="C2458" s="34" t="str">
        <x:v>M6 — تحلیل‌های خام و ورودی‌های نیازمند پالایش</x:v>
      </x:c>
      <x:c r="D2458" s="34" t="str">
        <x:v>H20</x:v>
      </x:c>
      <x:c r="E2458" s="34" t="str">
        <x:v>یادداشت تحلیلی/راهبری ثبت‌شده در 11211</x:v>
      </x:c>
      <x:c r="F2458" s="34" t="str">
        <x:v>P3/CLARIFY</x:v>
      </x:c>
      <x:c r="G2458" s="34" t="str">
        <x:v>پروژه/طرح</x:v>
      </x:c>
      <x:c r="H2458" s="39" t="str">
        <x:v>3. کجا باید برنامه جدید ساخته شود</x:v>
      </x:c>
      <x:c r="I2458" s="39" t="str">
        <x:v>نیازمند تعریف خروجی یا پارک</x:v>
      </x:c>
      <x:c r="J2458" s="39" t="str">
        <x:v>تحلیلگر راهبری/PMO؛ تبدیل به فرضیه یا اقدام در صورت نیاز</x:v>
      </x:c>
      <x:c r="K2458" s="39" t="str"/>
      <x:c r="L2458" s="39" t="str">
        <x:v>E112:P890</x:v>
      </x:c>
      <x:c r="M2458" s="39" t="str"/>
      <x:c r="N2458" s="39" t="str">
        <x:v>نسخه پایه ۳۱۵۰</x:v>
      </x:c>
    </x:row>
    <x:row r="2459" ht="34" customHeight="1">
      <x:c r="A2459" s="34" t="str">
        <x:v>☐</x:v>
      </x:c>
      <x:c r="B2459" s="34" t="str">
        <x:v>MI-2139</x:v>
      </x:c>
      <x:c r="C2459" s="34" t="str">
        <x:v>M6 — تحلیل‌های خام و ورودی‌های نیازمند پالایش</x:v>
      </x:c>
      <x:c r="D2459" s="34" t="str">
        <x:v>H20</x:v>
      </x:c>
      <x:c r="E2459" s="34" t="str">
        <x:v>یادداشت تحلیلی/راهبری ثبت‌شده در 11211</x:v>
      </x:c>
      <x:c r="F2459" s="34" t="str">
        <x:v>P3/CLARIFY</x:v>
      </x:c>
      <x:c r="G2459" s="34" t="str">
        <x:v>پروژه/طرح</x:v>
      </x:c>
      <x:c r="H2459" s="39" t="str">
        <x:v>ساخت جامعه:</x:v>
      </x:c>
      <x:c r="I2459" s="39" t="str">
        <x:v>نیازمند تعریف خروجی یا پارک</x:v>
      </x:c>
      <x:c r="J2459" s="39" t="str">
        <x:v>تحلیلگر راهبری/PMO؛ تبدیل به فرضیه یا اقدام در صورت نیاز</x:v>
      </x:c>
      <x:c r="K2459" s="39" t="str"/>
      <x:c r="L2459" s="39" t="str">
        <x:v>E112:P909؛ E112:P1185</x:v>
      </x:c>
      <x:c r="M2459" s="39" t="str"/>
      <x:c r="N2459" s="39" t="str">
        <x:v>نسخه پایه ۳۱۵۰</x:v>
      </x:c>
    </x:row>
    <x:row r="2460" ht="34" customHeight="1">
      <x:c r="A2460" s="34" t="str">
        <x:v>☐</x:v>
      </x:c>
      <x:c r="B2460" s="34" t="str">
        <x:v>MI-2194</x:v>
      </x:c>
      <x:c r="C2460" s="34" t="str">
        <x:v>M6 — تحلیل‌های خام و ورودی‌های نیازمند پالایش</x:v>
      </x:c>
      <x:c r="D2460" s="34" t="str">
        <x:v>H20</x:v>
      </x:c>
      <x:c r="E2460" s="34" t="str">
        <x:v>یادداشت تحلیلی/راهبری ثبت‌شده در 11211</x:v>
      </x:c>
      <x:c r="F2460" s="34" t="str">
        <x:v>P3/CLARIFY</x:v>
      </x:c>
      <x:c r="G2460" s="34" t="str">
        <x:v>پروژه/طرح</x:v>
      </x:c>
      <x:c r="H2460" s="39" t="str">
        <x:v>زیرساخت نوآوری</x:v>
      </x:c>
      <x:c r="I2460" s="39" t="str">
        <x:v>نیازمند تعریف خروجی یا پارک</x:v>
      </x:c>
      <x:c r="J2460" s="39" t="str">
        <x:v>تحلیلگر راهبری/PMO؛ تبدیل به فرضیه یا اقدام در صورت نیاز</x:v>
      </x:c>
      <x:c r="K2460" s="39" t="str"/>
      <x:c r="L2460" s="39" t="str">
        <x:v>E112:P1009</x:v>
      </x:c>
      <x:c r="M2460" s="39" t="str"/>
      <x:c r="N2460" s="39" t="str">
        <x:v>نسخه پایه ۳۱۵۰</x:v>
      </x:c>
    </x:row>
    <x:row r="2461" ht="34" customHeight="1">
      <x:c r="A2461" s="34" t="str">
        <x:v>☐</x:v>
      </x:c>
      <x:c r="B2461" s="34" t="str">
        <x:v>MI-2260</x:v>
      </x:c>
      <x:c r="C2461" s="34" t="str">
        <x:v>M6 — تحلیل‌های خام و ورودی‌های نیازمند پالایش</x:v>
      </x:c>
      <x:c r="D2461" s="34" t="str">
        <x:v>H20</x:v>
      </x:c>
      <x:c r="E2461" s="34" t="str">
        <x:v>یادداشت تحلیلی/راهبری ثبت‌شده در 11211</x:v>
      </x:c>
      <x:c r="F2461" s="34" t="str">
        <x:v>P3/CLARIFY</x:v>
      </x:c>
      <x:c r="G2461" s="34" t="str">
        <x:v>پروژه/طرح</x:v>
      </x:c>
      <x:c r="H2461" s="39" t="str">
        <x:v>6. برنامه هایی که واقعاً ارزش ساخت دارند</x:v>
      </x:c>
      <x:c r="I2461" s="39" t="str">
        <x:v>نیازمند تعریف خروجی یا پارک</x:v>
      </x:c>
      <x:c r="J2461" s="39" t="str">
        <x:v>تحلیلگر راهبری/PMO؛ تبدیل به فرضیه یا اقدام در صورت نیاز</x:v>
      </x:c>
      <x:c r="K2461" s="39" t="str"/>
      <x:c r="L2461" s="39" t="str">
        <x:v>E112:P1172</x:v>
      </x:c>
      <x:c r="M2461" s="39" t="str"/>
      <x:c r="N2461" s="39" t="str">
        <x:v>نسخه پایه ۳۱۵۰</x:v>
      </x:c>
    </x:row>
    <x:row r="2462" ht="34" customHeight="1">
      <x:c r="A2462" s="34" t="str">
        <x:v>☐</x:v>
      </x:c>
      <x:c r="B2462" s="34" t="str">
        <x:v>MI-2272</x:v>
      </x:c>
      <x:c r="C2462" s="34" t="str">
        <x:v>M6 — تحلیل‌های خام و ورودی‌های نیازمند پالایش</x:v>
      </x:c>
      <x:c r="D2462" s="34" t="str">
        <x:v>H20</x:v>
      </x:c>
      <x:c r="E2462" s="34" t="str">
        <x:v>یادداشت تحلیلی/راهبری ثبت‌شده در 11211</x:v>
      </x:c>
      <x:c r="F2462" s="34" t="str">
        <x:v>P3/CLARIFY</x:v>
      </x:c>
      <x:c r="G2462" s="34" t="str">
        <x:v>پروژه/طرح</x:v>
      </x:c>
      <x:c r="H2462" s="39" t="str">
        <x:v>7. جاهایی که فقط باید اتصال ایجاد شود</x:v>
      </x:c>
      <x:c r="I2462" s="39" t="str">
        <x:v>نیازمند تعریف خروجی یا پارک</x:v>
      </x:c>
      <x:c r="J2462" s="39" t="str">
        <x:v>تحلیلگر راهبری/PMO؛ تبدیل به فرضیه یا اقدام در صورت نیاز</x:v>
      </x:c>
      <x:c r="K2462" s="39" t="str"/>
      <x:c r="L2462" s="39" t="str">
        <x:v>E112:P1206</x:v>
      </x:c>
      <x:c r="M2462" s="39" t="str"/>
      <x:c r="N2462" s="39" t="str">
        <x:v>نسخه پایه ۳۱۵۰</x:v>
      </x:c>
    </x:row>
    <x:row r="2463" ht="34" customHeight="1">
      <x:c r="A2463" s="34" t="str">
        <x:v>☐</x:v>
      </x:c>
      <x:c r="B2463" s="34" t="str">
        <x:v>MI-2362</x:v>
      </x:c>
      <x:c r="C2463" s="34" t="str">
        <x:v>M6 — تحلیل‌های خام و ورودی‌های نیازمند پالایش</x:v>
      </x:c>
      <x:c r="D2463" s="34" t="str">
        <x:v>H20</x:v>
      </x:c>
      <x:c r="E2463" s="34" t="str">
        <x:v>یادداشت تحلیلی/راهبری ثبت‌شده در 11211</x:v>
      </x:c>
      <x:c r="F2463" s="34" t="str">
        <x:v>P3/CLARIFY</x:v>
      </x:c>
      <x:c r="G2463" s="34" t="str">
        <x:v>پروژه/طرح</x:v>
      </x:c>
      <x:c r="H2463" s="39" t="str">
        <x:v>1. ساخت Founder Network</x:v>
      </x:c>
      <x:c r="I2463" s="39" t="str">
        <x:v>نیازمند تعریف خروجی یا پارک</x:v>
      </x:c>
      <x:c r="J2463" s="39" t="str">
        <x:v>تحلیلگر راهبری/PMO؛ تبدیل به فرضیه یا اقدام در صورت نیاز</x:v>
      </x:c>
      <x:c r="K2463" s="39" t="str"/>
      <x:c r="L2463" s="39" t="str">
        <x:v>E112:P1386</x:v>
      </x:c>
      <x:c r="M2463" s="39" t="str"/>
      <x:c r="N2463" s="39" t="str">
        <x:v>نسخه پایه ۳۱۵۰</x:v>
      </x:c>
    </x:row>
    <x:row r="2464" ht="34" customHeight="1">
      <x:c r="A2464" s="34" t="str">
        <x:v>☐</x:v>
      </x:c>
      <x:c r="B2464" s="34" t="str">
        <x:v>MI-2370</x:v>
      </x:c>
      <x:c r="C2464" s="34" t="str">
        <x:v>M6 — تحلیل‌های خام و ورودی‌های نیازمند پالایش</x:v>
      </x:c>
      <x:c r="D2464" s="34" t="str">
        <x:v>H20</x:v>
      </x:c>
      <x:c r="E2464" s="34" t="str">
        <x:v>یادداشت تحلیلی/راهبری ثبت‌شده در 11211</x:v>
      </x:c>
      <x:c r="F2464" s="34" t="str">
        <x:v>P3/CLARIFY</x:v>
      </x:c>
      <x:c r="G2464" s="34" t="str">
        <x:v>پروژه/طرح</x:v>
      </x:c>
      <x:c r="H2464" s="39" t="str">
        <x:v>پروژه جدید می سازد</x:v>
      </x:c>
      <x:c r="I2464" s="39" t="str">
        <x:v>نیازمند تعریف خروجی یا پارک</x:v>
      </x:c>
      <x:c r="J2464" s="39" t="str">
        <x:v>تحلیلگر راهبری/PMO؛ تبدیل به فرضیه یا اقدام در صورت نیاز</x:v>
      </x:c>
      <x:c r="K2464" s="39" t="str"/>
      <x:c r="L2464" s="39" t="str">
        <x:v>E112:P1401</x:v>
      </x:c>
      <x:c r="M2464" s="39" t="str"/>
      <x:c r="N2464" s="39" t="str">
        <x:v>نسخه پایه ۳۱۵۰</x:v>
      </x:c>
    </x:row>
    <x:row r="2465" ht="34" customHeight="1">
      <x:c r="A2465" s="34" t="str">
        <x:v>☐</x:v>
      </x:c>
      <x:c r="B2465" s="34" t="str">
        <x:v>MI-2378</x:v>
      </x:c>
      <x:c r="C2465" s="34" t="str">
        <x:v>M6 — تحلیل‌های خام و ورودی‌های نیازمند پالایش</x:v>
      </x:c>
      <x:c r="D2465" s="34" t="str">
        <x:v>H20</x:v>
      </x:c>
      <x:c r="E2465" s="34" t="str">
        <x:v>یادداشت تحلیلی/راهبری ثبت‌شده در 11211</x:v>
      </x:c>
      <x:c r="F2465" s="34" t="str">
        <x:v>P3/CLARIFY</x:v>
      </x:c>
      <x:c r="G2465" s="34" t="str">
        <x:v>پروژه/طرح</x:v>
      </x:c>
      <x:c r="H2465" s="39" t="str">
        <x:v>می توان برنامه ای ساخت به نام:</x:v>
      </x:c>
      <x:c r="I2465" s="39" t="str">
        <x:v>نیازمند تعریف خروجی یا پارک</x:v>
      </x:c>
      <x:c r="J2465" s="39" t="str">
        <x:v>تحلیلگر راهبری/PMO؛ تبدیل به فرضیه یا اقدام در صورت نیاز</x:v>
      </x:c>
      <x:c r="K2465" s="39" t="str"/>
      <x:c r="L2465" s="39" t="str">
        <x:v>E112:P1417</x:v>
      </x:c>
      <x:c r="M2465" s="39" t="str"/>
      <x:c r="N2465" s="39" t="str">
        <x:v>نسخه پایه ۳۱۵۰</x:v>
      </x:c>
    </x:row>
    <x:row r="2466" ht="34" customHeight="1">
      <x:c r="A2466" s="34" t="str">
        <x:v>☐</x:v>
      </x:c>
      <x:c r="B2466" s="34" t="str">
        <x:v>MI-2457</x:v>
      </x:c>
      <x:c r="C2466" s="34" t="str">
        <x:v>M6 — تحلیل‌های خام و ورودی‌های نیازمند پالایش</x:v>
      </x:c>
      <x:c r="D2466" s="34" t="str">
        <x:v>H20</x:v>
      </x:c>
      <x:c r="E2466" s="34" t="str">
        <x:v>یادداشت تحلیلی/راهبری ثبت‌شده در 11211</x:v>
      </x:c>
      <x:c r="F2466" s="34" t="str">
        <x:v>P3/CLARIFY</x:v>
      </x:c>
      <x:c r="G2466" s="34" t="str">
        <x:v>پروژه/طرح</x:v>
      </x:c>
      <x:c r="H2466" s="39" t="str">
        <x:v>ایجاد Founder Network</x:v>
      </x:c>
      <x:c r="I2466" s="39" t="str">
        <x:v>نیازمند تعریف خروجی یا پارک</x:v>
      </x:c>
      <x:c r="J2466" s="39" t="str">
        <x:v>تحلیلگر راهبری/PMO؛ تبدیل به فرضیه یا اقدام در صورت نیاز</x:v>
      </x:c>
      <x:c r="K2466" s="39" t="str"/>
      <x:c r="L2466" s="39" t="str">
        <x:v>E112:P1751</x:v>
      </x:c>
      <x:c r="M2466" s="39" t="str"/>
      <x:c r="N2466" s="39" t="str">
        <x:v>نسخه پایه ۳۱۵۰</x:v>
      </x:c>
    </x:row>
    <x:row r="2467" ht="34" customHeight="1">
      <x:c r="A2467" s="34" t="str">
        <x:v>☐</x:v>
      </x:c>
      <x:c r="B2467" s="34" t="str">
        <x:v>MI-2484</x:v>
      </x:c>
      <x:c r="C2467" s="34" t="str">
        <x:v>M6 — تحلیل‌های خام و ورودی‌های نیازمند پالایش</x:v>
      </x:c>
      <x:c r="D2467" s="34" t="str">
        <x:v>H20</x:v>
      </x:c>
      <x:c r="E2467" s="34" t="str">
        <x:v>یادداشت تحلیلی/راهبری ثبت‌شده در 11211</x:v>
      </x:c>
      <x:c r="F2467" s="34" t="str">
        <x:v>P3/CLARIFY</x:v>
      </x:c>
      <x:c r="G2467" s="34" t="str">
        <x:v>پروژه/طرح</x:v>
      </x:c>
      <x:c r="H2467" s="39" t="str">
        <x:v>ثبت پروژه ها</x:v>
      </x:c>
      <x:c r="I2467" s="39" t="str">
        <x:v>نیازمند تعریف خروجی یا پارک</x:v>
      </x:c>
      <x:c r="J2467" s="39" t="str">
        <x:v>تحلیلگر راهبری/PMO؛ تبدیل به فرضیه یا اقدام در صورت نیاز</x:v>
      </x:c>
      <x:c r="K2467" s="39" t="str"/>
      <x:c r="L2467" s="39" t="str">
        <x:v>E112:P1977؛ E112:P2493؛ E112:P2958</x:v>
      </x:c>
      <x:c r="M2467" s="39" t="str"/>
      <x:c r="N2467" s="39" t="str">
        <x:v>نسخه پایه ۳۱۵۰</x:v>
      </x:c>
    </x:row>
    <x:row r="2468" ht="34" customHeight="1">
      <x:c r="A2468" s="34" t="str">
        <x:v>☐</x:v>
      </x:c>
      <x:c r="B2468" s="34" t="str">
        <x:v>MI-2488</x:v>
      </x:c>
      <x:c r="C2468" s="34" t="str">
        <x:v>M6 — تحلیل‌های خام و ورودی‌های نیازمند پالایش</x:v>
      </x:c>
      <x:c r="D2468" s="34" t="str">
        <x:v>H20</x:v>
      </x:c>
      <x:c r="E2468" s="34" t="str">
        <x:v>یادداشت تحلیلی/راهبری ثبت‌شده در 11211</x:v>
      </x:c>
      <x:c r="F2468" s="34" t="str">
        <x:v>P3/CLARIFY</x:v>
      </x:c>
      <x:c r="G2468" s="34" t="str">
        <x:v>پروژه/طرح</x:v>
      </x:c>
      <x:c r="H2468" s="39" t="str">
        <x:v>پیشنهاد پروژه</x:v>
      </x:c>
      <x:c r="I2468" s="39" t="str">
        <x:v>نیازمند تعریف خروجی یا پارک</x:v>
      </x:c>
      <x:c r="J2468" s="39" t="str">
        <x:v>تحلیلگر راهبری/PMO؛ تبدیل به فرضیه یا اقدام در صورت نیاز</x:v>
      </x:c>
      <x:c r="K2468" s="39" t="str"/>
      <x:c r="L2468" s="39" t="str">
        <x:v>E112:P1983؛ E112:P2965</x:v>
      </x:c>
      <x:c r="M2468" s="39" t="str"/>
      <x:c r="N2468" s="39" t="str">
        <x:v>نسخه پایه ۳۱۵۰</x:v>
      </x:c>
    </x:row>
    <x:row r="2469" ht="34" customHeight="1">
      <x:c r="A2469" s="34" t="str">
        <x:v>☐</x:v>
      </x:c>
      <x:c r="B2469" s="34" t="str">
        <x:v>MI-2517</x:v>
      </x:c>
      <x:c r="C2469" s="34" t="str">
        <x:v>M6 — تحلیل‌های خام و ورودی‌های نیازمند پالایش</x:v>
      </x:c>
      <x:c r="D2469" s="34" t="str">
        <x:v>H20</x:v>
      </x:c>
      <x:c r="E2469" s="34" t="str">
        <x:v>یادداشت تحلیلی/راهبری ثبت‌شده در 11211</x:v>
      </x:c>
      <x:c r="F2469" s="34" t="str">
        <x:v>P3/CLARIFY</x:v>
      </x:c>
      <x:c r="G2469" s="34" t="str">
        <x:v>پروژه/طرح</x:v>
      </x:c>
      <x:c r="H2469" s="39" t="str">
        <x:v>تعریف پروژه</x:v>
      </x:c>
      <x:c r="I2469" s="39" t="str">
        <x:v>نیازمند تعریف خروجی یا پارک</x:v>
      </x:c>
      <x:c r="J2469" s="39" t="str">
        <x:v>تحلیلگر راهبری/PMO؛ تبدیل به فرضیه یا اقدام در صورت نیاز</x:v>
      </x:c>
      <x:c r="K2469" s="39" t="str"/>
      <x:c r="L2469" s="39" t="str">
        <x:v>E112:P2034؛ E112:P2584؛ E112:P2901؛ E112:P3018؛ E112:P3430</x:v>
      </x:c>
      <x:c r="M2469" s="39" t="str"/>
      <x:c r="N2469" s="39" t="str">
        <x:v>نسخه پایه ۳۱۵۰</x:v>
      </x:c>
    </x:row>
    <x:row r="2470" ht="34" customHeight="1">
      <x:c r="A2470" s="34" t="str">
        <x:v>☐</x:v>
      </x:c>
      <x:c r="B2470" s="34" t="str">
        <x:v>MI-2528</x:v>
      </x:c>
      <x:c r="C2470" s="34" t="str">
        <x:v>M6 — تحلیل‌های خام و ورودی‌های نیازمند پالایش</x:v>
      </x:c>
      <x:c r="D2470" s="34" t="str">
        <x:v>H20</x:v>
      </x:c>
      <x:c r="E2470" s="34" t="str">
        <x:v>یادداشت تحلیلی/راهبری ثبت‌شده در 11211</x:v>
      </x:c>
      <x:c r="F2470" s="34" t="str">
        <x:v>P3/CLARIFY</x:v>
      </x:c>
      <x:c r="G2470" s="34" t="str">
        <x:v>پروژه/طرح</x:v>
      </x:c>
      <x:c r="H2470" s="39" t="str">
        <x:v>عارضه یابی پروژه ها</x:v>
      </x:c>
      <x:c r="I2470" s="39" t="str">
        <x:v>نیازمند تعریف خروجی یا پارک</x:v>
      </x:c>
      <x:c r="J2470" s="39" t="str">
        <x:v>تحلیلگر راهبری/PMO؛ تبدیل به فرضیه یا اقدام در صورت نیاز</x:v>
      </x:c>
      <x:c r="K2470" s="39" t="str"/>
      <x:c r="L2470" s="39" t="str">
        <x:v>E112:P2052؛ E112:P2627؛ E112:P3037</x:v>
      </x:c>
      <x:c r="M2470" s="39" t="str"/>
      <x:c r="N2470" s="39" t="str">
        <x:v>نسخه پایه ۳۱۵۰</x:v>
      </x:c>
    </x:row>
    <x:row r="2471" ht="34" customHeight="1">
      <x:c r="A2471" s="34" t="str">
        <x:v>☐</x:v>
      </x:c>
      <x:c r="B2471" s="34" t="str">
        <x:v>MI-2537</x:v>
      </x:c>
      <x:c r="C2471" s="34" t="str">
        <x:v>M6 — تحلیل‌های خام و ورودی‌های نیازمند پالایش</x:v>
      </x:c>
      <x:c r="D2471" s="34" t="str">
        <x:v>H20</x:v>
      </x:c>
      <x:c r="E2471" s="34" t="str">
        <x:v>یادداشت تحلیلی/راهبری ثبت‌شده در 11211</x:v>
      </x:c>
      <x:c r="F2471" s="34" t="str">
        <x:v>P3/CLARIFY</x:v>
      </x:c>
      <x:c r="G2471" s="34" t="str">
        <x:v>پروژه/طرح</x:v>
      </x:c>
      <x:c r="H2471" s="39" t="str">
        <x:v>7. برنامه های پروژه محور</x:v>
      </x:c>
      <x:c r="I2471" s="39" t="str">
        <x:v>نیازمند تعریف خروجی یا پارک</x:v>
      </x:c>
      <x:c r="J2471" s="39" t="str">
        <x:v>تحلیلگر راهبری/PMO؛ تبدیل به فرضیه یا اقدام در صورت نیاز</x:v>
      </x:c>
      <x:c r="K2471" s="39" t="str"/>
      <x:c r="L2471" s="39" t="str">
        <x:v>E112:P2070</x:v>
      </x:c>
      <x:c r="M2471" s="39" t="str"/>
      <x:c r="N2471" s="39" t="str">
        <x:v>نسخه پایه ۳۱۵۰</x:v>
      </x:c>
    </x:row>
    <x:row r="2472" ht="34" customHeight="1">
      <x:c r="A2472" s="34" t="str">
        <x:v>☐</x:v>
      </x:c>
      <x:c r="B2472" s="34" t="str">
        <x:v>MI-2548</x:v>
      </x:c>
      <x:c r="C2472" s="34" t="str">
        <x:v>M6 — تحلیل‌های خام و ورودی‌های نیازمند پالایش</x:v>
      </x:c>
      <x:c r="D2472" s="34" t="str">
        <x:v>H20</x:v>
      </x:c>
      <x:c r="E2472" s="34" t="str">
        <x:v>یادداشت تحلیلی/راهبری ثبت‌شده در 11211</x:v>
      </x:c>
      <x:c r="F2472" s="34" t="str">
        <x:v>P3/CLARIFY</x:v>
      </x:c>
      <x:c r="G2472" s="34" t="str">
        <x:v>پروژه/طرح</x:v>
      </x:c>
      <x:c r="H2472" s="39" t="str">
        <x:v>اجرای پایلوت</x:v>
      </x:c>
      <x:c r="I2472" s="39" t="str">
        <x:v>نیازمند تعریف خروجی یا پارک</x:v>
      </x:c>
      <x:c r="J2472" s="39" t="str">
        <x:v>تحلیلگر راهبری/PMO؛ تبدیل به فرضیه یا اقدام در صورت نیاز</x:v>
      </x:c>
      <x:c r="K2472" s="39" t="str"/>
      <x:c r="L2472" s="39" t="str">
        <x:v>E112:P2098</x:v>
      </x:c>
      <x:c r="M2472" s="39" t="str"/>
      <x:c r="N2472" s="39" t="str">
        <x:v>نسخه پایه ۳۱۵۰</x:v>
      </x:c>
    </x:row>
    <x:row r="2473" ht="34" customHeight="1">
      <x:c r="A2473" s="34" t="str">
        <x:v>☐</x:v>
      </x:c>
      <x:c r="B2473" s="34" t="str">
        <x:v>MI-2586</x:v>
      </x:c>
      <x:c r="C2473" s="34" t="str">
        <x:v>M6 — تحلیل‌های خام و ورودی‌های نیازمند پالایش</x:v>
      </x:c>
      <x:c r="D2473" s="34" t="str">
        <x:v>H20</x:v>
      </x:c>
      <x:c r="E2473" s="34" t="str">
        <x:v>یادداشت تحلیلی/راهبری ثبت‌شده در 11211</x:v>
      </x:c>
      <x:c r="F2473" s="34" t="str">
        <x:v>P3/CLARIFY</x:v>
      </x:c>
      <x:c r="G2473" s="34" t="str">
        <x:v>پروژه/طرح</x:v>
      </x:c>
      <x:c r="H2473" s="39" t="str">
        <x:v>ایجاد:</x:v>
      </x:c>
      <x:c r="I2473" s="39" t="str">
        <x:v>نیازمند تعریف خروجی یا پارک</x:v>
      </x:c>
      <x:c r="J2473" s="39" t="str">
        <x:v>تحلیلگر راهبری/PMO؛ تبدیل به فرضیه یا اقدام در صورت نیاز</x:v>
      </x:c>
      <x:c r="K2473" s="39" t="str"/>
      <x:c r="L2473" s="39" t="str">
        <x:v>E112:P2180</x:v>
      </x:c>
      <x:c r="M2473" s="39" t="str"/>
      <x:c r="N2473" s="39" t="str">
        <x:v>نسخه پایه ۳۱۵۰</x:v>
      </x:c>
    </x:row>
    <x:row r="2474" ht="34" customHeight="1">
      <x:c r="A2474" s="34" t="str">
        <x:v>☐</x:v>
      </x:c>
      <x:c r="B2474" s="34" t="str">
        <x:v>MI-2590</x:v>
      </x:c>
      <x:c r="C2474" s="34" t="str">
        <x:v>M6 — تحلیل‌های خام و ورودی‌های نیازمند پالایش</x:v>
      </x:c>
      <x:c r="D2474" s="34" t="str">
        <x:v>H20</x:v>
      </x:c>
      <x:c r="E2474" s="34" t="str">
        <x:v>یادداشت تحلیلی/راهبری ثبت‌شده در 11211</x:v>
      </x:c>
      <x:c r="F2474" s="34" t="str">
        <x:v>P3/CLARIFY</x:v>
      </x:c>
      <x:c r="G2474" s="34" t="str">
        <x:v>پروژه/طرح</x:v>
      </x:c>
      <x:c r="H2474" s="39" t="str">
        <x:v>پروژه های دانش آموزی</x:v>
      </x:c>
      <x:c r="I2474" s="39" t="str">
        <x:v>نیازمند تعریف خروجی یا پارک</x:v>
      </x:c>
      <x:c r="J2474" s="39" t="str">
        <x:v>تحلیلگر راهبری/PMO؛ تبدیل به فرضیه یا اقدام در صورت نیاز</x:v>
      </x:c>
      <x:c r="K2474" s="39" t="str"/>
      <x:c r="L2474" s="39" t="str">
        <x:v>E112:P2185</x:v>
      </x:c>
      <x:c r="M2474" s="39" t="str"/>
      <x:c r="N2474" s="39" t="str">
        <x:v>نسخه پایه ۳۱۵۰</x:v>
      </x:c>
    </x:row>
    <x:row r="2475" ht="34" customHeight="1">
      <x:c r="A2475" s="34" t="str">
        <x:v>☐</x:v>
      </x:c>
      <x:c r="B2475" s="34" t="str">
        <x:v>MI-2609</x:v>
      </x:c>
      <x:c r="C2475" s="34" t="str">
        <x:v>M6 — تحلیل‌های خام و ورودی‌های نیازمند پالایش</x:v>
      </x:c>
      <x:c r="D2475" s="34" t="str">
        <x:v>H20</x:v>
      </x:c>
      <x:c r="E2475" s="34" t="str">
        <x:v>یادداشت تحلیلی/راهبری ثبت‌شده در 11211</x:v>
      </x:c>
      <x:c r="F2475" s="34" t="str">
        <x:v>P3/CLARIFY</x:v>
      </x:c>
      <x:c r="G2475" s="34" t="str">
        <x:v>پروژه/طرح</x:v>
      </x:c>
      <x:c r="H2475" s="39" t="str">
        <x:v>یه سند جامع و کامل و با دقت از اونچه تا الان مطرح شده به علاوه این متن خودمون بیا و تشکیل بده</x:v>
      </x:c>
      <x:c r="I2475" s="39" t="str">
        <x:v>نیازمند تعریف خروجی یا پارک</x:v>
      </x:c>
      <x:c r="J2475" s="39" t="str">
        <x:v>تحلیلگر راهبری/PMO؛ تبدیل به فرضیه یا اقدام در صورت نیاز</x:v>
      </x:c>
      <x:c r="K2475" s="39" t="str"/>
      <x:c r="L2475" s="39" t="str">
        <x:v>E112:P2441</x:v>
      </x:c>
      <x:c r="M2475" s="39" t="str"/>
      <x:c r="N2475" s="39" t="str">
        <x:v>نسخه پایه ۳۱۵۰</x:v>
      </x:c>
    </x:row>
    <x:row r="2476" ht="34" customHeight="1">
      <x:c r="A2476" s="34" t="str">
        <x:v>☐</x:v>
      </x:c>
      <x:c r="B2476" s="34" t="str">
        <x:v>MI-2623</x:v>
      </x:c>
      <x:c r="C2476" s="34" t="str">
        <x:v>M6 — تحلیل‌های خام و ورودی‌های نیازمند پالایش</x:v>
      </x:c>
      <x:c r="D2476" s="34" t="str">
        <x:v>H20</x:v>
      </x:c>
      <x:c r="E2476" s="34" t="str">
        <x:v>یادداشت تحلیلی/راهبری ثبت‌شده در 11211</x:v>
      </x:c>
      <x:c r="F2476" s="34" t="str">
        <x:v>P3/CLARIFY</x:v>
      </x:c>
      <x:c r="G2476" s="34" t="str">
        <x:v>پروژه/طرح</x:v>
      </x:c>
      <x:c r="H2476" s="39" t="str">
        <x:v>این جریان ها از طریق مجموعه ای از نهادها و زیرساخت ها به یکدیگر متصل می شوند:</x:v>
      </x:c>
      <x:c r="I2476" s="39" t="str">
        <x:v>نیازمند تعریف خروجی یا پارک</x:v>
      </x:c>
      <x:c r="J2476" s="39" t="str">
        <x:v>تحلیلگر راهبری/PMO؛ تبدیل به فرضیه یا اقدام در صورت نیاز</x:v>
      </x:c>
      <x:c r="K2476" s="39" t="str"/>
      <x:c r="L2476" s="39" t="str">
        <x:v>E112:P2472</x:v>
      </x:c>
      <x:c r="M2476" s="39" t="str"/>
      <x:c r="N2476" s="39" t="str">
        <x:v>نسخه پایه ۳۱۵۰</x:v>
      </x:c>
    </x:row>
    <x:row r="2477" ht="34" customHeight="1">
      <x:c r="A2477" s="34" t="str">
        <x:v>☐</x:v>
      </x:c>
      <x:c r="B2477" s="34" t="str">
        <x:v>MI-2631</x:v>
      </x:c>
      <x:c r="C2477" s="34" t="str">
        <x:v>M6 — تحلیل‌های خام و ورودی‌های نیازمند پالایش</x:v>
      </x:c>
      <x:c r="D2477" s="34" t="str">
        <x:v>H20</x:v>
      </x:c>
      <x:c r="E2477" s="34" t="str">
        <x:v>یادداشت تحلیلی/راهبری ثبت‌شده در 11211</x:v>
      </x:c>
      <x:c r="F2477" s="34" t="str">
        <x:v>P3/CLARIFY</x:v>
      </x:c>
      <x:c r="G2477" s="34" t="str">
        <x:v>پروژه/طرح</x:v>
      </x:c>
      <x:c r="H2477" s="39" t="str">
        <x:v>وظایف این سامانه:</x:v>
      </x:c>
      <x:c r="I2477" s="39" t="str">
        <x:v>نیازمند تعریف خروجی یا پارک</x:v>
      </x:c>
      <x:c r="J2477" s="39" t="str">
        <x:v>تحلیلگر راهبری/PMO؛ تبدیل به فرضیه یا اقدام در صورت نیاز</x:v>
      </x:c>
      <x:c r="K2477" s="39" t="str"/>
      <x:c r="L2477" s="39" t="str">
        <x:v>E112:P2487</x:v>
      </x:c>
      <x:c r="M2477" s="39" t="str"/>
      <x:c r="N2477" s="39" t="str">
        <x:v>نسخه پایه ۳۱۵۰</x:v>
      </x:c>
    </x:row>
    <x:row r="2478" ht="34" customHeight="1">
      <x:c r="A2478" s="34" t="str">
        <x:v>☐</x:v>
      </x:c>
      <x:c r="B2478" s="34" t="str">
        <x:v>MI-2634</x:v>
      </x:c>
      <x:c r="C2478" s="34" t="str">
        <x:v>M6 — تحلیل‌های خام و ورودی‌های نیازمند پالایش</x:v>
      </x:c>
      <x:c r="D2478" s="34" t="str">
        <x:v>H20</x:v>
      </x:c>
      <x:c r="E2478" s="34" t="str">
        <x:v>یادداشت تحلیلی/راهبری ثبت‌شده در 11211</x:v>
      </x:c>
      <x:c r="F2478" s="34" t="str">
        <x:v>P3/CLARIFY</x:v>
      </x:c>
      <x:c r="G2478" s="34" t="str">
        <x:v>پروژه/طرح</x:v>
      </x:c>
      <x:c r="H2478" s="39" t="str">
        <x:v>قابلیت های سامانه:</x:v>
      </x:c>
      <x:c r="I2478" s="39" t="str">
        <x:v>نیازمند تعریف خروجی یا پارک</x:v>
      </x:c>
      <x:c r="J2478" s="39" t="str">
        <x:v>تحلیلگر راهبری/PMO؛ تبدیل به فرضیه یا اقدام در صورت نیاز</x:v>
      </x:c>
      <x:c r="K2478" s="39" t="str"/>
      <x:c r="L2478" s="39" t="str">
        <x:v>E112:P2499</x:v>
      </x:c>
      <x:c r="M2478" s="39" t="str"/>
      <x:c r="N2478" s="39" t="str">
        <x:v>نسخه پایه ۳۱۵۰</x:v>
      </x:c>
    </x:row>
    <x:row r="2479" ht="34" customHeight="1">
      <x:c r="A2479" s="34" t="str">
        <x:v>☐</x:v>
      </x:c>
      <x:c r="B2479" s="34" t="str">
        <x:v>MI-2636</x:v>
      </x:c>
      <x:c r="C2479" s="34" t="str">
        <x:v>M6 — تحلیل‌های خام و ورودی‌های نیازمند پالایش</x:v>
      </x:c>
      <x:c r="D2479" s="34" t="str">
        <x:v>H20</x:v>
      </x:c>
      <x:c r="E2479" s="34" t="str">
        <x:v>یادداشت تحلیلی/راهبری ثبت‌شده در 11211</x:v>
      </x:c>
      <x:c r="F2479" s="34" t="str">
        <x:v>P3/CLARIFY</x:v>
      </x:c>
      <x:c r="G2479" s="34" t="str">
        <x:v>پروژه/طرح</x:v>
      </x:c>
      <x:c r="H2479" s="39" t="str">
        <x:v>معرفی پروژه های مناسب</x:v>
      </x:c>
      <x:c r="I2479" s="39" t="str">
        <x:v>نیازمند تعریف خروجی یا پارک</x:v>
      </x:c>
      <x:c r="J2479" s="39" t="str">
        <x:v>تحلیلگر راهبری/PMO؛ تبدیل به فرضیه یا اقدام در صورت نیاز</x:v>
      </x:c>
      <x:c r="K2479" s="39" t="str"/>
      <x:c r="L2479" s="39" t="str">
        <x:v>E112:P2503</x:v>
      </x:c>
      <x:c r="M2479" s="39" t="str"/>
      <x:c r="N2479" s="39" t="str">
        <x:v>نسخه پایه ۳۱۵۰</x:v>
      </x:c>
    </x:row>
    <x:row r="2480" ht="34" customHeight="1">
      <x:c r="A2480" s="34" t="str">
        <x:v>☐</x:v>
      </x:c>
      <x:c r="B2480" s="34" t="str">
        <x:v>MI-2656</x:v>
      </x:c>
      <x:c r="C2480" s="34" t="str">
        <x:v>M6 — تحلیل‌های خام و ورودی‌های نیازمند پالایش</x:v>
      </x:c>
      <x:c r="D2480" s="34" t="str">
        <x:v>H20</x:v>
      </x:c>
      <x:c r="E2480" s="34" t="str">
        <x:v>یادداشت تحلیلی/راهبری ثبت‌شده در 11211</x:v>
      </x:c>
      <x:c r="F2480" s="34" t="str">
        <x:v>P3/CLARIFY</x:v>
      </x:c>
      <x:c r="G2480" s="34" t="str">
        <x:v>پروژه/طرح</x:v>
      </x:c>
      <x:c r="H2480" s="39" t="str">
        <x:v>نیاز پروژه ها</x:v>
      </x:c>
      <x:c r="I2480" s="39" t="str">
        <x:v>نیازمند تعریف خروجی یا پارک</x:v>
      </x:c>
      <x:c r="J2480" s="39" t="str">
        <x:v>تحلیلگر راهبری/PMO؛ تبدیل به فرضیه یا اقدام در صورت نیاز</x:v>
      </x:c>
      <x:c r="K2480" s="39" t="str"/>
      <x:c r="L2480" s="39" t="str">
        <x:v>E112:P2569</x:v>
      </x:c>
      <x:c r="M2480" s="39" t="str"/>
      <x:c r="N2480" s="39" t="str">
        <x:v>نسخه پایه ۳۱۵۰</x:v>
      </x:c>
    </x:row>
    <x:row r="2481" ht="34" customHeight="1">
      <x:c r="A2481" s="34" t="str">
        <x:v>☐</x:v>
      </x:c>
      <x:c r="B2481" s="34" t="str">
        <x:v>MI-2666</x:v>
      </x:c>
      <x:c r="C2481" s="34" t="str">
        <x:v>M6 — تحلیل‌های خام و ورودی‌های نیازمند پالایش</x:v>
      </x:c>
      <x:c r="D2481" s="34" t="str">
        <x:v>H20</x:v>
      </x:c>
      <x:c r="E2481" s="34" t="str">
        <x:v>یادداشت تحلیلی/راهبری ثبت‌شده در 11211</x:v>
      </x:c>
      <x:c r="F2481" s="34" t="str">
        <x:v>P3/CLARIFY</x:v>
      </x:c>
      <x:c r="G2481" s="34" t="str">
        <x:v>پروژه/طرح</x:v>
      </x:c>
      <x:c r="H2481" s="39" t="str">
        <x:v>پروژه بگیرند</x:v>
      </x:c>
      <x:c r="I2481" s="39" t="str">
        <x:v>نیازمند تعریف خروجی یا پارک</x:v>
      </x:c>
      <x:c r="J2481" s="39" t="str">
        <x:v>تحلیلگر راهبری/PMO؛ تبدیل به فرضیه یا اقدام در صورت نیاز</x:v>
      </x:c>
      <x:c r="K2481" s="39" t="str"/>
      <x:c r="L2481" s="39" t="str">
        <x:v>E112:P2596</x:v>
      </x:c>
      <x:c r="M2481" s="39" t="str"/>
      <x:c r="N2481" s="39" t="str">
        <x:v>نسخه پایه ۳۱۵۰</x:v>
      </x:c>
    </x:row>
    <x:row r="2482" ht="34" customHeight="1">
      <x:c r="A2482" s="34" t="str">
        <x:v>☐</x:v>
      </x:c>
      <x:c r="B2482" s="34" t="str">
        <x:v>MI-2687</x:v>
      </x:c>
      <x:c r="C2482" s="34" t="str">
        <x:v>M6 — تحلیل‌های خام و ورودی‌های نیازمند پالایش</x:v>
      </x:c>
      <x:c r="D2482" s="34" t="str">
        <x:v>H20</x:v>
      </x:c>
      <x:c r="E2482" s="34" t="str">
        <x:v>یادداشت تحلیلی/راهبری ثبت‌شده در 11211</x:v>
      </x:c>
      <x:c r="F2482" s="34" t="str">
        <x:v>P3/CLARIFY</x:v>
      </x:c>
      <x:c r="G2482" s="34" t="str">
        <x:v>پروژه/طرح</x:v>
      </x:c>
      <x:c r="H2482" s="39" t="str">
        <x:v>ایجاد پشتوانه اجتماعی برای برنامه ها</x:v>
      </x:c>
      <x:c r="I2482" s="39" t="str">
        <x:v>نیازمند تعریف خروجی یا پارک</x:v>
      </x:c>
      <x:c r="J2482" s="39" t="str">
        <x:v>تحلیلگر راهبری/PMO؛ تبدیل به فرضیه یا اقدام در صورت نیاز</x:v>
      </x:c>
      <x:c r="K2482" s="39" t="str"/>
      <x:c r="L2482" s="39" t="str">
        <x:v>E112:P2652</x:v>
      </x:c>
      <x:c r="M2482" s="39" t="str"/>
      <x:c r="N2482" s="39" t="str">
        <x:v>نسخه پایه ۳۱۵۰</x:v>
      </x:c>
    </x:row>
    <x:row r="2483" ht="34" customHeight="1">
      <x:c r="A2483" s="34" t="str">
        <x:v>☐</x:v>
      </x:c>
      <x:c r="B2483" s="34" t="str">
        <x:v>MI-2704</x:v>
      </x:c>
      <x:c r="C2483" s="34" t="str">
        <x:v>M6 — تحلیل‌های خام و ورودی‌های نیازمند پالایش</x:v>
      </x:c>
      <x:c r="D2483" s="34" t="str">
        <x:v>H20</x:v>
      </x:c>
      <x:c r="E2483" s="34" t="str">
        <x:v>یادداشت تحلیلی/راهبری ثبت‌شده در 11211</x:v>
      </x:c>
      <x:c r="F2483" s="34" t="str">
        <x:v>P3/CLARIFY</x:v>
      </x:c>
      <x:c r="G2483" s="34" t="str">
        <x:v>پروژه/طرح</x:v>
      </x:c>
      <x:c r="H2483" s="39" t="str">
        <x:v>پروژه های میدانی</x:v>
      </x:c>
      <x:c r="I2483" s="39" t="str">
        <x:v>نیازمند تعریف خروجی یا پارک</x:v>
      </x:c>
      <x:c r="J2483" s="39" t="str">
        <x:v>تحلیلگر راهبری/PMO؛ تبدیل به فرضیه یا اقدام در صورت نیاز</x:v>
      </x:c>
      <x:c r="K2483" s="39" t="str"/>
      <x:c r="L2483" s="39" t="str">
        <x:v>E112:P2688</x:v>
      </x:c>
      <x:c r="M2483" s="39" t="str"/>
      <x:c r="N2483" s="39" t="str">
        <x:v>نسخه پایه ۳۱۵۰</x:v>
      </x:c>
    </x:row>
    <x:row r="2484" ht="34" customHeight="1">
      <x:c r="A2484" s="34" t="str">
        <x:v>☐</x:v>
      </x:c>
      <x:c r="B2484" s="34" t="str">
        <x:v>MI-2714</x:v>
      </x:c>
      <x:c r="C2484" s="34" t="str">
        <x:v>M6 — تحلیل‌های خام و ورودی‌های نیازمند پالایش</x:v>
      </x:c>
      <x:c r="D2484" s="34" t="str">
        <x:v>H20</x:v>
      </x:c>
      <x:c r="E2484" s="34" t="str">
        <x:v>یادداشت تحلیلی/راهبری ثبت‌شده در 11211</x:v>
      </x:c>
      <x:c r="F2484" s="34" t="str">
        <x:v>P3/CLARIFY</x:v>
      </x:c>
      <x:c r="G2484" s="34" t="str">
        <x:v>پروژه/طرح</x:v>
      </x:c>
      <x:c r="H2484" s="39" t="str">
        <x:v>ایجاد می کند.</x:v>
      </x:c>
      <x:c r="I2484" s="39" t="str">
        <x:v>نیازمند تعریف خروجی یا پارک</x:v>
      </x:c>
      <x:c r="J2484" s="39" t="str">
        <x:v>تحلیلگر راهبری/PMO؛ تبدیل به فرضیه یا اقدام در صورت نیاز</x:v>
      </x:c>
      <x:c r="K2484" s="39" t="str"/>
      <x:c r="L2484" s="39" t="str">
        <x:v>E112:P2716</x:v>
      </x:c>
      <x:c r="M2484" s="39" t="str"/>
      <x:c r="N2484" s="39" t="str">
        <x:v>نسخه پایه ۳۱۵۰</x:v>
      </x:c>
    </x:row>
    <x:row r="2485" ht="34" customHeight="1">
      <x:c r="A2485" s="34" t="str">
        <x:v>☐</x:v>
      </x:c>
      <x:c r="B2485" s="34" t="str">
        <x:v>MI-2722</x:v>
      </x:c>
      <x:c r="C2485" s="34" t="str">
        <x:v>M6 — تحلیل‌های خام و ورودی‌های نیازمند پالایش</x:v>
      </x:c>
      <x:c r="D2485" s="34" t="str">
        <x:v>H20</x:v>
      </x:c>
      <x:c r="E2485" s="34" t="str">
        <x:v>یادداشت تحلیلی/راهبری ثبت‌شده در 11211</x:v>
      </x:c>
      <x:c r="F2485" s="34" t="str">
        <x:v>P3/CLARIFY</x:v>
      </x:c>
      <x:c r="G2485" s="34" t="str">
        <x:v>پروژه/طرح</x:v>
      </x:c>
      <x:c r="H2485" s="39" t="str">
        <x:v>پروژه تعریف می شود</x:v>
      </x:c>
      <x:c r="I2485" s="39" t="str">
        <x:v>نیازمند تعریف خروجی یا پارک</x:v>
      </x:c>
      <x:c r="J2485" s="39" t="str">
        <x:v>تحلیلگر راهبری/PMO؛ تبدیل به فرضیه یا اقدام در صورت نیاز</x:v>
      </x:c>
      <x:c r="K2485" s="39" t="str"/>
      <x:c r="L2485" s="39" t="str">
        <x:v>E112:P2735</x:v>
      </x:c>
      <x:c r="M2485" s="39" t="str"/>
      <x:c r="N2485" s="39" t="str">
        <x:v>نسخه پایه ۳۱۵۰</x:v>
      </x:c>
    </x:row>
    <x:row r="2486" ht="34" customHeight="1">
      <x:c r="A2486" s="34" t="str">
        <x:v>☐</x:v>
      </x:c>
      <x:c r="B2486" s="34" t="str">
        <x:v>MI-2783</x:v>
      </x:c>
      <x:c r="C2486" s="34" t="str">
        <x:v>M6 — تحلیل‌های خام و ورودی‌های نیازمند پالایش</x:v>
      </x:c>
      <x:c r="D2486" s="34" t="str">
        <x:v>H20</x:v>
      </x:c>
      <x:c r="E2486" s="34" t="str">
        <x:v>یادداشت تحلیلی/راهبری ثبت‌شده در 11211</x:v>
      </x:c>
      <x:c r="F2486" s="34" t="str">
        <x:v>P3/CLARIFY</x:v>
      </x:c>
      <x:c r="G2486" s="34" t="str">
        <x:v>پروژه/طرح</x:v>
      </x:c>
      <x:c r="H2486" s="39" t="str">
        <x:v>ایجاد شرکت</x:v>
      </x:c>
      <x:c r="I2486" s="39" t="str">
        <x:v>نیازمند تعریف خروجی یا پارک</x:v>
      </x:c>
      <x:c r="J2486" s="39" t="str">
        <x:v>تحلیلگر راهبری/PMO؛ تبدیل به فرضیه یا اقدام در صورت نیاز</x:v>
      </x:c>
      <x:c r="K2486" s="39" t="str"/>
      <x:c r="L2486" s="39" t="str">
        <x:v>E112:P2909</x:v>
      </x:c>
      <x:c r="M2486" s="39" t="str"/>
      <x:c r="N2486" s="39" t="str">
        <x:v>نسخه پایه ۳۱۵۰</x:v>
      </x:c>
    </x:row>
    <x:row r="2487" ht="34" customHeight="1">
      <x:c r="A2487" s="34" t="str">
        <x:v>☐</x:v>
      </x:c>
      <x:c r="B2487" s="34" t="str">
        <x:v>MI-2814</x:v>
      </x:c>
      <x:c r="C2487" s="34" t="str">
        <x:v>M6 — تحلیل‌های خام و ورودی‌های نیازمند پالایش</x:v>
      </x:c>
      <x:c r="D2487" s="34" t="str">
        <x:v>H20</x:v>
      </x:c>
      <x:c r="E2487" s="34" t="str">
        <x:v>یادداشت تحلیلی/راهبری ثبت‌شده در 11211</x:v>
      </x:c>
      <x:c r="F2487" s="34" t="str">
        <x:v>P3/CLARIFY</x:v>
      </x:c>
      <x:c r="G2487" s="34" t="str">
        <x:v>پروژه/طرح</x:v>
      </x:c>
      <x:c r="H2487" s="39" t="str">
        <x:v>در واقع این سامانه تعیین می کند هر فرد باید وارد کدام مسیر شود.</x:v>
      </x:c>
      <x:c r="I2487" s="39" t="str">
        <x:v>نیازمند تعریف خروجی یا پارک</x:v>
      </x:c>
      <x:c r="J2487" s="39" t="str">
        <x:v>تحلیلگر راهبری/PMO؛ تبدیل به فرضیه یا اقدام در صورت نیاز</x:v>
      </x:c>
      <x:c r="K2487" s="39" t="str"/>
      <x:c r="L2487" s="39" t="str">
        <x:v>E112:P2970</x:v>
      </x:c>
      <x:c r="M2487" s="39" t="str"/>
      <x:c r="N2487" s="39" t="str">
        <x:v>نسخه پایه ۳۱۵۰</x:v>
      </x:c>
    </x:row>
    <x:row r="2488" ht="34" customHeight="1">
      <x:c r="A2488" s="34" t="str">
        <x:v>☐</x:v>
      </x:c>
      <x:c r="B2488" s="34" t="str">
        <x:v>MI-2830</x:v>
      </x:c>
      <x:c r="C2488" s="34" t="str">
        <x:v>M6 — تحلیل‌های خام و ورودی‌های نیازمند پالایش</x:v>
      </x:c>
      <x:c r="D2488" s="34" t="str">
        <x:v>H20</x:v>
      </x:c>
      <x:c r="E2488" s="34" t="str">
        <x:v>یادداشت تحلیلی/راهبری ثبت‌شده در 11211</x:v>
      </x:c>
      <x:c r="F2488" s="34" t="str">
        <x:v>P3/CLARIFY</x:v>
      </x:c>
      <x:c r="G2488" s="34" t="str">
        <x:v>پروژه/طرح</x:v>
      </x:c>
      <x:c r="H2488" s="39" t="str">
        <x:v>افزایش احتمال موفقیت پروژه</x:v>
      </x:c>
      <x:c r="I2488" s="39" t="str">
        <x:v>نیازمند تعریف خروجی یا پارک</x:v>
      </x:c>
      <x:c r="J2488" s="39" t="str">
        <x:v>تحلیلگر راهبری/PMO؛ تبدیل به فرضیه یا اقدام در صورت نیاز</x:v>
      </x:c>
      <x:c r="K2488" s="39" t="str"/>
      <x:c r="L2488" s="39" t="str">
        <x:v>E112:P3038</x:v>
      </x:c>
      <x:c r="M2488" s="39" t="str"/>
      <x:c r="N2488" s="39" t="str">
        <x:v>نسخه پایه ۳۱۵۰</x:v>
      </x:c>
    </x:row>
    <x:row r="2489" ht="34" customHeight="1">
      <x:c r="A2489" s="34" t="str">
        <x:v>☐</x:v>
      </x:c>
      <x:c r="B2489" s="34" t="str">
        <x:v>MI-2836</x:v>
      </x:c>
      <x:c r="C2489" s="34" t="str">
        <x:v>M6 — تحلیل‌های خام و ورودی‌های نیازمند پالایش</x:v>
      </x:c>
      <x:c r="D2489" s="34" t="str">
        <x:v>H20</x:v>
      </x:c>
      <x:c r="E2489" s="34" t="str">
        <x:v>یادداشت تحلیلی/راهبری ثبت‌شده در 11211</x:v>
      </x:c>
      <x:c r="F2489" s="34" t="str">
        <x:v>P3/CLARIFY</x:v>
      </x:c>
      <x:c r="G2489" s="34" t="str">
        <x:v>پروژه/طرح</x:v>
      </x:c>
      <x:c r="H2489" s="39" t="str">
        <x:v>پروژه های نوآوری.</x:v>
      </x:c>
      <x:c r="I2489" s="39" t="str">
        <x:v>نیازمند تعریف خروجی یا پارک</x:v>
      </x:c>
      <x:c r="J2489" s="39" t="str">
        <x:v>تحلیلگر راهبری/PMO؛ تبدیل به فرضیه یا اقدام در صورت نیاز</x:v>
      </x:c>
      <x:c r="K2489" s="39" t="str"/>
      <x:c r="L2489" s="39" t="str">
        <x:v>E112:P3056</x:v>
      </x:c>
      <x:c r="M2489" s="39" t="str"/>
      <x:c r="N2489" s="39" t="str">
        <x:v>نسخه پایه ۳۱۵۰</x:v>
      </x:c>
    </x:row>
    <x:row r="2490" ht="34" customHeight="1">
      <x:c r="A2490" s="34" t="str">
        <x:v>☐</x:v>
      </x:c>
      <x:c r="B2490" s="34" t="str">
        <x:v>MI-2873</x:v>
      </x:c>
      <x:c r="C2490" s="34" t="str">
        <x:v>M6 — تحلیل‌های خام و ورودی‌های نیازمند پالایش</x:v>
      </x:c>
      <x:c r="D2490" s="34" t="str">
        <x:v>H20</x:v>
      </x:c>
      <x:c r="E2490" s="34" t="str">
        <x:v>یادداشت تحلیلی/راهبری ثبت‌شده در 11211</x:v>
      </x:c>
      <x:c r="F2490" s="34" t="str">
        <x:v>P3/CLARIFY</x:v>
      </x:c>
      <x:c r="G2490" s="34" t="str">
        <x:v>پروژه/طرح</x:v>
      </x:c>
      <x:c r="H2490" s="39" t="str">
        <x:v>ساخت یک چرخه کامل:</x:v>
      </x:c>
      <x:c r="I2490" s="39" t="str">
        <x:v>نیازمند تعریف خروجی یا پارک</x:v>
      </x:c>
      <x:c r="J2490" s="39" t="str">
        <x:v>تحلیلگر راهبری/PMO؛ تبدیل به فرضیه یا اقدام در صورت نیاز</x:v>
      </x:c>
      <x:c r="K2490" s="39" t="str"/>
      <x:c r="L2490" s="39" t="str">
        <x:v>E112:P3162</x:v>
      </x:c>
      <x:c r="M2490" s="39" t="str"/>
      <x:c r="N2490" s="39" t="str">
        <x:v>نسخه پایه ۳۱۵۰</x:v>
      </x:c>
    </x:row>
    <x:row r="2491" ht="34" customHeight="1">
      <x:c r="A2491" s="34" t="str">
        <x:v>☐</x:v>
      </x:c>
      <x:c r="B2491" s="34" t="str">
        <x:v>MI-2883</x:v>
      </x:c>
      <x:c r="C2491" s="34" t="str">
        <x:v>M6 — تحلیل‌های خام و ورودی‌های نیازمند پالایش</x:v>
      </x:c>
      <x:c r="D2491" s="34" t="str">
        <x:v>H20</x:v>
      </x:c>
      <x:c r="E2491" s="34" t="str">
        <x:v>یادداشت تحلیلی/راهبری ثبت‌شده در 11211</x:v>
      </x:c>
      <x:c r="F2491" s="34" t="str">
        <x:v>P3/CLARIFY</x:v>
      </x:c>
      <x:c r="G2491" s="34" t="str">
        <x:v>پروژه/طرح</x:v>
      </x:c>
      <x:c r="H2491" s="39" t="str">
        <x:v>اگر بخواهی، می توانم یک مرحله عمیق تر هم بروم که برای چنین طرحی خیلی حیاتی است:</x:v>
      </x:c>
      <x:c r="I2491" s="39" t="str">
        <x:v>نیازمند تعریف خروجی یا پارک</x:v>
      </x:c>
      <x:c r="J2491" s="39" t="str">
        <x:v>تحلیلگر راهبری/PMO؛ تبدیل به فرضیه یا اقدام در صورت نیاز</x:v>
      </x:c>
      <x:c r="K2491" s="39" t="str"/>
      <x:c r="L2491" s="39" t="str">
        <x:v>E112:P3217</x:v>
      </x:c>
      <x:c r="M2491" s="39" t="str"/>
      <x:c r="N2491" s="39" t="str">
        <x:v>نسخه پایه ۳۱۵۰</x:v>
      </x:c>
    </x:row>
    <x:row r="2492" ht="34" customHeight="1">
      <x:c r="A2492" s="34" t="str">
        <x:v>☐</x:v>
      </x:c>
      <x:c r="B2492" s="34" t="str">
        <x:v>MI-2890</x:v>
      </x:c>
      <x:c r="C2492" s="34" t="str">
        <x:v>M6 — تحلیل‌های خام و ورودی‌های نیازمند پالایش</x:v>
      </x:c>
      <x:c r="D2492" s="34" t="str">
        <x:v>H20</x:v>
      </x:c>
      <x:c r="E2492" s="34" t="str">
        <x:v>یادداشت تحلیلی/راهبری ثبت‌شده در 11211</x:v>
      </x:c>
      <x:c r="F2492" s="34" t="str">
        <x:v>P3/CLARIFY</x:v>
      </x:c>
      <x:c r="G2492" s="34" t="str">
        <x:v>پروژه/طرح</x:v>
      </x:c>
      <x:c r="H2492" s="39" t="str">
        <x:v>برای چنین کاری باید از NotebookLM یک نوع پرامپت بسیار مشخص و محدودکننده بگیری؛ چون اگر نگویی «محتوا را حذف نکن» معمولاً شروع می کند خلاصه کردن. هدف تو این است که روی همان متن، یک لایهٔ ساختاری و مدیریتی بسازد نه اینکه متن را بازنویسی کند.</x:v>
      </x:c>
      <x:c r="I2492" s="39" t="str">
        <x:v>نیازمند تعریف خروجی یا پارک</x:v>
      </x:c>
      <x:c r="J2492" s="39" t="str">
        <x:v>تحلیلگر راهبری/PMO؛ تبدیل به فرضیه یا اقدام در صورت نیاز</x:v>
      </x:c>
      <x:c r="K2492" s="39" t="str"/>
      <x:c r="L2492" s="39" t="str">
        <x:v>E112:P3229</x:v>
      </x:c>
      <x:c r="M2492" s="39" t="str"/>
      <x:c r="N2492" s="39" t="str">
        <x:v>نسخه پایه ۳۱۵۰</x:v>
      </x:c>
    </x:row>
    <x:row r="2493" ht="34" customHeight="1">
      <x:c r="A2493" s="34" t="str">
        <x:v>☐</x:v>
      </x:c>
      <x:c r="B2493" s="34" t="str">
        <x:v>MI-2898</x:v>
      </x:c>
      <x:c r="C2493" s="34" t="str">
        <x:v>M6 — تحلیل‌های خام و ورودی‌های نیازمند پالایش</x:v>
      </x:c>
      <x:c r="D2493" s="34" t="str">
        <x:v>H20</x:v>
      </x:c>
      <x:c r="E2493" s="34" t="str">
        <x:v>یادداشت تحلیلی/راهبری ثبت‌شده در 11211</x:v>
      </x:c>
      <x:c r="F2493" s="34" t="str">
        <x:v>P3/CLARIFY</x:v>
      </x:c>
      <x:c r="G2493" s="34" t="str">
        <x:v>پروژه/طرح</x:v>
      </x:c>
      <x:c r="H2493" s="39" t="str">
        <x:v>محتوا باید حفظ شود و فقط روی آن «ساختار مدیریتی و طبقه بندی اجرایی» اعمال شود.</x:v>
      </x:c>
      <x:c r="I2493" s="39" t="str">
        <x:v>نیازمند تعریف خروجی یا پارک</x:v>
      </x:c>
      <x:c r="J2493" s="39" t="str">
        <x:v>تحلیلگر راهبری/PMO؛ تبدیل به فرضیه یا اقدام در صورت نیاز</x:v>
      </x:c>
      <x:c r="K2493" s="39" t="str"/>
      <x:c r="L2493" s="39" t="str">
        <x:v>E112:P3245</x:v>
      </x:c>
      <x:c r="M2493" s="39" t="str"/>
      <x:c r="N2493" s="39" t="str">
        <x:v>نسخه پایه ۳۱۵۰</x:v>
      </x:c>
    </x:row>
    <x:row r="2494" ht="34" customHeight="1">
      <x:c r="A2494" s="34" t="str">
        <x:v>☐</x:v>
      </x:c>
      <x:c r="B2494" s="34" t="str">
        <x:v>MI-2916</x:v>
      </x:c>
      <x:c r="C2494" s="34" t="str">
        <x:v>M6 — تحلیل‌های خام و ورودی‌های نیازمند پالایش</x:v>
      </x:c>
      <x:c r="D2494" s="34" t="str">
        <x:v>H20</x:v>
      </x:c>
      <x:c r="E2494" s="34" t="str">
        <x:v>یادداشت تحلیلی/راهبری ثبت‌شده در 11211</x:v>
      </x:c>
      <x:c r="F2494" s="34" t="str">
        <x:v>P3/CLARIFY</x:v>
      </x:c>
      <x:c r="G2494" s="34" t="str">
        <x:v>پروژه/طرح</x:v>
      </x:c>
      <x:c r="H2494" s="39" t="str">
        <x:v>واحد داده و سامانه پایش</x:v>
      </x:c>
      <x:c r="I2494" s="39" t="str">
        <x:v>نیازمند تعریف خروجی یا پارک</x:v>
      </x:c>
      <x:c r="J2494" s="39" t="str">
        <x:v>تحلیلگر راهبری/PMO؛ تبدیل به فرضیه یا اقدام در صورت نیاز</x:v>
      </x:c>
      <x:c r="K2494" s="39" t="str"/>
      <x:c r="L2494" s="39" t="str">
        <x:v>E112:P3267</x:v>
      </x:c>
      <x:c r="M2494" s="39" t="str"/>
      <x:c r="N2494" s="39" t="str">
        <x:v>نسخه پایه ۳۱۵۰</x:v>
      </x:c>
    </x:row>
    <x:row r="2495" ht="34" customHeight="1">
      <x:c r="A2495" s="34" t="str">
        <x:v>☐</x:v>
      </x:c>
      <x:c r="B2495" s="34" t="str">
        <x:v>MI-2931</x:v>
      </x:c>
      <x:c r="C2495" s="34" t="str">
        <x:v>M6 — تحلیل‌های خام و ورودی‌های نیازمند پالایش</x:v>
      </x:c>
      <x:c r="D2495" s="34" t="str">
        <x:v>H20</x:v>
      </x:c>
      <x:c r="E2495" s="34" t="str">
        <x:v>یادداشت تحلیلی/راهبری ثبت‌شده در 11211</x:v>
      </x:c>
      <x:c r="F2495" s="34" t="str">
        <x:v>P3/CLARIFY</x:v>
      </x:c>
      <x:c r="G2495" s="34" t="str">
        <x:v>پروژه/طرح</x:v>
      </x:c>
      <x:c r="H2495" s="39" t="str">
        <x:v>ساختار سازمانی، جریان عملیات، ابزار پایش، و نقشه اجرا.</x:v>
      </x:c>
      <x:c r="I2495" s="39" t="str">
        <x:v>نیازمند تعریف خروجی یا پارک</x:v>
      </x:c>
      <x:c r="J2495" s="39" t="str">
        <x:v>تحلیلگر راهبری/PMO؛ تبدیل به فرضیه یا اقدام در صورت نیاز</x:v>
      </x:c>
      <x:c r="K2495" s="39" t="str"/>
      <x:c r="L2495" s="39" t="str">
        <x:v>E112:P3293</x:v>
      </x:c>
      <x:c r="M2495" s="39" t="str"/>
      <x:c r="N2495" s="39" t="str">
        <x:v>نسخه پایه ۳۱۵۰</x:v>
      </x:c>
    </x:row>
    <x:row r="2496" ht="34" customHeight="1">
      <x:c r="A2496" s="34" t="str">
        <x:v>☐</x:v>
      </x:c>
      <x:c r="B2496" s="34" t="str">
        <x:v>MI-2932</x:v>
      </x:c>
      <x:c r="C2496" s="34" t="str">
        <x:v>M6 — تحلیل‌های خام و ورودی‌های نیازمند پالایش</x:v>
      </x:c>
      <x:c r="D2496" s="34" t="str">
        <x:v>H20</x:v>
      </x:c>
      <x:c r="E2496" s="34" t="str">
        <x:v>یادداشت تحلیلی/راهبری ثبت‌شده در 11211</x:v>
      </x:c>
      <x:c r="F2496" s="34" t="str">
        <x:v>P3/CLARIFY</x:v>
      </x:c>
      <x:c r="G2496" s="34" t="str">
        <x:v>پروژه/طرح</x:v>
      </x:c>
      <x:c r="H2496" s="39" t="str">
        <x:v>من همان معماری که ساختی را نگه می دارم و فقط آن را به مدل قابل اجرا تبدیل می کنم.</x:v>
      </x:c>
      <x:c r="I2496" s="39" t="str">
        <x:v>نیازمند تعریف خروجی یا پارک</x:v>
      </x:c>
      <x:c r="J2496" s="39" t="str">
        <x:v>تحلیلگر راهبری/PMO؛ تبدیل به فرضیه یا اقدام در صورت نیاز</x:v>
      </x:c>
      <x:c r="K2496" s="39" t="str"/>
      <x:c r="L2496" s="39" t="str">
        <x:v>E112:P3295</x:v>
      </x:c>
      <x:c r="M2496" s="39" t="str"/>
      <x:c r="N2496" s="39" t="str">
        <x:v>نسخه پایه ۳۱۵۰</x:v>
      </x:c>
    </x:row>
    <x:row r="2497" ht="34" customHeight="1">
      <x:c r="A2497" s="34" t="str">
        <x:v>☐</x:v>
      </x:c>
      <x:c r="B2497" s="34" t="str">
        <x:v>MI-2942</x:v>
      </x:c>
      <x:c r="C2497" s="34" t="str">
        <x:v>M6 — تحلیل‌های خام و ورودی‌های نیازمند پالایش</x:v>
      </x:c>
      <x:c r="D2497" s="34" t="str">
        <x:v>H20</x:v>
      </x:c>
      <x:c r="E2497" s="34" t="str">
        <x:v>یادداشت تحلیلی/راهبری ثبت‌شده در 11211</x:v>
      </x:c>
      <x:c r="F2497" s="34" t="str">
        <x:v>P3/CLARIFY</x:v>
      </x:c>
      <x:c r="G2497" s="34" t="str">
        <x:v>پروژه/طرح</x:v>
      </x:c>
      <x:c r="H2497" s="39" t="str">
        <x:v>مدیر داده و سامانه ها (Data &amp; Platform)</x:v>
      </x:c>
      <x:c r="I2497" s="39" t="str">
        <x:v>نیازمند تعریف خروجی یا پارک</x:v>
      </x:c>
      <x:c r="J2497" s="39" t="str">
        <x:v>تحلیلگر راهبری/PMO؛ تبدیل به فرضیه یا اقدام در صورت نیاز</x:v>
      </x:c>
      <x:c r="K2497" s="39" t="str"/>
      <x:c r="L2497" s="39" t="str">
        <x:v>E112:P3310</x:v>
      </x:c>
      <x:c r="M2497" s="39" t="str"/>
      <x:c r="N2497" s="39" t="str">
        <x:v>نسخه پایه ۳۱۵۰</x:v>
      </x:c>
    </x:row>
    <x:row r="2498" ht="34" customHeight="1">
      <x:c r="A2498" s="34" t="str">
        <x:v>☐</x:v>
      </x:c>
      <x:c r="B2498" s="34" t="str">
        <x:v>MI-2996</x:v>
      </x:c>
      <x:c r="C2498" s="34" t="str">
        <x:v>M6 — تحلیل‌های خام و ورودی‌های نیازمند پالایش</x:v>
      </x:c>
      <x:c r="D2498" s="34" t="str">
        <x:v>H20</x:v>
      </x:c>
      <x:c r="E2498" s="34" t="str">
        <x:v>یادداشت تحلیلی/راهبری ثبت‌شده در 11211</x:v>
      </x:c>
      <x:c r="F2498" s="34" t="str">
        <x:v>P3/CLARIFY</x:v>
      </x:c>
      <x:c r="G2498" s="34" t="str">
        <x:v>پروژه/طرح</x:v>
      </x:c>
      <x:c r="H2498" s="39" t="str">
        <x:v>سامانه باید این داده ها را جمع کند:</x:v>
      </x:c>
      <x:c r="I2498" s="39" t="str">
        <x:v>نیازمند تعریف خروجی یا پارک</x:v>
      </x:c>
      <x:c r="J2498" s="39" t="str">
        <x:v>تحلیلگر راهبری/PMO؛ تبدیل به فرضیه یا اقدام در صورت نیاز</x:v>
      </x:c>
      <x:c r="K2498" s="39" t="str"/>
      <x:c r="L2498" s="39" t="str">
        <x:v>E112:P3486</x:v>
      </x:c>
      <x:c r="M2498" s="39" t="str"/>
      <x:c r="N2498" s="39" t="str">
        <x:v>نسخه پایه ۳۱۵۰</x:v>
      </x:c>
    </x:row>
    <x:row r="2499" ht="34" customHeight="1">
      <x:c r="A2499" s="34" t="str">
        <x:v>☐</x:v>
      </x:c>
      <x:c r="B2499" s="34" t="str">
        <x:v>MI-3001</x:v>
      </x:c>
      <x:c r="C2499" s="34" t="str">
        <x:v>M6 — تحلیل‌های خام و ورودی‌های نیازمند پالایش</x:v>
      </x:c>
      <x:c r="D2499" s="34" t="str">
        <x:v>H20</x:v>
      </x:c>
      <x:c r="E2499" s="34" t="str">
        <x:v>یادداشت تحلیلی/راهبری ثبت‌شده در 11211</x:v>
      </x:c>
      <x:c r="F2499" s="34" t="str">
        <x:v>P3/CLARIFY</x:v>
      </x:c>
      <x:c r="G2499" s="34" t="str">
        <x:v>پروژه/طرح</x:v>
      </x:c>
      <x:c r="H2499" s="39" t="str">
        <x:v>تعداد پروژه ها</x:v>
      </x:c>
      <x:c r="I2499" s="39" t="str">
        <x:v>نیازمند تعریف خروجی یا پارک</x:v>
      </x:c>
      <x:c r="J2499" s="39" t="str">
        <x:v>تحلیلگر راهبری/PMO؛ تبدیل به فرضیه یا اقدام در صورت نیاز</x:v>
      </x:c>
      <x:c r="K2499" s="39" t="str"/>
      <x:c r="L2499" s="39" t="str">
        <x:v>E112:P3506</x:v>
      </x:c>
      <x:c r="M2499" s="39" t="str"/>
      <x:c r="N2499" s="39" t="str">
        <x:v>نسخه پایه ۳۱۵۰</x:v>
      </x:c>
    </x:row>
    <x:row r="2500" ht="34" customHeight="1">
      <x:c r="A2500" s="34" t="str">
        <x:v>☐</x:v>
      </x:c>
      <x:c r="B2500" s="34" t="str">
        <x:v>MI-3018</x:v>
      </x:c>
      <x:c r="C2500" s="34" t="str">
        <x:v>M6 — تحلیل‌های خام و ورودی‌های نیازمند پالایش</x:v>
      </x:c>
      <x:c r="D2500" s="34" t="str">
        <x:v>H20</x:v>
      </x:c>
      <x:c r="E2500" s="34" t="str">
        <x:v>یادداشت تحلیلی/راهبری ثبت‌شده در 11211</x:v>
      </x:c>
      <x:c r="F2500" s="34" t="str">
        <x:v>P3/CLARIFY</x:v>
      </x:c>
      <x:c r="G2500" s="34" t="str">
        <x:v>پروژه/طرح</x:v>
      </x:c>
      <x:c r="H2500" s="39" t="str">
        <x:v>ساخت یک جامعه فعال از:</x:v>
      </x:c>
      <x:c r="I2500" s="39" t="str">
        <x:v>نیازمند تعریف خروجی یا پارک</x:v>
      </x:c>
      <x:c r="J2500" s="39" t="str">
        <x:v>تحلیلگر راهبری/PMO؛ تبدیل به فرضیه یا اقدام در صورت نیاز</x:v>
      </x:c>
      <x:c r="K2500" s="39" t="str"/>
      <x:c r="L2500" s="39" t="str">
        <x:v>E112:P3560</x:v>
      </x:c>
      <x:c r="M2500" s="39" t="str"/>
      <x:c r="N2500" s="39" t="str">
        <x:v>نسخه پایه ۳۱۵۰</x:v>
      </x:c>
    </x:row>
    <x:row r="2501" ht="34" customHeight="1">
      <x:c r="A2501" s="34" t="str">
        <x:v>☐</x:v>
      </x:c>
      <x:c r="B2501" s="34" t="str">
        <x:v>MI-3042</x:v>
      </x:c>
      <x:c r="C2501" s="34" t="str">
        <x:v>M6 — تحلیل‌های خام و ورودی‌های نیازمند پالایش</x:v>
      </x:c>
      <x:c r="D2501" s="34" t="str">
        <x:v>H20</x:v>
      </x:c>
      <x:c r="E2501" s="34" t="str">
        <x:v>یادداشت تحلیلی/راهبری ثبت‌شده در 11211</x:v>
      </x:c>
      <x:c r="F2501" s="34" t="str">
        <x:v>P3/CLARIFY</x:v>
      </x:c>
      <x:c r="G2501" s="34" t="str">
        <x:v>پروژه/طرح</x:v>
      </x:c>
      <x:c r="H2501" s="39" t="str">
        <x:v>راه اندازی سامانه Talent Database</x:v>
      </x:c>
      <x:c r="I2501" s="39" t="str">
        <x:v>نیازمند تعریف خروجی یا پارک</x:v>
      </x:c>
      <x:c r="J2501" s="39" t="str">
        <x:v>تحلیلگر راهبری/PMO؛ تبدیل به فرضیه یا اقدام در صورت نیاز</x:v>
      </x:c>
      <x:c r="K2501" s="39" t="str"/>
      <x:c r="L2501" s="39" t="str">
        <x:v>E112:P3619</x:v>
      </x:c>
      <x:c r="M2501" s="39" t="str"/>
      <x:c r="N2501" s="39" t="str">
        <x:v>نسخه پایه ۳۱۵۰</x:v>
      </x:c>
    </x:row>
    <x:row r="2502" ht="34" customHeight="1">
      <x:c r="A2502" s="34" t="str">
        <x:v>☐</x:v>
      </x:c>
      <x:c r="B2502" s="34" t="str">
        <x:v>MI-3051</x:v>
      </x:c>
      <x:c r="C2502" s="34" t="str">
        <x:v>M6 — تحلیل‌های خام و ورودی‌های نیازمند پالایش</x:v>
      </x:c>
      <x:c r="D2502" s="34" t="str">
        <x:v>H20</x:v>
      </x:c>
      <x:c r="E2502" s="34" t="str">
        <x:v>یادداشت تحلیلی/راهبری ثبت‌شده در 11211</x:v>
      </x:c>
      <x:c r="F2502" s="34" t="str">
        <x:v>P3/CLARIFY</x:v>
      </x:c>
      <x:c r="G2502" s="34" t="str">
        <x:v>پروژه/طرح</x:v>
      </x:c>
      <x:c r="H2502" s="39" t="str">
        <x:v>اگر بخواهی، می توانم یک قدم خیلی مهم تر هم بردارم و چیزی طراحی کنم که معمولاً نقطه واقعی شروع چنین پروژه ای است:</x:v>
      </x:c>
      <x:c r="I2502" s="39" t="str">
        <x:v>نیازمند تعریف خروجی یا پارک</x:v>
      </x:c>
      <x:c r="J2502" s="39" t="str">
        <x:v>تحلیلگر راهبری/PMO؛ تبدیل به فرضیه یا اقدام در صورت نیاز</x:v>
      </x:c>
      <x:c r="K2502" s="39" t="str"/>
      <x:c r="L2502" s="39" t="str">
        <x:v>E112:P3642</x:v>
      </x:c>
      <x:c r="M2502" s="39" t="str"/>
      <x:c r="N2502" s="39" t="str">
        <x:v>نسخه پایه ۳۱۵۰</x:v>
      </x:c>
    </x:row>
    <x:row r="2503" ht="34" customHeight="1">
      <x:c r="A2503" s="34" t="str">
        <x:v>☐</x:v>
      </x:c>
      <x:c r="B2503" s="34" t="str">
        <x:v>MI-1769</x:v>
      </x:c>
      <x:c r="C2503" s="34" t="str">
        <x:v>M6 — تحلیل‌های خام و ورودی‌های نیازمند پالایش</x:v>
      </x:c>
      <x:c r="D2503" s="34" t="str">
        <x:v>H20</x:v>
      </x:c>
      <x:c r="E2503" s="34" t="str">
        <x:v>یادداشت تحلیلی/راهبری ثبت‌شده در 11211</x:v>
      </x:c>
      <x:c r="F2503" s="34" t="str">
        <x:v>P3/CLARIFY</x:v>
      </x:c>
      <x:c r="G2503" s="34" t="str">
        <x:v>مهارت/یادگیری</x:v>
      </x:c>
      <x:c r="H2503" s="39" t="str">
        <x:v>دوره های آموزشی</x:v>
      </x:c>
      <x:c r="I2503" s="39" t="str">
        <x:v>نیازمند تعریف خروجی یا پارک</x:v>
      </x:c>
      <x:c r="J2503" s="39" t="str">
        <x:v>تحلیلگر راهبری/PMO؛ تبدیل به فرضیه یا اقدام در صورت نیاز</x:v>
      </x:c>
      <x:c r="K2503" s="39" t="str"/>
      <x:c r="L2503" s="39" t="str">
        <x:v>E112:P257</x:v>
      </x:c>
      <x:c r="M2503" s="39" t="str"/>
      <x:c r="N2503" s="39" t="str">
        <x:v>نسخه پایه ۳۱۵۰</x:v>
      </x:c>
    </x:row>
    <x:row r="2504" ht="34" customHeight="1">
      <x:c r="A2504" s="34" t="str">
        <x:v>☐</x:v>
      </x:c>
      <x:c r="B2504" s="34" t="str">
        <x:v>MI-1806</x:v>
      </x:c>
      <x:c r="C2504" s="34" t="str">
        <x:v>M6 — تحلیل‌های خام و ورودی‌های نیازمند پالایش</x:v>
      </x:c>
      <x:c r="D2504" s="34" t="str">
        <x:v>H20</x:v>
      </x:c>
      <x:c r="E2504" s="34" t="str">
        <x:v>یادداشت تحلیلی/راهبری ثبت‌شده در 11211</x:v>
      </x:c>
      <x:c r="F2504" s="34" t="str">
        <x:v>P3/CLARIFY</x:v>
      </x:c>
      <x:c r="G2504" s="34" t="str">
        <x:v>مهارت/یادگیری</x:v>
      </x:c>
      <x:c r="H2504" s="39" t="str">
        <x:v>شرکت های نرم افزاری</x:v>
      </x:c>
      <x:c r="I2504" s="39" t="str">
        <x:v>نیازمند تعریف خروجی یا پارک</x:v>
      </x:c>
      <x:c r="J2504" s="39" t="str">
        <x:v>تحلیلگر راهبری/PMO؛ تبدیل به فرضیه یا اقدام در صورت نیاز</x:v>
      </x:c>
      <x:c r="K2504" s="39" t="str"/>
      <x:c r="L2504" s="39" t="str">
        <x:v>E112:P324؛ E112:P605</x:v>
      </x:c>
      <x:c r="M2504" s="39" t="str"/>
      <x:c r="N2504" s="39" t="str">
        <x:v>نسخه پایه ۳۱۵۰</x:v>
      </x:c>
    </x:row>
    <x:row r="2505" ht="34" customHeight="1">
      <x:c r="A2505" s="34" t="str">
        <x:v>☐</x:v>
      </x:c>
      <x:c r="B2505" s="34" t="str">
        <x:v>MI-1900</x:v>
      </x:c>
      <x:c r="C2505" s="34" t="str">
        <x:v>M6 — تحلیل‌های خام و ورودی‌های نیازمند پالایش</x:v>
      </x:c>
      <x:c r="D2505" s="34" t="str">
        <x:v>H20</x:v>
      </x:c>
      <x:c r="E2505" s="34" t="str">
        <x:v>یادداشت تحلیلی/راهبری ثبت‌شده در 11211</x:v>
      </x:c>
      <x:c r="F2505" s="34" t="str">
        <x:v>P3/CLARIFY</x:v>
      </x:c>
      <x:c r="G2505" s="34" t="str">
        <x:v>مهارت/یادگیری</x:v>
      </x:c>
      <x:c r="H2505" s="39" t="str">
        <x:v>آموزشی رسمی</x:v>
      </x:c>
      <x:c r="I2505" s="39" t="str">
        <x:v>نیازمند تعریف خروجی یا پارک</x:v>
      </x:c>
      <x:c r="J2505" s="39" t="str">
        <x:v>تحلیلگر راهبری/PMO؛ تبدیل به فرضیه یا اقدام در صورت نیاز</x:v>
      </x:c>
      <x:c r="K2505" s="39" t="str"/>
      <x:c r="L2505" s="39" t="str">
        <x:v>E112:P491</x:v>
      </x:c>
      <x:c r="M2505" s="39" t="str"/>
      <x:c r="N2505" s="39" t="str">
        <x:v>نسخه پایه ۳۱۵۰</x:v>
      </x:c>
    </x:row>
    <x:row r="2506" ht="34" customHeight="1">
      <x:c r="A2506" s="34" t="str">
        <x:v>☐</x:v>
      </x:c>
      <x:c r="B2506" s="34" t="str">
        <x:v>MI-1903</x:v>
      </x:c>
      <x:c r="C2506" s="34" t="str">
        <x:v>M6 — تحلیل‌های خام و ورودی‌های نیازمند پالایش</x:v>
      </x:c>
      <x:c r="D2506" s="34" t="str">
        <x:v>H20</x:v>
      </x:c>
      <x:c r="E2506" s="34" t="str">
        <x:v>یادداشت تحلیلی/راهبری ثبت‌شده در 11211</x:v>
      </x:c>
      <x:c r="F2506" s="34" t="str">
        <x:v>P3/CLARIFY</x:v>
      </x:c>
      <x:c r="G2506" s="34" t="str">
        <x:v>مهارت/یادگیری</x:v>
      </x:c>
      <x:c r="H2506" s="39" t="str">
        <x:v>مدارس مهارتی</x:v>
      </x:c>
      <x:c r="I2506" s="39" t="str">
        <x:v>نیازمند تعریف خروجی یا پارک</x:v>
      </x:c>
      <x:c r="J2506" s="39" t="str">
        <x:v>تحلیلگر راهبری/PMO؛ تبدیل به فرضیه یا اقدام در صورت نیاز</x:v>
      </x:c>
      <x:c r="K2506" s="39" t="str"/>
      <x:c r="L2506" s="39" t="str">
        <x:v>E112:P495</x:v>
      </x:c>
      <x:c r="M2506" s="39" t="str"/>
      <x:c r="N2506" s="39" t="str">
        <x:v>نسخه پایه ۳۱۵۰</x:v>
      </x:c>
    </x:row>
    <x:row r="2507" ht="34" customHeight="1">
      <x:c r="A2507" s="34" t="str">
        <x:v>☐</x:v>
      </x:c>
      <x:c r="B2507" s="34" t="str">
        <x:v>MI-1912</x:v>
      </x:c>
      <x:c r="C2507" s="34" t="str">
        <x:v>M6 — تحلیل‌های خام و ورودی‌های نیازمند پالایش</x:v>
      </x:c>
      <x:c r="D2507" s="34" t="str">
        <x:v>H20</x:v>
      </x:c>
      <x:c r="E2507" s="34" t="str">
        <x:v>یادداشت تحلیلی/راهبری ثبت‌شده در 11211</x:v>
      </x:c>
      <x:c r="F2507" s="34" t="str">
        <x:v>P3/CLARIFY</x:v>
      </x:c>
      <x:c r="G2507" s="34" t="str">
        <x:v>مهارت/یادگیری</x:v>
      </x:c>
      <x:c r="H2507" s="39" t="str">
        <x:v>آموزشی غیررسمی</x:v>
      </x:c>
      <x:c r="I2507" s="39" t="str">
        <x:v>نیازمند تعریف خروجی یا پارک</x:v>
      </x:c>
      <x:c r="J2507" s="39" t="str">
        <x:v>تحلیلگر راهبری/PMO؛ تبدیل به فرضیه یا اقدام در صورت نیاز</x:v>
      </x:c>
      <x:c r="K2507" s="39" t="str"/>
      <x:c r="L2507" s="39" t="str">
        <x:v>E112:P506</x:v>
      </x:c>
      <x:c r="M2507" s="39" t="str"/>
      <x:c r="N2507" s="39" t="str">
        <x:v>نسخه پایه ۳۱۵۰</x:v>
      </x:c>
    </x:row>
    <x:row r="2508" ht="34" customHeight="1">
      <x:c r="A2508" s="34" t="str">
        <x:v>☐</x:v>
      </x:c>
      <x:c r="B2508" s="34" t="str">
        <x:v>MI-1913</x:v>
      </x:c>
      <x:c r="C2508" s="34" t="str">
        <x:v>M6 — تحلیل‌های خام و ورودی‌های نیازمند پالایش</x:v>
      </x:c>
      <x:c r="D2508" s="34" t="str">
        <x:v>H20</x:v>
      </x:c>
      <x:c r="E2508" s="34" t="str">
        <x:v>یادداشت تحلیلی/راهبری ثبت‌شده در 11211</x:v>
      </x:c>
      <x:c r="F2508" s="34" t="str">
        <x:v>P3/CLARIFY</x:v>
      </x:c>
      <x:c r="G2508" s="34" t="str">
        <x:v>مهارت/یادگیری</x:v>
      </x:c>
      <x:c r="H2508" s="39" t="str">
        <x:v>دوره های آنلاین</x:v>
      </x:c>
      <x:c r="I2508" s="39" t="str">
        <x:v>نیازمند تعریف خروجی یا پارک</x:v>
      </x:c>
      <x:c r="J2508" s="39" t="str">
        <x:v>تحلیلگر راهبری/PMO؛ تبدیل به فرضیه یا اقدام در صورت نیاز</x:v>
      </x:c>
      <x:c r="K2508" s="39" t="str"/>
      <x:c r="L2508" s="39" t="str">
        <x:v>E112:P510</x:v>
      </x:c>
      <x:c r="M2508" s="39" t="str"/>
      <x:c r="N2508" s="39" t="str">
        <x:v>نسخه پایه ۳۱۵۰</x:v>
      </x:c>
    </x:row>
    <x:row r="2509" ht="34" customHeight="1">
      <x:c r="A2509" s="34" t="str">
        <x:v>☐</x:v>
      </x:c>
      <x:c r="B2509" s="34" t="str">
        <x:v>MI-1916</x:v>
      </x:c>
      <x:c r="C2509" s="34" t="str">
        <x:v>M6 — تحلیل‌های خام و ورودی‌های نیازمند پالایش</x:v>
      </x:c>
      <x:c r="D2509" s="34" t="str">
        <x:v>H20</x:v>
      </x:c>
      <x:c r="E2509" s="34" t="str">
        <x:v>یادداشت تحلیلی/راهبری ثبت‌شده در 11211</x:v>
      </x:c>
      <x:c r="F2509" s="34" t="str">
        <x:v>P3/CLARIFY</x:v>
      </x:c>
      <x:c r="G2509" s="34" t="str">
        <x:v>مهارت/یادگیری</x:v>
      </x:c>
      <x:c r="H2509" s="39" t="str">
        <x:v>آموزشگاه های خصوصی</x:v>
      </x:c>
      <x:c r="I2509" s="39" t="str">
        <x:v>نیازمند تعریف خروجی یا پارک</x:v>
      </x:c>
      <x:c r="J2509" s="39" t="str">
        <x:v>تحلیلگر راهبری/PMO؛ تبدیل به فرضیه یا اقدام در صورت نیاز</x:v>
      </x:c>
      <x:c r="K2509" s="39" t="str"/>
      <x:c r="L2509" s="39" t="str">
        <x:v>E112:P514</x:v>
      </x:c>
      <x:c r="M2509" s="39" t="str"/>
      <x:c r="N2509" s="39" t="str">
        <x:v>نسخه پایه ۳۱۵۰</x:v>
      </x:c>
    </x:row>
    <x:row r="2510" ht="34" customHeight="1">
      <x:c r="A2510" s="34" t="str">
        <x:v>☐</x:v>
      </x:c>
      <x:c r="B2510" s="34" t="str">
        <x:v>MI-1917</x:v>
      </x:c>
      <x:c r="C2510" s="34" t="str">
        <x:v>M6 — تحلیل‌های خام و ورودی‌های نیازمند پالایش</x:v>
      </x:c>
      <x:c r="D2510" s="34" t="str">
        <x:v>H20</x:v>
      </x:c>
      <x:c r="E2510" s="34" t="str">
        <x:v>یادداشت تحلیلی/راهبری ثبت‌شده در 11211</x:v>
      </x:c>
      <x:c r="F2510" s="34" t="str">
        <x:v>P3/CLARIFY</x:v>
      </x:c>
      <x:c r="G2510" s="34" t="str">
        <x:v>مهارت/یادگیری</x:v>
      </x:c>
      <x:c r="H2510" s="39" t="str">
        <x:v>دوره های مدیریتی</x:v>
      </x:c>
      <x:c r="I2510" s="39" t="str">
        <x:v>نیازمند تعریف خروجی یا پارک</x:v>
      </x:c>
      <x:c r="J2510" s="39" t="str">
        <x:v>تحلیلگر راهبری/PMO؛ تبدیل به فرضیه یا اقدام در صورت نیاز</x:v>
      </x:c>
      <x:c r="K2510" s="39" t="str"/>
      <x:c r="L2510" s="39" t="str">
        <x:v>E112:P515</x:v>
      </x:c>
      <x:c r="M2510" s="39" t="str"/>
      <x:c r="N2510" s="39" t="str">
        <x:v>نسخه پایه ۳۱۵۰</x:v>
      </x:c>
    </x:row>
    <x:row r="2511" ht="34" customHeight="1">
      <x:c r="A2511" s="34" t="str">
        <x:v>☐</x:v>
      </x:c>
      <x:c r="B2511" s="34" t="str">
        <x:v>MI-1918</x:v>
      </x:c>
      <x:c r="C2511" s="34" t="str">
        <x:v>M6 — تحلیل‌های خام و ورودی‌های نیازمند پالایش</x:v>
      </x:c>
      <x:c r="D2511" s="34" t="str">
        <x:v>H20</x:v>
      </x:c>
      <x:c r="E2511" s="34" t="str">
        <x:v>یادداشت تحلیلی/راهبری ثبت‌شده در 11211</x:v>
      </x:c>
      <x:c r="F2511" s="34" t="str">
        <x:v>P3/CLARIFY</x:v>
      </x:c>
      <x:c r="G2511" s="34" t="str">
        <x:v>مهارت/یادگیری</x:v>
      </x:c>
      <x:c r="H2511" s="39" t="str">
        <x:v>دوره های مهارت دیجیتال</x:v>
      </x:c>
      <x:c r="I2511" s="39" t="str">
        <x:v>نیازمند تعریف خروجی یا پارک</x:v>
      </x:c>
      <x:c r="J2511" s="39" t="str">
        <x:v>تحلیلگر راهبری/PMO؛ تبدیل به فرضیه یا اقدام در صورت نیاز</x:v>
      </x:c>
      <x:c r="K2511" s="39" t="str"/>
      <x:c r="L2511" s="39" t="str">
        <x:v>E112:P516</x:v>
      </x:c>
      <x:c r="M2511" s="39" t="str"/>
      <x:c r="N2511" s="39" t="str">
        <x:v>نسخه پایه ۳۱۵۰</x:v>
      </x:c>
    </x:row>
    <x:row r="2512" ht="34" customHeight="1">
      <x:c r="A2512" s="34" t="str">
        <x:v>☐</x:v>
      </x:c>
      <x:c r="B2512" s="34" t="str">
        <x:v>MI-1920</x:v>
      </x:c>
      <x:c r="C2512" s="34" t="str">
        <x:v>M6 — تحلیل‌های خام و ورودی‌های نیازمند پالایش</x:v>
      </x:c>
      <x:c r="D2512" s="34" t="str">
        <x:v>H20</x:v>
      </x:c>
      <x:c r="E2512" s="34" t="str">
        <x:v>یادداشت تحلیلی/راهبری ثبت‌شده در 11211</x:v>
      </x:c>
      <x:c r="F2512" s="34" t="str">
        <x:v>P3/CLARIFY</x:v>
      </x:c>
      <x:c r="G2512" s="34" t="str">
        <x:v>مهارت/یادگیری</x:v>
      </x:c>
      <x:c r="H2512" s="39" t="str">
        <x:v>اردوهای آموزشی</x:v>
      </x:c>
      <x:c r="I2512" s="39" t="str">
        <x:v>نیازمند تعریف خروجی یا پارک</x:v>
      </x:c>
      <x:c r="J2512" s="39" t="str">
        <x:v>تحلیلگر راهبری/PMO؛ تبدیل به فرضیه یا اقدام در صورت نیاز</x:v>
      </x:c>
      <x:c r="K2512" s="39" t="str"/>
      <x:c r="L2512" s="39" t="str">
        <x:v>E112:P520</x:v>
      </x:c>
      <x:c r="M2512" s="39" t="str"/>
      <x:c r="N2512" s="39" t="str">
        <x:v>نسخه پایه ۳۱۵۰</x:v>
      </x:c>
    </x:row>
    <x:row r="2513" ht="34" customHeight="1">
      <x:c r="A2513" s="34" t="str">
        <x:v>☐</x:v>
      </x:c>
      <x:c r="B2513" s="34" t="str">
        <x:v>MI-1998</x:v>
      </x:c>
      <x:c r="C2513" s="34" t="str">
        <x:v>M6 — تحلیل‌های خام و ورودی‌های نیازمند پالایش</x:v>
      </x:c>
      <x:c r="D2513" s="34" t="str">
        <x:v>H20</x:v>
      </x:c>
      <x:c r="E2513" s="34" t="str">
        <x:v>یادداشت تحلیلی/راهبری ثبت‌شده در 11211</x:v>
      </x:c>
      <x:c r="F2513" s="34" t="str">
        <x:v>P3/CLARIFY</x:v>
      </x:c>
      <x:c r="G2513" s="34" t="str">
        <x:v>مهارت/یادگیری</x:v>
      </x:c>
      <x:c r="H2513" s="39" t="str">
        <x:v>کارگاه های آموزشی</x:v>
      </x:c>
      <x:c r="I2513" s="39" t="str">
        <x:v>نیازمند تعریف خروجی یا پارک</x:v>
      </x:c>
      <x:c r="J2513" s="39" t="str">
        <x:v>تحلیلگر راهبری/PMO؛ تبدیل به فرضیه یا اقدام در صورت نیاز</x:v>
      </x:c>
      <x:c r="K2513" s="39" t="str"/>
      <x:c r="L2513" s="39" t="str">
        <x:v>E112:P645</x:v>
      </x:c>
      <x:c r="M2513" s="39" t="str"/>
      <x:c r="N2513" s="39" t="str">
        <x:v>نسخه پایه ۳۱۵۰</x:v>
      </x:c>
    </x:row>
    <x:row r="2514" ht="34" customHeight="1">
      <x:c r="A2514" s="34" t="str">
        <x:v>☐</x:v>
      </x:c>
      <x:c r="B2514" s="34" t="str">
        <x:v>MI-2004</x:v>
      </x:c>
      <x:c r="C2514" s="34" t="str">
        <x:v>M6 — تحلیل‌های خام و ورودی‌های نیازمند پالایش</x:v>
      </x:c>
      <x:c r="D2514" s="34" t="str">
        <x:v>H20</x:v>
      </x:c>
      <x:c r="E2514" s="34" t="str">
        <x:v>یادداشت تحلیلی/راهبری ثبت‌شده در 11211</x:v>
      </x:c>
      <x:c r="F2514" s="34" t="str">
        <x:v>P3/CLARIFY</x:v>
      </x:c>
      <x:c r="G2514" s="34" t="str">
        <x:v>مهارت/یادگیری</x:v>
      </x:c>
      <x:c r="H2514" s="39" t="str">
        <x:v>یوتیوب آموزشی</x:v>
      </x:c>
      <x:c r="I2514" s="39" t="str">
        <x:v>نیازمند تعریف خروجی یا پارک</x:v>
      </x:c>
      <x:c r="J2514" s="39" t="str">
        <x:v>تحلیلگر راهبری/PMO؛ تبدیل به فرضیه یا اقدام در صورت نیاز</x:v>
      </x:c>
      <x:c r="K2514" s="39" t="str"/>
      <x:c r="L2514" s="39" t="str">
        <x:v>E112:P655</x:v>
      </x:c>
      <x:c r="M2514" s="39" t="str"/>
      <x:c r="N2514" s="39" t="str">
        <x:v>نسخه پایه ۳۱۵۰</x:v>
      </x:c>
    </x:row>
    <x:row r="2515" ht="34" customHeight="1">
      <x:c r="A2515" s="34" t="str">
        <x:v>☐</x:v>
      </x:c>
      <x:c r="B2515" s="34" t="str">
        <x:v>MI-2028</x:v>
      </x:c>
      <x:c r="C2515" s="34" t="str">
        <x:v>M6 — تحلیل‌های خام و ورودی‌های نیازمند پالایش</x:v>
      </x:c>
      <x:c r="D2515" s="34" t="str">
        <x:v>H20</x:v>
      </x:c>
      <x:c r="E2515" s="34" t="str">
        <x:v>یادداشت تحلیلی/راهبری ثبت‌شده در 11211</x:v>
      </x:c>
      <x:c r="F2515" s="34" t="str">
        <x:v>P3/CLARIFY</x:v>
      </x:c>
      <x:c r="G2515" s="34" t="str">
        <x:v>مهارت/یادگیری</x:v>
      </x:c>
      <x:c r="H2515" s="39" t="str">
        <x:v>برنامه مهارت نرم</x:v>
      </x:c>
      <x:c r="I2515" s="39" t="str">
        <x:v>نیازمند تعریف خروجی یا پارک</x:v>
      </x:c>
      <x:c r="J2515" s="39" t="str">
        <x:v>تحلیلگر راهبری/PMO؛ تبدیل به فرضیه یا اقدام در صورت نیاز</x:v>
      </x:c>
      <x:c r="K2515" s="39" t="str"/>
      <x:c r="L2515" s="39" t="str">
        <x:v>E112:P701</x:v>
      </x:c>
      <x:c r="M2515" s="39" t="str"/>
      <x:c r="N2515" s="39" t="str">
        <x:v>نسخه پایه ۳۱۵۰</x:v>
      </x:c>
    </x:row>
    <x:row r="2516" ht="34" customHeight="1">
      <x:c r="A2516" s="34" t="str">
        <x:v>☐</x:v>
      </x:c>
      <x:c r="B2516" s="34" t="str">
        <x:v>MI-2122</x:v>
      </x:c>
      <x:c r="C2516" s="34" t="str">
        <x:v>M6 — تحلیل‌های خام و ورودی‌های نیازمند پالایش</x:v>
      </x:c>
      <x:c r="D2516" s="34" t="str">
        <x:v>H20</x:v>
      </x:c>
      <x:c r="E2516" s="34" t="str">
        <x:v>یادداشت تحلیلی/راهبری ثبت‌شده در 11211</x:v>
      </x:c>
      <x:c r="F2516" s="34" t="str">
        <x:v>P3/CLARIFY</x:v>
      </x:c>
      <x:c r="G2516" s="34" t="str">
        <x:v>مهارت/یادگیری</x:v>
      </x:c>
      <x:c r="H2516" s="39" t="str">
        <x:v>صرفاً آموزشی هستند</x:v>
      </x:c>
      <x:c r="I2516" s="39" t="str">
        <x:v>نیازمند تعریف خروجی یا پارک</x:v>
      </x:c>
      <x:c r="J2516" s="39" t="str">
        <x:v>تحلیلگر راهبری/PMO؛ تبدیل به فرضیه یا اقدام در صورت نیاز</x:v>
      </x:c>
      <x:c r="K2516" s="39" t="str"/>
      <x:c r="L2516" s="39" t="str">
        <x:v>E112:P873</x:v>
      </x:c>
      <x:c r="M2516" s="39" t="str"/>
      <x:c r="N2516" s="39" t="str">
        <x:v>نسخه پایه ۳۱۵۰</x:v>
      </x:c>
    </x:row>
    <x:row r="2517" ht="34" customHeight="1">
      <x:c r="A2517" s="34" t="str">
        <x:v>☐</x:v>
      </x:c>
      <x:c r="B2517" s="34" t="str">
        <x:v>MI-2482</x:v>
      </x:c>
      <x:c r="C2517" s="34" t="str">
        <x:v>M6 — تحلیل‌های خام و ورودی‌های نیازمند پالایش</x:v>
      </x:c>
      <x:c r="D2517" s="34" t="str">
        <x:v>H20</x:v>
      </x:c>
      <x:c r="E2517" s="34" t="str">
        <x:v>یادداشت تحلیلی/راهبری ثبت‌شده در 11211</x:v>
      </x:c>
      <x:c r="F2517" s="34" t="str">
        <x:v>P3/CLARIFY</x:v>
      </x:c>
      <x:c r="G2517" s="34" t="str">
        <x:v>مهارت/یادگیری</x:v>
      </x:c>
      <x:c r="H2517" s="39" t="str">
        <x:v>ثبت مهارت ها</x:v>
      </x:c>
      <x:c r="I2517" s="39" t="str">
        <x:v>نیازمند تعریف خروجی یا پارک</x:v>
      </x:c>
      <x:c r="J2517" s="39" t="str">
        <x:v>تحلیلگر راهبری/PMO؛ تبدیل به فرضیه یا اقدام در صورت نیاز</x:v>
      </x:c>
      <x:c r="K2517" s="39" t="str"/>
      <x:c r="L2517" s="39" t="str">
        <x:v>E112:P1975؛ E112:P2956</x:v>
      </x:c>
      <x:c r="M2517" s="39" t="str"/>
      <x:c r="N2517" s="39" t="str">
        <x:v>نسخه پایه ۳۱۵۰</x:v>
      </x:c>
    </x:row>
    <x:row r="2518" ht="34" customHeight="1">
      <x:c r="A2518" s="34" t="str">
        <x:v>☐</x:v>
      </x:c>
      <x:c r="B2518" s="34" t="str">
        <x:v>MI-2490</x:v>
      </x:c>
      <x:c r="C2518" s="34" t="str">
        <x:v>M6 — تحلیل‌های خام و ورودی‌های نیازمند پالایش</x:v>
      </x:c>
      <x:c r="D2518" s="34" t="str">
        <x:v>H20</x:v>
      </x:c>
      <x:c r="E2518" s="34" t="str">
        <x:v>یادداشت تحلیلی/راهبری ثبت‌شده در 11211</x:v>
      </x:c>
      <x:c r="F2518" s="34" t="str">
        <x:v>P3/CLARIFY</x:v>
      </x:c>
      <x:c r="G2518" s="34" t="str">
        <x:v>مهارت/یادگیری</x:v>
      </x:c>
      <x:c r="H2518" s="39" t="str">
        <x:v>پیشنهاد مهارت های لازم</x:v>
      </x:c>
      <x:c r="I2518" s="39" t="str">
        <x:v>نیازمند تعریف خروجی یا پارک</x:v>
      </x:c>
      <x:c r="J2518" s="39" t="str">
        <x:v>تحلیلگر راهبری/PMO؛ تبدیل به فرضیه یا اقدام در صورت نیاز</x:v>
      </x:c>
      <x:c r="K2518" s="39" t="str"/>
      <x:c r="L2518" s="39" t="str">
        <x:v>E112:P1985؛ E112:P2507</x:v>
      </x:c>
      <x:c r="M2518" s="39" t="str"/>
      <x:c r="N2518" s="39" t="str">
        <x:v>نسخه پایه ۳۱۵۰</x:v>
      </x:c>
    </x:row>
    <x:row r="2519" ht="34" customHeight="1">
      <x:c r="A2519" s="34" t="str">
        <x:v>☐</x:v>
      </x:c>
      <x:c r="B2519" s="34" t="str">
        <x:v>MI-2533</x:v>
      </x:c>
      <x:c r="C2519" s="34" t="str">
        <x:v>M6 — تحلیل‌های خام و ورودی‌های نیازمند پالایش</x:v>
      </x:c>
      <x:c r="D2519" s="34" t="str">
        <x:v>H20</x:v>
      </x:c>
      <x:c r="E2519" s="34" t="str">
        <x:v>یادداشت تحلیلی/راهبری ثبت‌شده در 11211</x:v>
      </x:c>
      <x:c r="F2519" s="34" t="str">
        <x:v>P3/CLARIFY</x:v>
      </x:c>
      <x:c r="G2519" s="34" t="str">
        <x:v>مهارت/یادگیری</x:v>
      </x:c>
      <x:c r="H2519" s="39" t="str">
        <x:v>برنامه های آموزشی چندروزه</x:v>
      </x:c>
      <x:c r="I2519" s="39" t="str">
        <x:v>نیازمند تعریف خروجی یا پارک</x:v>
      </x:c>
      <x:c r="J2519" s="39" t="str">
        <x:v>تحلیلگر راهبری/PMO؛ تبدیل به فرضیه یا اقدام در صورت نیاز</x:v>
      </x:c>
      <x:c r="K2519" s="39" t="str"/>
      <x:c r="L2519" s="39" t="str">
        <x:v>E112:P2063</x:v>
      </x:c>
      <x:c r="M2519" s="39" t="str"/>
      <x:c r="N2519" s="39" t="str">
        <x:v>نسخه پایه ۳۱۵۰</x:v>
      </x:c>
    </x:row>
    <x:row r="2520" ht="34" customHeight="1">
      <x:c r="A2520" s="34" t="str">
        <x:v>☐</x:v>
      </x:c>
      <x:c r="B2520" s="34" t="str">
        <x:v>MI-2536</x:v>
      </x:c>
      <x:c r="C2520" s="34" t="str">
        <x:v>M6 — تحلیل‌های خام و ورودی‌های نیازمند پالایش</x:v>
      </x:c>
      <x:c r="D2520" s="34" t="str">
        <x:v>H20</x:v>
      </x:c>
      <x:c r="E2520" s="34" t="str">
        <x:v>یادداشت تحلیلی/راهبری ثبت‌شده در 11211</x:v>
      </x:c>
      <x:c r="F2520" s="34" t="str">
        <x:v>P3/CLARIFY</x:v>
      </x:c>
      <x:c r="G2520" s="34" t="str">
        <x:v>مهارت/یادگیری</x:v>
      </x:c>
      <x:c r="H2520" s="39" t="str">
        <x:v>ترکیب آموزش + تجربه + طبیعت.</x:v>
      </x:c>
      <x:c r="I2520" s="39" t="str">
        <x:v>نیازمند تعریف خروجی یا پارک</x:v>
      </x:c>
      <x:c r="J2520" s="39" t="str">
        <x:v>تحلیلگر راهبری/PMO؛ تبدیل به فرضیه یا اقدام در صورت نیاز</x:v>
      </x:c>
      <x:c r="K2520" s="39" t="str"/>
      <x:c r="L2520" s="39" t="str">
        <x:v>E112:P2069</x:v>
      </x:c>
      <x:c r="M2520" s="39" t="str"/>
      <x:c r="N2520" s="39" t="str">
        <x:v>نسخه پایه ۳۱۵۰</x:v>
      </x:c>
    </x:row>
    <x:row r="2521" ht="34" customHeight="1">
      <x:c r="A2521" s="34" t="str">
        <x:v>☐</x:v>
      </x:c>
      <x:c r="B2521" s="34" t="str">
        <x:v>MI-2582</x:v>
      </x:c>
      <x:c r="C2521" s="34" t="str">
        <x:v>M6 — تحلیل‌های خام و ورودی‌های نیازمند پالایش</x:v>
      </x:c>
      <x:c r="D2521" s="34" t="str">
        <x:v>H20</x:v>
      </x:c>
      <x:c r="E2521" s="34" t="str">
        <x:v>یادداشت تحلیلی/راهبری ثبت‌شده در 11211</x:v>
      </x:c>
      <x:c r="F2521" s="34" t="str">
        <x:v>P3/CLARIFY</x:v>
      </x:c>
      <x:c r="G2521" s="34" t="str">
        <x:v>مهارت/یادگیری</x:v>
      </x:c>
      <x:c r="H2521" s="39" t="str">
        <x:v>مدل آموزش:</x:v>
      </x:c>
      <x:c r="I2521" s="39" t="str">
        <x:v>نیازمند تعریف خروجی یا پارک</x:v>
      </x:c>
      <x:c r="J2521" s="39" t="str">
        <x:v>تحلیلگر راهبری/PMO؛ تبدیل به فرضیه یا اقدام در صورت نیاز</x:v>
      </x:c>
      <x:c r="K2521" s="39" t="str"/>
      <x:c r="L2521" s="39" t="str">
        <x:v>E112:P2170؛ E112:P3364</x:v>
      </x:c>
      <x:c r="M2521" s="39" t="str"/>
      <x:c r="N2521" s="39" t="str">
        <x:v>نسخه پایه ۳۱۵۰</x:v>
      </x:c>
    </x:row>
    <x:row r="2522" ht="34" customHeight="1">
      <x:c r="A2522" s="34" t="str">
        <x:v>☐</x:v>
      </x:c>
      <x:c r="B2522" s="34" t="str">
        <x:v>MI-2601</x:v>
      </x:c>
      <x:c r="C2522" s="34" t="str">
        <x:v>M6 — تحلیل‌های خام و ورودی‌های نیازمند پالایش</x:v>
      </x:c>
      <x:c r="D2522" s="34" t="str">
        <x:v>H20</x:v>
      </x:c>
      <x:c r="E2522" s="34" t="str">
        <x:v>یادداشت تحلیلی/راهبری ثبت‌شده در 11211</x:v>
      </x:c>
      <x:c r="F2522" s="34" t="str">
        <x:v>P3/CLARIFY</x:v>
      </x:c>
      <x:c r="G2522" s="34" t="str">
        <x:v>مهارت/یادگیری</x:v>
      </x:c>
      <x:c r="H2522" s="39" t="str">
        <x:v>آموزش:</x:v>
      </x:c>
      <x:c r="I2522" s="39" t="str">
        <x:v>نیازمند تعریف خروجی یا پارک</x:v>
      </x:c>
      <x:c r="J2522" s="39" t="str">
        <x:v>تحلیلگر راهبری/PMO؛ تبدیل به فرضیه یا اقدام در صورت نیاز</x:v>
      </x:c>
      <x:c r="K2522" s="39" t="str"/>
      <x:c r="L2522" s="39" t="str">
        <x:v>E112:P2212؛ E112:P2708؛ E112:P2974؛ E112:P3168</x:v>
      </x:c>
      <x:c r="M2522" s="39" t="str"/>
      <x:c r="N2522" s="39" t="str">
        <x:v>نسخه پایه ۳۱۵۰</x:v>
      </x:c>
    </x:row>
    <x:row r="2523" ht="34" customHeight="1">
      <x:c r="A2523" s="34" t="str">
        <x:v>☐</x:v>
      </x:c>
      <x:c r="B2523" s="34" t="str">
        <x:v>MI-2615</x:v>
      </x:c>
      <x:c r="C2523" s="34" t="str">
        <x:v>M6 — تحلیل‌های خام و ورودی‌های نیازمند پالایش</x:v>
      </x:c>
      <x:c r="D2523" s="34" t="str">
        <x:v>H20</x:v>
      </x:c>
      <x:c r="E2523" s="34" t="str">
        <x:v>یادداشت تحلیلی/راهبری ثبت‌شده در 11211</x:v>
      </x:c>
      <x:c r="F2523" s="34" t="str">
        <x:v>P3/CLARIFY</x:v>
      </x:c>
      <x:c r="G2523" s="34" t="str">
        <x:v>مهارت/یادگیری</x:v>
      </x:c>
      <x:c r="H2523" s="39" t="str">
        <x:v>مهارت های مورد نیاز بازار به آنها آموزش داده شود</x:v>
      </x:c>
      <x:c r="I2523" s="39" t="str">
        <x:v>نیازمند تعریف خروجی یا پارک</x:v>
      </x:c>
      <x:c r="J2523" s="39" t="str">
        <x:v>تحلیلگر راهبری/PMO؛ تبدیل به فرضیه یا اقدام در صورت نیاز</x:v>
      </x:c>
      <x:c r="K2523" s="39" t="str"/>
      <x:c r="L2523" s="39" t="str">
        <x:v>E112:P2450</x:v>
      </x:c>
      <x:c r="M2523" s="39" t="str"/>
      <x:c r="N2523" s="39" t="str">
        <x:v>نسخه پایه ۳۱۵۰</x:v>
      </x:c>
    </x:row>
    <x:row r="2524" ht="34" customHeight="1">
      <x:c r="A2524" s="34" t="str">
        <x:v>☐</x:v>
      </x:c>
      <x:c r="B2524" s="34" t="str">
        <x:v>MI-2633</x:v>
      </x:c>
      <x:c r="C2524" s="34" t="str">
        <x:v>M6 — تحلیل‌های خام و ورودی‌های نیازمند پالایش</x:v>
      </x:c>
      <x:c r="D2524" s="34" t="str">
        <x:v>H20</x:v>
      </x:c>
      <x:c r="E2524" s="34" t="str">
        <x:v>یادداشت تحلیلی/راهبری ثبت‌شده در 11211</x:v>
      </x:c>
      <x:c r="F2524" s="34" t="str">
        <x:v>P3/CLARIFY</x:v>
      </x:c>
      <x:c r="G2524" s="34" t="str">
        <x:v>مهارت/یادگیری</x:v>
      </x:c>
      <x:c r="H2524" s="39" t="str">
        <x:v>ثبت مهارت ها و علایق</x:v>
      </x:c>
      <x:c r="I2524" s="39" t="str">
        <x:v>نیازمند تعریف خروجی یا پارک</x:v>
      </x:c>
      <x:c r="J2524" s="39" t="str">
        <x:v>تحلیلگر راهبری/PMO؛ تبدیل به فرضیه یا اقدام در صورت نیاز</x:v>
      </x:c>
      <x:c r="K2524" s="39" t="str"/>
      <x:c r="L2524" s="39" t="str">
        <x:v>E112:P2491</x:v>
      </x:c>
      <x:c r="M2524" s="39" t="str"/>
      <x:c r="N2524" s="39" t="str">
        <x:v>نسخه پایه ۳۱۵۰</x:v>
      </x:c>
    </x:row>
    <x:row r="2525" ht="34" customHeight="1">
      <x:c r="A2525" s="34" t="str">
        <x:v>☐</x:v>
      </x:c>
      <x:c r="B2525" s="34" t="str">
        <x:v>MI-2642</x:v>
      </x:c>
      <x:c r="C2525" s="34" t="str">
        <x:v>M6 — تحلیل‌های خام و ورودی‌های نیازمند پالایش</x:v>
      </x:c>
      <x:c r="D2525" s="34" t="str">
        <x:v>H20</x:v>
      </x:c>
      <x:c r="E2525" s="34" t="str">
        <x:v>یادداشت تحلیلی/راهبری ثبت‌شده در 11211</x:v>
      </x:c>
      <x:c r="F2525" s="34" t="str">
        <x:v>P3/CLARIFY</x:v>
      </x:c>
      <x:c r="G2525" s="34" t="str">
        <x:v>مهارت/یادگیری</x:v>
      </x:c>
      <x:c r="H2525" s="39" t="str">
        <x:v>حوزه های آموزشی:</x:v>
      </x:c>
      <x:c r="I2525" s="39" t="str">
        <x:v>نیازمند تعریف خروجی یا پارک</x:v>
      </x:c>
      <x:c r="J2525" s="39" t="str">
        <x:v>تحلیلگر راهبری/PMO؛ تبدیل به فرضیه یا اقدام در صورت نیاز</x:v>
      </x:c>
      <x:c r="K2525" s="39" t="str"/>
      <x:c r="L2525" s="39" t="str">
        <x:v>E112:P2518</x:v>
      </x:c>
      <x:c r="M2525" s="39" t="str"/>
      <x:c r="N2525" s="39" t="str">
        <x:v>نسخه پایه ۳۱۵۰</x:v>
      </x:c>
    </x:row>
    <x:row r="2526" ht="34" customHeight="1">
      <x:c r="A2526" s="34" t="str">
        <x:v>☐</x:v>
      </x:c>
      <x:c r="B2526" s="34" t="str">
        <x:v>MI-2650</x:v>
      </x:c>
      <x:c r="C2526" s="34" t="str">
        <x:v>M6 — تحلیل‌های خام و ورودی‌های نیازمند پالایش</x:v>
      </x:c>
      <x:c r="D2526" s="34" t="str">
        <x:v>H20</x:v>
      </x:c>
      <x:c r="E2526" s="34" t="str">
        <x:v>یادداشت تحلیلی/راهبری ثبت‌شده در 11211</x:v>
      </x:c>
      <x:c r="F2526" s="34" t="str">
        <x:v>P3/CLARIFY</x:v>
      </x:c>
      <x:c r="G2526" s="34" t="str">
        <x:v>مهارت/یادگیری</x:v>
      </x:c>
      <x:c r="H2526" s="39" t="str">
        <x:v>در کنار مهارت های نرم، لازم است مهارت های فنی و تخصصی متناسب با نیاز بازار آموزش داده شود.</x:v>
      </x:c>
      <x:c r="I2526" s="39" t="str">
        <x:v>نیازمند تعریف خروجی یا پارک</x:v>
      </x:c>
      <x:c r="J2526" s="39" t="str">
        <x:v>تحلیلگر راهبری/PMO؛ تبدیل به فرضیه یا اقدام در صورت نیاز</x:v>
      </x:c>
      <x:c r="K2526" s="39" t="str"/>
      <x:c r="L2526" s="39" t="str">
        <x:v>E112:P2549</x:v>
      </x:c>
      <x:c r="M2526" s="39" t="str"/>
      <x:c r="N2526" s="39" t="str">
        <x:v>نسخه پایه ۳۱۵۰</x:v>
      </x:c>
    </x:row>
    <x:row r="2527" ht="34" customHeight="1">
      <x:c r="A2527" s="34" t="str">
        <x:v>☐</x:v>
      </x:c>
      <x:c r="B2527" s="34" t="str">
        <x:v>MI-2653</x:v>
      </x:c>
      <x:c r="C2527" s="34" t="str">
        <x:v>M6 — تحلیل‌های خام و ورودی‌های نیازمند پالایش</x:v>
      </x:c>
      <x:c r="D2527" s="34" t="str">
        <x:v>H20</x:v>
      </x:c>
      <x:c r="E2527" s="34" t="str">
        <x:v>یادداشت تحلیلی/راهبری ثبت‌شده در 11211</x:v>
      </x:c>
      <x:c r="F2527" s="34" t="str">
        <x:v>P3/CLARIFY</x:v>
      </x:c>
      <x:c r="G2527" s="34" t="str">
        <x:v>مهارت/یادگیری</x:v>
      </x:c>
      <x:c r="H2527" s="39" t="str">
        <x:v>نرم افزارهای مهندسی</x:v>
      </x:c>
      <x:c r="I2527" s="39" t="str">
        <x:v>نیازمند تعریف خروجی یا پارک</x:v>
      </x:c>
      <x:c r="J2527" s="39" t="str">
        <x:v>تحلیلگر راهبری/PMO؛ تبدیل به فرضیه یا اقدام در صورت نیاز</x:v>
      </x:c>
      <x:c r="K2527" s="39" t="str"/>
      <x:c r="L2527" s="39" t="str">
        <x:v>E112:P2559؛ E112:P2995</x:v>
      </x:c>
      <x:c r="M2527" s="39" t="str"/>
      <x:c r="N2527" s="39" t="str">
        <x:v>نسخه پایه ۳۱۵۰</x:v>
      </x:c>
    </x:row>
    <x:row r="2528" ht="34" customHeight="1">
      <x:c r="A2528" s="34" t="str">
        <x:v>☐</x:v>
      </x:c>
      <x:c r="B2528" s="34" t="str">
        <x:v>MI-2694</x:v>
      </x:c>
      <x:c r="C2528" s="34" t="str">
        <x:v>M6 — تحلیل‌های خام و ورودی‌های نیازمند پالایش</x:v>
      </x:c>
      <x:c r="D2528" s="34" t="str">
        <x:v>H20</x:v>
      </x:c>
      <x:c r="E2528" s="34" t="str">
        <x:v>یادداشت تحلیلی/راهبری ثبت‌شده در 11211</x:v>
      </x:c>
      <x:c r="F2528" s="34" t="str">
        <x:v>P3/CLARIFY</x:v>
      </x:c>
      <x:c r="G2528" s="34" t="str">
        <x:v>مهارت/یادگیری</x:v>
      </x:c>
      <x:c r="H2528" s="39" t="str">
        <x:v>آموزش مهارت های فناوری</x:v>
      </x:c>
      <x:c r="I2528" s="39" t="str">
        <x:v>نیازمند تعریف خروجی یا پارک</x:v>
      </x:c>
      <x:c r="J2528" s="39" t="str">
        <x:v>تحلیلگر راهبری/PMO؛ تبدیل به فرضیه یا اقدام در صورت نیاز</x:v>
      </x:c>
      <x:c r="K2528" s="39" t="str"/>
      <x:c r="L2528" s="39" t="str">
        <x:v>E112:P2665</x:v>
      </x:c>
      <x:c r="M2528" s="39" t="str"/>
      <x:c r="N2528" s="39" t="str">
        <x:v>نسخه پایه ۳۱۵۰</x:v>
      </x:c>
    </x:row>
    <x:row r="2529" ht="34" customHeight="1">
      <x:c r="A2529" s="34" t="str">
        <x:v>☐</x:v>
      </x:c>
      <x:c r="B2529" s="34" t="str">
        <x:v>MI-2798</x:v>
      </x:c>
      <x:c r="C2529" s="34" t="str">
        <x:v>M6 — تحلیل‌های خام و ورودی‌های نیازمند پالایش</x:v>
      </x:c>
      <x:c r="D2529" s="34" t="str">
        <x:v>H20</x:v>
      </x:c>
      <x:c r="E2529" s="34" t="str">
        <x:v>یادداشت تحلیلی/راهبری ثبت‌شده در 11211</x:v>
      </x:c>
      <x:c r="F2529" s="34" t="str">
        <x:v>P3/CLARIFY</x:v>
      </x:c>
      <x:c r="G2529" s="34" t="str">
        <x:v>مهارت/یادگیری</x:v>
      </x:c>
      <x:c r="H2529" s="39" t="str">
        <x:v>آموزشگاه ها</x:v>
      </x:c>
      <x:c r="I2529" s="39" t="str">
        <x:v>نیازمند تعریف خروجی یا پارک</x:v>
      </x:c>
      <x:c r="J2529" s="39" t="str">
        <x:v>تحلیلگر راهبری/PMO؛ تبدیل به فرضیه یا اقدام در صورت نیاز</x:v>
      </x:c>
      <x:c r="K2529" s="39" t="str"/>
      <x:c r="L2529" s="39" t="str">
        <x:v>E112:P2939</x:v>
      </x:c>
      <x:c r="M2529" s="39" t="str"/>
      <x:c r="N2529" s="39" t="str">
        <x:v>نسخه پایه ۳۱۵۰</x:v>
      </x:c>
    </x:row>
    <x:row r="2530" ht="34" customHeight="1">
      <x:c r="A2530" s="34" t="str">
        <x:v>☐</x:v>
      </x:c>
      <x:c r="B2530" s="34" t="str">
        <x:v>MI-2811</x:v>
      </x:c>
      <x:c r="C2530" s="34" t="str">
        <x:v>M6 — تحلیل‌های خام و ورودی‌های نیازمند پالایش</x:v>
      </x:c>
      <x:c r="D2530" s="34" t="str">
        <x:v>H20</x:v>
      </x:c>
      <x:c r="E2530" s="34" t="str">
        <x:v>یادداشت تحلیلی/راهبری ثبت‌شده در 11211</x:v>
      </x:c>
      <x:c r="F2530" s="34" t="str">
        <x:v>P3/CLARIFY</x:v>
      </x:c>
      <x:c r="G2530" s="34" t="str">
        <x:v>مهارت/یادگیری</x:v>
      </x:c>
      <x:c r="H2530" s="39" t="str">
        <x:v>پیشنهاد آموزش</x:v>
      </x:c>
      <x:c r="I2530" s="39" t="str">
        <x:v>نیازمند تعریف خروجی یا پارک</x:v>
      </x:c>
      <x:c r="J2530" s="39" t="str">
        <x:v>تحلیلگر راهبری/PMO؛ تبدیل به فرضیه یا اقدام در صورت نیاز</x:v>
      </x:c>
      <x:c r="K2530" s="39" t="str"/>
      <x:c r="L2530" s="39" t="str">
        <x:v>E112:P2966</x:v>
      </x:c>
      <x:c r="M2530" s="39" t="str"/>
      <x:c r="N2530" s="39" t="str">
        <x:v>نسخه پایه ۳۱۵۰</x:v>
      </x:c>
    </x:row>
    <x:row r="2531" ht="34" customHeight="1">
      <x:c r="A2531" s="34" t="str">
        <x:v>☐</x:v>
      </x:c>
      <x:c r="B2531" s="34" t="str">
        <x:v>MI-2815</x:v>
      </x:c>
      <x:c r="C2531" s="34" t="str">
        <x:v>M6 — تحلیل‌های خام و ورودی‌های نیازمند پالایش</x:v>
      </x:c>
      <x:c r="D2531" s="34" t="str">
        <x:v>H20</x:v>
      </x:c>
      <x:c r="E2531" s="34" t="str">
        <x:v>یادداشت تحلیلی/راهبری ثبت‌شده در 11211</x:v>
      </x:c>
      <x:c r="F2531" s="34" t="str">
        <x:v>P3/CLARIFY</x:v>
      </x:c>
      <x:c r="G2531" s="34" t="str">
        <x:v>مهارت/یادگیری</x:v>
      </x:c>
      <x:c r="H2531" s="39" t="str">
        <x:v>لایه 3 — لایه آموزش</x:v>
      </x:c>
      <x:c r="I2531" s="39" t="str">
        <x:v>نیازمند تعریف خروجی یا پارک</x:v>
      </x:c>
      <x:c r="J2531" s="39" t="str">
        <x:v>تحلیلگر راهبری/PMO؛ تبدیل به فرضیه یا اقدام در صورت نیاز</x:v>
      </x:c>
      <x:c r="K2531" s="39" t="str"/>
      <x:c r="L2531" s="39" t="str">
        <x:v>E112:P2971</x:v>
      </x:c>
      <x:c r="M2531" s="39" t="str"/>
      <x:c r="N2531" s="39" t="str">
        <x:v>نسخه پایه ۳۱۵۰</x:v>
      </x:c>
    </x:row>
    <x:row r="2532" ht="34" customHeight="1">
      <x:c r="A2532" s="34" t="str">
        <x:v>☐</x:v>
      </x:c>
      <x:c r="B2532" s="34" t="str">
        <x:v>MI-2817</x:v>
      </x:c>
      <x:c r="C2532" s="34" t="str">
        <x:v>M6 — تحلیل‌های خام و ورودی‌های نیازمند پالایش</x:v>
      </x:c>
      <x:c r="D2532" s="34" t="str">
        <x:v>H20</x:v>
      </x:c>
      <x:c r="E2532" s="34" t="str">
        <x:v>یادداشت تحلیلی/راهبری ثبت‌شده در 11211</x:v>
      </x:c>
      <x:c r="F2532" s="34" t="str">
        <x:v>P3/CLARIFY</x:v>
      </x:c>
      <x:c r="G2532" s="34" t="str">
        <x:v>مهارت/یادگیری</x:v>
      </x:c>
      <x:c r="H2532" s="39" t="str">
        <x:v>آموزش مهارت های فنی مورد نیاز پروژه ها.</x:v>
      </x:c>
      <x:c r="I2532" s="39" t="str">
        <x:v>نیازمند تعریف خروجی یا پارک</x:v>
      </x:c>
      <x:c r="J2532" s="39" t="str">
        <x:v>تحلیلگر راهبری/PMO؛ تبدیل به فرضیه یا اقدام در صورت نیاز</x:v>
      </x:c>
      <x:c r="K2532" s="39" t="str"/>
      <x:c r="L2532" s="39" t="str">
        <x:v>E112:P2988</x:v>
      </x:c>
      <x:c r="M2532" s="39" t="str"/>
      <x:c r="N2532" s="39" t="str">
        <x:v>نسخه پایه ۳۱۵۰</x:v>
      </x:c>
    </x:row>
    <x:row r="2533" ht="34" customHeight="1">
      <x:c r="A2533" s="34" t="str">
        <x:v>☐</x:v>
      </x:c>
      <x:c r="B2533" s="34" t="str">
        <x:v>MI-2958</x:v>
      </x:c>
      <x:c r="C2533" s="34" t="str">
        <x:v>M6 — تحلیل‌های خام و ورودی‌های نیازمند پالایش</x:v>
      </x:c>
      <x:c r="D2533" s="34" t="str">
        <x:v>H20</x:v>
      </x:c>
      <x:c r="E2533" s="34" t="str">
        <x:v>یادداشت تحلیلی/راهبری ثبت‌شده در 11211</x:v>
      </x:c>
      <x:c r="F2533" s="34" t="str">
        <x:v>P3/CLARIFY</x:v>
      </x:c>
      <x:c r="G2533" s="34" t="str">
        <x:v>مهارت/یادگیری</x:v>
      </x:c>
      <x:c r="H2533" s="39" t="str">
        <x:v>واحد 2 — سیستم آموزش و توانمندسازی</x:v>
      </x:c>
      <x:c r="I2533" s="39" t="str">
        <x:v>نیازمند تعریف خروجی یا پارک</x:v>
      </x:c>
      <x:c r="J2533" s="39" t="str">
        <x:v>تحلیلگر راهبری/PMO؛ تبدیل به فرضیه یا اقدام در صورت نیاز</x:v>
      </x:c>
      <x:c r="K2533" s="39" t="str"/>
      <x:c r="L2533" s="39" t="str">
        <x:v>E112:P3346</x:v>
      </x:c>
      <x:c r="M2533" s="39" t="str"/>
      <x:c r="N2533" s="39" t="str">
        <x:v>نسخه پایه ۳۱۵۰</x:v>
      </x:c>
    </x:row>
    <x:row r="2534" ht="34" customHeight="1">
      <x:c r="A2534" s="34" t="str">
        <x:v>☐</x:v>
      </x:c>
      <x:c r="B2534" s="34" t="str">
        <x:v>MI-1585</x:v>
      </x:c>
      <x:c r="C2534" s="34" t="str">
        <x:v>M6 — تحلیل‌های خام و ورودی‌های نیازمند پالایش</x:v>
      </x:c>
      <x:c r="D2534" s="34" t="str">
        <x:v>H20</x:v>
      </x:c>
      <x:c r="E2534" s="34" t="str">
        <x:v>یادداشت تحلیلی/راهبری ثبت‌شده در 11211</x:v>
      </x:c>
      <x:c r="F2534" s="34" t="str">
        <x:v>P3/CLARIFY</x:v>
      </x:c>
      <x:c r="G2534" s="34" t="str">
        <x:v>هدف/موضوع</x:v>
      </x:c>
      <x:c r="H2534" s="39" t="str">
        <x:v>معروف بشی</x:v>
      </x:c>
      <x:c r="I2534" s="39" t="str">
        <x:v>نیازمند تعریف خروجی یا پارک</x:v>
      </x:c>
      <x:c r="J2534" s="39" t="str">
        <x:v>تحلیلگر راهبری/PMO؛ تبدیل به فرضیه یا اقدام در صورت نیاز</x:v>
      </x:c>
      <x:c r="K2534" s="39" t="str"/>
      <x:c r="L2534" s="39" t="str">
        <x:v>E112:P26؛ E112:P1806؛ E112:P2272</x:v>
      </x:c>
      <x:c r="M2534" s="39" t="str"/>
      <x:c r="N2534" s="39" t="str">
        <x:v>نسخه پایه ۳۱۵۰</x:v>
      </x:c>
    </x:row>
    <x:row r="2535" ht="34" customHeight="1">
      <x:c r="A2535" s="34" t="str">
        <x:v>☐</x:v>
      </x:c>
      <x:c r="B2535" s="34" t="str">
        <x:v>MI-1586</x:v>
      </x:c>
      <x:c r="C2535" s="34" t="str">
        <x:v>M6 — تحلیل‌های خام و ورودی‌های نیازمند پالایش</x:v>
      </x:c>
      <x:c r="D2535" s="34" t="str">
        <x:v>H20</x:v>
      </x:c>
      <x:c r="E2535" s="34" t="str">
        <x:v>یادداشت تحلیلی/راهبری ثبت‌شده در 11211</x:v>
      </x:c>
      <x:c r="F2535" s="34" t="str">
        <x:v>P3/CLARIFY</x:v>
      </x:c>
      <x:c r="G2535" s="34" t="str">
        <x:v>هدف/موضوع</x:v>
      </x:c>
      <x:c r="H2535" s="39" t="str">
        <x:v>اعتماد سازی و رسانه شکل بگیرهه</x:v>
      </x:c>
      <x:c r="I2535" s="39" t="str">
        <x:v>نیازمند تعریف خروجی یا پارک</x:v>
      </x:c>
      <x:c r="J2535" s="39" t="str">
        <x:v>تحلیلگر راهبری/PMO؛ تبدیل به فرضیه یا اقدام در صورت نیاز</x:v>
      </x:c>
      <x:c r="K2535" s="39" t="str"/>
      <x:c r="L2535" s="39" t="str">
        <x:v>E112:P27؛ E112:P1807؛ E112:P2273</x:v>
      </x:c>
      <x:c r="M2535" s="39" t="str"/>
      <x:c r="N2535" s="39" t="str">
        <x:v>نسخه پایه ۳۱۵۰</x:v>
      </x:c>
    </x:row>
    <x:row r="2536" ht="34" customHeight="1">
      <x:c r="A2536" s="34" t="str">
        <x:v>☐</x:v>
      </x:c>
      <x:c r="B2536" s="34" t="str">
        <x:v>MI-1590</x:v>
      </x:c>
      <x:c r="C2536" s="34" t="str">
        <x:v>M6 — تحلیل‌های خام و ورودی‌های نیازمند پالایش</x:v>
      </x:c>
      <x:c r="D2536" s="34" t="str">
        <x:v>H20</x:v>
      </x:c>
      <x:c r="E2536" s="34" t="str">
        <x:v>یادداشت تحلیلی/راهبری ثبت‌شده در 11211</x:v>
      </x:c>
      <x:c r="F2536" s="34" t="str">
        <x:v>P3/CLARIFY</x:v>
      </x:c>
      <x:c r="G2536" s="34" t="str">
        <x:v>هدف/موضوع</x:v>
      </x:c>
      <x:c r="H2536" s="39" t="str">
        <x:v>کارگاه های خاص</x:v>
      </x:c>
      <x:c r="I2536" s="39" t="str">
        <x:v>نیازمند تعریف خروجی یا پارک</x:v>
      </x:c>
      <x:c r="J2536" s="39" t="str">
        <x:v>تحلیلگر راهبری/PMO؛ تبدیل به فرضیه یا اقدام در صورت نیاز</x:v>
      </x:c>
      <x:c r="K2536" s="39" t="str"/>
      <x:c r="L2536" s="39" t="str">
        <x:v>E112:P39؛ E112:P1819؛ E112:P2285</x:v>
      </x:c>
      <x:c r="M2536" s="39" t="str"/>
      <x:c r="N2536" s="39" t="str">
        <x:v>نسخه پایه ۳۱۵۰</x:v>
      </x:c>
    </x:row>
    <x:row r="2537" ht="34" customHeight="1">
      <x:c r="A2537" s="34" t="str">
        <x:v>☐</x:v>
      </x:c>
      <x:c r="B2537" s="34" t="str">
        <x:v>MI-1591</x:v>
      </x:c>
      <x:c r="C2537" s="34" t="str">
        <x:v>M6 — تحلیل‌های خام و ورودی‌های نیازمند پالایش</x:v>
      </x:c>
      <x:c r="D2537" s="34" t="str">
        <x:v>H20</x:v>
      </x:c>
      <x:c r="E2537" s="34" t="str">
        <x:v>یادداشت تحلیلی/راهبری ثبت‌شده در 11211</x:v>
      </x:c>
      <x:c r="F2537" s="34" t="str">
        <x:v>P3/CLARIFY</x:v>
      </x:c>
      <x:c r="G2537" s="34" t="str">
        <x:v>هدف/موضوع</x:v>
      </x:c>
      <x:c r="H2537" s="39" t="str">
        <x:v>دفتر خاص برای تیم خاص</x:v>
      </x:c>
      <x:c r="I2537" s="39" t="str">
        <x:v>نیازمند تعریف خروجی یا پارک</x:v>
      </x:c>
      <x:c r="J2537" s="39" t="str">
        <x:v>تحلیلگر راهبری/PMO؛ تبدیل به فرضیه یا اقدام در صورت نیاز</x:v>
      </x:c>
      <x:c r="K2537" s="39" t="str"/>
      <x:c r="L2537" s="39" t="str">
        <x:v>E112:P41؛ E112:P1821؛ E112:P2287</x:v>
      </x:c>
      <x:c r="M2537" s="39" t="str"/>
      <x:c r="N2537" s="39" t="str">
        <x:v>نسخه پایه ۳۱۵۰</x:v>
      </x:c>
    </x:row>
    <x:row r="2538" ht="34" customHeight="1">
      <x:c r="A2538" s="34" t="str">
        <x:v>☐</x:v>
      </x:c>
      <x:c r="B2538" s="34" t="str">
        <x:v>MI-1592</x:v>
      </x:c>
      <x:c r="C2538" s="34" t="str">
        <x:v>M6 — تحلیل‌های خام و ورودی‌های نیازمند پالایش</x:v>
      </x:c>
      <x:c r="D2538" s="34" t="str">
        <x:v>H20</x:v>
      </x:c>
      <x:c r="E2538" s="34" t="str">
        <x:v>یادداشت تحلیلی/راهبری ثبت‌شده در 11211</x:v>
      </x:c>
      <x:c r="F2538" s="34" t="str">
        <x:v>P3/CLARIFY</x:v>
      </x:c>
      <x:c r="G2538" s="34" t="str">
        <x:v>هدف/موضوع</x:v>
      </x:c>
      <x:c r="H2538" s="39" t="str">
        <x:v>یا یه شرکت خصوصی</x:v>
      </x:c>
      <x:c r="I2538" s="39" t="str">
        <x:v>نیازمند تعریف خروجی یا پارک</x:v>
      </x:c>
      <x:c r="J2538" s="39" t="str">
        <x:v>تحلیلگر راهبری/PMO؛ تبدیل به فرضیه یا اقدام در صورت نیاز</x:v>
      </x:c>
      <x:c r="K2538" s="39" t="str"/>
      <x:c r="L2538" s="39" t="str">
        <x:v>E112:P42؛ E112:P1822؛ E112:P2288</x:v>
      </x:c>
      <x:c r="M2538" s="39" t="str"/>
      <x:c r="N2538" s="39" t="str">
        <x:v>نسخه پایه ۳۱۵۰</x:v>
      </x:c>
    </x:row>
    <x:row r="2539" ht="34" customHeight="1">
      <x:c r="A2539" s="34" t="str">
        <x:v>☐</x:v>
      </x:c>
      <x:c r="B2539" s="34" t="str">
        <x:v>MI-1601</x:v>
      </x:c>
      <x:c r="C2539" s="34" t="str">
        <x:v>M6 — تحلیل‌های خام و ورودی‌های نیازمند پالایش</x:v>
      </x:c>
      <x:c r="D2539" s="34" t="str">
        <x:v>H20</x:v>
      </x:c>
      <x:c r="E2539" s="34" t="str">
        <x:v>یادداشت تحلیلی/راهبری ثبت‌شده در 11211</x:v>
      </x:c>
      <x:c r="F2539" s="34" t="str">
        <x:v>P3/CLARIFY</x:v>
      </x:c>
      <x:c r="G2539" s="34" t="str">
        <x:v>هدف/موضوع</x:v>
      </x:c>
      <x:c r="H2539" s="39" t="str">
        <x:v>• روی ایده های جدید کار می کنند</x:v>
      </x:c>
      <x:c r="I2539" s="39" t="str">
        <x:v>نیازمند تعریف خروجی یا پارک</x:v>
      </x:c>
      <x:c r="J2539" s="39" t="str">
        <x:v>تحلیلگر راهبری/PMO؛ تبدیل به فرضیه یا اقدام در صورت نیاز</x:v>
      </x:c>
      <x:c r="K2539" s="39" t="str"/>
      <x:c r="L2539" s="39" t="str">
        <x:v>E112:P58؛ E112:P1518؛ E112:P1838؛ E112:P2304</x:v>
      </x:c>
      <x:c r="M2539" s="39" t="str"/>
      <x:c r="N2539" s="39" t="str">
        <x:v>نسخه پایه ۳۱۵۰</x:v>
      </x:c>
    </x:row>
    <x:row r="2540" ht="34" customHeight="1">
      <x:c r="A2540" s="34" t="str">
        <x:v>☐</x:v>
      </x:c>
      <x:c r="B2540" s="34" t="str">
        <x:v>MI-1603</x:v>
      </x:c>
      <x:c r="C2540" s="34" t="str">
        <x:v>M6 — تحلیل‌های خام و ورودی‌های نیازمند پالایش</x:v>
      </x:c>
      <x:c r="D2540" s="34" t="str">
        <x:v>H20</x:v>
      </x:c>
      <x:c r="E2540" s="34" t="str">
        <x:v>یادداشت تحلیلی/راهبری ثبت‌شده در 11211</x:v>
      </x:c>
      <x:c r="F2540" s="34" t="str">
        <x:v>P3/CLARIFY</x:v>
      </x:c>
      <x:c r="G2540" s="34" t="str">
        <x:v>هدف/موضوع</x:v>
      </x:c>
      <x:c r="H2540" s="39" t="str">
        <x:v>این مدل ساده تر و کم هزینه تر است.</x:v>
      </x:c>
      <x:c r="I2540" s="39" t="str">
        <x:v>نیازمند تعریف خروجی یا پارک</x:v>
      </x:c>
      <x:c r="J2540" s="39" t="str">
        <x:v>تحلیلگر راهبری/PMO؛ تبدیل به فرضیه یا اقدام در صورت نیاز</x:v>
      </x:c>
      <x:c r="K2540" s="39" t="str"/>
      <x:c r="L2540" s="39" t="str">
        <x:v>E112:P60؛ E112:P1521؛ E112:P1840؛ E112:P2306</x:v>
      </x:c>
      <x:c r="M2540" s="39" t="str"/>
      <x:c r="N2540" s="39" t="str">
        <x:v>نسخه پایه ۳۱۵۰</x:v>
      </x:c>
    </x:row>
    <x:row r="2541" ht="34" customHeight="1">
      <x:c r="A2541" s="34" t="str">
        <x:v>☐</x:v>
      </x:c>
      <x:c r="B2541" s="34" t="str">
        <x:v>MI-1605</x:v>
      </x:c>
      <x:c r="C2541" s="34" t="str">
        <x:v>M6 — تحلیل‌های خام و ورودی‌های نیازمند پالایش</x:v>
      </x:c>
      <x:c r="D2541" s="34" t="str">
        <x:v>H20</x:v>
      </x:c>
      <x:c r="E2541" s="34" t="str">
        <x:v>یادداشت تحلیلی/راهبری ثبت‌شده در 11211</x:v>
      </x:c>
      <x:c r="F2541" s="34" t="str">
        <x:v>P3/CLARIFY</x:v>
      </x:c>
      <x:c r="G2541" s="34" t="str">
        <x:v>هدف/موضوع</x:v>
      </x:c>
      <x:c r="H2541" s="39" t="str">
        <x:v>کارآفرین یا متخصص از خارج کشور می آید یا حتی به صورت ترکیبی (حضوری/آنلاین) مشارکت می کند.</x:v>
      </x:c>
      <x:c r="I2541" s="39" t="str">
        <x:v>نیازمند تعریف خروجی یا پارک</x:v>
      </x:c>
      <x:c r="J2541" s="39" t="str">
        <x:v>تحلیلگر راهبری/PMO؛ تبدیل به فرضیه یا اقدام در صورت نیاز</x:v>
      </x:c>
      <x:c r="K2541" s="39" t="str"/>
      <x:c r="L2541" s="39" t="str">
        <x:v>E112:P63؛ E112:P1524؛ E112:P1843؛ E112:P2309</x:v>
      </x:c>
      <x:c r="M2541" s="39" t="str"/>
      <x:c r="N2541" s="39" t="str">
        <x:v>نسخه پایه ۳۱۵۰</x:v>
      </x:c>
    </x:row>
    <x:row r="2542" ht="34" customHeight="1">
      <x:c r="A2542" s="34" t="str">
        <x:v>☐</x:v>
      </x:c>
      <x:c r="B2542" s="34" t="str">
        <x:v>MI-1606</x:v>
      </x:c>
      <x:c r="C2542" s="34" t="str">
        <x:v>M6 — تحلیل‌های خام و ورودی‌های نیازمند پالایش</x:v>
      </x:c>
      <x:c r="D2542" s="34" t="str">
        <x:v>H20</x:v>
      </x:c>
      <x:c r="E2542" s="34" t="str">
        <x:v>یادداشت تحلیلی/راهبری ثبت‌شده در 11211</x:v>
      </x:c>
      <x:c r="F2542" s="34" t="str">
        <x:v>P3/CLARIFY</x:v>
      </x:c>
      <x:c r="G2542" s="34" t="str">
        <x:v>هدف/موضوع</x:v>
      </x:c>
      <x:c r="H2542" s="39" t="str">
        <x:v>کارهایی که می تواند انجام دهد:</x:v>
      </x:c>
      <x:c r="I2542" s="39" t="str">
        <x:v>نیازمند تعریف خروجی یا پارک</x:v>
      </x:c>
      <x:c r="J2542" s="39" t="str">
        <x:v>تحلیلگر راهبری/PMO؛ تبدیل به فرضیه یا اقدام در صورت نیاز</x:v>
      </x:c>
      <x:c r="K2542" s="39" t="str"/>
      <x:c r="L2542" s="39" t="str">
        <x:v>E112:P64؛ E112:P1526؛ E112:P1844؛ E112:P2310</x:v>
      </x:c>
      <x:c r="M2542" s="39" t="str"/>
      <x:c r="N2542" s="39" t="str">
        <x:v>نسخه پایه ۳۱۵۰</x:v>
      </x:c>
    </x:row>
    <x:row r="2543" ht="34" customHeight="1">
      <x:c r="A2543" s="34" t="str">
        <x:v>☐</x:v>
      </x:c>
      <x:c r="B2543" s="34" t="str">
        <x:v>MI-1612</x:v>
      </x:c>
      <x:c r="C2543" s="34" t="str">
        <x:v>M6 — تحلیل‌های خام و ورودی‌های نیازمند پالایش</x:v>
      </x:c>
      <x:c r="D2543" s="34" t="str">
        <x:v>H20</x:v>
      </x:c>
      <x:c r="E2543" s="34" t="str">
        <x:v>یادداشت تحلیلی/راهبری ثبت‌شده در 11211</x:v>
      </x:c>
      <x:c r="F2543" s="34" t="str">
        <x:v>P3/CLARIFY</x:v>
      </x:c>
      <x:c r="G2543" s="34" t="str">
        <x:v>هدف/موضوع</x:v>
      </x:c>
      <x:c r="H2543" s="39" t="str">
        <x:v>3. یک مدل ترکیبی که برای مازندران خیلی منطقی است</x:v>
      </x:c>
      <x:c r="I2543" s="39" t="str">
        <x:v>نیازمند تعریف خروجی یا پارک</x:v>
      </x:c>
      <x:c r="J2543" s="39" t="str">
        <x:v>تحلیلگر راهبری/PMO؛ تبدیل به فرضیه یا اقدام در صورت نیاز</x:v>
      </x:c>
      <x:c r="K2543" s="39" t="str"/>
      <x:c r="L2543" s="39" t="str">
        <x:v>E112:P71؛ E112:P1534؛ E112:P1851؛ E112:P2317</x:v>
      </x:c>
      <x:c r="M2543" s="39" t="str"/>
      <x:c r="N2543" s="39" t="str">
        <x:v>نسخه پایه ۳۱۵۰</x:v>
      </x:c>
    </x:row>
    <x:row r="2544" ht="34" customHeight="1">
      <x:c r="A2544" s="34" t="str">
        <x:v>☐</x:v>
      </x:c>
      <x:c r="B2544" s="34" t="str">
        <x:v>MI-1614</x:v>
      </x:c>
      <x:c r="C2544" s="34" t="str">
        <x:v>M6 — تحلیل‌های خام و ورودی‌های نیازمند پالایش</x:v>
      </x:c>
      <x:c r="D2544" s="34" t="str">
        <x:v>H20</x:v>
      </x:c>
      <x:c r="E2544" s="34" t="str">
        <x:v>یادداشت تحلیلی/راهبری ثبت‌شده در 11211</x:v>
      </x:c>
      <x:c r="F2544" s="34" t="str">
        <x:v>P3/CLARIFY</x:v>
      </x:c>
      <x:c r="G2544" s="34" t="str">
        <x:v>هدف/موضوع</x:v>
      </x:c>
      <x:c r="H2544" s="39" t="str">
        <x:v>یعنی:</x:v>
      </x:c>
      <x:c r="I2544" s="39" t="str">
        <x:v>نیازمند تعریف خروجی یا پارک</x:v>
      </x:c>
      <x:c r="J2544" s="39" t="str">
        <x:v>تحلیلگر راهبری/PMO؛ تبدیل به فرضیه یا اقدام در صورت نیاز</x:v>
      </x:c>
      <x:c r="K2544" s="39" t="str"/>
      <x:c r="L2544" s="39" t="str">
        <x:v>E112:P73؛ E112:P1538؛ E112:P1853؛ E112:P2319</x:v>
      </x:c>
      <x:c r="M2544" s="39" t="str"/>
      <x:c r="N2544" s="39" t="str">
        <x:v>نسخه پایه ۳۱۵۰</x:v>
      </x:c>
    </x:row>
    <x:row r="2545" ht="34" customHeight="1">
      <x:c r="A2545" s="34" t="str">
        <x:v>☐</x:v>
      </x:c>
      <x:c r="B2545" s="34" t="str">
        <x:v>MI-1615</x:v>
      </x:c>
      <x:c r="C2545" s="34" t="str">
        <x:v>M6 — تحلیل‌های خام و ورودی‌های نیازمند پالایش</x:v>
      </x:c>
      <x:c r="D2545" s="34" t="str">
        <x:v>H20</x:v>
      </x:c>
      <x:c r="E2545" s="34" t="str">
        <x:v>یادداشت تحلیلی/راهبری ثبت‌شده در 11211</x:v>
      </x:c>
      <x:c r="F2545" s="34" t="str">
        <x:v>P3/CLARIFY</x:v>
      </x:c>
      <x:c r="G2545" s="34" t="str">
        <x:v>هدف/موضوع</x:v>
      </x:c>
      <x:c r="H2545" s="39" t="str">
        <x:v>• کارآفرینان ایرانی خارج از کشور</x:v>
      </x:c>
      <x:c r="I2545" s="39" t="str">
        <x:v>نیازمند تعریف خروجی یا پارک</x:v>
      </x:c>
      <x:c r="J2545" s="39" t="str">
        <x:v>تحلیلگر راهبری/PMO؛ تبدیل به فرضیه یا اقدام در صورت نیاز</x:v>
      </x:c>
      <x:c r="K2545" s="39" t="str"/>
      <x:c r="L2545" s="39" t="str">
        <x:v>E112:P74؛ E112:P1540؛ E112:P1854؛ E112:P2320</x:v>
      </x:c>
      <x:c r="M2545" s="39" t="str"/>
      <x:c r="N2545" s="39" t="str">
        <x:v>نسخه پایه ۳۱۵۰</x:v>
      </x:c>
    </x:row>
    <x:row r="2546" ht="34" customHeight="1">
      <x:c r="A2546" s="34" t="str">
        <x:v>☐</x:v>
      </x:c>
      <x:c r="B2546" s="34" t="str">
        <x:v>MI-1616</x:v>
      </x:c>
      <x:c r="C2546" s="34" t="str">
        <x:v>M6 — تحلیل‌های خام و ورودی‌های نیازمند پالایش</x:v>
      </x:c>
      <x:c r="D2546" s="34" t="str">
        <x:v>H20</x:v>
      </x:c>
      <x:c r="E2546" s="34" t="str">
        <x:v>یادداشت تحلیلی/راهبری ثبت‌شده در 11211</x:v>
      </x:c>
      <x:c r="F2546" s="34" t="str">
        <x:v>P3/CLARIFY</x:v>
      </x:c>
      <x:c r="G2546" s="34" t="str">
        <x:v>هدف/موضوع</x:v>
      </x:c>
      <x:c r="H2546" s="39" t="str">
        <x:v>• یا متخصصان بین المللی حوزه های خاص</x:v>
      </x:c>
      <x:c r="I2546" s="39" t="str">
        <x:v>نیازمند تعریف خروجی یا پارک</x:v>
      </x:c>
      <x:c r="J2546" s="39" t="str">
        <x:v>تحلیلگر راهبری/PMO؛ تبدیل به فرضیه یا اقدام در صورت نیاز</x:v>
      </x:c>
      <x:c r="K2546" s="39" t="str"/>
      <x:c r="L2546" s="39" t="str">
        <x:v>E112:P75؛ E112:P1541؛ E112:P1855؛ E112:P2321</x:v>
      </x:c>
      <x:c r="M2546" s="39" t="str"/>
      <x:c r="N2546" s="39" t="str">
        <x:v>نسخه پایه ۳۱۵۰</x:v>
      </x:c>
    </x:row>
    <x:row r="2547" ht="34" customHeight="1">
      <x:c r="A2547" s="34" t="str">
        <x:v>☐</x:v>
      </x:c>
      <x:c r="B2547" s="34" t="str">
        <x:v>MI-1617</x:v>
      </x:c>
      <x:c r="C2547" s="34" t="str">
        <x:v>M6 — تحلیل‌های خام و ورودی‌های نیازمند پالایش</x:v>
      </x:c>
      <x:c r="D2547" s="34" t="str">
        <x:v>H20</x:v>
      </x:c>
      <x:c r="E2547" s="34" t="str">
        <x:v>یادداشت تحلیلی/راهبری ثبت‌شده در 11211</x:v>
      </x:c>
      <x:c r="F2547" s="34" t="str">
        <x:v>P3/CLARIFY</x:v>
      </x:c>
      <x:c r="G2547" s="34" t="str">
        <x:v>هدف/موضوع</x:v>
      </x:c>
      <x:c r="H2547" s="39" t="str">
        <x:v>بیایند برای مدت کوتاه (مثلاً 1 تا 3 ماه) و روی حوزه های استان کار کنند:</x:v>
      </x:c>
      <x:c r="I2547" s="39" t="str">
        <x:v>نیازمند تعریف خروجی یا پارک</x:v>
      </x:c>
      <x:c r="J2547" s="39" t="str">
        <x:v>تحلیلگر راهبری/PMO؛ تبدیل به فرضیه یا اقدام در صورت نیاز</x:v>
      </x:c>
      <x:c r="K2547" s="39" t="str"/>
      <x:c r="L2547" s="39" t="str">
        <x:v>E112:P76؛ E112:P1543؛ E112:P1856؛ E112:P2322</x:v>
      </x:c>
      <x:c r="M2547" s="39" t="str"/>
      <x:c r="N2547" s="39" t="str">
        <x:v>نسخه پایه ۳۱۵۰</x:v>
      </x:c>
    </x:row>
    <x:row r="2548" ht="34" customHeight="1">
      <x:c r="A2548" s="34" t="str">
        <x:v>☐</x:v>
      </x:c>
      <x:c r="B2548" s="34" t="str">
        <x:v>MI-1618</x:v>
      </x:c>
      <x:c r="C2548" s="34" t="str">
        <x:v>M6 — تحلیل‌های خام و ورودی‌های نیازمند پالایش</x:v>
      </x:c>
      <x:c r="D2548" s="34" t="str">
        <x:v>H20</x:v>
      </x:c>
      <x:c r="E2548" s="34" t="str">
        <x:v>یادداشت تحلیلی/راهبری ثبت‌شده در 11211</x:v>
      </x:c>
      <x:c r="F2548" s="34" t="str">
        <x:v>P3/CLARIFY</x:v>
      </x:c>
      <x:c r="G2548" s="34" t="str">
        <x:v>هدف/موضوع</x:v>
      </x:c>
      <x:c r="H2548" s="39" t="str">
        <x:v>• AgriTech</x:v>
      </x:c>
      <x:c r="I2548" s="39" t="str">
        <x:v>نیازمند تعریف خروجی یا پارک</x:v>
      </x:c>
      <x:c r="J2548" s="39" t="str">
        <x:v>تحلیلگر راهبری/PMO؛ تبدیل به فرضیه یا اقدام در صورت نیاز</x:v>
      </x:c>
      <x:c r="K2548" s="39" t="str"/>
      <x:c r="L2548" s="39" t="str">
        <x:v>E112:P77؛ E112:P1229؛ E112:P1331؛ E112:P1423؛ E112:P1545؛ E112:P1857؛ E112:P2323؛ E112:P2876؛ E112:P3115</x:v>
      </x:c>
      <x:c r="M2548" s="39" t="str"/>
      <x:c r="N2548" s="39" t="str">
        <x:v>نسخه پایه ۳۱۵۰</x:v>
      </x:c>
    </x:row>
    <x:row r="2549" ht="34" customHeight="1">
      <x:c r="A2549" s="34" t="str">
        <x:v>☐</x:v>
      </x:c>
      <x:c r="B2549" s="34" t="str">
        <x:v>MI-1619</x:v>
      </x:c>
      <x:c r="C2549" s="34" t="str">
        <x:v>M6 — تحلیل‌های خام و ورودی‌های نیازمند پالایش</x:v>
      </x:c>
      <x:c r="D2549" s="34" t="str">
        <x:v>H20</x:v>
      </x:c>
      <x:c r="E2549" s="34" t="str">
        <x:v>یادداشت تحلیلی/راهبری ثبت‌شده در 11211</x:v>
      </x:c>
      <x:c r="F2549" s="34" t="str">
        <x:v>P3/CLARIFY</x:v>
      </x:c>
      <x:c r="G2549" s="34" t="str">
        <x:v>هدف/موضوع</x:v>
      </x:c>
      <x:c r="H2549" s="39" t="str">
        <x:v>• FoodTech</x:v>
      </x:c>
      <x:c r="I2549" s="39" t="str">
        <x:v>نیازمند تعریف خروجی یا پارک</x:v>
      </x:c>
      <x:c r="J2549" s="39" t="str">
        <x:v>تحلیلگر راهبری/PMO؛ تبدیل به فرضیه یا اقدام در صورت نیاز</x:v>
      </x:c>
      <x:c r="K2549" s="39" t="str"/>
      <x:c r="L2549" s="39" t="str">
        <x:v>E112:P78؛ E112:P1230؛ E112:P1260؛ E112:P1366؛ E112:P1424؛ E112:P1546؛ E112:P1858؛ E112:P2324؛ E112:P2878؛ E112:P3116</x:v>
      </x:c>
      <x:c r="M2549" s="39" t="str"/>
      <x:c r="N2549" s="39" t="str">
        <x:v>نسخه پایه ۳۱۵۰</x:v>
      </x:c>
    </x:row>
    <x:row r="2550" ht="34" customHeight="1">
      <x:c r="A2550" s="34" t="str">
        <x:v>☐</x:v>
      </x:c>
      <x:c r="B2550" s="34" t="str">
        <x:v>MI-1620</x:v>
      </x:c>
      <x:c r="C2550" s="34" t="str">
        <x:v>M6 — تحلیل‌های خام و ورودی‌های نیازمند پالایش</x:v>
      </x:c>
      <x:c r="D2550" s="34" t="str">
        <x:v>H20</x:v>
      </x:c>
      <x:c r="E2550" s="34" t="str">
        <x:v>یادداشت تحلیلی/راهبری ثبت‌شده در 11211</x:v>
      </x:c>
      <x:c r="F2550" s="34" t="str">
        <x:v>P3/CLARIFY</x:v>
      </x:c>
      <x:c r="G2550" s="34" t="str">
        <x:v>هدف/موضوع</x:v>
      </x:c>
      <x:c r="H2550" s="39" t="str">
        <x:v>• TourismTech</x:v>
      </x:c>
      <x:c r="I2550" s="39" t="str">
        <x:v>نیازمند تعریف خروجی یا پارک</x:v>
      </x:c>
      <x:c r="J2550" s="39" t="str">
        <x:v>تحلیلگر راهبری/PMO؛ تبدیل به فرضیه یا اقدام در صورت نیاز</x:v>
      </x:c>
      <x:c r="K2550" s="39" t="str"/>
      <x:c r="L2550" s="39" t="str">
        <x:v>E112:P79؛ E112:P1231؛ E112:P1279؛ E112:P1425؛ E112:P1547؛ E112:P1859؛ E112:P2325</x:v>
      </x:c>
      <x:c r="M2550" s="39" t="str"/>
      <x:c r="N2550" s="39" t="str">
        <x:v>نسخه پایه ۳۱۵۰</x:v>
      </x:c>
    </x:row>
    <x:row r="2551" ht="34" customHeight="1">
      <x:c r="A2551" s="34" t="str">
        <x:v>☐</x:v>
      </x:c>
      <x:c r="B2551" s="34" t="str">
        <x:v>MI-1622</x:v>
      </x:c>
      <x:c r="C2551" s="34" t="str">
        <x:v>M6 — تحلیل‌های خام و ورودی‌های نیازمند پالایش</x:v>
      </x:c>
      <x:c r="D2551" s="34" t="str">
        <x:v>H20</x:v>
      </x:c>
      <x:c r="E2551" s="34" t="str">
        <x:v>یادداشت تحلیلی/راهبری ثبت‌شده در 11211</x:v>
      </x:c>
      <x:c r="F2551" s="34" t="str">
        <x:v>P3/CLARIFY</x:v>
      </x:c>
      <x:c r="G2551" s="34" t="str">
        <x:v>هدف/موضوع</x:v>
      </x:c>
      <x:c r="H2551" s="39" t="str">
        <x:v>✅ جمع بندی کوتاه:</x:v>
      </x:c>
      <x:c r="I2551" s="39" t="str">
        <x:v>نیازمند تعریف خروجی یا پارک</x:v>
      </x:c>
      <x:c r="J2551" s="39" t="str">
        <x:v>تحلیلگر راهبری/PMO؛ تبدیل به فرضیه یا اقدام در صورت نیاز</x:v>
      </x:c>
      <x:c r="K2551" s="39" t="str"/>
      <x:c r="L2551" s="39" t="str">
        <x:v>E112:P82؛ E112:P1550؛ E112:P1862؛ E112:P2328</x:v>
      </x:c>
      <x:c r="M2551" s="39" t="str"/>
      <x:c r="N2551" s="39" t="str">
        <x:v>نسخه پایه ۳۱۵۰</x:v>
      </x:c>
    </x:row>
    <x:row r="2552" ht="34" customHeight="1">
      <x:c r="A2552" s="34" t="str">
        <x:v>☐</x:v>
      </x:c>
      <x:c r="B2552" s="34" t="str">
        <x:v>MI-1624</x:v>
      </x:c>
      <x:c r="C2552" s="34" t="str">
        <x:v>M6 — تحلیل‌های خام و ورودی‌های نیازمند پالایش</x:v>
      </x:c>
      <x:c r="D2552" s="34" t="str">
        <x:v>H20</x:v>
      </x:c>
      <x:c r="E2552" s="34" t="str">
        <x:v>یادداشت تحلیلی/راهبری ثبت‌شده در 11211</x:v>
      </x:c>
      <x:c r="F2552" s="34" t="str">
        <x:v>P3/CLARIFY</x:v>
      </x:c>
      <x:c r="G2552" s="34" t="str">
        <x:v>هدف/موضوع</x:v>
      </x:c>
      <x:c r="H2552" s="39" t="str">
        <x:v>thumb_upthumb_down</x:v>
      </x:c>
      <x:c r="I2552" s="39" t="str">
        <x:v>نیازمند تعریف خروجی یا پارک</x:v>
      </x:c>
      <x:c r="J2552" s="39" t="str">
        <x:v>تحلیلگر راهبری/PMO؛ تبدیل به فرضیه یا اقدام در صورت نیاز</x:v>
      </x:c>
      <x:c r="K2552" s="39" t="str"/>
      <x:c r="L2552" s="39" t="str">
        <x:v>E112:P84؛ E112:P1864؛ E112:P2330</x:v>
      </x:c>
      <x:c r="M2552" s="39" t="str"/>
      <x:c r="N2552" s="39" t="str">
        <x:v>نسخه پایه ۳۱۵۰</x:v>
      </x:c>
    </x:row>
    <x:row r="2553" ht="34" customHeight="1">
      <x:c r="A2553" s="34" t="str">
        <x:v>☐</x:v>
      </x:c>
      <x:c r="B2553" s="34" t="str">
        <x:v>MI-1629</x:v>
      </x:c>
      <x:c r="C2553" s="34" t="str">
        <x:v>M6 — تحلیل‌های خام و ورودی‌های نیازمند پالایش</x:v>
      </x:c>
      <x:c r="D2553" s="34" t="str">
        <x:v>H20</x:v>
      </x:c>
      <x:c r="E2553" s="34" t="str">
        <x:v>یادداشت تحلیلی/راهبری ثبت‌شده در 11211</x:v>
      </x:c>
      <x:c r="F2553" s="34" t="str">
        <x:v>P3/CLARIFY</x:v>
      </x:c>
      <x:c r="G2553" s="34" t="str">
        <x:v>هدف/موضوع</x:v>
      </x:c>
      <x:c r="H2553" s="39" t="str">
        <x:v>مدل قابل اجرا برای مازندران</x:v>
      </x:c>
      <x:c r="I2553" s="39" t="str">
        <x:v>نیازمند تعریف خروجی یا پارک</x:v>
      </x:c>
      <x:c r="J2553" s="39" t="str">
        <x:v>تحلیلگر راهبری/PMO؛ تبدیل به فرضیه یا اقدام در صورت نیاز</x:v>
      </x:c>
      <x:c r="K2553" s="39" t="str"/>
      <x:c r="L2553" s="39" t="str">
        <x:v>E112:P90؛ E112:P1560؛ E112:P1870؛ E112:P2336</x:v>
      </x:c>
      <x:c r="M2553" s="39" t="str"/>
      <x:c r="N2553" s="39" t="str">
        <x:v>نسخه پایه ۳۱۵۰</x:v>
      </x:c>
    </x:row>
    <x:row r="2554" ht="34" customHeight="1">
      <x:c r="A2554" s="34" t="str">
        <x:v>☐</x:v>
      </x:c>
      <x:c r="B2554" s="34" t="str">
        <x:v>MI-1632</x:v>
      </x:c>
      <x:c r="C2554" s="34" t="str">
        <x:v>M6 — تحلیل‌های خام و ورودی‌های نیازمند پالایش</x:v>
      </x:c>
      <x:c r="D2554" s="34" t="str">
        <x:v>H20</x:v>
      </x:c>
      <x:c r="E2554" s="34" t="str">
        <x:v>یادداشت تحلیلی/راهبری ثبت‌شده در 11211</x:v>
      </x:c>
      <x:c r="F2554" s="34" t="str">
        <x:v>P3/CLARIFY</x:v>
      </x:c>
      <x:c r="G2554" s="34" t="str">
        <x:v>هدف/موضوع</x:v>
      </x:c>
      <x:c r="H2554" s="39" t="str">
        <x:v>• ظرفیت های استان را بررسی کند</x:v>
      </x:c>
      <x:c r="I2554" s="39" t="str">
        <x:v>نیازمند تعریف خروجی یا پارک</x:v>
      </x:c>
      <x:c r="J2554" s="39" t="str">
        <x:v>تحلیلگر راهبری/PMO؛ تبدیل به فرضیه یا اقدام در صورت نیاز</x:v>
      </x:c>
      <x:c r="K2554" s="39" t="str"/>
      <x:c r="L2554" s="39" t="str">
        <x:v>E112:P93؛ E112:P1565؛ E112:P1873؛ E112:P2339</x:v>
      </x:c>
      <x:c r="M2554" s="39" t="str"/>
      <x:c r="N2554" s="39" t="str">
        <x:v>نسخه پایه ۳۱۵۰</x:v>
      </x:c>
    </x:row>
    <x:row r="2555" ht="34" customHeight="1">
      <x:c r="A2555" s="34" t="str">
        <x:v>☐</x:v>
      </x:c>
      <x:c r="B2555" s="34" t="str">
        <x:v>MI-1642</x:v>
      </x:c>
      <x:c r="C2555" s="34" t="str">
        <x:v>M6 — تحلیل‌های خام و ورودی‌های نیازمند پالایش</x:v>
      </x:c>
      <x:c r="D2555" s="34" t="str">
        <x:v>H20</x:v>
      </x:c>
      <x:c r="E2555" s="34" t="str">
        <x:v>یادداشت تحلیلی/راهبری ثبت‌شده در 11211</x:v>
      </x:c>
      <x:c r="F2555" s="34" t="str">
        <x:v>P3/CLARIFY</x:v>
      </x:c>
      <x:c r="G2555" s="34" t="str">
        <x:v>هدف/موضوع</x:v>
      </x:c>
      <x:c r="H2555" s="39" t="str">
        <x:v>• صنایع چوب</x:v>
      </x:c>
      <x:c r="I2555" s="39" t="str">
        <x:v>نیازمند تعریف خروجی یا پارک</x:v>
      </x:c>
      <x:c r="J2555" s="39" t="str">
        <x:v>تحلیلگر راهبری/PMO؛ تبدیل به فرضیه یا اقدام در صورت نیاز</x:v>
      </x:c>
      <x:c r="K2555" s="39" t="str"/>
      <x:c r="L2555" s="39" t="str">
        <x:v>E112:P104؛ E112:P803؛ E112:P1030؛ E112:P1579؛ E112:P1743؛ E112:P1884؛ E112:P2092؛ E112:P2350؛ E112:P2884؛ E112:P3119؛ E112:P3421</x:v>
      </x:c>
      <x:c r="M2555" s="39" t="str"/>
      <x:c r="N2555" s="39" t="str">
        <x:v>نسخه پایه ۳۱۵۰</x:v>
      </x:c>
    </x:row>
    <x:row r="2556" ht="34" customHeight="1">
      <x:c r="A2556" s="34" t="str">
        <x:v>☐</x:v>
      </x:c>
      <x:c r="B2556" s="34" t="str">
        <x:v>MI-1643</x:v>
      </x:c>
      <x:c r="C2556" s="34" t="str">
        <x:v>M6 — تحلیل‌های خام و ورودی‌های نیازمند پالایش</x:v>
      </x:c>
      <x:c r="D2556" s="34" t="str">
        <x:v>H20</x:v>
      </x:c>
      <x:c r="E2556" s="34" t="str">
        <x:v>یادداشت تحلیلی/راهبری ثبت‌شده در 11211</x:v>
      </x:c>
      <x:c r="F2556" s="34" t="str">
        <x:v>P3/CLARIFY</x:v>
      </x:c>
      <x:c r="G2556" s="34" t="str">
        <x:v>هدف/موضوع</x:v>
      </x:c>
      <x:c r="H2556" s="39" t="str">
        <x:v>2. گردشگری</x:v>
      </x:c>
      <x:c r="I2556" s="39" t="str">
        <x:v>نیازمند تعریف خروجی یا پارک</x:v>
      </x:c>
      <x:c r="J2556" s="39" t="str">
        <x:v>تحلیلگر راهبری/PMO؛ تبدیل به فرضیه یا اقدام در صورت نیاز</x:v>
      </x:c>
      <x:c r="K2556" s="39" t="str"/>
      <x:c r="L2556" s="39" t="str">
        <x:v>E112:P105؛ E112:P802؛ E112:P1028؛ E112:P1051؛ E112:P1273؛ E112:P1580؛ E112:P1885؛ E112:P2091؛ E112:P2351؛ E112:P2882؛ E112:P3049؛ E112:P3118؛ E112:P3419</x:v>
      </x:c>
      <x:c r="M2556" s="39" t="str"/>
      <x:c r="N2556" s="39" t="str">
        <x:v>نسخه پایه ۳۱۵۰</x:v>
      </x:c>
    </x:row>
    <x:row r="2557" ht="34" customHeight="1">
      <x:c r="A2557" s="34" t="str">
        <x:v>☐</x:v>
      </x:c>
      <x:c r="B2557" s="34" t="str">
        <x:v>MI-1646</x:v>
      </x:c>
      <x:c r="C2557" s="34" t="str">
        <x:v>M6 — تحلیل‌های خام و ورودی‌های نیازمند پالایش</x:v>
      </x:c>
      <x:c r="D2557" s="34" t="str">
        <x:v>H20</x:v>
      </x:c>
      <x:c r="E2557" s="34" t="str">
        <x:v>یادداشت تحلیلی/راهبری ثبت‌شده در 11211</x:v>
      </x:c>
      <x:c r="F2557" s="34" t="str">
        <x:v>P3/CLARIFY</x:v>
      </x:c>
      <x:c r="G2557" s="34" t="str">
        <x:v>هدف/موضوع</x:v>
      </x:c>
      <x:c r="H2557" s="39" t="str">
        <x:v>• معافیت مالیاتی</x:v>
      </x:c>
      <x:c r="I2557" s="39" t="str">
        <x:v>نیازمند تعریف خروجی یا پارک</x:v>
      </x:c>
      <x:c r="J2557" s="39" t="str">
        <x:v>تحلیلگر راهبری/PMO؛ تبدیل به فرضیه یا اقدام در صورت نیاز</x:v>
      </x:c>
      <x:c r="K2557" s="39" t="str"/>
      <x:c r="L2557" s="39" t="str">
        <x:v>E112:P109؛ E112:P1586؛ E112:P1889؛ E112:P2355</x:v>
      </x:c>
      <x:c r="M2557" s="39" t="str"/>
      <x:c r="N2557" s="39" t="str">
        <x:v>نسخه پایه ۳۱۵۰</x:v>
      </x:c>
    </x:row>
    <x:row r="2558" ht="34" customHeight="1">
      <x:c r="A2558" s="34" t="str">
        <x:v>☐</x:v>
      </x:c>
      <x:c r="B2558" s="34" t="str">
        <x:v>MI-1649</x:v>
      </x:c>
      <x:c r="C2558" s="34" t="str">
        <x:v>M6 — تحلیل‌های خام و ورودی‌های نیازمند پالایش</x:v>
      </x:c>
      <x:c r="D2558" s="34" t="str">
        <x:v>H20</x:v>
      </x:c>
      <x:c r="E2558" s="34" t="str">
        <x:v>یادداشت تحلیلی/راهبری ثبت‌شده در 11211</x:v>
      </x:c>
      <x:c r="F2558" s="34" t="str">
        <x:v>P3/CLARIFY</x:v>
      </x:c>
      <x:c r="G2558" s="34" t="str">
        <x:v>هدف/موضوع</x:v>
      </x:c>
      <x:c r="H2558" s="39" t="str">
        <x:v>• دسترسی به بازار روسیه و کشورهای CIS</x:v>
      </x:c>
      <x:c r="I2558" s="39" t="str">
        <x:v>نیازمند تعریف خروجی یا پارک</x:v>
      </x:c>
      <x:c r="J2558" s="39" t="str">
        <x:v>تحلیلگر راهبری/PMO؛ تبدیل به فرضیه یا اقدام در صورت نیاز</x:v>
      </x:c>
      <x:c r="K2558" s="39" t="str"/>
      <x:c r="L2558" s="39" t="str">
        <x:v>E112:P112؛ E112:P1589؛ E112:P1892؛ E112:P2358</x:v>
      </x:c>
      <x:c r="M2558" s="39" t="str"/>
      <x:c r="N2558" s="39" t="str">
        <x:v>نسخه پایه ۳۱۵۰</x:v>
      </x:c>
    </x:row>
    <x:row r="2559" ht="34" customHeight="1">
      <x:c r="A2559" s="34" t="str">
        <x:v>☐</x:v>
      </x:c>
      <x:c r="B2559" s="34" t="str">
        <x:v>MI-1650</x:v>
      </x:c>
      <x:c r="C2559" s="34" t="str">
        <x:v>M6 — تحلیل‌های خام و ورودی‌های نیازمند پالایش</x:v>
      </x:c>
      <x:c r="D2559" s="34" t="str">
        <x:v>H20</x:v>
      </x:c>
      <x:c r="E2559" s="34" t="str">
        <x:v>یادداشت تحلیلی/راهبری ثبت‌شده در 11211</x:v>
      </x:c>
      <x:c r="F2559" s="34" t="str">
        <x:v>P3/CLARIFY</x:v>
      </x:c>
      <x:c r="G2559" s="34" t="str">
        <x:v>هدف/موضوع</x:v>
      </x:c>
      <x:c r="H2559" s="39" t="str">
        <x:v>• دسترسی به کریدور شمال–جنوب</x:v>
      </x:c>
      <x:c r="I2559" s="39" t="str">
        <x:v>نیازمند تعریف خروجی یا پارک</x:v>
      </x:c>
      <x:c r="J2559" s="39" t="str">
        <x:v>تحلیلگر راهبری/PMO؛ تبدیل به فرضیه یا اقدام در صورت نیاز</x:v>
      </x:c>
      <x:c r="K2559" s="39" t="str"/>
      <x:c r="L2559" s="39" t="str">
        <x:v>E112:P113؛ E112:P1590؛ E112:P1893؛ E112:P2359</x:v>
      </x:c>
      <x:c r="M2559" s="39" t="str"/>
      <x:c r="N2559" s="39" t="str">
        <x:v>نسخه پایه ۳۱۵۰</x:v>
      </x:c>
    </x:row>
    <x:row r="2560" ht="34" customHeight="1">
      <x:c r="A2560" s="34" t="str">
        <x:v>☐</x:v>
      </x:c>
      <x:c r="B2560" s="34" t="str">
        <x:v>MI-1653</x:v>
      </x:c>
      <x:c r="C2560" s="34" t="str">
        <x:v>M6 — تحلیل‌های خام و ورودی‌های نیازمند پالایش</x:v>
      </x:c>
      <x:c r="D2560" s="34" t="str">
        <x:v>H20</x:v>
      </x:c>
      <x:c r="E2560" s="34" t="str">
        <x:v>یادداشت تحلیلی/راهبری ثبت‌شده در 11211</x:v>
      </x:c>
      <x:c r="F2560" s="34" t="str">
        <x:v>P3/CLARIFY</x:v>
      </x:c>
      <x:c r="G2560" s="34" t="str">
        <x:v>هدف/موضوع</x:v>
      </x:c>
      <x:c r="H2560" s="39" t="str">
        <x:v>مدل همکاری می تواند این گونه باشد:</x:v>
      </x:c>
      <x:c r="I2560" s="39" t="str">
        <x:v>نیازمند تعریف خروجی یا پارک</x:v>
      </x:c>
      <x:c r="J2560" s="39" t="str">
        <x:v>تحلیلگر راهبری/PMO؛ تبدیل به فرضیه یا اقدام در صورت نیاز</x:v>
      </x:c>
      <x:c r="K2560" s="39" t="str"/>
      <x:c r="L2560" s="39" t="str">
        <x:v>E112:P117؛ E112:P1595؛ E112:P1897؛ E112:P2363</x:v>
      </x:c>
      <x:c r="M2560" s="39" t="str"/>
      <x:c r="N2560" s="39" t="str">
        <x:v>نسخه پایه ۳۱۵۰</x:v>
      </x:c>
    </x:row>
    <x:row r="2561" ht="34" customHeight="1">
      <x:c r="A2561" s="34" t="str">
        <x:v>☐</x:v>
      </x:c>
      <x:c r="B2561" s="34" t="str">
        <x:v>MI-1657</x:v>
      </x:c>
      <x:c r="C2561" s="34" t="str">
        <x:v>M6 — تحلیل‌های خام و ورودی‌های نیازمند پالایش</x:v>
      </x:c>
      <x:c r="D2561" s="34" t="str">
        <x:v>H20</x:v>
      </x:c>
      <x:c r="E2561" s="34" t="str">
        <x:v>یادداشت تحلیلی/راهبری ثبت‌شده در 11211</x:v>
      </x:c>
      <x:c r="F2561" s="34" t="str">
        <x:v>P3/CLARIFY</x:v>
      </x:c>
      <x:c r="G2561" s="34" t="str">
        <x:v>هدف/موضوع</x:v>
      </x:c>
      <x:c r="H2561" s="39" t="str">
        <x:v>و خروجی می شود:</x:v>
      </x:c>
      <x:c r="I2561" s="39" t="str">
        <x:v>نیازمند تعریف خروجی یا پارک</x:v>
      </x:c>
      <x:c r="J2561" s="39" t="str">
        <x:v>تحلیلگر راهبری/PMO؛ تبدیل به فرضیه یا اقدام در صورت نیاز</x:v>
      </x:c>
      <x:c r="K2561" s="39" t="str"/>
      <x:c r="L2561" s="39" t="str">
        <x:v>E112:P121؛ E112:P1601؛ E112:P1901؛ E112:P2367</x:v>
      </x:c>
      <x:c r="M2561" s="39" t="str"/>
      <x:c r="N2561" s="39" t="str">
        <x:v>نسخه پایه ۳۱۵۰</x:v>
      </x:c>
    </x:row>
    <x:row r="2562" ht="34" customHeight="1">
      <x:c r="A2562" s="34" t="str">
        <x:v>☐</x:v>
      </x:c>
      <x:c r="B2562" s="34" t="str">
        <x:v>MI-1659</x:v>
      </x:c>
      <x:c r="C2562" s="34" t="str">
        <x:v>M6 — تحلیل‌های خام و ورودی‌های نیازمند پالایش</x:v>
      </x:c>
      <x:c r="D2562" s="34" t="str">
        <x:v>H20</x:v>
      </x:c>
      <x:c r="E2562" s="34" t="str">
        <x:v>یادداشت تحلیلی/راهبری ثبت‌شده در 11211</x:v>
      </x:c>
      <x:c r="F2562" s="34" t="str">
        <x:v>P3/CLARIFY</x:v>
      </x:c>
      <x:c r="G2562" s="34" t="str">
        <x:v>هدف/موضوع</x:v>
      </x:c>
      <x:c r="H2562" s="39" t="str">
        <x:v>نمونه رویدادی که می شود برگزار کرد</x:v>
      </x:c>
      <x:c r="I2562" s="39" t="str">
        <x:v>نیازمند تعریف خروجی یا پارک</x:v>
      </x:c>
      <x:c r="J2562" s="39" t="str">
        <x:v>تحلیلگر راهبری/PMO؛ تبدیل به فرضیه یا اقدام در صورت نیاز</x:v>
      </x:c>
      <x:c r="K2562" s="39" t="str"/>
      <x:c r="L2562" s="39" t="str">
        <x:v>E112:P124؛ E112:P1604؛ E112:P1904؛ E112:P2370</x:v>
      </x:c>
      <x:c r="M2562" s="39" t="str"/>
      <x:c r="N2562" s="39" t="str">
        <x:v>نسخه پایه ۳۱۵۰</x:v>
      </x:c>
    </x:row>
    <x:row r="2563" ht="34" customHeight="1">
      <x:c r="A2563" s="34" t="str">
        <x:v>☐</x:v>
      </x:c>
      <x:c r="B2563" s="34" t="str">
        <x:v>MI-1661</x:v>
      </x:c>
      <x:c r="C2563" s="34" t="str">
        <x:v>M6 — تحلیل‌های خام و ورودی‌های نیازمند پالایش</x:v>
      </x:c>
      <x:c r="D2563" s="34" t="str">
        <x:v>H20</x:v>
      </x:c>
      <x:c r="E2563" s="34" t="str">
        <x:v>یادداشت تحلیلی/راهبری ثبت‌شده در 11211</x:v>
      </x:c>
      <x:c r="F2563" s="34" t="str">
        <x:v>P3/CLARIFY</x:v>
      </x:c>
      <x:c r="G2563" s="34" t="str">
        <x:v>هدف/موضوع</x:v>
      </x:c>
      <x:c r="H2563" s="39" t="str">
        <x:v>North Export Innovation Summit</x:v>
      </x:c>
      <x:c r="I2563" s="39" t="str">
        <x:v>نیازمند تعریف خروجی یا پارک</x:v>
      </x:c>
      <x:c r="J2563" s="39" t="str">
        <x:v>تحلیلگر راهبری/PMO؛ تبدیل به فرضیه یا اقدام در صورت نیاز</x:v>
      </x:c>
      <x:c r="K2563" s="39" t="str"/>
      <x:c r="L2563" s="39" t="str">
        <x:v>E112:P126؛ E112:P1608؛ E112:P1906؛ E112:P2372</x:v>
      </x:c>
      <x:c r="M2563" s="39" t="str"/>
      <x:c r="N2563" s="39" t="str">
        <x:v>نسخه پایه ۳۱۵۰</x:v>
      </x:c>
    </x:row>
    <x:row r="2564" ht="34" customHeight="1">
      <x:c r="A2564" s="34" t="str">
        <x:v>☐</x:v>
      </x:c>
      <x:c r="B2564" s="34" t="str">
        <x:v>MI-1662</x:v>
      </x:c>
      <x:c r="C2564" s="34" t="str">
        <x:v>M6 — تحلیل‌های خام و ورودی‌های نیازمند پالایش</x:v>
      </x:c>
      <x:c r="D2564" s="34" t="str">
        <x:v>H20</x:v>
      </x:c>
      <x:c r="E2564" s="34" t="str">
        <x:v>یادداشت تحلیلی/راهبری ثبت‌شده در 11211</x:v>
      </x:c>
      <x:c r="F2564" s="34" t="str">
        <x:v>P3/CLARIFY</x:v>
      </x:c>
      <x:c r="G2564" s="34" t="str">
        <x:v>هدف/موضوع</x:v>
      </x:c>
      <x:c r="H2564" s="39" t="str">
        <x:v>محورهای آن:</x:v>
      </x:c>
      <x:c r="I2564" s="39" t="str">
        <x:v>نیازمند تعریف خروجی یا پارک</x:v>
      </x:c>
      <x:c r="J2564" s="39" t="str">
        <x:v>تحلیلگر راهبری/PMO؛ تبدیل به فرضیه یا اقدام در صورت نیاز</x:v>
      </x:c>
      <x:c r="K2564" s="39" t="str"/>
      <x:c r="L2564" s="39" t="str">
        <x:v>E112:P127؛ E112:P1610؛ E112:P1907؛ E112:P2373</x:v>
      </x:c>
      <x:c r="M2564" s="39" t="str"/>
      <x:c r="N2564" s="39" t="str">
        <x:v>نسخه پایه ۳۱۵۰</x:v>
      </x:c>
    </x:row>
    <x:row r="2565" ht="34" customHeight="1">
      <x:c r="A2565" s="34" t="str">
        <x:v>☐</x:v>
      </x:c>
      <x:c r="B2565" s="34" t="str">
        <x:v>MI-1667</x:v>
      </x:c>
      <x:c r="C2565" s="34" t="str">
        <x:v>M6 — تحلیل‌های خام و ورودی‌های نیازمند پالایش</x:v>
      </x:c>
      <x:c r="D2565" s="34" t="str">
        <x:v>H20</x:v>
      </x:c>
      <x:c r="E2565" s="34" t="str">
        <x:v>یادداشت تحلیلی/راهبری ثبت‌شده در 11211</x:v>
      </x:c>
      <x:c r="F2565" s="34" t="str">
        <x:v>P3/CLARIFY</x:v>
      </x:c>
      <x:c r="G2565" s="34" t="str">
        <x:v>هدف/موضوع</x:v>
      </x:c>
      <x:c r="H2565" s="39" t="str">
        <x:v>در این رویداد:</x:v>
      </x:c>
      <x:c r="I2565" s="39" t="str">
        <x:v>نیازمند تعریف خروجی یا پارک</x:v>
      </x:c>
      <x:c r="J2565" s="39" t="str">
        <x:v>تحلیلگر راهبری/PMO؛ تبدیل به فرضیه یا اقدام در صورت نیاز</x:v>
      </x:c>
      <x:c r="K2565" s="39" t="str"/>
      <x:c r="L2565" s="39" t="str">
        <x:v>E112:P132؛ E112:P1617؛ E112:P1912؛ E112:P2378</x:v>
      </x:c>
      <x:c r="M2565" s="39" t="str"/>
      <x:c r="N2565" s="39" t="str">
        <x:v>نسخه پایه ۳۱۵۰</x:v>
      </x:c>
    </x:row>
    <x:row r="2566" ht="34" customHeight="1">
      <x:c r="A2566" s="34" t="str">
        <x:v>☐</x:v>
      </x:c>
      <x:c r="B2566" s="34" t="str">
        <x:v>MI-1672</x:v>
      </x:c>
      <x:c r="C2566" s="34" t="str">
        <x:v>M6 — تحلیل‌های خام و ورودی‌های نیازمند پالایش</x:v>
      </x:c>
      <x:c r="D2566" s="34" t="str">
        <x:v>H20</x:v>
      </x:c>
      <x:c r="E2566" s="34" t="str">
        <x:v>یادداشت تحلیلی/راهبری ثبت‌شده در 11211</x:v>
      </x:c>
      <x:c r="F2566" s="34" t="str">
        <x:v>P3/CLARIFY</x:v>
      </x:c>
      <x:c r="G2566" s="34" t="str">
        <x:v>هدف/موضوع</x:v>
      </x:c>
      <x:c r="H2566" s="39" t="str">
        <x:v>به هم متصل می شوند.</x:v>
      </x:c>
      <x:c r="I2566" s="39" t="str">
        <x:v>نیازمند تعریف خروجی یا پارک</x:v>
      </x:c>
      <x:c r="J2566" s="39" t="str">
        <x:v>تحلیلگر راهبری/PMO؛ تبدیل به فرضیه یا اقدام در صورت نیاز</x:v>
      </x:c>
      <x:c r="K2566" s="39" t="str"/>
      <x:c r="L2566" s="39" t="str">
        <x:v>E112:P137؛ E112:P1624؛ E112:P1917؛ E112:P2383</x:v>
      </x:c>
      <x:c r="M2566" s="39" t="str"/>
      <x:c r="N2566" s="39" t="str">
        <x:v>نسخه پایه ۳۱۵۰</x:v>
      </x:c>
    </x:row>
    <x:row r="2567" ht="34" customHeight="1">
      <x:c r="A2567" s="34" t="str">
        <x:v>☐</x:v>
      </x:c>
      <x:c r="B2567" s="34" t="str">
        <x:v>MI-1673</x:v>
      </x:c>
      <x:c r="C2567" s="34" t="str">
        <x:v>M6 — تحلیل‌های خام و ورودی‌های نیازمند پالایش</x:v>
      </x:c>
      <x:c r="D2567" s="34" t="str">
        <x:v>H20</x:v>
      </x:c>
      <x:c r="E2567" s="34" t="str">
        <x:v>یادداشت تحلیلی/راهبری ثبت‌شده در 11211</x:v>
      </x:c>
      <x:c r="F2567" s="34" t="str">
        <x:v>P3/CLARIFY</x:v>
      </x:c>
      <x:c r="G2567" s="34" t="str">
        <x:v>هدف/موضوع</x:v>
      </x:c>
      <x:c r="H2567" s="39" t="str">
        <x:v>یک نکته مهم برای مازندران</x:v>
      </x:c>
      <x:c r="I2567" s="39" t="str">
        <x:v>نیازمند تعریف خروجی یا پارک</x:v>
      </x:c>
      <x:c r="J2567" s="39" t="str">
        <x:v>تحلیلگر راهبری/PMO؛ تبدیل به فرضیه یا اقدام در صورت نیاز</x:v>
      </x:c>
      <x:c r="K2567" s="39" t="str"/>
      <x:c r="L2567" s="39" t="str">
        <x:v>E112:P139؛ E112:P1625؛ E112:P1919؛ E112:P2385</x:v>
      </x:c>
      <x:c r="M2567" s="39" t="str"/>
      <x:c r="N2567" s="39" t="str">
        <x:v>نسخه پایه ۳۱۵۰</x:v>
      </x:c>
    </x:row>
    <x:row r="2568" ht="34" customHeight="1">
      <x:c r="A2568" s="34" t="str">
        <x:v>☐</x:v>
      </x:c>
      <x:c r="B2568" s="34" t="str">
        <x:v>MI-1674</x:v>
      </x:c>
      <x:c r="C2568" s="34" t="str">
        <x:v>M6 — تحلیل‌های خام و ورودی‌های نیازمند پالایش</x:v>
      </x:c>
      <x:c r="D2568" s="34" t="str">
        <x:v>H20</x:v>
      </x:c>
      <x:c r="E2568" s="34" t="str">
        <x:v>یادداشت تحلیلی/راهبری ثبت‌شده در 11211</x:v>
      </x:c>
      <x:c r="F2568" s="34" t="str">
        <x:v>P3/CLARIFY</x:v>
      </x:c>
      <x:c r="G2568" s="34" t="str">
        <x:v>هدف/موضوع</x:v>
      </x:c>
      <x:c r="H2568" s="39" t="str">
        <x:v>مزیت واقعی استان این است که:</x:v>
      </x:c>
      <x:c r="I2568" s="39" t="str">
        <x:v>نیازمند تعریف خروجی یا پارک</x:v>
      </x:c>
      <x:c r="J2568" s="39" t="str">
        <x:v>تحلیلگر راهبری/PMO؛ تبدیل به فرضیه یا اقدام در صورت نیاز</x:v>
      </x:c>
      <x:c r="K2568" s="39" t="str"/>
      <x:c r="L2568" s="39" t="str">
        <x:v>E112:P140؛ E112:P1627؛ E112:P1920؛ E112:P2386</x:v>
      </x:c>
      <x:c r="M2568" s="39" t="str"/>
      <x:c r="N2568" s="39" t="str">
        <x:v>نسخه پایه ۳۱۵۰</x:v>
      </x:c>
    </x:row>
    <x:row r="2569" ht="34" customHeight="1">
      <x:c r="A2569" s="34" t="str">
        <x:v>☐</x:v>
      </x:c>
      <x:c r="B2569" s="34" t="str">
        <x:v>MI-1675</x:v>
      </x:c>
      <x:c r="C2569" s="34" t="str">
        <x:v>M6 — تحلیل‌های خام و ورودی‌های نیازمند پالایش</x:v>
      </x:c>
      <x:c r="D2569" s="34" t="str">
        <x:v>H20</x:v>
      </x:c>
      <x:c r="E2569" s="34" t="str">
        <x:v>یادداشت تحلیلی/راهبری ثبت‌شده در 11211</x:v>
      </x:c>
      <x:c r="F2569" s="34" t="str">
        <x:v>P3/CLARIFY</x:v>
      </x:c>
      <x:c r="G2569" s="34" t="str">
        <x:v>هدف/موضوع</x:v>
      </x:c>
      <x:c r="H2569" s="39" t="str">
        <x:v>• نزدیک به تهران است</x:v>
      </x:c>
      <x:c r="I2569" s="39" t="str">
        <x:v>نیازمند تعریف خروجی یا پارک</x:v>
      </x:c>
      <x:c r="J2569" s="39" t="str">
        <x:v>تحلیلگر راهبری/PMO؛ تبدیل به فرضیه یا اقدام در صورت نیاز</x:v>
      </x:c>
      <x:c r="K2569" s="39" t="str"/>
      <x:c r="L2569" s="39" t="str">
        <x:v>E112:P141؛ E112:P1629؛ E112:P1921؛ E112:P2387</x:v>
      </x:c>
      <x:c r="M2569" s="39" t="str"/>
      <x:c r="N2569" s="39" t="str">
        <x:v>نسخه پایه ۳۱۵۰</x:v>
      </x:c>
    </x:row>
    <x:row r="2570" ht="34" customHeight="1">
      <x:c r="A2570" s="34" t="str">
        <x:v>☐</x:v>
      </x:c>
      <x:c r="B2570" s="34" t="str">
        <x:v>MI-1683</x:v>
      </x:c>
      <x:c r="C2570" s="34" t="str">
        <x:v>M6 — تحلیل‌های خام و ورودی‌های نیازمند پالایش</x:v>
      </x:c>
      <x:c r="D2570" s="34" t="str">
        <x:v>H20</x:v>
      </x:c>
      <x:c r="E2570" s="34" t="str">
        <x:v>یادداشت تحلیلی/راهبری ثبت‌شده در 11211</x:v>
      </x:c>
      <x:c r="F2570" s="34" t="str">
        <x:v>P3/CLARIFY</x:v>
      </x:c>
      <x:c r="G2570" s="34" t="str">
        <x:v>هدف/موضوع</x:v>
      </x:c>
      <x:c r="H2570" s="39" t="str">
        <x:v>1) آوردن مدل موفق از خارج و بومی سازی</x:v>
      </x:c>
      <x:c r="I2570" s="39" t="str">
        <x:v>نیازمند تعریف خروجی یا پارک</x:v>
      </x:c>
      <x:c r="J2570" s="39" t="str">
        <x:v>تحلیلگر راهبری/PMO؛ تبدیل به فرضیه یا اقدام در صورت نیاز</x:v>
      </x:c>
      <x:c r="K2570" s="39" t="str"/>
      <x:c r="L2570" s="39" t="str">
        <x:v>E112:P149؛ E112:P1659؛ E112:P1931؛ E112:P2397</x:v>
      </x:c>
      <x:c r="M2570" s="39" t="str"/>
      <x:c r="N2570" s="39" t="str">
        <x:v>نسخه پایه ۳۱۵۰</x:v>
      </x:c>
    </x:row>
    <x:row r="2571" ht="34" customHeight="1">
      <x:c r="A2571" s="34" t="str">
        <x:v>☐</x:v>
      </x:c>
      <x:c r="B2571" s="34" t="str">
        <x:v>MI-1686</x:v>
      </x:c>
      <x:c r="C2571" s="34" t="str">
        <x:v>M6 — تحلیل‌های خام و ورودی‌های نیازمند پالایش</x:v>
      </x:c>
      <x:c r="D2571" s="34" t="str">
        <x:v>H20</x:v>
      </x:c>
      <x:c r="E2571" s="34" t="str">
        <x:v>یادداشت تحلیلی/راهبری ثبت‌شده در 11211</x:v>
      </x:c>
      <x:c r="F2571" s="34" t="str">
        <x:v>P3/CLARIFY</x:v>
      </x:c>
      <x:c r="G2571" s="34" t="str">
        <x:v>هدف/موضوع</x:v>
      </x:c>
      <x:c r="H2571" s="39" t="str">
        <x:v>• خروجی مورد انتظار:</x:v>
      </x:c>
      <x:c r="I2571" s="39" t="str">
        <x:v>نیازمند تعریف خروجی یا پارک</x:v>
      </x:c>
      <x:c r="J2571" s="39" t="str">
        <x:v>تحلیلگر راهبری/PMO؛ تبدیل به فرضیه یا اقدام در صورت نیاز</x:v>
      </x:c>
      <x:c r="K2571" s="39" t="str"/>
      <x:c r="L2571" s="39" t="str">
        <x:v>E112:P152؛ E112:P1663؛ E112:P1934؛ E112:P2400</x:v>
      </x:c>
      <x:c r="M2571" s="39" t="str"/>
      <x:c r="N2571" s="39" t="str">
        <x:v>نسخه پایه ۳۱۵۰</x:v>
      </x:c>
    </x:row>
    <x:row r="2572" ht="34" customHeight="1">
      <x:c r="A2572" s="34" t="str">
        <x:v>☐</x:v>
      </x:c>
      <x:c r="B2572" s="34" t="str">
        <x:v>MI-1687</x:v>
      </x:c>
      <x:c r="C2572" s="34" t="str">
        <x:v>M6 — تحلیل‌های خام و ورودی‌های نیازمند پالایش</x:v>
      </x:c>
      <x:c r="D2572" s="34" t="str">
        <x:v>H20</x:v>
      </x:c>
      <x:c r="E2572" s="34" t="str">
        <x:v>یادداشت تحلیلی/راهبری ثبت‌شده در 11211</x:v>
      </x:c>
      <x:c r="F2572" s="34" t="str">
        <x:v>P3/CLARIFY</x:v>
      </x:c>
      <x:c r="G2572" s="34" t="str">
        <x:v>هدف/موضوع</x:v>
      </x:c>
      <x:c r="H2572" s="39" t="str">
        <x:v>o طراحی نسخه بومی (pilot) در مازندران</x:v>
      </x:c>
      <x:c r="I2572" s="39" t="str">
        <x:v>نیازمند تعریف خروجی یا پارک</x:v>
      </x:c>
      <x:c r="J2572" s="39" t="str">
        <x:v>تحلیلگر راهبری/PMO؛ تبدیل به فرضیه یا اقدام در صورت نیاز</x:v>
      </x:c>
      <x:c r="K2572" s="39" t="str"/>
      <x:c r="L2572" s="39" t="str">
        <x:v>E112:P153؛ E112:P1664؛ E112:P1935؛ E112:P2401</x:v>
      </x:c>
      <x:c r="M2572" s="39" t="str"/>
      <x:c r="N2572" s="39" t="str">
        <x:v>نسخه پایه ۳۱۵۰</x:v>
      </x:c>
    </x:row>
    <x:row r="2573" ht="34" customHeight="1">
      <x:c r="A2573" s="34" t="str">
        <x:v>☐</x:v>
      </x:c>
      <x:c r="B2573" s="34" t="str">
        <x:v>MI-1688</x:v>
      </x:c>
      <x:c r="C2573" s="34" t="str">
        <x:v>M6 — تحلیل‌های خام و ورودی‌های نیازمند پالایش</x:v>
      </x:c>
      <x:c r="D2573" s="34" t="str">
        <x:v>H20</x:v>
      </x:c>
      <x:c r="E2573" s="34" t="str">
        <x:v>یادداشت تحلیلی/راهبری ثبت‌شده در 11211</x:v>
      </x:c>
      <x:c r="F2573" s="34" t="str">
        <x:v>P3/CLARIFY</x:v>
      </x:c>
      <x:c r="G2573" s="34" t="str">
        <x:v>هدف/موضوع</x:v>
      </x:c>
      <x:c r="H2573" s="39" t="str">
        <x:v>o تشکیل تیم محلی</x:v>
      </x:c>
      <x:c r="I2573" s="39" t="str">
        <x:v>نیازمند تعریف خروجی یا پارک</x:v>
      </x:c>
      <x:c r="J2573" s="39" t="str">
        <x:v>تحلیلگر راهبری/PMO؛ تبدیل به فرضیه یا اقدام در صورت نیاز</x:v>
      </x:c>
      <x:c r="K2573" s="39" t="str"/>
      <x:c r="L2573" s="39" t="str">
        <x:v>E112:P154؛ E112:P1665؛ E112:P1936؛ E112:P2402</x:v>
      </x:c>
      <x:c r="M2573" s="39" t="str"/>
      <x:c r="N2573" s="39" t="str">
        <x:v>نسخه پایه ۳۱۵۰</x:v>
      </x:c>
    </x:row>
    <x:row r="2574" ht="34" customHeight="1">
      <x:c r="A2574" s="34" t="str">
        <x:v>☐</x:v>
      </x:c>
      <x:c r="B2574" s="34" t="str">
        <x:v>MI-1690</x:v>
      </x:c>
      <x:c r="C2574" s="34" t="str">
        <x:v>M6 — تحلیل‌های خام و ورودی‌های نیازمند پالایش</x:v>
      </x:c>
      <x:c r="D2574" s="34" t="str">
        <x:v>H20</x:v>
      </x:c>
      <x:c r="E2574" s="34" t="str">
        <x:v>یادداشت تحلیلی/راهبری ثبت‌شده در 11211</x:v>
      </x:c>
      <x:c r="F2574" s="34" t="str">
        <x:v>P3/CLARIFY</x:v>
      </x:c>
      <x:c r="G2574" s="34" t="str">
        <x:v>هدف/موضوع</x:v>
      </x:c>
      <x:c r="H2574" s="39" t="str">
        <x:v>نمونه حوزه ها:</x:v>
      </x:c>
      <x:c r="I2574" s="39" t="str">
        <x:v>نیازمند تعریف خروجی یا پارک</x:v>
      </x:c>
      <x:c r="J2574" s="39" t="str">
        <x:v>تحلیلگر راهبری/PMO؛ تبدیل به فرضیه یا اقدام در صورت نیاز</x:v>
      </x:c>
      <x:c r="K2574" s="39" t="str"/>
      <x:c r="L2574" s="39" t="str">
        <x:v>E112:P156؛ E112:P1668؛ E112:P1938؛ E112:P2404</x:v>
      </x:c>
      <x:c r="M2574" s="39" t="str"/>
      <x:c r="N2574" s="39" t="str">
        <x:v>نسخه پایه ۳۱۵۰</x:v>
      </x:c>
    </x:row>
    <x:row r="2575" ht="34" customHeight="1">
      <x:c r="A2575" s="34" t="str">
        <x:v>☐</x:v>
      </x:c>
      <x:c r="B2575" s="34" t="str">
        <x:v>MI-1694</x:v>
      </x:c>
      <x:c r="C2575" s="34" t="str">
        <x:v>M6 — تحلیل‌های خام و ورودی‌های نیازمند پالایش</x:v>
      </x:c>
      <x:c r="D2575" s="34" t="str">
        <x:v>H20</x:v>
      </x:c>
      <x:c r="E2575" s="34" t="str">
        <x:v>یادداشت تحلیلی/راهبری ثبت‌شده در 11211</x:v>
      </x:c>
      <x:c r="F2575" s="34" t="str">
        <x:v>P3/CLARIFY</x:v>
      </x:c>
      <x:c r="G2575" s="34" t="str">
        <x:v>هدف/موضوع</x:v>
      </x:c>
      <x:c r="H2575" s="39" t="str">
        <x:v>• TourismTech برای گردشگری روستایی و تجربه محور</x:v>
      </x:c>
      <x:c r="I2575" s="39" t="str">
        <x:v>نیازمند تعریف خروجی یا پارک</x:v>
      </x:c>
      <x:c r="J2575" s="39" t="str">
        <x:v>تحلیلگر راهبری/PMO؛ تبدیل به فرضیه یا اقدام در صورت نیاز</x:v>
      </x:c>
      <x:c r="K2575" s="39" t="str"/>
      <x:c r="L2575" s="39" t="str">
        <x:v>E112:P160؛ E112:P1673؛ E112:P1942؛ E112:P2408</x:v>
      </x:c>
      <x:c r="M2575" s="39" t="str"/>
      <x:c r="N2575" s="39" t="str">
        <x:v>نسخه پایه ۳۱۵۰</x:v>
      </x:c>
    </x:row>
    <x:row r="2576" ht="34" customHeight="1">
      <x:c r="A2576" s="34" t="str">
        <x:v>☐</x:v>
      </x:c>
      <x:c r="B2576" s="34" t="str">
        <x:v>MI-1703</x:v>
      </x:c>
      <x:c r="C2576" s="34" t="str">
        <x:v>M6 — تحلیل‌های خام و ورودی‌های نیازمند پالایش</x:v>
      </x:c>
      <x:c r="D2576" s="34" t="str">
        <x:v>H20</x:v>
      </x:c>
      <x:c r="E2576" s="34" t="str">
        <x:v>یادداشت تحلیلی/راهبری ثبت‌شده در 11211</x:v>
      </x:c>
      <x:c r="F2576" s="34" t="str">
        <x:v>P3/CLARIFY</x:v>
      </x:c>
      <x:c r="G2576" s="34" t="str">
        <x:v>هدف/موضوع</x:v>
      </x:c>
      <x:c r="H2576" s="39" t="str">
        <x:v>• ماموریت 1–3 ماهه:</x:v>
      </x:c>
      <x:c r="I2576" s="39" t="str">
        <x:v>نیازمند تعریف خروجی یا پارک</x:v>
      </x:c>
      <x:c r="J2576" s="39" t="str">
        <x:v>تحلیلگر راهبری/PMO؛ تبدیل به فرضیه یا اقدام در صورت نیاز</x:v>
      </x:c>
      <x:c r="K2576" s="39" t="str"/>
      <x:c r="L2576" s="39" t="str">
        <x:v>E112:P169؛ E112:P1686؛ E112:P1951؛ E112:P2417</x:v>
      </x:c>
      <x:c r="M2576" s="39" t="str"/>
      <x:c r="N2576" s="39" t="str">
        <x:v>نسخه پایه ۳۱۵۰</x:v>
      </x:c>
    </x:row>
    <x:row r="2577" ht="34" customHeight="1">
      <x:c r="A2577" s="34" t="str">
        <x:v>☐</x:v>
      </x:c>
      <x:c r="B2577" s="34" t="str">
        <x:v>MI-1708</x:v>
      </x:c>
      <x:c r="C2577" s="34" t="str">
        <x:v>M6 — تحلیل‌های خام و ورودی‌های نیازمند پالایش</x:v>
      </x:c>
      <x:c r="D2577" s="34" t="str">
        <x:v>H20</x:v>
      </x:c>
      <x:c r="E2577" s="34" t="str">
        <x:v>یادداشت تحلیلی/راهبری ثبت‌شده در 11211</x:v>
      </x:c>
      <x:c r="F2577" s="34" t="str">
        <x:v>P3/CLARIFY</x:v>
      </x:c>
      <x:c r="G2577" s="34" t="str">
        <x:v>هدف/موضوع</x:v>
      </x:c>
      <x:c r="H2577" s="39" t="str">
        <x:v>قالب اجرایی پیشنهادی</x:v>
      </x:c>
      <x:c r="I2577" s="39" t="str">
        <x:v>نیازمند تعریف خروجی یا پارک</x:v>
      </x:c>
      <x:c r="J2577" s="39" t="str">
        <x:v>تحلیلگر راهبری/PMO؛ تبدیل به فرضیه یا اقدام در صورت نیاز</x:v>
      </x:c>
      <x:c r="K2577" s="39" t="str"/>
      <x:c r="L2577" s="39" t="str">
        <x:v>E112:P174؛ E112:P1692؛ E112:P1956؛ E112:P2422</x:v>
      </x:c>
      <x:c r="M2577" s="39" t="str"/>
      <x:c r="N2577" s="39" t="str">
        <x:v>نسخه پایه ۳۱۵۰</x:v>
      </x:c>
    </x:row>
    <x:row r="2578" ht="34" customHeight="1">
      <x:c r="A2578" s="34" t="str">
        <x:v>☐</x:v>
      </x:c>
      <x:c r="B2578" s="34" t="str">
        <x:v>MI-1713</x:v>
      </x:c>
      <x:c r="C2578" s="34" t="str">
        <x:v>M6 — تحلیل‌های خام و ورودی‌های نیازمند پالایش</x:v>
      </x:c>
      <x:c r="D2578" s="34" t="str">
        <x:v>H20</x:v>
      </x:c>
      <x:c r="E2578" s="34" t="str">
        <x:v>یادداشت تحلیلی/راهبری ثبت‌شده در 11211</x:v>
      </x:c>
      <x:c r="F2578" s="34" t="str">
        <x:v>P3/CLARIFY</x:v>
      </x:c>
      <x:c r="G2578" s="34" t="str">
        <x:v>هدف/موضوع</x:v>
      </x:c>
      <x:c r="H2578" s="39" t="str">
        <x:v>• رویداد همراه:</x:v>
      </x:c>
      <x:c r="I2578" s="39" t="str">
        <x:v>نیازمند تعریف خروجی یا پارک</x:v>
      </x:c>
      <x:c r="J2578" s="39" t="str">
        <x:v>تحلیلگر راهبری/PMO؛ تبدیل به فرضیه یا اقدام در صورت نیاز</x:v>
      </x:c>
      <x:c r="K2578" s="39" t="str"/>
      <x:c r="L2578" s="39" t="str">
        <x:v>E112:P179؛ E112:P1699؛ E112:P1961؛ E112:P2427</x:v>
      </x:c>
      <x:c r="M2578" s="39" t="str"/>
      <x:c r="N2578" s="39" t="str">
        <x:v>نسخه پایه ۳۱۵۰</x:v>
      </x:c>
    </x:row>
    <x:row r="2579" ht="34" customHeight="1">
      <x:c r="A2579" s="34" t="str">
        <x:v>☐</x:v>
      </x:c>
      <x:c r="B2579" s="34" t="str">
        <x:v>MI-1715</x:v>
      </x:c>
      <x:c r="C2579" s="34" t="str">
        <x:v>M6 — تحلیل‌های خام و ورودی‌های نیازمند پالایش</x:v>
      </x:c>
      <x:c r="D2579" s="34" t="str">
        <x:v>H20</x:v>
      </x:c>
      <x:c r="E2579" s="34" t="str">
        <x:v>یادداشت تحلیلی/راهبری ثبت‌شده در 11211</x:v>
      </x:c>
      <x:c r="F2579" s="34" t="str">
        <x:v>P3/CLARIFY</x:v>
      </x:c>
      <x:c r="G2579" s="34" t="str">
        <x:v>هدف/موضوع</x:v>
      </x:c>
      <x:c r="H2579" s="39" t="str">
        <x:v>محور: AgriTech، FoodTech، Aquaculture، TourismTech</x:v>
      </x:c>
      <x:c r="I2579" s="39" t="str">
        <x:v>نیازمند تعریف خروجی یا پارک</x:v>
      </x:c>
      <x:c r="J2579" s="39" t="str">
        <x:v>تحلیلگر راهبری/PMO؛ تبدیل به فرضیه یا اقدام در صورت نیاز</x:v>
      </x:c>
      <x:c r="K2579" s="39" t="str"/>
      <x:c r="L2579" s="39" t="str">
        <x:v>E112:P181؛ E112:P1703؛ E112:P1963؛ E112:P2429</x:v>
      </x:c>
      <x:c r="M2579" s="39" t="str"/>
      <x:c r="N2579" s="39" t="str">
        <x:v>نسخه پایه ۳۱۵۰</x:v>
      </x:c>
    </x:row>
    <x:row r="2580" ht="34" customHeight="1">
      <x:c r="A2580" s="34" t="str">
        <x:v>☐</x:v>
      </x:c>
      <x:c r="B2580" s="34" t="str">
        <x:v>MI-1717</x:v>
      </x:c>
      <x:c r="C2580" s="34" t="str">
        <x:v>M6 — تحلیل‌های خام و ورودی‌های نیازمند پالایش</x:v>
      </x:c>
      <x:c r="D2580" s="34" t="str">
        <x:v>H20</x:v>
      </x:c>
      <x:c r="E2580" s="34" t="str">
        <x:v>یادداشت تحلیلی/راهبری ثبت‌شده در 11211</x:v>
      </x:c>
      <x:c r="F2580" s="34" t="str">
        <x:v>P3/CLARIFY</x:v>
      </x:c>
      <x:c r="G2580" s="34" t="str">
        <x:v>هدف/موضوع</x:v>
      </x:c>
      <x:c r="H2580" s="39" t="str">
        <x:v>خلاصه:</x:v>
      </x:c>
      <x:c r="I2580" s="39" t="str">
        <x:v>نیازمند تعریف خروجی یا پارک</x:v>
      </x:c>
      <x:c r="J2580" s="39" t="str">
        <x:v>تحلیلگر راهبری/PMO؛ تبدیل به فرضیه یا اقدام در صورت نیاز</x:v>
      </x:c>
      <x:c r="K2580" s="39" t="str"/>
      <x:c r="L2580" s="39" t="str">
        <x:v>E112:P183؛ E112:P1707؛ E112:P1965؛ E112:P2431</x:v>
      </x:c>
      <x:c r="M2580" s="39" t="str"/>
      <x:c r="N2580" s="39" t="str">
        <x:v>نسخه پایه ۳۱۵۰</x:v>
      </x:c>
    </x:row>
    <x:row r="2581" ht="34" customHeight="1">
      <x:c r="A2581" s="34" t="str">
        <x:v>☐</x:v>
      </x:c>
      <x:c r="B2581" s="34" t="str">
        <x:v>MI-1721</x:v>
      </x:c>
      <x:c r="C2581" s="34" t="str">
        <x:v>M6 — تحلیل‌های خام و ورودی‌های نیازمند پالایش</x:v>
      </x:c>
      <x:c r="D2581" s="34" t="str">
        <x:v>H20</x:v>
      </x:c>
      <x:c r="E2581" s="34" t="str">
        <x:v>یادداشت تحلیلی/راهبری ثبت‌شده در 11211</x:v>
      </x:c>
      <x:c r="F2581" s="34" t="str">
        <x:v>P3/CLARIFY</x:v>
      </x:c>
      <x:c r="G2581" s="34" t="str">
        <x:v>هدف/موضوع</x:v>
      </x:c>
      <x:c r="H2581" s="39" t="str">
        <x:v>حالا تک به تک بررسی میک نیم به یه نتیجه ای از هر ایتم میرسیم و بعد میریم سراغ بعدی</x:v>
      </x:c>
      <x:c r="I2581" s="39" t="str">
        <x:v>نیازمند تعریف خروجی یا پارک</x:v>
      </x:c>
      <x:c r="J2581" s="39" t="str">
        <x:v>تحلیلگر راهبری/PMO؛ تبدیل به فرضیه یا اقدام در صورت نیاز</x:v>
      </x:c>
      <x:c r="K2581" s="39" t="str"/>
      <x:c r="L2581" s="39" t="str">
        <x:v>E112:P189</x:v>
      </x:c>
      <x:c r="M2581" s="39" t="str"/>
      <x:c r="N2581" s="39" t="str">
        <x:v>نسخه پایه ۳۱۵۰</x:v>
      </x:c>
    </x:row>
    <x:row r="2582" ht="34" customHeight="1">
      <x:c r="A2582" s="34" t="str">
        <x:v>☐</x:v>
      </x:c>
      <x:c r="B2582" s="34" t="str">
        <x:v>MI-1723</x:v>
      </x:c>
      <x:c r="C2582" s="34" t="str">
        <x:v>M6 — تحلیل‌های خام و ورودی‌های نیازمند پالایش</x:v>
      </x:c>
      <x:c r="D2582" s="34" t="str">
        <x:v>H20</x:v>
      </x:c>
      <x:c r="E2582" s="34" t="str">
        <x:v>یادداشت تحلیلی/راهبری ثبت‌شده در 11211</x:v>
      </x:c>
      <x:c r="F2582" s="34" t="str">
        <x:v>P3/CLARIFY</x:v>
      </x:c>
      <x:c r="G2582" s="34" t="str">
        <x:v>هدف/موضوع</x:v>
      </x:c>
      <x:c r="H2582" s="39" t="str">
        <x:v>برای اینکه بررسی ها به نتیجه برسند، بهتر است هر آیتم را با یک چارچوب ثابت تحلیل کنیم. مثلاً برای هر مورد این پنج زاویه را ببینیم:</x:v>
      </x:c>
      <x:c r="I2582" s="39" t="str">
        <x:v>نیازمند تعریف خروجی یا پارک</x:v>
      </x:c>
      <x:c r="J2582" s="39" t="str">
        <x:v>تحلیلگر راهبری/PMO؛ تبدیل به فرضیه یا اقدام در صورت نیاز</x:v>
      </x:c>
      <x:c r="K2582" s="39" t="str"/>
      <x:c r="L2582" s="39" t="str">
        <x:v>E112:P193</x:v>
      </x:c>
      <x:c r="M2582" s="39" t="str"/>
      <x:c r="N2582" s="39" t="str">
        <x:v>نسخه پایه ۳۱۵۰</x:v>
      </x:c>
    </x:row>
    <x:row r="2583" ht="34" customHeight="1">
      <x:c r="A2583" s="34" t="str">
        <x:v>☐</x:v>
      </x:c>
      <x:c r="B2583" s="34" t="str">
        <x:v>MI-1724</x:v>
      </x:c>
      <x:c r="C2583" s="34" t="str">
        <x:v>M6 — تحلیل‌های خام و ورودی‌های نیازمند پالایش</x:v>
      </x:c>
      <x:c r="D2583" s="34" t="str">
        <x:v>H20</x:v>
      </x:c>
      <x:c r="E2583" s="34" t="str">
        <x:v>یادداشت تحلیلی/راهبری ثبت‌شده در 11211</x:v>
      </x:c>
      <x:c r="F2583" s="34" t="str">
        <x:v>P3/CLARIFY</x:v>
      </x:c>
      <x:c r="G2583" s="34" t="str">
        <x:v>هدف/موضوع</x:v>
      </x:c>
      <x:c r="H2583" s="39" t="str">
        <x:v>ماهیت آیتم</x:v>
      </x:c>
      <x:c r="I2583" s="39" t="str">
        <x:v>نیازمند تعریف خروجی یا پارک</x:v>
      </x:c>
      <x:c r="J2583" s="39" t="str">
        <x:v>تحلیلگر راهبری/PMO؛ تبدیل به فرضیه یا اقدام در صورت نیاز</x:v>
      </x:c>
      <x:c r="K2583" s="39" t="str"/>
      <x:c r="L2583" s="39" t="str">
        <x:v>E112:P195</x:v>
      </x:c>
      <x:c r="M2583" s="39" t="str"/>
      <x:c r="N2583" s="39" t="str">
        <x:v>نسخه پایه ۳۱۵۰</x:v>
      </x:c>
    </x:row>
    <x:row r="2584" ht="34" customHeight="1">
      <x:c r="A2584" s="34" t="str">
        <x:v>☐</x:v>
      </x:c>
      <x:c r="B2584" s="34" t="str">
        <x:v>MI-1726</x:v>
      </x:c>
      <x:c r="C2584" s="34" t="str">
        <x:v>M6 — تحلیل‌های خام و ورودی‌های نیازمند پالایش</x:v>
      </x:c>
      <x:c r="D2584" s="34" t="str">
        <x:v>H20</x:v>
      </x:c>
      <x:c r="E2584" s="34" t="str">
        <x:v>یادداشت تحلیلی/راهبری ثبت‌شده در 11211</x:v>
      </x:c>
      <x:c r="F2584" s="34" t="str">
        <x:v>P3/CLARIFY</x:v>
      </x:c>
      <x:c r="G2584" s="34" t="str">
        <x:v>هدف/موضوع</x:v>
      </x:c>
      <x:c r="H2584" s="39" t="str">
        <x:v>میزان اشراف یا دسترسی تو</x:v>
      </x:c>
      <x:c r="I2584" s="39" t="str">
        <x:v>نیازمند تعریف خروجی یا پارک</x:v>
      </x:c>
      <x:c r="J2584" s="39" t="str">
        <x:v>تحلیلگر راهبری/PMO؛ تبدیل به فرضیه یا اقدام در صورت نیاز</x:v>
      </x:c>
      <x:c r="K2584" s="39" t="str"/>
      <x:c r="L2584" s="39" t="str">
        <x:v>E112:P199</x:v>
      </x:c>
      <x:c r="M2584" s="39" t="str"/>
      <x:c r="N2584" s="39" t="str">
        <x:v>نسخه پایه ۳۱۵۰</x:v>
      </x:c>
    </x:row>
    <x:row r="2585" ht="34" customHeight="1">
      <x:c r="A2585" s="34" t="str">
        <x:v>☐</x:v>
      </x:c>
      <x:c r="B2585" s="34" t="str">
        <x:v>MI-1727</x:v>
      </x:c>
      <x:c r="C2585" s="34" t="str">
        <x:v>M6 — تحلیل‌های خام و ورودی‌های نیازمند پالایش</x:v>
      </x:c>
      <x:c r="D2585" s="34" t="str">
        <x:v>H20</x:v>
      </x:c>
      <x:c r="E2585" s="34" t="str">
        <x:v>یادداشت تحلیلی/راهبری ثبت‌شده در 11211</x:v>
      </x:c>
      <x:c r="F2585" s="34" t="str">
        <x:v>P3/CLARIFY</x:v>
      </x:c>
      <x:c r="G2585" s="34" t="str">
        <x:v>هدف/موضوع</x:v>
      </x:c>
      <x:c r="H2585" s="39" t="str">
        <x:v>مالک / تصمیم گیر</x:v>
      </x:c>
      <x:c r="I2585" s="39" t="str">
        <x:v>نیازمند تعریف خروجی یا پارک</x:v>
      </x:c>
      <x:c r="J2585" s="39" t="str">
        <x:v>تحلیلگر راهبری/PMO؛ تبدیل به فرضیه یا اقدام در صورت نیاز</x:v>
      </x:c>
      <x:c r="K2585" s="39" t="str"/>
      <x:c r="L2585" s="39" t="str">
        <x:v>E112:P200</x:v>
      </x:c>
      <x:c r="M2585" s="39" t="str"/>
      <x:c r="N2585" s="39" t="str">
        <x:v>نسخه پایه ۳۱۵۰</x:v>
      </x:c>
    </x:row>
    <x:row r="2586" ht="34" customHeight="1">
      <x:c r="A2586" s="34" t="str">
        <x:v>☐</x:v>
      </x:c>
      <x:c r="B2586" s="34" t="str">
        <x:v>MI-1728</x:v>
      </x:c>
      <x:c r="C2586" s="34" t="str">
        <x:v>M6 — تحلیل‌های خام و ورودی‌های نیازمند پالایش</x:v>
      </x:c>
      <x:c r="D2586" s="34" t="str">
        <x:v>H20</x:v>
      </x:c>
      <x:c r="E2586" s="34" t="str">
        <x:v>یادداشت تحلیلی/راهبری ثبت‌شده در 11211</x:v>
      </x:c>
      <x:c r="F2586" s="34" t="str">
        <x:v>P3/CLARIFY</x:v>
      </x:c>
      <x:c r="G2586" s="34" t="str">
        <x:v>هدف/موضوع</x:v>
      </x:c>
      <x:c r="H2586" s="39" t="str">
        <x:v>عضو موثر</x:v>
      </x:c>
      <x:c r="I2586" s="39" t="str">
        <x:v>نیازمند تعریف خروجی یا پارک</x:v>
      </x:c>
      <x:c r="J2586" s="39" t="str">
        <x:v>تحلیلگر راهبری/PMO؛ تبدیل به فرضیه یا اقدام در صورت نیاز</x:v>
      </x:c>
      <x:c r="K2586" s="39" t="str"/>
      <x:c r="L2586" s="39" t="str">
        <x:v>E112:P201</x:v>
      </x:c>
      <x:c r="M2586" s="39" t="str"/>
      <x:c r="N2586" s="39" t="str">
        <x:v>نسخه پایه ۳۱۵۰</x:v>
      </x:c>
    </x:row>
    <x:row r="2587" ht="34" customHeight="1">
      <x:c r="A2587" s="34" t="str">
        <x:v>☐</x:v>
      </x:c>
      <x:c r="B2587" s="34" t="str">
        <x:v>MI-1733</x:v>
      </x:c>
      <x:c r="C2587" s="34" t="str">
        <x:v>M6 — تحلیل‌های خام و ورودی‌های نیازمند پالایش</x:v>
      </x:c>
      <x:c r="D2587" s="34" t="str">
        <x:v>H20</x:v>
      </x:c>
      <x:c r="E2587" s="34" t="str">
        <x:v>یادداشت تحلیلی/راهبری ثبت‌شده در 11211</x:v>
      </x:c>
      <x:c r="F2587" s="34" t="str">
        <x:v>P3/CLARIFY</x:v>
      </x:c>
      <x:c r="G2587" s="34" t="str">
        <x:v>هدف/موضوع</x:v>
      </x:c>
      <x:c r="H2587" s="39" t="str">
        <x:v>اطلاعات</x:v>
      </x:c>
      <x:c r="I2587" s="39" t="str">
        <x:v>نیازمند تعریف خروجی یا پارک</x:v>
      </x:c>
      <x:c r="J2587" s="39" t="str">
        <x:v>تحلیلگر راهبری/PMO؛ تبدیل به فرضیه یا اقدام در صورت نیاز</x:v>
      </x:c>
      <x:c r="K2587" s="39" t="str"/>
      <x:c r="L2587" s="39" t="str">
        <x:v>E112:P208</x:v>
      </x:c>
      <x:c r="M2587" s="39" t="str"/>
      <x:c r="N2587" s="39" t="str">
        <x:v>نسخه پایه ۳۱۵۰</x:v>
      </x:c>
    </x:row>
    <x:row r="2588" ht="34" customHeight="1">
      <x:c r="A2588" s="34" t="str">
        <x:v>☐</x:v>
      </x:c>
      <x:c r="B2588" s="34" t="str">
        <x:v>MI-1734</x:v>
      </x:c>
      <x:c r="C2588" s="34" t="str">
        <x:v>M6 — تحلیل‌های خام و ورودی‌های نیازمند پالایش</x:v>
      </x:c>
      <x:c r="D2588" s="34" t="str">
        <x:v>H20</x:v>
      </x:c>
      <x:c r="E2588" s="34" t="str">
        <x:v>یادداشت تحلیلی/راهبری ثبت‌شده در 11211</x:v>
      </x:c>
      <x:c r="F2588" s="34" t="str">
        <x:v>P3/CLARIFY</x:v>
      </x:c>
      <x:c r="G2588" s="34" t="str">
        <x:v>هدف/موضوع</x:v>
      </x:c>
      <x:c r="H2588" s="39" t="str">
        <x:v>اعتبار</x:v>
      </x:c>
      <x:c r="I2588" s="39" t="str">
        <x:v>نیازمند تعریف خروجی یا پارک</x:v>
      </x:c>
      <x:c r="J2588" s="39" t="str">
        <x:v>تحلیلگر راهبری/PMO؛ تبدیل به فرضیه یا اقدام در صورت نیاز</x:v>
      </x:c>
      <x:c r="K2588" s="39" t="str"/>
      <x:c r="L2588" s="39" t="str">
        <x:v>E112:P209</x:v>
      </x:c>
      <x:c r="M2588" s="39" t="str"/>
      <x:c r="N2588" s="39" t="str">
        <x:v>نسخه پایه ۳۱۵۰</x:v>
      </x:c>
    </x:row>
    <x:row r="2589" ht="34" customHeight="1">
      <x:c r="A2589" s="34" t="str">
        <x:v>☐</x:v>
      </x:c>
      <x:c r="B2589" s="34" t="str">
        <x:v>MI-1736</x:v>
      </x:c>
      <x:c r="C2589" s="34" t="str">
        <x:v>M6 — تحلیل‌های خام و ورودی‌های نیازمند پالایش</x:v>
      </x:c>
      <x:c r="D2589" s="34" t="str">
        <x:v>H20</x:v>
      </x:c>
      <x:c r="E2589" s="34" t="str">
        <x:v>یادداشت تحلیلی/راهبری ثبت‌شده در 11211</x:v>
      </x:c>
      <x:c r="F2589" s="34" t="str">
        <x:v>P3/CLARIFY</x:v>
      </x:c>
      <x:c r="G2589" s="34" t="str">
        <x:v>هدف/موضوع</x:v>
      </x:c>
      <x:c r="H2589" s="39" t="str">
        <x:v>فرصت ها:</x:v>
      </x:c>
      <x:c r="I2589" s="39" t="str">
        <x:v>نیازمند تعریف خروجی یا پارک</x:v>
      </x:c>
      <x:c r="J2589" s="39" t="str">
        <x:v>تحلیلگر راهبری/PMO؛ تبدیل به فرضیه یا اقدام در صورت نیاز</x:v>
      </x:c>
      <x:c r="K2589" s="39" t="str"/>
      <x:c r="L2589" s="39" t="str">
        <x:v>E112:P211؛ E112:P1302</x:v>
      </x:c>
      <x:c r="M2589" s="39" t="str"/>
      <x:c r="N2589" s="39" t="str">
        <x:v>نسخه پایه ۳۱۵۰</x:v>
      </x:c>
    </x:row>
    <x:row r="2590" ht="34" customHeight="1">
      <x:c r="A2590" s="34" t="str">
        <x:v>☐</x:v>
      </x:c>
      <x:c r="B2590" s="34" t="str">
        <x:v>MI-1737</x:v>
      </x:c>
      <x:c r="C2590" s="34" t="str">
        <x:v>M6 — تحلیل‌های خام و ورودی‌های نیازمند پالایش</x:v>
      </x:c>
      <x:c r="D2590" s="34" t="str">
        <x:v>H20</x:v>
      </x:c>
      <x:c r="E2590" s="34" t="str">
        <x:v>یادداشت تحلیلی/راهبری ثبت‌شده در 11211</x:v>
      </x:c>
      <x:c r="F2590" s="34" t="str">
        <x:v>P3/CLARIFY</x:v>
      </x:c>
      <x:c r="G2590" s="34" t="str">
        <x:v>هدف/موضوع</x:v>
      </x:c>
      <x:c r="H2590" s="39" t="str">
        <x:v>نقش آن به عنوان «زمین بازی»</x:v>
      </x:c>
      <x:c r="I2590" s="39" t="str">
        <x:v>نیازمند تعریف خروجی یا پارک</x:v>
      </x:c>
      <x:c r="J2590" s="39" t="str">
        <x:v>تحلیلگر راهبری/PMO؛ تبدیل به فرضیه یا اقدام در صورت نیاز</x:v>
      </x:c>
      <x:c r="K2590" s="39" t="str"/>
      <x:c r="L2590" s="39" t="str">
        <x:v>E112:P213</x:v>
      </x:c>
      <x:c r="M2590" s="39" t="str"/>
      <x:c r="N2590" s="39" t="str">
        <x:v>نسخه پایه ۳۱۵۰</x:v>
      </x:c>
    </x:row>
    <x:row r="2591" ht="34" customHeight="1">
      <x:c r="A2591" s="34" t="str">
        <x:v>☐</x:v>
      </x:c>
      <x:c r="B2591" s="34" t="str">
        <x:v>MI-1738</x:v>
      </x:c>
      <x:c r="C2591" s="34" t="str">
        <x:v>M6 — تحلیل‌های خام و ورودی‌های نیازمند پالایش</x:v>
      </x:c>
      <x:c r="D2591" s="34" t="str">
        <x:v>H20</x:v>
      </x:c>
      <x:c r="E2591" s="34" t="str">
        <x:v>یادداشت تحلیلی/راهبری ثبت‌شده در 11211</x:v>
      </x:c>
      <x:c r="F2591" s="34" t="str">
        <x:v>P3/CLARIFY</x:v>
      </x:c>
      <x:c r="G2591" s="34" t="str">
        <x:v>هدف/موضوع</x:v>
      </x:c>
      <x:c r="H2591" s="39" t="str">
        <x:v>چگونه می توان از آن استفاده کرد؟</x:v>
      </x:c>
      <x:c r="I2591" s="39" t="str">
        <x:v>نیازمند تعریف خروجی یا پارک</x:v>
      </x:c>
      <x:c r="J2591" s="39" t="str">
        <x:v>تحلیلگر راهبری/PMO؛ تبدیل به فرضیه یا اقدام در صورت نیاز</x:v>
      </x:c>
      <x:c r="K2591" s="39" t="str"/>
      <x:c r="L2591" s="39" t="str">
        <x:v>E112:P215</x:v>
      </x:c>
      <x:c r="M2591" s="39" t="str"/>
      <x:c r="N2591" s="39" t="str">
        <x:v>نسخه پایه ۳۱۵۰</x:v>
      </x:c>
    </x:row>
    <x:row r="2592" ht="34" customHeight="1">
      <x:c r="A2592" s="34" t="str">
        <x:v>☐</x:v>
      </x:c>
      <x:c r="B2592" s="34" t="str">
        <x:v>MI-1739</x:v>
      </x:c>
      <x:c r="C2592" s="34" t="str">
        <x:v>M6 — تحلیل‌های خام و ورودی‌های نیازمند پالایش</x:v>
      </x:c>
      <x:c r="D2592" s="34" t="str">
        <x:v>H20</x:v>
      </x:c>
      <x:c r="E2592" s="34" t="str">
        <x:v>یادداشت تحلیلی/راهبری ثبت‌شده در 11211</x:v>
      </x:c>
      <x:c r="F2592" s="34" t="str">
        <x:v>P3/CLARIFY</x:v>
      </x:c>
      <x:c r="G2592" s="34" t="str">
        <x:v>هدف/موضوع</x:v>
      </x:c>
      <x:c r="H2592" s="39" t="str">
        <x:v>جذب نیرو</x:v>
      </x:c>
      <x:c r="I2592" s="39" t="str">
        <x:v>نیازمند تعریف خروجی یا پارک</x:v>
      </x:c>
      <x:c r="J2592" s="39" t="str">
        <x:v>تحلیلگر راهبری/PMO؛ تبدیل به فرضیه یا اقدام در صورت نیاز</x:v>
      </x:c>
      <x:c r="K2592" s="39" t="str"/>
      <x:c r="L2592" s="39" t="str">
        <x:v>E112:P216؛ E112:P288</x:v>
      </x:c>
      <x:c r="M2592" s="39" t="str"/>
      <x:c r="N2592" s="39" t="str">
        <x:v>نسخه پایه ۳۱۵۰</x:v>
      </x:c>
    </x:row>
    <x:row r="2593" ht="34" customHeight="1">
      <x:c r="A2593" s="34" t="str">
        <x:v>☐</x:v>
      </x:c>
      <x:c r="B2593" s="34" t="str">
        <x:v>MI-1742</x:v>
      </x:c>
      <x:c r="C2593" s="34" t="str">
        <x:v>M6 — تحلیل‌های خام و ورودی‌های نیازمند پالایش</x:v>
      </x:c>
      <x:c r="D2593" s="34" t="str">
        <x:v>H20</x:v>
      </x:c>
      <x:c r="E2593" s="34" t="str">
        <x:v>یادداشت تحلیلی/راهبری ثبت‌شده در 11211</x:v>
      </x:c>
      <x:c r="F2593" s="34" t="str">
        <x:v>P3/CLARIFY</x:v>
      </x:c>
      <x:c r="G2593" s="34" t="str">
        <x:v>هدف/موضوع</x:v>
      </x:c>
      <x:c r="H2593" s="39" t="str">
        <x:v>آزمایش ایده ها</x:v>
      </x:c>
      <x:c r="I2593" s="39" t="str">
        <x:v>نیازمند تعریف خروجی یا پارک</x:v>
      </x:c>
      <x:c r="J2593" s="39" t="str">
        <x:v>تحلیلگر راهبری/PMO؛ تبدیل به فرضیه یا اقدام در صورت نیاز</x:v>
      </x:c>
      <x:c r="K2593" s="39" t="str"/>
      <x:c r="L2593" s="39" t="str">
        <x:v>E112:P219</x:v>
      </x:c>
      <x:c r="M2593" s="39" t="str"/>
      <x:c r="N2593" s="39" t="str">
        <x:v>نسخه پایه ۳۱۵۰</x:v>
      </x:c>
    </x:row>
    <x:row r="2594" ht="34" customHeight="1">
      <x:c r="A2594" s="34" t="str">
        <x:v>☐</x:v>
      </x:c>
      <x:c r="B2594" s="34" t="str">
        <x:v>MI-1744</x:v>
      </x:c>
      <x:c r="C2594" s="34" t="str">
        <x:v>M6 — تحلیل‌های خام و ورودی‌های نیازمند پالایش</x:v>
      </x:c>
      <x:c r="D2594" s="34" t="str">
        <x:v>H20</x:v>
      </x:c>
      <x:c r="E2594" s="34" t="str">
        <x:v>یادداشت تحلیلی/راهبری ثبت‌شده در 11211</x:v>
      </x:c>
      <x:c r="F2594" s="34" t="str">
        <x:v>P3/CLARIFY</x:v>
      </x:c>
      <x:c r="G2594" s="34" t="str">
        <x:v>هدف/موضوع</x:v>
      </x:c>
      <x:c r="H2594" s="39" t="str">
        <x:v>نتیجه عملی</x:v>
      </x:c>
      <x:c r="I2594" s="39" t="str">
        <x:v>نیازمند تعریف خروجی یا پارک</x:v>
      </x:c>
      <x:c r="J2594" s="39" t="str">
        <x:v>تحلیلگر راهبری/PMO؛ تبدیل به فرضیه یا اقدام در صورت نیاز</x:v>
      </x:c>
      <x:c r="K2594" s="39" t="str"/>
      <x:c r="L2594" s="39" t="str">
        <x:v>E112:P222</x:v>
      </x:c>
      <x:c r="M2594" s="39" t="str"/>
      <x:c r="N2594" s="39" t="str">
        <x:v>نسخه پایه ۳۱۵۰</x:v>
      </x:c>
    </x:row>
    <x:row r="2595" ht="34" customHeight="1">
      <x:c r="A2595" s="34" t="str">
        <x:v>☐</x:v>
      </x:c>
      <x:c r="B2595" s="34" t="str">
        <x:v>MI-1745</x:v>
      </x:c>
      <x:c r="C2595" s="34" t="str">
        <x:v>M6 — تحلیل‌های خام و ورودی‌های نیازمند پالایش</x:v>
      </x:c>
      <x:c r="D2595" s="34" t="str">
        <x:v>H20</x:v>
      </x:c>
      <x:c r="E2595" s="34" t="str">
        <x:v>یادداشت تحلیلی/راهبری ثبت‌شده در 11211</x:v>
      </x:c>
      <x:c r="F2595" s="34" t="str">
        <x:v>P3/CLARIFY</x:v>
      </x:c>
      <x:c r="G2595" s="34" t="str">
        <x:v>هدف/موضوع</x:v>
      </x:c>
      <x:c r="H2595" s="39" t="str">
        <x:v>در نهایت با این آیتم چه می کنی؟</x:v>
      </x:c>
      <x:c r="I2595" s="39" t="str">
        <x:v>نیازمند تعریف خروجی یا پارک</x:v>
      </x:c>
      <x:c r="J2595" s="39" t="str">
        <x:v>تحلیلگر راهبری/PMO؛ تبدیل به فرضیه یا اقدام در صورت نیاز</x:v>
      </x:c>
      <x:c r="K2595" s="39" t="str"/>
      <x:c r="L2595" s="39" t="str">
        <x:v>E112:P224</x:v>
      </x:c>
      <x:c r="M2595" s="39" t="str"/>
      <x:c r="N2595" s="39" t="str">
        <x:v>نسخه پایه ۳۱۵۰</x:v>
      </x:c>
    </x:row>
    <x:row r="2596" ht="34" customHeight="1">
      <x:c r="A2596" s="34" t="str">
        <x:v>☐</x:v>
      </x:c>
      <x:c r="B2596" s="34" t="str">
        <x:v>MI-1746</x:v>
      </x:c>
      <x:c r="C2596" s="34" t="str">
        <x:v>M6 — تحلیل‌های خام و ورودی‌های نیازمند پالایش</x:v>
      </x:c>
      <x:c r="D2596" s="34" t="str">
        <x:v>H20</x:v>
      </x:c>
      <x:c r="E2596" s="34" t="str">
        <x:v>یادداشت تحلیلی/راهبری ثبت‌شده در 11211</x:v>
      </x:c>
      <x:c r="F2596" s="34" t="str">
        <x:v>P3/CLARIFY</x:v>
      </x:c>
      <x:c r="G2596" s="34" t="str">
        <x:v>هدف/موضوع</x:v>
      </x:c>
      <x:c r="H2596" s="39" t="str">
        <x:v>حفظ و تقویت</x:v>
      </x:c>
      <x:c r="I2596" s="39" t="str">
        <x:v>نیازمند تعریف خروجی یا پارک</x:v>
      </x:c>
      <x:c r="J2596" s="39" t="str">
        <x:v>تحلیلگر راهبری/PMO؛ تبدیل به فرضیه یا اقدام در صورت نیاز</x:v>
      </x:c>
      <x:c r="K2596" s="39" t="str"/>
      <x:c r="L2596" s="39" t="str">
        <x:v>E112:P225</x:v>
      </x:c>
      <x:c r="M2596" s="39" t="str"/>
      <x:c r="N2596" s="39" t="str">
        <x:v>نسخه پایه ۳۱۵۰</x:v>
      </x:c>
    </x:row>
    <x:row r="2597" ht="34" customHeight="1">
      <x:c r="A2597" s="34" t="str">
        <x:v>☐</x:v>
      </x:c>
      <x:c r="B2597" s="34" t="str">
        <x:v>MI-1747</x:v>
      </x:c>
      <x:c r="C2597" s="34" t="str">
        <x:v>M6 — تحلیل‌های خام و ورودی‌های نیازمند پالایش</x:v>
      </x:c>
      <x:c r="D2597" s="34" t="str">
        <x:v>H20</x:v>
      </x:c>
      <x:c r="E2597" s="34" t="str">
        <x:v>یادداشت تحلیلی/راهبری ثبت‌شده در 11211</x:v>
      </x:c>
      <x:c r="F2597" s="34" t="str">
        <x:v>P3/CLARIFY</x:v>
      </x:c>
      <x:c r="G2597" s="34" t="str">
        <x:v>هدف/موضوع</x:v>
      </x:c>
      <x:c r="H2597" s="39" t="str">
        <x:v>فعال سازی</x:v>
      </x:c>
      <x:c r="I2597" s="39" t="str">
        <x:v>نیازمند تعریف خروجی یا پارک</x:v>
      </x:c>
      <x:c r="J2597" s="39" t="str">
        <x:v>تحلیلگر راهبری/PMO؛ تبدیل به فرضیه یا اقدام در صورت نیاز</x:v>
      </x:c>
      <x:c r="K2597" s="39" t="str"/>
      <x:c r="L2597" s="39" t="str">
        <x:v>E112:P226</x:v>
      </x:c>
      <x:c r="M2597" s="39" t="str"/>
      <x:c r="N2597" s="39" t="str">
        <x:v>نسخه پایه ۳۱۵۰</x:v>
      </x:c>
    </x:row>
    <x:row r="2598" ht="34" customHeight="1">
      <x:c r="A2598" s="34" t="str">
        <x:v>☐</x:v>
      </x:c>
      <x:c r="B2598" s="34" t="str">
        <x:v>MI-1748</x:v>
      </x:c>
      <x:c r="C2598" s="34" t="str">
        <x:v>M6 — تحلیل‌های خام و ورودی‌های نیازمند پالایش</x:v>
      </x:c>
      <x:c r="D2598" s="34" t="str">
        <x:v>H20</x:v>
      </x:c>
      <x:c r="E2598" s="34" t="str">
        <x:v>یادداشت تحلیلی/راهبری ثبت‌شده در 11211</x:v>
      </x:c>
      <x:c r="F2598" s="34" t="str">
        <x:v>P3/CLARIFY</x:v>
      </x:c>
      <x:c r="G2598" s="34" t="str">
        <x:v>هدف/موضوع</x:v>
      </x:c>
      <x:c r="H2598" s="39" t="str">
        <x:v>اتصال به آیتم های دیگر</x:v>
      </x:c>
      <x:c r="I2598" s="39" t="str">
        <x:v>نیازمند تعریف خروجی یا پارک</x:v>
      </x:c>
      <x:c r="J2598" s="39" t="str">
        <x:v>تحلیلگر راهبری/PMO؛ تبدیل به فرضیه یا اقدام در صورت نیاز</x:v>
      </x:c>
      <x:c r="K2598" s="39" t="str"/>
      <x:c r="L2598" s="39" t="str">
        <x:v>E112:P227</x:v>
      </x:c>
      <x:c r="M2598" s="39" t="str"/>
      <x:c r="N2598" s="39" t="str">
        <x:v>نسخه پایه ۳۱۵۰</x:v>
      </x:c>
    </x:row>
    <x:row r="2599" ht="34" customHeight="1">
      <x:c r="A2599" s="34" t="str">
        <x:v>☐</x:v>
      </x:c>
      <x:c r="B2599" s="34" t="str">
        <x:v>MI-1749</x:v>
      </x:c>
      <x:c r="C2599" s="34" t="str">
        <x:v>M6 — تحلیل‌های خام و ورودی‌های نیازمند پالایش</x:v>
      </x:c>
      <x:c r="D2599" s="34" t="str">
        <x:v>H20</x:v>
      </x:c>
      <x:c r="E2599" s="34" t="str">
        <x:v>یادداشت تحلیلی/راهبری ثبت‌شده در 11211</x:v>
      </x:c>
      <x:c r="F2599" s="34" t="str">
        <x:v>P3/CLARIFY</x:v>
      </x:c>
      <x:c r="G2599" s="34" t="str">
        <x:v>هدف/موضوع</x:v>
      </x:c>
      <x:c r="H2599" s="39" t="str">
        <x:v>کنار گذاشتن</x:v>
      </x:c>
      <x:c r="I2599" s="39" t="str">
        <x:v>نیازمند تعریف خروجی یا پارک</x:v>
      </x:c>
      <x:c r="J2599" s="39" t="str">
        <x:v>تحلیلگر راهبری/PMO؛ تبدیل به فرضیه یا اقدام در صورت نیاز</x:v>
      </x:c>
      <x:c r="K2599" s="39" t="str"/>
      <x:c r="L2599" s="39" t="str">
        <x:v>E112:P228</x:v>
      </x:c>
      <x:c r="M2599" s="39" t="str"/>
      <x:c r="N2599" s="39" t="str">
        <x:v>نسخه پایه ۳۱۵۰</x:v>
      </x:c>
    </x:row>
    <x:row r="2600" ht="34" customHeight="1">
      <x:c r="A2600" s="34" t="str">
        <x:v>☐</x:v>
      </x:c>
      <x:c r="B2600" s="34" t="str">
        <x:v>MI-1750</x:v>
      </x:c>
      <x:c r="C2600" s="34" t="str">
        <x:v>M6 — تحلیل‌های خام و ورودی‌های نیازمند پالایش</x:v>
      </x:c>
      <x:c r="D2600" s="34" t="str">
        <x:v>H20</x:v>
      </x:c>
      <x:c r="E2600" s="34" t="str">
        <x:v>یادداشت تحلیلی/راهبری ثبت‌شده در 11211</x:v>
      </x:c>
      <x:c r="F2600" s="34" t="str">
        <x:v>P3/CLARIFY</x:v>
      </x:c>
      <x:c r="G2600" s="34" t="str">
        <x:v>هدف/موضوع</x:v>
      </x:c>
      <x:c r="H2600" s="39" t="str">
        <x:v>اگر موافقی، این طوری جلو می رویم:</x:v>
      </x:c>
      <x:c r="I2600" s="39" t="str">
        <x:v>نیازمند تعریف خروجی یا پارک</x:v>
      </x:c>
      <x:c r="J2600" s="39" t="str">
        <x:v>تحلیلگر راهبری/PMO؛ تبدیل به فرضیه یا اقدام در صورت نیاز</x:v>
      </x:c>
      <x:c r="K2600" s="39" t="str"/>
      <x:c r="L2600" s="39" t="str">
        <x:v>E112:P230</x:v>
      </x:c>
      <x:c r="M2600" s="39" t="str"/>
      <x:c r="N2600" s="39" t="str">
        <x:v>نسخه پایه ۳۱۵۰</x:v>
      </x:c>
    </x:row>
    <x:row r="2601" ht="34" customHeight="1">
      <x:c r="A2601" s="34" t="str">
        <x:v>☐</x:v>
      </x:c>
      <x:c r="B2601" s="34" t="str">
        <x:v>MI-1752</x:v>
      </x:c>
      <x:c r="C2601" s="34" t="str">
        <x:v>M6 — تحلیل‌های خام و ورودی‌های نیازمند پالایش</x:v>
      </x:c>
      <x:c r="D2601" s="34" t="str">
        <x:v>H20</x:v>
      </x:c>
      <x:c r="E2601" s="34" t="str">
        <x:v>یادداشت تحلیلی/راهبری ثبت‌شده در 11211</x:v>
      </x:c>
      <x:c r="F2601" s="34" t="str">
        <x:v>P3/CLARIFY</x:v>
      </x:c>
      <x:c r="G2601" s="34" t="str">
        <x:v>هدف/موضوع</x:v>
      </x:c>
      <x:c r="H2601" s="39" t="str">
        <x:v>فعلا از تو پیشنهاد میخوام</x:v>
      </x:c>
      <x:c r="I2601" s="39" t="str">
        <x:v>نیازمند تعریف خروجی یا پارک</x:v>
      </x:c>
      <x:c r="J2601" s="39" t="str">
        <x:v>تحلیلگر راهبری/PMO؛ تبدیل به فرضیه یا اقدام در صورت نیاز</x:v>
      </x:c>
      <x:c r="K2601" s="39" t="str"/>
      <x:c r="L2601" s="39" t="str">
        <x:v>E112:P233</x:v>
      </x:c>
      <x:c r="M2601" s="39" t="str"/>
      <x:c r="N2601" s="39" t="str">
        <x:v>نسخه پایه ۳۱۵۰</x:v>
      </x:c>
    </x:row>
    <x:row r="2602" ht="34" customHeight="1">
      <x:c r="A2602" s="34" t="str">
        <x:v>☐</x:v>
      </x:c>
      <x:c r="B2602" s="34" t="str">
        <x:v>MI-1753</x:v>
      </x:c>
      <x:c r="C2602" s="34" t="str">
        <x:v>M6 — تحلیل‌های خام و ورودی‌های نیازمند پالایش</x:v>
      </x:c>
      <x:c r="D2602" s="34" t="str">
        <x:v>H20</x:v>
      </x:c>
      <x:c r="E2602" s="34" t="str">
        <x:v>یادداشت تحلیلی/راهبری ثبت‌شده در 11211</x:v>
      </x:c>
      <x:c r="F2602" s="34" t="str">
        <x:v>P3/CLARIFY</x:v>
      </x:c>
      <x:c r="G2602" s="34" t="str">
        <x:v>هدف/موضوع</x:v>
      </x:c>
      <x:c r="H2602" s="39" t="str">
        <x:v>که چه مواردی به صورت کلی و بعد به صورت جزیی رو میتونم در دسترسم داشته باشم</x:v>
      </x:c>
      <x:c r="I2602" s="39" t="str">
        <x:v>نیازمند تعریف خروجی یا پارک</x:v>
      </x:c>
      <x:c r="J2602" s="39" t="str">
        <x:v>تحلیلگر راهبری/PMO؛ تبدیل به فرضیه یا اقدام در صورت نیاز</x:v>
      </x:c>
      <x:c r="K2602" s="39" t="str"/>
      <x:c r="L2602" s="39" t="str">
        <x:v>E112:P234</x:v>
      </x:c>
      <x:c r="M2602" s="39" t="str"/>
      <x:c r="N2602" s="39" t="str">
        <x:v>نسخه پایه ۳۱۵۰</x:v>
      </x:c>
    </x:row>
    <x:row r="2603" ht="34" customHeight="1">
      <x:c r="A2603" s="34" t="str">
        <x:v>☐</x:v>
      </x:c>
      <x:c r="B2603" s="34" t="str">
        <x:v>MI-1756</x:v>
      </x:c>
      <x:c r="C2603" s="34" t="str">
        <x:v>M6 — تحلیل‌های خام و ورودی‌های نیازمند پالایش</x:v>
      </x:c>
      <x:c r="D2603" s="34" t="str">
        <x:v>H20</x:v>
      </x:c>
      <x:c r="E2603" s="34" t="str">
        <x:v>یادداشت تحلیلی/راهبری ثبت‌شده در 11211</x:v>
      </x:c>
      <x:c r="F2603" s="34" t="str">
        <x:v>P3/CLARIFY</x:v>
      </x:c>
      <x:c r="G2603" s="34" t="str">
        <x:v>هدف/موضوع</x:v>
      </x:c>
      <x:c r="H2603" s="39" t="str">
        <x:v>1. منابع انسانی (Talent Pools)</x:v>
      </x:c>
      <x:c r="I2603" s="39" t="str">
        <x:v>نیازمند تعریف خروجی یا پارک</x:v>
      </x:c>
      <x:c r="J2603" s="39" t="str">
        <x:v>تحلیلگر راهبری/PMO؛ تبدیل به فرضیه یا اقدام در صورت نیاز</x:v>
      </x:c>
      <x:c r="K2603" s="39" t="str"/>
      <x:c r="L2603" s="39" t="str">
        <x:v>E112:P239</x:v>
      </x:c>
      <x:c r="M2603" s="39" t="str"/>
      <x:c r="N2603" s="39" t="str">
        <x:v>نسخه پایه ۳۱۵۰</x:v>
      </x:c>
    </x:row>
    <x:row r="2604" ht="34" customHeight="1">
      <x:c r="A2604" s="34" t="str">
        <x:v>☐</x:v>
      </x:c>
      <x:c r="B2604" s="34" t="str">
        <x:v>MI-1758</x:v>
      </x:c>
      <x:c r="C2604" s="34" t="str">
        <x:v>M6 — تحلیل‌های خام و ورودی‌های نیازمند پالایش</x:v>
      </x:c>
      <x:c r="D2604" s="34" t="str">
        <x:v>H20</x:v>
      </x:c>
      <x:c r="E2604" s="34" t="str">
        <x:v>یادداشت تحلیلی/راهبری ثبت‌شده در 11211</x:v>
      </x:c>
      <x:c r="F2604" s="34" t="str">
        <x:v>P3/CLARIFY</x:v>
      </x:c>
      <x:c r="G2604" s="34" t="str">
        <x:v>هدف/موضوع</x:v>
      </x:c>
      <x:c r="H2604" s="39" t="str">
        <x:v>آیتم های کلی</x:v>
      </x:c>
      <x:c r="I2604" s="39" t="str">
        <x:v>نیازمند تعریف خروجی یا پارک</x:v>
      </x:c>
      <x:c r="J2604" s="39" t="str">
        <x:v>تحلیلگر راهبری/PMO؛ تبدیل به فرضیه یا اقدام در صورت نیاز</x:v>
      </x:c>
      <x:c r="K2604" s="39" t="str"/>
      <x:c r="L2604" s="39" t="str">
        <x:v>E112:P242؛ E112:P270؛ E112:P294؛ E112:P315؛ E112:P336؛ E112:P356؛ E112:P376؛ E112:P397</x:v>
      </x:c>
      <x:c r="M2604" s="39" t="str"/>
      <x:c r="N2604" s="39" t="str">
        <x:v>نسخه پایه ۳۱۵۰</x:v>
      </x:c>
    </x:row>
    <x:row r="2605" ht="34" customHeight="1">
      <x:c r="A2605" s="34" t="str">
        <x:v>☐</x:v>
      </x:c>
      <x:c r="B2605" s="34" t="str">
        <x:v>MI-1761</x:v>
      </x:c>
      <x:c r="C2605" s="34" t="str">
        <x:v>M6 — تحلیل‌های خام و ورودی‌های نیازمند پالایش</x:v>
      </x:c>
      <x:c r="D2605" s="34" t="str">
        <x:v>H20</x:v>
      </x:c>
      <x:c r="E2605" s="34" t="str">
        <x:v>یادداشت تحلیلی/راهبری ثبت‌شده در 11211</x:v>
      </x:c>
      <x:c r="F2605" s="34" t="str">
        <x:v>P3/CLARIFY</x:v>
      </x:c>
      <x:c r="G2605" s="34" t="str">
        <x:v>هدف/موضوع</x:v>
      </x:c>
      <x:c r="H2605" s="39" t="str">
        <x:v>فریلنسرها</x:v>
      </x:c>
      <x:c r="I2605" s="39" t="str">
        <x:v>نیازمند تعریف خروجی یا پارک</x:v>
      </x:c>
      <x:c r="J2605" s="39" t="str">
        <x:v>تحلیلگر راهبری/PMO؛ تبدیل به فرضیه یا اقدام در صورت نیاز</x:v>
      </x:c>
      <x:c r="K2605" s="39" t="str"/>
      <x:c r="L2605" s="39" t="str">
        <x:v>E112:P246</x:v>
      </x:c>
      <x:c r="M2605" s="39" t="str"/>
      <x:c r="N2605" s="39" t="str">
        <x:v>نسخه پایه ۳۱۵۰</x:v>
      </x:c>
    </x:row>
    <x:row r="2606" ht="34" customHeight="1">
      <x:c r="A2606" s="34" t="str">
        <x:v>☐</x:v>
      </x:c>
      <x:c r="B2606" s="34" t="str">
        <x:v>MI-1762</x:v>
      </x:c>
      <x:c r="C2606" s="34" t="str">
        <x:v>M6 — تحلیل‌های خام و ورودی‌های نیازمند پالایش</x:v>
      </x:c>
      <x:c r="D2606" s="34" t="str">
        <x:v>H20</x:v>
      </x:c>
      <x:c r="E2606" s="34" t="str">
        <x:v>یادداشت تحلیلی/راهبری ثبت‌شده در 11211</x:v>
      </x:c>
      <x:c r="F2606" s="34" t="str">
        <x:v>P3/CLARIFY</x:v>
      </x:c>
      <x:c r="G2606" s="34" t="str">
        <x:v>هدف/موضوع</x:v>
      </x:c>
      <x:c r="H2606" s="39" t="str">
        <x:v>کارآفرین ها</x:v>
      </x:c>
      <x:c r="I2606" s="39" t="str">
        <x:v>نیازمند تعریف خروجی یا پارک</x:v>
      </x:c>
      <x:c r="J2606" s="39" t="str">
        <x:v>تحلیلگر راهبری/PMO؛ تبدیل به فرضیه یا اقدام در صورت نیاز</x:v>
      </x:c>
      <x:c r="K2606" s="39" t="str"/>
      <x:c r="L2606" s="39" t="str">
        <x:v>E112:P247؛ E112:P1397؛ E112:P1444</x:v>
      </x:c>
      <x:c r="M2606" s="39" t="str"/>
      <x:c r="N2606" s="39" t="str">
        <x:v>نسخه پایه ۳۱۵۰</x:v>
      </x:c>
    </x:row>
    <x:row r="2607" ht="34" customHeight="1">
      <x:c r="A2607" s="34" t="str">
        <x:v>☐</x:v>
      </x:c>
      <x:c r="B2607" s="34" t="str">
        <x:v>MI-1764</x:v>
      </x:c>
      <x:c r="C2607" s="34" t="str">
        <x:v>M6 — تحلیل‌های خام و ورودی‌های نیازمند پالایش</x:v>
      </x:c>
      <x:c r="D2607" s="34" t="str">
        <x:v>H20</x:v>
      </x:c>
      <x:c r="E2607" s="34" t="str">
        <x:v>یادداشت تحلیلی/راهبری ثبت‌شده در 11211</x:v>
      </x:c>
      <x:c r="F2607" s="34" t="str">
        <x:v>P3/CLARIFY</x:v>
      </x:c>
      <x:c r="G2607" s="34" t="str">
        <x:v>هدف/موضوع</x:v>
      </x:c>
      <x:c r="H2607" s="39" t="str">
        <x:v>آیتم های جزیی</x:v>
      </x:c>
      <x:c r="I2607" s="39" t="str">
        <x:v>نیازمند تعریف خروجی یا پارک</x:v>
      </x:c>
      <x:c r="J2607" s="39" t="str">
        <x:v>تحلیلگر راهبری/PMO؛ تبدیل به فرضیه یا اقدام در صورت نیاز</x:v>
      </x:c>
      <x:c r="K2607" s="39" t="str"/>
      <x:c r="L2607" s="39" t="str">
        <x:v>E112:P250؛ E112:P276؛ E112:P300؛ E112:P321؛ E112:P342؛ E112:P361؛ E112:P382؛ E112:P403؛ E112:P420</x:v>
      </x:c>
      <x:c r="M2607" s="39" t="str"/>
      <x:c r="N2607" s="39" t="str">
        <x:v>نسخه پایه ۳۱۵۰</x:v>
      </x:c>
    </x:row>
    <x:row r="2608" ht="34" customHeight="1">
      <x:c r="A2608" s="34" t="str">
        <x:v>☐</x:v>
      </x:c>
      <x:c r="B2608" s="34" t="str">
        <x:v>MI-1766</x:v>
      </x:c>
      <x:c r="C2608" s="34" t="str">
        <x:v>M6 — تحلیل‌های خام و ورودی‌های نیازمند پالایش</x:v>
      </x:c>
      <x:c r="D2608" s="34" t="str">
        <x:v>H20</x:v>
      </x:c>
      <x:c r="E2608" s="34" t="str">
        <x:v>یادداشت تحلیلی/راهبری ثبت‌شده در 11211</x:v>
      </x:c>
      <x:c r="F2608" s="34" t="str">
        <x:v>P3/CLARIFY</x:v>
      </x:c>
      <x:c r="G2608" s="34" t="str">
        <x:v>هدف/موضوع</x:v>
      </x:c>
      <x:c r="H2608" s="39" t="str">
        <x:v>گروه های تلگرام / دیسکورد تخصصی</x:v>
      </x:c>
      <x:c r="I2608" s="39" t="str">
        <x:v>نیازمند تعریف خروجی یا پارک</x:v>
      </x:c>
      <x:c r="J2608" s="39" t="str">
        <x:v>تحلیلگر راهبری/PMO؛ تبدیل به فرضیه یا اقدام در صورت نیاز</x:v>
      </x:c>
      <x:c r="K2608" s="39" t="str"/>
      <x:c r="L2608" s="39" t="str">
        <x:v>E112:P254</x:v>
      </x:c>
      <x:c r="M2608" s="39" t="str"/>
      <x:c r="N2608" s="39" t="str">
        <x:v>نسخه پایه ۳۱۵۰</x:v>
      </x:c>
    </x:row>
    <x:row r="2609" ht="34" customHeight="1">
      <x:c r="A2609" s="34" t="str">
        <x:v>☐</x:v>
      </x:c>
      <x:c r="B2609" s="34" t="str">
        <x:v>MI-1770</x:v>
      </x:c>
      <x:c r="C2609" s="34" t="str">
        <x:v>M6 — تحلیل‌های خام و ورودی‌های نیازمند پالایش</x:v>
      </x:c>
      <x:c r="D2609" s="34" t="str">
        <x:v>H20</x:v>
      </x:c>
      <x:c r="E2609" s="34" t="str">
        <x:v>یادداشت تحلیلی/راهبری ثبت‌شده در 11211</x:v>
      </x:c>
      <x:c r="F2609" s="34" t="str">
        <x:v>P3/CLARIFY</x:v>
      </x:c>
      <x:c r="G2609" s="34" t="str">
        <x:v>هدف/موضوع</x:v>
      </x:c>
      <x:c r="H2609" s="39" t="str">
        <x:v>مهاجران متخصص</x:v>
      </x:c>
      <x:c r="I2609" s="39" t="str">
        <x:v>نیازمند تعریف خروجی یا پارک</x:v>
      </x:c>
      <x:c r="J2609" s="39" t="str">
        <x:v>تحلیلگر راهبری/PMO؛ تبدیل به فرضیه یا اقدام در صورت نیاز</x:v>
      </x:c>
      <x:c r="K2609" s="39" t="str"/>
      <x:c r="L2609" s="39" t="str">
        <x:v>E112:P258</x:v>
      </x:c>
      <x:c r="M2609" s="39" t="str"/>
      <x:c r="N2609" s="39" t="str">
        <x:v>نسخه پایه ۳۱۵۰</x:v>
      </x:c>
    </x:row>
    <x:row r="2610" ht="34" customHeight="1">
      <x:c r="A2610" s="34" t="str">
        <x:v>☐</x:v>
      </x:c>
      <x:c r="B2610" s="34" t="str">
        <x:v>MI-1771</x:v>
      </x:c>
      <x:c r="C2610" s="34" t="str">
        <x:v>M6 — تحلیل‌های خام و ورودی‌های نیازمند پالایش</x:v>
      </x:c>
      <x:c r="D2610" s="34" t="str">
        <x:v>H20</x:v>
      </x:c>
      <x:c r="E2610" s="34" t="str">
        <x:v>یادداشت تحلیلی/راهبری ثبت‌شده در 11211</x:v>
      </x:c>
      <x:c r="F2610" s="34" t="str">
        <x:v>P3/CLARIFY</x:v>
      </x:c>
      <x:c r="G2610" s="34" t="str">
        <x:v>هدف/موضوع</x:v>
      </x:c>
      <x:c r="H2610" s="39" t="str">
        <x:v>هکرها و سازنده ها (maker communities)</x:v>
      </x:c>
      <x:c r="I2610" s="39" t="str">
        <x:v>نیازمند تعریف خروجی یا پارک</x:v>
      </x:c>
      <x:c r="J2610" s="39" t="str">
        <x:v>تحلیلگر راهبری/PMO؛ تبدیل به فرضیه یا اقدام در صورت نیاز</x:v>
      </x:c>
      <x:c r="K2610" s="39" t="str"/>
      <x:c r="L2610" s="39" t="str">
        <x:v>E112:P259</x:v>
      </x:c>
      <x:c r="M2610" s="39" t="str"/>
      <x:c r="N2610" s="39" t="str">
        <x:v>نسخه پایه ۳۱۵۰</x:v>
      </x:c>
    </x:row>
    <x:row r="2611" ht="34" customHeight="1">
      <x:c r="A2611" s="34" t="str">
        <x:v>☐</x:v>
      </x:c>
      <x:c r="B2611" s="34" t="str">
        <x:v>MI-1772</x:v>
      </x:c>
      <x:c r="C2611" s="34" t="str">
        <x:v>M6 — تحلیل‌های خام و ورودی‌های نیازمند پالایش</x:v>
      </x:c>
      <x:c r="D2611" s="34" t="str">
        <x:v>H20</x:v>
      </x:c>
      <x:c r="E2611" s="34" t="str">
        <x:v>یادداشت تحلیلی/راهبری ثبت‌شده در 11211</x:v>
      </x:c>
      <x:c r="F2611" s="34" t="str">
        <x:v>P3/CLARIFY</x:v>
      </x:c>
      <x:c r="G2611" s="34" t="str">
        <x:v>هدف/موضوع</x:v>
      </x:c>
      <x:c r="H2611" s="39" t="str">
        <x:v>زمین بازی:</x:v>
      </x:c>
      <x:c r="I2611" s="39" t="str">
        <x:v>نیازمند تعریف خروجی یا پارک</x:v>
      </x:c>
      <x:c r="J2611" s="39" t="str">
        <x:v>تحلیلگر راهبری/PMO؛ تبدیل به فرضیه یا اقدام در صورت نیاز</x:v>
      </x:c>
      <x:c r="K2611" s="39" t="str"/>
      <x:c r="L2611" s="39" t="str">
        <x:v>E112:P261؛ E112:P285؛ E112:P308؛ E112:P329؛ E112:P350؛ E112:P369؛ E112:P390؛ E112:P411؛ E112:P428</x:v>
      </x:c>
      <x:c r="M2611" s="39" t="str"/>
      <x:c r="N2611" s="39" t="str">
        <x:v>نسخه پایه ۳۱۵۰</x:v>
      </x:c>
    </x:row>
    <x:row r="2612" ht="34" customHeight="1">
      <x:c r="A2612" s="34" t="str">
        <x:v>☐</x:v>
      </x:c>
      <x:c r="B2612" s="34" t="str">
        <x:v>MI-1777</x:v>
      </x:c>
      <x:c r="C2612" s="34" t="str">
        <x:v>M6 — تحلیل‌های خام و ورودی‌های نیازمند پالایش</x:v>
      </x:c>
      <x:c r="D2612" s="34" t="str">
        <x:v>H20</x:v>
      </x:c>
      <x:c r="E2612" s="34" t="str">
        <x:v>یادداشت تحلیلی/راهبری ثبت‌شده در 11211</x:v>
      </x:c>
      <x:c r="F2612" s="34" t="str">
        <x:v>P3/CLARIFY</x:v>
      </x:c>
      <x:c r="G2612" s="34" t="str">
        <x:v>هدف/موضوع</x:v>
      </x:c>
      <x:c r="H2612" s="39" t="str">
        <x:v>این ها سیستم گردش اطلاعات و اعتبار هستند.</x:v>
      </x:c>
      <x:c r="I2612" s="39" t="str">
        <x:v>نیازمند تعریف خروجی یا پارک</x:v>
      </x:c>
      <x:c r="J2612" s="39" t="str">
        <x:v>تحلیلگر راهبری/PMO؛ تبدیل به فرضیه یا اقدام در صورت نیاز</x:v>
      </x:c>
      <x:c r="K2612" s="39" t="str"/>
      <x:c r="L2612" s="39" t="str">
        <x:v>E112:P269</x:v>
      </x:c>
      <x:c r="M2612" s="39" t="str"/>
      <x:c r="N2612" s="39" t="str">
        <x:v>نسخه پایه ۳۱۵۰</x:v>
      </x:c>
    </x:row>
    <x:row r="2613" ht="34" customHeight="1">
      <x:c r="A2613" s="34" t="str">
        <x:v>☐</x:v>
      </x:c>
      <x:c r="B2613" s="34" t="str">
        <x:v>MI-1779</x:v>
      </x:c>
      <x:c r="C2613" s="34" t="str">
        <x:v>M6 — تحلیل‌های خام و ورودی‌های نیازمند پالایش</x:v>
      </x:c>
      <x:c r="D2613" s="34" t="str">
        <x:v>H20</x:v>
      </x:c>
      <x:c r="E2613" s="34" t="str">
        <x:v>یادداشت تحلیلی/راهبری ثبت‌شده در 11211</x:v>
      </x:c>
      <x:c r="F2613" s="34" t="str">
        <x:v>P3/CLARIFY</x:v>
      </x:c>
      <x:c r="G2613" s="34" t="str">
        <x:v>هدف/موضوع</x:v>
      </x:c>
      <x:c r="H2613" s="39" t="str">
        <x:v>کامیونیتی ها</x:v>
      </x:c>
      <x:c r="I2613" s="39" t="str">
        <x:v>نیازمند تعریف خروجی یا پارک</x:v>
      </x:c>
      <x:c r="J2613" s="39" t="str">
        <x:v>تحلیلگر راهبری/PMO؛ تبدیل به فرضیه یا اقدام در صورت نیاز</x:v>
      </x:c>
      <x:c r="K2613" s="39" t="str"/>
      <x:c r="L2613" s="39" t="str">
        <x:v>E112:P273</x:v>
      </x:c>
      <x:c r="M2613" s="39" t="str"/>
      <x:c r="N2613" s="39" t="str">
        <x:v>نسخه پایه ۳۱۵۰</x:v>
      </x:c>
    </x:row>
    <x:row r="2614" ht="34" customHeight="1">
      <x:c r="A2614" s="34" t="str">
        <x:v>☐</x:v>
      </x:c>
      <x:c r="B2614" s="34" t="str">
        <x:v>MI-1780</x:v>
      </x:c>
      <x:c r="C2614" s="34" t="str">
        <x:v>M6 — تحلیل‌های خام و ورودی‌های نیازمند پالایش</x:v>
      </x:c>
      <x:c r="D2614" s="34" t="str">
        <x:v>H20</x:v>
      </x:c>
      <x:c r="E2614" s="34" t="str">
        <x:v>یادداشت تحلیلی/راهبری ثبت‌شده در 11211</x:v>
      </x:c>
      <x:c r="F2614" s="34" t="str">
        <x:v>P3/CLARIFY</x:v>
      </x:c>
      <x:c r="G2614" s="34" t="str">
        <x:v>هدف/موضوع</x:v>
      </x:c>
      <x:c r="H2614" s="39" t="str">
        <x:v>اجتماعات تخصصی</x:v>
      </x:c>
      <x:c r="I2614" s="39" t="str">
        <x:v>نیازمند تعریف خروجی یا پارک</x:v>
      </x:c>
      <x:c r="J2614" s="39" t="str">
        <x:v>تحلیلگر راهبری/PMO؛ تبدیل به فرضیه یا اقدام در صورت نیاز</x:v>
      </x:c>
      <x:c r="K2614" s="39" t="str"/>
      <x:c r="L2614" s="39" t="str">
        <x:v>E112:P274</x:v>
      </x:c>
      <x:c r="M2614" s="39" t="str"/>
      <x:c r="N2614" s="39" t="str">
        <x:v>نسخه پایه ۳۱۵۰</x:v>
      </x:c>
    </x:row>
    <x:row r="2615" ht="34" customHeight="1">
      <x:c r="A2615" s="34" t="str">
        <x:v>☐</x:v>
      </x:c>
      <x:c r="B2615" s="34" t="str">
        <x:v>MI-1782</x:v>
      </x:c>
      <x:c r="C2615" s="34" t="str">
        <x:v>M6 — تحلیل‌های خام و ورودی‌های نیازمند پالایش</x:v>
      </x:c>
      <x:c r="D2615" s="34" t="str">
        <x:v>H20</x:v>
      </x:c>
      <x:c r="E2615" s="34" t="str">
        <x:v>یادداشت تحلیلی/راهبری ثبت‌شده در 11211</x:v>
      </x:c>
      <x:c r="F2615" s="34" t="str">
        <x:v>P3/CLARIFY</x:v>
      </x:c>
      <x:c r="G2615" s="34" t="str">
        <x:v>هدف/موضوع</x:v>
      </x:c>
      <x:c r="H2615" s="39" t="str">
        <x:v>توییتر تخصصی</x:v>
      </x:c>
      <x:c r="I2615" s="39" t="str">
        <x:v>نیازمند تعریف خروجی یا پارک</x:v>
      </x:c>
      <x:c r="J2615" s="39" t="str">
        <x:v>تحلیلگر راهبری/PMO؛ تبدیل به فرضیه یا اقدام در صورت نیاز</x:v>
      </x:c>
      <x:c r="K2615" s="39" t="str"/>
      <x:c r="L2615" s="39" t="str">
        <x:v>E112:P279</x:v>
      </x:c>
      <x:c r="M2615" s="39" t="str"/>
      <x:c r="N2615" s="39" t="str">
        <x:v>نسخه پایه ۳۱۵۰</x:v>
      </x:c>
    </x:row>
    <x:row r="2616" ht="34" customHeight="1">
      <x:c r="A2616" s="34" t="str">
        <x:v>☐</x:v>
      </x:c>
      <x:c r="B2616" s="34" t="str">
        <x:v>MI-1783</x:v>
      </x:c>
      <x:c r="C2616" s="34" t="str">
        <x:v>M6 — تحلیل‌های خام و ورودی‌های نیازمند پالایش</x:v>
      </x:c>
      <x:c r="D2616" s="34" t="str">
        <x:v>H20</x:v>
      </x:c>
      <x:c r="E2616" s="34" t="str">
        <x:v>یادداشت تحلیلی/راهبری ثبت‌شده در 11211</x:v>
      </x:c>
      <x:c r="F2616" s="34" t="str">
        <x:v>P3/CLARIFY</x:v>
      </x:c>
      <x:c r="G2616" s="34" t="str">
        <x:v>هدف/موضوع</x:v>
      </x:c>
      <x:c r="H2616" s="39" t="str">
        <x:v>دیسکوردهای حوزه ای</x:v>
      </x:c>
      <x:c r="I2616" s="39" t="str">
        <x:v>نیازمند تعریف خروجی یا پارک</x:v>
      </x:c>
      <x:c r="J2616" s="39" t="str">
        <x:v>تحلیلگر راهبری/PMO؛ تبدیل به فرضیه یا اقدام در صورت نیاز</x:v>
      </x:c>
      <x:c r="K2616" s="39" t="str"/>
      <x:c r="L2616" s="39" t="str">
        <x:v>E112:P280</x:v>
      </x:c>
      <x:c r="M2616" s="39" t="str"/>
      <x:c r="N2616" s="39" t="str">
        <x:v>نسخه پایه ۳۱۵۰</x:v>
      </x:c>
    </x:row>
    <x:row r="2617" ht="34" customHeight="1">
      <x:c r="A2617" s="34" t="str">
        <x:v>☐</x:v>
      </x:c>
      <x:c r="B2617" s="34" t="str">
        <x:v>MI-1785</x:v>
      </x:c>
      <x:c r="C2617" s="34" t="str">
        <x:v>M6 — تحلیل‌های خام و ورودی‌های نیازمند پالایش</x:v>
      </x:c>
      <x:c r="D2617" s="34" t="str">
        <x:v>H20</x:v>
      </x:c>
      <x:c r="E2617" s="34" t="str">
        <x:v>یادداشت تحلیلی/راهبری ثبت‌شده در 11211</x:v>
      </x:c>
      <x:c r="F2617" s="34" t="str">
        <x:v>P3/CLARIFY</x:v>
      </x:c>
      <x:c r="G2617" s="34" t="str">
        <x:v>هدف/موضوع</x:v>
      </x:c>
      <x:c r="H2617" s="39" t="str">
        <x:v>رویدادهای meetup</x:v>
      </x:c>
      <x:c r="I2617" s="39" t="str">
        <x:v>نیازمند تعریف خروجی یا پارک</x:v>
      </x:c>
      <x:c r="J2617" s="39" t="str">
        <x:v>تحلیلگر راهبری/PMO؛ تبدیل به فرضیه یا اقدام در صورت نیاز</x:v>
      </x:c>
      <x:c r="K2617" s="39" t="str"/>
      <x:c r="L2617" s="39" t="str">
        <x:v>E112:P282</x:v>
      </x:c>
      <x:c r="M2617" s="39" t="str"/>
      <x:c r="N2617" s="39" t="str">
        <x:v>نسخه پایه ۳۱۵۰</x:v>
      </x:c>
    </x:row>
    <x:row r="2618" ht="34" customHeight="1">
      <x:c r="A2618" s="34" t="str">
        <x:v>☐</x:v>
      </x:c>
      <x:c r="B2618" s="34" t="str">
        <x:v>MI-1788</x:v>
      </x:c>
      <x:c r="C2618" s="34" t="str">
        <x:v>M6 — تحلیل‌های خام و ورودی‌های نیازمند پالایش</x:v>
      </x:c>
      <x:c r="D2618" s="34" t="str">
        <x:v>H20</x:v>
      </x:c>
      <x:c r="E2618" s="34" t="str">
        <x:v>یادداشت تحلیلی/راهبری ثبت‌شده در 11211</x:v>
      </x:c>
      <x:c r="F2618" s="34" t="str">
        <x:v>P3/CLARIFY</x:v>
      </x:c>
      <x:c r="G2618" s="34" t="str">
        <x:v>هدف/موضوع</x:v>
      </x:c>
      <x:c r="H2618" s="39" t="str">
        <x:v>کشف روندها</x:v>
      </x:c>
      <x:c r="I2618" s="39" t="str">
        <x:v>نیازمند تعریف خروجی یا پارک</x:v>
      </x:c>
      <x:c r="J2618" s="39" t="str">
        <x:v>تحلیلگر راهبری/PMO؛ تبدیل به فرضیه یا اقدام در صورت نیاز</x:v>
      </x:c>
      <x:c r="K2618" s="39" t="str"/>
      <x:c r="L2618" s="39" t="str">
        <x:v>E112:P289</x:v>
      </x:c>
      <x:c r="M2618" s="39" t="str"/>
      <x:c r="N2618" s="39" t="str">
        <x:v>نسخه پایه ۳۱۵۰</x:v>
      </x:c>
    </x:row>
    <x:row r="2619" ht="34" customHeight="1">
      <x:c r="A2619" s="34" t="str">
        <x:v>☐</x:v>
      </x:c>
      <x:c r="B2619" s="34" t="str">
        <x:v>MI-1794</x:v>
      </x:c>
      <x:c r="C2619" s="34" t="str">
        <x:v>M6 — تحلیل‌های خام و ورودی‌های نیازمند پالایش</x:v>
      </x:c>
      <x:c r="D2619" s="34" t="str">
        <x:v>H20</x:v>
      </x:c>
      <x:c r="E2619" s="34" t="str">
        <x:v>یادداشت تحلیلی/راهبری ثبت‌شده در 11211</x:v>
      </x:c>
      <x:c r="F2619" s="34" t="str">
        <x:v>P3/CLARIFY</x:v>
      </x:c>
      <x:c r="G2619" s="34" t="str">
        <x:v>هدف/موضوع</x:v>
      </x:c>
      <x:c r="H2619" s="39" t="str">
        <x:v>اساتید کلیدی</x:v>
      </x:c>
      <x:c r="I2619" s="39" t="str">
        <x:v>نیازمند تعریف خروجی یا پارک</x:v>
      </x:c>
      <x:c r="J2619" s="39" t="str">
        <x:v>تحلیلگر راهبری/PMO؛ تبدیل به فرضیه یا اقدام در صورت نیاز</x:v>
      </x:c>
      <x:c r="K2619" s="39" t="str"/>
      <x:c r="L2619" s="39" t="str">
        <x:v>E112:P302</x:v>
      </x:c>
      <x:c r="M2619" s="39" t="str"/>
      <x:c r="N2619" s="39" t="str">
        <x:v>نسخه پایه ۳۱۵۰</x:v>
      </x:c>
    </x:row>
    <x:row r="2620" ht="34" customHeight="1">
      <x:c r="A2620" s="34" t="str">
        <x:v>☐</x:v>
      </x:c>
      <x:c r="B2620" s="34" t="str">
        <x:v>MI-1800</x:v>
      </x:c>
      <x:c r="C2620" s="34" t="str">
        <x:v>M6 — تحلیل‌های خام و ورودی‌های نیازمند پالایش</x:v>
      </x:c>
      <x:c r="D2620" s="34" t="str">
        <x:v>H20</x:v>
      </x:c>
      <x:c r="E2620" s="34" t="str">
        <x:v>یادداشت تحلیلی/راهبری ثبت‌شده در 11211</x:v>
      </x:c>
      <x:c r="F2620" s="34" t="str">
        <x:v>P3/CLARIFY</x:v>
      </x:c>
      <x:c r="G2620" s="34" t="str">
        <x:v>هدف/موضوع</x:v>
      </x:c>
      <x:c r="H2620" s="39" t="str">
        <x:v>انتقال تکنولوژی</x:v>
      </x:c>
      <x:c r="I2620" s="39" t="str">
        <x:v>نیازمند تعریف خروجی یا پارک</x:v>
      </x:c>
      <x:c r="J2620" s="39" t="str">
        <x:v>تحلیلگر راهبری/PMO؛ تبدیل به فرضیه یا اقدام در صورت نیاز</x:v>
      </x:c>
      <x:c r="K2620" s="39" t="str"/>
      <x:c r="L2620" s="39" t="str">
        <x:v>E112:P311</x:v>
      </x:c>
      <x:c r="M2620" s="39" t="str"/>
      <x:c r="N2620" s="39" t="str">
        <x:v>نسخه پایه ۳۱۵۰</x:v>
      </x:c>
    </x:row>
    <x:row r="2621" ht="34" customHeight="1">
      <x:c r="A2621" s="34" t="str">
        <x:v>☐</x:v>
      </x:c>
      <x:c r="B2621" s="34" t="str">
        <x:v>MI-1803</x:v>
      </x:c>
      <x:c r="C2621" s="34" t="str">
        <x:v>M6 — تحلیل‌های خام و ورودی‌های نیازمند پالایش</x:v>
      </x:c>
      <x:c r="D2621" s="34" t="str">
        <x:v>H20</x:v>
      </x:c>
      <x:c r="E2621" s="34" t="str">
        <x:v>یادداشت تحلیلی/راهبری ثبت‌شده در 11211</x:v>
      </x:c>
      <x:c r="F2621" s="34" t="str">
        <x:v>P3/CLARIFY</x:v>
      </x:c>
      <x:c r="G2621" s="34" t="str">
        <x:v>هدف/موضوع</x:v>
      </x:c>
      <x:c r="H2621" s="39" t="str">
        <x:v>شرکت های فناوری</x:v>
      </x:c>
      <x:c r="I2621" s="39" t="str">
        <x:v>نیازمند تعریف خروجی یا پارک</x:v>
      </x:c>
      <x:c r="J2621" s="39" t="str">
        <x:v>تحلیلگر راهبری/PMO؛ تبدیل به فرضیه یا اقدام در صورت نیاز</x:v>
      </x:c>
      <x:c r="K2621" s="39" t="str"/>
      <x:c r="L2621" s="39" t="str">
        <x:v>E112:P318؛ E112:P603؛ E112:P1092</x:v>
      </x:c>
      <x:c r="M2621" s="39" t="str"/>
      <x:c r="N2621" s="39" t="str">
        <x:v>نسخه پایه ۳۱۵۰</x:v>
      </x:c>
    </x:row>
    <x:row r="2622" ht="34" customHeight="1">
      <x:c r="A2622" s="34" t="str">
        <x:v>☐</x:v>
      </x:c>
      <x:c r="B2622" s="34" t="str">
        <x:v>MI-1808</x:v>
      </x:c>
      <x:c r="C2622" s="34" t="str">
        <x:v>M6 — تحلیل‌های خام و ورودی‌های نیازمند پالایش</x:v>
      </x:c>
      <x:c r="D2622" s="34" t="str">
        <x:v>H20</x:v>
      </x:c>
      <x:c r="E2622" s="34" t="str">
        <x:v>یادداشت تحلیلی/راهبری ثبت‌شده در 11211</x:v>
      </x:c>
      <x:c r="F2622" s="34" t="str">
        <x:v>P3/CLARIFY</x:v>
      </x:c>
      <x:c r="G2622" s="34" t="str">
        <x:v>هدف/موضوع</x:v>
      </x:c>
      <x:c r="H2622" s="39" t="str">
        <x:v>شرکت های خدماتی</x:v>
      </x:c>
      <x:c r="I2622" s="39" t="str">
        <x:v>نیازمند تعریف خروجی یا پارک</x:v>
      </x:c>
      <x:c r="J2622" s="39" t="str">
        <x:v>تحلیلگر راهبری/PMO؛ تبدیل به فرضیه یا اقدام در صورت نیاز</x:v>
      </x:c>
      <x:c r="K2622" s="39" t="str"/>
      <x:c r="L2622" s="39" t="str">
        <x:v>E112:P326</x:v>
      </x:c>
      <x:c r="M2622" s="39" t="str"/>
      <x:c r="N2622" s="39" t="str">
        <x:v>نسخه پایه ۳۱۵۰</x:v>
      </x:c>
    </x:row>
    <x:row r="2623" ht="34" customHeight="1">
      <x:c r="A2623" s="34" t="str">
        <x:v>☐</x:v>
      </x:c>
      <x:c r="B2623" s="34" t="str">
        <x:v>MI-1810</x:v>
      </x:c>
      <x:c r="C2623" s="34" t="str">
        <x:v>M6 — تحلیل‌های خام و ورودی‌های نیازمند پالایش</x:v>
      </x:c>
      <x:c r="D2623" s="34" t="str">
        <x:v>H20</x:v>
      </x:c>
      <x:c r="E2623" s="34" t="str">
        <x:v>یادداشت تحلیلی/راهبری ثبت‌شده در 11211</x:v>
      </x:c>
      <x:c r="F2623" s="34" t="str">
        <x:v>P3/CLARIFY</x:v>
      </x:c>
      <x:c r="G2623" s="34" t="str">
        <x:v>هدف/موضوع</x:v>
      </x:c>
      <x:c r="H2623" s="39" t="str">
        <x:v>همکاری</x:v>
      </x:c>
      <x:c r="I2623" s="39" t="str">
        <x:v>نیازمند تعریف خروجی یا پارک</x:v>
      </x:c>
      <x:c r="J2623" s="39" t="str">
        <x:v>تحلیلگر راهبری/PMO؛ تبدیل به فرضیه یا اقدام در صورت نیاز</x:v>
      </x:c>
      <x:c r="K2623" s="39" t="str"/>
      <x:c r="L2623" s="39" t="str">
        <x:v>E112:P331؛ E112:P373</x:v>
      </x:c>
      <x:c r="M2623" s="39" t="str"/>
      <x:c r="N2623" s="39" t="str">
        <x:v>نسخه پایه ۳۱۵۰</x:v>
      </x:c>
    </x:row>
    <x:row r="2624" ht="34" customHeight="1">
      <x:c r="A2624" s="34" t="str">
        <x:v>☐</x:v>
      </x:c>
      <x:c r="B2624" s="34" t="str">
        <x:v>MI-1811</x:v>
      </x:c>
      <x:c r="C2624" s="34" t="str">
        <x:v>M6 — تحلیل‌های خام و ورودی‌های نیازمند پالایش</x:v>
      </x:c>
      <x:c r="D2624" s="34" t="str">
        <x:v>H20</x:v>
      </x:c>
      <x:c r="E2624" s="34" t="str">
        <x:v>یادداشت تحلیلی/راهبری ثبت‌شده در 11211</x:v>
      </x:c>
      <x:c r="F2624" s="34" t="str">
        <x:v>P3/CLARIFY</x:v>
      </x:c>
      <x:c r="G2624" s="34" t="str">
        <x:v>هدف/موضوع</x:v>
      </x:c>
      <x:c r="H2624" s="39" t="str">
        <x:v>تشکیل تیم</x:v>
      </x:c>
      <x:c r="I2624" s="39" t="str">
        <x:v>نیازمند تعریف خروجی یا پارک</x:v>
      </x:c>
      <x:c r="J2624" s="39" t="str">
        <x:v>تحلیلگر راهبری/PMO؛ تبدیل به فرضیه یا اقدام در صورت نیاز</x:v>
      </x:c>
      <x:c r="K2624" s="39" t="str"/>
      <x:c r="L2624" s="39" t="str">
        <x:v>E112:P332؛ E112:P2115؛ E112:P2766؛ E112:P2899؛ E112:P3017؛ E112:P3434</x:v>
      </x:c>
      <x:c r="M2624" s="39" t="str"/>
      <x:c r="N2624" s="39" t="str">
        <x:v>نسخه پایه ۳۱۵۰</x:v>
      </x:c>
    </x:row>
    <x:row r="2625" ht="34" customHeight="1">
      <x:c r="A2625" s="34" t="str">
        <x:v>☐</x:v>
      </x:c>
      <x:c r="B2625" s="34" t="str">
        <x:v>MI-1815</x:v>
      </x:c>
      <x:c r="C2625" s="34" t="str">
        <x:v>M6 — تحلیل‌های خام و ورودی‌های نیازمند پالایش</x:v>
      </x:c>
      <x:c r="D2625" s="34" t="str">
        <x:v>H20</x:v>
      </x:c>
      <x:c r="E2625" s="34" t="str">
        <x:v>یادداشت تحلیلی/راهبری ثبت‌شده در 11211</x:v>
      </x:c>
      <x:c r="F2625" s="34" t="str">
        <x:v>P3/CLARIFY</x:v>
      </x:c>
      <x:c r="G2625" s="34" t="str">
        <x:v>هدف/موضوع</x:v>
      </x:c>
      <x:c r="H2625" s="39" t="str">
        <x:v>صندوق ها</x:v>
      </x:c>
      <x:c r="I2625" s="39" t="str">
        <x:v>نیازمند تعریف خروجی یا پارک</x:v>
      </x:c>
      <x:c r="J2625" s="39" t="str">
        <x:v>تحلیلگر راهبری/PMO؛ تبدیل به فرضیه یا اقدام در صورت نیاز</x:v>
      </x:c>
      <x:c r="K2625" s="39" t="str"/>
      <x:c r="L2625" s="39" t="str">
        <x:v>E112:P339؛ E112:P2123</x:v>
      </x:c>
      <x:c r="M2625" s="39" t="str"/>
      <x:c r="N2625" s="39" t="str">
        <x:v>نسخه پایه ۳۱۵۰</x:v>
      </x:c>
    </x:row>
    <x:row r="2626" ht="34" customHeight="1">
      <x:c r="A2626" s="34" t="str">
        <x:v>☐</x:v>
      </x:c>
      <x:c r="B2626" s="34" t="str">
        <x:v>MI-1816</x:v>
      </x:c>
      <x:c r="C2626" s="34" t="str">
        <x:v>M6 — تحلیل‌های خام و ورودی‌های نیازمند پالایش</x:v>
      </x:c>
      <x:c r="D2626" s="34" t="str">
        <x:v>H20</x:v>
      </x:c>
      <x:c r="E2626" s="34" t="str">
        <x:v>یادداشت تحلیلی/راهبری ثبت‌شده در 11211</x:v>
      </x:c>
      <x:c r="F2626" s="34" t="str">
        <x:v>P3/CLARIFY</x:v>
      </x:c>
      <x:c r="G2626" s="34" t="str">
        <x:v>هدف/موضوع</x:v>
      </x:c>
      <x:c r="H2626" s="39" t="str">
        <x:v>حامیان مالی</x:v>
      </x:c>
      <x:c r="I2626" s="39" t="str">
        <x:v>نیازمند تعریف خروجی یا پارک</x:v>
      </x:c>
      <x:c r="J2626" s="39" t="str">
        <x:v>تحلیلگر راهبری/PMO؛ تبدیل به فرضیه یا اقدام در صورت نیاز</x:v>
      </x:c>
      <x:c r="K2626" s="39" t="str"/>
      <x:c r="L2626" s="39" t="str">
        <x:v>E112:P340</x:v>
      </x:c>
      <x:c r="M2626" s="39" t="str"/>
      <x:c r="N2626" s="39" t="str">
        <x:v>نسخه پایه ۳۱۵۰</x:v>
      </x:c>
    </x:row>
    <x:row r="2627" ht="34" customHeight="1">
      <x:c r="A2627" s="34" t="str">
        <x:v>☐</x:v>
      </x:c>
      <x:c r="B2627" s="34" t="str">
        <x:v>MI-1817</x:v>
      </x:c>
      <x:c r="C2627" s="34" t="str">
        <x:v>M6 — تحلیل‌های خام و ورودی‌های نیازمند پالایش</x:v>
      </x:c>
      <x:c r="D2627" s="34" t="str">
        <x:v>H20</x:v>
      </x:c>
      <x:c r="E2627" s="34" t="str">
        <x:v>یادداشت تحلیلی/راهبری ثبت‌شده در 11211</x:v>
      </x:c>
      <x:c r="F2627" s="34" t="str">
        <x:v>P3/CLARIFY</x:v>
      </x:c>
      <x:c r="G2627" s="34" t="str">
        <x:v>هدف/موضوع</x:v>
      </x:c>
      <x:c r="H2627" s="39" t="str">
        <x:v>VC ها</x:v>
      </x:c>
      <x:c r="I2627" s="39" t="str">
        <x:v>نیازمند تعریف خروجی یا پارک</x:v>
      </x:c>
      <x:c r="J2627" s="39" t="str">
        <x:v>تحلیلگر راهبری/PMO؛ تبدیل به فرضیه یا اقدام در صورت نیاز</x:v>
      </x:c>
      <x:c r="K2627" s="39" t="str"/>
      <x:c r="L2627" s="39" t="str">
        <x:v>E112:P344؛ E112:P626</x:v>
      </x:c>
      <x:c r="M2627" s="39" t="str"/>
      <x:c r="N2627" s="39" t="str">
        <x:v>نسخه پایه ۳۱۵۰</x:v>
      </x:c>
    </x:row>
    <x:row r="2628" ht="34" customHeight="1">
      <x:c r="A2628" s="34" t="str">
        <x:v>☐</x:v>
      </x:c>
      <x:c r="B2628" s="34" t="str">
        <x:v>MI-1818</x:v>
      </x:c>
      <x:c r="C2628" s="34" t="str">
        <x:v>M6 — تحلیل‌های خام و ورودی‌های نیازمند پالایش</x:v>
      </x:c>
      <x:c r="D2628" s="34" t="str">
        <x:v>H20</x:v>
      </x:c>
      <x:c r="E2628" s="34" t="str">
        <x:v>یادداشت تحلیلی/راهبری ثبت‌شده در 11211</x:v>
      </x:c>
      <x:c r="F2628" s="34" t="str">
        <x:v>P3/CLARIFY</x:v>
      </x:c>
      <x:c r="G2628" s="34" t="str">
        <x:v>هدف/موضوع</x:v>
      </x:c>
      <x:c r="H2628" s="39" t="str">
        <x:v>angel investors</x:v>
      </x:c>
      <x:c r="I2628" s="39" t="str">
        <x:v>نیازمند تعریف خروجی یا پارک</x:v>
      </x:c>
      <x:c r="J2628" s="39" t="str">
        <x:v>تحلیلگر راهبری/PMO؛ تبدیل به فرضیه یا اقدام در صورت نیاز</x:v>
      </x:c>
      <x:c r="K2628" s="39" t="str"/>
      <x:c r="L2628" s="39" t="str">
        <x:v>E112:P345؛ E112:P627؛ E112:P855</x:v>
      </x:c>
      <x:c r="M2628" s="39" t="str"/>
      <x:c r="N2628" s="39" t="str">
        <x:v>نسخه پایه ۳۱۵۰</x:v>
      </x:c>
    </x:row>
    <x:row r="2629" ht="34" customHeight="1">
      <x:c r="A2629" s="34" t="str">
        <x:v>☐</x:v>
      </x:c>
      <x:c r="B2629" s="34" t="str">
        <x:v>MI-1821</x:v>
      </x:c>
      <x:c r="C2629" s="34" t="str">
        <x:v>M6 — تحلیل‌های خام و ورودی‌های نیازمند پالایش</x:v>
      </x:c>
      <x:c r="D2629" s="34" t="str">
        <x:v>H20</x:v>
      </x:c>
      <x:c r="E2629" s="34" t="str">
        <x:v>یادداشت تحلیلی/راهبری ثبت‌شده در 11211</x:v>
      </x:c>
      <x:c r="F2629" s="34" t="str">
        <x:v>P3/CLARIFY</x:v>
      </x:c>
      <x:c r="G2629" s="34" t="str">
        <x:v>هدف/موضوع</x:v>
      </x:c>
      <x:c r="H2629" s="39" t="str">
        <x:v>شرکت های حامی</x:v>
      </x:c>
      <x:c r="I2629" s="39" t="str">
        <x:v>نیازمند تعریف خروجی یا پارک</x:v>
      </x:c>
      <x:c r="J2629" s="39" t="str">
        <x:v>تحلیلگر راهبری/PMO؛ تبدیل به فرضیه یا اقدام در صورت نیاز</x:v>
      </x:c>
      <x:c r="K2629" s="39" t="str"/>
      <x:c r="L2629" s="39" t="str">
        <x:v>E112:P348</x:v>
      </x:c>
      <x:c r="M2629" s="39" t="str"/>
      <x:c r="N2629" s="39" t="str">
        <x:v>نسخه پایه ۳۱۵۰</x:v>
      </x:c>
    </x:row>
    <x:row r="2630" ht="34" customHeight="1">
      <x:c r="A2630" s="34" t="str">
        <x:v>☐</x:v>
      </x:c>
      <x:c r="B2630" s="34" t="str">
        <x:v>MI-1825</x:v>
      </x:c>
      <x:c r="C2630" s="34" t="str">
        <x:v>M6 — تحلیل‌های خام و ورودی‌های نیازمند پالایش</x:v>
      </x:c>
      <x:c r="D2630" s="34" t="str">
        <x:v>H20</x:v>
      </x:c>
      <x:c r="E2630" s="34" t="str">
        <x:v>یادداشت تحلیلی/راهبری ثبت‌شده در 11211</x:v>
      </x:c>
      <x:c r="F2630" s="34" t="str">
        <x:v>P3/CLARIFY</x:v>
      </x:c>
      <x:c r="G2630" s="34" t="str">
        <x:v>هدف/موضوع</x:v>
      </x:c>
      <x:c r="H2630" s="39" t="str">
        <x:v>پلتفرم های تکنولوژی</x:v>
      </x:c>
      <x:c r="I2630" s="39" t="str">
        <x:v>نیازمند تعریف خروجی یا پارک</x:v>
      </x:c>
      <x:c r="J2630" s="39" t="str">
        <x:v>تحلیلگر راهبری/PMO؛ تبدیل به فرضیه یا اقدام در صورت نیاز</x:v>
      </x:c>
      <x:c r="K2630" s="39" t="str"/>
      <x:c r="L2630" s="39" t="str">
        <x:v>E112:P358</x:v>
      </x:c>
      <x:c r="M2630" s="39" t="str"/>
      <x:c r="N2630" s="39" t="str">
        <x:v>نسخه پایه ۳۱۵۰</x:v>
      </x:c>
    </x:row>
    <x:row r="2631" ht="34" customHeight="1">
      <x:c r="A2631" s="34" t="str">
        <x:v>☐</x:v>
      </x:c>
      <x:c r="B2631" s="34" t="str">
        <x:v>MI-1826</x:v>
      </x:c>
      <x:c r="C2631" s="34" t="str">
        <x:v>M6 — تحلیل‌های خام و ورودی‌های نیازمند پالایش</x:v>
      </x:c>
      <x:c r="D2631" s="34" t="str">
        <x:v>H20</x:v>
      </x:c>
      <x:c r="E2631" s="34" t="str">
        <x:v>یادداشت تحلیلی/راهبری ثبت‌شده در 11211</x:v>
      </x:c>
      <x:c r="F2631" s="34" t="str">
        <x:v>P3/CLARIFY</x:v>
      </x:c>
      <x:c r="G2631" s="34" t="str">
        <x:v>هدف/موضوع</x:v>
      </x:c>
      <x:c r="H2631" s="39" t="str">
        <x:v>ابزارهای همکاری</x:v>
      </x:c>
      <x:c r="I2631" s="39" t="str">
        <x:v>نیازمند تعریف خروجی یا پارک</x:v>
      </x:c>
      <x:c r="J2631" s="39" t="str">
        <x:v>تحلیلگر راهبری/PMO؛ تبدیل به فرضیه یا اقدام در صورت نیاز</x:v>
      </x:c>
      <x:c r="K2631" s="39" t="str"/>
      <x:c r="L2631" s="39" t="str">
        <x:v>E112:P359</x:v>
      </x:c>
      <x:c r="M2631" s="39" t="str"/>
      <x:c r="N2631" s="39" t="str">
        <x:v>نسخه پایه ۳۱۵۰</x:v>
      </x:c>
    </x:row>
    <x:row r="2632" ht="34" customHeight="1">
      <x:c r="A2632" s="34" t="str">
        <x:v>☐</x:v>
      </x:c>
      <x:c r="B2632" s="34" t="str">
        <x:v>MI-1827</x:v>
      </x:c>
      <x:c r="C2632" s="34" t="str">
        <x:v>M6 — تحلیل‌های خام و ورودی‌های نیازمند پالایش</x:v>
      </x:c>
      <x:c r="D2632" s="34" t="str">
        <x:v>H20</x:v>
      </x:c>
      <x:c r="E2632" s="34" t="str">
        <x:v>یادداشت تحلیلی/راهبری ثبت‌شده در 11211</x:v>
      </x:c>
      <x:c r="F2632" s="34" t="str">
        <x:v>P3/CLARIFY</x:v>
      </x:c>
      <x:c r="G2632" s="34" t="str">
        <x:v>هدف/موضوع</x:v>
      </x:c>
      <x:c r="H2632" s="39" t="str">
        <x:v>GitHub</x:v>
      </x:c>
      <x:c r="I2632" s="39" t="str">
        <x:v>نیازمند تعریف خروجی یا پارک</x:v>
      </x:c>
      <x:c r="J2632" s="39" t="str">
        <x:v>تحلیلگر راهبری/PMO؛ تبدیل به فرضیه یا اقدام در صورت نیاز</x:v>
      </x:c>
      <x:c r="K2632" s="39" t="str"/>
      <x:c r="L2632" s="39" t="str">
        <x:v>E112:P363</x:v>
      </x:c>
      <x:c r="M2632" s="39" t="str"/>
      <x:c r="N2632" s="39" t="str">
        <x:v>نسخه پایه ۳۱۵۰</x:v>
      </x:c>
    </x:row>
    <x:row r="2633" ht="34" customHeight="1">
      <x:c r="A2633" s="34" t="str">
        <x:v>☐</x:v>
      </x:c>
      <x:c r="B2633" s="34" t="str">
        <x:v>MI-1828</x:v>
      </x:c>
      <x:c r="C2633" s="34" t="str">
        <x:v>M6 — تحلیل‌های خام و ورودی‌های نیازمند پالایش</x:v>
      </x:c>
      <x:c r="D2633" s="34" t="str">
        <x:v>H20</x:v>
      </x:c>
      <x:c r="E2633" s="34" t="str">
        <x:v>یادداشت تحلیلی/راهبری ثبت‌شده در 11211</x:v>
      </x:c>
      <x:c r="F2633" s="34" t="str">
        <x:v>P3/CLARIFY</x:v>
      </x:c>
      <x:c r="G2633" s="34" t="str">
        <x:v>هدف/موضوع</x:v>
      </x:c>
      <x:c r="H2633" s="39" t="str">
        <x:v>Product Hunt</x:v>
      </x:c>
      <x:c r="I2633" s="39" t="str">
        <x:v>نیازمند تعریف خروجی یا پارک</x:v>
      </x:c>
      <x:c r="J2633" s="39" t="str">
        <x:v>تحلیلگر راهبری/PMO؛ تبدیل به فرضیه یا اقدام در صورت نیاز</x:v>
      </x:c>
      <x:c r="K2633" s="39" t="str"/>
      <x:c r="L2633" s="39" t="str">
        <x:v>E112:P364</x:v>
      </x:c>
      <x:c r="M2633" s="39" t="str"/>
      <x:c r="N2633" s="39" t="str">
        <x:v>نسخه پایه ۳۱۵۰</x:v>
      </x:c>
    </x:row>
    <x:row r="2634" ht="34" customHeight="1">
      <x:c r="A2634" s="34" t="str">
        <x:v>☐</x:v>
      </x:c>
      <x:c r="B2634" s="34" t="str">
        <x:v>MI-1829</x:v>
      </x:c>
      <x:c r="C2634" s="34" t="str">
        <x:v>M6 — تحلیل‌های خام و ورودی‌های نیازمند پالایش</x:v>
      </x:c>
      <x:c r="D2634" s="34" t="str">
        <x:v>H20</x:v>
      </x:c>
      <x:c r="E2634" s="34" t="str">
        <x:v>یادداشت تحلیلی/راهبری ثبت‌شده در 11211</x:v>
      </x:c>
      <x:c r="F2634" s="34" t="str">
        <x:v>P3/CLARIFY</x:v>
      </x:c>
      <x:c r="G2634" s="34" t="str">
        <x:v>هدف/موضوع</x:v>
      </x:c>
      <x:c r="H2634" s="39" t="str">
        <x:v>Kaggle</x:v>
      </x:c>
      <x:c r="I2634" s="39" t="str">
        <x:v>نیازمند تعریف خروجی یا پارک</x:v>
      </x:c>
      <x:c r="J2634" s="39" t="str">
        <x:v>تحلیلگر راهبری/PMO؛ تبدیل به فرضیه یا اقدام در صورت نیاز</x:v>
      </x:c>
      <x:c r="K2634" s="39" t="str"/>
      <x:c r="L2634" s="39" t="str">
        <x:v>E112:P365</x:v>
      </x:c>
      <x:c r="M2634" s="39" t="str"/>
      <x:c r="N2634" s="39" t="str">
        <x:v>نسخه پایه ۳۱۵۰</x:v>
      </x:c>
    </x:row>
    <x:row r="2635" ht="34" customHeight="1">
      <x:c r="A2635" s="34" t="str">
        <x:v>☐</x:v>
      </x:c>
      <x:c r="B2635" s="34" t="str">
        <x:v>MI-1830</x:v>
      </x:c>
      <x:c r="C2635" s="34" t="str">
        <x:v>M6 — تحلیل‌های خام و ورودی‌های نیازمند پالایش</x:v>
      </x:c>
      <x:c r="D2635" s="34" t="str">
        <x:v>H20</x:v>
      </x:c>
      <x:c r="E2635" s="34" t="str">
        <x:v>یادداشت تحلیلی/راهبری ثبت‌شده در 11211</x:v>
      </x:c>
      <x:c r="F2635" s="34" t="str">
        <x:v>P3/CLARIFY</x:v>
      </x:c>
      <x:c r="G2635" s="34" t="str">
        <x:v>هدف/موضوع</x:v>
      </x:c>
      <x:c r="H2635" s="39" t="str">
        <x:v>Notion communities</x:v>
      </x:c>
      <x:c r="I2635" s="39" t="str">
        <x:v>نیازمند تعریف خروجی یا پارک</x:v>
      </x:c>
      <x:c r="J2635" s="39" t="str">
        <x:v>تحلیلگر راهبری/PMO؛ تبدیل به فرضیه یا اقدام در صورت نیاز</x:v>
      </x:c>
      <x:c r="K2635" s="39" t="str"/>
      <x:c r="L2635" s="39" t="str">
        <x:v>E112:P366</x:v>
      </x:c>
      <x:c r="M2635" s="39" t="str"/>
      <x:c r="N2635" s="39" t="str">
        <x:v>نسخه پایه ۳۱۵۰</x:v>
      </x:c>
    </x:row>
    <x:row r="2636" ht="34" customHeight="1">
      <x:c r="A2636" s="34" t="str">
        <x:v>☐</x:v>
      </x:c>
      <x:c r="B2636" s="34" t="str">
        <x:v>MI-1831</x:v>
      </x:c>
      <x:c r="C2636" s="34" t="str">
        <x:v>M6 — تحلیل‌های خام و ورودی‌های نیازمند پالایش</x:v>
      </x:c>
      <x:c r="D2636" s="34" t="str">
        <x:v>H20</x:v>
      </x:c>
      <x:c r="E2636" s="34" t="str">
        <x:v>یادداشت تحلیلی/راهبری ثبت‌شده در 11211</x:v>
      </x:c>
      <x:c r="F2636" s="34" t="str">
        <x:v>P3/CLARIFY</x:v>
      </x:c>
      <x:c r="G2636" s="34" t="str">
        <x:v>هدف/موضوع</x:v>
      </x:c>
      <x:c r="H2636" s="39" t="str">
        <x:v>Slack / Discord workspaces</x:v>
      </x:c>
      <x:c r="I2636" s="39" t="str">
        <x:v>نیازمند تعریف خروجی یا پارک</x:v>
      </x:c>
      <x:c r="J2636" s="39" t="str">
        <x:v>تحلیلگر راهبری/PMO؛ تبدیل به فرضیه یا اقدام در صورت نیاز</x:v>
      </x:c>
      <x:c r="K2636" s="39" t="str"/>
      <x:c r="L2636" s="39" t="str">
        <x:v>E112:P367</x:v>
      </x:c>
      <x:c r="M2636" s="39" t="str"/>
      <x:c r="N2636" s="39" t="str">
        <x:v>نسخه پایه ۳۱۵۰</x:v>
      </x:c>
    </x:row>
    <x:row r="2637" ht="34" customHeight="1">
      <x:c r="A2637" s="34" t="str">
        <x:v>☐</x:v>
      </x:c>
      <x:c r="B2637" s="34" t="str">
        <x:v>MI-1833</x:v>
      </x:c>
      <x:c r="C2637" s="34" t="str">
        <x:v>M6 — تحلیل‌های خام و ورودی‌های نیازمند پالایش</x:v>
      </x:c>
      <x:c r="D2637" s="34" t="str">
        <x:v>H20</x:v>
      </x:c>
      <x:c r="E2637" s="34" t="str">
        <x:v>یادداشت تحلیلی/راهبری ثبت‌شده در 11211</x:v>
      </x:c>
      <x:c r="F2637" s="34" t="str">
        <x:v>P3/CLARIFY</x:v>
      </x:c>
      <x:c r="G2637" s="34" t="str">
        <x:v>هدف/موضوع</x:v>
      </x:c>
      <x:c r="H2637" s="39" t="str">
        <x:v>7. رسانه و جریان توجه (Attention Economy)</x:v>
      </x:c>
      <x:c r="I2637" s="39" t="str">
        <x:v>نیازمند تعریف خروجی یا پارک</x:v>
      </x:c>
      <x:c r="J2637" s="39" t="str">
        <x:v>تحلیلگر راهبری/PMO؛ تبدیل به فرضیه یا اقدام در صورت نیاز</x:v>
      </x:c>
      <x:c r="K2637" s="39" t="str"/>
      <x:c r="L2637" s="39" t="str">
        <x:v>E112:P375</x:v>
      </x:c>
      <x:c r="M2637" s="39" t="str"/>
      <x:c r="N2637" s="39" t="str">
        <x:v>نسخه پایه ۳۱۵۰</x:v>
      </x:c>
    </x:row>
    <x:row r="2638" ht="34" customHeight="1">
      <x:c r="A2638" s="34" t="str">
        <x:v>☐</x:v>
      </x:c>
      <x:c r="B2638" s="34" t="str">
        <x:v>MI-1835</x:v>
      </x:c>
      <x:c r="C2638" s="34" t="str">
        <x:v>M6 — تحلیل‌های خام و ورودی‌های نیازمند پالایش</x:v>
      </x:c>
      <x:c r="D2638" s="34" t="str">
        <x:v>H20</x:v>
      </x:c>
      <x:c r="E2638" s="34" t="str">
        <x:v>یادداشت تحلیلی/راهبری ثبت‌شده در 11211</x:v>
      </x:c>
      <x:c r="F2638" s="34" t="str">
        <x:v>P3/CLARIFY</x:v>
      </x:c>
      <x:c r="G2638" s="34" t="str">
        <x:v>هدف/موضوع</x:v>
      </x:c>
      <x:c r="H2638" s="39" t="str">
        <x:v>اینفلوینسرها</x:v>
      </x:c>
      <x:c r="I2638" s="39" t="str">
        <x:v>نیازمند تعریف خروجی یا پارک</x:v>
      </x:c>
      <x:c r="J2638" s="39" t="str">
        <x:v>تحلیلگر راهبری/PMO؛ تبدیل به فرضیه یا اقدام در صورت نیاز</x:v>
      </x:c>
      <x:c r="K2638" s="39" t="str"/>
      <x:c r="L2638" s="39" t="str">
        <x:v>E112:P380</x:v>
      </x:c>
      <x:c r="M2638" s="39" t="str"/>
      <x:c r="N2638" s="39" t="str">
        <x:v>نسخه پایه ۳۱۵۰</x:v>
      </x:c>
    </x:row>
    <x:row r="2639" ht="34" customHeight="1">
      <x:c r="A2639" s="34" t="str">
        <x:v>☐</x:v>
      </x:c>
      <x:c r="B2639" s="34" t="str">
        <x:v>MI-1836</x:v>
      </x:c>
      <x:c r="C2639" s="34" t="str">
        <x:v>M6 — تحلیل‌های خام و ورودی‌های نیازمند پالایش</x:v>
      </x:c>
      <x:c r="D2639" s="34" t="str">
        <x:v>H20</x:v>
      </x:c>
      <x:c r="E2639" s="34" t="str">
        <x:v>یادداشت تحلیلی/راهبری ثبت‌شده در 11211</x:v>
      </x:c>
      <x:c r="F2639" s="34" t="str">
        <x:v>P3/CLARIFY</x:v>
      </x:c>
      <x:c r="G2639" s="34" t="str">
        <x:v>هدف/موضوع</x:v>
      </x:c>
      <x:c r="H2639" s="39" t="str">
        <x:v>یوتیوبرها</x:v>
      </x:c>
      <x:c r="I2639" s="39" t="str">
        <x:v>نیازمند تعریف خروجی یا پارک</x:v>
      </x:c>
      <x:c r="J2639" s="39" t="str">
        <x:v>تحلیلگر راهبری/PMO؛ تبدیل به فرضیه یا اقدام در صورت نیاز</x:v>
      </x:c>
      <x:c r="K2639" s="39" t="str"/>
      <x:c r="L2639" s="39" t="str">
        <x:v>E112:P385</x:v>
      </x:c>
      <x:c r="M2639" s="39" t="str"/>
      <x:c r="N2639" s="39" t="str">
        <x:v>نسخه پایه ۳۱۵۰</x:v>
      </x:c>
    </x:row>
    <x:row r="2640" ht="34" customHeight="1">
      <x:c r="A2640" s="34" t="str">
        <x:v>☐</x:v>
      </x:c>
      <x:c r="B2640" s="34" t="str">
        <x:v>MI-1838</x:v>
      </x:c>
      <x:c r="C2640" s="34" t="str">
        <x:v>M6 — تحلیل‌های خام و ورودی‌های نیازمند پالایش</x:v>
      </x:c>
      <x:c r="D2640" s="34" t="str">
        <x:v>H20</x:v>
      </x:c>
      <x:c r="E2640" s="34" t="str">
        <x:v>یادداشت تحلیلی/راهبری ثبت‌شده در 11211</x:v>
      </x:c>
      <x:c r="F2640" s="34" t="str">
        <x:v>P3/CLARIFY</x:v>
      </x:c>
      <x:c r="G2640" s="34" t="str">
        <x:v>هدف/موضوع</x:v>
      </x:c>
      <x:c r="H2640" s="39" t="str">
        <x:v>وبلاگ های تخصصی</x:v>
      </x:c>
      <x:c r="I2640" s="39" t="str">
        <x:v>نیازمند تعریف خروجی یا پارک</x:v>
      </x:c>
      <x:c r="J2640" s="39" t="str">
        <x:v>تحلیلگر راهبری/PMO؛ تبدیل به فرضیه یا اقدام در صورت نیاز</x:v>
      </x:c>
      <x:c r="K2640" s="39" t="str"/>
      <x:c r="L2640" s="39" t="str">
        <x:v>E112:P387</x:v>
      </x:c>
      <x:c r="M2640" s="39" t="str"/>
      <x:c r="N2640" s="39" t="str">
        <x:v>نسخه پایه ۳۱۵۰</x:v>
      </x:c>
    </x:row>
    <x:row r="2641" ht="34" customHeight="1">
      <x:c r="A2641" s="34" t="str">
        <x:v>☐</x:v>
      </x:c>
      <x:c r="B2641" s="34" t="str">
        <x:v>MI-1839</x:v>
      </x:c>
      <x:c r="C2641" s="34" t="str">
        <x:v>M6 — تحلیل‌های خام و ورودی‌های نیازمند پالایش</x:v>
      </x:c>
      <x:c r="D2641" s="34" t="str">
        <x:v>H20</x:v>
      </x:c>
      <x:c r="E2641" s="34" t="str">
        <x:v>یادداشت تحلیلی/راهبری ثبت‌شده در 11211</x:v>
      </x:c>
      <x:c r="F2641" s="34" t="str">
        <x:v>P3/CLARIFY</x:v>
      </x:c>
      <x:c r="G2641" s="34" t="str">
        <x:v>هدف/موضوع</x:v>
      </x:c>
      <x:c r="H2641" s="39" t="str">
        <x:v>رسانه های فناوری</x:v>
      </x:c>
      <x:c r="I2641" s="39" t="str">
        <x:v>نیازمند تعریف خروجی یا پارک</x:v>
      </x:c>
      <x:c r="J2641" s="39" t="str">
        <x:v>تحلیلگر راهبری/PMO؛ تبدیل به فرضیه یا اقدام در صورت نیاز</x:v>
      </x:c>
      <x:c r="K2641" s="39" t="str"/>
      <x:c r="L2641" s="39" t="str">
        <x:v>E112:P388؛ E112:P651</x:v>
      </x:c>
      <x:c r="M2641" s="39" t="str"/>
      <x:c r="N2641" s="39" t="str">
        <x:v>نسخه پایه ۳۱۵۰</x:v>
      </x:c>
    </x:row>
    <x:row r="2642" ht="34" customHeight="1">
      <x:c r="A2642" s="34" t="str">
        <x:v>☐</x:v>
      </x:c>
      <x:c r="B2642" s="34" t="str">
        <x:v>MI-1840</x:v>
      </x:c>
      <x:c r="C2642" s="34" t="str">
        <x:v>M6 — تحلیل‌های خام و ورودی‌های نیازمند پالایش</x:v>
      </x:c>
      <x:c r="D2642" s="34" t="str">
        <x:v>H20</x:v>
      </x:c>
      <x:c r="E2642" s="34" t="str">
        <x:v>یادداشت تحلیلی/راهبری ثبت‌شده در 11211</x:v>
      </x:c>
      <x:c r="F2642" s="34" t="str">
        <x:v>P3/CLARIFY</x:v>
      </x:c>
      <x:c r="G2642" s="34" t="str">
        <x:v>هدف/موضوع</x:v>
      </x:c>
      <x:c r="H2642" s="39" t="str">
        <x:v>جذب توجه</x:v>
      </x:c>
      <x:c r="I2642" s="39" t="str">
        <x:v>نیازمند تعریف خروجی یا پارک</x:v>
      </x:c>
      <x:c r="J2642" s="39" t="str">
        <x:v>تحلیلگر راهبری/PMO؛ تبدیل به فرضیه یا اقدام در صورت نیاز</x:v>
      </x:c>
      <x:c r="K2642" s="39" t="str"/>
      <x:c r="L2642" s="39" t="str">
        <x:v>E112:P392</x:v>
      </x:c>
      <x:c r="M2642" s="39" t="str"/>
      <x:c r="N2642" s="39" t="str">
        <x:v>نسخه پایه ۳۱۵۰</x:v>
      </x:c>
    </x:row>
    <x:row r="2643" ht="34" customHeight="1">
      <x:c r="A2643" s="34" t="str">
        <x:v>☐</x:v>
      </x:c>
      <x:c r="B2643" s="34" t="str">
        <x:v>MI-1841</x:v>
      </x:c>
      <x:c r="C2643" s="34" t="str">
        <x:v>M6 — تحلیل‌های خام و ورودی‌های نیازمند پالایش</x:v>
      </x:c>
      <x:c r="D2643" s="34" t="str">
        <x:v>H20</x:v>
      </x:c>
      <x:c r="E2643" s="34" t="str">
        <x:v>یادداشت تحلیلی/راهبری ثبت‌شده در 11211</x:v>
      </x:c>
      <x:c r="F2643" s="34" t="str">
        <x:v>P3/CLARIFY</x:v>
      </x:c>
      <x:c r="G2643" s="34" t="str">
        <x:v>هدف/موضوع</x:v>
      </x:c>
      <x:c r="H2643" s="39" t="str">
        <x:v>اعتبارسازی</x:v>
      </x:c>
      <x:c r="I2643" s="39" t="str">
        <x:v>نیازمند تعریف خروجی یا پارک</x:v>
      </x:c>
      <x:c r="J2643" s="39" t="str">
        <x:v>تحلیلگر راهبری/PMO؛ تبدیل به فرضیه یا اقدام در صورت نیاز</x:v>
      </x:c>
      <x:c r="K2643" s="39" t="str"/>
      <x:c r="L2643" s="39" t="str">
        <x:v>E112:P393</x:v>
      </x:c>
      <x:c r="M2643" s="39" t="str"/>
      <x:c r="N2643" s="39" t="str">
        <x:v>نسخه پایه ۳۱۵۰</x:v>
      </x:c>
    </x:row>
    <x:row r="2644" ht="34" customHeight="1">
      <x:c r="A2644" s="34" t="str">
        <x:v>☐</x:v>
      </x:c>
      <x:c r="B2644" s="34" t="str">
        <x:v>MI-1843</x:v>
      </x:c>
      <x:c r="C2644" s="34" t="str">
        <x:v>M6 — تحلیل‌های خام و ورودی‌های نیازمند پالایش</x:v>
      </x:c>
      <x:c r="D2644" s="34" t="str">
        <x:v>H20</x:v>
      </x:c>
      <x:c r="E2644" s="34" t="str">
        <x:v>یادداشت تحلیلی/راهبری ثبت‌شده در 11211</x:v>
      </x:c>
      <x:c r="F2644" s="34" t="str">
        <x:v>P3/CLARIFY</x:v>
      </x:c>
      <x:c r="G2644" s="34" t="str">
        <x:v>هدف/موضوع</x:v>
      </x:c>
      <x:c r="H2644" s="39" t="str">
        <x:v>8. رویدادها و تجمعات</x:v>
      </x:c>
      <x:c r="I2644" s="39" t="str">
        <x:v>نیازمند تعریف خروجی یا پارک</x:v>
      </x:c>
      <x:c r="J2644" s="39" t="str">
        <x:v>تحلیلگر راهبری/PMO؛ تبدیل به فرضیه یا اقدام در صورت نیاز</x:v>
      </x:c>
      <x:c r="K2644" s="39" t="str"/>
      <x:c r="L2644" s="39" t="str">
        <x:v>E112:P396؛ E112:P635</x:v>
      </x:c>
      <x:c r="M2644" s="39" t="str"/>
      <x:c r="N2644" s="39" t="str">
        <x:v>نسخه پایه ۳۱۵۰</x:v>
      </x:c>
    </x:row>
    <x:row r="2645" ht="34" customHeight="1">
      <x:c r="A2645" s="34" t="str">
        <x:v>☐</x:v>
      </x:c>
      <x:c r="B2645" s="34" t="str">
        <x:v>MI-1844</x:v>
      </x:c>
      <x:c r="C2645" s="34" t="str">
        <x:v>M6 — تحلیل‌های خام و ورودی‌های نیازمند پالایش</x:v>
      </x:c>
      <x:c r="D2645" s="34" t="str">
        <x:v>H20</x:v>
      </x:c>
      <x:c r="E2645" s="34" t="str">
        <x:v>یادداشت تحلیلی/راهبری ثبت‌شده در 11211</x:v>
      </x:c>
      <x:c r="F2645" s="34" t="str">
        <x:v>P3/CLARIFY</x:v>
      </x:c>
      <x:c r="G2645" s="34" t="str">
        <x:v>هدف/موضوع</x:v>
      </x:c>
      <x:c r="H2645" s="39" t="str">
        <x:v>کنفرانس ها</x:v>
      </x:c>
      <x:c r="I2645" s="39" t="str">
        <x:v>نیازمند تعریف خروجی یا پارک</x:v>
      </x:c>
      <x:c r="J2645" s="39" t="str">
        <x:v>تحلیلگر راهبری/PMO؛ تبدیل به فرضیه یا اقدام در صورت نیاز</x:v>
      </x:c>
      <x:c r="K2645" s="39" t="str"/>
      <x:c r="L2645" s="39" t="str">
        <x:v>E112:P399؛ E112:P639</x:v>
      </x:c>
      <x:c r="M2645" s="39" t="str"/>
      <x:c r="N2645" s="39" t="str">
        <x:v>نسخه پایه ۳۱۵۰</x:v>
      </x:c>
    </x:row>
    <x:row r="2646" ht="34" customHeight="1">
      <x:c r="A2646" s="34" t="str">
        <x:v>☐</x:v>
      </x:c>
      <x:c r="B2646" s="34" t="str">
        <x:v>MI-1846</x:v>
      </x:c>
      <x:c r="C2646" s="34" t="str">
        <x:v>M6 — تحلیل‌های خام و ورودی‌های نیازمند پالایش</x:v>
      </x:c>
      <x:c r="D2646" s="34" t="str">
        <x:v>H20</x:v>
      </x:c>
      <x:c r="E2646" s="34" t="str">
        <x:v>یادداشت تحلیلی/راهبری ثبت‌شده در 11211</x:v>
      </x:c>
      <x:c r="F2646" s="34" t="str">
        <x:v>P3/CLARIFY</x:v>
      </x:c>
      <x:c r="G2646" s="34" t="str">
        <x:v>هدف/موضوع</x:v>
      </x:c>
      <x:c r="H2646" s="39" t="str">
        <x:v>گردهمایی ها</x:v>
      </x:c>
      <x:c r="I2646" s="39" t="str">
        <x:v>نیازمند تعریف خروجی یا پارک</x:v>
      </x:c>
      <x:c r="J2646" s="39" t="str">
        <x:v>تحلیلگر راهبری/PMO؛ تبدیل به فرضیه یا اقدام در صورت نیاز</x:v>
      </x:c>
      <x:c r="K2646" s="39" t="str"/>
      <x:c r="L2646" s="39" t="str">
        <x:v>E112:P401</x:v>
      </x:c>
      <x:c r="M2646" s="39" t="str"/>
      <x:c r="N2646" s="39" t="str">
        <x:v>نسخه پایه ۳۱۵۰</x:v>
      </x:c>
    </x:row>
    <x:row r="2647" ht="34" customHeight="1">
      <x:c r="A2647" s="34" t="str">
        <x:v>☐</x:v>
      </x:c>
      <x:c r="B2647" s="34" t="str">
        <x:v>MI-1847</x:v>
      </x:c>
      <x:c r="C2647" s="34" t="str">
        <x:v>M6 — تحلیل‌های خام و ورودی‌های نیازمند پالایش</x:v>
      </x:c>
      <x:c r="D2647" s="34" t="str">
        <x:v>H20</x:v>
      </x:c>
      <x:c r="E2647" s="34" t="str">
        <x:v>یادداشت تحلیلی/راهبری ثبت‌شده در 11211</x:v>
      </x:c>
      <x:c r="F2647" s="34" t="str">
        <x:v>P3/CLARIFY</x:v>
      </x:c>
      <x:c r="G2647" s="34" t="str">
        <x:v>هدف/موضوع</x:v>
      </x:c>
      <x:c r="H2647" s="39" t="str">
        <x:v>hackathon</x:v>
      </x:c>
      <x:c r="I2647" s="39" t="str">
        <x:v>نیازمند تعریف خروجی یا پارک</x:v>
      </x:c>
      <x:c r="J2647" s="39" t="str">
        <x:v>تحلیلگر راهبری/PMO؛ تبدیل به فرضیه یا اقدام در صورت نیاز</x:v>
      </x:c>
      <x:c r="K2647" s="39" t="str"/>
      <x:c r="L2647" s="39" t="str">
        <x:v>E112:P405؛ E112:P641</x:v>
      </x:c>
      <x:c r="M2647" s="39" t="str"/>
      <x:c r="N2647" s="39" t="str">
        <x:v>نسخه پایه ۳۱۵۰</x:v>
      </x:c>
    </x:row>
    <x:row r="2648" ht="34" customHeight="1">
      <x:c r="A2648" s="34" t="str">
        <x:v>☐</x:v>
      </x:c>
      <x:c r="B2648" s="34" t="str">
        <x:v>MI-1848</x:v>
      </x:c>
      <x:c r="C2648" s="34" t="str">
        <x:v>M6 — تحلیل‌های خام و ورودی‌های نیازمند پالایش</x:v>
      </x:c>
      <x:c r="D2648" s="34" t="str">
        <x:v>H20</x:v>
      </x:c>
      <x:c r="E2648" s="34" t="str">
        <x:v>یادداشت تحلیلی/راهبری ثبت‌شده در 11211</x:v>
      </x:c>
      <x:c r="F2648" s="34" t="str">
        <x:v>P3/CLARIFY</x:v>
      </x:c>
      <x:c r="G2648" s="34" t="str">
        <x:v>هدف/موضوع</x:v>
      </x:c>
      <x:c r="H2648" s="39" t="str">
        <x:v>demo day</x:v>
      </x:c>
      <x:c r="I2648" s="39" t="str">
        <x:v>نیازمند تعریف خروجی یا پارک</x:v>
      </x:c>
      <x:c r="J2648" s="39" t="str">
        <x:v>تحلیلگر راهبری/PMO؛ تبدیل به فرضیه یا اقدام در صورت نیاز</x:v>
      </x:c>
      <x:c r="K2648" s="39" t="str"/>
      <x:c r="L2648" s="39" t="str">
        <x:v>E112:P406؛ E112:P643</x:v>
      </x:c>
      <x:c r="M2648" s="39" t="str"/>
      <x:c r="N2648" s="39" t="str">
        <x:v>نسخه پایه ۳۱۵۰</x:v>
      </x:c>
    </x:row>
    <x:row r="2649" ht="34" customHeight="1">
      <x:c r="A2649" s="34" t="str">
        <x:v>☐</x:v>
      </x:c>
      <x:c r="B2649" s="34" t="str">
        <x:v>MI-1849</x:v>
      </x:c>
      <x:c r="C2649" s="34" t="str">
        <x:v>M6 — تحلیل‌های خام و ورودی‌های نیازمند پالایش</x:v>
      </x:c>
      <x:c r="D2649" s="34" t="str">
        <x:v>H20</x:v>
      </x:c>
      <x:c r="E2649" s="34" t="str">
        <x:v>یادداشت تحلیلی/راهبری ثبت‌شده در 11211</x:v>
      </x:c>
      <x:c r="F2649" s="34" t="str">
        <x:v>P3/CLARIFY</x:v>
      </x:c>
      <x:c r="G2649" s="34" t="str">
        <x:v>هدف/موضوع</x:v>
      </x:c>
      <x:c r="H2649" s="39" t="str">
        <x:v>meetups</x:v>
      </x:c>
      <x:c r="I2649" s="39" t="str">
        <x:v>نیازمند تعریف خروجی یا پارک</x:v>
      </x:c>
      <x:c r="J2649" s="39" t="str">
        <x:v>تحلیلگر راهبری/PMO؛ تبدیل به فرضیه یا اقدام در صورت نیاز</x:v>
      </x:c>
      <x:c r="K2649" s="39" t="str"/>
      <x:c r="L2649" s="39" t="str">
        <x:v>E112:P407</x:v>
      </x:c>
      <x:c r="M2649" s="39" t="str"/>
      <x:c r="N2649" s="39" t="str">
        <x:v>نسخه پایه ۳۱۵۰</x:v>
      </x:c>
    </x:row>
    <x:row r="2650" ht="34" customHeight="1">
      <x:c r="A2650" s="34" t="str">
        <x:v>☐</x:v>
      </x:c>
      <x:c r="B2650" s="34" t="str">
        <x:v>MI-1851</x:v>
      </x:c>
      <x:c r="C2650" s="34" t="str">
        <x:v>M6 — تحلیل‌های خام و ورودی‌های نیازمند پالایش</x:v>
      </x:c>
      <x:c r="D2650" s="34" t="str">
        <x:v>H20</x:v>
      </x:c>
      <x:c r="E2650" s="34" t="str">
        <x:v>یادداشت تحلیلی/راهبری ثبت‌شده در 11211</x:v>
      </x:c>
      <x:c r="F2650" s="34" t="str">
        <x:v>P3/CLARIFY</x:v>
      </x:c>
      <x:c r="G2650" s="34" t="str">
        <x:v>هدف/موضوع</x:v>
      </x:c>
      <x:c r="H2650" s="39" t="str">
        <x:v>کشف آدم های کلیدی</x:v>
      </x:c>
      <x:c r="I2650" s="39" t="str">
        <x:v>نیازمند تعریف خروجی یا پارک</x:v>
      </x:c>
      <x:c r="J2650" s="39" t="str">
        <x:v>تحلیلگر راهبری/PMO؛ تبدیل به فرضیه یا اقدام در صورت نیاز</x:v>
      </x:c>
      <x:c r="K2650" s="39" t="str"/>
      <x:c r="L2650" s="39" t="str">
        <x:v>E112:P413</x:v>
      </x:c>
      <x:c r="M2650" s="39" t="str"/>
      <x:c r="N2650" s="39" t="str">
        <x:v>نسخه پایه ۳۱۵۰</x:v>
      </x:c>
    </x:row>
    <x:row r="2651" ht="34" customHeight="1">
      <x:c r="A2651" s="34" t="str">
        <x:v>☐</x:v>
      </x:c>
      <x:c r="B2651" s="34" t="str">
        <x:v>MI-1855</x:v>
      </x:c>
      <x:c r="C2651" s="34" t="str">
        <x:v>M6 — تحلیل‌های خام و ورودی‌های نیازمند پالایش</x:v>
      </x:c>
      <x:c r="D2651" s="34" t="str">
        <x:v>H20</x:v>
      </x:c>
      <x:c r="E2651" s="34" t="str">
        <x:v>یادداشت تحلیلی/راهبری ثبت‌شده در 11211</x:v>
      </x:c>
      <x:c r="F2651" s="34" t="str">
        <x:v>P3/CLARIFY</x:v>
      </x:c>
      <x:c r="G2651" s="34" t="str">
        <x:v>هدف/موضوع</x:v>
      </x:c>
      <x:c r="H2651" s="39" t="str">
        <x:v>این ها خیلی مهم اند.</x:v>
      </x:c>
      <x:c r="I2651" s="39" t="str">
        <x:v>نیازمند تعریف خروجی یا پارک</x:v>
      </x:c>
      <x:c r="J2651" s="39" t="str">
        <x:v>تحلیلگر راهبری/PMO؛ تبدیل به فرضیه یا اقدام در صورت نیاز</x:v>
      </x:c>
      <x:c r="K2651" s="39" t="str"/>
      <x:c r="L2651" s="39" t="str">
        <x:v>E112:P419</x:v>
      </x:c>
      <x:c r="M2651" s="39" t="str"/>
      <x:c r="N2651" s="39" t="str">
        <x:v>نسخه پایه ۳۱۵۰</x:v>
      </x:c>
    </x:row>
    <x:row r="2652" ht="34" customHeight="1">
      <x:c r="A2652" s="34" t="str">
        <x:v>☐</x:v>
      </x:c>
      <x:c r="B2652" s="34" t="str">
        <x:v>MI-1857</x:v>
      </x:c>
      <x:c r="C2652" s="34" t="str">
        <x:v>M6 — تحلیل‌های خام و ورودی‌های نیازمند پالایش</x:v>
      </x:c>
      <x:c r="D2652" s="34" t="str">
        <x:v>H20</x:v>
      </x:c>
      <x:c r="E2652" s="34" t="str">
        <x:v>یادداشت تحلیلی/راهبری ثبت‌شده در 11211</x:v>
      </x:c>
      <x:c r="F2652" s="34" t="str">
        <x:v>P3/CLARIFY</x:v>
      </x:c>
      <x:c r="G2652" s="34" t="str">
        <x:v>هدف/موضوع</x:v>
      </x:c>
      <x:c r="H2652" s="39" t="str">
        <x:v>رهبران فکری</x:v>
      </x:c>
      <x:c r="I2652" s="39" t="str">
        <x:v>نیازمند تعریف خروجی یا پارک</x:v>
      </x:c>
      <x:c r="J2652" s="39" t="str">
        <x:v>تحلیلگر راهبری/PMO؛ تبدیل به فرضیه یا اقدام در صورت نیاز</x:v>
      </x:c>
      <x:c r="K2652" s="39" t="str"/>
      <x:c r="L2652" s="39" t="str">
        <x:v>E112:P423؛ E112:P684</x:v>
      </x:c>
      <x:c r="M2652" s="39" t="str"/>
      <x:c r="N2652" s="39" t="str">
        <x:v>نسخه پایه ۳۱۵۰</x:v>
      </x:c>
    </x:row>
    <x:row r="2653" ht="34" customHeight="1">
      <x:c r="A2653" s="34" t="str">
        <x:v>☐</x:v>
      </x:c>
      <x:c r="B2653" s="34" t="str">
        <x:v>MI-1859</x:v>
      </x:c>
      <x:c r="C2653" s="34" t="str">
        <x:v>M6 — تحلیل‌های خام و ورودی‌های نیازمند پالایش</x:v>
      </x:c>
      <x:c r="D2653" s="34" t="str">
        <x:v>H20</x:v>
      </x:c>
      <x:c r="E2653" s="34" t="str">
        <x:v>یادداشت تحلیلی/راهبری ثبت‌شده در 11211</x:v>
      </x:c>
      <x:c r="F2653" s="34" t="str">
        <x:v>P3/CLARIFY</x:v>
      </x:c>
      <x:c r="G2653" s="34" t="str">
        <x:v>هدف/موضوع</x:v>
      </x:c>
      <x:c r="H2653" s="39" t="str">
        <x:v>اساتید بانفوذ</x:v>
      </x:c>
      <x:c r="I2653" s="39" t="str">
        <x:v>نیازمند تعریف خروجی یا پارک</x:v>
      </x:c>
      <x:c r="J2653" s="39" t="str">
        <x:v>تحلیلگر راهبری/PMO؛ تبدیل به فرضیه یا اقدام در صورت نیاز</x:v>
      </x:c>
      <x:c r="K2653" s="39" t="str"/>
      <x:c r="L2653" s="39" t="str">
        <x:v>E112:P425؛ E112:P679؛ E112:P779</x:v>
      </x:c>
      <x:c r="M2653" s="39" t="str"/>
      <x:c r="N2653" s="39" t="str">
        <x:v>نسخه پایه ۳۱۵۰</x:v>
      </x:c>
    </x:row>
    <x:row r="2654" ht="34" customHeight="1">
      <x:c r="A2654" s="34" t="str">
        <x:v>☐</x:v>
      </x:c>
      <x:c r="B2654" s="34" t="str">
        <x:v>MI-1860</x:v>
      </x:c>
      <x:c r="C2654" s="34" t="str">
        <x:v>M6 — تحلیل‌های خام و ورودی‌های نیازمند پالایش</x:v>
      </x:c>
      <x:c r="D2654" s="34" t="str">
        <x:v>H20</x:v>
      </x:c>
      <x:c r="E2654" s="34" t="str">
        <x:v>یادداشت تحلیلی/راهبری ثبت‌شده در 11211</x:v>
      </x:c>
      <x:c r="F2654" s="34" t="str">
        <x:v>P3/CLARIFY</x:v>
      </x:c>
      <x:c r="G2654" s="34" t="str">
        <x:v>هدف/موضوع</x:v>
      </x:c>
      <x:c r="H2654" s="39" t="str">
        <x:v>بنیان گذاران موفق</x:v>
      </x:c>
      <x:c r="I2654" s="39" t="str">
        <x:v>نیازمند تعریف خروجی یا پارک</x:v>
      </x:c>
      <x:c r="J2654" s="39" t="str">
        <x:v>تحلیلگر راهبری/PMO؛ تبدیل به فرضیه یا اقدام در صورت نیاز</x:v>
      </x:c>
      <x:c r="K2654" s="39" t="str"/>
      <x:c r="L2654" s="39" t="str">
        <x:v>E112:P426؛ E112:P678</x:v>
      </x:c>
      <x:c r="M2654" s="39" t="str"/>
      <x:c r="N2654" s="39" t="str">
        <x:v>نسخه پایه ۳۱۵۰</x:v>
      </x:c>
    </x:row>
    <x:row r="2655" ht="34" customHeight="1">
      <x:c r="A2655" s="34" t="str">
        <x:v>☐</x:v>
      </x:c>
      <x:c r="B2655" s="34" t="str">
        <x:v>MI-1862</x:v>
      </x:c>
      <x:c r="C2655" s="34" t="str">
        <x:v>M6 — تحلیل‌های خام و ورودی‌های نیازمند پالایش</x:v>
      </x:c>
      <x:c r="D2655" s="34" t="str">
        <x:v>H20</x:v>
      </x:c>
      <x:c r="E2655" s="34" t="str">
        <x:v>یادداشت تحلیلی/راهبری ثبت‌شده در 11211</x:v>
      </x:c>
      <x:c r="F2655" s="34" t="str">
        <x:v>P3/CLARIFY</x:v>
      </x:c>
      <x:c r="G2655" s="34" t="str">
        <x:v>هدف/موضوع</x:v>
      </x:c>
      <x:c r="H2655" s="39" t="str">
        <x:v>افزایش اعتبار</x:v>
      </x:c>
      <x:c r="I2655" s="39" t="str">
        <x:v>نیازمند تعریف خروجی یا پارک</x:v>
      </x:c>
      <x:c r="J2655" s="39" t="str">
        <x:v>تحلیلگر راهبری/PMO؛ تبدیل به فرضیه یا اقدام در صورت نیاز</x:v>
      </x:c>
      <x:c r="K2655" s="39" t="str"/>
      <x:c r="L2655" s="39" t="str">
        <x:v>E112:P431</x:v>
      </x:c>
      <x:c r="M2655" s="39" t="str"/>
      <x:c r="N2655" s="39" t="str">
        <x:v>نسخه پایه ۳۱۵۰</x:v>
      </x:c>
    </x:row>
    <x:row r="2656" ht="34" customHeight="1">
      <x:c r="A2656" s="34" t="str">
        <x:v>☐</x:v>
      </x:c>
      <x:c r="B2656" s="34" t="str">
        <x:v>MI-1863</x:v>
      </x:c>
      <x:c r="C2656" s="34" t="str">
        <x:v>M6 — تحلیل‌های خام و ورودی‌های نیازمند پالایش</x:v>
      </x:c>
      <x:c r="D2656" s="34" t="str">
        <x:v>H20</x:v>
      </x:c>
      <x:c r="E2656" s="34" t="str">
        <x:v>یادداشت تحلیلی/راهبری ثبت‌شده در 11211</x:v>
      </x:c>
      <x:c r="F2656" s="34" t="str">
        <x:v>P3/CLARIFY</x:v>
      </x:c>
      <x:c r="G2656" s="34" t="str">
        <x:v>هدف/موضوع</x:v>
      </x:c>
      <x:c r="H2656" s="39" t="str">
        <x:v>✅ اگر این را به شکل ساده نگاه کنیم، تو 5 چیز را مدیریت می کنی:</x:v>
      </x:c>
      <x:c r="I2656" s="39" t="str">
        <x:v>نیازمند تعریف خروجی یا پارک</x:v>
      </x:c>
      <x:c r="J2656" s="39" t="str">
        <x:v>تحلیلگر راهبری/PMO؛ تبدیل به فرضیه یا اقدام در صورت نیاز</x:v>
      </x:c>
      <x:c r="K2656" s="39" t="str"/>
      <x:c r="L2656" s="39" t="str">
        <x:v>E112:P433</x:v>
      </x:c>
      <x:c r="M2656" s="39" t="str"/>
      <x:c r="N2656" s="39" t="str">
        <x:v>نسخه پایه ۳۱۵۰</x:v>
      </x:c>
    </x:row>
    <x:row r="2657" ht="34" customHeight="1">
      <x:c r="A2657" s="34" t="str">
        <x:v>☐</x:v>
      </x:c>
      <x:c r="B2657" s="34" t="str">
        <x:v>MI-1864</x:v>
      </x:c>
      <x:c r="C2657" s="34" t="str">
        <x:v>M6 — تحلیل‌های خام و ورودی‌های نیازمند پالایش</x:v>
      </x:c>
      <x:c r="D2657" s="34" t="str">
        <x:v>H20</x:v>
      </x:c>
      <x:c r="E2657" s="34" t="str">
        <x:v>یادداشت تحلیلی/راهبری ثبت‌شده در 11211</x:v>
      </x:c>
      <x:c r="F2657" s="34" t="str">
        <x:v>P3/CLARIFY</x:v>
      </x:c>
      <x:c r="G2657" s="34" t="str">
        <x:v>هدف/موضوع</x:v>
      </x:c>
      <x:c r="H2657" s="39" t="str">
        <x:v>Talent (آدم ها)</x:v>
      </x:c>
      <x:c r="I2657" s="39" t="str">
        <x:v>نیازمند تعریف خروجی یا پارک</x:v>
      </x:c>
      <x:c r="J2657" s="39" t="str">
        <x:v>تحلیلگر راهبری/PMO؛ تبدیل به فرضیه یا اقدام در صورت نیاز</x:v>
      </x:c>
      <x:c r="K2657" s="39" t="str"/>
      <x:c r="L2657" s="39" t="str">
        <x:v>E112:P435</x:v>
      </x:c>
      <x:c r="M2657" s="39" t="str"/>
      <x:c r="N2657" s="39" t="str">
        <x:v>نسخه پایه ۳۱۵۰</x:v>
      </x:c>
    </x:row>
    <x:row r="2658" ht="34" customHeight="1">
      <x:c r="A2658" s="34" t="str">
        <x:v>☐</x:v>
      </x:c>
      <x:c r="B2658" s="34" t="str">
        <x:v>MI-1865</x:v>
      </x:c>
      <x:c r="C2658" s="34" t="str">
        <x:v>M6 — تحلیل‌های خام و ورودی‌های نیازمند پالایش</x:v>
      </x:c>
      <x:c r="D2658" s="34" t="str">
        <x:v>H20</x:v>
      </x:c>
      <x:c r="E2658" s="34" t="str">
        <x:v>یادداشت تحلیلی/راهبری ثبت‌شده در 11211</x:v>
      </x:c>
      <x:c r="F2658" s="34" t="str">
        <x:v>P3/CLARIFY</x:v>
      </x:c>
      <x:c r="G2658" s="34" t="str">
        <x:v>هدف/موضوع</x:v>
      </x:c>
      <x:c r="H2658" s="39" t="str">
        <x:v>Knowledge (دانش)</x:v>
      </x:c>
      <x:c r="I2658" s="39" t="str">
        <x:v>نیازمند تعریف خروجی یا پارک</x:v>
      </x:c>
      <x:c r="J2658" s="39" t="str">
        <x:v>تحلیلگر راهبری/PMO؛ تبدیل به فرضیه یا اقدام در صورت نیاز</x:v>
      </x:c>
      <x:c r="K2658" s="39" t="str"/>
      <x:c r="L2658" s="39" t="str">
        <x:v>E112:P436</x:v>
      </x:c>
      <x:c r="M2658" s="39" t="str"/>
      <x:c r="N2658" s="39" t="str">
        <x:v>نسخه پایه ۳۱۵۰</x:v>
      </x:c>
    </x:row>
    <x:row r="2659" ht="34" customHeight="1">
      <x:c r="A2659" s="34" t="str">
        <x:v>☐</x:v>
      </x:c>
      <x:c r="B2659" s="34" t="str">
        <x:v>MI-1868</x:v>
      </x:c>
      <x:c r="C2659" s="34" t="str">
        <x:v>M6 — تحلیل‌های خام و ورودی‌های نیازمند پالایش</x:v>
      </x:c>
      <x:c r="D2659" s="34" t="str">
        <x:v>H20</x:v>
      </x:c>
      <x:c r="E2659" s="34" t="str">
        <x:v>یادداشت تحلیلی/راهبری ثبت‌شده در 11211</x:v>
      </x:c>
      <x:c r="F2659" s="34" t="str">
        <x:v>P3/CLARIFY</x:v>
      </x:c>
      <x:c r="G2659" s="34" t="str">
        <x:v>هدف/موضوع</x:v>
      </x:c>
      <x:c r="H2659" s="39" t="str">
        <x:v>Attention (توجه)</x:v>
      </x:c>
      <x:c r="I2659" s="39" t="str">
        <x:v>نیازمند تعریف خروجی یا پارک</x:v>
      </x:c>
      <x:c r="J2659" s="39" t="str">
        <x:v>تحلیلگر راهبری/PMO؛ تبدیل به فرضیه یا اقدام در صورت نیاز</x:v>
      </x:c>
      <x:c r="K2659" s="39" t="str"/>
      <x:c r="L2659" s="39" t="str">
        <x:v>E112:P439</x:v>
      </x:c>
      <x:c r="M2659" s="39" t="str"/>
      <x:c r="N2659" s="39" t="str">
        <x:v>نسخه پایه ۳۱۵۰</x:v>
      </x:c>
    </x:row>
    <x:row r="2660" ht="34" customHeight="1">
      <x:c r="A2660" s="34" t="str">
        <x:v>☐</x:v>
      </x:c>
      <x:c r="B2660" s="34" t="str">
        <x:v>MI-1870</x:v>
      </x:c>
      <x:c r="C2660" s="34" t="str">
        <x:v>M6 — تحلیل‌های خام و ورودی‌های نیازمند پالایش</x:v>
      </x:c>
      <x:c r="D2660" s="34" t="str">
        <x:v>H20</x:v>
      </x:c>
      <x:c r="E2660" s="34" t="str">
        <x:v>یادداشت تحلیلی/راهبری ثبت‌شده در 11211</x:v>
      </x:c>
      <x:c r="F2660" s="34" t="str">
        <x:v>P3/CLARIFY</x:v>
      </x:c>
      <x:c r="G2660" s="34" t="str">
        <x:v>هدف/موضوع</x:v>
      </x:c>
      <x:c r="H2660" s="39" t="str">
        <x:v>قدرت واقعی در “اتصال دادن” است، نه داشتن.</x:v>
      </x:c>
      <x:c r="I2660" s="39" t="str">
        <x:v>نیازمند تعریف خروجی یا پارک</x:v>
      </x:c>
      <x:c r="J2660" s="39" t="str">
        <x:v>تحلیلگر راهبری/PMO؛ تبدیل به فرضیه یا اقدام در صورت نیاز</x:v>
      </x:c>
      <x:c r="K2660" s="39" t="str"/>
      <x:c r="L2660" s="39" t="str">
        <x:v>E112:P443</x:v>
      </x:c>
      <x:c r="M2660" s="39" t="str"/>
      <x:c r="N2660" s="39" t="str">
        <x:v>نسخه پایه ۳۱۵۰</x:v>
      </x:c>
    </x:row>
    <x:row r="2661" ht="34" customHeight="1">
      <x:c r="A2661" s="34" t="str">
        <x:v>☐</x:v>
      </x:c>
      <x:c r="B2661" s="34" t="str">
        <x:v>MI-1871</x:v>
      </x:c>
      <x:c r="C2661" s="34" t="str">
        <x:v>M6 — تحلیل‌های خام و ورودی‌های نیازمند پالایش</x:v>
      </x:c>
      <x:c r="D2661" s="34" t="str">
        <x:v>H20</x:v>
      </x:c>
      <x:c r="E2661" s="34" t="str">
        <x:v>یادداشت تحلیلی/راهبری ثبت‌شده در 11211</x:v>
      </x:c>
      <x:c r="F2661" s="34" t="str">
        <x:v>P3/CLARIFY</x:v>
      </x:c>
      <x:c r="G2661" s="34" t="str">
        <x:v>هدف/موضوع</x:v>
      </x:c>
      <x:c r="H2661" s="39" t="str">
        <x:v>کسی که بتواند:</x:v>
      </x:c>
      <x:c r="I2661" s="39" t="str">
        <x:v>نیازمند تعریف خروجی یا پارک</x:v>
      </x:c>
      <x:c r="J2661" s="39" t="str">
        <x:v>تحلیلگر راهبری/PMO؛ تبدیل به فرضیه یا اقدام در صورت نیاز</x:v>
      </x:c>
      <x:c r="K2661" s="39" t="str"/>
      <x:c r="L2661" s="39" t="str">
        <x:v>E112:P445</x:v>
      </x:c>
      <x:c r="M2661" s="39" t="str"/>
      <x:c r="N2661" s="39" t="str">
        <x:v>نسخه پایه ۳۱۵۰</x:v>
      </x:c>
    </x:row>
    <x:row r="2662" ht="34" customHeight="1">
      <x:c r="A2662" s="34" t="str">
        <x:v>☐</x:v>
      </x:c>
      <x:c r="B2662" s="34" t="str">
        <x:v>MI-1872</x:v>
      </x:c>
      <x:c r="C2662" s="34" t="str">
        <x:v>M6 — تحلیل‌های خام و ورودی‌های نیازمند پالایش</x:v>
      </x:c>
      <x:c r="D2662" s="34" t="str">
        <x:v>H20</x:v>
      </x:c>
      <x:c r="E2662" s="34" t="str">
        <x:v>یادداشت تحلیلی/راهبری ثبت‌شده در 11211</x:v>
      </x:c>
      <x:c r="F2662" s="34" t="str">
        <x:v>P3/CLARIFY</x:v>
      </x:c>
      <x:c r="G2662" s="34" t="str">
        <x:v>هدف/موضوع</x:v>
      </x:c>
      <x:c r="H2662" s="39" t="str">
        <x:v>و توجه</x:v>
      </x:c>
      <x:c r="I2662" s="39" t="str">
        <x:v>نیازمند تعریف خروجی یا پارک</x:v>
      </x:c>
      <x:c r="J2662" s="39" t="str">
        <x:v>تحلیلگر راهبری/PMO؛ تبدیل به فرضیه یا اقدام در صورت نیاز</x:v>
      </x:c>
      <x:c r="K2662" s="39" t="str"/>
      <x:c r="L2662" s="39" t="str">
        <x:v>E112:P450</x:v>
      </x:c>
      <x:c r="M2662" s="39" t="str"/>
      <x:c r="N2662" s="39" t="str">
        <x:v>نسخه پایه ۳۱۵۰</x:v>
      </x:c>
    </x:row>
    <x:row r="2663" ht="34" customHeight="1">
      <x:c r="A2663" s="34" t="str">
        <x:v>☐</x:v>
      </x:c>
      <x:c r="B2663" s="34" t="str">
        <x:v>MI-1874</x:v>
      </x:c>
      <x:c r="C2663" s="34" t="str">
        <x:v>M6 — تحلیل‌های خام و ورودی‌های نیازمند پالایش</x:v>
      </x:c>
      <x:c r="D2663" s="34" t="str">
        <x:v>H20</x:v>
      </x:c>
      <x:c r="E2663" s="34" t="str">
        <x:v>یادداشت تحلیلی/راهبری ثبت‌شده در 11211</x:v>
      </x:c>
      <x:c r="F2663" s="34" t="str">
        <x:v>P3/CLARIFY</x:v>
      </x:c>
      <x:c r="G2663" s="34" t="str">
        <x:v>هدف/موضوع</x:v>
      </x:c>
      <x:c r="H2663" s="39" t="str">
        <x:v>اگر بخواهی، در قدم بعدی می توانیم یک چیز خیلی جالب بسازیم:</x:v>
      </x:c>
      <x:c r="I2663" s="39" t="str">
        <x:v>نیازمند تعریف خروجی یا پارک</x:v>
      </x:c>
      <x:c r="J2663" s="39" t="str">
        <x:v>تحلیلگر راهبری/PMO؛ تبدیل به فرضیه یا اقدام در صورت نیاز</x:v>
      </x:c>
      <x:c r="K2663" s="39" t="str"/>
      <x:c r="L2663" s="39" t="str">
        <x:v>E112:P454</x:v>
      </x:c>
      <x:c r="M2663" s="39" t="str"/>
      <x:c r="N2663" s="39" t="str">
        <x:v>نسخه پایه ۳۱۵۰</x:v>
      </x:c>
    </x:row>
    <x:row r="2664" ht="34" customHeight="1">
      <x:c r="A2664" s="34" t="str">
        <x:v>☐</x:v>
      </x:c>
      <x:c r="B2664" s="34" t="str">
        <x:v>MI-1877</x:v>
      </x:c>
      <x:c r="C2664" s="34" t="str">
        <x:v>M6 — تحلیل‌های خام و ورودی‌های نیازمند پالایش</x:v>
      </x:c>
      <x:c r="D2664" s="34" t="str">
        <x:v>H20</x:v>
      </x:c>
      <x:c r="E2664" s="34" t="str">
        <x:v>یادداشت تحلیلی/راهبری ثبت‌شده در 11211</x:v>
      </x:c>
      <x:c r="F2664" s="34" t="str">
        <x:v>P3/CLARIFY</x:v>
      </x:c>
      <x:c r="G2664" s="34" t="str">
        <x:v>هدف/موضوع</x:v>
      </x:c>
      <x:c r="H2664" s="39" t="str">
        <x:v>در آن مشخص می کنیم:</x:v>
      </x:c>
      <x:c r="I2664" s="39" t="str">
        <x:v>نیازمند تعریف خروجی یا پارک</x:v>
      </x:c>
      <x:c r="J2664" s="39" t="str">
        <x:v>تحلیلگر راهبری/PMO؛ تبدیل به فرضیه یا اقدام در صورت نیاز</x:v>
      </x:c>
      <x:c r="K2664" s="39" t="str"/>
      <x:c r="L2664" s="39" t="str">
        <x:v>E112:P460</x:v>
      </x:c>
      <x:c r="M2664" s="39" t="str"/>
      <x:c r="N2664" s="39" t="str">
        <x:v>نسخه پایه ۳۱۵۰</x:v>
      </x:c>
    </x:row>
    <x:row r="2665" ht="34" customHeight="1">
      <x:c r="A2665" s="34" t="str">
        <x:v>☐</x:v>
      </x:c>
      <x:c r="B2665" s="34" t="str">
        <x:v>MI-1878</x:v>
      </x:c>
      <x:c r="C2665" s="34" t="str">
        <x:v>M6 — تحلیل‌های خام و ورودی‌های نیازمند پالایش</x:v>
      </x:c>
      <x:c r="D2665" s="34" t="str">
        <x:v>H20</x:v>
      </x:c>
      <x:c r="E2665" s="34" t="str">
        <x:v>یادداشت تحلیلی/راهبری ثبت‌شده در 11211</x:v>
      </x:c>
      <x:c r="F2665" s="34" t="str">
        <x:v>P3/CLARIFY</x:v>
      </x:c>
      <x:c r="G2665" s="34" t="str">
        <x:v>هدف/موضوع</x:v>
      </x:c>
      <x:c r="H2665" s="39" t="str">
        <x:v>دقیقاً چه گره هایی وجود دارد</x:v>
      </x:c>
      <x:c r="I2665" s="39" t="str">
        <x:v>نیازمند تعریف خروجی یا پارک</x:v>
      </x:c>
      <x:c r="J2665" s="39" t="str">
        <x:v>تحلیلگر راهبری/PMO؛ تبدیل به فرضیه یا اقدام در صورت نیاز</x:v>
      </x:c>
      <x:c r="K2665" s="39" t="str"/>
      <x:c r="L2665" s="39" t="str">
        <x:v>E112:P462</x:v>
      </x:c>
      <x:c r="M2665" s="39" t="str"/>
      <x:c r="N2665" s="39" t="str">
        <x:v>نسخه پایه ۳۱۵۰</x:v>
      </x:c>
    </x:row>
    <x:row r="2666" ht="34" customHeight="1">
      <x:c r="A2666" s="34" t="str">
        <x:v>☐</x:v>
      </x:c>
      <x:c r="B2666" s="34" t="str">
        <x:v>MI-1879</x:v>
      </x:c>
      <x:c r="C2666" s="34" t="str">
        <x:v>M6 — تحلیل‌های خام و ورودی‌های نیازمند پالایش</x:v>
      </x:c>
      <x:c r="D2666" s="34" t="str">
        <x:v>H20</x:v>
      </x:c>
      <x:c r="E2666" s="34" t="str">
        <x:v>یادداشت تحلیلی/راهبری ثبت‌شده در 11211</x:v>
      </x:c>
      <x:c r="F2666" s="34" t="str">
        <x:v>P3/CLARIFY</x:v>
      </x:c>
      <x:c r="G2666" s="34" t="str">
        <x:v>هدف/موضوع</x:v>
      </x:c>
      <x:c r="H2666" s="39" t="str">
        <x:v>کدام ها ارزش بازی دارند</x:v>
      </x:c>
      <x:c r="I2666" s="39" t="str">
        <x:v>نیازمند تعریف خروجی یا پارک</x:v>
      </x:c>
      <x:c r="J2666" s="39" t="str">
        <x:v>تحلیلگر راهبری/PMO؛ تبدیل به فرضیه یا اقدام در صورت نیاز</x:v>
      </x:c>
      <x:c r="K2666" s="39" t="str"/>
      <x:c r="L2666" s="39" t="str">
        <x:v>E112:P463</x:v>
      </x:c>
      <x:c r="M2666" s="39" t="str"/>
      <x:c r="N2666" s="39" t="str">
        <x:v>نسخه پایه ۳۱۵۰</x:v>
      </x:c>
    </x:row>
    <x:row r="2667" ht="34" customHeight="1">
      <x:c r="A2667" s="34" t="str">
        <x:v>☐</x:v>
      </x:c>
      <x:c r="B2667" s="34" t="str">
        <x:v>MI-1880</x:v>
      </x:c>
      <x:c r="C2667" s="34" t="str">
        <x:v>M6 — تحلیل‌های خام و ورودی‌های نیازمند پالایش</x:v>
      </x:c>
      <x:c r="D2667" s="34" t="str">
        <x:v>H20</x:v>
      </x:c>
      <x:c r="E2667" s="34" t="str">
        <x:v>یادداشت تحلیلی/راهبری ثبت‌شده در 11211</x:v>
      </x:c>
      <x:c r="F2667" s="34" t="str">
        <x:v>P3/CLARIFY</x:v>
      </x:c>
      <x:c r="G2667" s="34" t="str">
        <x:v>هدف/موضوع</x:v>
      </x:c>
      <x:c r="H2667" s="39" t="str">
        <x:v>و کدام ها اهرم قدرت هستند.</x:v>
      </x:c>
      <x:c r="I2667" s="39" t="str">
        <x:v>نیازمند تعریف خروجی یا پارک</x:v>
      </x:c>
      <x:c r="J2667" s="39" t="str">
        <x:v>تحلیلگر راهبری/PMO؛ تبدیل به فرضیه یا اقدام در صورت نیاز</x:v>
      </x:c>
      <x:c r="K2667" s="39" t="str"/>
      <x:c r="L2667" s="39" t="str">
        <x:v>E112:P464</x:v>
      </x:c>
      <x:c r="M2667" s="39" t="str"/>
      <x:c r="N2667" s="39" t="str">
        <x:v>نسخه پایه ۳۱۵۰</x:v>
      </x:c>
    </x:row>
    <x:row r="2668" ht="34" customHeight="1">
      <x:c r="A2668" s="34" t="str">
        <x:v>☐</x:v>
      </x:c>
      <x:c r="B2668" s="34" t="str">
        <x:v>MI-1882</x:v>
      </x:c>
      <x:c r="C2668" s="34" t="str">
        <x:v>M6 — تحلیل‌های خام و ورودی‌های نیازمند پالایش</x:v>
      </x:c>
      <x:c r="D2668" s="34" t="str">
        <x:v>H20</x:v>
      </x:c>
      <x:c r="E2668" s="34" t="str">
        <x:v>یادداشت تحلیلی/راهبری ثبت‌شده در 11211</x:v>
      </x:c>
      <x:c r="F2668" s="34" t="str">
        <x:v>P3/CLARIFY</x:v>
      </x:c>
      <x:c r="G2668" s="34" t="str">
        <x:v>هدف/موضوع</x:v>
      </x:c>
      <x:c r="H2668" s="39" t="str">
        <x:v>شروع مازندران</x:v>
      </x:c>
      <x:c r="I2668" s="39" t="str">
        <x:v>نیازمند تعریف خروجی یا پارک</x:v>
      </x:c>
      <x:c r="J2668" s="39" t="str">
        <x:v>تحلیلگر راهبری/PMO؛ تبدیل به فرضیه یا اقدام در صورت نیاز</x:v>
      </x:c>
      <x:c r="K2668" s="39" t="str"/>
      <x:c r="L2668" s="39" t="str">
        <x:v>E112:P467؛ E112:P714</x:v>
      </x:c>
      <x:c r="M2668" s="39" t="str"/>
      <x:c r="N2668" s="39" t="str">
        <x:v>نسخه پایه ۳۱۵۰</x:v>
      </x:c>
    </x:row>
    <x:row r="2669" ht="34" customHeight="1">
      <x:c r="A2669" s="34" t="str">
        <x:v>☐</x:v>
      </x:c>
      <x:c r="B2669" s="34" t="str">
        <x:v>MI-1884</x:v>
      </x:c>
      <x:c r="C2669" s="34" t="str">
        <x:v>M6 — تحلیل‌های خام و ورودی‌های نیازمند پالایش</x:v>
      </x:c>
      <x:c r="D2669" s="34" t="str">
        <x:v>H20</x:v>
      </x:c>
      <x:c r="E2669" s="34" t="str">
        <x:v>یادداشت تحلیلی/راهبری ثبت‌شده در 11211</x:v>
      </x:c>
      <x:c r="F2669" s="34" t="str">
        <x:v>P3/CLARIFY</x:v>
      </x:c>
      <x:c r="G2669" s="34" t="str">
        <x:v>هدف/موضوع</x:v>
      </x:c>
      <x:c r="H2669" s="39" t="str">
        <x:v>سمین های</x:v>
      </x:c>
      <x:c r="I2669" s="39" t="str">
        <x:v>نیازمند تعریف خروجی یا پارک</x:v>
      </x:c>
      <x:c r="J2669" s="39" t="str">
        <x:v>تحلیلگر راهبری/PMO؛ تبدیل به فرضیه یا اقدام در صورت نیاز</x:v>
      </x:c>
      <x:c r="K2669" s="39" t="str"/>
      <x:c r="L2669" s="39" t="str">
        <x:v>E112:P470</x:v>
      </x:c>
      <x:c r="M2669" s="39" t="str"/>
      <x:c r="N2669" s="39" t="str">
        <x:v>نسخه پایه ۳۱۵۰</x:v>
      </x:c>
    </x:row>
    <x:row r="2670" ht="34" customHeight="1">
      <x:c r="A2670" s="34" t="str">
        <x:v>☐</x:v>
      </x:c>
      <x:c r="B2670" s="34" t="str">
        <x:v>MI-1885</x:v>
      </x:c>
      <x:c r="C2670" s="34" t="str">
        <x:v>M6 — تحلیل‌های خام و ورودی‌های نیازمند پالایش</x:v>
      </x:c>
      <x:c r="D2670" s="34" t="str">
        <x:v>H20</x:v>
      </x:c>
      <x:c r="E2670" s="34" t="str">
        <x:v>یادداشت تحلیلی/راهبری ثبت‌شده در 11211</x:v>
      </x:c>
      <x:c r="F2670" s="34" t="str">
        <x:v>P3/CLARIFY</x:v>
      </x:c>
      <x:c r="G2670" s="34" t="str">
        <x:v>هدف/موضوع</x:v>
      </x:c>
      <x:c r="H2670" s="39" t="str">
        <x:v>اشتغال جوانان</x:v>
      </x:c>
      <x:c r="I2670" s="39" t="str">
        <x:v>نیازمند تعریف خروجی یا پارک</x:v>
      </x:c>
      <x:c r="J2670" s="39" t="str">
        <x:v>تحلیلگر راهبری/PMO؛ تبدیل به فرضیه یا اقدام در صورت نیاز</x:v>
      </x:c>
      <x:c r="K2670" s="39" t="str"/>
      <x:c r="L2670" s="39" t="str">
        <x:v>E112:P471</x:v>
      </x:c>
      <x:c r="M2670" s="39" t="str"/>
      <x:c r="N2670" s="39" t="str">
        <x:v>نسخه پایه ۳۱۵۰</x:v>
      </x:c>
    </x:row>
    <x:row r="2671" ht="34" customHeight="1">
      <x:c r="A2671" s="34" t="str">
        <x:v>☐</x:v>
      </x:c>
      <x:c r="B2671" s="34" t="str">
        <x:v>MI-1887</x:v>
      </x:c>
      <x:c r="C2671" s="34" t="str">
        <x:v>M6 — تحلیل‌های خام و ورودی‌های نیازمند پالایش</x:v>
      </x:c>
      <x:c r="D2671" s="34" t="str">
        <x:v>H20</x:v>
      </x:c>
      <x:c r="E2671" s="34" t="str">
        <x:v>یادداشت تحلیلی/راهبری ثبت‌شده در 11211</x:v>
      </x:c>
      <x:c r="F2671" s="34" t="str">
        <x:v>P3/CLARIFY</x:v>
      </x:c>
      <x:c r="G2671" s="34" t="str">
        <x:v>هدف/موضوع</x:v>
      </x:c>
      <x:c r="H2671" s="39" t="str">
        <x:v>دانش آموزی</x:v>
      </x:c>
      <x:c r="I2671" s="39" t="str">
        <x:v>نیازمند تعریف خروجی یا پارک</x:v>
      </x:c>
      <x:c r="J2671" s="39" t="str">
        <x:v>تحلیلگر راهبری/PMO؛ تبدیل به فرضیه یا اقدام در صورت نیاز</x:v>
      </x:c>
      <x:c r="K2671" s="39" t="str"/>
      <x:c r="L2671" s="39" t="str">
        <x:v>E112:P473؛ E112:P709</x:v>
      </x:c>
      <x:c r="M2671" s="39" t="str"/>
      <x:c r="N2671" s="39" t="str">
        <x:v>نسخه پایه ۳۱۵۰</x:v>
      </x:c>
    </x:row>
    <x:row r="2672" ht="34" customHeight="1">
      <x:c r="A2672" s="34" t="str">
        <x:v>☐</x:v>
      </x:c>
      <x:c r="B2672" s="34" t="str">
        <x:v>MI-1890</x:v>
      </x:c>
      <x:c r="C2672" s="34" t="str">
        <x:v>M6 — تحلیل‌های خام و ورودی‌های نیازمند پالایش</x:v>
      </x:c>
      <x:c r="D2672" s="34" t="str">
        <x:v>H20</x:v>
      </x:c>
      <x:c r="E2672" s="34" t="str">
        <x:v>یادداشت تحلیلی/راهبری ثبت‌شده در 11211</x:v>
      </x:c>
      <x:c r="F2672" s="34" t="str">
        <x:v>P3/CLARIFY</x:v>
      </x:c>
      <x:c r="G2672" s="34" t="str">
        <x:v>هدف/موضوع</x:v>
      </x:c>
      <x:c r="H2672" s="39" t="str">
        <x:v>فناوری خصوصی</x:v>
      </x:c>
      <x:c r="I2672" s="39" t="str">
        <x:v>نیازمند تعریف خروجی یا پارک</x:v>
      </x:c>
      <x:c r="J2672" s="39" t="str">
        <x:v>تحلیلگر راهبری/PMO؛ تبدیل به فرضیه یا اقدام در صورت نیاز</x:v>
      </x:c>
      <x:c r="K2672" s="39" t="str"/>
      <x:c r="L2672" s="39" t="str">
        <x:v>E112:P477</x:v>
      </x:c>
      <x:c r="M2672" s="39" t="str"/>
      <x:c r="N2672" s="39" t="str">
        <x:v>نسخه پایه ۳۱۵۰</x:v>
      </x:c>
    </x:row>
    <x:row r="2673" ht="34" customHeight="1">
      <x:c r="A2673" s="34" t="str">
        <x:v>☐</x:v>
      </x:c>
      <x:c r="B2673" s="34" t="str">
        <x:v>MI-1892</x:v>
      </x:c>
      <x:c r="C2673" s="34" t="str">
        <x:v>M6 — تحلیل‌های خام و ورودی‌های نیازمند پالایش</x:v>
      </x:c>
      <x:c r="D2673" s="34" t="str">
        <x:v>H20</x:v>
      </x:c>
      <x:c r="E2673" s="34" t="str">
        <x:v>یادداشت تحلیلی/راهبری ثبت‌شده در 11211</x:v>
      </x:c>
      <x:c r="F2673" s="34" t="str">
        <x:v>P3/CLARIFY</x:v>
      </x:c>
      <x:c r="G2673" s="34" t="str">
        <x:v>هدف/موضوع</x:v>
      </x:c>
      <x:c r="H2673" s="39" t="str">
        <x:v>استان مازندران</x:v>
      </x:c>
      <x:c r="I2673" s="39" t="str">
        <x:v>نیازمند تعریف خروجی یا پارک</x:v>
      </x:c>
      <x:c r="J2673" s="39" t="str">
        <x:v>تحلیلگر راهبری/PMO؛ تبدیل به فرضیه یا اقدام در صورت نیاز</x:v>
      </x:c>
      <x:c r="K2673" s="39" t="str"/>
      <x:c r="L2673" s="39" t="str">
        <x:v>E112:P479</x:v>
      </x:c>
      <x:c r="M2673" s="39" t="str"/>
      <x:c r="N2673" s="39" t="str">
        <x:v>نسخه پایه ۳۱۵۰</x:v>
      </x:c>
    </x:row>
    <x:row r="2674" ht="34" customHeight="1">
      <x:c r="A2674" s="34" t="str">
        <x:v>☐</x:v>
      </x:c>
      <x:c r="B2674" s="34" t="str">
        <x:v>MI-1895</x:v>
      </x:c>
      <x:c r="C2674" s="34" t="str">
        <x:v>M6 — تحلیل‌های خام و ورودی‌های نیازمند پالایش</x:v>
      </x:c>
      <x:c r="D2674" s="34" t="str">
        <x:v>H20</x:v>
      </x:c>
      <x:c r="E2674" s="34" t="str">
        <x:v>یادداشت تحلیلی/راهبری ثبت‌شده در 11211</x:v>
      </x:c>
      <x:c r="F2674" s="34" t="str">
        <x:v>P3/CLARIFY</x:v>
      </x:c>
      <x:c r="G2674" s="34" t="str">
        <x:v>هدف/موضوع</x:v>
      </x:c>
      <x:c r="H2674" s="39" t="str">
        <x:v>این ها رو داشته باش ، ولی پات رو فراتر بزار ، میخوام بیشتر بررسی کنی دسته بندی که کردی خوب بود ولی باید تقویتش کنی، ایتم های خیلی یبشتری باید در این دسته بندی جا بدی</x:v>
      </x:c>
      <x:c r="I2674" s="39" t="str">
        <x:v>نیازمند تعریف خروجی یا پارک</x:v>
      </x:c>
      <x:c r="J2674" s="39" t="str">
        <x:v>تحلیلگر راهبری/PMO؛ تبدیل به فرضیه یا اقدام در صورت نیاز</x:v>
      </x:c>
      <x:c r="K2674" s="39" t="str"/>
      <x:c r="L2674" s="39" t="str">
        <x:v>E112:P483</x:v>
      </x:c>
      <x:c r="M2674" s="39" t="str"/>
      <x:c r="N2674" s="39" t="str">
        <x:v>نسخه پایه ۳۱۵۰</x:v>
      </x:c>
    </x:row>
    <x:row r="2675" ht="34" customHeight="1">
      <x:c r="A2675" s="34" t="str">
        <x:v>☐</x:v>
      </x:c>
      <x:c r="B2675" s="34" t="str">
        <x:v>MI-1899</x:v>
      </x:c>
      <x:c r="C2675" s="34" t="str">
        <x:v>M6 — تحلیل‌های خام و ورودی‌های نیازمند پالایش</x:v>
      </x:c>
      <x:c r="D2675" s="34" t="str">
        <x:v>H20</x:v>
      </x:c>
      <x:c r="E2675" s="34" t="str">
        <x:v>یادداشت تحلیلی/راهبری ثبت‌شده در 11211</x:v>
      </x:c>
      <x:c r="F2675" s="34" t="str">
        <x:v>P3/CLARIFY</x:v>
      </x:c>
      <x:c r="G2675" s="34" t="str">
        <x:v>هدف/موضوع</x:v>
      </x:c>
      <x:c r="H2675" s="39" t="str">
        <x:v>جایی که نیروی انسانی شکل می گیرد.</x:v>
      </x:c>
      <x:c r="I2675" s="39" t="str">
        <x:v>نیازمند تعریف خروجی یا پارک</x:v>
      </x:c>
      <x:c r="J2675" s="39" t="str">
        <x:v>تحلیلگر راهبری/PMO؛ تبدیل به فرضیه یا اقدام در صورت نیاز</x:v>
      </x:c>
      <x:c r="K2675" s="39" t="str"/>
      <x:c r="L2675" s="39" t="str">
        <x:v>E112:P490</x:v>
      </x:c>
      <x:c r="M2675" s="39" t="str"/>
      <x:c r="N2675" s="39" t="str">
        <x:v>نسخه پایه ۳۱۵۰</x:v>
      </x:c>
    </x:row>
    <x:row r="2676" ht="34" customHeight="1">
      <x:c r="A2676" s="34" t="str">
        <x:v>☐</x:v>
      </x:c>
      <x:c r="B2676" s="34" t="str">
        <x:v>MI-1901</x:v>
      </x:c>
      <x:c r="C2676" s="34" t="str">
        <x:v>M6 — تحلیل‌های خام و ورودی‌های نیازمند پالایش</x:v>
      </x:c>
      <x:c r="D2676" s="34" t="str">
        <x:v>H20</x:v>
      </x:c>
      <x:c r="E2676" s="34" t="str">
        <x:v>یادداشت تحلیلی/راهبری ثبت‌شده در 11211</x:v>
      </x:c>
      <x:c r="F2676" s="34" t="str">
        <x:v>P3/CLARIFY</x:v>
      </x:c>
      <x:c r="G2676" s="34" t="str">
        <x:v>هدف/موضوع</x:v>
      </x:c>
      <x:c r="H2676" s="39" t="str">
        <x:v>مدارس</x:v>
      </x:c>
      <x:c r="I2676" s="39" t="str">
        <x:v>نیازمند تعریف خروجی یا پارک</x:v>
      </x:c>
      <x:c r="J2676" s="39" t="str">
        <x:v>تحلیلگر راهبری/PMO؛ تبدیل به فرضیه یا اقدام در صورت نیاز</x:v>
      </x:c>
      <x:c r="K2676" s="39" t="str"/>
      <x:c r="L2676" s="39" t="str">
        <x:v>E112:P493؛ E112:P905؛ E112:P1181؛ E112:P2936؛ E112:P3324؛ E112:P3555</x:v>
      </x:c>
      <x:c r="M2676" s="39" t="str"/>
      <x:c r="N2676" s="39" t="str">
        <x:v>نسخه پایه ۳۱۵۰</x:v>
      </x:c>
    </x:row>
    <x:row r="2677" ht="34" customHeight="1">
      <x:c r="A2677" s="34" t="str">
        <x:v>☐</x:v>
      </x:c>
      <x:c r="B2677" s="34" t="str">
        <x:v>MI-1902</x:v>
      </x:c>
      <x:c r="C2677" s="34" t="str">
        <x:v>M6 — تحلیل‌های خام و ورودی‌های نیازمند پالایش</x:v>
      </x:c>
      <x:c r="D2677" s="34" t="str">
        <x:v>H20</x:v>
      </x:c>
      <x:c r="E2677" s="34" t="str">
        <x:v>یادداشت تحلیلی/راهبری ثبت‌شده در 11211</x:v>
      </x:c>
      <x:c r="F2677" s="34" t="str">
        <x:v>P3/CLARIFY</x:v>
      </x:c>
      <x:c r="G2677" s="34" t="str">
        <x:v>هدف/موضوع</x:v>
      </x:c>
      <x:c r="H2677" s="39" t="str">
        <x:v>مدارس تیزهوشان</x:v>
      </x:c>
      <x:c r="I2677" s="39" t="str">
        <x:v>نیازمند تعریف خروجی یا پارک</x:v>
      </x:c>
      <x:c r="J2677" s="39" t="str">
        <x:v>تحلیلگر راهبری/PMO؛ تبدیل به فرضیه یا اقدام در صورت نیاز</x:v>
      </x:c>
      <x:c r="K2677" s="39" t="str"/>
      <x:c r="L2677" s="39" t="str">
        <x:v>E112:P494</x:v>
      </x:c>
      <x:c r="M2677" s="39" t="str"/>
      <x:c r="N2677" s="39" t="str">
        <x:v>نسخه پایه ۳۱۵۰</x:v>
      </x:c>
    </x:row>
    <x:row r="2678" ht="34" customHeight="1">
      <x:c r="A2678" s="34" t="str">
        <x:v>☐</x:v>
      </x:c>
      <x:c r="B2678" s="34" t="str">
        <x:v>MI-1904</x:v>
      </x:c>
      <x:c r="C2678" s="34" t="str">
        <x:v>M6 — تحلیل‌های خام و ورودی‌های نیازمند پالایش</x:v>
      </x:c>
      <x:c r="D2678" s="34" t="str">
        <x:v>H20</x:v>
      </x:c>
      <x:c r="E2678" s="34" t="str">
        <x:v>یادداشت تحلیلی/راهبری ثبت‌شده در 11211</x:v>
      </x:c>
      <x:c r="F2678" s="34" t="str">
        <x:v>P3/CLARIFY</x:v>
      </x:c>
      <x:c r="G2678" s="34" t="str">
        <x:v>هدف/موضوع</x:v>
      </x:c>
      <x:c r="H2678" s="39" t="str">
        <x:v>هنرستان ها</x:v>
      </x:c>
      <x:c r="I2678" s="39" t="str">
        <x:v>نیازمند تعریف خروجی یا پارک</x:v>
      </x:c>
      <x:c r="J2678" s="39" t="str">
        <x:v>تحلیلگر راهبری/PMO؛ تبدیل به فرضیه یا اقدام در صورت نیاز</x:v>
      </x:c>
      <x:c r="K2678" s="39" t="str"/>
      <x:c r="L2678" s="39" t="str">
        <x:v>E112:P496؛ E112:P904؛ E112:P1180؛ E112:P2937؛ E112:P3325</x:v>
      </x:c>
      <x:c r="M2678" s="39" t="str"/>
      <x:c r="N2678" s="39" t="str">
        <x:v>نسخه پایه ۳۱۵۰</x:v>
      </x:c>
    </x:row>
    <x:row r="2679" ht="34" customHeight="1">
      <x:c r="A2679" s="34" t="str">
        <x:v>☐</x:v>
      </x:c>
      <x:c r="B2679" s="34" t="str">
        <x:v>MI-1910</x:v>
      </x:c>
      <x:c r="C2679" s="34" t="str">
        <x:v>M6 — تحلیل‌های خام و ورودی‌های نیازمند پالایش</x:v>
      </x:c>
      <x:c r="D2679" s="34" t="str">
        <x:v>H20</x:v>
      </x:c>
      <x:c r="E2679" s="34" t="str">
        <x:v>یادداشت تحلیلی/راهبری ثبت‌شده در 11211</x:v>
      </x:c>
      <x:c r="F2679" s="34" t="str">
        <x:v>P3/CLARIFY</x:v>
      </x:c>
      <x:c r="G2679" s="34" t="str">
        <x:v>هدف/موضوع</x:v>
      </x:c>
      <x:c r="H2679" s="39" t="str">
        <x:v>مدارس غیرانتفاعی نخبه پرور</x:v>
      </x:c>
      <x:c r="I2679" s="39" t="str">
        <x:v>نیازمند تعریف خروجی یا پارک</x:v>
      </x:c>
      <x:c r="J2679" s="39" t="str">
        <x:v>تحلیلگر راهبری/PMO؛ تبدیل به فرضیه یا اقدام در صورت نیاز</x:v>
      </x:c>
      <x:c r="K2679" s="39" t="str"/>
      <x:c r="L2679" s="39" t="str">
        <x:v>E112:P503</x:v>
      </x:c>
      <x:c r="M2679" s="39" t="str"/>
      <x:c r="N2679" s="39" t="str">
        <x:v>نسخه پایه ۳۱۵۰</x:v>
      </x:c>
    </x:row>
    <x:row r="2680" ht="34" customHeight="1">
      <x:c r="A2680" s="34" t="str">
        <x:v>☐</x:v>
      </x:c>
      <x:c r="B2680" s="34" t="str">
        <x:v>MI-1914</x:v>
      </x:c>
      <x:c r="C2680" s="34" t="str">
        <x:v>M6 — تحلیل‌های خام و ورودی‌های نیازمند پالایش</x:v>
      </x:c>
      <x:c r="D2680" s="34" t="str">
        <x:v>H20</x:v>
      </x:c>
      <x:c r="E2680" s="34" t="str">
        <x:v>یادداشت تحلیلی/راهبری ثبت‌شده در 11211</x:v>
      </x:c>
      <x:c r="F2680" s="34" t="str">
        <x:v>P3/CLARIFY</x:v>
      </x:c>
      <x:c r="G2680" s="34" t="str">
        <x:v>هدف/موضوع</x:v>
      </x:c>
      <x:c r="H2680" s="39" t="str">
        <x:v>مدارس کارآفرینی</x:v>
      </x:c>
      <x:c r="I2680" s="39" t="str">
        <x:v>نیازمند تعریف خروجی یا پارک</x:v>
      </x:c>
      <x:c r="J2680" s="39" t="str">
        <x:v>تحلیلگر راهبری/PMO؛ تبدیل به فرضیه یا اقدام در صورت نیاز</x:v>
      </x:c>
      <x:c r="K2680" s="39" t="str"/>
      <x:c r="L2680" s="39" t="str">
        <x:v>E112:P512</x:v>
      </x:c>
      <x:c r="M2680" s="39" t="str"/>
      <x:c r="N2680" s="39" t="str">
        <x:v>نسخه پایه ۳۱۵۰</x:v>
      </x:c>
    </x:row>
    <x:row r="2681" ht="34" customHeight="1">
      <x:c r="A2681" s="34" t="str">
        <x:v>☐</x:v>
      </x:c>
      <x:c r="B2681" s="34" t="str">
        <x:v>MI-1926</x:v>
      </x:c>
      <x:c r="C2681" s="34" t="str">
        <x:v>M6 — تحلیل‌های خام و ورودی‌های نیازمند پالایش</x:v>
      </x:c>
      <x:c r="D2681" s="34" t="str">
        <x:v>H20</x:v>
      </x:c>
      <x:c r="E2681" s="34" t="str">
        <x:v>یادداشت تحلیلی/راهبری ثبت‌شده در 11211</x:v>
      </x:c>
      <x:c r="F2681" s="34" t="str">
        <x:v>P3/CLARIFY</x:v>
      </x:c>
      <x:c r="G2681" s="34" t="str">
        <x:v>هدف/موضوع</x:v>
      </x:c>
      <x:c r="H2681" s="39" t="str">
        <x:v>2. نهادهای نوآوری و فناوری</x:v>
      </x:c>
      <x:c r="I2681" s="39" t="str">
        <x:v>نیازمند تعریف خروجی یا پارک</x:v>
      </x:c>
      <x:c r="J2681" s="39" t="str">
        <x:v>تحلیلگر راهبری/PMO؛ تبدیل به فرضیه یا اقدام در صورت نیاز</x:v>
      </x:c>
      <x:c r="K2681" s="39" t="str"/>
      <x:c r="L2681" s="39" t="str">
        <x:v>E112:P527</x:v>
      </x:c>
      <x:c r="M2681" s="39" t="str"/>
      <x:c r="N2681" s="39" t="str">
        <x:v>نسخه پایه ۳۱۵۰</x:v>
      </x:c>
    </x:row>
    <x:row r="2682" ht="34" customHeight="1">
      <x:c r="A2682" s="34" t="str">
        <x:v>☐</x:v>
      </x:c>
      <x:c r="B2682" s="34" t="str">
        <x:v>MI-1927</x:v>
      </x:c>
      <x:c r="C2682" s="34" t="str">
        <x:v>M6 — تحلیل‌های خام و ورودی‌های نیازمند پالایش</x:v>
      </x:c>
      <x:c r="D2682" s="34" t="str">
        <x:v>H20</x:v>
      </x:c>
      <x:c r="E2682" s="34" t="str">
        <x:v>یادداشت تحلیلی/راهبری ثبت‌شده در 11211</x:v>
      </x:c>
      <x:c r="F2682" s="34" t="str">
        <x:v>P3/CLARIFY</x:v>
      </x:c>
      <x:c r="G2682" s="34" t="str">
        <x:v>هدف/موضوع</x:v>
      </x:c>
      <x:c r="H2682" s="39" t="str">
        <x:v>اینجا همان بخش هایی است که خودت هم اشاره کردی.</x:v>
      </x:c>
      <x:c r="I2682" s="39" t="str">
        <x:v>نیازمند تعریف خروجی یا پارک</x:v>
      </x:c>
      <x:c r="J2682" s="39" t="str">
        <x:v>تحلیلگر راهبری/PMO؛ تبدیل به فرضیه یا اقدام در صورت نیاز</x:v>
      </x:c>
      <x:c r="K2682" s="39" t="str"/>
      <x:c r="L2682" s="39" t="str">
        <x:v>E112:P529</x:v>
      </x:c>
      <x:c r="M2682" s="39" t="str"/>
      <x:c r="N2682" s="39" t="str">
        <x:v>نسخه پایه ۳۱۵۰</x:v>
      </x:c>
    </x:row>
    <x:row r="2683" ht="34" customHeight="1">
      <x:c r="A2683" s="34" t="str">
        <x:v>☐</x:v>
      </x:c>
      <x:c r="B2683" s="34" t="str">
        <x:v>MI-1928</x:v>
      </x:c>
      <x:c r="C2683" s="34" t="str">
        <x:v>M6 — تحلیل‌های خام و ورودی‌های نیازمند پالایش</x:v>
      </x:c>
      <x:c r="D2683" s="34" t="str">
        <x:v>H20</x:v>
      </x:c>
      <x:c r="E2683" s="34" t="str">
        <x:v>یادداشت تحلیلی/راهبری ثبت‌شده در 11211</x:v>
      </x:c>
      <x:c r="F2683" s="34" t="str">
        <x:v>P3/CLARIFY</x:v>
      </x:c>
      <x:c r="G2683" s="34" t="str">
        <x:v>هدف/موضوع</x:v>
      </x:c>
      <x:c r="H2683" s="39" t="str">
        <x:v>هسته های نوآوری</x:v>
      </x:c>
      <x:c r="I2683" s="39" t="str">
        <x:v>نیازمند تعریف خروجی یا پارک</x:v>
      </x:c>
      <x:c r="J2683" s="39" t="str">
        <x:v>تحلیلگر راهبری/PMO؛ تبدیل به فرضیه یا اقدام در صورت نیاز</x:v>
      </x:c>
      <x:c r="K2683" s="39" t="str"/>
      <x:c r="L2683" s="39" t="str">
        <x:v>E112:P530</x:v>
      </x:c>
      <x:c r="M2683" s="39" t="str"/>
      <x:c r="N2683" s="39" t="str">
        <x:v>نسخه پایه ۳۱۵۰</x:v>
      </x:c>
    </x:row>
    <x:row r="2684" ht="34" customHeight="1">
      <x:c r="A2684" s="34" t="str">
        <x:v>☐</x:v>
      </x:c>
      <x:c r="B2684" s="34" t="str">
        <x:v>MI-1931</x:v>
      </x:c>
      <x:c r="C2684" s="34" t="str">
        <x:v>M6 — تحلیل‌های خام و ورودی‌های نیازمند پالایش</x:v>
      </x:c>
      <x:c r="D2684" s="34" t="str">
        <x:v>H20</x:v>
      </x:c>
      <x:c r="E2684" s="34" t="str">
        <x:v>یادداشت تحلیلی/راهبری ثبت‌شده در 11211</x:v>
      </x:c>
      <x:c r="F2684" s="34" t="str">
        <x:v>P3/CLARIFY</x:v>
      </x:c>
      <x:c r="G2684" s="34" t="str">
        <x:v>هدف/موضوع</x:v>
      </x:c>
      <x:c r="H2684" s="39" t="str">
        <x:v>هاب های نوآوری</x:v>
      </x:c>
      <x:c r="I2684" s="39" t="str">
        <x:v>نیازمند تعریف خروجی یا پارک</x:v>
      </x:c>
      <x:c r="J2684" s="39" t="str">
        <x:v>تحلیلگر راهبری/PMO؛ تبدیل به فرضیه یا اقدام در صورت نیاز</x:v>
      </x:c>
      <x:c r="K2684" s="39" t="str"/>
      <x:c r="L2684" s="39" t="str">
        <x:v>E112:P537؛ E112:P2029</x:v>
      </x:c>
      <x:c r="M2684" s="39" t="str"/>
      <x:c r="N2684" s="39" t="str">
        <x:v>نسخه پایه ۳۱۵۰</x:v>
      </x:c>
    </x:row>
    <x:row r="2685" ht="34" customHeight="1">
      <x:c r="A2685" s="34" t="str">
        <x:v>☐</x:v>
      </x:c>
      <x:c r="B2685" s="34" t="str">
        <x:v>MI-1932</x:v>
      </x:c>
      <x:c r="C2685" s="34" t="str">
        <x:v>M6 — تحلیل‌های خام و ورودی‌های نیازمند پالایش</x:v>
      </x:c>
      <x:c r="D2685" s="34" t="str">
        <x:v>H20</x:v>
      </x:c>
      <x:c r="E2685" s="34" t="str">
        <x:v>یادداشت تحلیلی/راهبری ثبت‌شده در 11211</x:v>
      </x:c>
      <x:c r="F2685" s="34" t="str">
        <x:v>P3/CLARIFY</x:v>
      </x:c>
      <x:c r="G2685" s="34" t="str">
        <x:v>هدف/موضوع</x:v>
      </x:c>
      <x:c r="H2685" s="39" t="str">
        <x:v>لابراتوار نوآوری</x:v>
      </x:c>
      <x:c r="I2685" s="39" t="str">
        <x:v>نیازمند تعریف خروجی یا پارک</x:v>
      </x:c>
      <x:c r="J2685" s="39" t="str">
        <x:v>تحلیلگر راهبری/PMO؛ تبدیل به فرضیه یا اقدام در صورت نیاز</x:v>
      </x:c>
      <x:c r="K2685" s="39" t="str"/>
      <x:c r="L2685" s="39" t="str">
        <x:v>E112:P538</x:v>
      </x:c>
      <x:c r="M2685" s="39" t="str"/>
      <x:c r="N2685" s="39" t="str">
        <x:v>نسخه پایه ۳۱۵۰</x:v>
      </x:c>
    </x:row>
    <x:row r="2686" ht="34" customHeight="1">
      <x:c r="A2686" s="34" t="str">
        <x:v>☐</x:v>
      </x:c>
      <x:c r="B2686" s="34" t="str">
        <x:v>MI-1934</x:v>
      </x:c>
      <x:c r="C2686" s="34" t="str">
        <x:v>M6 — تحلیل‌های خام و ورودی‌های نیازمند پالایش</x:v>
      </x:c>
      <x:c r="D2686" s="34" t="str">
        <x:v>H20</x:v>
      </x:c>
      <x:c r="E2686" s="34" t="str">
        <x:v>یادداشت تحلیلی/راهبری ثبت‌شده در 11211</x:v>
      </x:c>
      <x:c r="F2686" s="34" t="str">
        <x:v>P3/CLARIFY</x:v>
      </x:c>
      <x:c r="G2686" s="34" t="str">
        <x:v>هدف/موضوع</x:v>
      </x:c>
      <x:c r="H2686" s="39" t="str">
        <x:v>پارک های علم و فناوری</x:v>
      </x:c>
      <x:c r="I2686" s="39" t="str">
        <x:v>نیازمند تعریف خروجی یا پارک</x:v>
      </x:c>
      <x:c r="J2686" s="39" t="str">
        <x:v>تحلیلگر راهبری/PMO؛ تبدیل به فرضیه یا اقدام در صورت نیاز</x:v>
      </x:c>
      <x:c r="K2686" s="39" t="str"/>
      <x:c r="L2686" s="39" t="str">
        <x:v>E112:P542؛ E112:P693؛ E112:P782؛ E112:P818؛ E112:P1038؛ E112:P2121؛ E112:P2480؛ E112:P2777؛ E112:P3097؛ E112:P3451؛ E112:P3589</x:v>
      </x:c>
      <x:c r="M2686" s="39" t="str"/>
      <x:c r="N2686" s="39" t="str">
        <x:v>نسخه پایه ۳۱۵۰</x:v>
      </x:c>
    </x:row>
    <x:row r="2687" ht="34" customHeight="1">
      <x:c r="A2687" s="34" t="str">
        <x:v>☐</x:v>
      </x:c>
      <x:c r="B2687" s="34" t="str">
        <x:v>MI-1938</x:v>
      </x:c>
      <x:c r="C2687" s="34" t="str">
        <x:v>M6 — تحلیل‌های خام و ورودی‌های نیازمند پالایش</x:v>
      </x:c>
      <x:c r="D2687" s="34" t="str">
        <x:v>H20</x:v>
      </x:c>
      <x:c r="E2687" s="34" t="str">
        <x:v>یادداشت تحلیلی/راهبری ثبت‌شده در 11211</x:v>
      </x:c>
      <x:c r="F2687" s="34" t="str">
        <x:v>P3/CLARIFY</x:v>
      </x:c>
      <x:c r="G2687" s="34" t="str">
        <x:v>هدف/موضوع</x:v>
      </x:c>
      <x:c r="H2687" s="39" t="str">
        <x:v>صندوق نوآوری</x:v>
      </x:c>
      <x:c r="I2687" s="39" t="str">
        <x:v>نیازمند تعریف خروجی یا پارک</x:v>
      </x:c>
      <x:c r="J2687" s="39" t="str">
        <x:v>تحلیلگر راهبری/PMO؛ تبدیل به فرضیه یا اقدام در صورت نیاز</x:v>
      </x:c>
      <x:c r="K2687" s="39" t="str"/>
      <x:c r="L2687" s="39" t="str">
        <x:v>E112:P547؛ E112:P1106</x:v>
      </x:c>
      <x:c r="M2687" s="39" t="str"/>
      <x:c r="N2687" s="39" t="str">
        <x:v>نسخه پایه ۳۱۵۰</x:v>
      </x:c>
    </x:row>
    <x:row r="2688" ht="34" customHeight="1">
      <x:c r="A2688" s="34" t="str">
        <x:v>☐</x:v>
      </x:c>
      <x:c r="B2688" s="34" t="str">
        <x:v>MI-1954</x:v>
      </x:c>
      <x:c r="C2688" s="34" t="str">
        <x:v>M6 — تحلیل‌های خام و ورودی‌های نیازمند پالایش</x:v>
      </x:c>
      <x:c r="D2688" s="34" t="str">
        <x:v>H20</x:v>
      </x:c>
      <x:c r="E2688" s="34" t="str">
        <x:v>یادداشت تحلیلی/راهبری ثبت‌شده در 11211</x:v>
      </x:c>
      <x:c r="F2688" s="34" t="str">
        <x:v>P3/CLARIFY</x:v>
      </x:c>
      <x:c r="G2688" s="34" t="str">
        <x:v>هدف/موضوع</x:v>
      </x:c>
      <x:c r="H2688" s="39" t="str">
        <x:v>دیسکورد تخصصی</x:v>
      </x:c>
      <x:c r="I2688" s="39" t="str">
        <x:v>نیازمند تعریف خروجی یا پارک</x:v>
      </x:c>
      <x:c r="J2688" s="39" t="str">
        <x:v>تحلیلگر راهبری/PMO؛ تبدیل به فرضیه یا اقدام در صورت نیاز</x:v>
      </x:c>
      <x:c r="K2688" s="39" t="str"/>
      <x:c r="L2688" s="39" t="str">
        <x:v>E112:P572</x:v>
      </x:c>
      <x:c r="M2688" s="39" t="str"/>
      <x:c r="N2688" s="39" t="str">
        <x:v>نسخه پایه ۳۱۵۰</x:v>
      </x:c>
    </x:row>
    <x:row r="2689" ht="34" customHeight="1">
      <x:c r="A2689" s="34" t="str">
        <x:v>☐</x:v>
      </x:c>
      <x:c r="B2689" s="34" t="str">
        <x:v>MI-1955</x:v>
      </x:c>
      <x:c r="C2689" s="34" t="str">
        <x:v>M6 — تحلیل‌های خام و ورودی‌های نیازمند پالایش</x:v>
      </x:c>
      <x:c r="D2689" s="34" t="str">
        <x:v>H20</x:v>
      </x:c>
      <x:c r="E2689" s="34" t="str">
        <x:v>یادداشت تحلیلی/راهبری ثبت‌شده در 11211</x:v>
      </x:c>
      <x:c r="F2689" s="34" t="str">
        <x:v>P3/CLARIFY</x:v>
      </x:c>
      <x:c r="G2689" s="34" t="str">
        <x:v>هدف/موضوع</x:v>
      </x:c>
      <x:c r="H2689" s="39" t="str">
        <x:v>گروه های تلگرام</x:v>
      </x:c>
      <x:c r="I2689" s="39" t="str">
        <x:v>نیازمند تعریف خروجی یا پارک</x:v>
      </x:c>
      <x:c r="J2689" s="39" t="str">
        <x:v>تحلیلگر راهبری/PMO؛ تبدیل به فرضیه یا اقدام در صورت نیاز</x:v>
      </x:c>
      <x:c r="K2689" s="39" t="str"/>
      <x:c r="L2689" s="39" t="str">
        <x:v>E112:P573</x:v>
      </x:c>
      <x:c r="M2689" s="39" t="str"/>
      <x:c r="N2689" s="39" t="str">
        <x:v>نسخه پایه ۳۱۵۰</x:v>
      </x:c>
    </x:row>
    <x:row r="2690" ht="34" customHeight="1">
      <x:c r="A2690" s="34" t="str">
        <x:v>☐</x:v>
      </x:c>
      <x:c r="B2690" s="34" t="str">
        <x:v>MI-1956</x:v>
      </x:c>
      <x:c r="C2690" s="34" t="str">
        <x:v>M6 — تحلیل‌های خام و ورودی‌های نیازمند پالایش</x:v>
      </x:c>
      <x:c r="D2690" s="34" t="str">
        <x:v>H20</x:v>
      </x:c>
      <x:c r="E2690" s="34" t="str">
        <x:v>یادداشت تحلیلی/راهبری ثبت‌شده در 11211</x:v>
      </x:c>
      <x:c r="F2690" s="34" t="str">
        <x:v>P3/CLARIFY</x:v>
      </x:c>
      <x:c r="G2690" s="34" t="str">
        <x:v>هدف/موضوع</x:v>
      </x:c>
      <x:c r="H2690" s="39" t="str">
        <x:v>کامیونیتی های ردیت</x:v>
      </x:c>
      <x:c r="I2690" s="39" t="str">
        <x:v>نیازمند تعریف خروجی یا پارک</x:v>
      </x:c>
      <x:c r="J2690" s="39" t="str">
        <x:v>تحلیلگر راهبری/PMO؛ تبدیل به فرضیه یا اقدام در صورت نیاز</x:v>
      </x:c>
      <x:c r="K2690" s="39" t="str"/>
      <x:c r="L2690" s="39" t="str">
        <x:v>E112:P574</x:v>
      </x:c>
      <x:c r="M2690" s="39" t="str"/>
      <x:c r="N2690" s="39" t="str">
        <x:v>نسخه پایه ۳۱۵۰</x:v>
      </x:c>
    </x:row>
    <x:row r="2691" ht="34" customHeight="1">
      <x:c r="A2691" s="34" t="str">
        <x:v>☐</x:v>
      </x:c>
      <x:c r="B2691" s="34" t="str">
        <x:v>MI-1957</x:v>
      </x:c>
      <x:c r="C2691" s="34" t="str">
        <x:v>M6 — تحلیل‌های خام و ورودی‌های نیازمند پالایش</x:v>
      </x:c>
      <x:c r="D2691" s="34" t="str">
        <x:v>H20</x:v>
      </x:c>
      <x:c r="E2691" s="34" t="str">
        <x:v>یادداشت تحلیلی/راهبری ثبت‌شده در 11211</x:v>
      </x:c>
      <x:c r="F2691" s="34" t="str">
        <x:v>P3/CLARIFY</x:v>
      </x:c>
      <x:c r="G2691" s="34" t="str">
        <x:v>هدف/موضوع</x:v>
      </x:c>
      <x:c r="H2691" s="39" t="str">
        <x:v>انجمن های آنلاین</x:v>
      </x:c>
      <x:c r="I2691" s="39" t="str">
        <x:v>نیازمند تعریف خروجی یا پارک</x:v>
      </x:c>
      <x:c r="J2691" s="39" t="str">
        <x:v>تحلیلگر راهبری/PMO؛ تبدیل به فرضیه یا اقدام در صورت نیاز</x:v>
      </x:c>
      <x:c r="K2691" s="39" t="str"/>
      <x:c r="L2691" s="39" t="str">
        <x:v>E112:P575</x:v>
      </x:c>
      <x:c r="M2691" s="39" t="str"/>
      <x:c r="N2691" s="39" t="str">
        <x:v>نسخه پایه ۳۱۵۰</x:v>
      </x:c>
    </x:row>
    <x:row r="2692" ht="34" customHeight="1">
      <x:c r="A2692" s="34" t="str">
        <x:v>☐</x:v>
      </x:c>
      <x:c r="B2692" s="34" t="str">
        <x:v>MI-1959</x:v>
      </x:c>
      <x:c r="C2692" s="34" t="str">
        <x:v>M6 — تحلیل‌های خام و ورودی‌های نیازمند پالایش</x:v>
      </x:c>
      <x:c r="D2692" s="34" t="str">
        <x:v>H20</x:v>
      </x:c>
      <x:c r="E2692" s="34" t="str">
        <x:v>یادداشت تحلیلی/راهبری ثبت‌شده در 11211</x:v>
      </x:c>
      <x:c r="F2692" s="34" t="str">
        <x:v>P3/CLARIFY</x:v>
      </x:c>
      <x:c r="G2692" s="34" t="str">
        <x:v>هدف/موضوع</x:v>
      </x:c>
      <x:c r="H2692" s="39" t="str">
        <x:v>حلقه های دوستانه متخصصان</x:v>
      </x:c>
      <x:c r="I2692" s="39" t="str">
        <x:v>نیازمند تعریف خروجی یا پارک</x:v>
      </x:c>
      <x:c r="J2692" s="39" t="str">
        <x:v>تحلیلگر راهبری/PMO؛ تبدیل به فرضیه یا اقدام در صورت نیاز</x:v>
      </x:c>
      <x:c r="K2692" s="39" t="str"/>
      <x:c r="L2692" s="39" t="str">
        <x:v>E112:P579</x:v>
      </x:c>
      <x:c r="M2692" s="39" t="str"/>
      <x:c r="N2692" s="39" t="str">
        <x:v>نسخه پایه ۳۱۵۰</x:v>
      </x:c>
    </x:row>
    <x:row r="2693" ht="34" customHeight="1">
      <x:c r="A2693" s="34" t="str">
        <x:v>☐</x:v>
      </x:c>
      <x:c r="B2693" s="34" t="str">
        <x:v>MI-1960</x:v>
      </x:c>
      <x:c r="C2693" s="34" t="str">
        <x:v>M6 — تحلیل‌های خام و ورودی‌های نیازمند پالایش</x:v>
      </x:c>
      <x:c r="D2693" s="34" t="str">
        <x:v>H20</x:v>
      </x:c>
      <x:c r="E2693" s="34" t="str">
        <x:v>یادداشت تحلیلی/راهبری ثبت‌شده در 11211</x:v>
      </x:c>
      <x:c r="F2693" s="34" t="str">
        <x:v>P3/CLARIFY</x:v>
      </x:c>
      <x:c r="G2693" s="34" t="str">
        <x:v>هدف/موضوع</x:v>
      </x:c>
      <x:c r="H2693" s="39" t="str">
        <x:v>انجمن های محلی</x:v>
      </x:c>
      <x:c r="I2693" s="39" t="str">
        <x:v>نیازمند تعریف خروجی یا پارک</x:v>
      </x:c>
      <x:c r="J2693" s="39" t="str">
        <x:v>تحلیلگر راهبری/PMO؛ تبدیل به فرضیه یا اقدام در صورت نیاز</x:v>
      </x:c>
      <x:c r="K2693" s="39" t="str"/>
      <x:c r="L2693" s="39" t="str">
        <x:v>E112:P580</x:v>
      </x:c>
      <x:c r="M2693" s="39" t="str"/>
      <x:c r="N2693" s="39" t="str">
        <x:v>نسخه پایه ۳۱۵۰</x:v>
      </x:c>
    </x:row>
    <x:row r="2694" ht="34" customHeight="1">
      <x:c r="A2694" s="34" t="str">
        <x:v>☐</x:v>
      </x:c>
      <x:c r="B2694" s="34" t="str">
        <x:v>MI-1971</x:v>
      </x:c>
      <x:c r="C2694" s="34" t="str">
        <x:v>M6 — تحلیل‌های خام و ورودی‌های نیازمند پالایش</x:v>
      </x:c>
      <x:c r="D2694" s="34" t="str">
        <x:v>H20</x:v>
      </x:c>
      <x:c r="E2694" s="34" t="str">
        <x:v>یادداشت تحلیلی/راهبری ثبت‌شده در 11211</x:v>
      </x:c>
      <x:c r="F2694" s="34" t="str">
        <x:v>P3/CLARIFY</x:v>
      </x:c>
      <x:c r="G2694" s="34" t="str">
        <x:v>هدف/موضوع</x:v>
      </x:c>
      <x:c r="H2694" s="39" t="str">
        <x:v>مراکز انتقال فناوری</x:v>
      </x:c>
      <x:c r="I2694" s="39" t="str">
        <x:v>نیازمند تعریف خروجی یا پارک</x:v>
      </x:c>
      <x:c r="J2694" s="39" t="str">
        <x:v>تحلیلگر راهبری/PMO؛ تبدیل به فرضیه یا اقدام در صورت نیاز</x:v>
      </x:c>
      <x:c r="K2694" s="39" t="str"/>
      <x:c r="L2694" s="39" t="str">
        <x:v>E112:P596</x:v>
      </x:c>
      <x:c r="M2694" s="39" t="str"/>
      <x:c r="N2694" s="39" t="str">
        <x:v>نسخه پایه ۳۱۵۰</x:v>
      </x:c>
    </x:row>
    <x:row r="2695" ht="34" customHeight="1">
      <x:c r="A2695" s="34" t="str">
        <x:v>☐</x:v>
      </x:c>
      <x:c r="B2695" s="34" t="str">
        <x:v>MI-1974</x:v>
      </x:c>
      <x:c r="C2695" s="34" t="str">
        <x:v>M6 — تحلیل‌های خام و ورودی‌های نیازمند پالایش</x:v>
      </x:c>
      <x:c r="D2695" s="34" t="str">
        <x:v>H20</x:v>
      </x:c>
      <x:c r="E2695" s="34" t="str">
        <x:v>یادداشت تحلیلی/راهبری ثبت‌شده در 11211</x:v>
      </x:c>
      <x:c r="F2695" s="34" t="str">
        <x:v>P3/CLARIFY</x:v>
      </x:c>
      <x:c r="G2695" s="34" t="str">
        <x:v>هدف/موضوع</x:v>
      </x:c>
      <x:c r="H2695" s="39" t="str">
        <x:v>شرکت ها</x:v>
      </x:c>
      <x:c r="I2695" s="39" t="str">
        <x:v>نیازمند تعریف خروجی یا پارک</x:v>
      </x:c>
      <x:c r="J2695" s="39" t="str">
        <x:v>تحلیلگر راهبری/PMO؛ تبدیل به فرضیه یا اقدام در صورت نیاز</x:v>
      </x:c>
      <x:c r="K2695" s="39" t="str"/>
      <x:c r="L2695" s="39" t="str">
        <x:v>E112:P601؛ E112:P2078؛ E112:P2236؛ E112:P3188؛ E112:P3500</x:v>
      </x:c>
      <x:c r="M2695" s="39" t="str"/>
      <x:c r="N2695" s="39" t="str">
        <x:v>نسخه پایه ۳۱۵۰</x:v>
      </x:c>
    </x:row>
    <x:row r="2696" ht="34" customHeight="1">
      <x:c r="A2696" s="34" t="str">
        <x:v>☐</x:v>
      </x:c>
      <x:c r="B2696" s="34" t="str">
        <x:v>MI-1976</x:v>
      </x:c>
      <x:c r="C2696" s="34" t="str">
        <x:v>M6 — تحلیل‌های خام و ورودی‌های نیازمند پالایش</x:v>
      </x:c>
      <x:c r="D2696" s="34" t="str">
        <x:v>H20</x:v>
      </x:c>
      <x:c r="E2696" s="34" t="str">
        <x:v>یادداشت تحلیلی/راهبری ثبت‌شده در 11211</x:v>
      </x:c>
      <x:c r="F2696" s="34" t="str">
        <x:v>P3/CLARIFY</x:v>
      </x:c>
      <x:c r="G2696" s="34" t="str">
        <x:v>هدف/موضوع</x:v>
      </x:c>
      <x:c r="H2696" s="39" t="str">
        <x:v>شرکت های مشاوره</x:v>
      </x:c>
      <x:c r="I2696" s="39" t="str">
        <x:v>نیازمند تعریف خروجی یا پارک</x:v>
      </x:c>
      <x:c r="J2696" s="39" t="str">
        <x:v>تحلیلگر راهبری/PMO؛ تبدیل به فرضیه یا اقدام در صورت نیاز</x:v>
      </x:c>
      <x:c r="K2696" s="39" t="str"/>
      <x:c r="L2696" s="39" t="str">
        <x:v>E112:P607</x:v>
      </x:c>
      <x:c r="M2696" s="39" t="str"/>
      <x:c r="N2696" s="39" t="str">
        <x:v>نسخه پایه ۳۱۵۰</x:v>
      </x:c>
    </x:row>
    <x:row r="2697" ht="34" customHeight="1">
      <x:c r="A2697" s="34" t="str">
        <x:v>☐</x:v>
      </x:c>
      <x:c r="B2697" s="34" t="str">
        <x:v>MI-1977</x:v>
      </x:c>
      <x:c r="C2697" s="34" t="str">
        <x:v>M6 — تحلیل‌های خام و ورودی‌های نیازمند پالایش</x:v>
      </x:c>
      <x:c r="D2697" s="34" t="str">
        <x:v>H20</x:v>
      </x:c>
      <x:c r="E2697" s="34" t="str">
        <x:v>یادداشت تحلیلی/راهبری ثبت‌شده در 11211</x:v>
      </x:c>
      <x:c r="F2697" s="34" t="str">
        <x:v>P3/CLARIFY</x:v>
      </x:c>
      <x:c r="G2697" s="34" t="str">
        <x:v>هدف/موضوع</x:v>
      </x:c>
      <x:c r="H2697" s="39" t="str">
        <x:v>شرکت های خلاق</x:v>
      </x:c>
      <x:c r="I2697" s="39" t="str">
        <x:v>نیازمند تعریف خروجی یا پارک</x:v>
      </x:c>
      <x:c r="J2697" s="39" t="str">
        <x:v>تحلیلگر راهبری/PMO؛ تبدیل به فرضیه یا اقدام در صورت نیاز</x:v>
      </x:c>
      <x:c r="K2697" s="39" t="str"/>
      <x:c r="L2697" s="39" t="str">
        <x:v>E112:P608</x:v>
      </x:c>
      <x:c r="M2697" s="39" t="str"/>
      <x:c r="N2697" s="39" t="str">
        <x:v>نسخه پایه ۳۱۵۰</x:v>
      </x:c>
    </x:row>
    <x:row r="2698" ht="34" customHeight="1">
      <x:c r="A2698" s="34" t="str">
        <x:v>☐</x:v>
      </x:c>
      <x:c r="B2698" s="34" t="str">
        <x:v>MI-1979</x:v>
      </x:c>
      <x:c r="C2698" s="34" t="str">
        <x:v>M6 — تحلیل‌های خام و ورودی‌های نیازمند پالایش</x:v>
      </x:c>
      <x:c r="D2698" s="34" t="str">
        <x:v>H20</x:v>
      </x:c>
      <x:c r="E2698" s="34" t="str">
        <x:v>یادداشت تحلیلی/راهبری ثبت‌شده در 11211</x:v>
      </x:c>
      <x:c r="F2698" s="34" t="str">
        <x:v>P3/CLARIFY</x:v>
      </x:c>
      <x:c r="G2698" s="34" t="str">
        <x:v>هدف/موضوع</x:v>
      </x:c>
      <x:c r="H2698" s="39" t="str">
        <x:v>فریلنسری</x:v>
      </x:c>
      <x:c r="I2698" s="39" t="str">
        <x:v>نیازمند تعریف خروجی یا پارک</x:v>
      </x:c>
      <x:c r="J2698" s="39" t="str">
        <x:v>تحلیلگر راهبری/PMO؛ تبدیل به فرضیه یا اقدام در صورت نیاز</x:v>
      </x:c>
      <x:c r="K2698" s="39" t="str"/>
      <x:c r="L2698" s="39" t="str">
        <x:v>E112:P612</x:v>
      </x:c>
      <x:c r="M2698" s="39" t="str"/>
      <x:c r="N2698" s="39" t="str">
        <x:v>نسخه پایه ۳۱۵۰</x:v>
      </x:c>
    </x:row>
    <x:row r="2699" ht="34" customHeight="1">
      <x:c r="A2699" s="34" t="str">
        <x:v>☐</x:v>
      </x:c>
      <x:c r="B2699" s="34" t="str">
        <x:v>MI-1981</x:v>
      </x:c>
      <x:c r="C2699" s="34" t="str">
        <x:v>M6 — تحلیل‌های خام و ورودی‌های نیازمند پالایش</x:v>
      </x:c>
      <x:c r="D2699" s="34" t="str">
        <x:v>H20</x:v>
      </x:c>
      <x:c r="E2699" s="34" t="str">
        <x:v>یادداشت تحلیلی/راهبری ثبت‌شده در 11211</x:v>
      </x:c>
      <x:c r="F2699" s="34" t="str">
        <x:v>P3/CLARIFY</x:v>
      </x:c>
      <x:c r="G2699" s="34" t="str">
        <x:v>هدف/موضوع</x:v>
      </x:c>
      <x:c r="H2699" s="39" t="str">
        <x:v>استودیوهای محصول</x:v>
      </x:c>
      <x:c r="I2699" s="39" t="str">
        <x:v>نیازمند تعریف خروجی یا پارک</x:v>
      </x:c>
      <x:c r="J2699" s="39" t="str">
        <x:v>تحلیلگر راهبری/PMO؛ تبدیل به فرضیه یا اقدام در صورت نیاز</x:v>
      </x:c>
      <x:c r="K2699" s="39" t="str"/>
      <x:c r="L2699" s="39" t="str">
        <x:v>E112:P614</x:v>
      </x:c>
      <x:c r="M2699" s="39" t="str"/>
      <x:c r="N2699" s="39" t="str">
        <x:v>نسخه پایه ۳۱۵۰</x:v>
      </x:c>
    </x:row>
    <x:row r="2700" ht="34" customHeight="1">
      <x:c r="A2700" s="34" t="str">
        <x:v>☐</x:v>
      </x:c>
      <x:c r="B2700" s="34" t="str">
        <x:v>MI-1982</x:v>
      </x:c>
      <x:c r="C2700" s="34" t="str">
        <x:v>M6 — تحلیل‌های خام و ورودی‌های نیازمند پالایش</x:v>
      </x:c>
      <x:c r="D2700" s="34" t="str">
        <x:v>H20</x:v>
      </x:c>
      <x:c r="E2700" s="34" t="str">
        <x:v>یادداشت تحلیلی/راهبری ثبت‌شده در 11211</x:v>
      </x:c>
      <x:c r="F2700" s="34" t="str">
        <x:v>P3/CLARIFY</x:v>
      </x:c>
      <x:c r="G2700" s="34" t="str">
        <x:v>هدف/موضوع</x:v>
      </x:c>
      <x:c r="H2700" s="39" t="str">
        <x:v>شرکت های پیمانکاری</x:v>
      </x:c>
      <x:c r="I2700" s="39" t="str">
        <x:v>نیازمند تعریف خروجی یا پارک</x:v>
      </x:c>
      <x:c r="J2700" s="39" t="str">
        <x:v>تحلیلگر راهبری/PMO؛ تبدیل به فرضیه یا اقدام در صورت نیاز</x:v>
      </x:c>
      <x:c r="K2700" s="39" t="str"/>
      <x:c r="L2700" s="39" t="str">
        <x:v>E112:P615</x:v>
      </x:c>
      <x:c r="M2700" s="39" t="str"/>
      <x:c r="N2700" s="39" t="str">
        <x:v>نسخه پایه ۳۱۵۰</x:v>
      </x:c>
    </x:row>
    <x:row r="2701" ht="34" customHeight="1">
      <x:c r="A2701" s="34" t="str">
        <x:v>☐</x:v>
      </x:c>
      <x:c r="B2701" s="34" t="str">
        <x:v>MI-1983</x:v>
      </x:c>
      <x:c r="C2701" s="34" t="str">
        <x:v>M6 — تحلیل‌های خام و ورودی‌های نیازمند پالایش</x:v>
      </x:c>
      <x:c r="D2701" s="34" t="str">
        <x:v>H20</x:v>
      </x:c>
      <x:c r="E2701" s="34" t="str">
        <x:v>یادداشت تحلیلی/راهبری ثبت‌شده در 11211</x:v>
      </x:c>
      <x:c r="F2701" s="34" t="str">
        <x:v>P3/CLARIFY</x:v>
      </x:c>
      <x:c r="G2701" s="34" t="str">
        <x:v>هدف/موضوع</x:v>
      </x:c>
      <x:c r="H2701" s="39" t="str">
        <x:v>پلتفرم های کار</x:v>
      </x:c>
      <x:c r="I2701" s="39" t="str">
        <x:v>نیازمند تعریف خروجی یا پارک</x:v>
      </x:c>
      <x:c r="J2701" s="39" t="str">
        <x:v>تحلیلگر راهبری/PMO؛ تبدیل به فرضیه یا اقدام در صورت نیاز</x:v>
      </x:c>
      <x:c r="K2701" s="39" t="str"/>
      <x:c r="L2701" s="39" t="str">
        <x:v>E112:P617</x:v>
      </x:c>
      <x:c r="M2701" s="39" t="str"/>
      <x:c r="N2701" s="39" t="str">
        <x:v>نسخه پایه ۳۱۵۰</x:v>
      </x:c>
    </x:row>
    <x:row r="2702" ht="34" customHeight="1">
      <x:c r="A2702" s="34" t="str">
        <x:v>☐</x:v>
      </x:c>
      <x:c r="B2702" s="34" t="str">
        <x:v>MI-1985</x:v>
      </x:c>
      <x:c r="C2702" s="34" t="str">
        <x:v>M6 — تحلیل‌های خام و ورودی‌های نیازمند پالایش</x:v>
      </x:c>
      <x:c r="D2702" s="34" t="str">
        <x:v>H20</x:v>
      </x:c>
      <x:c r="E2702" s="34" t="str">
        <x:v>یادداشت تحلیلی/راهبری ثبت‌شده در 11211</x:v>
      </x:c>
      <x:c r="F2702" s="34" t="str">
        <x:v>P3/CLARIFY</x:v>
      </x:c>
      <x:c r="G2702" s="34" t="str">
        <x:v>هدف/موضوع</x:v>
      </x:c>
      <x:c r="H2702" s="39" t="str">
        <x:v>پلتفرم های فریلنس</x:v>
      </x:c>
      <x:c r="I2702" s="39" t="str">
        <x:v>نیازمند تعریف خروجی یا پارک</x:v>
      </x:c>
      <x:c r="J2702" s="39" t="str">
        <x:v>تحلیلگر راهبری/PMO؛ تبدیل به فرضیه یا اقدام در صورت نیاز</x:v>
      </x:c>
      <x:c r="K2702" s="39" t="str"/>
      <x:c r="L2702" s="39" t="str">
        <x:v>E112:P620</x:v>
      </x:c>
      <x:c r="M2702" s="39" t="str"/>
      <x:c r="N2702" s="39" t="str">
        <x:v>نسخه پایه ۳۱۵۰</x:v>
      </x:c>
    </x:row>
    <x:row r="2703" ht="34" customHeight="1">
      <x:c r="A2703" s="34" t="str">
        <x:v>☐</x:v>
      </x:c>
      <x:c r="B2703" s="34" t="str">
        <x:v>MI-1993</x:v>
      </x:c>
      <x:c r="C2703" s="34" t="str">
        <x:v>M6 — تحلیل‌های خام و ورودی‌های نیازمند پالایش</x:v>
      </x:c>
      <x:c r="D2703" s="34" t="str">
        <x:v>H20</x:v>
      </x:c>
      <x:c r="E2703" s="34" t="str">
        <x:v>یادداشت تحلیلی/راهبری ثبت‌شده در 11211</x:v>
      </x:c>
      <x:c r="F2703" s="34" t="str">
        <x:v>P3/CLARIFY</x:v>
      </x:c>
      <x:c r="G2703" s="34" t="str">
        <x:v>هدف/موضوع</x:v>
      </x:c>
      <x:c r="H2703" s="39" t="str">
        <x:v>سمینارها</x:v>
      </x:c>
      <x:c r="I2703" s="39" t="str">
        <x:v>نیازمند تعریف خروجی یا پارک</x:v>
      </x:c>
      <x:c r="J2703" s="39" t="str">
        <x:v>تحلیلگر راهبری/PMO؛ تبدیل به فرضیه یا اقدام در صورت نیاز</x:v>
      </x:c>
      <x:c r="K2703" s="39" t="str"/>
      <x:c r="L2703" s="39" t="str">
        <x:v>E112:P637</x:v>
      </x:c>
      <x:c r="M2703" s="39" t="str"/>
      <x:c r="N2703" s="39" t="str">
        <x:v>نسخه پایه ۳۱۵۰</x:v>
      </x:c>
    </x:row>
    <x:row r="2704" ht="34" customHeight="1">
      <x:c r="A2704" s="34" t="str">
        <x:v>☐</x:v>
      </x:c>
      <x:c r="B2704" s="34" t="str">
        <x:v>MI-1994</x:v>
      </x:c>
      <x:c r="C2704" s="34" t="str">
        <x:v>M6 — تحلیل‌های خام و ورودی‌های نیازمند پالایش</x:v>
      </x:c>
      <x:c r="D2704" s="34" t="str">
        <x:v>H20</x:v>
      </x:c>
      <x:c r="E2704" s="34" t="str">
        <x:v>یادداشت تحلیلی/راهبری ثبت‌شده در 11211</x:v>
      </x:c>
      <x:c r="F2704" s="34" t="str">
        <x:v>P3/CLARIFY</x:v>
      </x:c>
      <x:c r="G2704" s="34" t="str">
        <x:v>هدف/موضوع</x:v>
      </x:c>
      <x:c r="H2704" s="39" t="str">
        <x:v>همایش ها</x:v>
      </x:c>
      <x:c r="I2704" s="39" t="str">
        <x:v>نیازمند تعریف خروجی یا پارک</x:v>
      </x:c>
      <x:c r="J2704" s="39" t="str">
        <x:v>تحلیلگر راهبری/PMO؛ تبدیل به فرضیه یا اقدام در صورت نیاز</x:v>
      </x:c>
      <x:c r="K2704" s="39" t="str"/>
      <x:c r="L2704" s="39" t="str">
        <x:v>E112:P638</x:v>
      </x:c>
      <x:c r="M2704" s="39" t="str"/>
      <x:c r="N2704" s="39" t="str">
        <x:v>نسخه پایه ۳۱۵۰</x:v>
      </x:c>
    </x:row>
    <x:row r="2705" ht="34" customHeight="1">
      <x:c r="A2705" s="34" t="str">
        <x:v>☐</x:v>
      </x:c>
      <x:c r="B2705" s="34" t="str">
        <x:v>MI-1995</x:v>
      </x:c>
      <x:c r="C2705" s="34" t="str">
        <x:v>M6 — تحلیل‌های خام و ورودی‌های نیازمند پالایش</x:v>
      </x:c>
      <x:c r="D2705" s="34" t="str">
        <x:v>H20</x:v>
      </x:c>
      <x:c r="E2705" s="34" t="str">
        <x:v>یادداشت تحلیلی/راهبری ثبت‌شده در 11211</x:v>
      </x:c>
      <x:c r="F2705" s="34" t="str">
        <x:v>P3/CLARIFY</x:v>
      </x:c>
      <x:c r="G2705" s="34" t="str">
        <x:v>هدف/موضوع</x:v>
      </x:c>
      <x:c r="H2705" s="39" t="str">
        <x:v>نمایشگاه ها</x:v>
      </x:c>
      <x:c r="I2705" s="39" t="str">
        <x:v>نیازمند تعریف خروجی یا پارک</x:v>
      </x:c>
      <x:c r="J2705" s="39" t="str">
        <x:v>تحلیلگر راهبری/PMO؛ تبدیل به فرضیه یا اقدام در صورت نیاز</x:v>
      </x:c>
      <x:c r="K2705" s="39" t="str"/>
      <x:c r="L2705" s="39" t="str">
        <x:v>E112:P640</x:v>
      </x:c>
      <x:c r="M2705" s="39" t="str"/>
      <x:c r="N2705" s="39" t="str">
        <x:v>نسخه پایه ۳۱۵۰</x:v>
      </x:c>
    </x:row>
    <x:row r="2706" ht="34" customHeight="1">
      <x:c r="A2706" s="34" t="str">
        <x:v>☐</x:v>
      </x:c>
      <x:c r="B2706" s="34" t="str">
        <x:v>MI-1996</x:v>
      </x:c>
      <x:c r="C2706" s="34" t="str">
        <x:v>M6 — تحلیل‌های خام و ورودی‌های نیازمند پالایش</x:v>
      </x:c>
      <x:c r="D2706" s="34" t="str">
        <x:v>H20</x:v>
      </x:c>
      <x:c r="E2706" s="34" t="str">
        <x:v>یادداشت تحلیلی/راهبری ثبت‌شده در 11211</x:v>
      </x:c>
      <x:c r="F2706" s="34" t="str">
        <x:v>P3/CLARIFY</x:v>
      </x:c>
      <x:c r="G2706" s="34" t="str">
        <x:v>هدف/موضوع</x:v>
      </x:c>
      <x:c r="H2706" s="39" t="str">
        <x:v>startup weekend</x:v>
      </x:c>
      <x:c r="I2706" s="39" t="str">
        <x:v>نیازمند تعریف خروجی یا پارک</x:v>
      </x:c>
      <x:c r="J2706" s="39" t="str">
        <x:v>تحلیلگر راهبری/PMO؛ تبدیل به فرضیه یا اقدام در صورت نیاز</x:v>
      </x:c>
      <x:c r="K2706" s="39" t="str"/>
      <x:c r="L2706" s="39" t="str">
        <x:v>E112:P642</x:v>
      </x:c>
      <x:c r="M2706" s="39" t="str"/>
      <x:c r="N2706" s="39" t="str">
        <x:v>نسخه پایه ۳۱۵۰</x:v>
      </x:c>
    </x:row>
    <x:row r="2707" ht="34" customHeight="1">
      <x:c r="A2707" s="34" t="str">
        <x:v>☐</x:v>
      </x:c>
      <x:c r="B2707" s="34" t="str">
        <x:v>MI-1997</x:v>
      </x:c>
      <x:c r="C2707" s="34" t="str">
        <x:v>M6 — تحلیل‌های خام و ورودی‌های نیازمند پالایش</x:v>
      </x:c>
      <x:c r="D2707" s="34" t="str">
        <x:v>H20</x:v>
      </x:c>
      <x:c r="E2707" s="34" t="str">
        <x:v>یادداشت تحلیلی/راهبری ثبت‌شده در 11211</x:v>
      </x:c>
      <x:c r="F2707" s="34" t="str">
        <x:v>P3/CLARIFY</x:v>
      </x:c>
      <x:c r="G2707" s="34" t="str">
        <x:v>هدف/موضوع</x:v>
      </x:c>
      <x:c r="H2707" s="39" t="str">
        <x:v>meetup</x:v>
      </x:c>
      <x:c r="I2707" s="39" t="str">
        <x:v>نیازمند تعریف خروجی یا پارک</x:v>
      </x:c>
      <x:c r="J2707" s="39" t="str">
        <x:v>تحلیلگر راهبری/PMO؛ تبدیل به فرضیه یا اقدام در صورت نیاز</x:v>
      </x:c>
      <x:c r="K2707" s="39" t="str"/>
      <x:c r="L2707" s="39" t="str">
        <x:v>E112:P644</x:v>
      </x:c>
      <x:c r="M2707" s="39" t="str"/>
      <x:c r="N2707" s="39" t="str">
        <x:v>نسخه پایه ۳۱۵۰</x:v>
      </x:c>
    </x:row>
    <x:row r="2708" ht="34" customHeight="1">
      <x:c r="A2708" s="34" t="str">
        <x:v>☐</x:v>
      </x:c>
      <x:c r="B2708" s="34" t="str">
        <x:v>MI-1999</x:v>
      </x:c>
      <x:c r="C2708" s="34" t="str">
        <x:v>M6 — تحلیل‌های خام و ورودی‌های نیازمند پالایش</x:v>
      </x:c>
      <x:c r="D2708" s="34" t="str">
        <x:v>H20</x:v>
      </x:c>
      <x:c r="E2708" s="34" t="str">
        <x:v>یادداشت تحلیلی/راهبری ثبت‌شده در 11211</x:v>
      </x:c>
      <x:c r="F2708" s="34" t="str">
        <x:v>P3/CLARIFY</x:v>
      </x:c>
      <x:c r="G2708" s="34" t="str">
        <x:v>هدف/موضوع</x:v>
      </x:c>
      <x:c r="H2708" s="39" t="str">
        <x:v>نشست های تخصصی</x:v>
      </x:c>
      <x:c r="I2708" s="39" t="str">
        <x:v>نیازمند تعریف خروجی یا پارک</x:v>
      </x:c>
      <x:c r="J2708" s="39" t="str">
        <x:v>تحلیلگر راهبری/PMO؛ تبدیل به فرضیه یا اقدام در صورت نیاز</x:v>
      </x:c>
      <x:c r="K2708" s="39" t="str"/>
      <x:c r="L2708" s="39" t="str">
        <x:v>E112:P646؛ E112:P2064؛ E112:P2692</x:v>
      </x:c>
      <x:c r="M2708" s="39" t="str"/>
      <x:c r="N2708" s="39" t="str">
        <x:v>نسخه پایه ۳۱۵۰</x:v>
      </x:c>
    </x:row>
    <x:row r="2709" ht="34" customHeight="1">
      <x:c r="A2709" s="34" t="str">
        <x:v>☐</x:v>
      </x:c>
      <x:c r="B2709" s="34" t="str">
        <x:v>MI-2001</x:v>
      </x:c>
      <x:c r="C2709" s="34" t="str">
        <x:v>M6 — تحلیل‌های خام و ورودی‌های نیازمند پالایش</x:v>
      </x:c>
      <x:c r="D2709" s="34" t="str">
        <x:v>H20</x:v>
      </x:c>
      <x:c r="E2709" s="34" t="str">
        <x:v>یادداشت تحلیلی/راهبری ثبت‌شده در 11211</x:v>
      </x:c>
      <x:c r="F2709" s="34" t="str">
        <x:v>P3/CLARIFY</x:v>
      </x:c>
      <x:c r="G2709" s="34" t="str">
        <x:v>هدف/موضوع</x:v>
      </x:c>
      <x:c r="H2709" s="39" t="str">
        <x:v>8. رسانه و توجه</x:v>
      </x:c>
      <x:c r="I2709" s="39" t="str">
        <x:v>نیازمند تعریف خروجی یا پارک</x:v>
      </x:c>
      <x:c r="J2709" s="39" t="str">
        <x:v>تحلیلگر راهبری/PMO؛ تبدیل به فرضیه یا اقدام در صورت نیاز</x:v>
      </x:c>
      <x:c r="K2709" s="39" t="str"/>
      <x:c r="L2709" s="39" t="str">
        <x:v>E112:P649</x:v>
      </x:c>
      <x:c r="M2709" s="39" t="str"/>
      <x:c r="N2709" s="39" t="str">
        <x:v>نسخه پایه ۳۱۵۰</x:v>
      </x:c>
    </x:row>
    <x:row r="2710" ht="34" customHeight="1">
      <x:c r="A2710" s="34" t="str">
        <x:v>☐</x:v>
      </x:c>
      <x:c r="B2710" s="34" t="str">
        <x:v>MI-2003</x:v>
      </x:c>
      <x:c r="C2710" s="34" t="str">
        <x:v>M6 — تحلیل‌های خام و ورودی‌های نیازمند پالایش</x:v>
      </x:c>
      <x:c r="D2710" s="34" t="str">
        <x:v>H20</x:v>
      </x:c>
      <x:c r="E2710" s="34" t="str">
        <x:v>یادداشت تحلیلی/راهبری ثبت‌شده در 11211</x:v>
      </x:c>
      <x:c r="F2710" s="34" t="str">
        <x:v>P3/CLARIFY</x:v>
      </x:c>
      <x:c r="G2710" s="34" t="str">
        <x:v>هدف/موضوع</x:v>
      </x:c>
      <x:c r="H2710" s="39" t="str">
        <x:v>مجلات تخصصی</x:v>
      </x:c>
      <x:c r="I2710" s="39" t="str">
        <x:v>نیازمند تعریف خروجی یا پارک</x:v>
      </x:c>
      <x:c r="J2710" s="39" t="str">
        <x:v>تحلیلگر راهبری/PMO؛ تبدیل به فرضیه یا اقدام در صورت نیاز</x:v>
      </x:c>
      <x:c r="K2710" s="39" t="str"/>
      <x:c r="L2710" s="39" t="str">
        <x:v>E112:P653</x:v>
      </x:c>
      <x:c r="M2710" s="39" t="str"/>
      <x:c r="N2710" s="39" t="str">
        <x:v>نسخه پایه ۳۱۵۰</x:v>
      </x:c>
    </x:row>
    <x:row r="2711" ht="34" customHeight="1">
      <x:c r="A2711" s="34" t="str">
        <x:v>☐</x:v>
      </x:c>
      <x:c r="B2711" s="34" t="str">
        <x:v>MI-2005</x:v>
      </x:c>
      <x:c r="C2711" s="34" t="str">
        <x:v>M6 — تحلیل‌های خام و ورودی‌های نیازمند پالایش</x:v>
      </x:c>
      <x:c r="D2711" s="34" t="str">
        <x:v>H20</x:v>
      </x:c>
      <x:c r="E2711" s="34" t="str">
        <x:v>یادداشت تحلیلی/راهبری ثبت‌شده در 11211</x:v>
      </x:c>
      <x:c r="F2711" s="34" t="str">
        <x:v>P3/CLARIFY</x:v>
      </x:c>
      <x:c r="G2711" s="34" t="str">
        <x:v>هدف/موضوع</x:v>
      </x:c>
      <x:c r="H2711" s="39" t="str">
        <x:v>بلاگ های تخصصی</x:v>
      </x:c>
      <x:c r="I2711" s="39" t="str">
        <x:v>نیازمند تعریف خروجی یا پارک</x:v>
      </x:c>
      <x:c r="J2711" s="39" t="str">
        <x:v>تحلیلگر راهبری/PMO؛ تبدیل به فرضیه یا اقدام در صورت نیاز</x:v>
      </x:c>
      <x:c r="K2711" s="39" t="str"/>
      <x:c r="L2711" s="39" t="str">
        <x:v>E112:P657</x:v>
      </x:c>
      <x:c r="M2711" s="39" t="str"/>
      <x:c r="N2711" s="39" t="str">
        <x:v>نسخه پایه ۳۱۵۰</x:v>
      </x:c>
    </x:row>
    <x:row r="2712" ht="34" customHeight="1">
      <x:c r="A2712" s="34" t="str">
        <x:v>☐</x:v>
      </x:c>
      <x:c r="B2712" s="34" t="str">
        <x:v>MI-2006</x:v>
      </x:c>
      <x:c r="C2712" s="34" t="str">
        <x:v>M6 — تحلیل‌های خام و ورودی‌های نیازمند پالایش</x:v>
      </x:c>
      <x:c r="D2712" s="34" t="str">
        <x:v>H20</x:v>
      </x:c>
      <x:c r="E2712" s="34" t="str">
        <x:v>یادداشت تحلیلی/راهبری ثبت‌شده در 11211</x:v>
      </x:c>
      <x:c r="F2712" s="34" t="str">
        <x:v>P3/CLARIFY</x:v>
      </x:c>
      <x:c r="G2712" s="34" t="str">
        <x:v>هدف/موضوع</x:v>
      </x:c>
      <x:c r="H2712" s="39" t="str">
        <x:v>رسانه های محلی</x:v>
      </x:c>
      <x:c r="I2712" s="39" t="str">
        <x:v>نیازمند تعریف خروجی یا پارک</x:v>
      </x:c>
      <x:c r="J2712" s="39" t="str">
        <x:v>تحلیلگر راهبری/PMO؛ تبدیل به فرضیه یا اقدام در صورت نیاز</x:v>
      </x:c>
      <x:c r="K2712" s="39" t="str"/>
      <x:c r="L2712" s="39" t="str">
        <x:v>E112:P658</x:v>
      </x:c>
      <x:c r="M2712" s="39" t="str"/>
      <x:c r="N2712" s="39" t="str">
        <x:v>نسخه پایه ۳۱۵۰</x:v>
      </x:c>
    </x:row>
    <x:row r="2713" ht="34" customHeight="1">
      <x:c r="A2713" s="34" t="str">
        <x:v>☐</x:v>
      </x:c>
      <x:c r="B2713" s="34" t="str">
        <x:v>MI-2008</x:v>
      </x:c>
      <x:c r="C2713" s="34" t="str">
        <x:v>M6 — تحلیل‌های خام و ورودی‌های نیازمند پالایش</x:v>
      </x:c>
      <x:c r="D2713" s="34" t="str">
        <x:v>H20</x:v>
      </x:c>
      <x:c r="E2713" s="34" t="str">
        <x:v>یادداشت تحلیلی/راهبری ثبت‌شده در 11211</x:v>
      </x:c>
      <x:c r="F2713" s="34" t="str">
        <x:v>P3/CLARIFY</x:v>
      </x:c>
      <x:c r="G2713" s="34" t="str">
        <x:v>هدف/موضوع</x:v>
      </x:c>
      <x:c r="H2713" s="39" t="str">
        <x:v>این بخش خیلی مهم است ولی اغلب نادیده گرفته می شود.</x:v>
      </x:c>
      <x:c r="I2713" s="39" t="str">
        <x:v>نیازمند تعریف خروجی یا پارک</x:v>
      </x:c>
      <x:c r="J2713" s="39" t="str">
        <x:v>تحلیلگر راهبری/PMO؛ تبدیل به فرضیه یا اقدام در صورت نیاز</x:v>
      </x:c>
      <x:c r="K2713" s="39" t="str"/>
      <x:c r="L2713" s="39" t="str">
        <x:v>E112:P662</x:v>
      </x:c>
      <x:c r="M2713" s="39" t="str"/>
      <x:c r="N2713" s="39" t="str">
        <x:v>نسخه پایه ۳۱۵۰</x:v>
      </x:c>
    </x:row>
    <x:row r="2714" ht="34" customHeight="1">
      <x:c r="A2714" s="34" t="str">
        <x:v>☐</x:v>
      </x:c>
      <x:c r="B2714" s="34" t="str">
        <x:v>MI-2010</x:v>
      </x:c>
      <x:c r="C2714" s="34" t="str">
        <x:v>M6 — تحلیل‌های خام و ورودی‌های نیازمند پالایش</x:v>
      </x:c>
      <x:c r="D2714" s="34" t="str">
        <x:v>H20</x:v>
      </x:c>
      <x:c r="E2714" s="34" t="str">
        <x:v>یادداشت تحلیلی/راهبری ثبت‌شده در 11211</x:v>
      </x:c>
      <x:c r="F2714" s="34" t="str">
        <x:v>P3/CLARIFY</x:v>
      </x:c>
      <x:c r="G2714" s="34" t="str">
        <x:v>هدف/موضوع</x:v>
      </x:c>
      <x:c r="H2714" s="39" t="str">
        <x:v>شهرداری</x:v>
      </x:c>
      <x:c r="I2714" s="39" t="str">
        <x:v>نیازمند تعریف خروجی یا پارک</x:v>
      </x:c>
      <x:c r="J2714" s="39" t="str">
        <x:v>تحلیلگر راهبری/PMO؛ تبدیل به فرضیه یا اقدام در صورت نیاز</x:v>
      </x:c>
      <x:c r="K2714" s="39" t="str"/>
      <x:c r="L2714" s="39" t="str">
        <x:v>E112:P665</x:v>
      </x:c>
      <x:c r="M2714" s="39" t="str"/>
      <x:c r="N2714" s="39" t="str">
        <x:v>نسخه پایه ۳۱۵۰</x:v>
      </x:c>
    </x:row>
    <x:row r="2715" ht="34" customHeight="1">
      <x:c r="A2715" s="34" t="str">
        <x:v>☐</x:v>
      </x:c>
      <x:c r="B2715" s="34" t="str">
        <x:v>MI-2011</x:v>
      </x:c>
      <x:c r="C2715" s="34" t="str">
        <x:v>M6 — تحلیل‌های خام و ورودی‌های نیازمند پالایش</x:v>
      </x:c>
      <x:c r="D2715" s="34" t="str">
        <x:v>H20</x:v>
      </x:c>
      <x:c r="E2715" s="34" t="str">
        <x:v>یادداشت تحلیلی/راهبری ثبت‌شده در 11211</x:v>
      </x:c>
      <x:c r="F2715" s="34" t="str">
        <x:v>P3/CLARIFY</x:v>
      </x:c>
      <x:c r="G2715" s="34" t="str">
        <x:v>هدف/موضوع</x:v>
      </x:c>
      <x:c r="H2715" s="39" t="str">
        <x:v>وزارت علوم</x:v>
      </x:c>
      <x:c r="I2715" s="39" t="str">
        <x:v>نیازمند تعریف خروجی یا پارک</x:v>
      </x:c>
      <x:c r="J2715" s="39" t="str">
        <x:v>تحلیلگر راهبری/PMO؛ تبدیل به فرضیه یا اقدام در صورت نیاز</x:v>
      </x:c>
      <x:c r="K2715" s="39" t="str"/>
      <x:c r="L2715" s="39" t="str">
        <x:v>E112:P666</x:v>
      </x:c>
      <x:c r="M2715" s="39" t="str"/>
      <x:c r="N2715" s="39" t="str">
        <x:v>نسخه پایه ۳۱۵۰</x:v>
      </x:c>
    </x:row>
    <x:row r="2716" ht="34" customHeight="1">
      <x:c r="A2716" s="34" t="str">
        <x:v>☐</x:v>
      </x:c>
      <x:c r="B2716" s="34" t="str">
        <x:v>MI-2012</x:v>
      </x:c>
      <x:c r="C2716" s="34" t="str">
        <x:v>M6 — تحلیل‌های خام و ورودی‌های نیازمند پالایش</x:v>
      </x:c>
      <x:c r="D2716" s="34" t="str">
        <x:v>H20</x:v>
      </x:c>
      <x:c r="E2716" s="34" t="str">
        <x:v>یادداشت تحلیلی/راهبری ثبت‌شده در 11211</x:v>
      </x:c>
      <x:c r="F2716" s="34" t="str">
        <x:v>P3/CLARIFY</x:v>
      </x:c>
      <x:c r="G2716" s="34" t="str">
        <x:v>هدف/موضوع</x:v>
      </x:c>
      <x:c r="H2716" s="39" t="str">
        <x:v>وزارت کار</x:v>
      </x:c>
      <x:c r="I2716" s="39" t="str">
        <x:v>نیازمند تعریف خروجی یا پارک</x:v>
      </x:c>
      <x:c r="J2716" s="39" t="str">
        <x:v>تحلیلگر راهبری/PMO؛ تبدیل به فرضیه یا اقدام در صورت نیاز</x:v>
      </x:c>
      <x:c r="K2716" s="39" t="str"/>
      <x:c r="L2716" s="39" t="str">
        <x:v>E112:P667</x:v>
      </x:c>
      <x:c r="M2716" s="39" t="str"/>
      <x:c r="N2716" s="39" t="str">
        <x:v>نسخه پایه ۳۱۵۰</x:v>
      </x:c>
    </x:row>
    <x:row r="2717" ht="34" customHeight="1">
      <x:c r="A2717" s="34" t="str">
        <x:v>☐</x:v>
      </x:c>
      <x:c r="B2717" s="34" t="str">
        <x:v>MI-2016</x:v>
      </x:c>
      <x:c r="C2717" s="34" t="str">
        <x:v>M6 — تحلیل‌های خام و ورودی‌های نیازمند پالایش</x:v>
      </x:c>
      <x:c r="D2717" s="34" t="str">
        <x:v>H20</x:v>
      </x:c>
      <x:c r="E2717" s="34" t="str">
        <x:v>یادداشت تحلیلی/راهبری ثبت‌شده در 11211</x:v>
      </x:c>
      <x:c r="F2717" s="34" t="str">
        <x:v>P3/CLARIFY</x:v>
      </x:c>
      <x:c r="G2717" s="34" t="str">
        <x:v>هدف/موضوع</x:v>
      </x:c>
      <x:c r="H2717" s="39" t="str">
        <x:v>بنیاد ملی نخبگان</x:v>
      </x:c>
      <x:c r="I2717" s="39" t="str">
        <x:v>نیازمند تعریف خروجی یا پارک</x:v>
      </x:c>
      <x:c r="J2717" s="39" t="str">
        <x:v>تحلیلگر راهبری/PMO؛ تبدیل به فرضیه یا اقدام در صورت نیاز</x:v>
      </x:c>
      <x:c r="K2717" s="39" t="str"/>
      <x:c r="L2717" s="39" t="str">
        <x:v>E112:P672</x:v>
      </x:c>
      <x:c r="M2717" s="39" t="str"/>
      <x:c r="N2717" s="39" t="str">
        <x:v>نسخه پایه ۳۱۵۰</x:v>
      </x:c>
    </x:row>
    <x:row r="2718" ht="34" customHeight="1">
      <x:c r="A2718" s="34" t="str">
        <x:v>☐</x:v>
      </x:c>
      <x:c r="B2718" s="34" t="str">
        <x:v>MI-2019</x:v>
      </x:c>
      <x:c r="C2718" s="34" t="str">
        <x:v>M6 — تحلیل‌های خام و ورودی‌های نیازمند پالایش</x:v>
      </x:c>
      <x:c r="D2718" s="34" t="str">
        <x:v>H20</x:v>
      </x:c>
      <x:c r="E2718" s="34" t="str">
        <x:v>یادداشت تحلیلی/راهبری ثبت‌شده در 11211</x:v>
      </x:c>
      <x:c r="F2718" s="34" t="str">
        <x:v>P3/CLARIFY</x:v>
      </x:c>
      <x:c r="G2718" s="34" t="str">
        <x:v>هدف/موضوع</x:v>
      </x:c>
      <x:c r="H2718" s="39" t="str">
        <x:v>مدیران شرکت ها</x:v>
      </x:c>
      <x:c r="I2718" s="39" t="str">
        <x:v>نیازمند تعریف خروجی یا پارک</x:v>
      </x:c>
      <x:c r="J2718" s="39" t="str">
        <x:v>تحلیلگر راهبری/PMO؛ تبدیل به فرضیه یا اقدام در صورت نیاز</x:v>
      </x:c>
      <x:c r="K2718" s="39" t="str"/>
      <x:c r="L2718" s="39" t="str">
        <x:v>E112:P680</x:v>
      </x:c>
      <x:c r="M2718" s="39" t="str"/>
      <x:c r="N2718" s="39" t="str">
        <x:v>نسخه پایه ۳۱۵۰</x:v>
      </x:c>
    </x:row>
    <x:row r="2719" ht="34" customHeight="1">
      <x:c r="A2719" s="34" t="str">
        <x:v>☐</x:v>
      </x:c>
      <x:c r="B2719" s="34" t="str">
        <x:v>MI-2021</x:v>
      </x:c>
      <x:c r="C2719" s="34" t="str">
        <x:v>M6 — تحلیل‌های خام و ورودی‌های نیازمند پالایش</x:v>
      </x:c>
      <x:c r="D2719" s="34" t="str">
        <x:v>H20</x:v>
      </x:c>
      <x:c r="E2719" s="34" t="str">
        <x:v>یادداشت تحلیلی/راهبری ثبت‌شده در 11211</x:v>
      </x:c>
      <x:c r="F2719" s="34" t="str">
        <x:v>P3/CLARIFY</x:v>
      </x:c>
      <x:c r="G2719" s="34" t="str">
        <x:v>هدف/موضوع</x:v>
      </x:c>
      <x:c r="H2719" s="39" t="str">
        <x:v>super connectors</x:v>
      </x:c>
      <x:c r="I2719" s="39" t="str">
        <x:v>نیازمند تعریف خروجی یا پارک</x:v>
      </x:c>
      <x:c r="J2719" s="39" t="str">
        <x:v>تحلیلگر راهبری/PMO؛ تبدیل به فرضیه یا اقدام در صورت نیاز</x:v>
      </x:c>
      <x:c r="K2719" s="39" t="str"/>
      <x:c r="L2719" s="39" t="str">
        <x:v>E112:P683</x:v>
      </x:c>
      <x:c r="M2719" s="39" t="str"/>
      <x:c r="N2719" s="39" t="str">
        <x:v>نسخه پایه ۳۱۵۰</x:v>
      </x:c>
    </x:row>
    <x:row r="2720" ht="34" customHeight="1">
      <x:c r="A2720" s="34" t="str">
        <x:v>☐</x:v>
      </x:c>
      <x:c r="B2720" s="34" t="str">
        <x:v>MI-2022</x:v>
      </x:c>
      <x:c r="C2720" s="34" t="str">
        <x:v>M6 — تحلیل‌های خام و ورودی‌های نیازمند پالایش</x:v>
      </x:c>
      <x:c r="D2720" s="34" t="str">
        <x:v>H20</x:v>
      </x:c>
      <x:c r="E2720" s="34" t="str">
        <x:v>یادداشت تحلیلی/راهبری ثبت‌شده در 11211</x:v>
      </x:c>
      <x:c r="F2720" s="34" t="str">
        <x:v>P3/CLARIFY</x:v>
      </x:c>
      <x:c r="G2720" s="34" t="str">
        <x:v>هدف/موضوع</x:v>
      </x:c>
      <x:c r="H2720" s="39" t="str">
        <x:v>حالا آیتم هایی که خودت گفتی را اگر جایگذاری کنیم:</x:v>
      </x:c>
      <x:c r="I2720" s="39" t="str">
        <x:v>نیازمند تعریف خروجی یا پارک</x:v>
      </x:c>
      <x:c r="J2720" s="39" t="str">
        <x:v>تحلیلگر راهبری/PMO؛ تبدیل به فرضیه یا اقدام در صورت نیاز</x:v>
      </x:c>
      <x:c r="K2720" s="39" t="str"/>
      <x:c r="L2720" s="39" t="str">
        <x:v>E112:P686</x:v>
      </x:c>
      <x:c r="M2720" s="39" t="str"/>
      <x:c r="N2720" s="39" t="str">
        <x:v>نسخه پایه ۳۱۵۰</x:v>
      </x:c>
    </x:row>
    <x:row r="2721" ht="34" customHeight="1">
      <x:c r="A2721" s="34" t="str">
        <x:v>☐</x:v>
      </x:c>
      <x:c r="B2721" s="34" t="str">
        <x:v>MI-2024</x:v>
      </x:c>
      <x:c r="C2721" s="34" t="str">
        <x:v>M6 — تحلیل‌های خام و ورودی‌های نیازمند پالایش</x:v>
      </x:c>
      <x:c r="D2721" s="34" t="str">
        <x:v>H20</x:v>
      </x:c>
      <x:c r="E2721" s="34" t="str">
        <x:v>یادداشت تحلیلی/راهبری ثبت‌شده در 11211</x:v>
      </x:c>
      <x:c r="F2721" s="34" t="str">
        <x:v>P3/CLARIFY</x:v>
      </x:c>
      <x:c r="G2721" s="34" t="str">
        <x:v>هدف/موضوع</x:v>
      </x:c>
      <x:c r="H2721" s="39" t="str">
        <x:v>نهادهای نوآوری</x:v>
      </x:c>
      <x:c r="I2721" s="39" t="str">
        <x:v>نیازمند تعریف خروجی یا پارک</x:v>
      </x:c>
      <x:c r="J2721" s="39" t="str">
        <x:v>تحلیلگر راهبری/PMO؛ تبدیل به فرضیه یا اقدام در صورت نیاز</x:v>
      </x:c>
      <x:c r="K2721" s="39" t="str"/>
      <x:c r="L2721" s="39" t="str">
        <x:v>E112:P690</x:v>
      </x:c>
      <x:c r="M2721" s="39" t="str"/>
      <x:c r="N2721" s="39" t="str">
        <x:v>نسخه پایه ۳۱۵۰</x:v>
      </x:c>
    </x:row>
    <x:row r="2722" ht="34" customHeight="1">
      <x:c r="A2722" s="34" t="str">
        <x:v>☐</x:v>
      </x:c>
      <x:c r="B2722" s="34" t="str">
        <x:v>MI-2027</x:v>
      </x:c>
      <x:c r="C2722" s="34" t="str">
        <x:v>M6 — تحلیل‌های خام و ورودی‌های نیازمند پالایش</x:v>
      </x:c>
      <x:c r="D2722" s="34" t="str">
        <x:v>H20</x:v>
      </x:c>
      <x:c r="E2722" s="34" t="str">
        <x:v>یادداشت تحلیلی/راهبری ثبت‌شده در 11211</x:v>
      </x:c>
      <x:c r="F2722" s="34" t="str">
        <x:v>P3/CLARIFY</x:v>
      </x:c>
      <x:c r="G2722" s="34" t="str">
        <x:v>هدف/موضوع</x:v>
      </x:c>
      <x:c r="H2722" s="39" t="str">
        <x:v>سمینار اشتغال جوانان</x:v>
      </x:c>
      <x:c r="I2722" s="39" t="str">
        <x:v>نیازمند تعریف خروجی یا پارک</x:v>
      </x:c>
      <x:c r="J2722" s="39" t="str">
        <x:v>تحلیلگر راهبری/PMO؛ تبدیل به فرضیه یا اقدام در صورت نیاز</x:v>
      </x:c>
      <x:c r="K2722" s="39" t="str"/>
      <x:c r="L2722" s="39" t="str">
        <x:v>E112:P700</x:v>
      </x:c>
      <x:c r="M2722" s="39" t="str"/>
      <x:c r="N2722" s="39" t="str">
        <x:v>نسخه پایه ۳۱۵۰</x:v>
      </x:c>
    </x:row>
    <x:row r="2723" ht="34" customHeight="1">
      <x:c r="A2723" s="34" t="str">
        <x:v>☐</x:v>
      </x:c>
      <x:c r="B2723" s="34" t="str">
        <x:v>MI-2034</x:v>
      </x:c>
      <x:c r="C2723" s="34" t="str">
        <x:v>M6 — تحلیل‌های خام و ورودی‌های نیازمند پالایش</x:v>
      </x:c>
      <x:c r="D2723" s="34" t="str">
        <x:v>H20</x:v>
      </x:c>
      <x:c r="E2723" s="34" t="str">
        <x:v>یادداشت تحلیلی/راهبری ثبت‌شده در 11211</x:v>
      </x:c>
      <x:c r="F2723" s="34" t="str">
        <x:v>P3/CLARIFY</x:v>
      </x:c>
      <x:c r="G2723" s="34" t="str">
        <x:v>هدف/موضوع</x:v>
      </x:c>
      <x:c r="H2723" s="39" t="str">
        <x:v>Talent database</x:v>
      </x:c>
      <x:c r="I2723" s="39" t="str">
        <x:v>نیازمند تعریف خروجی یا پارک</x:v>
      </x:c>
      <x:c r="J2723" s="39" t="str">
        <x:v>تحلیلگر راهبری/PMO؛ تبدیل به فرضیه یا اقدام در صورت نیاز</x:v>
      </x:c>
      <x:c r="K2723" s="39" t="str"/>
      <x:c r="L2723" s="39" t="str">
        <x:v>E112:P719؛ E112:P3521؛ E112:P3638</x:v>
      </x:c>
      <x:c r="M2723" s="39" t="str"/>
      <x:c r="N2723" s="39" t="str">
        <x:v>نسخه پایه ۳۱۵۰</x:v>
      </x:c>
    </x:row>
    <x:row r="2724" ht="34" customHeight="1">
      <x:c r="A2724" s="34" t="str">
        <x:v>☐</x:v>
      </x:c>
      <x:c r="B2724" s="34" t="str">
        <x:v>MI-2036</x:v>
      </x:c>
      <x:c r="C2724" s="34" t="str">
        <x:v>M6 — تحلیل‌های خام و ورودی‌های نیازمند پالایش</x:v>
      </x:c>
      <x:c r="D2724" s="34" t="str">
        <x:v>H20</x:v>
      </x:c>
      <x:c r="E2724" s="34" t="str">
        <x:v>یادداشت تحلیلی/راهبری ثبت‌شده در 11211</x:v>
      </x:c>
      <x:c r="F2724" s="34" t="str">
        <x:v>P3/CLARIFY</x:v>
      </x:c>
      <x:c r="G2724" s="34" t="str">
        <x:v>هدف/موضوع</x:v>
      </x:c>
      <x:c r="H2724" s="39" t="str">
        <x:v>انجمن سازندگان (makers)</x:v>
      </x:c>
      <x:c r="I2724" s="39" t="str">
        <x:v>نیازمند تعریف خروجی یا پارک</x:v>
      </x:c>
      <x:c r="J2724" s="39" t="str">
        <x:v>تحلیلگر راهبری/PMO؛ تبدیل به فرضیه یا اقدام در صورت نیاز</x:v>
      </x:c>
      <x:c r="K2724" s="39" t="str"/>
      <x:c r="L2724" s="39" t="str">
        <x:v>E112:P721</x:v>
      </x:c>
      <x:c r="M2724" s="39" t="str"/>
      <x:c r="N2724" s="39" t="str">
        <x:v>نسخه پایه ۳۱۵۰</x:v>
      </x:c>
    </x:row>
    <x:row r="2725" ht="34" customHeight="1">
      <x:c r="A2725" s="34" t="str">
        <x:v>☐</x:v>
      </x:c>
      <x:c r="B2725" s="34" t="str">
        <x:v>MI-2040</x:v>
      </x:c>
      <x:c r="C2725" s="34" t="str">
        <x:v>M6 — تحلیل‌های خام و ورودی‌های نیازمند پالایش</x:v>
      </x:c>
      <x:c r="D2725" s="34" t="str">
        <x:v>H20</x:v>
      </x:c>
      <x:c r="E2725" s="34" t="str">
        <x:v>یادداشت تحلیلی/راهبری ثبت‌شده در 11211</x:v>
      </x:c>
      <x:c r="F2725" s="34" t="str">
        <x:v>P3/CLARIFY</x:v>
      </x:c>
      <x:c r="G2725" s="34" t="str">
        <x:v>هدف/موضوع</x:v>
      </x:c>
      <x:c r="H2725" s="39" t="str">
        <x:v>باشگاه بنیان گذاران</x:v>
      </x:c>
      <x:c r="I2725" s="39" t="str">
        <x:v>نیازمند تعریف خروجی یا پارک</x:v>
      </x:c>
      <x:c r="J2725" s="39" t="str">
        <x:v>تحلیلگر راهبری/PMO؛ تبدیل به فرضیه یا اقدام در صورت نیاز</x:v>
      </x:c>
      <x:c r="K2725" s="39" t="str"/>
      <x:c r="L2725" s="39" t="str">
        <x:v>E112:P725</x:v>
      </x:c>
      <x:c r="M2725" s="39" t="str"/>
      <x:c r="N2725" s="39" t="str">
        <x:v>نسخه پایه ۳۱۵۰</x:v>
      </x:c>
    </x:row>
    <x:row r="2726" ht="34" customHeight="1">
      <x:c r="A2726" s="34" t="str">
        <x:v>☐</x:v>
      </x:c>
      <x:c r="B2726" s="34" t="str">
        <x:v>MI-2047</x:v>
      </x:c>
      <x:c r="C2726" s="34" t="str">
        <x:v>M6 — تحلیل‌های خام و ورودی‌های نیازمند پالایش</x:v>
      </x:c>
      <x:c r="D2726" s="34" t="str">
        <x:v>H20</x:v>
      </x:c>
      <x:c r="E2726" s="34" t="str">
        <x:v>یادداشت تحلیلی/راهبری ثبت‌شده در 11211</x:v>
      </x:c>
      <x:c r="F2726" s="34" t="str">
        <x:v>P3/CLARIFY</x:v>
      </x:c>
      <x:c r="G2726" s="34" t="str">
        <x:v>هدف/موضوع</x:v>
      </x:c>
      <x:c r="H2726" s="39" t="str">
        <x:v>جریان دانش</x:v>
      </x:c>
      <x:c r="I2726" s="39" t="str">
        <x:v>نیازمند تعریف خروجی یا پارک</x:v>
      </x:c>
      <x:c r="J2726" s="39" t="str">
        <x:v>تحلیلگر راهبری/PMO؛ تبدیل به فرضیه یا اقدام در صورت نیاز</x:v>
      </x:c>
      <x:c r="K2726" s="39" t="str"/>
      <x:c r="L2726" s="39" t="str">
        <x:v>E112:P735</x:v>
      </x:c>
      <x:c r="M2726" s="39" t="str"/>
      <x:c r="N2726" s="39" t="str">
        <x:v>نسخه پایه ۳۱۵۰</x:v>
      </x:c>
    </x:row>
    <x:row r="2727" ht="34" customHeight="1">
      <x:c r="A2727" s="34" t="str">
        <x:v>☐</x:v>
      </x:c>
      <x:c r="B2727" s="34" t="str">
        <x:v>MI-2049</x:v>
      </x:c>
      <x:c r="C2727" s="34" t="str">
        <x:v>M6 — تحلیل‌های خام و ورودی‌های نیازمند پالایش</x:v>
      </x:c>
      <x:c r="D2727" s="34" t="str">
        <x:v>H20</x:v>
      </x:c>
      <x:c r="E2727" s="34" t="str">
        <x:v>یادداشت تحلیلی/راهبری ثبت‌شده در 11211</x:v>
      </x:c>
      <x:c r="F2727" s="34" t="str">
        <x:v>P3/CLARIFY</x:v>
      </x:c>
      <x:c r="G2727" s="34" t="str">
        <x:v>هدف/موضوع</x:v>
      </x:c>
      <x:c r="H2727" s="39" t="str">
        <x:v>جریان فرصت</x:v>
      </x:c>
      <x:c r="I2727" s="39" t="str">
        <x:v>نیازمند تعریف خروجی یا پارک</x:v>
      </x:c>
      <x:c r="J2727" s="39" t="str">
        <x:v>تحلیلگر راهبری/PMO؛ تبدیل به فرضیه یا اقدام در صورت نیاز</x:v>
      </x:c>
      <x:c r="K2727" s="39" t="str"/>
      <x:c r="L2727" s="39" t="str">
        <x:v>E112:P737</x:v>
      </x:c>
      <x:c r="M2727" s="39" t="str"/>
      <x:c r="N2727" s="39" t="str">
        <x:v>نسخه پایه ۳۱۵۰</x:v>
      </x:c>
    </x:row>
    <x:row r="2728" ht="34" customHeight="1">
      <x:c r="A2728" s="34" t="str">
        <x:v>☐</x:v>
      </x:c>
      <x:c r="B2728" s="34" t="str">
        <x:v>MI-2050</x:v>
      </x:c>
      <x:c r="C2728" s="34" t="str">
        <x:v>M6 — تحلیل‌های خام و ورودی‌های نیازمند پالایش</x:v>
      </x:c>
      <x:c r="D2728" s="34" t="str">
        <x:v>H20</x:v>
      </x:c>
      <x:c r="E2728" s="34" t="str">
        <x:v>یادداشت تحلیلی/راهبری ثبت‌شده در 11211</x:v>
      </x:c>
      <x:c r="F2728" s="34" t="str">
        <x:v>P3/CLARIFY</x:v>
      </x:c>
      <x:c r="G2728" s="34" t="str">
        <x:v>هدف/موضوع</x:v>
      </x:c>
      <x:c r="H2728" s="39" t="str">
        <x:v>جریان اعتبار</x:v>
      </x:c>
      <x:c r="I2728" s="39" t="str">
        <x:v>نیازمند تعریف خروجی یا پارک</x:v>
      </x:c>
      <x:c r="J2728" s="39" t="str">
        <x:v>تحلیلگر راهبری/PMO؛ تبدیل به فرضیه یا اقدام در صورت نیاز</x:v>
      </x:c>
      <x:c r="K2728" s="39" t="str"/>
      <x:c r="L2728" s="39" t="str">
        <x:v>E112:P738</x:v>
      </x:c>
      <x:c r="M2728" s="39" t="str"/>
      <x:c r="N2728" s="39" t="str">
        <x:v>نسخه پایه ۳۱۵۰</x:v>
      </x:c>
    </x:row>
    <x:row r="2729" ht="34" customHeight="1">
      <x:c r="A2729" s="34" t="str">
        <x:v>☐</x:v>
      </x:c>
      <x:c r="B2729" s="34" t="str">
        <x:v>MI-2052</x:v>
      </x:c>
      <x:c r="C2729" s="34" t="str">
        <x:v>M6 — تحلیل‌های خام و ورودی‌های نیازمند پالایش</x:v>
      </x:c>
      <x:c r="D2729" s="34" t="str">
        <x:v>H20</x:v>
      </x:c>
      <x:c r="E2729" s="34" t="str">
        <x:v>یادداشت تحلیلی/راهبری ثبت‌شده در 11211</x:v>
      </x:c>
      <x:c r="F2729" s="34" t="str">
        <x:v>P3/CLARIFY</x:v>
      </x:c>
      <x:c r="G2729" s="34" t="str">
        <x:v>هدف/موضوع</x:v>
      </x:c>
      <x:c r="H2729" s="39" t="str">
        <x:v>اگر بخواهی، در قدم بعدی می توانیم یک کار خیلی مهم انجام دهیم:</x:v>
      </x:c>
      <x:c r="I2729" s="39" t="str">
        <x:v>نیازمند تعریف خروجی یا پارک</x:v>
      </x:c>
      <x:c r="J2729" s="39" t="str">
        <x:v>تحلیلگر راهبری/PMO؛ تبدیل به فرضیه یا اقدام در صورت نیاز</x:v>
      </x:c>
      <x:c r="K2729" s="39" t="str"/>
      <x:c r="L2729" s="39" t="str">
        <x:v>E112:P742</x:v>
      </x:c>
      <x:c r="M2729" s="39" t="str"/>
      <x:c r="N2729" s="39" t="str">
        <x:v>نسخه پایه ۳۱۵۰</x:v>
      </x:c>
    </x:row>
    <x:row r="2730" ht="34" customHeight="1">
      <x:c r="A2730" s="34" t="str">
        <x:v>☐</x:v>
      </x:c>
      <x:c r="B2730" s="34" t="str">
        <x:v>MI-2054</x:v>
      </x:c>
      <x:c r="C2730" s="34" t="str">
        <x:v>M6 — تحلیل‌های خام و ورودی‌های نیازمند پالایش</x:v>
      </x:c>
      <x:c r="D2730" s="34" t="str">
        <x:v>H20</x:v>
      </x:c>
      <x:c r="E2730" s="34" t="str">
        <x:v>یادداشت تحلیلی/راهبری ثبت‌شده در 11211</x:v>
      </x:c>
      <x:c r="F2730" s="34" t="str">
        <x:v>P3/CLARIFY</x:v>
      </x:c>
      <x:c r="G2730" s="34" t="str">
        <x:v>هدف/موضوع</x:v>
      </x:c>
      <x:c r="H2730" s="39" t="str">
        <x:v>و مشخص کنیم:</x:v>
      </x:c>
      <x:c r="I2730" s="39" t="str">
        <x:v>نیازمند تعریف خروجی یا پارک</x:v>
      </x:c>
      <x:c r="J2730" s="39" t="str">
        <x:v>تحلیلگر راهبری/PMO؛ تبدیل به فرضیه یا اقدام در صورت نیاز</x:v>
      </x:c>
      <x:c r="K2730" s="39" t="str"/>
      <x:c r="L2730" s="39" t="str">
        <x:v>E112:P746</x:v>
      </x:c>
      <x:c r="M2730" s="39" t="str"/>
      <x:c r="N2730" s="39" t="str">
        <x:v>نسخه پایه ۳۱۵۰</x:v>
      </x:c>
    </x:row>
    <x:row r="2731" ht="34" customHeight="1">
      <x:c r="A2731" s="34" t="str">
        <x:v>☐</x:v>
      </x:c>
      <x:c r="B2731" s="34" t="str">
        <x:v>MI-2055</x:v>
      </x:c>
      <x:c r="C2731" s="34" t="str">
        <x:v>M6 — تحلیل‌های خام و ورودی‌های نیازمند پالایش</x:v>
      </x:c>
      <x:c r="D2731" s="34" t="str">
        <x:v>H20</x:v>
      </x:c>
      <x:c r="E2731" s="34" t="str">
        <x:v>یادداشت تحلیلی/راهبری ثبت‌شده در 11211</x:v>
      </x:c>
      <x:c r="F2731" s="34" t="str">
        <x:v>P3/CLARIFY</x:v>
      </x:c>
      <x:c r="G2731" s="34" t="str">
        <x:v>هدف/موضوع</x:v>
      </x:c>
      <x:c r="H2731" s="39" t="str">
        <x:v>گره های قدرت کجا هستند</x:v>
      </x:c>
      <x:c r="I2731" s="39" t="str">
        <x:v>نیازمند تعریف خروجی یا پارک</x:v>
      </x:c>
      <x:c r="J2731" s="39" t="str">
        <x:v>تحلیلگر راهبری/PMO؛ تبدیل به فرضیه یا اقدام در صورت نیاز</x:v>
      </x:c>
      <x:c r="K2731" s="39" t="str"/>
      <x:c r="L2731" s="39" t="str">
        <x:v>E112:P748؛ E112:P753</x:v>
      </x:c>
      <x:c r="M2731" s="39" t="str"/>
      <x:c r="N2731" s="39" t="str">
        <x:v>نسخه پایه ۳۱۵۰</x:v>
      </x:c>
    </x:row>
    <x:row r="2732" ht="34" customHeight="1">
      <x:c r="A2732" s="34" t="str">
        <x:v>☐</x:v>
      </x:c>
      <x:c r="B2732" s="34" t="str">
        <x:v>MI-2061</x:v>
      </x:c>
      <x:c r="C2732" s="34" t="str">
        <x:v>M6 — تحلیل‌های خام و ورودی‌های نیازمند پالایش</x:v>
      </x:c>
      <x:c r="D2732" s="34" t="str">
        <x:v>H20</x:v>
      </x:c>
      <x:c r="E2732" s="34" t="str">
        <x:v>یادداشت تحلیلی/راهبری ثبت‌شده در 11211</x:v>
      </x:c>
      <x:c r="F2732" s="34" t="str">
        <x:v>P3/CLARIFY</x:v>
      </x:c>
      <x:c r="G2732" s="34" t="str">
        <x:v>هدف/موضوع</x:v>
      </x:c>
      <x:c r="H2732" s="39" t="str">
        <x:v>گره قدرت یعنی جایی که سه چیز همزمان جمع می شود: آدم + اعتبار + منابع.</x:v>
      </x:c>
      <x:c r="I2732" s="39" t="str">
        <x:v>نیازمند تعریف خروجی یا پارک</x:v>
      </x:c>
      <x:c r="J2732" s="39" t="str">
        <x:v>تحلیلگر راهبری/PMO؛ تبدیل به فرضیه یا اقدام در صورت نیاز</x:v>
      </x:c>
      <x:c r="K2732" s="39" t="str"/>
      <x:c r="L2732" s="39" t="str">
        <x:v>E112:P761</x:v>
      </x:c>
      <x:c r="M2732" s="39" t="str"/>
      <x:c r="N2732" s="39" t="str">
        <x:v>نسخه پایه ۳۱۵۰</x:v>
      </x:c>
    </x:row>
    <x:row r="2733" ht="34" customHeight="1">
      <x:c r="A2733" s="34" t="str">
        <x:v>☐</x:v>
      </x:c>
      <x:c r="B2733" s="34" t="str">
        <x:v>MI-2065</x:v>
      </x:c>
      <x:c r="C2733" s="34" t="str">
        <x:v>M6 — تحلیل‌های خام و ورودی‌های نیازمند پالایش</x:v>
      </x:c>
      <x:c r="D2733" s="34" t="str">
        <x:v>H20</x:v>
      </x:c>
      <x:c r="E2733" s="34" t="str">
        <x:v>یادداشت تحلیلی/راهبری ثبت‌شده در 11211</x:v>
      </x:c>
      <x:c r="F2733" s="34" t="str">
        <x:v>P3/CLARIFY</x:v>
      </x:c>
      <x:c r="G2733" s="34" t="str">
        <x:v>هدف/موضوع</x:v>
      </x:c>
      <x:c r="H2733" s="39" t="str">
        <x:v>نمونه های محتمل در مازندران:</x:v>
      </x:c>
      <x:c r="I2733" s="39" t="str">
        <x:v>نیازمند تعریف خروجی یا پارک</x:v>
      </x:c>
      <x:c r="J2733" s="39" t="str">
        <x:v>تحلیلگر راهبری/PMO؛ تبدیل به فرضیه یا اقدام در صورت نیاز</x:v>
      </x:c>
      <x:c r="K2733" s="39" t="str"/>
      <x:c r="L2733" s="39" t="str">
        <x:v>E112:P768</x:v>
      </x:c>
      <x:c r="M2733" s="39" t="str"/>
      <x:c r="N2733" s="39" t="str">
        <x:v>نسخه پایه ۳۱۵۰</x:v>
      </x:c>
    </x:row>
    <x:row r="2734" ht="34" customHeight="1">
      <x:c r="A2734" s="34" t="str">
        <x:v>☐</x:v>
      </x:c>
      <x:c r="B2734" s="34" t="str">
        <x:v>MI-2070</x:v>
      </x:c>
      <x:c r="C2734" s="34" t="str">
        <x:v>M6 — تحلیل‌های خام و ورودی‌های نیازمند پالایش</x:v>
      </x:c>
      <x:c r="D2734" s="34" t="str">
        <x:v>H20</x:v>
      </x:c>
      <x:c r="E2734" s="34" t="str">
        <x:v>یادداشت تحلیلی/راهبری ثبت‌شده در 11211</x:v>
      </x:c>
      <x:c r="F2734" s="34" t="str">
        <x:v>P3/CLARIFY</x:v>
      </x:c>
      <x:c r="G2734" s="34" t="str">
        <x:v>هدف/موضوع</x:v>
      </x:c>
      <x:c r="H2734" s="39" t="str">
        <x:v>قدرت آنها:</x:v>
      </x:c>
      <x:c r="I2734" s="39" t="str">
        <x:v>نیازمند تعریف خروجی یا پارک</x:v>
      </x:c>
      <x:c r="J2734" s="39" t="str">
        <x:v>تحلیلگر راهبری/PMO؛ تبدیل به فرضیه یا اقدام در صورت نیاز</x:v>
      </x:c>
      <x:c r="K2734" s="39" t="str"/>
      <x:c r="L2734" s="39" t="str">
        <x:v>E112:P775</x:v>
      </x:c>
      <x:c r="M2734" s="39" t="str"/>
      <x:c r="N2734" s="39" t="str">
        <x:v>نسخه پایه ۳۱۵۰</x:v>
      </x:c>
    </x:row>
    <x:row r="2735" ht="34" customHeight="1">
      <x:c r="A2735" s="34" t="str">
        <x:v>☐</x:v>
      </x:c>
      <x:c r="B2735" s="34" t="str">
        <x:v>MI-2072</x:v>
      </x:c>
      <x:c r="C2735" s="34" t="str">
        <x:v>M6 — تحلیل‌های خام و ورودی‌های نیازمند پالایش</x:v>
      </x:c>
      <x:c r="D2735" s="34" t="str">
        <x:v>H20</x:v>
      </x:c>
      <x:c r="E2735" s="34" t="str">
        <x:v>یادداشت تحلیلی/راهبری ثبت‌شده در 11211</x:v>
      </x:c>
      <x:c r="F2735" s="34" t="str">
        <x:v>P3/CLARIFY</x:v>
      </x:c>
      <x:c r="G2735" s="34" t="str">
        <x:v>هدف/موضوع</x:v>
      </x:c>
      <x:c r="H2735" s="39" t="str">
        <x:v>یکی از مهم ترین گره ها.</x:v>
      </x:c>
      <x:c r="I2735" s="39" t="str">
        <x:v>نیازمند تعریف خروجی یا پارک</x:v>
      </x:c>
      <x:c r="J2735" s="39" t="str">
        <x:v>تحلیلگر راهبری/PMO؛ تبدیل به فرضیه یا اقدام در صورت نیاز</x:v>
      </x:c>
      <x:c r="K2735" s="39" t="str"/>
      <x:c r="L2735" s="39" t="str">
        <x:v>E112:P784</x:v>
      </x:c>
      <x:c r="M2735" s="39" t="str"/>
      <x:c r="N2735" s="39" t="str">
        <x:v>نسخه پایه ۳۱۵۰</x:v>
      </x:c>
    </x:row>
    <x:row r="2736" ht="34" customHeight="1">
      <x:c r="A2736" s="34" t="str">
        <x:v>☐</x:v>
      </x:c>
      <x:c r="B2736" s="34" t="str">
        <x:v>MI-2073</x:v>
      </x:c>
      <x:c r="C2736" s="34" t="str">
        <x:v>M6 — تحلیل‌های خام و ورودی‌های نیازمند پالایش</x:v>
      </x:c>
      <x:c r="D2736" s="34" t="str">
        <x:v>H20</x:v>
      </x:c>
      <x:c r="E2736" s="34" t="str">
        <x:v>یادداشت تحلیلی/راهبری ثبت‌شده در 11211</x:v>
      </x:c>
      <x:c r="F2736" s="34" t="str">
        <x:v>P3/CLARIFY</x:v>
      </x:c>
      <x:c r="G2736" s="34" t="str">
        <x:v>هدف/موضوع</x:v>
      </x:c>
      <x:c r="H2736" s="39" t="str">
        <x:v>چرا؟</x:v>
      </x:c>
      <x:c r="I2736" s="39" t="str">
        <x:v>نیازمند تعریف خروجی یا پارک</x:v>
      </x:c>
      <x:c r="J2736" s="39" t="str">
        <x:v>تحلیلگر راهبری/PMO؛ تبدیل به فرضیه یا اقدام در صورت نیاز</x:v>
      </x:c>
      <x:c r="K2736" s="39" t="str"/>
      <x:c r="L2736" s="39" t="str">
        <x:v>E112:P786</x:v>
      </x:c>
      <x:c r="M2736" s="39" t="str"/>
      <x:c r="N2736" s="39" t="str">
        <x:v>نسخه پایه ۳۱۵۰</x:v>
      </x:c>
    </x:row>
    <x:row r="2737" ht="34" customHeight="1">
      <x:c r="A2737" s="34" t="str">
        <x:v>☐</x:v>
      </x:c>
      <x:c r="B2737" s="34" t="str">
        <x:v>MI-2074</x:v>
      </x:c>
      <x:c r="C2737" s="34" t="str">
        <x:v>M6 — تحلیل‌های خام و ورودی‌های نیازمند پالایش</x:v>
      </x:c>
      <x:c r="D2737" s="34" t="str">
        <x:v>H20</x:v>
      </x:c>
      <x:c r="E2737" s="34" t="str">
        <x:v>یادداشت تحلیلی/راهبری ثبت‌شده در 11211</x:v>
      </x:c>
      <x:c r="F2737" s="34" t="str">
        <x:v>P3/CLARIFY</x:v>
      </x:c>
      <x:c r="G2737" s="34" t="str">
        <x:v>هدف/موضوع</x:v>
      </x:c>
      <x:c r="H2737" s="39" t="str">
        <x:v>شرکت های دانش بنیان</x:v>
      </x:c>
      <x:c r="I2737" s="39" t="str">
        <x:v>نیازمند تعریف خروجی یا پارک</x:v>
      </x:c>
      <x:c r="J2737" s="39" t="str">
        <x:v>تحلیلگر راهبری/PMO؛ تبدیل به فرضیه یا اقدام در صورت نیاز</x:v>
      </x:c>
      <x:c r="K2737" s="39" t="str"/>
      <x:c r="L2737" s="39" t="str">
        <x:v>E112:P789</x:v>
      </x:c>
      <x:c r="M2737" s="39" t="str"/>
      <x:c r="N2737" s="39" t="str">
        <x:v>نسخه پایه ۳۱۵۰</x:v>
      </x:c>
    </x:row>
    <x:row r="2738" ht="34" customHeight="1">
      <x:c r="A2738" s="34" t="str">
        <x:v>☐</x:v>
      </x:c>
      <x:c r="B2738" s="34" t="str">
        <x:v>MI-2076</x:v>
      </x:c>
      <x:c r="C2738" s="34" t="str">
        <x:v>M6 — تحلیل‌های خام و ورودی‌های نیازمند پالایش</x:v>
      </x:c>
      <x:c r="D2738" s="34" t="str">
        <x:v>H20</x:v>
      </x:c>
      <x:c r="E2738" s="34" t="str">
        <x:v>یادداشت تحلیلی/راهبری ثبت‌شده در 11211</x:v>
      </x:c>
      <x:c r="F2738" s="34" t="str">
        <x:v>P3/CLARIFY</x:v>
      </x:c>
      <x:c r="G2738" s="34" t="str">
        <x:v>هدف/موضوع</x:v>
      </x:c>
      <x:c r="H2738" s="39" t="str">
        <x:v>دسترسی به منابع مالی</x:v>
      </x:c>
      <x:c r="I2738" s="39" t="str">
        <x:v>نیازمند تعریف خروجی یا پارک</x:v>
      </x:c>
      <x:c r="J2738" s="39" t="str">
        <x:v>تحلیلگر راهبری/PMO؛ تبدیل به فرضیه یا اقدام در صورت نیاز</x:v>
      </x:c>
      <x:c r="K2738" s="39" t="str"/>
      <x:c r="L2738" s="39" t="str">
        <x:v>E112:P791</x:v>
      </x:c>
      <x:c r="M2738" s="39" t="str"/>
      <x:c r="N2738" s="39" t="str">
        <x:v>نسخه پایه ۳۱۵۰</x:v>
      </x:c>
    </x:row>
    <x:row r="2739" ht="34" customHeight="1">
      <x:c r="A2739" s="34" t="str">
        <x:v>☐</x:v>
      </x:c>
      <x:c r="B2739" s="34" t="str">
        <x:v>MI-2077</x:v>
      </x:c>
      <x:c r="C2739" s="34" t="str">
        <x:v>M6 — تحلیل‌های خام و ورودی‌های نیازمند پالایش</x:v>
      </x:c>
      <x:c r="D2739" s="34" t="str">
        <x:v>H20</x:v>
      </x:c>
      <x:c r="E2739" s="34" t="str">
        <x:v>یادداشت تحلیلی/راهبری ثبت‌شده در 11211</x:v>
      </x:c>
      <x:c r="F2739" s="34" t="str">
        <x:v>P3/CLARIFY</x:v>
      </x:c>
      <x:c r="G2739" s="34" t="str">
        <x:v>هدف/موضوع</x:v>
      </x:c>
      <x:c r="H2739" s="39" t="str">
        <x:v>این گره معمولاً مرکز رسمی نوآوری استان است.</x:v>
      </x:c>
      <x:c r="I2739" s="39" t="str">
        <x:v>نیازمند تعریف خروجی یا پارک</x:v>
      </x:c>
      <x:c r="J2739" s="39" t="str">
        <x:v>تحلیلگر راهبری/PMO؛ تبدیل به فرضیه یا اقدام در صورت نیاز</x:v>
      </x:c>
      <x:c r="K2739" s="39" t="str"/>
      <x:c r="L2739" s="39" t="str">
        <x:v>E112:P793</x:v>
      </x:c>
      <x:c r="M2739" s="39" t="str"/>
      <x:c r="N2739" s="39" t="str">
        <x:v>نسخه پایه ۳۱۵۰</x:v>
      </x:c>
    </x:row>
    <x:row r="2740" ht="34" customHeight="1">
      <x:c r="A2740" s="34" t="str">
        <x:v>☐</x:v>
      </x:c>
      <x:c r="B2740" s="34" t="str">
        <x:v>MI-2080</x:v>
      </x:c>
      <x:c r="C2740" s="34" t="str">
        <x:v>M6 — تحلیل‌های خام و ورودی‌های نیازمند پالایش</x:v>
      </x:c>
      <x:c r="D2740" s="34" t="str">
        <x:v>H20</x:v>
      </x:c>
      <x:c r="E2740" s="34" t="str">
        <x:v>یادداشت تحلیلی/راهبری ثبت‌شده در 11211</x:v>
      </x:c>
      <x:c r="F2740" s="34" t="str">
        <x:v>P3/CLARIFY</x:v>
      </x:c>
      <x:c r="G2740" s="34" t="str">
        <x:v>هدف/موضوع</x:v>
      </x:c>
      <x:c r="H2740" s="39" t="str">
        <x:v>در مازندران معمولاً شامل:</x:v>
      </x:c>
      <x:c r="I2740" s="39" t="str">
        <x:v>نیازمند تعریف خروجی یا پارک</x:v>
      </x:c>
      <x:c r="J2740" s="39" t="str">
        <x:v>تحلیلگر راهبری/PMO؛ تبدیل به فرضیه یا اقدام در صورت نیاز</x:v>
      </x:c>
      <x:c r="K2740" s="39" t="str"/>
      <x:c r="L2740" s="39" t="str">
        <x:v>E112:P798</x:v>
      </x:c>
      <x:c r="M2740" s="39" t="str"/>
      <x:c r="N2740" s="39" t="str">
        <x:v>نسخه پایه ۳۱۵۰</x:v>
      </x:c>
    </x:row>
    <x:row r="2741" ht="34" customHeight="1">
      <x:c r="A2741" s="34" t="str">
        <x:v>☐</x:v>
      </x:c>
      <x:c r="B2741" s="34" t="str">
        <x:v>MI-2083</x:v>
      </x:c>
      <x:c r="C2741" s="34" t="str">
        <x:v>M6 — تحلیل‌های خام و ورودی‌های نیازمند پالایش</x:v>
      </x:c>
      <x:c r="D2741" s="34" t="str">
        <x:v>H20</x:v>
      </x:c>
      <x:c r="E2741" s="34" t="str">
        <x:v>یادداشت تحلیلی/راهبری ثبت‌شده در 11211</x:v>
      </x:c>
      <x:c r="F2741" s="34" t="str">
        <x:v>P3/CLARIFY</x:v>
      </x:c>
      <x:c r="G2741" s="34" t="str">
        <x:v>هدف/موضوع</x:v>
      </x:c>
      <x:c r="H2741" s="39" t="str">
        <x:v>قدرت:</x:v>
      </x:c>
      <x:c r="I2741" s="39" t="str">
        <x:v>نیازمند تعریف خروجی یا پارک</x:v>
      </x:c>
      <x:c r="J2741" s="39" t="str">
        <x:v>تحلیلگر راهبری/PMO؛ تبدیل به فرضیه یا اقدام در صورت نیاز</x:v>
      </x:c>
      <x:c r="K2741" s="39" t="str"/>
      <x:c r="L2741" s="39" t="str">
        <x:v>E112:P806</x:v>
      </x:c>
      <x:c r="M2741" s="39" t="str"/>
      <x:c r="N2741" s="39" t="str">
        <x:v>نسخه پایه ۳۱۵۰</x:v>
      </x:c>
    </x:row>
    <x:row r="2742" ht="34" customHeight="1">
      <x:c r="A2742" s="34" t="str">
        <x:v>☐</x:v>
      </x:c>
      <x:c r="B2742" s="34" t="str">
        <x:v>MI-2084</x:v>
      </x:c>
      <x:c r="C2742" s="34" t="str">
        <x:v>M6 — تحلیل‌های خام و ورودی‌های نیازمند پالایش</x:v>
      </x:c>
      <x:c r="D2742" s="34" t="str">
        <x:v>H20</x:v>
      </x:c>
      <x:c r="E2742" s="34" t="str">
        <x:v>یادداشت تحلیلی/راهبری ثبت‌شده در 11211</x:v>
      </x:c>
      <x:c r="F2742" s="34" t="str">
        <x:v>P3/CLARIFY</x:v>
      </x:c>
      <x:c r="G2742" s="34" t="str">
        <x:v>هدف/موضوع</x:v>
      </x:c>
      <x:c r="H2742" s="39" t="str">
        <x:v>بازار واقعی</x:v>
      </x:c>
      <x:c r="I2742" s="39" t="str">
        <x:v>نیازمند تعریف خروجی یا پارک</x:v>
      </x:c>
      <x:c r="J2742" s="39" t="str">
        <x:v>تحلیلگر راهبری/PMO؛ تبدیل به فرضیه یا اقدام در صورت نیاز</x:v>
      </x:c>
      <x:c r="K2742" s="39" t="str"/>
      <x:c r="L2742" s="39" t="str">
        <x:v>E112:P808</x:v>
      </x:c>
      <x:c r="M2742" s="39" t="str"/>
      <x:c r="N2742" s="39" t="str">
        <x:v>نسخه پایه ۳۱۵۰</x:v>
      </x:c>
    </x:row>
    <x:row r="2743" ht="34" customHeight="1">
      <x:c r="A2743" s="34" t="str">
        <x:v>☐</x:v>
      </x:c>
      <x:c r="B2743" s="34" t="str">
        <x:v>MI-2085</x:v>
      </x:c>
      <x:c r="C2743" s="34" t="str">
        <x:v>M6 — تحلیل‌های خام و ورودی‌های نیازمند پالایش</x:v>
      </x:c>
      <x:c r="D2743" s="34" t="str">
        <x:v>H20</x:v>
      </x:c>
      <x:c r="E2743" s="34" t="str">
        <x:v>یادداشت تحلیلی/راهبری ثبت‌شده در 11211</x:v>
      </x:c>
      <x:c r="F2743" s="34" t="str">
        <x:v>P3/CLARIFY</x:v>
      </x:c>
      <x:c r="G2743" s="34" t="str">
        <x:v>هدف/موضوع</x:v>
      </x:c>
      <x:c r="H2743" s="39" t="str">
        <x:v>4. نهادهای تصمیم گیر</x:v>
      </x:c>
      <x:c r="I2743" s="39" t="str">
        <x:v>نیازمند تعریف خروجی یا پارک</x:v>
      </x:c>
      <x:c r="J2743" s="39" t="str">
        <x:v>تحلیلگر راهبری/PMO؛ تبدیل به فرضیه یا اقدام در صورت نیاز</x:v>
      </x:c>
      <x:c r="K2743" s="39" t="str"/>
      <x:c r="L2743" s="39" t="str">
        <x:v>E112:P812</x:v>
      </x:c>
      <x:c r="M2743" s="39" t="str"/>
      <x:c r="N2743" s="39" t="str">
        <x:v>نسخه پایه ۳۱۵۰</x:v>
      </x:c>
    </x:row>
    <x:row r="2744" ht="34" customHeight="1">
      <x:c r="A2744" s="34" t="str">
        <x:v>☐</x:v>
      </x:c>
      <x:c r="B2744" s="34" t="str">
        <x:v>MI-2086</x:v>
      </x:c>
      <x:c r="C2744" s="34" t="str">
        <x:v>M6 — تحلیل‌های خام و ورودی‌های نیازمند پالایش</x:v>
      </x:c>
      <x:c r="D2744" s="34" t="str">
        <x:v>H20</x:v>
      </x:c>
      <x:c r="E2744" s="34" t="str">
        <x:v>یادداشت تحلیلی/راهبری ثبت‌شده در 11211</x:v>
      </x:c>
      <x:c r="F2744" s="34" t="str">
        <x:v>P3/CLARIFY</x:v>
      </x:c>
      <x:c r="G2744" s="34" t="str">
        <x:v>هدف/موضوع</x:v>
      </x:c>
      <x:c r="H2744" s="39" t="str">
        <x:v>بسیار مهم و گاهی تعیین کننده.</x:v>
      </x:c>
      <x:c r="I2744" s="39" t="str">
        <x:v>نیازمند تعریف خروجی یا پارک</x:v>
      </x:c>
      <x:c r="J2744" s="39" t="str">
        <x:v>تحلیلگر راهبری/PMO؛ تبدیل به فرضیه یا اقدام در صورت نیاز</x:v>
      </x:c>
      <x:c r="K2744" s="39" t="str"/>
      <x:c r="L2744" s="39" t="str">
        <x:v>E112:P814</x:v>
      </x:c>
      <x:c r="M2744" s="39" t="str"/>
      <x:c r="N2744" s="39" t="str">
        <x:v>نسخه پایه ۳۱۵۰</x:v>
      </x:c>
    </x:row>
    <x:row r="2745" ht="34" customHeight="1">
      <x:c r="A2745" s="34" t="str">
        <x:v>☐</x:v>
      </x:c>
      <x:c r="B2745" s="34" t="str">
        <x:v>MI-2088</x:v>
      </x:c>
      <x:c r="C2745" s="34" t="str">
        <x:v>M6 — تحلیل‌های خام و ورودی‌های نیازمند پالایش</x:v>
      </x:c>
      <x:c r="D2745" s="34" t="str">
        <x:v>H20</x:v>
      </x:c>
      <x:c r="E2745" s="34" t="str">
        <x:v>یادداشت تحلیلی/راهبری ثبت‌شده در 11211</x:v>
      </x:c>
      <x:c r="F2745" s="34" t="str">
        <x:v>P3/CLARIFY</x:v>
      </x:c>
      <x:c r="G2745" s="34" t="str">
        <x:v>هدف/موضوع</x:v>
      </x:c>
      <x:c r="H2745" s="39" t="str">
        <x:v>بنیاد نخبگان</x:v>
      </x:c>
      <x:c r="I2745" s="39" t="str">
        <x:v>نیازمند تعریف خروجی یا پارک</x:v>
      </x:c>
      <x:c r="J2745" s="39" t="str">
        <x:v>تحلیلگر راهبری/PMO؛ تبدیل به فرضیه یا اقدام در صورت نیاز</x:v>
      </x:c>
      <x:c r="K2745" s="39" t="str"/>
      <x:c r="L2745" s="39" t="str">
        <x:v>E112:P820؛ E112:P1039</x:v>
      </x:c>
      <x:c r="M2745" s="39" t="str"/>
      <x:c r="N2745" s="39" t="str">
        <x:v>نسخه پایه ۳۱۵۰</x:v>
      </x:c>
    </x:row>
    <x:row r="2746" ht="34" customHeight="1">
      <x:c r="A2746" s="34" t="str">
        <x:v>☐</x:v>
      </x:c>
      <x:c r="B2746" s="34" t="str">
        <x:v>MI-2093</x:v>
      </x:c>
      <x:c r="C2746" s="34" t="str">
        <x:v>M6 — تحلیل‌های خام و ورودی‌های نیازمند پالایش</x:v>
      </x:c>
      <x:c r="D2746" s="34" t="str">
        <x:v>H20</x:v>
      </x:c>
      <x:c r="E2746" s="34" t="str">
        <x:v>یادداشت تحلیلی/راهبری ثبت‌شده در 11211</x:v>
      </x:c>
      <x:c r="F2746" s="34" t="str">
        <x:v>P3/CLARIFY</x:v>
      </x:c>
      <x:c r="G2746" s="34" t="str">
        <x:v>هدف/موضوع</x:v>
      </x:c>
      <x:c r="H2746" s="39" t="str">
        <x:v>به همه دسترسی دارند</x:v>
      </x:c>
      <x:c r="I2746" s="39" t="str">
        <x:v>نیازمند تعریف خروجی یا پارک</x:v>
      </x:c>
      <x:c r="J2746" s="39" t="str">
        <x:v>تحلیلگر راهبری/PMO؛ تبدیل به فرضیه یا اقدام در صورت نیاز</x:v>
      </x:c>
      <x:c r="K2746" s="39" t="str"/>
      <x:c r="L2746" s="39" t="str">
        <x:v>E112:P828</x:v>
      </x:c>
      <x:c r="M2746" s="39" t="str"/>
      <x:c r="N2746" s="39" t="str">
        <x:v>نسخه پایه ۳۱۵۰</x:v>
      </x:c>
    </x:row>
    <x:row r="2747" ht="34" customHeight="1">
      <x:c r="A2747" s="34" t="str">
        <x:v>☐</x:v>
      </x:c>
      <x:c r="B2747" s="34" t="str">
        <x:v>MI-2094</x:v>
      </x:c>
      <x:c r="C2747" s="34" t="str">
        <x:v>M6 — تحلیل‌های خام و ورودی‌های نیازمند پالایش</x:v>
      </x:c>
      <x:c r="D2747" s="34" t="str">
        <x:v>H20</x:v>
      </x:c>
      <x:c r="E2747" s="34" t="str">
        <x:v>یادداشت تحلیلی/راهبری ثبت‌شده در 11211</x:v>
      </x:c>
      <x:c r="F2747" s="34" t="str">
        <x:v>P3/CLARIFY</x:v>
      </x:c>
      <x:c r="G2747" s="34" t="str">
        <x:v>هدف/موضوع</x:v>
      </x:c>
      <x:c r="H2747" s="39" t="str">
        <x:v>اعتماد عمومی دارند</x:v>
      </x:c>
      <x:c r="I2747" s="39" t="str">
        <x:v>نیازمند تعریف خروجی یا پارک</x:v>
      </x:c>
      <x:c r="J2747" s="39" t="str">
        <x:v>تحلیلگر راهبری/PMO؛ تبدیل به فرضیه یا اقدام در صورت نیاز</x:v>
      </x:c>
      <x:c r="K2747" s="39" t="str"/>
      <x:c r="L2747" s="39" t="str">
        <x:v>E112:P829</x:v>
      </x:c>
      <x:c r="M2747" s="39" t="str"/>
      <x:c r="N2747" s="39" t="str">
        <x:v>نسخه پایه ۳۱۵۰</x:v>
      </x:c>
    </x:row>
    <x:row r="2748" ht="34" customHeight="1">
      <x:c r="A2748" s="34" t="str">
        <x:v>☐</x:v>
      </x:c>
      <x:c r="B2748" s="34" t="str">
        <x:v>MI-2095</x:v>
      </x:c>
      <x:c r="C2748" s="34" t="str">
        <x:v>M6 — تحلیل‌های خام و ورودی‌های نیازمند پالایش</x:v>
      </x:c>
      <x:c r="D2748" s="34" t="str">
        <x:v>H20</x:v>
      </x:c>
      <x:c r="E2748" s="34" t="str">
        <x:v>یادداشت تحلیلی/راهبری ثبت‌شده در 11211</x:v>
      </x:c>
      <x:c r="F2748" s="34" t="str">
        <x:v>P3/CLARIFY</x:v>
      </x:c>
      <x:c r="G2748" s="34" t="str">
        <x:v>هدف/موضوع</x:v>
      </x:c>
      <x:c r="H2748" s="39" t="str">
        <x:v>مثلاً:</x:v>
      </x:c>
      <x:c r="I2748" s="39" t="str">
        <x:v>نیازمند تعریف خروجی یا پارک</x:v>
      </x:c>
      <x:c r="J2748" s="39" t="str">
        <x:v>تحلیلگر راهبری/PMO؛ تبدیل به فرضیه یا اقدام در صورت نیاز</x:v>
      </x:c>
      <x:c r="K2748" s="39" t="str"/>
      <x:c r="L2748" s="39" t="str">
        <x:v>E112:P831؛ E112:P934؛ E112:P1408؛ E112:P2012؛ E112:P2086</x:v>
      </x:c>
      <x:c r="M2748" s="39" t="str"/>
      <x:c r="N2748" s="39" t="str">
        <x:v>نسخه پایه ۳۱۵۰</x:v>
      </x:c>
    </x:row>
    <x:row r="2749" ht="34" customHeight="1">
      <x:c r="A2749" s="34" t="str">
        <x:v>☐</x:v>
      </x:c>
      <x:c r="B2749" s="34" t="str">
        <x:v>MI-2096</x:v>
      </x:c>
      <x:c r="C2749" s="34" t="str">
        <x:v>M6 — تحلیل‌های خام و ورودی‌های نیازمند پالایش</x:v>
      </x:c>
      <x:c r="D2749" s="34" t="str">
        <x:v>H20</x:v>
      </x:c>
      <x:c r="E2749" s="34" t="str">
        <x:v>یادداشت تحلیلی/راهبری ثبت‌شده در 11211</x:v>
      </x:c>
      <x:c r="F2749" s="34" t="str">
        <x:v>P3/CLARIFY</x:v>
      </x:c>
      <x:c r="G2749" s="34" t="str">
        <x:v>هدف/موضوع</x:v>
      </x:c>
      <x:c r="H2749" s="39" t="str">
        <x:v>کارآفرین موفق</x:v>
      </x:c>
      <x:c r="I2749" s="39" t="str">
        <x:v>نیازمند تعریف خروجی یا پارک</x:v>
      </x:c>
      <x:c r="J2749" s="39" t="str">
        <x:v>تحلیلگر راهبری/PMO؛ تبدیل به فرضیه یا اقدام در صورت نیاز</x:v>
      </x:c>
      <x:c r="K2749" s="39" t="str"/>
      <x:c r="L2749" s="39" t="str">
        <x:v>E112:P833</x:v>
      </x:c>
      <x:c r="M2749" s="39" t="str"/>
      <x:c r="N2749" s="39" t="str">
        <x:v>نسخه پایه ۳۱۵۰</x:v>
      </x:c>
    </x:row>
    <x:row r="2750" ht="34" customHeight="1">
      <x:c r="A2750" s="34" t="str">
        <x:v>☐</x:v>
      </x:c>
      <x:c r="B2750" s="34" t="str">
        <x:v>MI-2098</x:v>
      </x:c>
      <x:c r="C2750" s="34" t="str">
        <x:v>M6 — تحلیل‌های خام و ورودی‌های نیازمند پالایش</x:v>
      </x:c>
      <x:c r="D2750" s="34" t="str">
        <x:v>H20</x:v>
      </x:c>
      <x:c r="E2750" s="34" t="str">
        <x:v>یادداشت تحلیلی/راهبری ثبت‌شده در 11211</x:v>
      </x:c>
      <x:c r="F2750" s="34" t="str">
        <x:v>P3/CLARIFY</x:v>
      </x:c>
      <x:c r="G2750" s="34" t="str">
        <x:v>هدف/موضوع</x:v>
      </x:c>
      <x:c r="H2750" s="39" t="str">
        <x:v>مدیر پارک</x:v>
      </x:c>
      <x:c r="I2750" s="39" t="str">
        <x:v>نیازمند تعریف خروجی یا پارک</x:v>
      </x:c>
      <x:c r="J2750" s="39" t="str">
        <x:v>تحلیلگر راهبری/PMO؛ تبدیل به فرضیه یا اقدام در صورت نیاز</x:v>
      </x:c>
      <x:c r="K2750" s="39" t="str"/>
      <x:c r="L2750" s="39" t="str">
        <x:v>E112:P835</x:v>
      </x:c>
      <x:c r="M2750" s="39" t="str"/>
      <x:c r="N2750" s="39" t="str">
        <x:v>نسخه پایه ۳۱۵۰</x:v>
      </x:c>
    </x:row>
    <x:row r="2751" ht="34" customHeight="1">
      <x:c r="A2751" s="34" t="str">
        <x:v>☐</x:v>
      </x:c>
      <x:c r="B2751" s="34" t="str">
        <x:v>MI-2102</x:v>
      </x:c>
      <x:c r="C2751" s="34" t="str">
        <x:v>M6 — تحلیل‌های خام و ورودی‌های نیازمند پالایش</x:v>
      </x:c>
      <x:c r="D2751" s="34" t="str">
        <x:v>H20</x:v>
      </x:c>
      <x:c r="E2751" s="34" t="str">
        <x:v>یادداشت تحلیلی/راهبری ثبت‌شده در 11211</x:v>
      </x:c>
      <x:c r="F2751" s="34" t="str">
        <x:v>P3/CLARIFY</x:v>
      </x:c>
      <x:c r="G2751" s="34" t="str">
        <x:v>هدف/موضوع</x:v>
      </x:c>
      <x:c r="H2751" s="39" t="str">
        <x:v>تقریباً در اکثر استان ها چند خلا مشترک وجود دارد.</x:v>
      </x:c>
      <x:c r="I2751" s="39" t="str">
        <x:v>نیازمند تعریف خروجی یا پارک</x:v>
      </x:c>
      <x:c r="J2751" s="39" t="str">
        <x:v>تحلیلگر راهبری/PMO؛ تبدیل به فرضیه یا اقدام در صورت نیاز</x:v>
      </x:c>
      <x:c r="K2751" s="39" t="str"/>
      <x:c r="L2751" s="39" t="str">
        <x:v>E112:P841</x:v>
      </x:c>
      <x:c r="M2751" s="39" t="str"/>
      <x:c r="N2751" s="39" t="str">
        <x:v>نسخه پایه ۳۱۵۰</x:v>
      </x:c>
    </x:row>
    <x:row r="2752" ht="34" customHeight="1">
      <x:c r="A2752" s="34" t="str">
        <x:v>☐</x:v>
      </x:c>
      <x:c r="B2752" s="34" t="str">
        <x:v>MI-2105</x:v>
      </x:c>
      <x:c r="C2752" s="34" t="str">
        <x:v>M6 — تحلیل‌های خام و ورودی‌های نیازمند پالایش</x:v>
      </x:c>
      <x:c r="D2752" s="34" t="str">
        <x:v>H20</x:v>
      </x:c>
      <x:c r="E2752" s="34" t="str">
        <x:v>یادداشت تحلیلی/راهبری ثبت‌شده در 11211</x:v>
      </x:c>
      <x:c r="F2752" s="34" t="str">
        <x:v>P3/CLARIFY</x:v>
      </x:c>
      <x:c r="G2752" s="34" t="str">
        <x:v>هدف/موضوع</x:v>
      </x:c>
      <x:c r="H2752" s="39" t="str">
        <x:v>به محصول تبدیل نمی شود</x:v>
      </x:c>
      <x:c r="I2752" s="39" t="str">
        <x:v>نیازمند تعریف خروجی یا پارک</x:v>
      </x:c>
      <x:c r="J2752" s="39" t="str">
        <x:v>تحلیلگر راهبری/PMO؛ تبدیل به فرضیه یا اقدام در صورت نیاز</x:v>
      </x:c>
      <x:c r="K2752" s="39" t="str"/>
      <x:c r="L2752" s="39" t="str">
        <x:v>E112:P846</x:v>
      </x:c>
      <x:c r="M2752" s="39" t="str"/>
      <x:c r="N2752" s="39" t="str">
        <x:v>نسخه پایه ۳۱۵۰</x:v>
      </x:c>
    </x:row>
    <x:row r="2753" ht="34" customHeight="1">
      <x:c r="A2753" s="34" t="str">
        <x:v>☐</x:v>
      </x:c>
      <x:c r="B2753" s="34" t="str">
        <x:v>MI-2106</x:v>
      </x:c>
      <x:c r="C2753" s="34" t="str">
        <x:v>M6 — تحلیل‌های خام و ورودی‌های نیازمند پالایش</x:v>
      </x:c>
      <x:c r="D2753" s="34" t="str">
        <x:v>H20</x:v>
      </x:c>
      <x:c r="E2753" s="34" t="str">
        <x:v>یادداشت تحلیلی/راهبری ثبت‌شده در 11211</x:v>
      </x:c>
      <x:c r="F2753" s="34" t="str">
        <x:v>P3/CLARIFY</x:v>
      </x:c>
      <x:c r="G2753" s="34" t="str">
        <x:v>هدف/موضوع</x:v>
      </x:c>
      <x:c r="H2753" s="39" t="str">
        <x:v>وارد بازار نمی شود</x:v>
      </x:c>
      <x:c r="I2753" s="39" t="str">
        <x:v>نیازمند تعریف خروجی یا پارک</x:v>
      </x:c>
      <x:c r="J2753" s="39" t="str">
        <x:v>تحلیلگر راهبری/PMO؛ تبدیل به فرضیه یا اقدام در صورت نیاز</x:v>
      </x:c>
      <x:c r="K2753" s="39" t="str"/>
      <x:c r="L2753" s="39" t="str">
        <x:v>E112:P847</x:v>
      </x:c>
      <x:c r="M2753" s="39" t="str"/>
      <x:c r="N2753" s="39" t="str">
        <x:v>نسخه پایه ۳۱۵۰</x:v>
      </x:c>
    </x:row>
    <x:row r="2754" ht="34" customHeight="1">
      <x:c r="A2754" s="34" t="str">
        <x:v>☐</x:v>
      </x:c>
      <x:c r="B2754" s="34" t="str">
        <x:v>MI-2107</x:v>
      </x:c>
      <x:c r="C2754" s="34" t="str">
        <x:v>M6 — تحلیل‌های خام و ورودی‌های نیازمند پالایش</x:v>
      </x:c>
      <x:c r="D2754" s="34" t="str">
        <x:v>H20</x:v>
      </x:c>
      <x:c r="E2754" s="34" t="str">
        <x:v>یادداشت تحلیلی/راهبری ثبت‌شده در 11211</x:v>
      </x:c>
      <x:c r="F2754" s="34" t="str">
        <x:v>P3/CLARIFY</x:v>
      </x:c>
      <x:c r="G2754" s="34" t="str">
        <x:v>هدف/موضوع</x:v>
      </x:c>
      <x:c r="H2754" s="39" t="str">
        <x:v>اینجا خلا transfer office / commercialization است.</x:v>
      </x:c>
      <x:c r="I2754" s="39" t="str">
        <x:v>نیازمند تعریف خروجی یا پارک</x:v>
      </x:c>
      <x:c r="J2754" s="39" t="str">
        <x:v>تحلیلگر راهبری/PMO؛ تبدیل به فرضیه یا اقدام در صورت نیاز</x:v>
      </x:c>
      <x:c r="K2754" s="39" t="str"/>
      <x:c r="L2754" s="39" t="str">
        <x:v>E112:P849</x:v>
      </x:c>
      <x:c r="M2754" s="39" t="str"/>
      <x:c r="N2754" s="39" t="str">
        <x:v>نسخه پایه ۳۱۵۰</x:v>
      </x:c>
    </x:row>
    <x:row r="2755" ht="34" customHeight="1">
      <x:c r="A2755" s="34" t="str">
        <x:v>☐</x:v>
      </x:c>
      <x:c r="B2755" s="34" t="str">
        <x:v>MI-2110</x:v>
      </x:c>
      <x:c r="C2755" s="34" t="str">
        <x:v>M6 — تحلیل‌های خام و ورودی‌های نیازمند پالایش</x:v>
      </x:c>
      <x:c r="D2755" s="34" t="str">
        <x:v>H20</x:v>
      </x:c>
      <x:c r="E2755" s="34" t="str">
        <x:v>یادداشت تحلیلی/راهبری ثبت‌شده در 11211</x:v>
      </x:c>
      <x:c r="F2755" s="34" t="str">
        <x:v>P3/CLARIFY</x:v>
      </x:c>
      <x:c r="G2755" s="34" t="str">
        <x:v>هدف/موضوع</x:v>
      </x:c>
      <x:c r="H2755" s="39" t="str">
        <x:v>seed capital</x:v>
      </x:c>
      <x:c r="I2755" s="39" t="str">
        <x:v>نیازمند تعریف خروجی یا پارک</x:v>
      </x:c>
      <x:c r="J2755" s="39" t="str">
        <x:v>تحلیلگر راهبری/PMO؛ تبدیل به فرضیه یا اقدام در صورت نیاز</x:v>
      </x:c>
      <x:c r="K2755" s="39" t="str"/>
      <x:c r="L2755" s="39" t="str">
        <x:v>E112:P854</x:v>
      </x:c>
      <x:c r="M2755" s="39" t="str"/>
      <x:c r="N2755" s="39" t="str">
        <x:v>نسخه پایه ۳۱۵۰</x:v>
      </x:c>
    </x:row>
    <x:row r="2756" ht="34" customHeight="1">
      <x:c r="A2756" s="34" t="str">
        <x:v>☐</x:v>
      </x:c>
      <x:c r="B2756" s="34" t="str">
        <x:v>MI-2111</x:v>
      </x:c>
      <x:c r="C2756" s="34" t="str">
        <x:v>M6 — تحلیل‌های خام و ورودی‌های نیازمند پالایش</x:v>
      </x:c>
      <x:c r="D2756" s="34" t="str">
        <x:v>H20</x:v>
      </x:c>
      <x:c r="E2756" s="34" t="str">
        <x:v>یادداشت تحلیلی/راهبری ثبت‌شده در 11211</x:v>
      </x:c>
      <x:c r="F2756" s="34" t="str">
        <x:v>P3/CLARIFY</x:v>
      </x:c>
      <x:c r="G2756" s="34" t="str">
        <x:v>هدف/موضوع</x:v>
      </x:c>
      <x:c r="H2756" s="39" t="str">
        <x:v>در تهران وجود دارد ولی در استان ها کم است.</x:v>
      </x:c>
      <x:c r="I2756" s="39" t="str">
        <x:v>نیازمند تعریف خروجی یا پارک</x:v>
      </x:c>
      <x:c r="J2756" s="39" t="str">
        <x:v>تحلیلگر راهبری/PMO؛ تبدیل به فرضیه یا اقدام در صورت نیاز</x:v>
      </x:c>
      <x:c r="K2756" s="39" t="str"/>
      <x:c r="L2756" s="39" t="str">
        <x:v>E112:P857</x:v>
      </x:c>
      <x:c r="M2756" s="39" t="str"/>
      <x:c r="N2756" s="39" t="str">
        <x:v>نسخه پایه ۳۱۵۰</x:v>
      </x:c>
    </x:row>
    <x:row r="2757" ht="34" customHeight="1">
      <x:c r="A2757" s="34" t="str">
        <x:v>☐</x:v>
      </x:c>
      <x:c r="B2757" s="34" t="str">
        <x:v>MI-2113</x:v>
      </x:c>
      <x:c r="C2757" s="34" t="str">
        <x:v>M6 — تحلیل‌های خام و ورودی‌های نیازمند پالایش</x:v>
      </x:c>
      <x:c r="D2757" s="34" t="str">
        <x:v>H20</x:v>
      </x:c>
      <x:c r="E2757" s="34" t="str">
        <x:v>یادداشت تحلیلی/راهبری ثبت‌شده در 11211</x:v>
      </x:c>
      <x:c r="F2757" s="34" t="str">
        <x:v>P3/CLARIFY</x:v>
      </x:c>
      <x:c r="G2757" s="34" t="str">
        <x:v>هدف/موضوع</x:v>
      </x:c>
      <x:c r="H2757" s="39" t="str">
        <x:v>معمولاً وجود ندارد:</x:v>
      </x:c>
      <x:c r="I2757" s="39" t="str">
        <x:v>نیازمند تعریف خروجی یا پارک</x:v>
      </x:c>
      <x:c r="J2757" s="39" t="str">
        <x:v>تحلیلگر راهبری/PMO؛ تبدیل به فرضیه یا اقدام در صورت نیاز</x:v>
      </x:c>
      <x:c r="K2757" s="39" t="str"/>
      <x:c r="L2757" s="39" t="str">
        <x:v>E112:P860</x:v>
      </x:c>
      <x:c r="M2757" s="39" t="str"/>
      <x:c r="N2757" s="39" t="str">
        <x:v>نسخه پایه ۳۱۵۰</x:v>
      </x:c>
    </x:row>
    <x:row r="2758" ht="34" customHeight="1">
      <x:c r="A2758" s="34" t="str">
        <x:v>☐</x:v>
      </x:c>
      <x:c r="B2758" s="34" t="str">
        <x:v>MI-2115</x:v>
      </x:c>
      <x:c r="C2758" s="34" t="str">
        <x:v>M6 — تحلیل‌های خام و ورودی‌های نیازمند پالایش</x:v>
      </x:c>
      <x:c r="D2758" s="34" t="str">
        <x:v>H20</x:v>
      </x:c>
      <x:c r="E2758" s="34" t="str">
        <x:v>یادداشت تحلیلی/راهبری ثبت‌شده در 11211</x:v>
      </x:c>
      <x:c r="F2758" s="34" t="str">
        <x:v>P3/CLARIFY</x:v>
      </x:c>
      <x:c r="G2758" s="34" t="str">
        <x:v>هدف/موضوع</x:v>
      </x:c>
      <x:c r="H2758" s="39" t="str">
        <x:v>جامعه طراحان محصول</x:v>
      </x:c>
      <x:c r="I2758" s="39" t="str">
        <x:v>نیازمند تعریف خروجی یا پارک</x:v>
      </x:c>
      <x:c r="J2758" s="39" t="str">
        <x:v>تحلیلگر راهبری/PMO؛ تبدیل به فرضیه یا اقدام در صورت نیاز</x:v>
      </x:c>
      <x:c r="K2758" s="39" t="str"/>
      <x:c r="L2758" s="39" t="str">
        <x:v>E112:P863</x:v>
      </x:c>
      <x:c r="M2758" s="39" t="str"/>
      <x:c r="N2758" s="39" t="str">
        <x:v>نسخه پایه ۳۱۵۰</x:v>
      </x:c>
    </x:row>
    <x:row r="2759" ht="34" customHeight="1">
      <x:c r="A2759" s="34" t="str">
        <x:v>☐</x:v>
      </x:c>
      <x:c r="B2759" s="34" t="str">
        <x:v>MI-2117</x:v>
      </x:c>
      <x:c r="C2759" s="34" t="str">
        <x:v>M6 — تحلیل‌های خام و ورودی‌های نیازمند پالایش</x:v>
      </x:c>
      <x:c r="D2759" s="34" t="str">
        <x:v>H20</x:v>
      </x:c>
      <x:c r="E2759" s="34" t="str">
        <x:v>یادداشت تحلیلی/راهبری ثبت‌شده در 11211</x:v>
      </x:c>
      <x:c r="F2759" s="34" t="str">
        <x:v>P3/CLARIFY</x:v>
      </x:c>
      <x:c r="G2759" s="34" t="str">
        <x:v>هدف/موضوع</x:v>
      </x:c>
      <x:c r="H2759" s="39" t="str">
        <x:v>جامعه maker</x:v>
      </x:c>
      <x:c r="I2759" s="39" t="str">
        <x:v>نیازمند تعریف خروجی یا پارک</x:v>
      </x:c>
      <x:c r="J2759" s="39" t="str">
        <x:v>تحلیلگر راهبری/PMO؛ تبدیل به فرضیه یا اقدام در صورت نیاز</x:v>
      </x:c>
      <x:c r="K2759" s="39" t="str"/>
      <x:c r="L2759" s="39" t="str">
        <x:v>E112:P865</x:v>
      </x:c>
      <x:c r="M2759" s="39" t="str"/>
      <x:c r="N2759" s="39" t="str">
        <x:v>نسخه پایه ۳۱۵۰</x:v>
      </x:c>
    </x:row>
    <x:row r="2760" ht="34" customHeight="1">
      <x:c r="A2760" s="34" t="str">
        <x:v>☐</x:v>
      </x:c>
      <x:c r="B2760" s="34" t="str">
        <x:v>MI-2124</x:v>
      </x:c>
      <x:c r="C2760" s="34" t="str">
        <x:v>M6 — تحلیل‌های خام و ورودی‌های نیازمند پالایش</x:v>
      </x:c>
      <x:c r="D2760" s="34" t="str">
        <x:v>H20</x:v>
      </x:c>
      <x:c r="E2760" s="34" t="str">
        <x:v>یادداشت تحلیلی/راهبری ثبت‌شده در 11211</x:v>
      </x:c>
      <x:c r="F2760" s="34" t="str">
        <x:v>P3/CLARIFY</x:v>
      </x:c>
      <x:c r="G2760" s="34" t="str">
        <x:v>هدف/موضوع</x:v>
      </x:c>
      <x:c r="H2760" s="39" t="str">
        <x:v>founder mentor</x:v>
      </x:c>
      <x:c r="I2760" s="39" t="str">
        <x:v>نیازمند تعریف خروجی یا پارک</x:v>
      </x:c>
      <x:c r="J2760" s="39" t="str">
        <x:v>تحلیلگر راهبری/PMO؛ تبدیل به فرضیه یا اقدام در صورت نیاز</x:v>
      </x:c>
      <x:c r="K2760" s="39" t="str"/>
      <x:c r="L2760" s="39" t="str">
        <x:v>E112:P877</x:v>
      </x:c>
      <x:c r="M2760" s="39" t="str"/>
      <x:c r="N2760" s="39" t="str">
        <x:v>نسخه پایه ۳۱۵۰</x:v>
      </x:c>
    </x:row>
    <x:row r="2761" ht="34" customHeight="1">
      <x:c r="A2761" s="34" t="str">
        <x:v>☐</x:v>
      </x:c>
      <x:c r="B2761" s="34" t="str">
        <x:v>MI-2125</x:v>
      </x:c>
      <x:c r="C2761" s="34" t="str">
        <x:v>M6 — تحلیل‌های خام و ورودی‌های نیازمند پالایش</x:v>
      </x:c>
      <x:c r="D2761" s="34" t="str">
        <x:v>H20</x:v>
      </x:c>
      <x:c r="E2761" s="34" t="str">
        <x:v>یادداشت تحلیلی/راهبری ثبت‌شده در 11211</x:v>
      </x:c>
      <x:c r="F2761" s="34" t="str">
        <x:v>P3/CLARIFY</x:v>
      </x:c>
      <x:c r="G2761" s="34" t="str">
        <x:v>هدف/موضوع</x:v>
      </x:c>
      <x:c r="H2761" s="39" t="str">
        <x:v>operator mentor</x:v>
      </x:c>
      <x:c r="I2761" s="39" t="str">
        <x:v>نیازمند تعریف خروجی یا پارک</x:v>
      </x:c>
      <x:c r="J2761" s="39" t="str">
        <x:v>تحلیلگر راهبری/PMO؛ تبدیل به فرضیه یا اقدام در صورت نیاز</x:v>
      </x:c>
      <x:c r="K2761" s="39" t="str"/>
      <x:c r="L2761" s="39" t="str">
        <x:v>E112:P878</x:v>
      </x:c>
      <x:c r="M2761" s="39" t="str"/>
      <x:c r="N2761" s="39" t="str">
        <x:v>نسخه پایه ۳۱۵۰</x:v>
      </x:c>
    </x:row>
    <x:row r="2762" ht="34" customHeight="1">
      <x:c r="A2762" s="34" t="str">
        <x:v>☐</x:v>
      </x:c>
      <x:c r="B2762" s="34" t="str">
        <x:v>MI-2126</x:v>
      </x:c>
      <x:c r="C2762" s="34" t="str">
        <x:v>M6 — تحلیل‌های خام و ورودی‌های نیازمند پالایش</x:v>
      </x:c>
      <x:c r="D2762" s="34" t="str">
        <x:v>H20</x:v>
      </x:c>
      <x:c r="E2762" s="34" t="str">
        <x:v>یادداشت تحلیلی/راهبری ثبت‌شده در 11211</x:v>
      </x:c>
      <x:c r="F2762" s="34" t="str">
        <x:v>P3/CLARIFY</x:v>
      </x:c>
      <x:c r="G2762" s="34" t="str">
        <x:v>هدف/موضوع</x:v>
      </x:c>
      <x:c r="H2762" s="39" t="str">
        <x:v>5. ضعف در جریان توجه (Attention)</x:v>
      </x:c>
      <x:c r="I2762" s="39" t="str">
        <x:v>نیازمند تعریف خروجی یا پارک</x:v>
      </x:c>
      <x:c r="J2762" s="39" t="str">
        <x:v>تحلیلگر راهبری/PMO؛ تبدیل به فرضیه یا اقدام در صورت نیاز</x:v>
      </x:c>
      <x:c r="K2762" s="39" t="str"/>
      <x:c r="L2762" s="39" t="str">
        <x:v>E112:P880</x:v>
      </x:c>
      <x:c r="M2762" s="39" t="str"/>
      <x:c r="N2762" s="39" t="str">
        <x:v>نسخه پایه ۳۱۵۰</x:v>
      </x:c>
    </x:row>
    <x:row r="2763" ht="34" customHeight="1">
      <x:c r="A2763" s="34" t="str">
        <x:v>☐</x:v>
      </x:c>
      <x:c r="B2763" s="34" t="str">
        <x:v>MI-2129</x:v>
      </x:c>
      <x:c r="C2763" s="34" t="str">
        <x:v>M6 — تحلیل‌های خام و ورودی‌های نیازمند پالایش</x:v>
      </x:c>
      <x:c r="D2763" s="34" t="str">
        <x:v>H20</x:v>
      </x:c>
      <x:c r="E2763" s="34" t="str">
        <x:v>یادداشت تحلیلی/راهبری ثبت‌شده در 11211</x:v>
      </x:c>
      <x:c r="F2763" s="34" t="str">
        <x:v>P3/CLARIFY</x:v>
      </x:c>
      <x:c r="G2763" s="34" t="str">
        <x:v>هدف/موضوع</x:v>
      </x:c>
      <x:c r="H2763" s="39" t="str">
        <x:v>رسانه داشته باشند</x:v>
      </x:c>
      <x:c r="I2763" s="39" t="str">
        <x:v>نیازمند تعریف خروجی یا پارک</x:v>
      </x:c>
      <x:c r="J2763" s="39" t="str">
        <x:v>تحلیلگر راهبری/PMO؛ تبدیل به فرضیه یا اقدام در صورت نیاز</x:v>
      </x:c>
      <x:c r="K2763" s="39" t="str"/>
      <x:c r="L2763" s="39" t="str">
        <x:v>E112:P885</x:v>
      </x:c>
      <x:c r="M2763" s="39" t="str"/>
      <x:c r="N2763" s="39" t="str">
        <x:v>نسخه پایه ۳۱۵۰</x:v>
      </x:c>
    </x:row>
    <x:row r="2764" ht="34" customHeight="1">
      <x:c r="A2764" s="34" t="str">
        <x:v>☐</x:v>
      </x:c>
      <x:c r="B2764" s="34" t="str">
        <x:v>MI-2130</x:v>
      </x:c>
      <x:c r="C2764" s="34" t="str">
        <x:v>M6 — تحلیل‌های خام و ورودی‌های نیازمند پالایش</x:v>
      </x:c>
      <x:c r="D2764" s="34" t="str">
        <x:v>H20</x:v>
      </x:c>
      <x:c r="E2764" s="34" t="str">
        <x:v>یادداشت تحلیلی/راهبری ثبت‌شده در 11211</x:v>
      </x:c>
      <x:c r="F2764" s="34" t="str">
        <x:v>P3/CLARIFY</x:v>
      </x:c>
      <x:c r="G2764" s="34" t="str">
        <x:v>هدف/موضوع</x:v>
      </x:c>
      <x:c r="H2764" s="39" t="str">
        <x:v>اگر رسانه نباشد:</x:v>
      </x:c>
      <x:c r="I2764" s="39" t="str">
        <x:v>نیازمند تعریف خروجی یا پارک</x:v>
      </x:c>
      <x:c r="J2764" s="39" t="str">
        <x:v>تحلیلگر راهبری/PMO؛ تبدیل به فرضیه یا اقدام در صورت نیاز</x:v>
      </x:c>
      <x:c r="K2764" s="39" t="str"/>
      <x:c r="L2764" s="39" t="str">
        <x:v>E112:P887</x:v>
      </x:c>
      <x:c r="M2764" s="39" t="str"/>
      <x:c r="N2764" s="39" t="str">
        <x:v>نسخه پایه ۳۱۵۰</x:v>
      </x:c>
    </x:row>
    <x:row r="2765" ht="34" customHeight="1">
      <x:c r="A2765" s="34" t="str">
        <x:v>☐</x:v>
      </x:c>
      <x:c r="B2765" s="34" t="str">
        <x:v>MI-2131</x:v>
      </x:c>
      <x:c r="C2765" s="34" t="str">
        <x:v>M6 — تحلیل‌های خام و ورودی‌های نیازمند پالایش</x:v>
      </x:c>
      <x:c r="D2765" s="34" t="str">
        <x:v>H20</x:v>
      </x:c>
      <x:c r="E2765" s="34" t="str">
        <x:v>یادداشت تحلیلی/راهبری ثبت‌شده در 11211</x:v>
      </x:c>
      <x:c r="F2765" s="34" t="str">
        <x:v>P3/CLARIFY</x:v>
      </x:c>
      <x:c r="G2765" s="34" t="str">
        <x:v>هدف/موضوع</x:v>
      </x:c>
      <x:c r="H2765" s="39" t="str">
        <x:v>هیچکس نمی فهمد چه اتفاقی افتاده.</x:v>
      </x:c>
      <x:c r="I2765" s="39" t="str">
        <x:v>نیازمند تعریف خروجی یا پارک</x:v>
      </x:c>
      <x:c r="J2765" s="39" t="str">
        <x:v>تحلیلگر راهبری/PMO؛ تبدیل به فرضیه یا اقدام در صورت نیاز</x:v>
      </x:c>
      <x:c r="K2765" s="39" t="str"/>
      <x:c r="L2765" s="39" t="str">
        <x:v>E112:P889</x:v>
      </x:c>
      <x:c r="M2765" s="39" t="str"/>
      <x:c r="N2765" s="39" t="str">
        <x:v>نسخه پایه ۳۱۵۰</x:v>
      </x:c>
    </x:row>
    <x:row r="2766" ht="34" customHeight="1">
      <x:c r="A2766" s="34" t="str">
        <x:v>☐</x:v>
      </x:c>
      <x:c r="B2766" s="34" t="str">
        <x:v>MI-2133</x:v>
      </x:c>
      <x:c r="C2766" s="34" t="str">
        <x:v>M6 — تحلیل‌های خام و ورودی‌های نیازمند پالایش</x:v>
      </x:c>
      <x:c r="D2766" s="34" t="str">
        <x:v>H20</x:v>
      </x:c>
      <x:c r="E2766" s="34" t="str">
        <x:v>یادداشت تحلیلی/راهبری ثبت‌شده در 11211</x:v>
      </x:c>
      <x:c r="F2766" s="34" t="str">
        <x:v>P3/CLARIFY</x:v>
      </x:c>
      <x:c r="G2766" s="34" t="str">
        <x:v>هدف/موضوع</x:v>
      </x:c>
      <x:c r="H2766" s="39" t="str">
        <x:v>این جاهایی است که خلا وجود دارد.</x:v>
      </x:c>
      <x:c r="I2766" s="39" t="str">
        <x:v>نیازمند تعریف خروجی یا پارک</x:v>
      </x:c>
      <x:c r="J2766" s="39" t="str">
        <x:v>تحلیلگر راهبری/PMO؛ تبدیل به فرضیه یا اقدام در صورت نیاز</x:v>
      </x:c>
      <x:c r="K2766" s="39" t="str"/>
      <x:c r="L2766" s="39" t="str">
        <x:v>E112:P892</x:v>
      </x:c>
      <x:c r="M2766" s="39" t="str"/>
      <x:c r="N2766" s="39" t="str">
        <x:v>نسخه پایه ۳۱۵۰</x:v>
      </x:c>
    </x:row>
    <x:row r="2767" ht="34" customHeight="1">
      <x:c r="A2767" s="34" t="str">
        <x:v>☐</x:v>
      </x:c>
      <x:c r="B2767" s="34" t="str">
        <x:v>MI-2135</x:v>
      </x:c>
      <x:c r="C2767" s="34" t="str">
        <x:v>M6 — تحلیل‌های خام و ورودی‌های نیازمند پالایش</x:v>
      </x:c>
      <x:c r="D2767" s="34" t="str">
        <x:v>H20</x:v>
      </x:c>
      <x:c r="E2767" s="34" t="str">
        <x:v>یادداشت تحلیلی/راهبری ثبت‌شده در 11211</x:v>
      </x:c>
      <x:c r="F2767" s="34" t="str">
        <x:v>P3/CLARIFY</x:v>
      </x:c>
      <x:c r="G2767" s="34" t="str">
        <x:v>هدف/موضوع</x:v>
      </x:c>
      <x:c r="H2767" s="39" t="str">
        <x:v>1. Founder School</x:v>
      </x:c>
      <x:c r="I2767" s="39" t="str">
        <x:v>نیازمند تعریف خروجی یا پارک</x:v>
      </x:c>
      <x:c r="J2767" s="39" t="str">
        <x:v>تحلیلگر راهبری/PMO؛ تبدیل به فرضیه یا اقدام در صورت نیاز</x:v>
      </x:c>
      <x:c r="K2767" s="39" t="str"/>
      <x:c r="L2767" s="39" t="str">
        <x:v>E112:P895؛ E112:P3572</x:v>
      </x:c>
      <x:c r="M2767" s="39" t="str"/>
      <x:c r="N2767" s="39" t="str">
        <x:v>نسخه پایه ۳۱۵۰</x:v>
      </x:c>
    </x:row>
    <x:row r="2768" ht="34" customHeight="1">
      <x:c r="A2768" s="34" t="str">
        <x:v>☐</x:v>
      </x:c>
      <x:c r="B2768" s="34" t="str">
        <x:v>MI-2137</x:v>
      </x:c>
      <x:c r="C2768" s="34" t="str">
        <x:v>M6 — تحلیل‌های خام و ورودی‌های نیازمند پالایش</x:v>
      </x:c>
      <x:c r="D2768" s="34" t="str">
        <x:v>H20</x:v>
      </x:c>
      <x:c r="E2768" s="34" t="str">
        <x:v>یادداشت تحلیلی/راهبری ثبت‌شده در 11211</x:v>
      </x:c>
      <x:c r="F2768" s="34" t="str">
        <x:v>P3/CLARIFY</x:v>
      </x:c>
      <x:c r="G2768" s="34" t="str">
        <x:v>هدف/موضوع</x:v>
      </x:c>
      <x:c r="H2768" s="39" t="str">
        <x:v>2. Talent Scouting Program</x:v>
      </x:c>
      <x:c r="I2768" s="39" t="str">
        <x:v>نیازمند تعریف خروجی یا پارک</x:v>
      </x:c>
      <x:c r="J2768" s="39" t="str">
        <x:v>تحلیلگر راهبری/PMO؛ تبدیل به فرضیه یا اقدام در صورت نیاز</x:v>
      </x:c>
      <x:c r="K2768" s="39" t="str"/>
      <x:c r="L2768" s="39" t="str">
        <x:v>E112:P899</x:v>
      </x:c>
      <x:c r="M2768" s="39" t="str"/>
      <x:c r="N2768" s="39" t="str">
        <x:v>نسخه پایه ۳۱۵۰</x:v>
      </x:c>
    </x:row>
    <x:row r="2769" ht="34" customHeight="1">
      <x:c r="A2769" s="34" t="str">
        <x:v>☐</x:v>
      </x:c>
      <x:c r="B2769" s="34" t="str">
        <x:v>MI-2141</x:v>
      </x:c>
      <x:c r="C2769" s="34" t="str">
        <x:v>M6 — تحلیل‌های خام و ورودی‌های نیازمند پالایش</x:v>
      </x:c>
      <x:c r="D2769" s="34" t="str">
        <x:v>H20</x:v>
      </x:c>
      <x:c r="E2769" s="34" t="str">
        <x:v>یادداشت تحلیلی/راهبری ثبت‌شده در 11211</x:v>
      </x:c>
      <x:c r="F2769" s="34" t="str">
        <x:v>P3/CLARIFY</x:v>
      </x:c>
      <x:c r="G2769" s="34" t="str">
        <x:v>هدف/موضوع</x:v>
      </x:c>
      <x:c r="H2769" s="39" t="str">
        <x:v>طراحان</x:v>
      </x:c>
      <x:c r="I2769" s="39" t="str">
        <x:v>نیازمند تعریف خروجی یا پارک</x:v>
      </x:c>
      <x:c r="J2769" s="39" t="str">
        <x:v>تحلیلگر راهبری/PMO؛ تبدیل به فرضیه یا اقدام در صورت نیاز</x:v>
      </x:c>
      <x:c r="K2769" s="39" t="str"/>
      <x:c r="L2769" s="39" t="str">
        <x:v>E112:P912؛ E112:P1188</x:v>
      </x:c>
      <x:c r="M2769" s="39" t="str"/>
      <x:c r="N2769" s="39" t="str">
        <x:v>نسخه پایه ۳۱۵۰</x:v>
      </x:c>
    </x:row>
    <x:row r="2770" ht="34" customHeight="1">
      <x:c r="A2770" s="34" t="str">
        <x:v>☐</x:v>
      </x:c>
      <x:c r="B2770" s="34" t="str">
        <x:v>MI-2142</x:v>
      </x:c>
      <x:c r="C2770" s="34" t="str">
        <x:v>M6 — تحلیل‌های خام و ورودی‌های نیازمند پالایش</x:v>
      </x:c>
      <x:c r="D2770" s="34" t="str">
        <x:v>H20</x:v>
      </x:c>
      <x:c r="E2770" s="34" t="str">
        <x:v>یادداشت تحلیلی/راهبری ثبت‌شده در 11211</x:v>
      </x:c>
      <x:c r="F2770" s="34" t="str">
        <x:v>P3/CLARIFY</x:v>
      </x:c>
      <x:c r="G2770" s="34" t="str">
        <x:v>هدف/موضوع</x:v>
      </x:c>
      <x:c r="H2770" s="39" t="str">
        <x:v>محصول</x:v>
      </x:c>
      <x:c r="I2770" s="39" t="str">
        <x:v>نیازمند تعریف خروجی یا پارک</x:v>
      </x:c>
      <x:c r="J2770" s="39" t="str">
        <x:v>تحلیلگر راهبری/PMO؛ تبدیل به فرضیه یا اقدام در صورت نیاز</x:v>
      </x:c>
      <x:c r="K2770" s="39" t="str"/>
      <x:c r="L2770" s="39" t="str">
        <x:v>E112:P913؛ E112:P1456</x:v>
      </x:c>
      <x:c r="M2770" s="39" t="str"/>
      <x:c r="N2770" s="39" t="str">
        <x:v>نسخه پایه ۳۱۵۰</x:v>
      </x:c>
    </x:row>
    <x:row r="2771" ht="34" customHeight="1">
      <x:c r="A2771" s="34" t="str">
        <x:v>☐</x:v>
      </x:c>
      <x:c r="B2771" s="34" t="str">
        <x:v>MI-2143</x:v>
      </x:c>
      <x:c r="C2771" s="34" t="str">
        <x:v>M6 — تحلیل‌های خام و ورودی‌های نیازمند پالایش</x:v>
      </x:c>
      <x:c r="D2771" s="34" t="str">
        <x:v>H20</x:v>
      </x:c>
      <x:c r="E2771" s="34" t="str">
        <x:v>یادداشت تحلیلی/راهبری ثبت‌شده در 11211</x:v>
      </x:c>
      <x:c r="F2771" s="34" t="str">
        <x:v>P3/CLARIFY</x:v>
      </x:c>
      <x:c r="G2771" s="34" t="str">
        <x:v>هدف/موضوع</x:v>
      </x:c>
      <x:c r="H2771" s="39" t="str">
        <x:v>4. Angel Network</x:v>
      </x:c>
      <x:c r="I2771" s="39" t="str">
        <x:v>نیازمند تعریف خروجی یا پارک</x:v>
      </x:c>
      <x:c r="J2771" s="39" t="str">
        <x:v>تحلیلگر راهبری/PMO؛ تبدیل به فرضیه یا اقدام در صورت نیاز</x:v>
      </x:c>
      <x:c r="K2771" s="39" t="str"/>
      <x:c r="L2771" s="39" t="str">
        <x:v>E112:P915؛ E112:P1152</x:v>
      </x:c>
      <x:c r="M2771" s="39" t="str"/>
      <x:c r="N2771" s="39" t="str">
        <x:v>نسخه پایه ۳۱۵۰</x:v>
      </x:c>
    </x:row>
    <x:row r="2772" ht="34" customHeight="1">
      <x:c r="A2772" s="34" t="str">
        <x:v>☐</x:v>
      </x:c>
      <x:c r="B2772" s="34" t="str">
        <x:v>MI-2145</x:v>
      </x:c>
      <x:c r="C2772" s="34" t="str">
        <x:v>M6 — تحلیل‌های خام و ورودی‌های نیازمند پالایش</x:v>
      </x:c>
      <x:c r="D2772" s="34" t="str">
        <x:v>H20</x:v>
      </x:c>
      <x:c r="E2772" s="34" t="str">
        <x:v>یادداشت تحلیلی/راهبری ثبت‌شده در 11211</x:v>
      </x:c>
      <x:c r="F2772" s="34" t="str">
        <x:v>P3/CLARIFY</x:v>
      </x:c>
      <x:c r="G2772" s="34" t="str">
        <x:v>هدف/موضوع</x:v>
      </x:c>
      <x:c r="H2772" s="39" t="str">
        <x:v>5. Industry Innovation Program</x:v>
      </x:c>
      <x:c r="I2772" s="39" t="str">
        <x:v>نیازمند تعریف خروجی یا پارک</x:v>
      </x:c>
      <x:c r="J2772" s="39" t="str">
        <x:v>تحلیلگر راهبری/PMO؛ تبدیل به فرضیه یا اقدام در صورت نیاز</x:v>
      </x:c>
      <x:c r="K2772" s="39" t="str"/>
      <x:c r="L2772" s="39" t="str">
        <x:v>E112:P919؛ E112:P3569</x:v>
      </x:c>
      <x:c r="M2772" s="39" t="str"/>
      <x:c r="N2772" s="39" t="str">
        <x:v>نسخه پایه ۳۱۵۰</x:v>
      </x:c>
    </x:row>
    <x:row r="2773" ht="34" customHeight="1">
      <x:c r="A2773" s="34" t="str">
        <x:v>☐</x:v>
      </x:c>
      <x:c r="B2773" s="34" t="str">
        <x:v>MI-2146</x:v>
      </x:c>
      <x:c r="C2773" s="34" t="str">
        <x:v>M6 — تحلیل‌های خام و ورودی‌های نیازمند پالایش</x:v>
      </x:c>
      <x:c r="D2773" s="34" t="str">
        <x:v>H20</x:v>
      </x:c>
      <x:c r="E2773" s="34" t="str">
        <x:v>یادداشت تحلیلی/راهبری ثبت‌شده در 11211</x:v>
      </x:c>
      <x:c r="F2773" s="34" t="str">
        <x:v>P3/CLARIFY</x:v>
      </x:c>
      <x:c r="G2773" s="34" t="str">
        <x:v>هدف/موضوع</x:v>
      </x:c>
      <x:c r="H2773" s="39" t="str">
        <x:v>اتصال 1</x:v>
      </x:c>
      <x:c r="I2773" s="39" t="str">
        <x:v>نیازمند تعریف خروجی یا پارک</x:v>
      </x:c>
      <x:c r="J2773" s="39" t="str">
        <x:v>تحلیلگر راهبری/PMO؛ تبدیل به فرضیه یا اقدام در صورت نیاز</x:v>
      </x:c>
      <x:c r="K2773" s="39" t="str"/>
      <x:c r="L2773" s="39" t="str">
        <x:v>E112:P921؛ E112:P935؛ E112:P938؛ E112:P941؛ E112:P944؛ E112:P947</x:v>
      </x:c>
      <x:c r="M2773" s="39" t="str"/>
      <x:c r="N2773" s="39" t="str">
        <x:v>نسخه پایه ۳۱۵۰</x:v>
      </x:c>
    </x:row>
    <x:row r="2774" ht="34" customHeight="1">
      <x:c r="A2774" s="34" t="str">
        <x:v>☐</x:v>
      </x:c>
      <x:c r="B2774" s="34" t="str">
        <x:v>MI-2148</x:v>
      </x:c>
      <x:c r="C2774" s="34" t="str">
        <x:v>M6 — تحلیل‌های خام و ورودی‌های نیازمند پالایش</x:v>
      </x:c>
      <x:c r="D2774" s="34" t="str">
        <x:v>H20</x:v>
      </x:c>
      <x:c r="E2774" s="34" t="str">
        <x:v>یادداشت تحلیلی/راهبری ثبت‌شده در 11211</x:v>
      </x:c>
      <x:c r="F2774" s="34" t="str">
        <x:v>P3/CLARIFY</x:v>
      </x:c>
      <x:c r="G2774" s="34" t="str">
        <x:v>هدف/موضوع</x:v>
      </x:c>
      <x:c r="H2774" s="39" t="str">
        <x:v>6. Student Startup Program</x:v>
      </x:c>
      <x:c r="I2774" s="39" t="str">
        <x:v>نیازمند تعریف خروجی یا پارک</x:v>
      </x:c>
      <x:c r="J2774" s="39" t="str">
        <x:v>تحلیلگر راهبری/PMO؛ تبدیل به فرضیه یا اقدام در صورت نیاز</x:v>
      </x:c>
      <x:c r="K2774" s="39" t="str"/>
      <x:c r="L2774" s="39" t="str">
        <x:v>E112:P925</x:v>
      </x:c>
      <x:c r="M2774" s="39" t="str"/>
      <x:c r="N2774" s="39" t="str">
        <x:v>نسخه پایه ۳۱۵۰</x:v>
      </x:c>
    </x:row>
    <x:row r="2775" ht="34" customHeight="1">
      <x:c r="A2775" s="34" t="str">
        <x:v>☐</x:v>
      </x:c>
      <x:c r="B2775" s="34" t="str">
        <x:v>MI-2158</x:v>
      </x:c>
      <x:c r="C2775" s="34" t="str">
        <x:v>M6 — تحلیل‌های خام و ورودی‌های نیازمند پالایش</x:v>
      </x:c>
      <x:c r="D2775" s="34" t="str">
        <x:v>H20</x:v>
      </x:c>
      <x:c r="E2775" s="34" t="str">
        <x:v>یادداشت تحلیلی/راهبری ثبت‌شده در 11211</x:v>
      </x:c>
      <x:c r="F2775" s="34" t="str">
        <x:v>P3/CLARIFY</x:v>
      </x:c>
      <x:c r="G2775" s="34" t="str">
        <x:v>هدف/موضوع</x:v>
      </x:c>
      <x:c r="H2775" s="39" t="str">
        <x:v>یک مدل ساده برای نقش تو</x:v>
      </x:c>
      <x:c r="I2775" s="39" t="str">
        <x:v>نیازمند تعریف خروجی یا پارک</x:v>
      </x:c>
      <x:c r="J2775" s="39" t="str">
        <x:v>تحلیلگر راهبری/PMO؛ تبدیل به فرضیه یا اقدام در صورت نیاز</x:v>
      </x:c>
      <x:c r="K2775" s="39" t="str"/>
      <x:c r="L2775" s="39" t="str">
        <x:v>E112:P950</x:v>
      </x:c>
      <x:c r="M2775" s="39" t="str"/>
      <x:c r="N2775" s="39" t="str">
        <x:v>نسخه پایه ۳۱۵۰</x:v>
      </x:c>
    </x:row>
    <x:row r="2776" ht="34" customHeight="1">
      <x:c r="A2776" s="34" t="str">
        <x:v>☐</x:v>
      </x:c>
      <x:c r="B2776" s="34" t="str">
        <x:v>MI-2159</x:v>
      </x:c>
      <x:c r="C2776" s="34" t="str">
        <x:v>M6 — تحلیل‌های خام و ورودی‌های نیازمند پالایش</x:v>
      </x:c>
      <x:c r="D2776" s="34" t="str">
        <x:v>H20</x:v>
      </x:c>
      <x:c r="E2776" s="34" t="str">
        <x:v>یادداشت تحلیلی/راهبری ثبت‌شده در 11211</x:v>
      </x:c>
      <x:c r="F2776" s="34" t="str">
        <x:v>P3/CLARIFY</x:v>
      </x:c>
      <x:c r="G2776" s="34" t="str">
        <x:v>هدف/موضوع</x:v>
      </x:c>
      <x:c r="H2776" s="39" t="str">
        <x:v>اگر بخواهیم نقش تو را تعریف کنیم، سه کار کلیدی داری:</x:v>
      </x:c>
      <x:c r="I2776" s="39" t="str">
        <x:v>نیازمند تعریف خروجی یا پارک</x:v>
      </x:c>
      <x:c r="J2776" s="39" t="str">
        <x:v>تحلیلگر راهبری/PMO؛ تبدیل به فرضیه یا اقدام در صورت نیاز</x:v>
      </x:c>
      <x:c r="K2776" s="39" t="str"/>
      <x:c r="L2776" s="39" t="str">
        <x:v>E112:P952</x:v>
      </x:c>
      <x:c r="M2776" s="39" t="str"/>
      <x:c r="N2776" s="39" t="str">
        <x:v>نسخه پایه ۳۱۵۰</x:v>
      </x:c>
    </x:row>
    <x:row r="2777" ht="34" customHeight="1">
      <x:c r="A2777" s="34" t="str">
        <x:v>☐</x:v>
      </x:c>
      <x:c r="B2777" s="34" t="str">
        <x:v>MI-2160</x:v>
      </x:c>
      <x:c r="C2777" s="34" t="str">
        <x:v>M6 — تحلیل‌های خام و ورودی‌های نیازمند پالایش</x:v>
      </x:c>
      <x:c r="D2777" s="34" t="str">
        <x:v>H20</x:v>
      </x:c>
      <x:c r="E2777" s="34" t="str">
        <x:v>یادداشت تحلیلی/راهبری ثبت‌شده در 11211</x:v>
      </x:c>
      <x:c r="F2777" s="34" t="str">
        <x:v>P3/CLARIFY</x:v>
      </x:c>
      <x:c r="G2777" s="34" t="str">
        <x:v>هدف/موضوع</x:v>
      </x:c>
      <x:c r="H2777" s="39" t="str">
        <x:v>1. Talent Mapping</x:v>
      </x:c>
      <x:c r="I2777" s="39" t="str">
        <x:v>نیازمند تعریف خروجی یا پارک</x:v>
      </x:c>
      <x:c r="J2777" s="39" t="str">
        <x:v>تحلیلگر راهبری/PMO؛ تبدیل به فرضیه یا اقدام در صورت نیاز</x:v>
      </x:c>
      <x:c r="K2777" s="39" t="str"/>
      <x:c r="L2777" s="39" t="str">
        <x:v>E112:P953</x:v>
      </x:c>
      <x:c r="M2777" s="39" t="str"/>
      <x:c r="N2777" s="39" t="str">
        <x:v>نسخه پایه ۳۱۵۰</x:v>
      </x:c>
    </x:row>
    <x:row r="2778" ht="34" customHeight="1">
      <x:c r="A2778" s="34" t="str">
        <x:v>☐</x:v>
      </x:c>
      <x:c r="B2778" s="34" t="str">
        <x:v>MI-2162</x:v>
      </x:c>
      <x:c r="C2778" s="34" t="str">
        <x:v>M6 — تحلیل‌های خام و ورودی‌های نیازمند پالایش</x:v>
      </x:c>
      <x:c r="D2778" s="34" t="str">
        <x:v>H20</x:v>
      </x:c>
      <x:c r="E2778" s="34" t="str">
        <x:v>یادداشت تحلیلی/راهبری ثبت‌شده در 11211</x:v>
      </x:c>
      <x:c r="F2778" s="34" t="str">
        <x:v>P3/CLARIFY</x:v>
      </x:c>
      <x:c r="G2778" s="34" t="str">
        <x:v>هدف/موضوع</x:v>
      </x:c>
      <x:c r="H2778" s="39" t="str">
        <x:v>2. Network Building</x:v>
      </x:c>
      <x:c r="I2778" s="39" t="str">
        <x:v>نیازمند تعریف خروجی یا پارک</x:v>
      </x:c>
      <x:c r="J2778" s="39" t="str">
        <x:v>تحلیلگر راهبری/PMO؛ تبدیل به فرضیه یا اقدام در صورت نیاز</x:v>
      </x:c>
      <x:c r="K2778" s="39" t="str"/>
      <x:c r="L2778" s="39" t="str">
        <x:v>E112:P956</x:v>
      </x:c>
      <x:c r="M2778" s="39" t="str"/>
      <x:c r="N2778" s="39" t="str">
        <x:v>نسخه پایه ۳۱۵۰</x:v>
      </x:c>
    </x:row>
    <x:row r="2779" ht="34" customHeight="1">
      <x:c r="A2779" s="34" t="str">
        <x:v>☐</x:v>
      </x:c>
      <x:c r="B2779" s="34" t="str">
        <x:v>MI-2164</x:v>
      </x:c>
      <x:c r="C2779" s="34" t="str">
        <x:v>M6 — تحلیل‌های خام و ورودی‌های نیازمند پالایش</x:v>
      </x:c>
      <x:c r="D2779" s="34" t="str">
        <x:v>H20</x:v>
      </x:c>
      <x:c r="E2779" s="34" t="str">
        <x:v>یادداشت تحلیلی/راهبری ثبت‌شده در 11211</x:v>
      </x:c>
      <x:c r="F2779" s="34" t="str">
        <x:v>P3/CLARIFY</x:v>
      </x:c>
      <x:c r="G2779" s="34" t="str">
        <x:v>هدف/موضوع</x:v>
      </x:c>
      <x:c r="H2779" s="39" t="str">
        <x:v>3. Opportunity Matching</x:v>
      </x:c>
      <x:c r="I2779" s="39" t="str">
        <x:v>نیازمند تعریف خروجی یا پارک</x:v>
      </x:c>
      <x:c r="J2779" s="39" t="str">
        <x:v>تحلیلگر راهبری/PMO؛ تبدیل به فرضیه یا اقدام در صورت نیاز</x:v>
      </x:c>
      <x:c r="K2779" s="39" t="str"/>
      <x:c r="L2779" s="39" t="str">
        <x:v>E112:P959</x:v>
      </x:c>
      <x:c r="M2779" s="39" t="str"/>
      <x:c r="N2779" s="39" t="str">
        <x:v>نسخه پایه ۳۱۵۰</x:v>
      </x:c>
    </x:row>
    <x:row r="2780" ht="34" customHeight="1">
      <x:c r="A2780" s="34" t="str">
        <x:v>☐</x:v>
      </x:c>
      <x:c r="B2780" s="34" t="str">
        <x:v>MI-2165</x:v>
      </x:c>
      <x:c r="C2780" s="34" t="str">
        <x:v>M6 — تحلیل‌های خام و ورودی‌های نیازمند پالایش</x:v>
      </x:c>
      <x:c r="D2780" s="34" t="str">
        <x:v>H20</x:v>
      </x:c>
      <x:c r="E2780" s="34" t="str">
        <x:v>یادداشت تحلیلی/راهبری ثبت‌شده در 11211</x:v>
      </x:c>
      <x:c r="F2780" s="34" t="str">
        <x:v>P3/CLARIFY</x:v>
      </x:c>
      <x:c r="G2780" s="34" t="str">
        <x:v>هدف/موضوع</x:v>
      </x:c>
      <x:c r="H2780" s="39" t="str">
        <x:v>وصل کردن:</x:v>
      </x:c>
      <x:c r="I2780" s="39" t="str">
        <x:v>نیازمند تعریف خروجی یا پارک</x:v>
      </x:c>
      <x:c r="J2780" s="39" t="str">
        <x:v>تحلیلگر راهبری/PMO؛ تبدیل به فرضیه یا اقدام در صورت نیاز</x:v>
      </x:c>
      <x:c r="K2780" s="39" t="str"/>
      <x:c r="L2780" s="39" t="str">
        <x:v>E112:P961</x:v>
      </x:c>
      <x:c r="M2780" s="39" t="str"/>
      <x:c r="N2780" s="39" t="str">
        <x:v>نسخه پایه ۳۱۵۰</x:v>
      </x:c>
    </x:row>
    <x:row r="2781" ht="34" customHeight="1">
      <x:c r="A2781" s="34" t="str">
        <x:v>☐</x:v>
      </x:c>
      <x:c r="B2781" s="34" t="str">
        <x:v>MI-2169</x:v>
      </x:c>
      <x:c r="C2781" s="34" t="str">
        <x:v>M6 — تحلیل‌های خام و ورودی‌های نیازمند پالایش</x:v>
      </x:c>
      <x:c r="D2781" s="34" t="str">
        <x:v>H20</x:v>
      </x:c>
      <x:c r="E2781" s="34" t="str">
        <x:v>یادداشت تحلیلی/راهبری ثبت‌شده در 11211</x:v>
      </x:c>
      <x:c r="F2781" s="34" t="str">
        <x:v>P3/CLARIFY</x:v>
      </x:c>
      <x:c r="G2781" s="34" t="str">
        <x:v>هدف/موضوع</x:v>
      </x:c>
      <x:c r="H2781" s="39" t="str">
        <x:v>چون قدرت واقعی در اتصال گره ها است نه داشتن سازمان.</x:v>
      </x:c>
      <x:c r="I2781" s="39" t="str">
        <x:v>نیازمند تعریف خروجی یا پارک</x:v>
      </x:c>
      <x:c r="J2781" s="39" t="str">
        <x:v>تحلیلگر راهبری/PMO؛ تبدیل به فرضیه یا اقدام در صورت نیاز</x:v>
      </x:c>
      <x:c r="K2781" s="39" t="str"/>
      <x:c r="L2781" s="39" t="str">
        <x:v>E112:P969</x:v>
      </x:c>
      <x:c r="M2781" s="39" t="str"/>
      <x:c r="N2781" s="39" t="str">
        <x:v>نسخه پایه ۳۱۵۰</x:v>
      </x:c>
    </x:row>
    <x:row r="2782" ht="34" customHeight="1">
      <x:c r="A2782" s="34" t="str">
        <x:v>☐</x:v>
      </x:c>
      <x:c r="B2782" s="34" t="str">
        <x:v>MI-2170</x:v>
      </x:c>
      <x:c r="C2782" s="34" t="str">
        <x:v>M6 — تحلیل‌های خام و ورودی‌های نیازمند پالایش</x:v>
      </x:c>
      <x:c r="D2782" s="34" t="str">
        <x:v>H20</x:v>
      </x:c>
      <x:c r="E2782" s="34" t="str">
        <x:v>یادداشت تحلیلی/راهبری ثبت‌شده در 11211</x:v>
      </x:c>
      <x:c r="F2782" s="34" t="str">
        <x:v>P3/CLARIFY</x:v>
      </x:c>
      <x:c r="G2782" s="34" t="str">
        <x:v>هدف/موضوع</x:v>
      </x:c>
      <x:c r="H2782" s="39" t="str">
        <x:v>اگر بخواهی، در قدم بعدی می توانیم یک کار خیلی قدرتمند انجام دهیم:</x:v>
      </x:c>
      <x:c r="I2782" s="39" t="str">
        <x:v>نیازمند تعریف خروجی یا پارک</x:v>
      </x:c>
      <x:c r="J2782" s="39" t="str">
        <x:v>تحلیلگر راهبری/PMO؛ تبدیل به فرضیه یا اقدام در صورت نیاز</x:v>
      </x:c>
      <x:c r="K2782" s="39" t="str"/>
      <x:c r="L2782" s="39" t="str">
        <x:v>E112:P971</x:v>
      </x:c>
      <x:c r="M2782" s="39" t="str"/>
      <x:c r="N2782" s="39" t="str">
        <x:v>نسخه پایه ۳۱۵۰</x:v>
      </x:c>
    </x:row>
    <x:row r="2783" ht="34" customHeight="1">
      <x:c r="A2783" s="34" t="str">
        <x:v>☐</x:v>
      </x:c>
      <x:c r="B2783" s="34" t="str">
        <x:v>MI-2171</x:v>
      </x:c>
      <x:c r="C2783" s="34" t="str">
        <x:v>M6 — تحلیل‌های خام و ورودی‌های نیازمند پالایش</x:v>
      </x:c>
      <x:c r="D2783" s="34" t="str">
        <x:v>H20</x:v>
      </x:c>
      <x:c r="E2783" s="34" t="str">
        <x:v>یادداشت تحلیلی/راهبری ثبت‌شده در 11211</x:v>
      </x:c>
      <x:c r="F2783" s="34" t="str">
        <x:v>P3/CLARIFY</x:v>
      </x:c>
      <x:c r="G2783" s="34" t="str">
        <x:v>هدف/موضوع</x:v>
      </x:c>
      <x:c r="H2783" s="39" t="str">
        <x:v>من می توانم برایت طراحی کنم:</x:v>
      </x:c>
      <x:c r="I2783" s="39" t="str">
        <x:v>نیازمند تعریف خروجی یا پارک</x:v>
      </x:c>
      <x:c r="J2783" s="39" t="str">
        <x:v>تحلیلگر راهبری/PMO؛ تبدیل به فرضیه یا اقدام در صورت نیاز</x:v>
      </x:c>
      <x:c r="K2783" s="39" t="str"/>
      <x:c r="L2783" s="39" t="str">
        <x:v>E112:P973</x:v>
      </x:c>
      <x:c r="M2783" s="39" t="str"/>
      <x:c r="N2783" s="39" t="str">
        <x:v>نسخه پایه ۳۱۵۰</x:v>
      </x:c>
    </x:row>
    <x:row r="2784" ht="34" customHeight="1">
      <x:c r="A2784" s="34" t="str">
        <x:v>☐</x:v>
      </x:c>
      <x:c r="B2784" s="34" t="str">
        <x:v>MI-2173</x:v>
      </x:c>
      <x:c r="C2784" s="34" t="str">
        <x:v>M6 — تحلیل‌های خام و ورودی‌های نیازمند پالایش</x:v>
      </x:c>
      <x:c r="D2784" s="34" t="str">
        <x:v>H20</x:v>
      </x:c>
      <x:c r="E2784" s="34" t="str">
        <x:v>یادداشت تحلیلی/راهبری ثبت‌شده در 11211</x:v>
      </x:c>
      <x:c r="F2784" s="34" t="str">
        <x:v>P3/CLARIFY</x:v>
      </x:c>
      <x:c r="G2784" s="34" t="str">
        <x:v>هدف/موضوع</x:v>
      </x:c>
      <x:c r="H2784" s="39" t="str">
        <x:v>که مشخص کند:</x:v>
      </x:c>
      <x:c r="I2784" s="39" t="str">
        <x:v>نیازمند تعریف خروجی یا پارک</x:v>
      </x:c>
      <x:c r="J2784" s="39" t="str">
        <x:v>تحلیلگر راهبری/PMO؛ تبدیل به فرضیه یا اقدام در صورت نیاز</x:v>
      </x:c>
      <x:c r="K2784" s="39" t="str"/>
      <x:c r="L2784" s="39" t="str">
        <x:v>E112:P977</x:v>
      </x:c>
      <x:c r="M2784" s="39" t="str"/>
      <x:c r="N2784" s="39" t="str">
        <x:v>نسخه پایه ۳۱۵۰</x:v>
      </x:c>
    </x:row>
    <x:row r="2785" ht="34" customHeight="1">
      <x:c r="A2785" s="34" t="str">
        <x:v>☐</x:v>
      </x:c>
      <x:c r="B2785" s="34" t="str">
        <x:v>MI-2175</x:v>
      </x:c>
      <x:c r="C2785" s="34" t="str">
        <x:v>M6 — تحلیل‌های خام و ورودی‌های نیازمند پالایش</x:v>
      </x:c>
      <x:c r="D2785" s="34" t="str">
        <x:v>H20</x:v>
      </x:c>
      <x:c r="E2785" s="34" t="str">
        <x:v>یادداشت تحلیلی/راهبری ثبت‌شده در 11211</x:v>
      </x:c>
      <x:c r="F2785" s="34" t="str">
        <x:v>P3/CLARIFY</x:v>
      </x:c>
      <x:c r="G2785" s="34" t="str">
        <x:v>هدف/موضوع</x:v>
      </x:c>
      <x:c r="H2785" s="39" t="str">
        <x:v>10 گره قدرت واقعی کدام اند</x:v>
      </x:c>
      <x:c r="I2785" s="39" t="str">
        <x:v>نیازمند تعریف خروجی یا پارک</x:v>
      </x:c>
      <x:c r="J2785" s="39" t="str">
        <x:v>تحلیلگر راهبری/PMO؛ تبدیل به فرضیه یا اقدام در صورت نیاز</x:v>
      </x:c>
      <x:c r="K2785" s="39" t="str"/>
      <x:c r="L2785" s="39" t="str">
        <x:v>E112:P980</x:v>
      </x:c>
      <x:c r="M2785" s="39" t="str"/>
      <x:c r="N2785" s="39" t="str">
        <x:v>نسخه پایه ۳۱۵۰</x:v>
      </x:c>
    </x:row>
    <x:row r="2786" ht="34" customHeight="1">
      <x:c r="A2786" s="34" t="str">
        <x:v>☐</x:v>
      </x:c>
      <x:c r="B2786" s="34" t="str">
        <x:v>MI-2176</x:v>
      </x:c>
      <x:c r="C2786" s="34" t="str">
        <x:v>M6 — تحلیل‌های خام و ورودی‌های نیازمند پالایش</x:v>
      </x:c>
      <x:c r="D2786" s="34" t="str">
        <x:v>H20</x:v>
      </x:c>
      <x:c r="E2786" s="34" t="str">
        <x:v>یادداشت تحلیلی/راهبری ثبت‌شده در 11211</x:v>
      </x:c>
      <x:c r="F2786" s="34" t="str">
        <x:v>P3/CLARIFY</x:v>
      </x:c>
      <x:c r="G2786" s="34" t="str">
        <x:v>هدف/موضوع</x:v>
      </x:c>
      <x:c r="H2786" s="39" t="str">
        <x:v>15 خلا بزرگ کجاست</x:v>
      </x:c>
      <x:c r="I2786" s="39" t="str">
        <x:v>نیازمند تعریف خروجی یا پارک</x:v>
      </x:c>
      <x:c r="J2786" s="39" t="str">
        <x:v>تحلیلگر راهبری/PMO؛ تبدیل به فرضیه یا اقدام در صورت نیاز</x:v>
      </x:c>
      <x:c r="K2786" s="39" t="str"/>
      <x:c r="L2786" s="39" t="str">
        <x:v>E112:P981</x:v>
      </x:c>
      <x:c r="M2786" s="39" t="str"/>
      <x:c r="N2786" s="39" t="str">
        <x:v>نسخه پایه ۳۱۵۰</x:v>
      </x:c>
    </x:row>
    <x:row r="2787" ht="34" customHeight="1">
      <x:c r="A2787" s="34" t="str">
        <x:v>☐</x:v>
      </x:c>
      <x:c r="B2787" s="34" t="str">
        <x:v>MI-2183</x:v>
      </x:c>
      <x:c r="C2787" s="34" t="str">
        <x:v>M6 — تحلیل‌های خام و ورودی‌های نیازمند پالایش</x:v>
      </x:c>
      <x:c r="D2787" s="34" t="str">
        <x:v>H20</x:v>
      </x:c>
      <x:c r="E2787" s="34" t="str">
        <x:v>یادداشت تحلیلی/راهبری ثبت‌شده در 11211</x:v>
      </x:c>
      <x:c r="F2787" s="34" t="str">
        <x:v>P3/CLARIFY</x:v>
      </x:c>
      <x:c r="G2787" s="34" t="str">
        <x:v>هدف/موضوع</x:v>
      </x:c>
      <x:c r="H2787" s="39" t="str">
        <x:v>1. هسته قدرت داخل مازندران</x:v>
      </x:c>
      <x:c r="I2787" s="39" t="str">
        <x:v>نیازمند تعریف خروجی یا پارک</x:v>
      </x:c>
      <x:c r="J2787" s="39" t="str">
        <x:v>تحلیلگر راهبری/PMO؛ تبدیل به فرضیه یا اقدام در صورت نیاز</x:v>
      </x:c>
      <x:c r="K2787" s="39" t="str"/>
      <x:c r="L2787" s="39" t="str">
        <x:v>E112:P992</x:v>
      </x:c>
      <x:c r="M2787" s="39" t="str"/>
      <x:c r="N2787" s="39" t="str">
        <x:v>نسخه پایه ۳۱۵۰</x:v>
      </x:c>
    </x:row>
    <x:row r="2788" ht="34" customHeight="1">
      <x:c r="A2788" s="34" t="str">
        <x:v>☐</x:v>
      </x:c>
      <x:c r="B2788" s="34" t="str">
        <x:v>MI-2190</x:v>
      </x:c>
      <x:c r="C2788" s="34" t="str">
        <x:v>M6 — تحلیل‌های خام و ورودی‌های نیازمند پالایش</x:v>
      </x:c>
      <x:c r="D2788" s="34" t="str">
        <x:v>H20</x:v>
      </x:c>
      <x:c r="E2788" s="34" t="str">
        <x:v>یادداشت تحلیلی/راهبری ثبت‌شده در 11211</x:v>
      </x:c>
      <x:c r="F2788" s="34" t="str">
        <x:v>P3/CLARIFY</x:v>
      </x:c>
      <x:c r="G2788" s="34" t="str">
        <x:v>هدف/موضوع</x:v>
      </x:c>
      <x:c r="H2788" s="39" t="str">
        <x:v>نقش ها:</x:v>
      </x:c>
      <x:c r="I2788" s="39" t="str">
        <x:v>نیازمند تعریف خروجی یا پارک</x:v>
      </x:c>
      <x:c r="J2788" s="39" t="str">
        <x:v>تحلیلگر راهبری/PMO؛ تبدیل به فرضیه یا اقدام در صورت نیاز</x:v>
      </x:c>
      <x:c r="K2788" s="39" t="str"/>
      <x:c r="L2788" s="39" t="str">
        <x:v>E112:P1003؛ E112:P1017؛ E112:P3034؛ E112:P3303</x:v>
      </x:c>
      <x:c r="M2788" s="39" t="str"/>
      <x:c r="N2788" s="39" t="str">
        <x:v>نسخه پایه ۳۱۵۰</x:v>
      </x:c>
    </x:row>
    <x:row r="2789" ht="34" customHeight="1">
      <x:c r="A2789" s="34" t="str">
        <x:v>☐</x:v>
      </x:c>
      <x:c r="B2789" s="34" t="str">
        <x:v>MI-2196</x:v>
      </x:c>
      <x:c r="C2789" s="34" t="str">
        <x:v>M6 — تحلیل‌های خام و ورودی‌های نیازمند پالایش</x:v>
      </x:c>
      <x:c r="D2789" s="34" t="str">
        <x:v>H20</x:v>
      </x:c>
      <x:c r="E2789" s="34" t="str">
        <x:v>یادداشت تحلیلی/راهبری ثبت‌شده در 11211</x:v>
      </x:c>
      <x:c r="F2789" s="34" t="str">
        <x:v>P3/CLARIFY</x:v>
      </x:c>
      <x:c r="G2789" s="34" t="str">
        <x:v>هدف/موضوع</x:v>
      </x:c>
      <x:c r="H2789" s="39" t="str">
        <x:v>مراکز نوآوری</x:v>
      </x:c>
      <x:c r="I2789" s="39" t="str">
        <x:v>نیازمند تعریف خروجی یا پارک</x:v>
      </x:c>
      <x:c r="J2789" s="39" t="str">
        <x:v>تحلیلگر راهبری/PMO؛ تبدیل به فرضیه یا اقدام در صورت نیاز</x:v>
      </x:c>
      <x:c r="K2789" s="39" t="str"/>
      <x:c r="L2789" s="39" t="str">
        <x:v>E112:P1013؛ E112:P2476؛ E112:P3006</x:v>
      </x:c>
      <x:c r="M2789" s="39" t="str"/>
      <x:c r="N2789" s="39" t="str">
        <x:v>نسخه پایه ۳۱۵۰</x:v>
      </x:c>
    </x:row>
    <x:row r="2790" ht="34" customHeight="1">
      <x:c r="A2790" s="34" t="str">
        <x:v>☐</x:v>
      </x:c>
      <x:c r="B2790" s="34" t="str">
        <x:v>MI-2197</x:v>
      </x:c>
      <x:c r="C2790" s="34" t="str">
        <x:v>M6 — تحلیل‌های خام و ورودی‌های نیازمند پالایش</x:v>
      </x:c>
      <x:c r="D2790" s="34" t="str">
        <x:v>H20</x:v>
      </x:c>
      <x:c r="E2790" s="34" t="str">
        <x:v>یادداشت تحلیلی/راهبری ثبت‌شده در 11211</x:v>
      </x:c>
      <x:c r="F2790" s="34" t="str">
        <x:v>P3/CLARIFY</x:v>
      </x:c>
      <x:c r="G2790" s="34" t="str">
        <x:v>هدف/موضوع</x:v>
      </x:c>
      <x:c r="H2790" s="39" t="str">
        <x:v>پارک های خصوصی (اگر وجود داشته باشند)</x:v>
      </x:c>
      <x:c r="I2790" s="39" t="str">
        <x:v>نیازمند تعریف خروجی یا پارک</x:v>
      </x:c>
      <x:c r="J2790" s="39" t="str">
        <x:v>تحلیلگر راهبری/PMO؛ تبدیل به فرضیه یا اقدام در صورت نیاز</x:v>
      </x:c>
      <x:c r="K2790" s="39" t="str"/>
      <x:c r="L2790" s="39" t="str">
        <x:v>E112:P1015</x:v>
      </x:c>
      <x:c r="M2790" s="39" t="str"/>
      <x:c r="N2790" s="39" t="str">
        <x:v>نسخه پایه ۳۱۵۰</x:v>
      </x:c>
    </x:row>
    <x:row r="2791" ht="34" customHeight="1">
      <x:c r="A2791" s="34" t="str">
        <x:v>☐</x:v>
      </x:c>
      <x:c r="B2791" s="34" t="str">
        <x:v>MI-2199</x:v>
      </x:c>
      <x:c r="C2791" s="34" t="str">
        <x:v>M6 — تحلیل‌های خام و ورودی‌های نیازمند پالایش</x:v>
      </x:c>
      <x:c r="D2791" s="34" t="str">
        <x:v>H20</x:v>
      </x:c>
      <x:c r="E2791" s="34" t="str">
        <x:v>یادداشت تحلیلی/راهبری ثبت‌شده در 11211</x:v>
      </x:c>
      <x:c r="F2791" s="34" t="str">
        <x:v>P3/CLARIFY</x:v>
      </x:c>
      <x:c r="G2791" s="34" t="str">
        <x:v>هدف/موضوع</x:v>
      </x:c>
      <x:c r="H2791" s="39" t="str">
        <x:v>اتصال به منابع مالی</x:v>
      </x:c>
      <x:c r="I2791" s="39" t="str">
        <x:v>نیازمند تعریف خروجی یا پارک</x:v>
      </x:c>
      <x:c r="J2791" s="39" t="str">
        <x:v>تحلیلگر راهبری/PMO؛ تبدیل به فرضیه یا اقدام در صورت نیاز</x:v>
      </x:c>
      <x:c r="K2791" s="39" t="str"/>
      <x:c r="L2791" s="39" t="str">
        <x:v>E112:P1020</x:v>
      </x:c>
      <x:c r="M2791" s="39" t="str"/>
      <x:c r="N2791" s="39" t="str">
        <x:v>نسخه پایه ۳۱۵۰</x:v>
      </x:c>
    </x:row>
    <x:row r="2792" ht="34" customHeight="1">
      <x:c r="A2792" s="34" t="str">
        <x:v>☐</x:v>
      </x:c>
      <x:c r="B2792" s="34" t="str">
        <x:v>MI-2200</x:v>
      </x:c>
      <x:c r="C2792" s="34" t="str">
        <x:v>M6 — تحلیل‌های خام و ورودی‌های نیازمند پالایش</x:v>
      </x:c>
      <x:c r="D2792" s="34" t="str">
        <x:v>H20</x:v>
      </x:c>
      <x:c r="E2792" s="34" t="str">
        <x:v>یادداشت تحلیلی/راهبری ثبت‌شده در 11211</x:v>
      </x:c>
      <x:c r="F2792" s="34" t="str">
        <x:v>P3/CLARIFY</x:v>
      </x:c>
      <x:c r="G2792" s="34" t="str">
        <x:v>هدف/موضوع</x:v>
      </x:c>
      <x:c r="H2792" s="39" t="str">
        <x:v>صنایع کلیدی استان</x:v>
      </x:c>
      <x:c r="I2792" s="39" t="str">
        <x:v>نیازمند تعریف خروجی یا پارک</x:v>
      </x:c>
      <x:c r="J2792" s="39" t="str">
        <x:v>تحلیلگر راهبری/PMO؛ تبدیل به فرضیه یا اقدام در صورت نیاز</x:v>
      </x:c>
      <x:c r="K2792" s="39" t="str"/>
      <x:c r="L2792" s="39" t="str">
        <x:v>E112:P1022</x:v>
      </x:c>
      <x:c r="M2792" s="39" t="str"/>
      <x:c r="N2792" s="39" t="str">
        <x:v>نسخه پایه ۳۱۵۰</x:v>
      </x:c>
    </x:row>
    <x:row r="2793" ht="34" customHeight="1">
      <x:c r="A2793" s="34" t="str">
        <x:v>☐</x:v>
      </x:c>
      <x:c r="B2793" s="34" t="str">
        <x:v>MI-2206</x:v>
      </x:c>
      <x:c r="C2793" s="34" t="str">
        <x:v>M6 — تحلیل‌های خام و ورودی‌های نیازمند پالایش</x:v>
      </x:c>
      <x:c r="D2793" s="34" t="str">
        <x:v>H20</x:v>
      </x:c>
      <x:c r="E2793" s="34" t="str">
        <x:v>یادداشت تحلیلی/راهبری ثبت‌شده در 11211</x:v>
      </x:c>
      <x:c r="F2793" s="34" t="str">
        <x:v>P3/CLARIFY</x:v>
      </x:c>
      <x:c r="G2793" s="34" t="str">
        <x:v>هدف/موضوع</x:v>
      </x:c>
      <x:c r="H2793" s="39" t="str">
        <x:v>نهادهای قدرت</x:v>
      </x:c>
      <x:c r="I2793" s="39" t="str">
        <x:v>نیازمند تعریف خروجی یا پارک</x:v>
      </x:c>
      <x:c r="J2793" s="39" t="str">
        <x:v>تحلیلگر راهبری/PMO؛ تبدیل به فرضیه یا اقدام در صورت نیاز</x:v>
      </x:c>
      <x:c r="K2793" s="39" t="str"/>
      <x:c r="L2793" s="39" t="str">
        <x:v>E112:P1034</x:v>
      </x:c>
      <x:c r="M2793" s="39" t="str"/>
      <x:c r="N2793" s="39" t="str">
        <x:v>نسخه پایه ۳۱۵۰</x:v>
      </x:c>
    </x:row>
    <x:row r="2794" ht="34" customHeight="1">
      <x:c r="A2794" s="34" t="str">
        <x:v>☐</x:v>
      </x:c>
      <x:c r="B2794" s="34" t="str">
        <x:v>MI-2208</x:v>
      </x:c>
      <x:c r="C2794" s="34" t="str">
        <x:v>M6 — تحلیل‌های خام و ورودی‌های نیازمند پالایش</x:v>
      </x:c>
      <x:c r="D2794" s="34" t="str">
        <x:v>H20</x:v>
      </x:c>
      <x:c r="E2794" s="34" t="str">
        <x:v>یادداشت تحلیلی/راهبری ثبت‌شده در 11211</x:v>
      </x:c>
      <x:c r="F2794" s="34" t="str">
        <x:v>P3/CLARIFY</x:v>
      </x:c>
      <x:c r="G2794" s="34" t="str">
        <x:v>هدف/موضوع</x:v>
      </x:c>
      <x:c r="H2794" s="39" t="str">
        <x:v>اداره کار</x:v>
      </x:c>
      <x:c r="I2794" s="39" t="str">
        <x:v>نیازمند تعریف خروجی یا پارک</x:v>
      </x:c>
      <x:c r="J2794" s="39" t="str">
        <x:v>تحلیلگر راهبری/PMO؛ تبدیل به فرضیه یا اقدام در صورت نیاز</x:v>
      </x:c>
      <x:c r="K2794" s="39" t="str"/>
      <x:c r="L2794" s="39" t="str">
        <x:v>E112:P1041</x:v>
      </x:c>
      <x:c r="M2794" s="39" t="str"/>
      <x:c r="N2794" s="39" t="str">
        <x:v>نسخه پایه ۳۱۵۰</x:v>
      </x:c>
    </x:row>
    <x:row r="2795" ht="34" customHeight="1">
      <x:c r="A2795" s="34" t="str">
        <x:v>☐</x:v>
      </x:c>
      <x:c r="B2795" s="34" t="str">
        <x:v>MI-2210</x:v>
      </x:c>
      <x:c r="C2795" s="34" t="str">
        <x:v>M6 — تحلیل‌های خام و ورودی‌های نیازمند پالایش</x:v>
      </x:c>
      <x:c r="D2795" s="34" t="str">
        <x:v>H20</x:v>
      </x:c>
      <x:c r="E2795" s="34" t="str">
        <x:v>یادداشت تحلیلی/راهبری ثبت‌شده در 11211</x:v>
      </x:c>
      <x:c r="F2795" s="34" t="str">
        <x:v>P3/CLARIFY</x:v>
      </x:c>
      <x:c r="G2795" s="34" t="str">
        <x:v>هدف/موضوع</x:v>
      </x:c>
      <x:c r="H2795" s="39" t="str">
        <x:v>2. حلقه اول اتصال (استان های بسیار نزدیک)</x:v>
      </x:c>
      <x:c r="I2795" s="39" t="str">
        <x:v>نیازمند تعریف خروجی یا پارک</x:v>
      </x:c>
      <x:c r="J2795" s="39" t="str">
        <x:v>تحلیلگر راهبری/PMO؛ تبدیل به فرضیه یا اقدام در صورت نیاز</x:v>
      </x:c>
      <x:c r="K2795" s="39" t="str"/>
      <x:c r="L2795" s="39" t="str">
        <x:v>E112:P1044</x:v>
      </x:c>
      <x:c r="M2795" s="39" t="str"/>
      <x:c r="N2795" s="39" t="str">
        <x:v>نسخه پایه ۳۱۵۰</x:v>
      </x:c>
    </x:row>
    <x:row r="2796" ht="34" customHeight="1">
      <x:c r="A2796" s="34" t="str">
        <x:v>☐</x:v>
      </x:c>
      <x:c r="B2796" s="34" t="str">
        <x:v>MI-2212</x:v>
      </x:c>
      <x:c r="C2796" s="34" t="str">
        <x:v>M6 — تحلیل‌های خام و ورودی‌های نیازمند پالایش</x:v>
      </x:c>
      <x:c r="D2796" s="34" t="str">
        <x:v>H20</x:v>
      </x:c>
      <x:c r="E2796" s="34" t="str">
        <x:v>یادداشت تحلیلی/راهبری ثبت‌شده در 11211</x:v>
      </x:c>
      <x:c r="F2796" s="34" t="str">
        <x:v>P3/CLARIFY</x:v>
      </x:c>
      <x:c r="G2796" s="34" t="str">
        <x:v>هدف/موضوع</x:v>
      </x:c>
      <x:c r="H2796" s="39" t="str">
        <x:v>گیلان</x:v>
      </x:c>
      <x:c r="I2796" s="39" t="str">
        <x:v>نیازمند تعریف خروجی یا پارک</x:v>
      </x:c>
      <x:c r="J2796" s="39" t="str">
        <x:v>تحلیلگر راهبری/PMO؛ تبدیل به فرضیه یا اقدام در صورت نیاز</x:v>
      </x:c>
      <x:c r="K2796" s="39" t="str"/>
      <x:c r="L2796" s="39" t="str">
        <x:v>E112:P1047</x:v>
      </x:c>
      <x:c r="M2796" s="39" t="str"/>
      <x:c r="N2796" s="39" t="str">
        <x:v>نسخه پایه ۳۱۵۰</x:v>
      </x:c>
    </x:row>
    <x:row r="2797" ht="34" customHeight="1">
      <x:c r="A2797" s="34" t="str">
        <x:v>☐</x:v>
      </x:c>
      <x:c r="B2797" s="34" t="str">
        <x:v>MI-2213</x:v>
      </x:c>
      <x:c r="C2797" s="34" t="str">
        <x:v>M6 — تحلیل‌های خام و ورودی‌های نیازمند پالایش</x:v>
      </x:c>
      <x:c r="D2797" s="34" t="str">
        <x:v>H20</x:v>
      </x:c>
      <x:c r="E2797" s="34" t="str">
        <x:v>یادداشت تحلیلی/راهبری ثبت‌شده در 11211</x:v>
      </x:c>
      <x:c r="F2797" s="34" t="str">
        <x:v>P3/CLARIFY</x:v>
      </x:c>
      <x:c r="G2797" s="34" t="str">
        <x:v>هدف/موضوع</x:v>
      </x:c>
      <x:c r="H2797" s="39" t="str">
        <x:v>ظرفیت ها:</x:v>
      </x:c>
      <x:c r="I2797" s="39" t="str">
        <x:v>نیازمند تعریف خروجی یا پارک</x:v>
      </x:c>
      <x:c r="J2797" s="39" t="str">
        <x:v>تحلیلگر راهبری/PMO؛ تبدیل به فرضیه یا اقدام در صورت نیاز</x:v>
      </x:c>
      <x:c r="K2797" s="39" t="str"/>
      <x:c r="L2797" s="39" t="str">
        <x:v>E112:P1049؛ E112:P1063؛ E112:P1090</x:v>
      </x:c>
      <x:c r="M2797" s="39" t="str"/>
      <x:c r="N2797" s="39" t="str">
        <x:v>نسخه پایه ۳۱۵۰</x:v>
      </x:c>
    </x:row>
    <x:row r="2798" ht="34" customHeight="1">
      <x:c r="A2798" s="34" t="str">
        <x:v>☐</x:v>
      </x:c>
      <x:c r="B2798" s="34" t="str">
        <x:v>MI-2215</x:v>
      </x:c>
      <x:c r="C2798" s="34" t="str">
        <x:v>M6 — تحلیل‌های خام و ورودی‌های نیازمند پالایش</x:v>
      </x:c>
      <x:c r="D2798" s="34" t="str">
        <x:v>H20</x:v>
      </x:c>
      <x:c r="E2798" s="34" t="str">
        <x:v>یادداشت تحلیلی/راهبری ثبت‌شده در 11211</x:v>
      </x:c>
      <x:c r="F2798" s="34" t="str">
        <x:v>P3/CLARIFY</x:v>
      </x:c>
      <x:c r="G2798" s="34" t="str">
        <x:v>هدف/موضوع</x:v>
      </x:c>
      <x:c r="H2798" s="39" t="str">
        <x:v>فرصت اتصال:</x:v>
      </x:c>
      <x:c r="I2798" s="39" t="str">
        <x:v>نیازمند تعریف خروجی یا پارک</x:v>
      </x:c>
      <x:c r="J2798" s="39" t="str">
        <x:v>تحلیلگر راهبری/PMO؛ تبدیل به فرضیه یا اقدام در صورت نیاز</x:v>
      </x:c>
      <x:c r="K2798" s="39" t="str"/>
      <x:c r="L2798" s="39" t="str">
        <x:v>E112:P1055؛ E112:P1069؛ E112:P1082؛ E112:P1095</x:v>
      </x:c>
      <x:c r="M2798" s="39" t="str"/>
      <x:c r="N2798" s="39" t="str">
        <x:v>نسخه پایه ۳۱۵۰</x:v>
      </x:c>
    </x:row>
    <x:row r="2799" ht="34" customHeight="1">
      <x:c r="A2799" s="34" t="str">
        <x:v>☐</x:v>
      </x:c>
      <x:c r="B2799" s="34" t="str">
        <x:v>MI-2217</x:v>
      </x:c>
      <x:c r="C2799" s="34" t="str">
        <x:v>M6 — تحلیل‌های خام و ورودی‌های نیازمند پالایش</x:v>
      </x:c>
      <x:c r="D2799" s="34" t="str">
        <x:v>H20</x:v>
      </x:c>
      <x:c r="E2799" s="34" t="str">
        <x:v>یادداشت تحلیلی/راهبری ثبت‌شده در 11211</x:v>
      </x:c>
      <x:c r="F2799" s="34" t="str">
        <x:v>P3/CLARIFY</x:v>
      </x:c>
      <x:c r="G2799" s="34" t="str">
        <x:v>هدف/موضوع</x:v>
      </x:c>
      <x:c r="H2799" s="39" t="str">
        <x:v>حمل ونقل شمال</x:v>
      </x:c>
      <x:c r="I2799" s="39" t="str">
        <x:v>نیازمند تعریف خروجی یا پارک</x:v>
      </x:c>
      <x:c r="J2799" s="39" t="str">
        <x:v>تحلیلگر راهبری/PMO؛ تبدیل به فرضیه یا اقدام در صورت نیاز</x:v>
      </x:c>
      <x:c r="K2799" s="39" t="str"/>
      <x:c r="L2799" s="39" t="str">
        <x:v>E112:P1059</x:v>
      </x:c>
      <x:c r="M2799" s="39" t="str"/>
      <x:c r="N2799" s="39" t="str">
        <x:v>نسخه پایه ۳۱۵۰</x:v>
      </x:c>
    </x:row>
    <x:row r="2800" ht="34" customHeight="1">
      <x:c r="A2800" s="34" t="str">
        <x:v>☐</x:v>
      </x:c>
      <x:c r="B2800" s="34" t="str">
        <x:v>MI-2218</x:v>
      </x:c>
      <x:c r="C2800" s="34" t="str">
        <x:v>M6 — تحلیل‌های خام و ورودی‌های نیازمند پالایش</x:v>
      </x:c>
      <x:c r="D2800" s="34" t="str">
        <x:v>H20</x:v>
      </x:c>
      <x:c r="E2800" s="34" t="str">
        <x:v>یادداشت تحلیلی/راهبری ثبت‌شده در 11211</x:v>
      </x:c>
      <x:c r="F2800" s="34" t="str">
        <x:v>P3/CLARIFY</x:v>
      </x:c>
      <x:c r="G2800" s="34" t="str">
        <x:v>هدف/موضوع</x:v>
      </x:c>
      <x:c r="H2800" s="39" t="str">
        <x:v>گلستان</x:v>
      </x:c>
      <x:c r="I2800" s="39" t="str">
        <x:v>نیازمند تعریف خروجی یا پارک</x:v>
      </x:c>
      <x:c r="J2800" s="39" t="str">
        <x:v>تحلیلگر راهبری/PMO؛ تبدیل به فرضیه یا اقدام در صورت نیاز</x:v>
      </x:c>
      <x:c r="K2800" s="39" t="str"/>
      <x:c r="L2800" s="39" t="str">
        <x:v>E112:P1061</x:v>
      </x:c>
      <x:c r="M2800" s="39" t="str"/>
      <x:c r="N2800" s="39" t="str">
        <x:v>نسخه پایه ۳۱۵۰</x:v>
      </x:c>
    </x:row>
    <x:row r="2801" ht="34" customHeight="1">
      <x:c r="A2801" s="34" t="str">
        <x:v>☐</x:v>
      </x:c>
      <x:c r="B2801" s="34" t="str">
        <x:v>MI-2223</x:v>
      </x:c>
      <x:c r="C2801" s="34" t="str">
        <x:v>M6 — تحلیل‌های خام و ورودی‌های نیازمند پالایش</x:v>
      </x:c>
      <x:c r="D2801" s="34" t="str">
        <x:v>H20</x:v>
      </x:c>
      <x:c r="E2801" s="34" t="str">
        <x:v>یادداشت تحلیلی/راهبری ثبت‌شده در 11211</x:v>
      </x:c>
      <x:c r="F2801" s="34" t="str">
        <x:v>P3/CLARIFY</x:v>
      </x:c>
      <x:c r="G2801" s="34" t="str">
        <x:v>هدف/موضوع</x:v>
      </x:c>
      <x:c r="H2801" s="39" t="str">
        <x:v>تهران</x:v>
      </x:c>
      <x:c r="I2801" s="39" t="str">
        <x:v>نیازمند تعریف خروجی یا پارک</x:v>
      </x:c>
      <x:c r="J2801" s="39" t="str">
        <x:v>تحلیلگر راهبری/PMO؛ تبدیل به فرضیه یا اقدام در صورت نیاز</x:v>
      </x:c>
      <x:c r="K2801" s="39" t="str"/>
      <x:c r="L2801" s="39" t="str">
        <x:v>E112:P1074؛ E112:P1312؛ E112:P2816</x:v>
      </x:c>
      <x:c r="M2801" s="39" t="str"/>
      <x:c r="N2801" s="39" t="str">
        <x:v>نسخه پایه ۳۱۵۰</x:v>
      </x:c>
    </x:row>
    <x:row r="2802" ht="34" customHeight="1">
      <x:c r="A2802" s="34" t="str">
        <x:v>☐</x:v>
      </x:c>
      <x:c r="B2802" s="34" t="str">
        <x:v>MI-2228</x:v>
      </x:c>
      <x:c r="C2802" s="34" t="str">
        <x:v>M6 — تحلیل‌های خام و ورودی‌های نیازمند پالایش</x:v>
      </x:c>
      <x:c r="D2802" s="34" t="str">
        <x:v>H20</x:v>
      </x:c>
      <x:c r="E2802" s="34" t="str">
        <x:v>یادداشت تحلیلی/راهبری ثبت‌شده در 11211</x:v>
      </x:c>
      <x:c r="F2802" s="34" t="str">
        <x:v>P3/CLARIFY</x:v>
      </x:c>
      <x:c r="G2802" s="34" t="str">
        <x:v>هدف/موضوع</x:v>
      </x:c>
      <x:c r="H2802" s="39" t="str">
        <x:v>انتقال تجربه</x:v>
      </x:c>
      <x:c r="I2802" s="39" t="str">
        <x:v>نیازمند تعریف خروجی یا پارک</x:v>
      </x:c>
      <x:c r="J2802" s="39" t="str">
        <x:v>تحلیلگر راهبری/PMO؛ تبدیل به فرضیه یا اقدام در صورت نیاز</x:v>
      </x:c>
      <x:c r="K2802" s="39" t="str"/>
      <x:c r="L2802" s="39" t="str">
        <x:v>E112:P1085؛ E112:P2157؛ E112:P2808؛ E112:P3142؛ E112:P3478</x:v>
      </x:c>
      <x:c r="M2802" s="39" t="str"/>
      <x:c r="N2802" s="39" t="str">
        <x:v>نسخه پایه ۳۱۵۰</x:v>
      </x:c>
    </x:row>
    <x:row r="2803" ht="34" customHeight="1">
      <x:c r="A2803" s="34" t="str">
        <x:v>☐</x:v>
      </x:c>
      <x:c r="B2803" s="34" t="str">
        <x:v>MI-2229</x:v>
      </x:c>
      <x:c r="C2803" s="34" t="str">
        <x:v>M6 — تحلیل‌های خام و ورودی‌های نیازمند پالایش</x:v>
      </x:c>
      <x:c r="D2803" s="34" t="str">
        <x:v>H20</x:v>
      </x:c>
      <x:c r="E2803" s="34" t="str">
        <x:v>یادداشت تحلیلی/راهبری ثبت‌شده در 11211</x:v>
      </x:c>
      <x:c r="F2803" s="34" t="str">
        <x:v>P3/CLARIFY</x:v>
      </x:c>
      <x:c r="G2803" s="34" t="str">
        <x:v>هدف/موضوع</x:v>
      </x:c>
      <x:c r="H2803" s="39" t="str">
        <x:v>البرز</x:v>
      </x:c>
      <x:c r="I2803" s="39" t="str">
        <x:v>نیازمند تعریف خروجی یا پارک</x:v>
      </x:c>
      <x:c r="J2803" s="39" t="str">
        <x:v>تحلیلگر راهبری/PMO؛ تبدیل به فرضیه یا اقدام در صورت نیاز</x:v>
      </x:c>
      <x:c r="K2803" s="39" t="str"/>
      <x:c r="L2803" s="39" t="str">
        <x:v>E112:P1088</x:v>
      </x:c>
      <x:c r="M2803" s="39" t="str"/>
      <x:c r="N2803" s="39" t="str">
        <x:v>نسخه پایه ۳۱۵۰</x:v>
      </x:c>
    </x:row>
    <x:row r="2804" ht="34" customHeight="1">
      <x:c r="A2804" s="34" t="str">
        <x:v>☐</x:v>
      </x:c>
      <x:c r="B2804" s="34" t="str">
        <x:v>MI-2230</x:v>
      </x:c>
      <x:c r="C2804" s="34" t="str">
        <x:v>M6 — تحلیل‌های خام و ورودی‌های نیازمند پالایش</x:v>
      </x:c>
      <x:c r="D2804" s="34" t="str">
        <x:v>H20</x:v>
      </x:c>
      <x:c r="E2804" s="34" t="str">
        <x:v>یادداشت تحلیلی/راهبری ثبت‌شده در 11211</x:v>
      </x:c>
      <x:c r="F2804" s="34" t="str">
        <x:v>P3/CLARIFY</x:v>
      </x:c>
      <x:c r="G2804" s="34" t="str">
        <x:v>هدف/موضوع</x:v>
      </x:c>
      <x:c r="H2804" s="39" t="str">
        <x:v>پارک های فناوری</x:v>
      </x:c>
      <x:c r="I2804" s="39" t="str">
        <x:v>نیازمند تعریف خروجی یا پارک</x:v>
      </x:c>
      <x:c r="J2804" s="39" t="str">
        <x:v>تحلیلگر راهبری/PMO؛ تبدیل به فرضیه یا اقدام در صورت نیاز</x:v>
      </x:c>
      <x:c r="K2804" s="39" t="str"/>
      <x:c r="L2804" s="39" t="str">
        <x:v>E112:P1093</x:v>
      </x:c>
      <x:c r="M2804" s="39" t="str"/>
      <x:c r="N2804" s="39" t="str">
        <x:v>نسخه پایه ۳۱۵۰</x:v>
      </x:c>
    </x:row>
    <x:row r="2805" ht="34" customHeight="1">
      <x:c r="A2805" s="34" t="str">
        <x:v>☐</x:v>
      </x:c>
      <x:c r="B2805" s="34" t="str">
        <x:v>MI-2231</x:v>
      </x:c>
      <x:c r="C2805" s="34" t="str">
        <x:v>M6 — تحلیل‌های خام و ورودی‌های نیازمند پالایش</x:v>
      </x:c>
      <x:c r="D2805" s="34" t="str">
        <x:v>H20</x:v>
      </x:c>
      <x:c r="E2805" s="34" t="str">
        <x:v>یادداشت تحلیلی/راهبری ثبت‌شده در 11211</x:v>
      </x:c>
      <x:c r="F2805" s="34" t="str">
        <x:v>P3/CLARIFY</x:v>
      </x:c>
      <x:c r="G2805" s="34" t="str">
        <x:v>هدف/موضوع</x:v>
      </x:c>
      <x:c r="H2805" s="39" t="str">
        <x:v>همکاری تکنولوژیک</x:v>
      </x:c>
      <x:c r="I2805" s="39" t="str">
        <x:v>نیازمند تعریف خروجی یا پارک</x:v>
      </x:c>
      <x:c r="J2805" s="39" t="str">
        <x:v>تحلیلگر راهبری/PMO؛ تبدیل به فرضیه یا اقدام در صورت نیاز</x:v>
      </x:c>
      <x:c r="K2805" s="39" t="str"/>
      <x:c r="L2805" s="39" t="str">
        <x:v>E112:P1097</x:v>
      </x:c>
      <x:c r="M2805" s="39" t="str"/>
      <x:c r="N2805" s="39" t="str">
        <x:v>نسخه پایه ۳۱۵۰</x:v>
      </x:c>
    </x:row>
    <x:row r="2806" ht="34" customHeight="1">
      <x:c r="A2806" s="34" t="str">
        <x:v>☐</x:v>
      </x:c>
      <x:c r="B2806" s="34" t="str">
        <x:v>MI-2235</x:v>
      </x:c>
      <x:c r="C2806" s="34" t="str">
        <x:v>M6 — تحلیل‌های خام و ورودی‌های نیازمند پالایش</x:v>
      </x:c>
      <x:c r="D2806" s="34" t="str">
        <x:v>H20</x:v>
      </x:c>
      <x:c r="E2806" s="34" t="str">
        <x:v>یادداشت تحلیلی/راهبری ثبت‌شده در 11211</x:v>
      </x:c>
      <x:c r="F2806" s="34" t="str">
        <x:v>P3/CLARIFY</x:v>
      </x:c>
      <x:c r="G2806" s="34" t="str">
        <x:v>هدف/موضوع</x:v>
      </x:c>
      <x:c r="H2806" s="39" t="str">
        <x:v>مراکز ملی</x:v>
      </x:c>
      <x:c r="I2806" s="39" t="str">
        <x:v>نیازمند تعریف خروجی یا پارک</x:v>
      </x:c>
      <x:c r="J2806" s="39" t="str">
        <x:v>تحلیلگر راهبری/PMO؛ تبدیل به فرضیه یا اقدام در صورت نیاز</x:v>
      </x:c>
      <x:c r="K2806" s="39" t="str"/>
      <x:c r="L2806" s="39" t="str">
        <x:v>E112:P1103</x:v>
      </x:c>
      <x:c r="M2806" s="39" t="str"/>
      <x:c r="N2806" s="39" t="str">
        <x:v>نسخه پایه ۳۱۵۰</x:v>
      </x:c>
    </x:row>
    <x:row r="2807" ht="34" customHeight="1">
      <x:c r="A2807" s="34" t="str">
        <x:v>☐</x:v>
      </x:c>
      <x:c r="B2807" s="34" t="str">
        <x:v>MI-2236</x:v>
      </x:c>
      <x:c r="C2807" s="34" t="str">
        <x:v>M6 — تحلیل‌های خام و ورودی‌های نیازمند پالایش</x:v>
      </x:c>
      <x:c r="D2807" s="34" t="str">
        <x:v>H20</x:v>
      </x:c>
      <x:c r="E2807" s="34" t="str">
        <x:v>یادداشت تحلیلی/راهبری ثبت‌شده در 11211</x:v>
      </x:c>
      <x:c r="F2807" s="34" t="str">
        <x:v>P3/CLARIFY</x:v>
      </x:c>
      <x:c r="G2807" s="34" t="str">
        <x:v>هدف/موضوع</x:v>
      </x:c>
      <x:c r="H2807" s="39" t="str">
        <x:v>پارک پردیس</x:v>
      </x:c>
      <x:c r="I2807" s="39" t="str">
        <x:v>نیازمند تعریف خروجی یا پارک</x:v>
      </x:c>
      <x:c r="J2807" s="39" t="str">
        <x:v>تحلیلگر راهبری/PMO؛ تبدیل به فرضیه یا اقدام در صورت نیاز</x:v>
      </x:c>
      <x:c r="K2807" s="39" t="str"/>
      <x:c r="L2807" s="39" t="str">
        <x:v>E112:P1107</x:v>
      </x:c>
      <x:c r="M2807" s="39" t="str"/>
      <x:c r="N2807" s="39" t="str">
        <x:v>نسخه پایه ۳۱۵۰</x:v>
      </x:c>
    </x:row>
    <x:row r="2808" ht="34" customHeight="1">
      <x:c r="A2808" s="34" t="str">
        <x:v>☐</x:v>
      </x:c>
      <x:c r="B2808" s="34" t="str">
        <x:v>MI-2239</x:v>
      </x:c>
      <x:c r="C2808" s="34" t="str">
        <x:v>M6 — تحلیل‌های خام و ورودی‌های نیازمند پالایش</x:v>
      </x:c>
      <x:c r="D2808" s="34" t="str">
        <x:v>H20</x:v>
      </x:c>
      <x:c r="E2808" s="34" t="str">
        <x:v>یادداشت تحلیلی/راهبری ثبت‌شده در 11211</x:v>
      </x:c>
      <x:c r="F2808" s="34" t="str">
        <x:v>P3/CLARIFY</x:v>
      </x:c>
      <x:c r="G2808" s="34" t="str">
        <x:v>هدف/موضوع</x:v>
      </x:c>
      <x:c r="H2808" s="39" t="str">
        <x:v>4. گره های قدرت واقعی در مازندران</x:v>
      </x:c>
      <x:c r="I2808" s="39" t="str">
        <x:v>نیازمند تعریف خروجی یا پارک</x:v>
      </x:c>
      <x:c r="J2808" s="39" t="str">
        <x:v>تحلیلگر راهبری/PMO؛ تبدیل به فرضیه یا اقدام در صورت نیاز</x:v>
      </x:c>
      <x:c r="K2808" s="39" t="str"/>
      <x:c r="L2808" s="39" t="str">
        <x:v>E112:P1116</x:v>
      </x:c>
      <x:c r="M2808" s="39" t="str"/>
      <x:c r="N2808" s="39" t="str">
        <x:v>نسخه پایه ۳۱۵۰</x:v>
      </x:c>
    </x:row>
    <x:row r="2809" ht="34" customHeight="1">
      <x:c r="A2809" s="34" t="str">
        <x:v>☐</x:v>
      </x:c>
      <x:c r="B2809" s="34" t="str">
        <x:v>MI-2241</x:v>
      </x:c>
      <x:c r="C2809" s="34" t="str">
        <x:v>M6 — تحلیل‌های خام و ورودی‌های نیازمند پالایش</x:v>
      </x:c>
      <x:c r="D2809" s="34" t="str">
        <x:v>H20</x:v>
      </x:c>
      <x:c r="E2809" s="34" t="str">
        <x:v>یادداشت تحلیلی/راهبری ثبت‌شده در 11211</x:v>
      </x:c>
      <x:c r="F2809" s="34" t="str">
        <x:v>P3/CLARIFY</x:v>
      </x:c>
      <x:c r="G2809" s="34" t="str">
        <x:v>هدف/موضوع</x:v>
      </x:c>
      <x:c r="H2809" s="39" t="str">
        <x:v>قوی ترین مرکز مهندسی شمال.</x:v>
      </x:c>
      <x:c r="I2809" s="39" t="str">
        <x:v>نیازمند تعریف خروجی یا پارک</x:v>
      </x:c>
      <x:c r="J2809" s="39" t="str">
        <x:v>تحلیلگر راهبری/PMO؛ تبدیل به فرضیه یا اقدام در صورت نیاز</x:v>
      </x:c>
      <x:c r="K2809" s="39" t="str"/>
      <x:c r="L2809" s="39" t="str">
        <x:v>E112:P1122</x:v>
      </x:c>
      <x:c r="M2809" s="39" t="str"/>
      <x:c r="N2809" s="39" t="str">
        <x:v>نسخه پایه ۳۱۵۰</x:v>
      </x:c>
    </x:row>
    <x:row r="2810" ht="34" customHeight="1">
      <x:c r="A2810" s="34" t="str">
        <x:v>☐</x:v>
      </x:c>
      <x:c r="B2810" s="34" t="str">
        <x:v>MI-2247</x:v>
      </x:c>
      <x:c r="C2810" s="34" t="str">
        <x:v>M6 — تحلیل‌های خام و ورودی‌های نیازمند پالایش</x:v>
      </x:c>
      <x:c r="D2810" s="34" t="str">
        <x:v>H20</x:v>
      </x:c>
      <x:c r="E2810" s="34" t="str">
        <x:v>یادداشت تحلیلی/راهبری ثبت‌شده در 11211</x:v>
      </x:c>
      <x:c r="F2810" s="34" t="str">
        <x:v>P3/CLARIFY</x:v>
      </x:c>
      <x:c r="G2810" s="34" t="str">
        <x:v>هدف/موضوع</x:v>
      </x:c>
      <x:c r="H2810" s="39" t="str">
        <x:v>بر اساس الگوی استان های مشابه، چند خلا تقریباً قطعی وجود دارد.</x:v>
      </x:c>
      <x:c r="I2810" s="39" t="str">
        <x:v>نیازمند تعریف خروجی یا پارک</x:v>
      </x:c>
      <x:c r="J2810" s="39" t="str">
        <x:v>تحلیلگر راهبری/PMO؛ تبدیل به فرضیه یا اقدام در صورت نیاز</x:v>
      </x:c>
      <x:c r="K2810" s="39" t="str"/>
      <x:c r="L2810" s="39" t="str">
        <x:v>E112:P1135</x:v>
      </x:c>
      <x:c r="M2810" s="39" t="str"/>
      <x:c r="N2810" s="39" t="str">
        <x:v>نسخه پایه ۳۱۵۰</x:v>
      </x:c>
    </x:row>
    <x:row r="2811" ht="34" customHeight="1">
      <x:c r="A2811" s="34" t="str">
        <x:v>☐</x:v>
      </x:c>
      <x:c r="B2811" s="34" t="str">
        <x:v>MI-2248</x:v>
      </x:c>
      <x:c r="C2811" s="34" t="str">
        <x:v>M6 — تحلیل‌های خام و ورودی‌های نیازمند پالایش</x:v>
      </x:c>
      <x:c r="D2811" s="34" t="str">
        <x:v>H20</x:v>
      </x:c>
      <x:c r="E2811" s="34" t="str">
        <x:v>یادداشت تحلیلی/راهبری ثبت‌شده در 11211</x:v>
      </x:c>
      <x:c r="F2811" s="34" t="str">
        <x:v>P3/CLARIFY</x:v>
      </x:c>
      <x:c r="G2811" s="34" t="str">
        <x:v>هدف/موضوع</x:v>
      </x:c>
      <x:c r="H2811" s="39" t="str">
        <x:v>خلا 1</x:v>
      </x:c>
      <x:c r="I2811" s="39" t="str">
        <x:v>نیازمند تعریف خروجی یا پارک</x:v>
      </x:c>
      <x:c r="J2811" s="39" t="str">
        <x:v>تحلیلگر راهبری/PMO؛ تبدیل به فرضیه یا اقدام در صورت نیاز</x:v>
      </x:c>
      <x:c r="K2811" s="39" t="str"/>
      <x:c r="L2811" s="39" t="str">
        <x:v>E112:P1136؛ E112:P1146؛ E112:P1155؛ E112:P1163</x:v>
      </x:c>
      <x:c r="M2811" s="39" t="str"/>
      <x:c r="N2811" s="39" t="str">
        <x:v>نسخه پایه ۳۱۵۰</x:v>
      </x:c>
    </x:row>
    <x:row r="2812" ht="34" customHeight="1">
      <x:c r="A2812" s="34" t="str">
        <x:v>☐</x:v>
      </x:c>
      <x:c r="B2812" s="34" t="str">
        <x:v>MI-2249</x:v>
      </x:c>
      <x:c r="C2812" s="34" t="str">
        <x:v>M6 — تحلیل‌های خام و ورودی‌های نیازمند پالایش</x:v>
      </x:c>
      <x:c r="D2812" s="34" t="str">
        <x:v>H20</x:v>
      </x:c>
      <x:c r="E2812" s="34" t="str">
        <x:v>یادداشت تحلیلی/راهبری ثبت‌شده در 11211</x:v>
      </x:c>
      <x:c r="F2812" s="34" t="str">
        <x:v>P3/CLARIFY</x:v>
      </x:c>
      <x:c r="G2812" s="34" t="str">
        <x:v>هدف/موضوع</x:v>
      </x:c>
      <x:c r="H2812" s="39" t="str">
        <x:v>جامعه سازندگان (builders)</x:v>
      </x:c>
      <x:c r="I2812" s="39" t="str">
        <x:v>نیازمند تعریف خروجی یا پارک</x:v>
      </x:c>
      <x:c r="J2812" s="39" t="str">
        <x:v>تحلیلگر راهبری/PMO؛ تبدیل به فرضیه یا اقدام در صورت نیاز</x:v>
      </x:c>
      <x:c r="K2812" s="39" t="str"/>
      <x:c r="L2812" s="39" t="str">
        <x:v>E112:P1138</x:v>
      </x:c>
      <x:c r="M2812" s="39" t="str"/>
      <x:c r="N2812" s="39" t="str">
        <x:v>نسخه پایه ۳۱۵۰</x:v>
      </x:c>
    </x:row>
    <x:row r="2813" ht="34" customHeight="1">
      <x:c r="A2813" s="34" t="str">
        <x:v>☐</x:v>
      </x:c>
      <x:c r="B2813" s="34" t="str">
        <x:v>MI-2250</x:v>
      </x:c>
      <x:c r="C2813" s="34" t="str">
        <x:v>M6 — تحلیل‌های خام و ورودی‌های نیازمند پالایش</x:v>
      </x:c>
      <x:c r="D2813" s="34" t="str">
        <x:v>H20</x:v>
      </x:c>
      <x:c r="E2813" s="34" t="str">
        <x:v>یادداشت تحلیلی/راهبری ثبت‌شده در 11211</x:v>
      </x:c>
      <x:c r="F2813" s="34" t="str">
        <x:v>P3/CLARIFY</x:v>
      </x:c>
      <x:c r="G2813" s="34" t="str">
        <x:v>هدف/موضوع</x:v>
      </x:c>
      <x:c r="H2813" s="39" t="str">
        <x:v>کمبود:</x:v>
      </x:c>
      <x:c r="I2813" s="39" t="str">
        <x:v>نیازمند تعریف خروجی یا پارک</x:v>
      </x:c>
      <x:c r="J2813" s="39" t="str">
        <x:v>تحلیلگر راهبری/PMO؛ تبدیل به فرضیه یا اقدام در صورت نیاز</x:v>
      </x:c>
      <x:c r="K2813" s="39" t="str"/>
      <x:c r="L2813" s="39" t="str">
        <x:v>E112:P1140</x:v>
      </x:c>
      <x:c r="M2813" s="39" t="str"/>
      <x:c r="N2813" s="39" t="str">
        <x:v>نسخه پایه ۳۱۵۰</x:v>
      </x:c>
    </x:row>
    <x:row r="2814" ht="34" customHeight="1">
      <x:c r="A2814" s="34" t="str">
        <x:v>☐</x:v>
      </x:c>
      <x:c r="B2814" s="34" t="str">
        <x:v>MI-2251</x:v>
      </x:c>
      <x:c r="C2814" s="34" t="str">
        <x:v>M6 — تحلیل‌های خام و ورودی‌های نیازمند پالایش</x:v>
      </x:c>
      <x:c r="D2814" s="34" t="str">
        <x:v>H20</x:v>
      </x:c>
      <x:c r="E2814" s="34" t="str">
        <x:v>یادداشت تحلیلی/راهبری ثبت‌شده در 11211</x:v>
      </x:c>
      <x:c r="F2814" s="34" t="str">
        <x:v>P3/CLARIFY</x:v>
      </x:c>
      <x:c r="G2814" s="34" t="str">
        <x:v>هدف/موضوع</x:v>
      </x:c>
      <x:c r="H2814" s="39" t="str">
        <x:v>جامعه طراحان</x:v>
      </x:c>
      <x:c r="I2814" s="39" t="str">
        <x:v>نیازمند تعریف خروجی یا پارک</x:v>
      </x:c>
      <x:c r="J2814" s="39" t="str">
        <x:v>تحلیلگر راهبری/PMO؛ تبدیل به فرضیه یا اقدام در صورت نیاز</x:v>
      </x:c>
      <x:c r="K2814" s="39" t="str"/>
      <x:c r="L2814" s="39" t="str">
        <x:v>E112:P1143</x:v>
      </x:c>
      <x:c r="M2814" s="39" t="str"/>
      <x:c r="N2814" s="39" t="str">
        <x:v>نسخه پایه ۳۱۵۰</x:v>
      </x:c>
    </x:row>
    <x:row r="2815" ht="34" customHeight="1">
      <x:c r="A2815" s="34" t="str">
        <x:v>☐</x:v>
      </x:c>
      <x:c r="B2815" s="34" t="str">
        <x:v>MI-2252</x:v>
      </x:c>
      <x:c r="C2815" s="34" t="str">
        <x:v>M6 — تحلیل‌های خام و ورودی‌های نیازمند پالایش</x:v>
      </x:c>
      <x:c r="D2815" s="34" t="str">
        <x:v>H20</x:v>
      </x:c>
      <x:c r="E2815" s="34" t="str">
        <x:v>یادداشت تحلیلی/راهبری ثبت‌شده در 11211</x:v>
      </x:c>
      <x:c r="F2815" s="34" t="str">
        <x:v>P3/CLARIFY</x:v>
      </x:c>
      <x:c r="G2815" s="34" t="str">
        <x:v>هدف/موضوع</x:v>
      </x:c>
      <x:c r="H2815" s="39" t="str">
        <x:v>نیاز به:</x:v>
      </x:c>
      <x:c r="I2815" s="39" t="str">
        <x:v>نیازمند تعریف خروجی یا پارک</x:v>
      </x:c>
      <x:c r="J2815" s="39" t="str">
        <x:v>تحلیلگر راهبری/PMO؛ تبدیل به فرضیه یا اقدام در صورت نیاز</x:v>
      </x:c>
      <x:c r="K2815" s="39" t="str"/>
      <x:c r="L2815" s="39" t="str">
        <x:v>E112:P1150</x:v>
      </x:c>
      <x:c r="M2815" s="39" t="str"/>
      <x:c r="N2815" s="39" t="str">
        <x:v>نسخه پایه ۳۱۵۰</x:v>
      </x:c>
    </x:row>
    <x:row r="2816" ht="34" customHeight="1">
      <x:c r="A2816" s="34" t="str">
        <x:v>☐</x:v>
      </x:c>
      <x:c r="B2816" s="34" t="str">
        <x:v>MI-2256</x:v>
      </x:c>
      <x:c r="C2816" s="34" t="str">
        <x:v>M6 — تحلیل‌های خام و ورودی‌های نیازمند پالایش</x:v>
      </x:c>
      <x:c r="D2816" s="34" t="str">
        <x:v>H20</x:v>
      </x:c>
      <x:c r="E2816" s="34" t="str">
        <x:v>یادداشت تحلیلی/راهبری ثبت‌شده در 11211</x:v>
      </x:c>
      <x:c r="F2816" s="34" t="str">
        <x:v>P3/CLARIFY</x:v>
      </x:c>
      <x:c r="G2816" s="34" t="str">
        <x:v>هدف/موضوع</x:v>
      </x:c>
      <x:c r="H2816" s="39" t="str">
        <x:v>انتقال فناوری ضعیف است.</x:v>
      </x:c>
      <x:c r="I2816" s="39" t="str">
        <x:v>نیازمند تعریف خروجی یا پارک</x:v>
      </x:c>
      <x:c r="J2816" s="39" t="str">
        <x:v>تحلیلگر راهبری/PMO؛ تبدیل به فرضیه یا اقدام در صورت نیاز</x:v>
      </x:c>
      <x:c r="K2816" s="39" t="str"/>
      <x:c r="L2816" s="39" t="str">
        <x:v>E112:P1161</x:v>
      </x:c>
      <x:c r="M2816" s="39" t="str"/>
      <x:c r="N2816" s="39" t="str">
        <x:v>نسخه پایه ۳۱۵۰</x:v>
      </x:c>
    </x:row>
    <x:row r="2817" ht="34" customHeight="1">
      <x:c r="A2817" s="34" t="str">
        <x:v>☐</x:v>
      </x:c>
      <x:c r="B2817" s="34" t="str">
        <x:v>MI-2257</x:v>
      </x:c>
      <x:c r="C2817" s="34" t="str">
        <x:v>M6 — تحلیل‌های خام و ورودی‌های نیازمند پالایش</x:v>
      </x:c>
      <x:c r="D2817" s="34" t="str">
        <x:v>H20</x:v>
      </x:c>
      <x:c r="E2817" s="34" t="str">
        <x:v>یادداشت تحلیلی/راهبری ثبت‌شده در 11211</x:v>
      </x:c>
      <x:c r="F2817" s="34" t="str">
        <x:v>P3/CLARIFY</x:v>
      </x:c>
      <x:c r="G2817" s="34" t="str">
        <x:v>هدف/موضوع</x:v>
      </x:c>
      <x:c r="H2817" s="39" t="str">
        <x:v>معمولاً هیچ رسانه ای نیست که:</x:v>
      </x:c>
      <x:c r="I2817" s="39" t="str">
        <x:v>نیازمند تعریف خروجی یا پارک</x:v>
      </x:c>
      <x:c r="J2817" s="39" t="str">
        <x:v>تحلیلگر راهبری/PMO؛ تبدیل به فرضیه یا اقدام در صورت نیاز</x:v>
      </x:c>
      <x:c r="K2817" s="39" t="str"/>
      <x:c r="L2817" s="39" t="str">
        <x:v>E112:P1167</x:v>
      </x:c>
      <x:c r="M2817" s="39" t="str"/>
      <x:c r="N2817" s="39" t="str">
        <x:v>نسخه پایه ۳۱۵۰</x:v>
      </x:c>
    </x:row>
    <x:row r="2818" ht="34" customHeight="1">
      <x:c r="A2818" s="34" t="str">
        <x:v>☐</x:v>
      </x:c>
      <x:c r="B2818" s="34" t="str">
        <x:v>MI-2262</x:v>
      </x:c>
      <x:c r="C2818" s="34" t="str">
        <x:v>M6 — تحلیل‌های خام و ورودی‌های نیازمند پالایش</x:v>
      </x:c>
      <x:c r="D2818" s="34" t="str">
        <x:v>H20</x:v>
      </x:c>
      <x:c r="E2818" s="34" t="str">
        <x:v>یادداشت تحلیلی/راهبری ثبت‌شده در 11211</x:v>
      </x:c>
      <x:c r="F2818" s="34" t="str">
        <x:v>P3/CLARIFY</x:v>
      </x:c>
      <x:c r="G2818" s="34" t="str">
        <x:v>هدف/موضوع</x:v>
      </x:c>
      <x:c r="H2818" s="39" t="str">
        <x:v>1. Talent Discovery Program</x:v>
      </x:c>
      <x:c r="I2818" s="39" t="str">
        <x:v>نیازمند تعریف خروجی یا پارک</x:v>
      </x:c>
      <x:c r="J2818" s="39" t="str">
        <x:v>تحلیلگر راهبری/PMO؛ تبدیل به فرضیه یا اقدام در صورت نیاز</x:v>
      </x:c>
      <x:c r="K2818" s="39" t="str"/>
      <x:c r="L2818" s="39" t="str">
        <x:v>E112:P1175؛ E112:P3549</x:v>
      </x:c>
      <x:c r="M2818" s="39" t="str"/>
      <x:c r="N2818" s="39" t="str">
        <x:v>نسخه پایه ۳۱۵۰</x:v>
      </x:c>
    </x:row>
    <x:row r="2819" ht="34" customHeight="1">
      <x:c r="A2819" s="34" t="str">
        <x:v>☐</x:v>
      </x:c>
      <x:c r="B2819" s="34" t="str">
        <x:v>MI-2264</x:v>
      </x:c>
      <x:c r="C2819" s="34" t="str">
        <x:v>M6 — تحلیل‌های خام و ورودی‌های نیازمند پالایش</x:v>
      </x:c>
      <x:c r="D2819" s="34" t="str">
        <x:v>H20</x:v>
      </x:c>
      <x:c r="E2819" s="34" t="str">
        <x:v>یادداشت تحلیلی/راهبری ثبت‌شده در 11211</x:v>
      </x:c>
      <x:c r="F2819" s="34" t="str">
        <x:v>P3/CLARIFY</x:v>
      </x:c>
      <x:c r="G2819" s="34" t="str">
        <x:v>هدف/موضوع</x:v>
      </x:c>
      <x:c r="H2819" s="39" t="str">
        <x:v>3. AgriTech Innovation Program</x:v>
      </x:c>
      <x:c r="I2819" s="39" t="str">
        <x:v>نیازمند تعریف خروجی یا پارک</x:v>
      </x:c>
      <x:c r="J2819" s="39" t="str">
        <x:v>تحلیلگر راهبری/PMO؛ تبدیل به فرضیه یا اقدام در صورت نیاز</x:v>
      </x:c>
      <x:c r="K2819" s="39" t="str"/>
      <x:c r="L2819" s="39" t="str">
        <x:v>E112:P1191</x:v>
      </x:c>
      <x:c r="M2819" s="39" t="str"/>
      <x:c r="N2819" s="39" t="str">
        <x:v>نسخه پایه ۳۱۵۰</x:v>
      </x:c>
    </x:row>
    <x:row r="2820" ht="34" customHeight="1">
      <x:c r="A2820" s="34" t="str">
        <x:v>☐</x:v>
      </x:c>
      <x:c r="B2820" s="34" t="str">
        <x:v>MI-2266</x:v>
      </x:c>
      <x:c r="C2820" s="34" t="str">
        <x:v>M6 — تحلیل‌های خام و ورودی‌های نیازمند پالایش</x:v>
      </x:c>
      <x:c r="D2820" s="34" t="str">
        <x:v>H20</x:v>
      </x:c>
      <x:c r="E2820" s="34" t="str">
        <x:v>یادداشت تحلیلی/راهبری ثبت‌شده در 11211</x:v>
      </x:c>
      <x:c r="F2820" s="34" t="str">
        <x:v>P3/CLARIFY</x:v>
      </x:c>
      <x:c r="G2820" s="34" t="str">
        <x:v>هدف/موضوع</x:v>
      </x:c>
      <x:c r="H2820" s="39" t="str">
        <x:v>چون مزیت اصلی استان است.</x:v>
      </x:c>
      <x:c r="I2820" s="39" t="str">
        <x:v>نیازمند تعریف خروجی یا پارک</x:v>
      </x:c>
      <x:c r="J2820" s="39" t="str">
        <x:v>تحلیلگر راهبری/PMO؛ تبدیل به فرضیه یا اقدام در صورت نیاز</x:v>
      </x:c>
      <x:c r="K2820" s="39" t="str"/>
      <x:c r="L2820" s="39" t="str">
        <x:v>E112:P1197</x:v>
      </x:c>
      <x:c r="M2820" s="39" t="str"/>
      <x:c r="N2820" s="39" t="str">
        <x:v>نسخه پایه ۳۱۵۰</x:v>
      </x:c>
    </x:row>
    <x:row r="2821" ht="34" customHeight="1">
      <x:c r="A2821" s="34" t="str">
        <x:v>☐</x:v>
      </x:c>
      <x:c r="B2821" s="34" t="str">
        <x:v>MI-2267</x:v>
      </x:c>
      <x:c r="C2821" s="34" t="str">
        <x:v>M6 — تحلیل‌های خام و ورودی‌های نیازمند پالایش</x:v>
      </x:c>
      <x:c r="D2821" s="34" t="str">
        <x:v>H20</x:v>
      </x:c>
      <x:c r="E2821" s="34" t="str">
        <x:v>یادداشت تحلیلی/راهبری ثبت‌شده در 11211</x:v>
      </x:c>
      <x:c r="F2821" s="34" t="str">
        <x:v>P3/CLARIFY</x:v>
      </x:c>
      <x:c r="G2821" s="34" t="str">
        <x:v>هدف/موضوع</x:v>
      </x:c>
      <x:c r="H2821" s="39" t="str">
        <x:v>4. Tourism Innovation Lab</x:v>
      </x:c>
      <x:c r="I2821" s="39" t="str">
        <x:v>نیازمند تعریف خروجی یا پارک</x:v>
      </x:c>
      <x:c r="J2821" s="39" t="str">
        <x:v>تحلیلگر راهبری/PMO؛ تبدیل به فرضیه یا اقدام در صورت نیاز</x:v>
      </x:c>
      <x:c r="K2821" s="39" t="str"/>
      <x:c r="L2821" s="39" t="str">
        <x:v>E112:P1198</x:v>
      </x:c>
      <x:c r="M2821" s="39" t="str"/>
      <x:c r="N2821" s="39" t="str">
        <x:v>نسخه پایه ۳۱۵۰</x:v>
      </x:c>
    </x:row>
    <x:row r="2822" ht="34" customHeight="1">
      <x:c r="A2822" s="34" t="str">
        <x:v>☐</x:v>
      </x:c>
      <x:c r="B2822" s="34" t="str">
        <x:v>MI-2268</x:v>
      </x:c>
      <x:c r="C2822" s="34" t="str">
        <x:v>M6 — تحلیل‌های خام و ورودی‌های نیازمند پالایش</x:v>
      </x:c>
      <x:c r="D2822" s="34" t="str">
        <x:v>H20</x:v>
      </x:c>
      <x:c r="E2822" s="34" t="str">
        <x:v>یادداشت تحلیلی/راهبری ثبت‌شده در 11211</x:v>
      </x:c>
      <x:c r="F2822" s="34" t="str">
        <x:v>P3/CLARIFY</x:v>
      </x:c>
      <x:c r="G2822" s="34" t="str">
        <x:v>هدف/موضوع</x:v>
      </x:c>
      <x:c r="H2822" s="39" t="str">
        <x:v>برای:</x:v>
      </x:c>
      <x:c r="I2822" s="39" t="str">
        <x:v>نیازمند تعریف خروجی یا پارک</x:v>
      </x:c>
      <x:c r="J2822" s="39" t="str">
        <x:v>تحلیلگر راهبری/PMO؛ تبدیل به فرضیه یا اقدام در صورت نیاز</x:v>
      </x:c>
      <x:c r="K2822" s="39" t="str"/>
      <x:c r="L2822" s="39" t="str">
        <x:v>E112:P1200</x:v>
      </x:c>
      <x:c r="M2822" s="39" t="str"/>
      <x:c r="N2822" s="39" t="str">
        <x:v>نسخه پایه ۳۱۵۰</x:v>
      </x:c>
    </x:row>
    <x:row r="2823" ht="34" customHeight="1">
      <x:c r="A2823" s="34" t="str">
        <x:v>☐</x:v>
      </x:c>
      <x:c r="B2823" s="34" t="str">
        <x:v>MI-2269</x:v>
      </x:c>
      <x:c r="C2823" s="34" t="str">
        <x:v>M6 — تحلیل‌های خام و ورودی‌های نیازمند پالایش</x:v>
      </x:c>
      <x:c r="D2823" s="34" t="str">
        <x:v>H20</x:v>
      </x:c>
      <x:c r="E2823" s="34" t="str">
        <x:v>یادداشت تحلیلی/راهبری ثبت‌شده در 11211</x:v>
      </x:c>
      <x:c r="F2823" s="34" t="str">
        <x:v>P3/CLARIFY</x:v>
      </x:c>
      <x:c r="G2823" s="34" t="str">
        <x:v>هدف/موضوع</x:v>
      </x:c>
      <x:c r="H2823" s="39" t="str">
        <x:v>گردشگری دیجیتال</x:v>
      </x:c>
      <x:c r="I2823" s="39" t="str">
        <x:v>نیازمند تعریف خروجی یا پارک</x:v>
      </x:c>
      <x:c r="J2823" s="39" t="str">
        <x:v>تحلیلگر راهبری/PMO؛ تبدیل به فرضیه یا اقدام در صورت نیاز</x:v>
      </x:c>
      <x:c r="K2823" s="39" t="str"/>
      <x:c r="L2823" s="39" t="str">
        <x:v>E112:P1202</x:v>
      </x:c>
      <x:c r="M2823" s="39" t="str"/>
      <x:c r="N2823" s="39" t="str">
        <x:v>نسخه پایه ۳۱۵۰</x:v>
      </x:c>
    </x:row>
    <x:row r="2824" ht="34" customHeight="1">
      <x:c r="A2824" s="34" t="str">
        <x:v>☐</x:v>
      </x:c>
      <x:c r="B2824" s="34" t="str">
        <x:v>MI-2270</x:v>
      </x:c>
      <x:c r="C2824" s="34" t="str">
        <x:v>M6 — تحلیل‌های خام و ورودی‌های نیازمند پالایش</x:v>
      </x:c>
      <x:c r="D2824" s="34" t="str">
        <x:v>H20</x:v>
      </x:c>
      <x:c r="E2824" s="34" t="str">
        <x:v>یادداشت تحلیلی/راهبری ثبت‌شده در 11211</x:v>
      </x:c>
      <x:c r="F2824" s="34" t="str">
        <x:v>P3/CLARIFY</x:v>
      </x:c>
      <x:c r="G2824" s="34" t="str">
        <x:v>هدف/موضوع</x:v>
      </x:c>
      <x:c r="H2824" s="39" t="str">
        <x:v>5. Founder Network</x:v>
      </x:c>
      <x:c r="I2824" s="39" t="str">
        <x:v>نیازمند تعریف خروجی یا پارک</x:v>
      </x:c>
      <x:c r="J2824" s="39" t="str">
        <x:v>تحلیلگر راهبری/PMO؛ تبدیل به فرضیه یا اقدام در صورت نیاز</x:v>
      </x:c>
      <x:c r="K2824" s="39" t="str"/>
      <x:c r="L2824" s="39" t="str">
        <x:v>E112:P1203</x:v>
      </x:c>
      <x:c r="M2824" s="39" t="str"/>
      <x:c r="N2824" s="39" t="str">
        <x:v>نسخه پایه ۳۱۵۰</x:v>
      </x:c>
    </x:row>
    <x:row r="2825" ht="34" customHeight="1">
      <x:c r="A2825" s="34" t="str">
        <x:v>☐</x:v>
      </x:c>
      <x:c r="B2825" s="34" t="str">
        <x:v>MI-2274</x:v>
      </x:c>
      <x:c r="C2825" s="34" t="str">
        <x:v>M6 — تحلیل‌های خام و ورودی‌های نیازمند پالایش</x:v>
      </x:c>
      <x:c r="D2825" s="34" t="str">
        <x:v>H20</x:v>
      </x:c>
      <x:c r="E2825" s="34" t="str">
        <x:v>یادداشت تحلیلی/راهبری ثبت‌شده در 11211</x:v>
      </x:c>
      <x:c r="F2825" s="34" t="str">
        <x:v>P3/CLARIFY</x:v>
      </x:c>
      <x:c r="G2825" s="34" t="str">
        <x:v>هدف/موضوع</x:v>
      </x:c>
      <x:c r="H2825" s="39" t="str">
        <x:v>فقط باید وصل شوند:</x:v>
      </x:c>
      <x:c r="I2825" s="39" t="str">
        <x:v>نیازمند تعریف خروجی یا پارک</x:v>
      </x:c>
      <x:c r="J2825" s="39" t="str">
        <x:v>تحلیلگر راهبری/PMO؛ تبدیل به فرضیه یا اقدام در صورت نیاز</x:v>
      </x:c>
      <x:c r="K2825" s="39" t="str"/>
      <x:c r="L2825" s="39" t="str">
        <x:v>E112:P1210</x:v>
      </x:c>
      <x:c r="M2825" s="39" t="str"/>
      <x:c r="N2825" s="39" t="str">
        <x:v>نسخه پایه ۳۱۵۰</x:v>
      </x:c>
    </x:row>
    <x:row r="2826" ht="34" customHeight="1">
      <x:c r="A2826" s="34" t="str">
        <x:v>☐</x:v>
      </x:c>
      <x:c r="B2826" s="34" t="str">
        <x:v>MI-2277</x:v>
      </x:c>
      <x:c r="C2826" s="34" t="str">
        <x:v>M6 — تحلیل‌های خام و ورودی‌های نیازمند پالایش</x:v>
      </x:c>
      <x:c r="D2826" s="34" t="str">
        <x:v>H20</x:v>
      </x:c>
      <x:c r="E2826" s="34" t="str">
        <x:v>یادداشت تحلیلی/راهبری ثبت‌شده در 11211</x:v>
      </x:c>
      <x:c r="F2826" s="34" t="str">
        <x:v>P3/CLARIFY</x:v>
      </x:c>
      <x:c r="G2826" s="34" t="str">
        <x:v>هدف/موضوع</x:v>
      </x:c>
      <x:c r="H2826" s="39" t="str">
        <x:v>یک نکته استراتژیک مهم برای مازندران</x:v>
      </x:c>
      <x:c r="I2826" s="39" t="str">
        <x:v>نیازمند تعریف خروجی یا پارک</x:v>
      </x:c>
      <x:c r="J2826" s="39" t="str">
        <x:v>تحلیلگر راهبری/PMO؛ تبدیل به فرضیه یا اقدام در صورت نیاز</x:v>
      </x:c>
      <x:c r="K2826" s="39" t="str"/>
      <x:c r="L2826" s="39" t="str">
        <x:v>E112:P1221</x:v>
      </x:c>
      <x:c r="M2826" s="39" t="str"/>
      <x:c r="N2826" s="39" t="str">
        <x:v>نسخه پایه ۳۱۵۰</x:v>
      </x:c>
    </x:row>
    <x:row r="2827" ht="34" customHeight="1">
      <x:c r="A2827" s="34" t="str">
        <x:v>☐</x:v>
      </x:c>
      <x:c r="B2827" s="34" t="str">
        <x:v>MI-2279</x:v>
      </x:c>
      <x:c r="C2827" s="34" t="str">
        <x:v>M6 — تحلیل‌های خام و ورودی‌های نیازمند پالایش</x:v>
      </x:c>
      <x:c r="D2827" s="34" t="str">
        <x:v>H20</x:v>
      </x:c>
      <x:c r="E2827" s="34" t="str">
        <x:v>یادداشت تحلیلی/راهبری ثبت‌شده در 11211</x:v>
      </x:c>
      <x:c r="F2827" s="34" t="str">
        <x:v>P3/CLARIFY</x:v>
      </x:c>
      <x:c r="G2827" s="34" t="str">
        <x:v>هدف/موضوع</x:v>
      </x:c>
      <x:c r="H2827" s="39" t="str">
        <x:v>باید تخصصی شود.</x:v>
      </x:c>
      <x:c r="I2827" s="39" t="str">
        <x:v>نیازمند تعریف خروجی یا پارک</x:v>
      </x:c>
      <x:c r="J2827" s="39" t="str">
        <x:v>تحلیلگر راهبری/PMO؛ تبدیل به فرضیه یا اقدام در صورت نیاز</x:v>
      </x:c>
      <x:c r="K2827" s="39" t="str"/>
      <x:c r="L2827" s="39" t="str">
        <x:v>E112:P1225</x:v>
      </x:c>
      <x:c r="M2827" s="39" t="str"/>
      <x:c r="N2827" s="39" t="str">
        <x:v>نسخه پایه ۳۱۵۰</x:v>
      </x:c>
    </x:row>
    <x:row r="2828" ht="34" customHeight="1">
      <x:c r="A2828" s="34" t="str">
        <x:v>☐</x:v>
      </x:c>
      <x:c r="B2828" s="34" t="str">
        <x:v>MI-2280</x:v>
      </x:c>
      <x:c r="C2828" s="34" t="str">
        <x:v>M6 — تحلیل‌های خام و ورودی‌های نیازمند پالایش</x:v>
      </x:c>
      <x:c r="D2828" s="34" t="str">
        <x:v>H20</x:v>
      </x:c>
      <x:c r="E2828" s="34" t="str">
        <x:v>یادداشت تحلیلی/راهبری ثبت‌شده در 11211</x:v>
      </x:c>
      <x:c r="F2828" s="34" t="str">
        <x:v>P3/CLARIFY</x:v>
      </x:c>
      <x:c r="G2828" s="34" t="str">
        <x:v>هدف/موضوع</x:v>
      </x:c>
      <x:c r="H2828" s="39" t="str">
        <x:v>سه حوزه بسیار مناسب برای آن:</x:v>
      </x:c>
      <x:c r="I2828" s="39" t="str">
        <x:v>نیازمند تعریف خروجی یا پارک</x:v>
      </x:c>
      <x:c r="J2828" s="39" t="str">
        <x:v>تحلیلگر راهبری/PMO؛ تبدیل به فرضیه یا اقدام در صورت نیاز</x:v>
      </x:c>
      <x:c r="K2828" s="39" t="str"/>
      <x:c r="L2828" s="39" t="str">
        <x:v>E112:P1227</x:v>
      </x:c>
      <x:c r="M2828" s="39" t="str"/>
      <x:c r="N2828" s="39" t="str">
        <x:v>نسخه پایه ۳۱۵۰</x:v>
      </x:c>
    </x:row>
    <x:row r="2829" ht="34" customHeight="1">
      <x:c r="A2829" s="34" t="str">
        <x:v>☐</x:v>
      </x:c>
      <x:c r="B2829" s="34" t="str">
        <x:v>MI-2283</x:v>
      </x:c>
      <x:c r="C2829" s="34" t="str">
        <x:v>M6 — تحلیل‌های خام و ورودی‌های نیازمند پالایش</x:v>
      </x:c>
      <x:c r="D2829" s="34" t="str">
        <x:v>H20</x:v>
      </x:c>
      <x:c r="E2829" s="34" t="str">
        <x:v>یادداشت تحلیلی/راهبری ثبت‌شده در 11211</x:v>
      </x:c>
      <x:c r="F2829" s="34" t="str">
        <x:v>P3/CLARIFY</x:v>
      </x:c>
      <x:c r="G2829" s="34" t="str">
        <x:v>هدف/موضوع</x:v>
      </x:c>
      <x:c r="H2829" s="39" t="str">
        <x:v>اگر دوست داشته باشی، می توانم یک قدم جلوتر بروم و چیزی طراحی کنم که خیلی کاربردی است:</x:v>
      </x:c>
      <x:c r="I2829" s="39" t="str">
        <x:v>نیازمند تعریف خروجی یا پارک</x:v>
      </x:c>
      <x:c r="J2829" s="39" t="str">
        <x:v>تحلیلگر راهبری/PMO؛ تبدیل به فرضیه یا اقدام در صورت نیاز</x:v>
      </x:c>
      <x:c r="K2829" s="39" t="str"/>
      <x:c r="L2829" s="39" t="str">
        <x:v>E112:P1237</x:v>
      </x:c>
      <x:c r="M2829" s="39" t="str"/>
      <x:c r="N2829" s="39" t="str">
        <x:v>نسخه پایه ۳۱۵۰</x:v>
      </x:c>
    </x:row>
    <x:row r="2830" ht="34" customHeight="1">
      <x:c r="A2830" s="34" t="str">
        <x:v>☐</x:v>
      </x:c>
      <x:c r="B2830" s="34" t="str">
        <x:v>MI-2285</x:v>
      </x:c>
      <x:c r="C2830" s="34" t="str">
        <x:v>M6 — تحلیل‌های خام و ورودی‌های نیازمند پالایش</x:v>
      </x:c>
      <x:c r="D2830" s="34" t="str">
        <x:v>H20</x:v>
      </x:c>
      <x:c r="E2830" s="34" t="str">
        <x:v>یادداشت تحلیلی/راهبری ثبت‌شده در 11211</x:v>
      </x:c>
      <x:c r="F2830" s="34" t="str">
        <x:v>P3/CLARIFY</x:v>
      </x:c>
      <x:c r="G2830" s="34" t="str">
        <x:v>هدف/موضوع</x:v>
      </x:c>
      <x:c r="H2830" s="39" t="str">
        <x:v>که در آن مشخص می شود:</x:v>
      </x:c>
      <x:c r="I2830" s="39" t="str">
        <x:v>نیازمند تعریف خروجی یا پارک</x:v>
      </x:c>
      <x:c r="J2830" s="39" t="str">
        <x:v>تحلیلگر راهبری/PMO؛ تبدیل به فرضیه یا اقدام در صورت نیاز</x:v>
      </x:c>
      <x:c r="K2830" s="39" t="str"/>
      <x:c r="L2830" s="39" t="str">
        <x:v>E112:P1241</x:v>
      </x:c>
      <x:c r="M2830" s="39" t="str"/>
      <x:c r="N2830" s="39" t="str">
        <x:v>نسخه پایه ۳۱۵۰</x:v>
      </x:c>
    </x:row>
    <x:row r="2831" ht="34" customHeight="1">
      <x:c r="A2831" s="34" t="str">
        <x:v>☐</x:v>
      </x:c>
      <x:c r="B2831" s="34" t="str">
        <x:v>MI-2287</x:v>
      </x:c>
      <x:c r="C2831" s="34" t="str">
        <x:v>M6 — تحلیل‌های خام و ورودی‌های نیازمند پالایش</x:v>
      </x:c>
      <x:c r="D2831" s="34" t="str">
        <x:v>H20</x:v>
      </x:c>
      <x:c r="E2831" s="34" t="str">
        <x:v>یادداشت تحلیلی/راهبری ثبت‌شده در 11211</x:v>
      </x:c>
      <x:c r="F2831" s="34" t="str">
        <x:v>P3/CLARIFY</x:v>
      </x:c>
      <x:c r="G2831" s="34" t="str">
        <x:v>هدف/موضوع</x:v>
      </x:c>
      <x:c r="H2831" s="39" t="str">
        <x:v>کدام ها گره قدرت هستند</x:v>
      </x:c>
      <x:c r="I2831" s="39" t="str">
        <x:v>نیازمند تعریف خروجی یا پارک</x:v>
      </x:c>
      <x:c r="J2831" s="39" t="str">
        <x:v>تحلیلگر راهبری/PMO؛ تبدیل به فرضیه یا اقدام در صورت نیاز</x:v>
      </x:c>
      <x:c r="K2831" s="39" t="str"/>
      <x:c r="L2831" s="39" t="str">
        <x:v>E112:P1244</x:v>
      </x:c>
      <x:c r="M2831" s="39" t="str"/>
      <x:c r="N2831" s="39" t="str">
        <x:v>نسخه پایه ۳۱۵۰</x:v>
      </x:c>
    </x:row>
    <x:row r="2832" ht="34" customHeight="1">
      <x:c r="A2832" s="34" t="str">
        <x:v>☐</x:v>
      </x:c>
      <x:c r="B2832" s="34" t="str">
        <x:v>MI-2290</x:v>
      </x:c>
      <x:c r="C2832" s="34" t="str">
        <x:v>M6 — تحلیل‌های خام و ورودی‌های نیازمند پالایش</x:v>
      </x:c>
      <x:c r="D2832" s="34" t="str">
        <x:v>H20</x:v>
      </x:c>
      <x:c r="E2832" s="34" t="str">
        <x:v>یادداشت تحلیلی/راهبری ثبت‌شده در 11211</x:v>
      </x:c>
      <x:c r="F2832" s="34" t="str">
        <x:v>P3/CLARIFY</x:v>
      </x:c>
      <x:c r="G2832" s="34" t="str">
        <x:v>هدف/موضوع</x:v>
      </x:c>
      <x:c r="H2832" s="39" t="str">
        <x:v>اگه کارافرینی تونستیم صادر کنیم چطور؟؟</x:v>
      </x:c>
      <x:c r="I2832" s="39" t="str">
        <x:v>نیازمند تعریف خروجی یا پارک</x:v>
      </x:c>
      <x:c r="J2832" s="39" t="str">
        <x:v>تحلیلگر راهبری/PMO؛ تبدیل به فرضیه یا اقدام در صورت نیاز</x:v>
      </x:c>
      <x:c r="K2832" s="39" t="str"/>
      <x:c r="L2832" s="39" t="str">
        <x:v>E112:P1249</x:v>
      </x:c>
      <x:c r="M2832" s="39" t="str"/>
      <x:c r="N2832" s="39" t="str">
        <x:v>نسخه پایه ۳۱۵۰</x:v>
      </x:c>
    </x:row>
    <x:row r="2833" ht="34" customHeight="1">
      <x:c r="A2833" s="34" t="str">
        <x:v>☐</x:v>
      </x:c>
      <x:c r="B2833" s="34" t="str">
        <x:v>MI-2295</x:v>
      </x:c>
      <x:c r="C2833" s="34" t="str">
        <x:v>M6 — تحلیل‌های خام و ورودی‌های نیازمند پالایش</x:v>
      </x:c>
      <x:c r="D2833" s="34" t="str">
        <x:v>H20</x:v>
      </x:c>
      <x:c r="E2833" s="34" t="str">
        <x:v>یادداشت تحلیلی/راهبری ثبت‌شده در 11211</x:v>
      </x:c>
      <x:c r="F2833" s="34" t="str">
        <x:v>P3/CLARIFY</x:v>
      </x:c>
      <x:c r="G2833" s="34" t="str">
        <x:v>هدف/موضوع</x:v>
      </x:c>
      <x:c r="H2833" s="39" t="str">
        <x:v>صنایع قابل توسعه:</x:v>
      </x:c>
      <x:c r="I2833" s="39" t="str">
        <x:v>نیازمند تعریف خروجی یا پارک</x:v>
      </x:c>
      <x:c r="J2833" s="39" t="str">
        <x:v>تحلیلگر راهبری/PMO؛ تبدیل به فرضیه یا اقدام در صورت نیاز</x:v>
      </x:c>
      <x:c r="K2833" s="39" t="str"/>
      <x:c r="L2833" s="39" t="str">
        <x:v>E112:P1257</x:v>
      </x:c>
      <x:c r="M2833" s="39" t="str"/>
      <x:c r="N2833" s="39" t="str">
        <x:v>نسخه پایه ۳۱۵۰</x:v>
      </x:c>
    </x:row>
    <x:row r="2834" ht="34" customHeight="1">
      <x:c r="A2834" s="34" t="str">
        <x:v>☐</x:v>
      </x:c>
      <x:c r="B2834" s="34" t="str">
        <x:v>MI-2301</x:v>
      </x:c>
      <x:c r="C2834" s="34" t="str">
        <x:v>M6 — تحلیل‌های خام و ورودی‌های نیازمند پالایش</x:v>
      </x:c>
      <x:c r="D2834" s="34" t="str">
        <x:v>H20</x:v>
      </x:c>
      <x:c r="E2834" s="34" t="str">
        <x:v>یادداشت تحلیلی/راهبری ثبت‌شده در 11211</x:v>
      </x:c>
      <x:c r="F2834" s="34" t="str">
        <x:v>P3/CLARIFY</x:v>
      </x:c>
      <x:c r="G2834" s="34" t="str">
        <x:v>هدف/موضوع</x:v>
      </x:c>
      <x:c r="H2834" s="39" t="str">
        <x:v>مسیله هایی که کارآفرین می تواند حل کند:</x:v>
      </x:c>
      <x:c r="I2834" s="39" t="str">
        <x:v>نیازمند تعریف خروجی یا پارک</x:v>
      </x:c>
      <x:c r="J2834" s="39" t="str">
        <x:v>تحلیلگر راهبری/PMO؛ تبدیل به فرضیه یا اقدام در صورت نیاز</x:v>
      </x:c>
      <x:c r="K2834" s="39" t="str"/>
      <x:c r="L2834" s="39" t="str">
        <x:v>E112:P1266</x:v>
      </x:c>
      <x:c r="M2834" s="39" t="str"/>
      <x:c r="N2834" s="39" t="str">
        <x:v>نسخه پایه ۳۱۵۰</x:v>
      </x:c>
    </x:row>
    <x:row r="2835" ht="34" customHeight="1">
      <x:c r="A2835" s="34" t="str">
        <x:v>☐</x:v>
      </x:c>
      <x:c r="B2835" s="34" t="str">
        <x:v>MI-2302</x:v>
      </x:c>
      <x:c r="C2835" s="34" t="str">
        <x:v>M6 — تحلیل‌های خام و ورودی‌های نیازمند پالایش</x:v>
      </x:c>
      <x:c r="D2835" s="34" t="str">
        <x:v>H20</x:v>
      </x:c>
      <x:c r="E2835" s="34" t="str">
        <x:v>یادداشت تحلیلی/راهبری ثبت‌شده در 11211</x:v>
      </x:c>
      <x:c r="F2835" s="34" t="str">
        <x:v>P3/CLARIFY</x:v>
      </x:c>
      <x:c r="G2835" s="34" t="str">
        <x:v>هدف/موضوع</x:v>
      </x:c>
      <x:c r="H2835" s="39" t="str">
        <x:v>کاهش ضایعات محصولات</x:v>
      </x:c>
      <x:c r="I2835" s="39" t="str">
        <x:v>نیازمند تعریف خروجی یا پارک</x:v>
      </x:c>
      <x:c r="J2835" s="39" t="str">
        <x:v>تحلیلگر راهبری/PMO؛ تبدیل به فرضیه یا اقدام در صورت نیاز</x:v>
      </x:c>
      <x:c r="K2835" s="39" t="str"/>
      <x:c r="L2835" s="39" t="str">
        <x:v>E112:P1268</x:v>
      </x:c>
      <x:c r="M2835" s="39" t="str"/>
      <x:c r="N2835" s="39" t="str">
        <x:v>نسخه پایه ۳۱۵۰</x:v>
      </x:c>
    </x:row>
    <x:row r="2836" ht="34" customHeight="1">
      <x:c r="A2836" s="34" t="str">
        <x:v>☐</x:v>
      </x:c>
      <x:c r="B2836" s="34" t="str">
        <x:v>MI-2306</x:v>
      </x:c>
      <x:c r="C2836" s="34" t="str">
        <x:v>M6 — تحلیل‌های خام و ورودی‌های نیازمند پالایش</x:v>
      </x:c>
      <x:c r="D2836" s="34" t="str">
        <x:v>H20</x:v>
      </x:c>
      <x:c r="E2836" s="34" t="str">
        <x:v>یادداشت تحلیلی/راهبری ثبت‌شده در 11211</x:v>
      </x:c>
      <x:c r="F2836" s="34" t="str">
        <x:v>P3/CLARIFY</x:v>
      </x:c>
      <x:c r="G2836" s="34" t="str">
        <x:v>هدف/موضوع</x:v>
      </x:c>
      <x:c r="H2836" s="39" t="str">
        <x:v>یکی از بزرگ ترین بازارهای استفاده نشده.</x:v>
      </x:c>
      <x:c r="I2836" s="39" t="str">
        <x:v>نیازمند تعریف خروجی یا پارک</x:v>
      </x:c>
      <x:c r="J2836" s="39" t="str">
        <x:v>تحلیلگر راهبری/PMO؛ تبدیل به فرضیه یا اقدام در صورت نیاز</x:v>
      </x:c>
      <x:c r="K2836" s="39" t="str"/>
      <x:c r="L2836" s="39" t="str">
        <x:v>E112:P1275</x:v>
      </x:c>
      <x:c r="M2836" s="39" t="str"/>
      <x:c r="N2836" s="39" t="str">
        <x:v>نسخه پایه ۳۱۵۰</x:v>
      </x:c>
    </x:row>
    <x:row r="2837" ht="34" customHeight="1">
      <x:c r="A2837" s="34" t="str">
        <x:v>☐</x:v>
      </x:c>
      <x:c r="B2837" s="34" t="str">
        <x:v>MI-2307</x:v>
      </x:c>
      <x:c r="C2837" s="34" t="str">
        <x:v>M6 — تحلیل‌های خام و ورودی‌های نیازمند پالایش</x:v>
      </x:c>
      <x:c r="D2837" s="34" t="str">
        <x:v>H20</x:v>
      </x:c>
      <x:c r="E2837" s="34" t="str">
        <x:v>یادداشت تحلیلی/راهبری ثبت‌شده در 11211</x:v>
      </x:c>
      <x:c r="F2837" s="34" t="str">
        <x:v>P3/CLARIFY</x:v>
      </x:c>
      <x:c r="G2837" s="34" t="str">
        <x:v>هدف/موضوع</x:v>
      </x:c>
      <x:c r="H2837" s="39" t="str">
        <x:v>حوزه های نوآوری:</x:v>
      </x:c>
      <x:c r="I2837" s="39" t="str">
        <x:v>نیازمند تعریف خروجی یا پارک</x:v>
      </x:c>
      <x:c r="J2837" s="39" t="str">
        <x:v>تحلیلگر راهبری/PMO؛ تبدیل به فرضیه یا اقدام در صورت نیاز</x:v>
      </x:c>
      <x:c r="K2837" s="39" t="str"/>
      <x:c r="L2837" s="39" t="str">
        <x:v>E112:P1277؛ E112:P1316</x:v>
      </x:c>
      <x:c r="M2837" s="39" t="str"/>
      <x:c r="N2837" s="39" t="str">
        <x:v>نسخه پایه ۳۱۵۰</x:v>
      </x:c>
    </x:row>
    <x:row r="2838" ht="34" customHeight="1">
      <x:c r="A2838" s="34" t="str">
        <x:v>☐</x:v>
      </x:c>
      <x:c r="B2838" s="34" t="str">
        <x:v>MI-2309</x:v>
      </x:c>
      <x:c r="C2838" s="34" t="str">
        <x:v>M6 — تحلیل‌های خام و ورودی‌های نیازمند پالایش</x:v>
      </x:c>
      <x:c r="D2838" s="34" t="str">
        <x:v>H20</x:v>
      </x:c>
      <x:c r="E2838" s="34" t="str">
        <x:v>یادداشت تحلیلی/راهبری ثبت‌شده در 11211</x:v>
      </x:c>
      <x:c r="F2838" s="34" t="str">
        <x:v>P3/CLARIFY</x:v>
      </x:c>
      <x:c r="G2838" s="34" t="str">
        <x:v>هدف/موضوع</x:v>
      </x:c>
      <x:c r="H2838" s="39" t="str">
        <x:v>گردشگری تجربه محور</x:v>
      </x:c>
      <x:c r="I2838" s="39" t="str">
        <x:v>نیازمند تعریف خروجی یا پارک</x:v>
      </x:c>
      <x:c r="J2838" s="39" t="str">
        <x:v>تحلیلگر راهبری/PMO؛ تبدیل به فرضیه یا اقدام در صورت نیاز</x:v>
      </x:c>
      <x:c r="K2838" s="39" t="str"/>
      <x:c r="L2838" s="39" t="str">
        <x:v>E112:P1281؛ E112:P1339</x:v>
      </x:c>
      <x:c r="M2838" s="39" t="str"/>
      <x:c r="N2838" s="39" t="str">
        <x:v>نسخه پایه ۳۱۵۰</x:v>
      </x:c>
    </x:row>
    <x:row r="2839" ht="34" customHeight="1">
      <x:c r="A2839" s="34" t="str">
        <x:v>☐</x:v>
      </x:c>
      <x:c r="B2839" s="34" t="str">
        <x:v>MI-2310</x:v>
      </x:c>
      <x:c r="C2839" s="34" t="str">
        <x:v>M6 — تحلیل‌های خام و ورودی‌های نیازمند پالایش</x:v>
      </x:c>
      <x:c r="D2839" s="34" t="str">
        <x:v>H20</x:v>
      </x:c>
      <x:c r="E2839" s="34" t="str">
        <x:v>یادداشت تحلیلی/راهبری ثبت‌شده در 11211</x:v>
      </x:c>
      <x:c r="F2839" s="34" t="str">
        <x:v>P3/CLARIFY</x:v>
      </x:c>
      <x:c r="G2839" s="34" t="str">
        <x:v>هدف/موضوع</x:v>
      </x:c>
      <x:c r="H2839" s="39" t="str">
        <x:v>اکوتوریسم</x:v>
      </x:c>
      <x:c r="I2839" s="39" t="str">
        <x:v>نیازمند تعریف خروجی یا پارک</x:v>
      </x:c>
      <x:c r="J2839" s="39" t="str">
        <x:v>تحلیلگر راهبری/PMO؛ تبدیل به فرضیه یا اقدام در صورت نیاز</x:v>
      </x:c>
      <x:c r="K2839" s="39" t="str"/>
      <x:c r="L2839" s="39" t="str">
        <x:v>E112:P1282</x:v>
      </x:c>
      <x:c r="M2839" s="39" t="str"/>
      <x:c r="N2839" s="39" t="str">
        <x:v>نسخه پایه ۳۱۵۰</x:v>
      </x:c>
    </x:row>
    <x:row r="2840" ht="34" customHeight="1">
      <x:c r="A2840" s="34" t="str">
        <x:v>☐</x:v>
      </x:c>
      <x:c r="B2840" s="34" t="str">
        <x:v>MI-2311</x:v>
      </x:c>
      <x:c r="C2840" s="34" t="str">
        <x:v>M6 — تحلیل‌های خام و ورودی‌های نیازمند پالایش</x:v>
      </x:c>
      <x:c r="D2840" s="34" t="str">
        <x:v>H20</x:v>
      </x:c>
      <x:c r="E2840" s="34" t="str">
        <x:v>یادداشت تحلیلی/راهبری ثبت‌شده در 11211</x:v>
      </x:c>
      <x:c r="F2840" s="34" t="str">
        <x:v>P3/CLARIFY</x:v>
      </x:c>
      <x:c r="G2840" s="34" t="str">
        <x:v>هدف/موضوع</x:v>
      </x:c>
      <x:c r="H2840" s="39" t="str">
        <x:v>گردشگری روستایی</x:v>
      </x:c>
      <x:c r="I2840" s="39" t="str">
        <x:v>نیازمند تعریف خروجی یا پارک</x:v>
      </x:c>
      <x:c r="J2840" s="39" t="str">
        <x:v>تحلیلگر راهبری/PMO؛ تبدیل به فرضیه یا اقدام در صورت نیاز</x:v>
      </x:c>
      <x:c r="K2840" s="39" t="str"/>
      <x:c r="L2840" s="39" t="str">
        <x:v>E112:P1283</x:v>
      </x:c>
      <x:c r="M2840" s="39" t="str"/>
      <x:c r="N2840" s="39" t="str">
        <x:v>نسخه پایه ۳۱۵۰</x:v>
      </x:c>
    </x:row>
    <x:row r="2841" ht="34" customHeight="1">
      <x:c r="A2841" s="34" t="str">
        <x:v>☐</x:v>
      </x:c>
      <x:c r="B2841" s="34" t="str">
        <x:v>MI-2313</x:v>
      </x:c>
      <x:c r="C2841" s="34" t="str">
        <x:v>M6 — تحلیل‌های خام و ورودی‌های نیازمند پالایش</x:v>
      </x:c>
      <x:c r="D2841" s="34" t="str">
        <x:v>H20</x:v>
      </x:c>
      <x:c r="E2841" s="34" t="str">
        <x:v>یادداشت تحلیلی/راهبری ثبت‌شده در 11211</x:v>
      </x:c>
      <x:c r="F2841" s="34" t="str">
        <x:v>P3/CLARIFY</x:v>
      </x:c>
      <x:c r="G2841" s="34" t="str">
        <x:v>هدف/موضوع</x:v>
      </x:c>
      <x:c r="H2841" s="39" t="str">
        <x:v>بسیار کم توسعه یافته.</x:v>
      </x:c>
      <x:c r="I2841" s="39" t="str">
        <x:v>نیازمند تعریف خروجی یا پارک</x:v>
      </x:c>
      <x:c r="J2841" s="39" t="str">
        <x:v>تحلیلگر راهبری/PMO؛ تبدیل به فرضیه یا اقدام در صورت نیاز</x:v>
      </x:c>
      <x:c r="K2841" s="39" t="str"/>
      <x:c r="L2841" s="39" t="str">
        <x:v>E112:P1288</x:v>
      </x:c>
      <x:c r="M2841" s="39" t="str"/>
      <x:c r="N2841" s="39" t="str">
        <x:v>نسخه پایه ۳۱۵۰</x:v>
      </x:c>
    </x:row>
    <x:row r="2842" ht="34" customHeight="1">
      <x:c r="A2842" s="34" t="str">
        <x:v>☐</x:v>
      </x:c>
      <x:c r="B2842" s="34" t="str">
        <x:v>MI-2314</x:v>
      </x:c>
      <x:c r="C2842" s="34" t="str">
        <x:v>M6 — تحلیل‌های خام و ورودی‌های نیازمند پالایش</x:v>
      </x:c>
      <x:c r="D2842" s="34" t="str">
        <x:v>H20</x:v>
      </x:c>
      <x:c r="E2842" s="34" t="str">
        <x:v>یادداشت تحلیلی/راهبری ثبت‌شده در 11211</x:v>
      </x:c>
      <x:c r="F2842" s="34" t="str">
        <x:v>P3/CLARIFY</x:v>
      </x:c>
      <x:c r="G2842" s="34" t="str">
        <x:v>هدف/موضوع</x:v>
      </x:c>
      <x:c r="H2842" s="39" t="str">
        <x:v>MarineTech</x:v>
      </x:c>
      <x:c r="I2842" s="39" t="str">
        <x:v>نیازمند تعریف خروجی یا پارک</x:v>
      </x:c>
      <x:c r="J2842" s="39" t="str">
        <x:v>تحلیلگر راهبری/PMO؛ تبدیل به فرضیه یا اقدام در صورت نیاز</x:v>
      </x:c>
      <x:c r="K2842" s="39" t="str"/>
      <x:c r="L2842" s="39" t="str">
        <x:v>E112:P1292</x:v>
      </x:c>
      <x:c r="M2842" s="39" t="str"/>
      <x:c r="N2842" s="39" t="str">
        <x:v>نسخه پایه ۳۱۵۰</x:v>
      </x:c>
    </x:row>
    <x:row r="2843" ht="34" customHeight="1">
      <x:c r="A2843" s="34" t="str">
        <x:v>☐</x:v>
      </x:c>
      <x:c r="B2843" s="34" t="str">
        <x:v>MI-2318</x:v>
      </x:c>
      <x:c r="C2843" s="34" t="str">
        <x:v>M6 — تحلیل‌های خام و ورودی‌های نیازمند پالایش</x:v>
      </x:c>
      <x:c r="D2843" s="34" t="str">
        <x:v>H20</x:v>
      </x:c>
      <x:c r="E2843" s="34" t="str">
        <x:v>یادداشت تحلیلی/راهبری ثبت‌شده در 11211</x:v>
      </x:c>
      <x:c r="F2843" s="34" t="str">
        <x:v>P3/CLARIFY</x:v>
      </x:c>
      <x:c r="G2843" s="34" t="str">
        <x:v>هدف/موضوع</x:v>
      </x:c>
      <x:c r="H2843" s="39" t="str">
        <x:v>صنایع وابسته به بنادر</x:v>
      </x:c>
      <x:c r="I2843" s="39" t="str">
        <x:v>نیازمند تعریف خروجی یا پارک</x:v>
      </x:c>
      <x:c r="J2843" s="39" t="str">
        <x:v>تحلیلگر راهبری/PMO؛ تبدیل به فرضیه یا اقدام در صورت نیاز</x:v>
      </x:c>
      <x:c r="K2843" s="39" t="str"/>
      <x:c r="L2843" s="39" t="str">
        <x:v>E112:P1296</x:v>
      </x:c>
      <x:c r="M2843" s="39" t="str"/>
      <x:c r="N2843" s="39" t="str">
        <x:v>نسخه پایه ۳۱۵۰</x:v>
      </x:c>
    </x:row>
    <x:row r="2844" ht="34" customHeight="1">
      <x:c r="A2844" s="34" t="str">
        <x:v>☐</x:v>
      </x:c>
      <x:c r="B2844" s="34" t="str">
        <x:v>MI-2319</x:v>
      </x:c>
      <x:c r="C2844" s="34" t="str">
        <x:v>M6 — تحلیل‌های خام و ورودی‌های نیازمند پالایش</x:v>
      </x:c>
      <x:c r="D2844" s="34" t="str">
        <x:v>H20</x:v>
      </x:c>
      <x:c r="E2844" s="34" t="str">
        <x:v>یادداشت تحلیلی/راهبری ثبت‌شده در 11211</x:v>
      </x:c>
      <x:c r="F2844" s="34" t="str">
        <x:v>P3/CLARIFY</x:v>
      </x:c>
      <x:c r="G2844" s="34" t="str">
        <x:v>هدف/موضوع</x:v>
      </x:c>
      <x:c r="H2844" s="39" t="str">
        <x:v>4. صنایع چوب و جنگل</x:v>
      </x:c>
      <x:c r="I2844" s="39" t="str">
        <x:v>نیازمند تعریف خروجی یا پارک</x:v>
      </x:c>
      <x:c r="J2844" s="39" t="str">
        <x:v>تحلیلگر راهبری/PMO؛ تبدیل به فرضیه یا اقدام در صورت نیاز</x:v>
      </x:c>
      <x:c r="K2844" s="39" t="str"/>
      <x:c r="L2844" s="39" t="str">
        <x:v>E112:P1298</x:v>
      </x:c>
      <x:c r="M2844" s="39" t="str"/>
      <x:c r="N2844" s="39" t="str">
        <x:v>نسخه پایه ۳۱۵۰</x:v>
      </x:c>
    </x:row>
    <x:row r="2845" ht="34" customHeight="1">
      <x:c r="A2845" s="34" t="str">
        <x:v>☐</x:v>
      </x:c>
      <x:c r="B2845" s="34" t="str">
        <x:v>MI-2320</x:v>
      </x:c>
      <x:c r="C2845" s="34" t="str">
        <x:v>M6 — تحلیل‌های خام و ورودی‌های نیازمند پالایش</x:v>
      </x:c>
      <x:c r="D2845" s="34" t="str">
        <x:v>H20</x:v>
      </x:c>
      <x:c r="E2845" s="34" t="str">
        <x:v>یادداشت تحلیلی/راهبری ثبت‌شده در 11211</x:v>
      </x:c>
      <x:c r="F2845" s="34" t="str">
        <x:v>P3/CLARIFY</x:v>
      </x:c>
      <x:c r="G2845" s="34" t="str">
        <x:v>هدف/موضوع</x:v>
      </x:c>
      <x:c r="H2845" s="39" t="str">
        <x:v>مازندران مرکز صنایع چوبی است.</x:v>
      </x:c>
      <x:c r="I2845" s="39" t="str">
        <x:v>نیازمند تعریف خروجی یا پارک</x:v>
      </x:c>
      <x:c r="J2845" s="39" t="str">
        <x:v>تحلیلگر راهبری/PMO؛ تبدیل به فرضیه یا اقدام در صورت نیاز</x:v>
      </x:c>
      <x:c r="K2845" s="39" t="str"/>
      <x:c r="L2845" s="39" t="str">
        <x:v>E112:P1300</x:v>
      </x:c>
      <x:c r="M2845" s="39" t="str"/>
      <x:c r="N2845" s="39" t="str">
        <x:v>نسخه پایه ۳۱۵۰</x:v>
      </x:c>
    </x:row>
    <x:row r="2846" ht="34" customHeight="1">
      <x:c r="A2846" s="34" t="str">
        <x:v>☐</x:v>
      </x:c>
      <x:c r="B2846" s="34" t="str">
        <x:v>MI-2321</x:v>
      </x:c>
      <x:c r="C2846" s="34" t="str">
        <x:v>M6 — تحلیل‌های خام و ورودی‌های نیازمند پالایش</x:v>
      </x:c>
      <x:c r="D2846" s="34" t="str">
        <x:v>H20</x:v>
      </x:c>
      <x:c r="E2846" s="34" t="str">
        <x:v>یادداشت تحلیلی/راهبری ثبت‌شده در 11211</x:v>
      </x:c>
      <x:c r="F2846" s="34" t="str">
        <x:v>P3/CLARIFY</x:v>
      </x:c>
      <x:c r="G2846" s="34" t="str">
        <x:v>هدف/موضوع</x:v>
      </x:c>
      <x:c r="H2846" s="39" t="str">
        <x:v>طراحی محصول چوبی</x:v>
      </x:c>
      <x:c r="I2846" s="39" t="str">
        <x:v>نیازمند تعریف خروجی یا پارک</x:v>
      </x:c>
      <x:c r="J2846" s="39" t="str">
        <x:v>تحلیلگر راهبری/PMO؛ تبدیل به فرضیه یا اقدام در صورت نیاز</x:v>
      </x:c>
      <x:c r="K2846" s="39" t="str"/>
      <x:c r="L2846" s="39" t="str">
        <x:v>E112:P1304</x:v>
      </x:c>
      <x:c r="M2846" s="39" t="str"/>
      <x:c r="N2846" s="39" t="str">
        <x:v>نسخه پایه ۳۱۵۰</x:v>
      </x:c>
    </x:row>
    <x:row r="2847" ht="34" customHeight="1">
      <x:c r="A2847" s="34" t="str">
        <x:v>☐</x:v>
      </x:c>
      <x:c r="B2847" s="34" t="str">
        <x:v>MI-2323</x:v>
      </x:c>
      <x:c r="C2847" s="34" t="str">
        <x:v>M6 — تحلیل‌های خام و ورودی‌های نیازمند پالایش</x:v>
      </x:c>
      <x:c r="D2847" s="34" t="str">
        <x:v>H20</x:v>
      </x:c>
      <x:c r="E2847" s="34" t="str">
        <x:v>یادداشت تحلیلی/راهبری ثبت‌شده در 11211</x:v>
      </x:c>
      <x:c r="F2847" s="34" t="str">
        <x:v>P3/CLARIFY</x:v>
      </x:c>
      <x:c r="G2847" s="34" t="str">
        <x:v>هدف/موضوع</x:v>
      </x:c>
      <x:c r="H2847" s="39" t="str">
        <x:v>نوآوری در زنجیره چوب</x:v>
      </x:c>
      <x:c r="I2847" s="39" t="str">
        <x:v>نیازمند تعریف خروجی یا پارک</x:v>
      </x:c>
      <x:c r="J2847" s="39" t="str">
        <x:v>تحلیلگر راهبری/PMO؛ تبدیل به فرضیه یا اقدام در صورت نیاز</x:v>
      </x:c>
      <x:c r="K2847" s="39" t="str"/>
      <x:c r="L2847" s="39" t="str">
        <x:v>E112:P1306</x:v>
      </x:c>
      <x:c r="M2847" s="39" t="str"/>
      <x:c r="N2847" s="39" t="str">
        <x:v>نسخه پایه ۳۱۵۰</x:v>
      </x:c>
    </x:row>
    <x:row r="2848" ht="34" customHeight="1">
      <x:c r="A2848" s="34" t="str">
        <x:v>☐</x:v>
      </x:c>
      <x:c r="B2848" s="34" t="str">
        <x:v>MI-2325</x:v>
      </x:c>
      <x:c r="C2848" s="34" t="str">
        <x:v>M6 — تحلیل‌های خام و ورودی‌های نیازمند پالایش</x:v>
      </x:c>
      <x:c r="D2848" s="34" t="str">
        <x:v>H20</x:v>
      </x:c>
      <x:c r="E2848" s="34" t="str">
        <x:v>یادداشت تحلیلی/راهبری ثبت‌شده در 11211</x:v>
      </x:c>
      <x:c r="F2848" s="34" t="str">
        <x:v>P3/CLARIFY</x:v>
      </x:c>
      <x:c r="G2848" s="34" t="str">
        <x:v>هدف/موضوع</x:v>
      </x:c>
      <x:c r="H2848" s="39" t="str">
        <x:v>مازندران در مسیر:</x:v>
      </x:c>
      <x:c r="I2848" s="39" t="str">
        <x:v>نیازمند تعریف خروجی یا پارک</x:v>
      </x:c>
      <x:c r="J2848" s="39" t="str">
        <x:v>تحلیلگر راهبری/PMO؛ تبدیل به فرضیه یا اقدام در صورت نیاز</x:v>
      </x:c>
      <x:c r="K2848" s="39" t="str"/>
      <x:c r="L2848" s="39" t="str">
        <x:v>E112:P1310</x:v>
      </x:c>
      <x:c r="M2848" s="39" t="str"/>
      <x:c r="N2848" s="39" t="str">
        <x:v>نسخه پایه ۳۱۵۰</x:v>
      </x:c>
    </x:row>
    <x:row r="2849" ht="34" customHeight="1">
      <x:c r="A2849" s="34" t="str">
        <x:v>☐</x:v>
      </x:c>
      <x:c r="B2849" s="34" t="str">
        <x:v>MI-2326</x:v>
      </x:c>
      <x:c r="C2849" s="34" t="str">
        <x:v>M6 — تحلیل‌های خام و ورودی‌های نیازمند پالایش</x:v>
      </x:c>
      <x:c r="D2849" s="34" t="str">
        <x:v>H20</x:v>
      </x:c>
      <x:c r="E2849" s="34" t="str">
        <x:v>یادداشت تحلیلی/راهبری ثبت‌شده در 11211</x:v>
      </x:c>
      <x:c r="F2849" s="34" t="str">
        <x:v>P3/CLARIFY</x:v>
      </x:c>
      <x:c r="G2849" s="34" t="str">
        <x:v>هدف/موضوع</x:v>
      </x:c>
      <x:c r="H2849" s="39" t="str">
        <x:v>بنادر شمال</x:v>
      </x:c>
      <x:c r="I2849" s="39" t="str">
        <x:v>نیازمند تعریف خروجی یا پارک</x:v>
      </x:c>
      <x:c r="J2849" s="39" t="str">
        <x:v>تحلیلگر راهبری/PMO؛ تبدیل به فرضیه یا اقدام در صورت نیاز</x:v>
      </x:c>
      <x:c r="K2849" s="39" t="str"/>
      <x:c r="L2849" s="39" t="str">
        <x:v>E112:P1313</x:v>
      </x:c>
      <x:c r="M2849" s="39" t="str"/>
      <x:c r="N2849" s="39" t="str">
        <x:v>نسخه پایه ۳۱۵۰</x:v>
      </x:c>
    </x:row>
    <x:row r="2850" ht="34" customHeight="1">
      <x:c r="A2850" s="34" t="str">
        <x:v>☐</x:v>
      </x:c>
      <x:c r="B2850" s="34" t="str">
        <x:v>MI-2327</x:v>
      </x:c>
      <x:c r="C2850" s="34" t="str">
        <x:v>M6 — تحلیل‌های خام و ورودی‌های نیازمند پالایش</x:v>
      </x:c>
      <x:c r="D2850" s="34" t="str">
        <x:v>H20</x:v>
      </x:c>
      <x:c r="E2850" s="34" t="str">
        <x:v>یادداشت تحلیلی/راهبری ثبت‌شده در 11211</x:v>
      </x:c>
      <x:c r="F2850" s="34" t="str">
        <x:v>P3/CLARIFY</x:v>
      </x:c>
      <x:c r="G2850" s="34" t="str">
        <x:v>هدف/موضوع</x:v>
      </x:c>
      <x:c r="H2850" s="39" t="str">
        <x:v>کریدور شمال–جنوب</x:v>
      </x:c>
      <x:c r="I2850" s="39" t="str">
        <x:v>نیازمند تعریف خروجی یا پارک</x:v>
      </x:c>
      <x:c r="J2850" s="39" t="str">
        <x:v>تحلیلگر راهبری/PMO؛ تبدیل به فرضیه یا اقدام در صورت نیاز</x:v>
      </x:c>
      <x:c r="K2850" s="39" t="str"/>
      <x:c r="L2850" s="39" t="str">
        <x:v>E112:P1314؛ E112:P2869</x:v>
      </x:c>
      <x:c r="M2850" s="39" t="str"/>
      <x:c r="N2850" s="39" t="str">
        <x:v>نسخه پایه ۳۱۵۰</x:v>
      </x:c>
    </x:row>
    <x:row r="2851" ht="34" customHeight="1">
      <x:c r="A2851" s="34" t="str">
        <x:v>☐</x:v>
      </x:c>
      <x:c r="B2851" s="34" t="str">
        <x:v>MI-2329</x:v>
      </x:c>
      <x:c r="C2851" s="34" t="str">
        <x:v>M6 — تحلیل‌های خام و ورودی‌های نیازمند پالایش</x:v>
      </x:c>
      <x:c r="D2851" s="34" t="str">
        <x:v>H20</x:v>
      </x:c>
      <x:c r="E2851" s="34" t="str">
        <x:v>یادداشت تحلیلی/راهبری ثبت‌شده در 11211</x:v>
      </x:c>
      <x:c r="F2851" s="34" t="str">
        <x:v>P3/CLARIFY</x:v>
      </x:c>
      <x:c r="G2851" s="34" t="str">
        <x:v>هدف/موضوع</x:v>
      </x:c>
      <x:c r="H2851" s="39" t="str">
        <x:v>حمل ونقل سردخانه ای</x:v>
      </x:c>
      <x:c r="I2851" s="39" t="str">
        <x:v>نیازمند تعریف خروجی یا پارک</x:v>
      </x:c>
      <x:c r="J2851" s="39" t="str">
        <x:v>تحلیلگر راهبری/PMO؛ تبدیل به فرضیه یا اقدام در صورت نیاز</x:v>
      </x:c>
      <x:c r="K2851" s="39" t="str"/>
      <x:c r="L2851" s="39" t="str">
        <x:v>E112:P1319</x:v>
      </x:c>
      <x:c r="M2851" s="39" t="str"/>
      <x:c r="N2851" s="39" t="str">
        <x:v>نسخه پایه ۳۱۵۰</x:v>
      </x:c>
    </x:row>
    <x:row r="2852" ht="34" customHeight="1">
      <x:c r="A2852" s="34" t="str">
        <x:v>☐</x:v>
      </x:c>
      <x:c r="B2852" s="34" t="str">
        <x:v>MI-2330</x:v>
      </x:c>
      <x:c r="C2852" s="34" t="str">
        <x:v>M6 — تحلیل‌های خام و ورودی‌های نیازمند پالایش</x:v>
      </x:c>
      <x:c r="D2852" s="34" t="str">
        <x:v>H20</x:v>
      </x:c>
      <x:c r="E2852" s="34" t="str">
        <x:v>یادداشت تحلیلی/راهبری ثبت‌شده در 11211</x:v>
      </x:c>
      <x:c r="F2852" s="34" t="str">
        <x:v>P3/CLARIFY</x:v>
      </x:c>
      <x:c r="G2852" s="34" t="str">
        <x:v>هدف/موضوع</x:v>
      </x:c>
      <x:c r="H2852" s="39" t="str">
        <x:v>2. اگر کارآفرین را به مازندران بیاوریم، همایش حول چه چیزی باشد؟</x:v>
      </x:c>
      <x:c r="I2852" s="39" t="str">
        <x:v>نیازمند تعریف خروجی یا پارک</x:v>
      </x:c>
      <x:c r="J2852" s="39" t="str">
        <x:v>تحلیلگر راهبری/PMO؛ تبدیل به فرضیه یا اقدام در صورت نیاز</x:v>
      </x:c>
      <x:c r="K2852" s="39" t="str"/>
      <x:c r="L2852" s="39" t="str">
        <x:v>E112:P1322</x:v>
      </x:c>
      <x:c r="M2852" s="39" t="str"/>
      <x:c r="N2852" s="39" t="str">
        <x:v>نسخه پایه ۳۱۵۰</x:v>
      </x:c>
    </x:row>
    <x:row r="2853" ht="34" customHeight="1">
      <x:c r="A2853" s="34" t="str">
        <x:v>☐</x:v>
      </x:c>
      <x:c r="B2853" s="34" t="str">
        <x:v>MI-2331</x:v>
      </x:c>
      <x:c r="C2853" s="34" t="str">
        <x:v>M6 — تحلیل‌های خام و ورودی‌های نیازمند پالایش</x:v>
      </x:c>
      <x:c r="D2853" s="34" t="str">
        <x:v>H20</x:v>
      </x:c>
      <x:c r="E2853" s="34" t="str">
        <x:v>یادداشت تحلیلی/راهبری ثبت‌شده در 11211</x:v>
      </x:c>
      <x:c r="F2853" s="34" t="str">
        <x:v>P3/CLARIFY</x:v>
      </x:c>
      <x:c r="G2853" s="34" t="str">
        <x:v>هدف/موضوع</x:v>
      </x:c>
      <x:c r="H2853" s="39" t="str">
        <x:v>همایش باید حول مسیله های واقعی استان طراحی شود نه سخنرانی عمومی.</x:v>
      </x:c>
      <x:c r="I2853" s="39" t="str">
        <x:v>نیازمند تعریف خروجی یا پارک</x:v>
      </x:c>
      <x:c r="J2853" s="39" t="str">
        <x:v>تحلیلگر راهبری/PMO؛ تبدیل به فرضیه یا اقدام در صورت نیاز</x:v>
      </x:c>
      <x:c r="K2853" s="39" t="str"/>
      <x:c r="L2853" s="39" t="str">
        <x:v>E112:P1324</x:v>
      </x:c>
      <x:c r="M2853" s="39" t="str"/>
      <x:c r="N2853" s="39" t="str">
        <x:v>نسخه پایه ۳۱۵۰</x:v>
      </x:c>
    </x:row>
    <x:row r="2854" ht="34" customHeight="1">
      <x:c r="A2854" s="34" t="str">
        <x:v>☐</x:v>
      </x:c>
      <x:c r="B2854" s="34" t="str">
        <x:v>MI-2332</x:v>
      </x:c>
      <x:c r="C2854" s="34" t="str">
        <x:v>M6 — تحلیل‌های خام و ورودی‌های نیازمند پالایش</x:v>
      </x:c>
      <x:c r="D2854" s="34" t="str">
        <x:v>H20</x:v>
      </x:c>
      <x:c r="E2854" s="34" t="str">
        <x:v>یادداشت تحلیلی/راهبری ثبت‌شده در 11211</x:v>
      </x:c>
      <x:c r="F2854" s="34" t="str">
        <x:v>P3/CLARIFY</x:v>
      </x:c>
      <x:c r="G2854" s="34" t="str">
        <x:v>هدف/موضوع</x:v>
      </x:c>
      <x:c r="H2854" s="39" t="str">
        <x:v>چند محور بسیار مناسب:</x:v>
      </x:c>
      <x:c r="I2854" s="39" t="str">
        <x:v>نیازمند تعریف خروجی یا پارک</x:v>
      </x:c>
      <x:c r="J2854" s="39" t="str">
        <x:v>تحلیلگر راهبری/PMO؛ تبدیل به فرضیه یا اقدام در صورت نیاز</x:v>
      </x:c>
      <x:c r="K2854" s="39" t="str"/>
      <x:c r="L2854" s="39" t="str">
        <x:v>E112:P1326</x:v>
      </x:c>
      <x:c r="M2854" s="39" t="str"/>
      <x:c r="N2854" s="39" t="str">
        <x:v>نسخه پایه ۳۱۵۰</x:v>
      </x:c>
    </x:row>
    <x:row r="2855" ht="34" customHeight="1">
      <x:c r="A2855" s="34" t="str">
        <x:v>☐</x:v>
      </x:c>
      <x:c r="B2855" s="34" t="str">
        <x:v>MI-2334</x:v>
      </x:c>
      <x:c r="C2855" s="34" t="str">
        <x:v>M6 — تحلیل‌های خام و ورودی‌های نیازمند پالایش</x:v>
      </x:c>
      <x:c r="D2855" s="34" t="str">
        <x:v>H20</x:v>
      </x:c>
      <x:c r="E2855" s="34" t="str">
        <x:v>یادداشت تحلیلی/راهبری ثبت‌شده در 11211</x:v>
      </x:c>
      <x:c r="F2855" s="34" t="str">
        <x:v>P3/CLARIFY</x:v>
      </x:c>
      <x:c r="G2855" s="34" t="str">
        <x:v>هدف/موضوع</x:v>
      </x:c>
      <x:c r="H2855" s="39" t="str">
        <x:v>موضوعات:</x:v>
      </x:c>
      <x:c r="I2855" s="39" t="str">
        <x:v>نیازمند تعریف خروجی یا پارک</x:v>
      </x:c>
      <x:c r="J2855" s="39" t="str">
        <x:v>تحلیلگر راهبری/PMO؛ تبدیل به فرضیه یا اقدام در صورت نیاز</x:v>
      </x:c>
      <x:c r="K2855" s="39" t="str"/>
      <x:c r="L2855" s="39" t="str">
        <x:v>E112:P1329؛ E112:P1337؛ E112:P1345؛ E112:P1364؛ E112:P1994</x:v>
      </x:c>
      <x:c r="M2855" s="39" t="str"/>
      <x:c r="N2855" s="39" t="str">
        <x:v>نسخه پایه ۳۱۵۰</x:v>
      </x:c>
    </x:row>
    <x:row r="2856" ht="34" customHeight="1">
      <x:c r="A2856" s="34" t="str">
        <x:v>☐</x:v>
      </x:c>
      <x:c r="B2856" s="34" t="str">
        <x:v>MI-2336</x:v>
      </x:c>
      <x:c r="C2856" s="34" t="str">
        <x:v>M6 — تحلیل‌های خام و ورودی‌های نیازمند پالایش</x:v>
      </x:c>
      <x:c r="D2856" s="34" t="str">
        <x:v>H20</x:v>
      </x:c>
      <x:c r="E2856" s="34" t="str">
        <x:v>یادداشت تحلیلی/راهبری ثبت‌شده در 11211</x:v>
      </x:c>
      <x:c r="F2856" s="34" t="str">
        <x:v>P3/CLARIFY</x:v>
      </x:c>
      <x:c r="G2856" s="34" t="str">
        <x:v>هدف/موضوع</x:v>
      </x:c>
      <x:c r="H2856" s="39" t="str">
        <x:v>بازار دیجیتال محصولات</x:v>
      </x:c>
      <x:c r="I2856" s="39" t="str">
        <x:v>نیازمند تعریف خروجی یا پارک</x:v>
      </x:c>
      <x:c r="J2856" s="39" t="str">
        <x:v>تحلیلگر راهبری/PMO؛ تبدیل به فرضیه یا اقدام در صورت نیاز</x:v>
      </x:c>
      <x:c r="K2856" s="39" t="str"/>
      <x:c r="L2856" s="39" t="str">
        <x:v>E112:P1333</x:v>
      </x:c>
      <x:c r="M2856" s="39" t="str"/>
      <x:c r="N2856" s="39" t="str">
        <x:v>نسخه پایه ۳۱۵۰</x:v>
      </x:c>
    </x:row>
    <x:row r="2857" ht="34" customHeight="1">
      <x:c r="A2857" s="34" t="str">
        <x:v>☐</x:v>
      </x:c>
      <x:c r="B2857" s="34" t="str">
        <x:v>MI-2337</x:v>
      </x:c>
      <x:c r="C2857" s="34" t="str">
        <x:v>M6 — تحلیل‌های خام و ورودی‌های نیازمند پالایش</x:v>
      </x:c>
      <x:c r="D2857" s="34" t="str">
        <x:v>H20</x:v>
      </x:c>
      <x:c r="E2857" s="34" t="str">
        <x:v>یادداشت تحلیلی/راهبری ثبت‌شده در 11211</x:v>
      </x:c>
      <x:c r="F2857" s="34" t="str">
        <x:v>P3/CLARIFY</x:v>
      </x:c>
      <x:c r="G2857" s="34" t="str">
        <x:v>هدف/موضوع</x:v>
      </x:c>
      <x:c r="H2857" s="39" t="str">
        <x:v>2. نوآوری در گردشگری شمال</x:v>
      </x:c>
      <x:c r="I2857" s="39" t="str">
        <x:v>نیازمند تعریف خروجی یا پارک</x:v>
      </x:c>
      <x:c r="J2857" s="39" t="str">
        <x:v>تحلیلگر راهبری/PMO؛ تبدیل به فرضیه یا اقدام در صورت نیاز</x:v>
      </x:c>
      <x:c r="K2857" s="39" t="str"/>
      <x:c r="L2857" s="39" t="str">
        <x:v>E112:P1335؛ E112:P1487</x:v>
      </x:c>
      <x:c r="M2857" s="39" t="str"/>
      <x:c r="N2857" s="39" t="str">
        <x:v>نسخه پایه ۳۱۵۰</x:v>
      </x:c>
    </x:row>
    <x:row r="2858" ht="34" customHeight="1">
      <x:c r="A2858" s="34" t="str">
        <x:v>☐</x:v>
      </x:c>
      <x:c r="B2858" s="34" t="str">
        <x:v>MI-2339</x:v>
      </x:c>
      <x:c r="C2858" s="34" t="str">
        <x:v>M6 — تحلیل‌های خام و ورودی‌های نیازمند پالایش</x:v>
      </x:c>
      <x:c r="D2858" s="34" t="str">
        <x:v>H20</x:v>
      </x:c>
      <x:c r="E2858" s="34" t="str">
        <x:v>یادداشت تحلیلی/راهبری ثبت‌شده در 11211</x:v>
      </x:c>
      <x:c r="F2858" s="34" t="str">
        <x:v>P3/CLARIFY</x:v>
      </x:c>
      <x:c r="G2858" s="34" t="str">
        <x:v>هدف/موضوع</x:v>
      </x:c>
      <x:c r="H2858" s="39" t="str">
        <x:v>پلتفرم های گردشگری</x:v>
      </x:c>
      <x:c r="I2858" s="39" t="str">
        <x:v>نیازمند تعریف خروجی یا پارک</x:v>
      </x:c>
      <x:c r="J2858" s="39" t="str">
        <x:v>تحلیلگر راهبری/PMO؛ تبدیل به فرضیه یا اقدام در صورت نیاز</x:v>
      </x:c>
      <x:c r="K2858" s="39" t="str"/>
      <x:c r="L2858" s="39" t="str">
        <x:v>E112:P1341</x:v>
      </x:c>
      <x:c r="M2858" s="39" t="str"/>
      <x:c r="N2858" s="39" t="str">
        <x:v>نسخه پایه ۳۱۵۰</x:v>
      </x:c>
    </x:row>
    <x:row r="2859" ht="34" customHeight="1">
      <x:c r="A2859" s="34" t="str">
        <x:v>☐</x:v>
      </x:c>
      <x:c r="B2859" s="34" t="str">
        <x:v>MI-2343</x:v>
      </x:c>
      <x:c r="C2859" s="34" t="str">
        <x:v>M6 — تحلیل‌های خام و ورودی‌های نیازمند پالایش</x:v>
      </x:c>
      <x:c r="D2859" s="34" t="str">
        <x:v>H20</x:v>
      </x:c>
      <x:c r="E2859" s="34" t="str">
        <x:v>یادداشت تحلیلی/راهبری ثبت‌شده در 11211</x:v>
      </x:c>
      <x:c r="F2859" s="34" t="str">
        <x:v>P3/CLARIFY</x:v>
      </x:c>
      <x:c r="G2859" s="34" t="str">
        <x:v>هدف/موضوع</x:v>
      </x:c>
      <x:c r="H2859" s="39" t="str">
        <x:v>این موضوع برای استان ها بسیار جذاب است.</x:v>
      </x:c>
      <x:c r="I2859" s="39" t="str">
        <x:v>نیازمند تعریف خروجی یا پارک</x:v>
      </x:c>
      <x:c r="J2859" s="39" t="str">
        <x:v>تحلیلگر راهبری/PMO؛ تبدیل به فرضیه یا اقدام در صورت نیاز</x:v>
      </x:c>
      <x:c r="K2859" s="39" t="str"/>
      <x:c r="L2859" s="39" t="str">
        <x:v>E112:P1353</x:v>
      </x:c>
      <x:c r="M2859" s="39" t="str"/>
      <x:c r="N2859" s="39" t="str">
        <x:v>نسخه پایه ۳۱۵۰</x:v>
      </x:c>
    </x:row>
    <x:row r="2860" ht="34" customHeight="1">
      <x:c r="A2860" s="34" t="str">
        <x:v>☐</x:v>
      </x:c>
      <x:c r="B2860" s="34" t="str">
        <x:v>MI-2344</x:v>
      </x:c>
      <x:c r="C2860" s="34" t="str">
        <x:v>M6 — تحلیل‌های خام و ورودی‌های نیازمند پالایش</x:v>
      </x:c>
      <x:c r="D2860" s="34" t="str">
        <x:v>H20</x:v>
      </x:c>
      <x:c r="E2860" s="34" t="str">
        <x:v>یادداشت تحلیلی/راهبری ثبت‌شده در 11211</x:v>
      </x:c>
      <x:c r="F2860" s="34" t="str">
        <x:v>P3/CLARIFY</x:v>
      </x:c>
      <x:c r="G2860" s="34" t="str">
        <x:v>هدف/موضوع</x:v>
      </x:c>
      <x:c r="H2860" s="39" t="str">
        <x:v>بحث ها:</x:v>
      </x:c>
      <x:c r="I2860" s="39" t="str">
        <x:v>نیازمند تعریف خروجی یا پارک</x:v>
      </x:c>
      <x:c r="J2860" s="39" t="str">
        <x:v>تحلیلگر راهبری/PMO؛ تبدیل به فرضیه یا اقدام در صورت نیاز</x:v>
      </x:c>
      <x:c r="K2860" s="39" t="str"/>
      <x:c r="L2860" s="39" t="str">
        <x:v>E112:P1355</x:v>
      </x:c>
      <x:c r="M2860" s="39" t="str"/>
      <x:c r="N2860" s="39" t="str">
        <x:v>نسخه پایه ۳۱۵۰</x:v>
      </x:c>
    </x:row>
    <x:row r="2861" ht="34" customHeight="1">
      <x:c r="A2861" s="34" t="str">
        <x:v>☐</x:v>
      </x:c>
      <x:c r="B2861" s="34" t="str">
        <x:v>MI-2346</x:v>
      </x:c>
      <x:c r="C2861" s="34" t="str">
        <x:v>M6 — تحلیل‌های خام و ورودی‌های نیازمند پالایش</x:v>
      </x:c>
      <x:c r="D2861" s="34" t="str">
        <x:v>H20</x:v>
      </x:c>
      <x:c r="E2861" s="34" t="str">
        <x:v>یادداشت تحلیلی/راهبری ثبت‌شده در 11211</x:v>
      </x:c>
      <x:c r="F2861" s="34" t="str">
        <x:v>P3/CLARIFY</x:v>
      </x:c>
      <x:c r="G2861" s="34" t="str">
        <x:v>هدف/موضوع</x:v>
      </x:c>
      <x:c r="H2861" s="39" t="str">
        <x:v>مزیت های مناطق غیرمرکزی</x:v>
      </x:c>
      <x:c r="I2861" s="39" t="str">
        <x:v>نیازمند تعریف خروجی یا پارک</x:v>
      </x:c>
      <x:c r="J2861" s="39" t="str">
        <x:v>تحلیلگر راهبری/PMO؛ تبدیل به فرضیه یا اقدام در صورت نیاز</x:v>
      </x:c>
      <x:c r="K2861" s="39" t="str"/>
      <x:c r="L2861" s="39" t="str">
        <x:v>E112:P1358</x:v>
      </x:c>
      <x:c r="M2861" s="39" t="str"/>
      <x:c r="N2861" s="39" t="str">
        <x:v>نسخه پایه ۳۱۵۰</x:v>
      </x:c>
    </x:row>
    <x:row r="2862" ht="34" customHeight="1">
      <x:c r="A2862" s="34" t="str">
        <x:v>☐</x:v>
      </x:c>
      <x:c r="B2862" s="34" t="str">
        <x:v>MI-2352</x:v>
      </x:c>
      <x:c r="C2862" s="34" t="str">
        <x:v>M6 — تحلیل‌های خام و ورودی‌های نیازمند پالایش</x:v>
      </x:c>
      <x:c r="D2862" s="34" t="str">
        <x:v>H20</x:v>
      </x:c>
      <x:c r="E2862" s="34" t="str">
        <x:v>یادداشت تحلیلی/راهبری ثبت‌شده در 11211</x:v>
      </x:c>
      <x:c r="F2862" s="34" t="str">
        <x:v>P3/CLARIFY</x:v>
      </x:c>
      <x:c r="G2862" s="34" t="str">
        <x:v>هدف/موضوع</x:v>
      </x:c>
      <x:c r="H2862" s="39" t="str">
        <x:v>همایش صرفاً سخنرانی نباشد. ترکیب این ها اثرگذارتر است:</x:v>
      </x:c>
      <x:c r="I2862" s="39" t="str">
        <x:v>نیازمند تعریف خروجی یا پارک</x:v>
      </x:c>
      <x:c r="J2862" s="39" t="str">
        <x:v>تحلیلگر راهبری/PMO؛ تبدیل به فرضیه یا اقدام در صورت نیاز</x:v>
      </x:c>
      <x:c r="K2862" s="39" t="str"/>
      <x:c r="L2862" s="39" t="str">
        <x:v>E112:P1372</x:v>
      </x:c>
      <x:c r="M2862" s="39" t="str"/>
      <x:c r="N2862" s="39" t="str">
        <x:v>نسخه پایه ۳۱۵۰</x:v>
      </x:c>
    </x:row>
    <x:row r="2863" ht="34" customHeight="1">
      <x:c r="A2863" s="34" t="str">
        <x:v>☐</x:v>
      </x:c>
      <x:c r="B2863" s="34" t="str">
        <x:v>MI-2353</x:v>
      </x:c>
      <x:c r="C2863" s="34" t="str">
        <x:v>M6 — تحلیل‌های خام و ورودی‌های نیازمند پالایش</x:v>
      </x:c>
      <x:c r="D2863" s="34" t="str">
        <x:v>H20</x:v>
      </x:c>
      <x:c r="E2863" s="34" t="str">
        <x:v>یادداشت تحلیلی/راهبری ثبت‌شده در 11211</x:v>
      </x:c>
      <x:c r="F2863" s="34" t="str">
        <x:v>P3/CLARIFY</x:v>
      </x:c>
      <x:c r="G2863" s="34" t="str">
        <x:v>هدف/موضوع</x:v>
      </x:c>
      <x:c r="H2863" s="39" t="str">
        <x:v>keynote کارآفرین</x:v>
      </x:c>
      <x:c r="I2863" s="39" t="str">
        <x:v>نیازمند تعریف خروجی یا پارک</x:v>
      </x:c>
      <x:c r="J2863" s="39" t="str">
        <x:v>تحلیلگر راهبری/PMO؛ تبدیل به فرضیه یا اقدام در صورت نیاز</x:v>
      </x:c>
      <x:c r="K2863" s="39" t="str"/>
      <x:c r="L2863" s="39" t="str">
        <x:v>E112:P1374</x:v>
      </x:c>
      <x:c r="M2863" s="39" t="str"/>
      <x:c r="N2863" s="39" t="str">
        <x:v>نسخه پایه ۳۱۵۰</x:v>
      </x:c>
    </x:row>
    <x:row r="2864" ht="34" customHeight="1">
      <x:c r="A2864" s="34" t="str">
        <x:v>☐</x:v>
      </x:c>
      <x:c r="B2864" s="34" t="str">
        <x:v>MI-2355</x:v>
      </x:c>
      <x:c r="C2864" s="34" t="str">
        <x:v>M6 — تحلیل‌های خام و ورودی‌های نیازمند پالایش</x:v>
      </x:c>
      <x:c r="D2864" s="34" t="str">
        <x:v>H20</x:v>
      </x:c>
      <x:c r="E2864" s="34" t="str">
        <x:v>یادداشت تحلیلی/راهبری ثبت‌شده در 11211</x:v>
      </x:c>
      <x:c r="F2864" s="34" t="str">
        <x:v>P3/CLARIFY</x:v>
      </x:c>
      <x:c r="G2864" s="34" t="str">
        <x:v>هدف/موضوع</x:v>
      </x:c>
      <x:c r="H2864" s="39" t="str">
        <x:v>ورکشاپ عملی</x:v>
      </x:c>
      <x:c r="I2864" s="39" t="str">
        <x:v>نیازمند تعریف خروجی یا پارک</x:v>
      </x:c>
      <x:c r="J2864" s="39" t="str">
        <x:v>تحلیلگر راهبری/PMO؛ تبدیل به فرضیه یا اقدام در صورت نیاز</x:v>
      </x:c>
      <x:c r="K2864" s="39" t="str"/>
      <x:c r="L2864" s="39" t="str">
        <x:v>E112:P1376</x:v>
      </x:c>
      <x:c r="M2864" s="39" t="str"/>
      <x:c r="N2864" s="39" t="str">
        <x:v>نسخه پایه ۳۱۵۰</x:v>
      </x:c>
    </x:row>
    <x:row r="2865" ht="34" customHeight="1">
      <x:c r="A2865" s="34" t="str">
        <x:v>☐</x:v>
      </x:c>
      <x:c r="B2865" s="34" t="str">
        <x:v>MI-2359</x:v>
      </x:c>
      <x:c r="C2865" s="34" t="str">
        <x:v>M6 — تحلیل‌های خام و ورودی‌های نیازمند پالایش</x:v>
      </x:c>
      <x:c r="D2865" s="34" t="str">
        <x:v>H20</x:v>
      </x:c>
      <x:c r="E2865" s="34" t="str">
        <x:v>یادداشت تحلیلی/راهبری ثبت‌شده در 11211</x:v>
      </x:c>
      <x:c r="F2865" s="34" t="str">
        <x:v>P3/CLARIFY</x:v>
      </x:c>
      <x:c r="G2865" s="34" t="str">
        <x:v>هدف/موضوع</x:v>
      </x:c>
      <x:c r="H2865" s="39" t="str">
        <x:v>4. اگر کارآفرین صادر کنیم (Entrepreneur Export)</x:v>
      </x:c>
      <x:c r="I2865" s="39" t="str">
        <x:v>نیازمند تعریف خروجی یا پارک</x:v>
      </x:c>
      <x:c r="J2865" s="39" t="str">
        <x:v>تحلیلگر راهبری/PMO؛ تبدیل به فرضیه یا اقدام در صورت نیاز</x:v>
      </x:c>
      <x:c r="K2865" s="39" t="str"/>
      <x:c r="L2865" s="39" t="str">
        <x:v>E112:P1381</x:v>
      </x:c>
      <x:c r="M2865" s="39" t="str"/>
      <x:c r="N2865" s="39" t="str">
        <x:v>نسخه پایه ۳۱۵۰</x:v>
      </x:c>
    </x:row>
    <x:row r="2866" ht="34" customHeight="1">
      <x:c r="A2866" s="34" t="str">
        <x:v>☐</x:v>
      </x:c>
      <x:c r="B2866" s="34" t="str">
        <x:v>MI-2361</x:v>
      </x:c>
      <x:c r="C2866" s="34" t="str">
        <x:v>M6 — تحلیل‌های خام و ورودی‌های نیازمند پالایش</x:v>
      </x:c>
      <x:c r="D2866" s="34" t="str">
        <x:v>H20</x:v>
      </x:c>
      <x:c r="E2866" s="34" t="str">
        <x:v>یادداشت تحلیلی/راهبری ثبت‌شده در 11211</x:v>
      </x:c>
      <x:c r="F2866" s="34" t="str">
        <x:v>P3/CLARIFY</x:v>
      </x:c>
      <x:c r="G2866" s="34" t="str">
        <x:v>هدف/موضوع</x:v>
      </x:c>
      <x:c r="H2866" s="39" t="str">
        <x:v>سه روش اصلی:</x:v>
      </x:c>
      <x:c r="I2866" s="39" t="str">
        <x:v>نیازمند تعریف خروجی یا پارک</x:v>
      </x:c>
      <x:c r="J2866" s="39" t="str">
        <x:v>تحلیلگر راهبری/PMO؛ تبدیل به فرضیه یا اقدام در صورت نیاز</x:v>
      </x:c>
      <x:c r="K2866" s="39" t="str"/>
      <x:c r="L2866" s="39" t="str">
        <x:v>E112:P1385</x:v>
      </x:c>
      <x:c r="M2866" s="39" t="str"/>
      <x:c r="N2866" s="39" t="str">
        <x:v>نسخه پایه ۳۱۵۰</x:v>
      </x:c>
    </x:row>
    <x:row r="2867" ht="34" customHeight="1">
      <x:c r="A2867" s="34" t="str">
        <x:v>☐</x:v>
      </x:c>
      <x:c r="B2867" s="34" t="str">
        <x:v>MI-2364</x:v>
      </x:c>
      <x:c r="C2867" s="34" t="str">
        <x:v>M6 — تحلیل‌های خام و ورودی‌های نیازمند پالایش</x:v>
      </x:c>
      <x:c r="D2867" s="34" t="str">
        <x:v>H20</x:v>
      </x:c>
      <x:c r="E2867" s="34" t="str">
        <x:v>یادداشت تحلیلی/راهبری ثبت‌شده در 11211</x:v>
      </x:c>
      <x:c r="F2867" s="34" t="str">
        <x:v>P3/CLARIFY</x:v>
      </x:c>
      <x:c r="G2867" s="34" t="str">
        <x:v>هدف/موضوع</x:v>
      </x:c>
      <x:c r="H2867" s="39" t="str">
        <x:v>خروجی:</x:v>
      </x:c>
      <x:c r="I2867" s="39" t="str">
        <x:v>نیازمند تعریف خروجی یا پارک</x:v>
      </x:c>
      <x:c r="J2867" s="39" t="str">
        <x:v>تحلیلگر راهبری/PMO؛ تبدیل به فرضیه یا اقدام در صورت نیاز</x:v>
      </x:c>
      <x:c r="K2867" s="39" t="str"/>
      <x:c r="L2867" s="39" t="str">
        <x:v>E112:P1390؛ E112:P2005؛ E112:P3102؛ E112:P3157؛ E112:P3374؛ E112:P3406؛ E112:P3440؛ E112:P3456</x:v>
      </x:c>
      <x:c r="M2867" s="39" t="str"/>
      <x:c r="N2867" s="39" t="str">
        <x:v>نسخه پایه ۳۱۵۰</x:v>
      </x:c>
    </x:row>
    <x:row r="2868" ht="34" customHeight="1">
      <x:c r="A2868" s="34" t="str">
        <x:v>☐</x:v>
      </x:c>
      <x:c r="B2868" s="34" t="str">
        <x:v>MI-2366</x:v>
      </x:c>
      <x:c r="C2868" s="34" t="str">
        <x:v>M6 — تحلیل‌های خام و ورودی‌های نیازمند پالایش</x:v>
      </x:c>
      <x:c r="D2868" s="34" t="str">
        <x:v>H20</x:v>
      </x:c>
      <x:c r="E2868" s="34" t="str">
        <x:v>یادداشت تحلیلی/راهبری ثبت‌شده در 11211</x:v>
      </x:c>
      <x:c r="F2868" s="34" t="str">
        <x:v>P3/CLARIFY</x:v>
      </x:c>
      <x:c r="G2868" s="34" t="str">
        <x:v>هدف/موضوع</x:v>
      </x:c>
      <x:c r="H2868" s="39" t="str">
        <x:v>تبادل کارآفرین</x:v>
      </x:c>
      <x:c r="I2868" s="39" t="str">
        <x:v>نیازمند تعریف خروجی یا پارک</x:v>
      </x:c>
      <x:c r="J2868" s="39" t="str">
        <x:v>تحلیلگر راهبری/PMO؛ تبدیل به فرضیه یا اقدام در صورت نیاز</x:v>
      </x:c>
      <x:c r="K2868" s="39" t="str"/>
      <x:c r="L2868" s="39" t="str">
        <x:v>E112:P1393</x:v>
      </x:c>
      <x:c r="M2868" s="39" t="str"/>
      <x:c r="N2868" s="39" t="str">
        <x:v>نسخه پایه ۳۱۵۰</x:v>
      </x:c>
    </x:row>
    <x:row r="2869" ht="34" customHeight="1">
      <x:c r="A2869" s="34" t="str">
        <x:v>☐</x:v>
      </x:c>
      <x:c r="B2869" s="34" t="str">
        <x:v>MI-2372</x:v>
      </x:c>
      <x:c r="C2869" s="34" t="str">
        <x:v>M6 — تحلیل‌های خام و ورودی‌های نیازمند پالایش</x:v>
      </x:c>
      <x:c r="D2869" s="34" t="str">
        <x:v>H20</x:v>
      </x:c>
      <x:c r="E2869" s="34" t="str">
        <x:v>یادداشت تحلیلی/راهبری ثبت‌شده در 11211</x:v>
      </x:c>
      <x:c r="F2869" s="34" t="str">
        <x:v>P3/CLARIFY</x:v>
      </x:c>
      <x:c r="G2869" s="34" t="str">
        <x:v>هدف/موضوع</x:v>
      </x:c>
      <x:c r="H2869" s="39" t="str">
        <x:v>3. Startup Exchange Program</x:v>
      </x:c>
      <x:c r="I2869" s="39" t="str">
        <x:v>نیازمند تعریف خروجی یا پارک</x:v>
      </x:c>
      <x:c r="J2869" s="39" t="str">
        <x:v>تحلیلگر راهبری/PMO؛ تبدیل به فرضیه یا اقدام در صورت نیاز</x:v>
      </x:c>
      <x:c r="K2869" s="39" t="str"/>
      <x:c r="L2869" s="39" t="str">
        <x:v>E112:P1404</x:v>
      </x:c>
      <x:c r="M2869" s="39" t="str"/>
      <x:c r="N2869" s="39" t="str">
        <x:v>نسخه پایه ۳۱۵۰</x:v>
      </x:c>
    </x:row>
    <x:row r="2870" ht="34" customHeight="1">
      <x:c r="A2870" s="34" t="str">
        <x:v>☐</x:v>
      </x:c>
      <x:c r="B2870" s="34" t="str">
        <x:v>MI-2373</x:v>
      </x:c>
      <x:c r="C2870" s="34" t="str">
        <x:v>M6 — تحلیل‌های خام و ورودی‌های نیازمند پالایش</x:v>
      </x:c>
      <x:c r="D2870" s="34" t="str">
        <x:v>H20</x:v>
      </x:c>
      <x:c r="E2870" s="34" t="str">
        <x:v>یادداشت تحلیلی/راهبری ثبت‌شده در 11211</x:v>
      </x:c>
      <x:c r="F2870" s="34" t="str">
        <x:v>P3/CLARIFY</x:v>
      </x:c>
      <x:c r="G2870" s="34" t="str">
        <x:v>هدف/موضوع</x:v>
      </x:c>
      <x:c r="H2870" s="39" t="str">
        <x:v>بین استان ها.</x:v>
      </x:c>
      <x:c r="I2870" s="39" t="str">
        <x:v>نیازمند تعریف خروجی یا پارک</x:v>
      </x:c>
      <x:c r="J2870" s="39" t="str">
        <x:v>تحلیلگر راهبری/PMO؛ تبدیل به فرضیه یا اقدام در صورت نیاز</x:v>
      </x:c>
      <x:c r="K2870" s="39" t="str"/>
      <x:c r="L2870" s="39" t="str">
        <x:v>E112:P1406</x:v>
      </x:c>
      <x:c r="M2870" s="39" t="str"/>
      <x:c r="N2870" s="39" t="str">
        <x:v>نسخه پایه ۳۱۵۰</x:v>
      </x:c>
    </x:row>
    <x:row r="2871" ht="34" customHeight="1">
      <x:c r="A2871" s="34" t="str">
        <x:v>☐</x:v>
      </x:c>
      <x:c r="B2871" s="34" t="str">
        <x:v>MI-2374</x:v>
      </x:c>
      <x:c r="C2871" s="34" t="str">
        <x:v>M6 — تحلیل‌های خام و ورودی‌های نیازمند پالایش</x:v>
      </x:c>
      <x:c r="D2871" s="34" t="str">
        <x:v>H20</x:v>
      </x:c>
      <x:c r="E2871" s="34" t="str">
        <x:v>یادداشت تحلیلی/راهبری ثبت‌شده در 11211</x:v>
      </x:c>
      <x:c r="F2871" s="34" t="str">
        <x:v>P3/CLARIFY</x:v>
      </x:c>
      <x:c r="G2871" s="34" t="str">
        <x:v>هدف/موضوع</x:v>
      </x:c>
      <x:c r="H2871" s="39" t="str">
        <x:v>مازندران ↔ تهران</x:v>
      </x:c>
      <x:c r="I2871" s="39" t="str">
        <x:v>نیازمند تعریف خروجی یا پارک</x:v>
      </x:c>
      <x:c r="J2871" s="39" t="str">
        <x:v>تحلیلگر راهبری/PMO؛ تبدیل به فرضیه یا اقدام در صورت نیاز</x:v>
      </x:c>
      <x:c r="K2871" s="39" t="str"/>
      <x:c r="L2871" s="39" t="str">
        <x:v>E112:P1410</x:v>
      </x:c>
      <x:c r="M2871" s="39" t="str"/>
      <x:c r="N2871" s="39" t="str">
        <x:v>نسخه پایه ۳۱۵۰</x:v>
      </x:c>
    </x:row>
    <x:row r="2872" ht="34" customHeight="1">
      <x:c r="A2872" s="34" t="str">
        <x:v>☐</x:v>
      </x:c>
      <x:c r="B2872" s="34" t="str">
        <x:v>MI-2375</x:v>
      </x:c>
      <x:c r="C2872" s="34" t="str">
        <x:v>M6 — تحلیل‌های خام و ورودی‌های نیازمند پالایش</x:v>
      </x:c>
      <x:c r="D2872" s="34" t="str">
        <x:v>H20</x:v>
      </x:c>
      <x:c r="E2872" s="34" t="str">
        <x:v>یادداشت تحلیلی/راهبری ثبت‌شده در 11211</x:v>
      </x:c>
      <x:c r="F2872" s="34" t="str">
        <x:v>P3/CLARIFY</x:v>
      </x:c>
      <x:c r="G2872" s="34" t="str">
        <x:v>هدف/موضوع</x:v>
      </x:c>
      <x:c r="H2872" s="39" t="str">
        <x:v>مازندران ↔ اصفهان</x:v>
      </x:c>
      <x:c r="I2872" s="39" t="str">
        <x:v>نیازمند تعریف خروجی یا پارک</x:v>
      </x:c>
      <x:c r="J2872" s="39" t="str">
        <x:v>تحلیلگر راهبری/PMO؛ تبدیل به فرضیه یا اقدام در صورت نیاز</x:v>
      </x:c>
      <x:c r="K2872" s="39" t="str"/>
      <x:c r="L2872" s="39" t="str">
        <x:v>E112:P1412</x:v>
      </x:c>
      <x:c r="M2872" s="39" t="str"/>
      <x:c r="N2872" s="39" t="str">
        <x:v>نسخه پایه ۳۱۵۰</x:v>
      </x:c>
    </x:row>
    <x:row r="2873" ht="34" customHeight="1">
      <x:c r="A2873" s="34" t="str">
        <x:v>☐</x:v>
      </x:c>
      <x:c r="B2873" s="34" t="str">
        <x:v>MI-2376</x:v>
      </x:c>
      <x:c r="C2873" s="34" t="str">
        <x:v>M6 — تحلیل‌های خام و ورودی‌های نیازمند پالایش</x:v>
      </x:c>
      <x:c r="D2873" s="34" t="str">
        <x:v>H20</x:v>
      </x:c>
      <x:c r="E2873" s="34" t="str">
        <x:v>یادداشت تحلیلی/راهبری ثبت‌شده در 11211</x:v>
      </x:c>
      <x:c r="F2873" s="34" t="str">
        <x:v>P3/CLARIFY</x:v>
      </x:c>
      <x:c r="G2873" s="34" t="str">
        <x:v>هدف/موضوع</x:v>
      </x:c>
      <x:c r="H2873" s="39" t="str">
        <x:v>مازندران ↔ شیراز</x:v>
      </x:c>
      <x:c r="I2873" s="39" t="str">
        <x:v>نیازمند تعریف خروجی یا پارک</x:v>
      </x:c>
      <x:c r="J2873" s="39" t="str">
        <x:v>تحلیلگر راهبری/PMO؛ تبدیل به فرضیه یا اقدام در صورت نیاز</x:v>
      </x:c>
      <x:c r="K2873" s="39" t="str"/>
      <x:c r="L2873" s="39" t="str">
        <x:v>E112:P1414</x:v>
      </x:c>
      <x:c r="M2873" s="39" t="str"/>
      <x:c r="N2873" s="39" t="str">
        <x:v>نسخه پایه ۳۱۵۰</x:v>
      </x:c>
    </x:row>
    <x:row r="2874" ht="34" customHeight="1">
      <x:c r="A2874" s="34" t="str">
        <x:v>☐</x:v>
      </x:c>
      <x:c r="B2874" s="34" t="str">
        <x:v>MI-2377</x:v>
      </x:c>
      <x:c r="C2874" s="34" t="str">
        <x:v>M6 — تحلیل‌های خام و ورودی‌های نیازمند پالایش</x:v>
      </x:c>
      <x:c r="D2874" s="34" t="str">
        <x:v>H20</x:v>
      </x:c>
      <x:c r="E2874" s="34" t="str">
        <x:v>یادداشت تحلیلی/راهبری ثبت‌شده در 11211</x:v>
      </x:c>
      <x:c r="F2874" s="34" t="str">
        <x:v>P3/CLARIFY</x:v>
      </x:c>
      <x:c r="G2874" s="34" t="str">
        <x:v>هدف/موضوع</x:v>
      </x:c>
      <x:c r="H2874" s="39" t="str">
        <x:v>5. یک مدل جالب برای مازندران</x:v>
      </x:c>
      <x:c r="I2874" s="39" t="str">
        <x:v>نیازمند تعریف خروجی یا پارک</x:v>
      </x:c>
      <x:c r="J2874" s="39" t="str">
        <x:v>تحلیلگر راهبری/PMO؛ تبدیل به فرضیه یا اقدام در صورت نیاز</x:v>
      </x:c>
      <x:c r="K2874" s="39" t="str"/>
      <x:c r="L2874" s="39" t="str">
        <x:v>E112:P1415</x:v>
      </x:c>
      <x:c r="M2874" s="39" t="str"/>
      <x:c r="N2874" s="39" t="str">
        <x:v>نسخه پایه ۳۱۵۰</x:v>
      </x:c>
    </x:row>
    <x:row r="2875" ht="34" customHeight="1">
      <x:c r="A2875" s="34" t="str">
        <x:v>☐</x:v>
      </x:c>
      <x:c r="B2875" s="34" t="str">
        <x:v>MI-2379</x:v>
      </x:c>
      <x:c r="C2875" s="34" t="str">
        <x:v>M6 — تحلیل‌های خام و ورودی‌های نیازمند پالایش</x:v>
      </x:c>
      <x:c r="D2875" s="34" t="str">
        <x:v>H20</x:v>
      </x:c>
      <x:c r="E2875" s="34" t="str">
        <x:v>یادداشت تحلیلی/راهبری ثبت‌شده در 11211</x:v>
      </x:c>
      <x:c r="F2875" s="34" t="str">
        <x:v>P3/CLARIFY</x:v>
      </x:c>
      <x:c r="G2875" s="34" t="str">
        <x:v>هدف/موضوع</x:v>
      </x:c>
      <x:c r="H2875" s="39" t="str">
        <x:v>North Innovation Hub</x:v>
      </x:c>
      <x:c r="I2875" s="39" t="str">
        <x:v>نیازمند تعریف خروجی یا پارک</x:v>
      </x:c>
      <x:c r="J2875" s="39" t="str">
        <x:v>تحلیلگر راهبری/PMO؛ تبدیل به فرضیه یا اقدام در صورت نیاز</x:v>
      </x:c>
      <x:c r="K2875" s="39" t="str"/>
      <x:c r="L2875" s="39" t="str">
        <x:v>E112:P1419</x:v>
      </x:c>
      <x:c r="M2875" s="39" t="str"/>
      <x:c r="N2875" s="39" t="str">
        <x:v>نسخه پایه ۳۱۵۰</x:v>
      </x:c>
    </x:row>
    <x:row r="2876" ht="34" customHeight="1">
      <x:c r="A2876" s="34" t="str">
        <x:v>☐</x:v>
      </x:c>
      <x:c r="B2876" s="34" t="str">
        <x:v>MI-2380</x:v>
      </x:c>
      <x:c r="C2876" s="34" t="str">
        <x:v>M6 — تحلیل‌های خام و ورودی‌های نیازمند پالایش</x:v>
      </x:c>
      <x:c r="D2876" s="34" t="str">
        <x:v>H20</x:v>
      </x:c>
      <x:c r="E2876" s="34" t="str">
        <x:v>یادداشت تحلیلی/راهبری ثبت‌شده در 11211</x:v>
      </x:c>
      <x:c r="F2876" s="34" t="str">
        <x:v>P3/CLARIFY</x:v>
      </x:c>
      <x:c r="G2876" s="34" t="str">
        <x:v>هدف/موضوع</x:v>
      </x:c>
      <x:c r="H2876" s="39" t="str">
        <x:v>کارهایی که انجام می دهد:</x:v>
      </x:c>
      <x:c r="I2876" s="39" t="str">
        <x:v>نیازمند تعریف خروجی یا پارک</x:v>
      </x:c>
      <x:c r="J2876" s="39" t="str">
        <x:v>تحلیلگر راهبری/PMO؛ تبدیل به فرضیه یا اقدام در صورت نیاز</x:v>
      </x:c>
      <x:c r="K2876" s="39" t="str"/>
      <x:c r="L2876" s="39" t="str">
        <x:v>E112:P1427</x:v>
      </x:c>
      <x:c r="M2876" s="39" t="str"/>
      <x:c r="N2876" s="39" t="str">
        <x:v>نسخه پایه ۳۱۵۰</x:v>
      </x:c>
    </x:row>
    <x:row r="2877" ht="34" customHeight="1">
      <x:c r="A2877" s="34" t="str">
        <x:v>☐</x:v>
      </x:c>
      <x:c r="B2877" s="34" t="str">
        <x:v>MI-2381</x:v>
      </x:c>
      <x:c r="C2877" s="34" t="str">
        <x:v>M6 — تحلیل‌های خام و ورودی‌های نیازمند پالایش</x:v>
      </x:c>
      <x:c r="D2877" s="34" t="str">
        <x:v>H20</x:v>
      </x:c>
      <x:c r="E2877" s="34" t="str">
        <x:v>یادداشت تحلیلی/راهبری ثبت‌شده در 11211</x:v>
      </x:c>
      <x:c r="F2877" s="34" t="str">
        <x:v>P3/CLARIFY</x:v>
      </x:c>
      <x:c r="G2877" s="34" t="str">
        <x:v>هدف/موضوع</x:v>
      </x:c>
      <x:c r="H2877" s="39" t="str">
        <x:v>جذب کارآفرین</x:v>
      </x:c>
      <x:c r="I2877" s="39" t="str">
        <x:v>نیازمند تعریف خروجی یا پارک</x:v>
      </x:c>
      <x:c r="J2877" s="39" t="str">
        <x:v>تحلیلگر راهبری/PMO؛ تبدیل به فرضیه یا اقدام در صورت نیاز</x:v>
      </x:c>
      <x:c r="K2877" s="39" t="str"/>
      <x:c r="L2877" s="39" t="str">
        <x:v>E112:P1429</x:v>
      </x:c>
      <x:c r="M2877" s="39" t="str"/>
      <x:c r="N2877" s="39" t="str">
        <x:v>نسخه پایه ۳۱۵۰</x:v>
      </x:c>
    </x:row>
    <x:row r="2878" ht="34" customHeight="1">
      <x:c r="A2878" s="34" t="str">
        <x:v>☐</x:v>
      </x:c>
      <x:c r="B2878" s="34" t="str">
        <x:v>MI-2390</x:v>
      </x:c>
      <x:c r="C2878" s="34" t="str">
        <x:v>M6 — تحلیل‌های خام و ورودی‌های نیازمند پالایش</x:v>
      </x:c>
      <x:c r="D2878" s="34" t="str">
        <x:v>H20</x:v>
      </x:c>
      <x:c r="E2878" s="34" t="str">
        <x:v>یادداشت تحلیلی/راهبری ثبت‌شده در 11211</x:v>
      </x:c>
      <x:c r="F2878" s="34" t="str">
        <x:v>P3/CLARIFY</x:v>
      </x:c>
      <x:c r="G2878" s="34" t="str">
        <x:v>هدف/موضوع</x:v>
      </x:c>
      <x:c r="H2878" s="39" t="str">
        <x:v>بازار</x:v>
      </x:c>
      <x:c r="I2878" s="39" t="str">
        <x:v>نیازمند تعریف خروجی یا پارک</x:v>
      </x:c>
      <x:c r="J2878" s="39" t="str">
        <x:v>تحلیلگر راهبری/PMO؛ تبدیل به فرضیه یا اقدام در صورت نیاز</x:v>
      </x:c>
      <x:c r="K2878" s="39" t="str"/>
      <x:c r="L2878" s="39" t="str">
        <x:v>E112:P1460؛ E112:P2470</x:v>
      </x:c>
      <x:c r="M2878" s="39" t="str"/>
      <x:c r="N2878" s="39" t="str">
        <x:v>نسخه پایه ۳۱۵۰</x:v>
      </x:c>
    </x:row>
    <x:row r="2879" ht="34" customHeight="1">
      <x:c r="A2879" s="34" t="str">
        <x:v>☐</x:v>
      </x:c>
      <x:c r="B2879" s="34" t="str">
        <x:v>MI-2391</x:v>
      </x:c>
      <x:c r="C2879" s="34" t="str">
        <x:v>M6 — تحلیل‌های خام و ورودی‌های نیازمند پالایش</x:v>
      </x:c>
      <x:c r="D2879" s="34" t="str">
        <x:v>H20</x:v>
      </x:c>
      <x:c r="E2879" s="34" t="str">
        <x:v>یادداشت تحلیلی/راهبری ثبت‌شده در 11211</x:v>
      </x:c>
      <x:c r="F2879" s="34" t="str">
        <x:v>P3/CLARIFY</x:v>
      </x:c>
      <x:c r="G2879" s="34" t="str">
        <x:v>هدف/موضوع</x:v>
      </x:c>
      <x:c r="H2879" s="39" t="str">
        <x:v>اگر بخواهی، می توانم یک چیز خیلی کاربردی طراحی کنم:</x:v>
      </x:c>
      <x:c r="I2879" s="39" t="str">
        <x:v>نیازمند تعریف خروجی یا پارک</x:v>
      </x:c>
      <x:c r="J2879" s="39" t="str">
        <x:v>تحلیلگر راهبری/PMO؛ تبدیل به فرضیه یا اقدام در صورت نیاز</x:v>
      </x:c>
      <x:c r="K2879" s="39" t="str"/>
      <x:c r="L2879" s="39" t="str">
        <x:v>E112:P1462</x:v>
      </x:c>
      <x:c r="M2879" s="39" t="str"/>
      <x:c r="N2879" s="39" t="str">
        <x:v>نسخه پایه ۳۱۵۰</x:v>
      </x:c>
    </x:row>
    <x:row r="2880" ht="34" customHeight="1">
      <x:c r="A2880" s="34" t="str">
        <x:v>☐</x:v>
      </x:c>
      <x:c r="B2880" s="34" t="str">
        <x:v>MI-2393</x:v>
      </x:c>
      <x:c r="C2880" s="34" t="str">
        <x:v>M6 — تحلیل‌های خام و ورودی‌های نیازمند پالایش</x:v>
      </x:c>
      <x:c r="D2880" s="34" t="str">
        <x:v>H20</x:v>
      </x:c>
      <x:c r="E2880" s="34" t="str">
        <x:v>یادداشت تحلیلی/راهبری ثبت‌شده در 11211</x:v>
      </x:c>
      <x:c r="F2880" s="34" t="str">
        <x:v>P3/CLARIFY</x:v>
      </x:c>
      <x:c r="G2880" s="34" t="str">
        <x:v>هدف/موضوع</x:v>
      </x:c>
      <x:c r="H2880" s="39" t="str">
        <x:v>که دقیقاً مشخص می کند:</x:v>
      </x:c>
      <x:c r="I2880" s="39" t="str">
        <x:v>نیازمند تعریف خروجی یا پارک</x:v>
      </x:c>
      <x:c r="J2880" s="39" t="str">
        <x:v>تحلیلگر راهبری/PMO؛ تبدیل به فرضیه یا اقدام در صورت نیاز</x:v>
      </x:c>
      <x:c r="K2880" s="39" t="str"/>
      <x:c r="L2880" s="39" t="str">
        <x:v>E112:P1466</x:v>
      </x:c>
      <x:c r="M2880" s="39" t="str"/>
      <x:c r="N2880" s="39" t="str">
        <x:v>نسخه پایه ۳۱۵۰</x:v>
      </x:c>
    </x:row>
    <x:row r="2881" ht="34" customHeight="1">
      <x:c r="A2881" s="34" t="str">
        <x:v>☐</x:v>
      </x:c>
      <x:c r="B2881" s="34" t="str">
        <x:v>MI-2394</x:v>
      </x:c>
      <x:c r="C2881" s="34" t="str">
        <x:v>M6 — تحلیل‌های خام و ورودی‌های نیازمند پالایش</x:v>
      </x:c>
      <x:c r="D2881" s="34" t="str">
        <x:v>H20</x:v>
      </x:c>
      <x:c r="E2881" s="34" t="str">
        <x:v>یادداشت تحلیلی/راهبری ثبت‌شده در 11211</x:v>
      </x:c>
      <x:c r="F2881" s="34" t="str">
        <x:v>P3/CLARIFY</x:v>
      </x:c>
      <x:c r="G2881" s="34" t="str">
        <x:v>هدف/موضوع</x:v>
      </x:c>
      <x:c r="H2881" s="39" t="str">
        <x:v>چه همایش هایی برگزار شود</x:v>
      </x:c>
      <x:c r="I2881" s="39" t="str">
        <x:v>نیازمند تعریف خروجی یا پارک</x:v>
      </x:c>
      <x:c r="J2881" s="39" t="str">
        <x:v>تحلیلگر راهبری/PMO؛ تبدیل به فرضیه یا اقدام در صورت نیاز</x:v>
      </x:c>
      <x:c r="K2881" s="39" t="str"/>
      <x:c r="L2881" s="39" t="str">
        <x:v>E112:P1468</x:v>
      </x:c>
      <x:c r="M2881" s="39" t="str"/>
      <x:c r="N2881" s="39" t="str">
        <x:v>نسخه پایه ۳۱۵۰</x:v>
      </x:c>
    </x:row>
    <x:row r="2882" ht="34" customHeight="1">
      <x:c r="A2882" s="34" t="str">
        <x:v>☐</x:v>
      </x:c>
      <x:c r="B2882" s="34" t="str">
        <x:v>MI-2397</x:v>
      </x:c>
      <x:c r="C2882" s="34" t="str">
        <x:v>M6 — تحلیل‌های خام و ورودی‌های نیازمند پالایش</x:v>
      </x:c>
      <x:c r="D2882" s="34" t="str">
        <x:v>H20</x:v>
      </x:c>
      <x:c r="E2882" s="34" t="str">
        <x:v>یادداشت تحلیلی/راهبری ثبت‌شده در 11211</x:v>
      </x:c>
      <x:c r="F2882" s="34" t="str">
        <x:v>P3/CLARIFY</x:v>
      </x:c>
      <x:c r="G2882" s="34" t="str">
        <x:v>هدف/موضوع</x:v>
      </x:c>
      <x:c r="H2882" s="39" t="str">
        <x:v>به صورت خیلی خلاصه چی میشه؟</x:v>
      </x:c>
      <x:c r="I2882" s="39" t="str">
        <x:v>نیازمند تعریف خروجی یا پارک</x:v>
      </x:c>
      <x:c r="J2882" s="39" t="str">
        <x:v>تحلیلگر راهبری/PMO؛ تبدیل به فرضیه یا اقدام در صورت نیاز</x:v>
      </x:c>
      <x:c r="K2882" s="39" t="str"/>
      <x:c r="L2882" s="39" t="str">
        <x:v>E112:P1472</x:v>
      </x:c>
      <x:c r="M2882" s="39" t="str"/>
      <x:c r="N2882" s="39" t="str">
        <x:v>نسخه پایه ۳۱۵۰</x:v>
      </x:c>
    </x:row>
    <x:row r="2883" ht="34" customHeight="1">
      <x:c r="A2883" s="34" t="str">
        <x:v>☐</x:v>
      </x:c>
      <x:c r="B2883" s="34" t="str">
        <x:v>MI-2402</x:v>
      </x:c>
      <x:c r="C2883" s="34" t="str">
        <x:v>M6 — تحلیل‌های خام و ورودی‌های نیازمند پالایش</x:v>
      </x:c>
      <x:c r="D2883" s="34" t="str">
        <x:v>H20</x:v>
      </x:c>
      <x:c r="E2883" s="34" t="str">
        <x:v>یادداشت تحلیلی/راهبری ثبت‌شده در 11211</x:v>
      </x:c>
      <x:c r="F2883" s="34" t="str">
        <x:v>P3/CLARIFY</x:v>
      </x:c>
      <x:c r="G2883" s="34" t="str">
        <x:v>هدف/موضوع</x:v>
      </x:c>
      <x:c r="H2883" s="39" t="str">
        <x:v>گردشگری و TourismTech</x:v>
      </x:c>
      <x:c r="I2883" s="39" t="str">
        <x:v>نیازمند تعریف خروجی یا پارک</x:v>
      </x:c>
      <x:c r="J2883" s="39" t="str">
        <x:v>تحلیلگر راهبری/PMO؛ تبدیل به فرضیه یا اقدام در صورت نیاز</x:v>
      </x:c>
      <x:c r="K2883" s="39" t="str"/>
      <x:c r="L2883" s="39" t="str">
        <x:v>E112:P1479؛ E112:P1740</x:v>
      </x:c>
      <x:c r="M2883" s="39" t="str"/>
      <x:c r="N2883" s="39" t="str">
        <x:v>نسخه پایه ۳۱۵۰</x:v>
      </x:c>
    </x:row>
    <x:row r="2884" ht="34" customHeight="1">
      <x:c r="A2884" s="34" t="str">
        <x:v>☐</x:v>
      </x:c>
      <x:c r="B2884" s="34" t="str">
        <x:v>MI-2405</x:v>
      </x:c>
      <x:c r="C2884" s="34" t="str">
        <x:v>M6 — تحلیل‌های خام و ورودی‌های نیازمند پالایش</x:v>
      </x:c>
      <x:c r="D2884" s="34" t="str">
        <x:v>H20</x:v>
      </x:c>
      <x:c r="E2884" s="34" t="str">
        <x:v>یادداشت تحلیلی/راهبری ثبت‌شده در 11211</x:v>
      </x:c>
      <x:c r="F2884" s="34" t="str">
        <x:v>P3/CLARIFY</x:v>
      </x:c>
      <x:c r="G2884" s="34" t="str">
        <x:v>هدف/موضوع</x:v>
      </x:c>
      <x:c r="H2884" s="39" t="str">
        <x:v>این ها مزیت طبیعی استان هستند.</x:v>
      </x:c>
      <x:c r="I2884" s="39" t="str">
        <x:v>نیازمند تعریف خروجی یا پارک</x:v>
      </x:c>
      <x:c r="J2884" s="39" t="str">
        <x:v>تحلیلگر راهبری/PMO؛ تبدیل به فرضیه یا اقدام در صورت نیاز</x:v>
      </x:c>
      <x:c r="K2884" s="39" t="str"/>
      <x:c r="L2884" s="39" t="str">
        <x:v>E112:P1483</x:v>
      </x:c>
      <x:c r="M2884" s="39" t="str"/>
      <x:c r="N2884" s="39" t="str">
        <x:v>نسخه پایه ۳۱۵۰</x:v>
      </x:c>
    </x:row>
    <x:row r="2885" ht="34" customHeight="1">
      <x:c r="A2885" s="34" t="str">
        <x:v>☐</x:v>
      </x:c>
      <x:c r="B2885" s="34" t="str">
        <x:v>MI-2412</x:v>
      </x:c>
      <x:c r="C2885" s="34" t="str">
        <x:v>M6 — تحلیل‌های خام و ورودی‌های نیازمند پالایش</x:v>
      </x:c>
      <x:c r="D2885" s="34" t="str">
        <x:v>H20</x:v>
      </x:c>
      <x:c r="E2885" s="34" t="str">
        <x:v>یادداشت تحلیلی/راهبری ثبت‌شده در 11211</x:v>
      </x:c>
      <x:c r="F2885" s="34" t="str">
        <x:v>P3/CLARIFY</x:v>
      </x:c>
      <x:c r="G2885" s="34" t="str">
        <x:v>هدف/موضوع</x:v>
      </x:c>
      <x:c r="H2885" s="39" t="str">
        <x:v>3. اگر کارآفرین صادر کنیم</x:v>
      </x:c>
      <x:c r="I2885" s="39" t="str">
        <x:v>نیازمند تعریف خروجی یا پارک</x:v>
      </x:c>
      <x:c r="J2885" s="39" t="str">
        <x:v>تحلیلگر راهبری/PMO؛ تبدیل به فرضیه یا اقدام در صورت نیاز</x:v>
      </x:c>
      <x:c r="K2885" s="39" t="str"/>
      <x:c r="L2885" s="39" t="str">
        <x:v>E112:P1493</x:v>
      </x:c>
      <x:c r="M2885" s="39" t="str"/>
      <x:c r="N2885" s="39" t="str">
        <x:v>نسخه پایه ۳۱۵۰</x:v>
      </x:c>
    </x:row>
    <x:row r="2886" ht="34" customHeight="1">
      <x:c r="A2886" s="34" t="str">
        <x:v>☐</x:v>
      </x:c>
      <x:c r="B2886" s="34" t="str">
        <x:v>MI-2413</x:v>
      </x:c>
      <x:c r="C2886" s="34" t="str">
        <x:v>M6 — تحلیل‌های خام و ورودی‌های نیازمند پالایش</x:v>
      </x:c>
      <x:c r="D2886" s="34" t="str">
        <x:v>H20</x:v>
      </x:c>
      <x:c r="E2886" s="34" t="str">
        <x:v>یادداشت تحلیلی/راهبری ثبت‌شده در 11211</x:v>
      </x:c>
      <x:c r="F2886" s="34" t="str">
        <x:v>P3/CLARIFY</x:v>
      </x:c>
      <x:c r="G2886" s="34" t="str">
        <x:v>هدف/موضوع</x:v>
      </x:c>
      <x:c r="H2886" s="39" t="str">
        <x:v>سه کار انجام می شود:</x:v>
      </x:c>
      <x:c r="I2886" s="39" t="str">
        <x:v>نیازمند تعریف خروجی یا پارک</x:v>
      </x:c>
      <x:c r="J2886" s="39" t="str">
        <x:v>تحلیلگر راهبری/PMO؛ تبدیل به فرضیه یا اقدام در صورت نیاز</x:v>
      </x:c>
      <x:c r="K2886" s="39" t="str"/>
      <x:c r="L2886" s="39" t="str">
        <x:v>E112:P1495</x:v>
      </x:c>
      <x:c r="M2886" s="39" t="str"/>
      <x:c r="N2886" s="39" t="str">
        <x:v>نسخه پایه ۳۱۵۰</x:v>
      </x:c>
    </x:row>
    <x:row r="2887" ht="34" customHeight="1">
      <x:c r="A2887" s="34" t="str">
        <x:v>☐</x:v>
      </x:c>
      <x:c r="B2887" s="34" t="str">
        <x:v>MI-2418</x:v>
      </x:c>
      <x:c r="C2887" s="34" t="str">
        <x:v>M6 — تحلیل‌های خام و ورودی‌های نیازمند پالایش</x:v>
      </x:c>
      <x:c r="D2887" s="34" t="str">
        <x:v>H20</x:v>
      </x:c>
      <x:c r="E2887" s="34" t="str">
        <x:v>یادداشت تحلیلی/راهبری ثبت‌شده در 11211</x:v>
      </x:c>
      <x:c r="F2887" s="34" t="str">
        <x:v>P3/CLARIFY</x:v>
      </x:c>
      <x:c r="G2887" s="34" t="str">
        <x:v>هدف/موضوع</x:v>
      </x:c>
      <x:c r="H2887" s="39" t="str">
        <x:v>وصل کردن این چهار چیز:</x:v>
      </x:c>
      <x:c r="I2887" s="39" t="str">
        <x:v>نیازمند تعریف خروجی یا پارک</x:v>
      </x:c>
      <x:c r="J2887" s="39" t="str">
        <x:v>تحلیلگر راهبری/PMO؛ تبدیل به فرضیه یا اقدام در صورت نیاز</x:v>
      </x:c>
      <x:c r="K2887" s="39" t="str"/>
      <x:c r="L2887" s="39" t="str">
        <x:v>E112:P1503</x:v>
      </x:c>
      <x:c r="M2887" s="39" t="str"/>
      <x:c r="N2887" s="39" t="str">
        <x:v>نسخه پایه ۳۱۵۰</x:v>
      </x:c>
    </x:row>
    <x:row r="2888" ht="34" customHeight="1">
      <x:c r="A2888" s="34" t="str">
        <x:v>☐</x:v>
      </x:c>
      <x:c r="B2888" s="34" t="str">
        <x:v>MI-2421</x:v>
      </x:c>
      <x:c r="C2888" s="34" t="str">
        <x:v>M6 — تحلیل‌های خام و ورودی‌های نیازمند پالایش</x:v>
      </x:c>
      <x:c r="D2888" s="34" t="str">
        <x:v>H20</x:v>
      </x:c>
      <x:c r="E2888" s="34" t="str">
        <x:v>یادداشت تحلیلی/راهبری ثبت‌شده در 11211</x:v>
      </x:c>
      <x:c r="F2888" s="34" t="str">
        <x:v>P3/CLARIFY</x:v>
      </x:c>
      <x:c r="G2888" s="34" t="str">
        <x:v>هدف/موضوع</x:v>
      </x:c>
      <x:c r="H2888" s="39" t="str">
        <x:v>این فقط باید داخل ایران باشه یا خارج هم میشه</x:v>
      </x:c>
      <x:c r="I2888" s="39" t="str">
        <x:v>نیازمند تعریف خروجی یا پارک</x:v>
      </x:c>
      <x:c r="J2888" s="39" t="str">
        <x:v>تحلیلگر راهبری/PMO؛ تبدیل به فرضیه یا اقدام در صورت نیاز</x:v>
      </x:c>
      <x:c r="K2888" s="39" t="str"/>
      <x:c r="L2888" s="39" t="str">
        <x:v>E112:P1510</x:v>
      </x:c>
      <x:c r="M2888" s="39" t="str"/>
      <x:c r="N2888" s="39" t="str">
        <x:v>نسخه پایه ۳۱۵۰</x:v>
      </x:c>
    </x:row>
    <x:row r="2889" ht="34" customHeight="1">
      <x:c r="A2889" s="34" t="str">
        <x:v>☐</x:v>
      </x:c>
      <x:c r="B2889" s="34" t="str">
        <x:v>MI-2422</x:v>
      </x:c>
      <x:c r="C2889" s="34" t="str">
        <x:v>M6 — تحلیل‌های خام و ورودی‌های نیازمند پالایش</x:v>
      </x:c>
      <x:c r="D2889" s="34" t="str">
        <x:v>H20</x:v>
      </x:c>
      <x:c r="E2889" s="34" t="str">
        <x:v>یادداشت تحلیلی/راهبری ثبت‌شده در 11211</x:v>
      </x:c>
      <x:c r="F2889" s="34" t="str">
        <x:v>P3/CLARIFY</x:v>
      </x:c>
      <x:c r="G2889" s="34" t="str">
        <x:v>هدف/موضوع</x:v>
      </x:c>
      <x:c r="H2889" s="39" t="str">
        <x:v>اگر بخواهی، می توانم یک مدل خیلی کاربردی هم طراحی کنم:</x:v>
      </x:c>
      <x:c r="I2889" s="39" t="str">
        <x:v>نیازمند تعریف خروجی یا پارک</x:v>
      </x:c>
      <x:c r="J2889" s="39" t="str">
        <x:v>تحلیلگر راهبری/PMO؛ تبدیل به فرضیه یا اقدام در صورت نیاز</x:v>
      </x:c>
      <x:c r="K2889" s="39" t="str"/>
      <x:c r="L2889" s="39" t="str">
        <x:v>E112:P1639</x:v>
      </x:c>
      <x:c r="M2889" s="39" t="str"/>
      <x:c r="N2889" s="39" t="str">
        <x:v>نسخه پایه ۳۱۵۰</x:v>
      </x:c>
    </x:row>
    <x:row r="2890" ht="34" customHeight="1">
      <x:c r="A2890" s="34" t="str">
        <x:v>☐</x:v>
      </x:c>
      <x:c r="B2890" s="34" t="str">
        <x:v>MI-2424</x:v>
      </x:c>
      <x:c r="C2890" s="34" t="str">
        <x:v>M6 — تحلیل‌های خام و ورودی‌های نیازمند پالایش</x:v>
      </x:c>
      <x:c r="D2890" s="34" t="str">
        <x:v>H20</x:v>
      </x:c>
      <x:c r="E2890" s="34" t="str">
        <x:v>یادداشت تحلیلی/راهبری ثبت‌شده در 11211</x:v>
      </x:c>
      <x:c r="F2890" s="34" t="str">
        <x:v>P3/CLARIFY</x:v>
      </x:c>
      <x:c r="G2890" s="34" t="str">
        <x:v>هدف/موضوع</x:v>
      </x:c>
      <x:c r="H2890" s="39" t="str">
        <x:v>که شامل:</x:v>
      </x:c>
      <x:c r="I2890" s="39" t="str">
        <x:v>نیازمند تعریف خروجی یا پارک</x:v>
      </x:c>
      <x:c r="J2890" s="39" t="str">
        <x:v>تحلیلگر راهبری/PMO؛ تبدیل به فرضیه یا اقدام در صورت نیاز</x:v>
      </x:c>
      <x:c r="K2890" s="39" t="str"/>
      <x:c r="L2890" s="39" t="str">
        <x:v>E112:P1643</x:v>
      </x:c>
      <x:c r="M2890" s="39" t="str"/>
      <x:c r="N2890" s="39" t="str">
        <x:v>نسخه پایه ۳۱۵۰</x:v>
      </x:c>
    </x:row>
    <x:row r="2891" ht="34" customHeight="1">
      <x:c r="A2891" s="34" t="str">
        <x:v>☐</x:v>
      </x:c>
      <x:c r="B2891" s="34" t="str">
        <x:v>MI-2425</x:v>
      </x:c>
      <x:c r="C2891" s="34" t="str">
        <x:v>M6 — تحلیل‌های خام و ورودی‌های نیازمند پالایش</x:v>
      </x:c>
      <x:c r="D2891" s="34" t="str">
        <x:v>H20</x:v>
      </x:c>
      <x:c r="E2891" s="34" t="str">
        <x:v>یادداشت تحلیلی/راهبری ثبت‌شده در 11211</x:v>
      </x:c>
      <x:c r="F2891" s="34" t="str">
        <x:v>P3/CLARIFY</x:v>
      </x:c>
      <x:c r="G2891" s="34" t="str">
        <x:v>هدف/موضوع</x:v>
      </x:c>
      <x:c r="H2891" s="39" t="str">
        <x:v>چه کشورهایی هدف باشند</x:v>
      </x:c>
      <x:c r="I2891" s="39" t="str">
        <x:v>نیازمند تعریف خروجی یا پارک</x:v>
      </x:c>
      <x:c r="J2891" s="39" t="str">
        <x:v>تحلیلگر راهبری/PMO؛ تبدیل به فرضیه یا اقدام در صورت نیاز</x:v>
      </x:c>
      <x:c r="K2891" s="39" t="str"/>
      <x:c r="L2891" s="39" t="str">
        <x:v>E112:P1645</x:v>
      </x:c>
      <x:c r="M2891" s="39" t="str"/>
      <x:c r="N2891" s="39" t="str">
        <x:v>نسخه پایه ۳۱۵۰</x:v>
      </x:c>
    </x:row>
    <x:row r="2892" ht="34" customHeight="1">
      <x:c r="A2892" s="34" t="str">
        <x:v>☐</x:v>
      </x:c>
      <x:c r="B2892" s="34" t="str">
        <x:v>MI-2426</x:v>
      </x:c>
      <x:c r="C2892" s="34" t="str">
        <x:v>M6 — تحلیل‌های خام و ورودی‌های نیازمند پالایش</x:v>
      </x:c>
      <x:c r="D2892" s="34" t="str">
        <x:v>H20</x:v>
      </x:c>
      <x:c r="E2892" s="34" t="str">
        <x:v>یادداشت تحلیلی/راهبری ثبت‌شده در 11211</x:v>
      </x:c>
      <x:c r="F2892" s="34" t="str">
        <x:v>P3/CLARIFY</x:v>
      </x:c>
      <x:c r="G2892" s="34" t="str">
        <x:v>هدف/موضوع</x:v>
      </x:c>
      <x:c r="H2892" s="39" t="str">
        <x:v>چه صنایع اولویت دارند</x:v>
      </x:c>
      <x:c r="I2892" s="39" t="str">
        <x:v>نیازمند تعریف خروجی یا پارک</x:v>
      </x:c>
      <x:c r="J2892" s="39" t="str">
        <x:v>تحلیلگر راهبری/PMO؛ تبدیل به فرضیه یا اقدام در صورت نیاز</x:v>
      </x:c>
      <x:c r="K2892" s="39" t="str"/>
      <x:c r="L2892" s="39" t="str">
        <x:v>E112:P1646</x:v>
      </x:c>
      <x:c r="M2892" s="39" t="str"/>
      <x:c r="N2892" s="39" t="str">
        <x:v>نسخه پایه ۳۱۵۰</x:v>
      </x:c>
    </x:row>
    <x:row r="2893" ht="34" customHeight="1">
      <x:c r="A2893" s="34" t="str">
        <x:v>☐</x:v>
      </x:c>
      <x:c r="B2893" s="34" t="str">
        <x:v>MI-2427</x:v>
      </x:c>
      <x:c r="C2893" s="34" t="str">
        <x:v>M6 — تحلیل‌های خام و ورودی‌های نیازمند پالایش</x:v>
      </x:c>
      <x:c r="D2893" s="34" t="str">
        <x:v>H20</x:v>
      </x:c>
      <x:c r="E2893" s="34" t="str">
        <x:v>یادداشت تحلیلی/راهبری ثبت‌شده در 11211</x:v>
      </x:c>
      <x:c r="F2893" s="34" t="str">
        <x:v>P3/CLARIFY</x:v>
      </x:c>
      <x:c r="G2893" s="34" t="str">
        <x:v>هدف/موضوع</x:v>
      </x:c>
      <x:c r="H2893" s="39" t="str">
        <x:v>چه امتیازهایی باید پیشنهاد شود</x:v>
      </x:c>
      <x:c r="I2893" s="39" t="str">
        <x:v>نیازمند تعریف خروجی یا پارک</x:v>
      </x:c>
      <x:c r="J2893" s="39" t="str">
        <x:v>تحلیلگر راهبری/PMO؛ تبدیل به فرضیه یا اقدام در صورت نیاز</x:v>
      </x:c>
      <x:c r="K2893" s="39" t="str"/>
      <x:c r="L2893" s="39" t="str">
        <x:v>E112:P1647</x:v>
      </x:c>
      <x:c r="M2893" s="39" t="str"/>
      <x:c r="N2893" s="39" t="str">
        <x:v>نسخه پایه ۳۱۵۰</x:v>
      </x:c>
    </x:row>
    <x:row r="2894" ht="34" customHeight="1">
      <x:c r="A2894" s="34" t="str">
        <x:v>☐</x:v>
      </x:c>
      <x:c r="B2894" s="34" t="str">
        <x:v>MI-2428</x:v>
      </x:c>
      <x:c r="C2894" s="34" t="str">
        <x:v>M6 — تحلیل‌های خام و ورودی‌های نیازمند پالایش</x:v>
      </x:c>
      <x:c r="D2894" s="34" t="str">
        <x:v>H20</x:v>
      </x:c>
      <x:c r="E2894" s="34" t="str">
        <x:v>یادداشت تحلیلی/راهبری ثبت‌شده در 11211</x:v>
      </x:c>
      <x:c r="F2894" s="34" t="str">
        <x:v>P3/CLARIFY</x:v>
      </x:c>
      <x:c r="G2894" s="34" t="str">
        <x:v>هدف/موضوع</x:v>
      </x:c>
      <x:c r="H2894" s="39" t="str">
        <x:v>و چه نوع رویدادهایی برگزار شود.</x:v>
      </x:c>
      <x:c r="I2894" s="39" t="str">
        <x:v>نیازمند تعریف خروجی یا پارک</x:v>
      </x:c>
      <x:c r="J2894" s="39" t="str">
        <x:v>تحلیلگر راهبری/PMO؛ تبدیل به فرضیه یا اقدام در صورت نیاز</x:v>
      </x:c>
      <x:c r="K2894" s="39" t="str"/>
      <x:c r="L2894" s="39" t="str">
        <x:v>E112:P1648</x:v>
      </x:c>
      <x:c r="M2894" s="39" t="str"/>
      <x:c r="N2894" s="39" t="str">
        <x:v>نسخه پایه ۳۱۵۰</x:v>
      </x:c>
    </x:row>
    <x:row r="2895" ht="34" customHeight="1">
      <x:c r="A2895" s="34" t="str">
        <x:v>☐</x:v>
      </x:c>
      <x:c r="B2895" s="34" t="str">
        <x:v>MI-2432</x:v>
      </x:c>
      <x:c r="C2895" s="34" t="str">
        <x:v>M6 — تحلیل‌های خام و ورودی‌های نیازمند پالایش</x:v>
      </x:c>
      <x:c r="D2895" s="34" t="str">
        <x:v>H20</x:v>
      </x:c>
      <x:c r="E2895" s="34" t="str">
        <x:v>یادداشت تحلیلی/راهبری ثبت‌شده در 11211</x:v>
      </x:c>
      <x:c r="F2895" s="34" t="str">
        <x:v>P3/CLARIFY</x:v>
      </x:c>
      <x:c r="G2895" s="34" t="str">
        <x:v>هدف/موضوع</x:v>
      </x:c>
      <x:c r="H2895" s="39" t="str">
        <x:v>تا الان چه چیزایی بررسی شد</x:v>
      </x:c>
      <x:c r="I2895" s="39" t="str">
        <x:v>نیازمند تعریف خروجی یا پارک</x:v>
      </x:c>
      <x:c r="J2895" s="39" t="str">
        <x:v>تحلیلگر راهبری/PMO؛ تبدیل به فرضیه یا اقدام در صورت نیاز</x:v>
      </x:c>
      <x:c r="K2895" s="39" t="str"/>
      <x:c r="L2895" s="39" t="str">
        <x:v>E112:P1710</x:v>
      </x:c>
      <x:c r="M2895" s="39" t="str"/>
      <x:c r="N2895" s="39" t="str">
        <x:v>نسخه پایه ۳۱۵۰</x:v>
      </x:c>
    </x:row>
    <x:row r="2896" ht="34" customHeight="1">
      <x:c r="A2896" s="34" t="str">
        <x:v>☐</x:v>
      </x:c>
      <x:c r="B2896" s="34" t="str">
        <x:v>MI-2433</x:v>
      </x:c>
      <x:c r="C2896" s="34" t="str">
        <x:v>M6 — تحلیل‌های خام و ورودی‌های نیازمند پالایش</x:v>
      </x:c>
      <x:c r="D2896" s="34" t="str">
        <x:v>H20</x:v>
      </x:c>
      <x:c r="E2896" s="34" t="str">
        <x:v>یادداشت تحلیلی/راهبری ثبت‌شده در 11211</x:v>
      </x:c>
      <x:c r="F2896" s="34" t="str">
        <x:v>P3/CLARIFY</x:v>
      </x:c>
      <x:c r="G2896" s="34" t="str">
        <x:v>هدف/موضوع</x:v>
      </x:c>
      <x:c r="H2896" s="39" t="str">
        <x:v>تیتر وار همه را بگو</x:v>
      </x:c>
      <x:c r="I2896" s="39" t="str">
        <x:v>نیازمند تعریف خروجی یا پارک</x:v>
      </x:c>
      <x:c r="J2896" s="39" t="str">
        <x:v>تحلیلگر راهبری/PMO؛ تبدیل به فرضیه یا اقدام در صورت نیاز</x:v>
      </x:c>
      <x:c r="K2896" s="39" t="str"/>
      <x:c r="L2896" s="39" t="str">
        <x:v>E112:P1712</x:v>
      </x:c>
      <x:c r="M2896" s="39" t="str"/>
      <x:c r="N2896" s="39" t="str">
        <x:v>نسخه پایه ۳۱۵۰</x:v>
      </x:c>
    </x:row>
    <x:row r="2897" ht="34" customHeight="1">
      <x:c r="A2897" s="34" t="str">
        <x:v>☐</x:v>
      </x:c>
      <x:c r="B2897" s="34" t="str">
        <x:v>MI-2434</x:v>
      </x:c>
      <x:c r="C2897" s="34" t="str">
        <x:v>M6 — تحلیل‌های خام و ورودی‌های نیازمند پالایش</x:v>
      </x:c>
      <x:c r="D2897" s="34" t="str">
        <x:v>H20</x:v>
      </x:c>
      <x:c r="E2897" s="34" t="str">
        <x:v>یادداشت تحلیلی/راهبری ثبت‌شده در 11211</x:v>
      </x:c>
      <x:c r="F2897" s="34" t="str">
        <x:v>P3/CLARIFY</x:v>
      </x:c>
      <x:c r="G2897" s="34" t="str">
        <x:v>هدف/موضوع</x:v>
      </x:c>
      <x:c r="H2897" s="39" t="str">
        <x:v>تیتر وار، چیزهایی که تا الان بررسی کردیم:</x:v>
      </x:c>
      <x:c r="I2897" s="39" t="str">
        <x:v>نیازمند تعریف خروجی یا پارک</x:v>
      </x:c>
      <x:c r="J2897" s="39" t="str">
        <x:v>تحلیلگر راهبری/PMO؛ تبدیل به فرضیه یا اقدام در صورت نیاز</x:v>
      </x:c>
      <x:c r="K2897" s="39" t="str"/>
      <x:c r="L2897" s="39" t="str">
        <x:v>E112:P1714</x:v>
      </x:c>
      <x:c r="M2897" s="39" t="str"/>
      <x:c r="N2897" s="39" t="str">
        <x:v>نسخه پایه ۳۱۵۰</x:v>
      </x:c>
    </x:row>
    <x:row r="2898" ht="34" customHeight="1">
      <x:c r="A2898" s="34" t="str">
        <x:v>☐</x:v>
      </x:c>
      <x:c r="B2898" s="34" t="str">
        <x:v>MI-2451</x:v>
      </x:c>
      <x:c r="C2898" s="34" t="str">
        <x:v>M6 — تحلیل‌های خام و ورودی‌های نیازمند پالایش</x:v>
      </x:c>
      <x:c r="D2898" s="34" t="str">
        <x:v>H20</x:v>
      </x:c>
      <x:c r="E2898" s="34" t="str">
        <x:v>یادداشت تحلیلی/راهبری ثبت‌شده در 11211</x:v>
      </x:c>
      <x:c r="F2898" s="34" t="str">
        <x:v>P3/CLARIFY</x:v>
      </x:c>
      <x:c r="G2898" s="34" t="str">
        <x:v>هدف/موضوع</x:v>
      </x:c>
      <x:c r="H2898" s="39" t="str">
        <x:v>صنایع مزیت دار مازندران:</x:v>
      </x:c>
      <x:c r="I2898" s="39" t="str">
        <x:v>نیازمند تعریف خروجی یا پارک</x:v>
      </x:c>
      <x:c r="J2898" s="39" t="str">
        <x:v>تحلیلگر راهبری/PMO؛ تبدیل به فرضیه یا اقدام در صورت نیاز</x:v>
      </x:c>
      <x:c r="K2898" s="39" t="str"/>
      <x:c r="L2898" s="39" t="str">
        <x:v>E112:P1736</x:v>
      </x:c>
      <x:c r="M2898" s="39" t="str"/>
      <x:c r="N2898" s="39" t="str">
        <x:v>نسخه پایه ۳۱۵۰</x:v>
      </x:c>
    </x:row>
    <x:row r="2899" ht="34" customHeight="1">
      <x:c r="A2899" s="34" t="str">
        <x:v>☐</x:v>
      </x:c>
      <x:c r="B2899" s="34" t="str">
        <x:v>MI-2454</x:v>
      </x:c>
      <x:c r="C2899" s="34" t="str">
        <x:v>M6 — تحلیل‌های خام و ورودی‌های نیازمند پالایش</x:v>
      </x:c>
      <x:c r="D2899" s="34" t="str">
        <x:v>H20</x:v>
      </x:c>
      <x:c r="E2899" s="34" t="str">
        <x:v>یادداشت تحلیلی/راهبری ثبت‌شده در 11211</x:v>
      </x:c>
      <x:c r="F2899" s="34" t="str">
        <x:v>P3/CLARIFY</x:v>
      </x:c>
      <x:c r="G2899" s="34" t="str">
        <x:v>هدف/موضوع</x:v>
      </x:c>
      <x:c r="H2899" s="39" t="str">
        <x:v>مدل جذب کارآفرین به استان</x:v>
      </x:c>
      <x:c r="I2899" s="39" t="str">
        <x:v>نیازمند تعریف خروجی یا پارک</x:v>
      </x:c>
      <x:c r="J2899" s="39" t="str">
        <x:v>تحلیلگر راهبری/PMO؛ تبدیل به فرضیه یا اقدام در صورت نیاز</x:v>
      </x:c>
      <x:c r="K2899" s="39" t="str"/>
      <x:c r="L2899" s="39" t="str">
        <x:v>E112:P1748</x:v>
      </x:c>
      <x:c r="M2899" s="39" t="str"/>
      <x:c r="N2899" s="39" t="str">
        <x:v>نسخه پایه ۳۱۵۰</x:v>
      </x:c>
    </x:row>
    <x:row r="2900" ht="34" customHeight="1">
      <x:c r="A2900" s="34" t="str">
        <x:v>☐</x:v>
      </x:c>
      <x:c r="B2900" s="34" t="str">
        <x:v>MI-2459</x:v>
      </x:c>
      <x:c r="C2900" s="34" t="str">
        <x:v>M6 — تحلیل‌های خام و ورودی‌های نیازمند پالایش</x:v>
      </x:c>
      <x:c r="D2900" s="34" t="str">
        <x:v>H20</x:v>
      </x:c>
      <x:c r="E2900" s="34" t="str">
        <x:v>یادداشت تحلیلی/راهبری ثبت‌شده در 11211</x:v>
      </x:c>
      <x:c r="F2900" s="34" t="str">
        <x:v>P3/CLARIFY</x:v>
      </x:c>
      <x:c r="G2900" s="34" t="str">
        <x:v>هدف/موضوع</x:v>
      </x:c>
      <x:c r="H2900" s="39" t="str">
        <x:v>تعریف Entrepreneur in Residence</x:v>
      </x:c>
      <x:c r="I2900" s="39" t="str">
        <x:v>نیازمند تعریف خروجی یا پارک</x:v>
      </x:c>
      <x:c r="J2900" s="39" t="str">
        <x:v>تحلیلگر راهبری/PMO؛ تبدیل به فرضیه یا اقدام در صورت نیاز</x:v>
      </x:c>
      <x:c r="K2900" s="39" t="str"/>
      <x:c r="L2900" s="39" t="str">
        <x:v>E112:P1755</x:v>
      </x:c>
      <x:c r="M2900" s="39" t="str"/>
      <x:c r="N2900" s="39" t="str">
        <x:v>نسخه پایه ۳۱۵۰</x:v>
      </x:c>
    </x:row>
    <x:row r="2901" ht="34" customHeight="1">
      <x:c r="A2901" s="34" t="str">
        <x:v>☐</x:v>
      </x:c>
      <x:c r="B2901" s="34" t="str">
        <x:v>MI-2462</x:v>
      </x:c>
      <x:c r="C2901" s="34" t="str">
        <x:v>M6 — تحلیل‌های خام و ورودی‌های نیازمند پالایش</x:v>
      </x:c>
      <x:c r="D2901" s="34" t="str">
        <x:v>H20</x:v>
      </x:c>
      <x:c r="E2901" s="34" t="str">
        <x:v>یادداشت تحلیلی/راهبری ثبت‌شده در 11211</x:v>
      </x:c>
      <x:c r="F2901" s="34" t="str">
        <x:v>P3/CLARIFY</x:v>
      </x:c>
      <x:c r="G2901" s="34" t="str">
        <x:v>هدف/موضوع</x:v>
      </x:c>
      <x:c r="H2901" s="39" t="str">
        <x:v>استفاده از کارآفرینان ایرانی خارج از کشور</x:v>
      </x:c>
      <x:c r="I2901" s="39" t="str">
        <x:v>نیازمند تعریف خروجی یا پارک</x:v>
      </x:c>
      <x:c r="J2901" s="39" t="str">
        <x:v>تحلیلگر راهبری/PMO؛ تبدیل به فرضیه یا اقدام در صورت نیاز</x:v>
      </x:c>
      <x:c r="K2901" s="39" t="str"/>
      <x:c r="L2901" s="39" t="str">
        <x:v>E112:P1758</x:v>
      </x:c>
      <x:c r="M2901" s="39" t="str"/>
      <x:c r="N2901" s="39" t="str">
        <x:v>نسخه پایه ۳۱۵۰</x:v>
      </x:c>
    </x:row>
    <x:row r="2902" ht="34" customHeight="1">
      <x:c r="A2902" s="34" t="str">
        <x:v>☐</x:v>
      </x:c>
      <x:c r="B2902" s="34" t="str">
        <x:v>MI-2465</x:v>
      </x:c>
      <x:c r="C2902" s="34" t="str">
        <x:v>M6 — تحلیل‌های خام و ورودی‌های نیازمند پالایش</x:v>
      </x:c>
      <x:c r="D2902" s="34" t="str">
        <x:v>H20</x:v>
      </x:c>
      <x:c r="E2902" s="34" t="str">
        <x:v>یادداشت تحلیلی/راهبری ثبت‌شده در 11211</x:v>
      </x:c>
      <x:c r="F2902" s="34" t="str">
        <x:v>P3/CLARIFY</x:v>
      </x:c>
      <x:c r="G2902" s="34" t="str">
        <x:v>هدف/موضوع</x:v>
      </x:c>
      <x:c r="H2902" s="39" t="str">
        <x:v>انتقال مدل های موفق خارجی به مازندران</x:v>
      </x:c>
      <x:c r="I2902" s="39" t="str">
        <x:v>نیازمند تعریف خروجی یا پارک</x:v>
      </x:c>
      <x:c r="J2902" s="39" t="str">
        <x:v>تحلیلگر راهبری/PMO؛ تبدیل به فرضیه یا اقدام در صورت نیاز</x:v>
      </x:c>
      <x:c r="K2902" s="39" t="str"/>
      <x:c r="L2902" s="39" t="str">
        <x:v>E112:P1763</x:v>
      </x:c>
      <x:c r="M2902" s="39" t="str"/>
      <x:c r="N2902" s="39" t="str">
        <x:v>نسخه پایه ۳۱۵۰</x:v>
      </x:c>
    </x:row>
    <x:row r="2903" ht="34" customHeight="1">
      <x:c r="A2903" s="34" t="str">
        <x:v>☐</x:v>
      </x:c>
      <x:c r="B2903" s="34" t="str">
        <x:v>MI-2466</x:v>
      </x:c>
      <x:c r="C2903" s="34" t="str">
        <x:v>M6 — تحلیل‌های خام و ورودی‌های نیازمند پالایش</x:v>
      </x:c>
      <x:c r="D2903" s="34" t="str">
        <x:v>H20</x:v>
      </x:c>
      <x:c r="E2903" s="34" t="str">
        <x:v>یادداشت تحلیلی/راهبری ثبت‌شده در 11211</x:v>
      </x:c>
      <x:c r="F2903" s="34" t="str">
        <x:v>P3/CLARIFY</x:v>
      </x:c>
      <x:c r="G2903" s="34" t="str">
        <x:v>هدف/موضوع</x:v>
      </x:c>
      <x:c r="H2903" s="39" t="str">
        <x:v>بومی سازی کسب وکارهای موفق</x:v>
      </x:c>
      <x:c r="I2903" s="39" t="str">
        <x:v>نیازمند تعریف خروجی یا پارک</x:v>
      </x:c>
      <x:c r="J2903" s="39" t="str">
        <x:v>تحلیلگر راهبری/PMO؛ تبدیل به فرضیه یا اقدام در صورت نیاز</x:v>
      </x:c>
      <x:c r="K2903" s="39" t="str"/>
      <x:c r="L2903" s="39" t="str">
        <x:v>E112:P1764</x:v>
      </x:c>
      <x:c r="M2903" s="39" t="str"/>
      <x:c r="N2903" s="39" t="str">
        <x:v>نسخه پایه ۳۱۵۰</x:v>
      </x:c>
    </x:row>
    <x:row r="2904" ht="34" customHeight="1">
      <x:c r="A2904" s="34" t="str">
        <x:v>☐</x:v>
      </x:c>
      <x:c r="B2904" s="34" t="str">
        <x:v>MI-2473</x:v>
      </x:c>
      <x:c r="C2904" s="34" t="str">
        <x:v>M6 — تحلیل‌های خام و ورودی‌های نیازمند پالایش</x:v>
      </x:c>
      <x:c r="D2904" s="34" t="str">
        <x:v>H20</x:v>
      </x:c>
      <x:c r="E2904" s="34" t="str">
        <x:v>یادداشت تحلیلی/راهبری ثبت‌شده در 11211</x:v>
      </x:c>
      <x:c r="F2904" s="34" t="str">
        <x:v>P3/CLARIFY</x:v>
      </x:c>
      <x:c r="G2904" s="34" t="str">
        <x:v>هدف/موضوع</x:v>
      </x:c>
      <x:c r="H2904" s="39" t="str">
        <x:v>اتصال به بازار روسیه و اوراسیا</x:v>
      </x:c>
      <x:c r="I2904" s="39" t="str">
        <x:v>نیازمند تعریف خروجی یا پارک</x:v>
      </x:c>
      <x:c r="J2904" s="39" t="str">
        <x:v>تحلیلگر راهبری/PMO؛ تبدیل به فرضیه یا اقدام در صورت نیاز</x:v>
      </x:c>
      <x:c r="K2904" s="39" t="str"/>
      <x:c r="L2904" s="39" t="str">
        <x:v>E112:P1773</x:v>
      </x:c>
      <x:c r="M2904" s="39" t="str"/>
      <x:c r="N2904" s="39" t="str">
        <x:v>نسخه پایه ۳۱۵۰</x:v>
      </x:c>
    </x:row>
    <x:row r="2905" ht="34" customHeight="1">
      <x:c r="A2905" s="34" t="str">
        <x:v>☐</x:v>
      </x:c>
      <x:c r="B2905" s="34" t="str">
        <x:v>MI-2487</x:v>
      </x:c>
      <x:c r="C2905" s="34" t="str">
        <x:v>M6 — تحلیل‌های خام و ورودی‌های نیازمند پالایش</x:v>
      </x:c>
      <x:c r="D2905" s="34" t="str">
        <x:v>H20</x:v>
      </x:c>
      <x:c r="E2905" s="34" t="str">
        <x:v>یادداشت تحلیلی/راهبری ثبت‌شده در 11211</x:v>
      </x:c>
      <x:c r="F2905" s="34" t="str">
        <x:v>P3/CLARIFY</x:v>
      </x:c>
      <x:c r="G2905" s="34" t="str">
        <x:v>هدف/موضوع</x:v>
      </x:c>
      <x:c r="H2905" s="39" t="str">
        <x:v>قابلیت ها:</x:v>
      </x:c>
      <x:c r="I2905" s="39" t="str">
        <x:v>نیازمند تعریف خروجی یا پارک</x:v>
      </x:c>
      <x:c r="J2905" s="39" t="str">
        <x:v>تحلیلگر راهبری/PMO؛ تبدیل به فرضیه یا اقدام در صورت نیاز</x:v>
      </x:c>
      <x:c r="K2905" s="39" t="str"/>
      <x:c r="L2905" s="39" t="str">
        <x:v>E112:P1981</x:v>
      </x:c>
      <x:c r="M2905" s="39" t="str"/>
      <x:c r="N2905" s="39" t="str">
        <x:v>نسخه پایه ۳۱۵۰</x:v>
      </x:c>
    </x:row>
    <x:row r="2906" ht="34" customHeight="1">
      <x:c r="A2906" s="34" t="str">
        <x:v>☐</x:v>
      </x:c>
      <x:c r="B2906" s="34" t="str">
        <x:v>MI-2489</x:v>
      </x:c>
      <x:c r="C2906" s="34" t="str">
        <x:v>M6 — تحلیل‌های خام و ورودی‌های نیازمند پالایش</x:v>
      </x:c>
      <x:c r="D2906" s="34" t="str">
        <x:v>H20</x:v>
      </x:c>
      <x:c r="E2906" s="34" t="str">
        <x:v>یادداشت تحلیلی/راهبری ثبت‌شده در 11211</x:v>
      </x:c>
      <x:c r="F2906" s="34" t="str">
        <x:v>P3/CLARIFY</x:v>
      </x:c>
      <x:c r="G2906" s="34" t="str">
        <x:v>هدف/موضوع</x:v>
      </x:c>
      <x:c r="H2906" s="39" t="str">
        <x:v>پیشنهاد تیم</x:v>
      </x:c>
      <x:c r="I2906" s="39" t="str">
        <x:v>نیازمند تعریف خروجی یا پارک</x:v>
      </x:c>
      <x:c r="J2906" s="39" t="str">
        <x:v>تحلیلگر راهبری/PMO؛ تبدیل به فرضیه یا اقدام در صورت نیاز</x:v>
      </x:c>
      <x:c r="K2906" s="39" t="str"/>
      <x:c r="L2906" s="39" t="str">
        <x:v>E112:P1984؛ E112:P2964</x:v>
      </x:c>
      <x:c r="M2906" s="39" t="str"/>
      <x:c r="N2906" s="39" t="str">
        <x:v>نسخه پایه ۳۱۵۰</x:v>
      </x:c>
    </x:row>
    <x:row r="2907" ht="34" customHeight="1">
      <x:c r="A2907" s="34" t="str">
        <x:v>☐</x:v>
      </x:c>
      <x:c r="B2907" s="34" t="str">
        <x:v>MI-2497</x:v>
      </x:c>
      <x:c r="C2907" s="34" t="str">
        <x:v>M6 — تحلیل‌های خام و ورودی‌های نیازمند پالایش</x:v>
      </x:c>
      <x:c r="D2907" s="34" t="str">
        <x:v>H20</x:v>
      </x:c>
      <x:c r="E2907" s="34" t="str">
        <x:v>یادداشت تحلیلی/راهبری ثبت‌شده در 11211</x:v>
      </x:c>
      <x:c r="F2907" s="34" t="str">
        <x:v>P3/CLARIFY</x:v>
      </x:c>
      <x:c r="G2907" s="34" t="str">
        <x:v>هدف/موضوع</x:v>
      </x:c>
      <x:c r="H2907" s="39" t="str">
        <x:v>کار تیمی</x:v>
      </x:c>
      <x:c r="I2907" s="39" t="str">
        <x:v>نیازمند تعریف خروجی یا پارک</x:v>
      </x:c>
      <x:c r="J2907" s="39" t="str">
        <x:v>تحلیلگر راهبری/PMO؛ تبدیل به فرضیه یا اقدام در صورت نیاز</x:v>
      </x:c>
      <x:c r="K2907" s="39" t="str"/>
      <x:c r="L2907" s="39" t="str">
        <x:v>E112:P1997؛ E112:P2522؛ E112:P2976؛ E112:P3360</x:v>
      </x:c>
      <x:c r="M2907" s="39" t="str"/>
      <x:c r="N2907" s="39" t="str">
        <x:v>نسخه پایه ۳۱۵۰</x:v>
      </x:c>
    </x:row>
    <x:row r="2908" ht="34" customHeight="1">
      <x:c r="A2908" s="34" t="str">
        <x:v>☐</x:v>
      </x:c>
      <x:c r="B2908" s="34" t="str">
        <x:v>MI-2499</x:v>
      </x:c>
      <x:c r="C2908" s="34" t="str">
        <x:v>M6 — تحلیل‌های خام و ورودی‌های نیازمند پالایش</x:v>
      </x:c>
      <x:c r="D2908" s="34" t="str">
        <x:v>H20</x:v>
      </x:c>
      <x:c r="E2908" s="34" t="str">
        <x:v>یادداشت تحلیلی/راهبری ثبت‌شده در 11211</x:v>
      </x:c>
      <x:c r="F2908" s="34" t="str">
        <x:v>P3/CLARIFY</x:v>
      </x:c>
      <x:c r="G2908" s="34" t="str">
        <x:v>هدف/موضوع</x:v>
      </x:c>
      <x:c r="H2908" s="39" t="str">
        <x:v>حل مسیله</x:v>
      </x:c>
      <x:c r="I2908" s="39" t="str">
        <x:v>نیازمند تعریف خروجی یا پارک</x:v>
      </x:c>
      <x:c r="J2908" s="39" t="str">
        <x:v>تحلیلگر راهبری/PMO؛ تبدیل به فرضیه یا اقدام در صورت نیاز</x:v>
      </x:c>
      <x:c r="K2908" s="39" t="str"/>
      <x:c r="L2908" s="39" t="str">
        <x:v>E112:P2000؛ E112:P2528؛ E112:P2981؛ E112:P3438</x:v>
      </x:c>
      <x:c r="M2908" s="39" t="str"/>
      <x:c r="N2908" s="39" t="str">
        <x:v>نسخه پایه ۳۱۵۰</x:v>
      </x:c>
    </x:row>
    <x:row r="2909" ht="34" customHeight="1">
      <x:c r="A2909" s="34" t="str">
        <x:v>☐</x:v>
      </x:c>
      <x:c r="B2909" s="34" t="str">
        <x:v>MI-2501</x:v>
      </x:c>
      <x:c r="C2909" s="34" t="str">
        <x:v>M6 — تحلیل‌های خام و ورودی‌های نیازمند پالایش</x:v>
      </x:c>
      <x:c r="D2909" s="34" t="str">
        <x:v>H20</x:v>
      </x:c>
      <x:c r="E2909" s="34" t="str">
        <x:v>یادداشت تحلیلی/راهبری ثبت‌شده در 11211</x:v>
      </x:c>
      <x:c r="F2909" s="34" t="str">
        <x:v>P3/CLARIFY</x:v>
      </x:c>
      <x:c r="G2909" s="34" t="str">
        <x:v>هدف/موضوع</x:v>
      </x:c>
      <x:c r="H2909" s="39" t="str">
        <x:v>کارآفرینی</x:v>
      </x:c>
      <x:c r="I2909" s="39" t="str">
        <x:v>نیازمند تعریف خروجی یا پارک</x:v>
      </x:c>
      <x:c r="J2909" s="39" t="str">
        <x:v>تحلیلگر راهبری/PMO؛ تبدیل به فرضیه یا اقدام در صورت نیاز</x:v>
      </x:c>
      <x:c r="K2909" s="39" t="str"/>
      <x:c r="L2909" s="39" t="str">
        <x:v>E112:P2002؛ E112:P2468؛ E112:P2534؛ E112:P2640؛ E112:P2980</x:v>
      </x:c>
      <x:c r="M2909" s="39" t="str"/>
      <x:c r="N2909" s="39" t="str">
        <x:v>نسخه پایه ۳۱۵۰</x:v>
      </x:c>
    </x:row>
    <x:row r="2910" ht="34" customHeight="1">
      <x:c r="A2910" s="34" t="str">
        <x:v>☐</x:v>
      </x:c>
      <x:c r="B2910" s="34" t="str">
        <x:v>MI-2502</x:v>
      </x:c>
      <x:c r="C2910" s="34" t="str">
        <x:v>M6 — تحلیل‌های خام و ورودی‌های نیازمند پالایش</x:v>
      </x:c>
      <x:c r="D2910" s="34" t="str">
        <x:v>H20</x:v>
      </x:c>
      <x:c r="E2910" s="34" t="str">
        <x:v>یادداشت تحلیلی/راهبری ثبت‌شده در 11211</x:v>
      </x:c>
      <x:c r="F2910" s="34" t="str">
        <x:v>P3/CLARIFY</x:v>
      </x:c>
      <x:c r="G2910" s="34" t="str">
        <x:v>هدف/موضوع</x:v>
      </x:c>
      <x:c r="H2910" s="39" t="str">
        <x:v>تفکر سیستمی</x:v>
      </x:c>
      <x:c r="I2910" s="39" t="str">
        <x:v>نیازمند تعریف خروجی یا پارک</x:v>
      </x:c>
      <x:c r="J2910" s="39" t="str">
        <x:v>تحلیلگر راهبری/PMO؛ تبدیل به فرضیه یا اقدام در صورت نیاز</x:v>
      </x:c>
      <x:c r="K2910" s="39" t="str"/>
      <x:c r="L2910" s="39" t="str">
        <x:v>E112:P2003؛ E112:P2536</x:v>
      </x:c>
      <x:c r="M2910" s="39" t="str"/>
      <x:c r="N2910" s="39" t="str">
        <x:v>نسخه پایه ۳۱۵۰</x:v>
      </x:c>
    </x:row>
    <x:row r="2911" ht="34" customHeight="1">
      <x:c r="A2911" s="34" t="str">
        <x:v>☐</x:v>
      </x:c>
      <x:c r="B2911" s="34" t="str">
        <x:v>MI-2506</x:v>
      </x:c>
      <x:c r="C2911" s="34" t="str">
        <x:v>M6 — تحلیل‌های خام و ورودی‌های نیازمند پالایش</x:v>
      </x:c>
      <x:c r="D2911" s="34" t="str">
        <x:v>H20</x:v>
      </x:c>
      <x:c r="E2911" s="34" t="str">
        <x:v>یادداشت تحلیلی/راهبری ثبت‌شده در 11211</x:v>
      </x:c>
      <x:c r="F2911" s="34" t="str">
        <x:v>P3/CLARIFY</x:v>
      </x:c>
      <x:c r="G2911" s="34" t="str">
        <x:v>هدف/موضوع</x:v>
      </x:c>
      <x:c r="H2911" s="39" t="str">
        <x:v>طراحی محصول</x:v>
      </x:c>
      <x:c r="I2911" s="39" t="str">
        <x:v>نیازمند تعریف خروجی یا پارک</x:v>
      </x:c>
      <x:c r="J2911" s="39" t="str">
        <x:v>تحلیلگر راهبری/PMO؛ تبدیل به فرضیه یا اقدام در صورت نیاز</x:v>
      </x:c>
      <x:c r="K2911" s="39" t="str"/>
      <x:c r="L2911" s="39" t="str">
        <x:v>E112:P2016؛ E112:P2994</x:v>
      </x:c>
      <x:c r="M2911" s="39" t="str"/>
      <x:c r="N2911" s="39" t="str">
        <x:v>نسخه پایه ۳۱۵۰</x:v>
      </x:c>
    </x:row>
    <x:row r="2912" ht="34" customHeight="1">
      <x:c r="A2912" s="34" t="str">
        <x:v>☐</x:v>
      </x:c>
      <x:c r="B2912" s="34" t="str">
        <x:v>MI-2508</x:v>
      </x:c>
      <x:c r="C2912" s="34" t="str">
        <x:v>M6 — تحلیل‌های خام و ورودی‌های نیازمند پالایش</x:v>
      </x:c>
      <x:c r="D2912" s="34" t="str">
        <x:v>H20</x:v>
      </x:c>
      <x:c r="E2912" s="34" t="str">
        <x:v>یادداشت تحلیلی/راهبری ثبت‌شده در 11211</x:v>
      </x:c>
      <x:c r="F2912" s="34" t="str">
        <x:v>P3/CLARIFY</x:v>
      </x:c>
      <x:c r="G2912" s="34" t="str">
        <x:v>هدف/موضوع</x:v>
      </x:c>
      <x:c r="H2912" s="39" t="str">
        <x:v>ابزارهای مهندسی</x:v>
      </x:c>
      <x:c r="I2912" s="39" t="str">
        <x:v>نیازمند تعریف خروجی یا پارک</x:v>
      </x:c>
      <x:c r="J2912" s="39" t="str">
        <x:v>تحلیلگر راهبری/PMO؛ تبدیل به فرضیه یا اقدام در صورت نیاز</x:v>
      </x:c>
      <x:c r="K2912" s="39" t="str"/>
      <x:c r="L2912" s="39" t="str">
        <x:v>E112:P2018</x:v>
      </x:c>
      <x:c r="M2912" s="39" t="str"/>
      <x:c r="N2912" s="39" t="str">
        <x:v>نسخه پایه ۳۱۵۰</x:v>
      </x:c>
    </x:row>
    <x:row r="2913" ht="34" customHeight="1">
      <x:c r="A2913" s="34" t="str">
        <x:v>☐</x:v>
      </x:c>
      <x:c r="B2913" s="34" t="str">
        <x:v>MI-2510</x:v>
      </x:c>
      <x:c r="C2913" s="34" t="str">
        <x:v>M6 — تحلیل‌های خام و ورودی‌های نیازمند پالایش</x:v>
      </x:c>
      <x:c r="D2913" s="34" t="str">
        <x:v>H20</x:v>
      </x:c>
      <x:c r="E2913" s="34" t="str">
        <x:v>یادداشت تحلیلی/راهبری ثبت‌شده در 11211</x:v>
      </x:c>
      <x:c r="F2913" s="34" t="str">
        <x:v>P3/CLARIFY</x:v>
      </x:c>
      <x:c r="G2913" s="34" t="str">
        <x:v>هدف/موضوع</x:v>
      </x:c>
      <x:c r="H2913" s="39" t="str">
        <x:v>ابزارهای گردشگری دیجیتال</x:v>
      </x:c>
      <x:c r="I2913" s="39" t="str">
        <x:v>نیازمند تعریف خروجی یا پارک</x:v>
      </x:c>
      <x:c r="J2913" s="39" t="str">
        <x:v>تحلیلگر راهبری/PMO؛ تبدیل به فرضیه یا اقدام در صورت نیاز</x:v>
      </x:c>
      <x:c r="K2913" s="39" t="str"/>
      <x:c r="L2913" s="39" t="str">
        <x:v>E112:P2020؛ E112:P2563؛ E112:P2997</x:v>
      </x:c>
      <x:c r="M2913" s="39" t="str"/>
      <x:c r="N2913" s="39" t="str">
        <x:v>نسخه پایه ۳۱۵۰</x:v>
      </x:c>
    </x:row>
    <x:row r="2914" ht="34" customHeight="1">
      <x:c r="A2914" s="34" t="str">
        <x:v>☐</x:v>
      </x:c>
      <x:c r="B2914" s="34" t="str">
        <x:v>MI-2513</x:v>
      </x:c>
      <x:c r="C2914" s="34" t="str">
        <x:v>M6 — تحلیل‌های خام و ورودی‌های نیازمند پالایش</x:v>
      </x:c>
      <x:c r="D2914" s="34" t="str">
        <x:v>H20</x:v>
      </x:c>
      <x:c r="E2914" s="34" t="str">
        <x:v>یادداشت تحلیلی/راهبری ثبت‌شده در 11211</x:v>
      </x:c>
      <x:c r="F2914" s="34" t="str">
        <x:v>P3/CLARIFY</x:v>
      </x:c>
      <x:c r="G2914" s="34" t="str">
        <x:v>هدف/موضوع</x:v>
      </x:c>
      <x:c r="H2914" s="39" t="str">
        <x:v>مثل:</x:v>
      </x:c>
      <x:c r="I2914" s="39" t="str">
        <x:v>نیازمند تعریف خروجی یا پارک</x:v>
      </x:c>
      <x:c r="J2914" s="39" t="str">
        <x:v>تحلیلگر راهبری/PMO؛ تبدیل به فرضیه یا اقدام در صورت نیاز</x:v>
      </x:c>
      <x:c r="K2914" s="39" t="str"/>
      <x:c r="L2914" s="39" t="str">
        <x:v>E112:P2025؛ E112:P2192</x:v>
      </x:c>
      <x:c r="M2914" s="39" t="str"/>
      <x:c r="N2914" s="39" t="str">
        <x:v>نسخه پایه ۳۱۵۰</x:v>
      </x:c>
    </x:row>
    <x:row r="2915" ht="34" customHeight="1">
      <x:c r="A2915" s="34" t="str">
        <x:v>☐</x:v>
      </x:c>
      <x:c r="B2915" s="34" t="str">
        <x:v>MI-2516</x:v>
      </x:c>
      <x:c r="C2915" s="34" t="str">
        <x:v>M6 — تحلیل‌های خام و ورودی‌های نیازمند پالایش</x:v>
      </x:c>
      <x:c r="D2915" s="34" t="str">
        <x:v>H20</x:v>
      </x:c>
      <x:c r="E2915" s="34" t="str">
        <x:v>یادداشت تحلیلی/راهبری ثبت‌شده در 11211</x:v>
      </x:c>
      <x:c r="F2915" s="34" t="str">
        <x:v>P3/CLARIFY</x:v>
      </x:c>
      <x:c r="G2915" s="34" t="str">
        <x:v>هدف/موضوع</x:v>
      </x:c>
      <x:c r="H2915" s="39" t="str">
        <x:v>وظیفه:</x:v>
      </x:c>
      <x:c r="I2915" s="39" t="str">
        <x:v>نیازمند تعریف خروجی یا پارک</x:v>
      </x:c>
      <x:c r="J2915" s="39" t="str">
        <x:v>تحلیلگر راهبری/PMO؛ تبدیل به فرضیه یا اقدام در صورت نیاز</x:v>
      </x:c>
      <x:c r="K2915" s="39" t="str"/>
      <x:c r="L2915" s="39" t="str">
        <x:v>E112:P2031</x:v>
      </x:c>
      <x:c r="M2915" s="39" t="str"/>
      <x:c r="N2915" s="39" t="str">
        <x:v>نسخه پایه ۳۱۵۰</x:v>
      </x:c>
    </x:row>
    <x:row r="2916" ht="34" customHeight="1">
      <x:c r="A2916" s="34" t="str">
        <x:v>☐</x:v>
      </x:c>
      <x:c r="B2916" s="34" t="str">
        <x:v>MI-2522</x:v>
      </x:c>
      <x:c r="C2916" s="34" t="str">
        <x:v>M6 — تحلیل‌های خام و ورودی‌های نیازمند پالایش</x:v>
      </x:c>
      <x:c r="D2916" s="34" t="str">
        <x:v>H20</x:v>
      </x:c>
      <x:c r="E2916" s="34" t="str">
        <x:v>یادداشت تحلیلی/راهبری ثبت‌شده در 11211</x:v>
      </x:c>
      <x:c r="F2916" s="34" t="str">
        <x:v>P3/CLARIFY</x:v>
      </x:c>
      <x:c r="G2916" s="34" t="str">
        <x:v>هدف/موضوع</x:v>
      </x:c>
      <x:c r="H2916" s="39" t="str">
        <x:v>کارآفرینان</x:v>
      </x:c>
      <x:c r="I2916" s="39" t="str">
        <x:v>نیازمند تعریف خروجی یا پارک</x:v>
      </x:c>
      <x:c r="J2916" s="39" t="str">
        <x:v>تحلیلگر راهبری/PMO؛ تبدیل به فرضیه یا اقدام در صورت نیاز</x:v>
      </x:c>
      <x:c r="K2916" s="39" t="str"/>
      <x:c r="L2916" s="39" t="str">
        <x:v>E112:P2043؛ E112:P2700؛ E112:P3028</x:v>
      </x:c>
      <x:c r="M2916" s="39" t="str"/>
      <x:c r="N2916" s="39" t="str">
        <x:v>نسخه پایه ۳۱۵۰</x:v>
      </x:c>
    </x:row>
    <x:row r="2917" ht="34" customHeight="1">
      <x:c r="A2917" s="34" t="str">
        <x:v>☐</x:v>
      </x:c>
      <x:c r="B2917" s="34" t="str">
        <x:v>MI-2525</x:v>
      </x:c>
      <x:c r="C2917" s="34" t="str">
        <x:v>M6 — تحلیل‌های خام و ورودی‌های نیازمند پالایش</x:v>
      </x:c>
      <x:c r="D2917" s="34" t="str">
        <x:v>H20</x:v>
      </x:c>
      <x:c r="E2917" s="34" t="str">
        <x:v>یادداشت تحلیلی/راهبری ثبت‌شده در 11211</x:v>
      </x:c>
      <x:c r="F2917" s="34" t="str">
        <x:v>P3/CLARIFY</x:v>
      </x:c>
      <x:c r="G2917" s="34" t="str">
        <x:v>هدف/موضوع</x:v>
      </x:c>
      <x:c r="H2917" s="39" t="str">
        <x:v>متخصصان بازار</x:v>
      </x:c>
      <x:c r="I2917" s="39" t="str">
        <x:v>نیازمند تعریف خروجی یا پارک</x:v>
      </x:c>
      <x:c r="J2917" s="39" t="str">
        <x:v>تحلیلگر راهبری/PMO؛ تبدیل به فرضیه یا اقدام در صورت نیاز</x:v>
      </x:c>
      <x:c r="K2917" s="39" t="str"/>
      <x:c r="L2917" s="39" t="str">
        <x:v>E112:P2047؛ E112:P3032</x:v>
      </x:c>
      <x:c r="M2917" s="39" t="str"/>
      <x:c r="N2917" s="39" t="str">
        <x:v>نسخه پایه ۳۱۵۰</x:v>
      </x:c>
    </x:row>
    <x:row r="2918" ht="34" customHeight="1">
      <x:c r="A2918" s="34" t="str">
        <x:v>☐</x:v>
      </x:c>
      <x:c r="B2918" s="34" t="str">
        <x:v>MI-2526</x:v>
      </x:c>
      <x:c r="C2918" s="34" t="str">
        <x:v>M6 — تحلیل‌های خام و ورودی‌های نیازمند پالایش</x:v>
      </x:c>
      <x:c r="D2918" s="34" t="str">
        <x:v>H20</x:v>
      </x:c>
      <x:c r="E2918" s="34" t="str">
        <x:v>یادداشت تحلیلی/راهبری ثبت‌شده در 11211</x:v>
      </x:c>
      <x:c r="F2918" s="34" t="str">
        <x:v>P3/CLARIFY</x:v>
      </x:c>
      <x:c r="G2918" s="34" t="str">
        <x:v>هدف/موضوع</x:v>
      </x:c>
      <x:c r="H2918" s="39" t="str">
        <x:v>نقش آنها:</x:v>
      </x:c>
      <x:c r="I2918" s="39" t="str">
        <x:v>نیازمند تعریف خروجی یا پارک</x:v>
      </x:c>
      <x:c r="J2918" s="39" t="str">
        <x:v>تحلیلگر راهبری/PMO؛ تبدیل به فرضیه یا اقدام در صورت نیاز</x:v>
      </x:c>
      <x:c r="K2918" s="39" t="str"/>
      <x:c r="L2918" s="39" t="str">
        <x:v>E112:P2049؛ E112:P2155</x:v>
      </x:c>
      <x:c r="M2918" s="39" t="str"/>
      <x:c r="N2918" s="39" t="str">
        <x:v>نسخه پایه ۳۱۵۰</x:v>
      </x:c>
    </x:row>
    <x:row r="2919" ht="34" customHeight="1">
      <x:c r="A2919" s="34" t="str">
        <x:v>☐</x:v>
      </x:c>
      <x:c r="B2919" s="34" t="str">
        <x:v>MI-2529</x:v>
      </x:c>
      <x:c r="C2919" s="34" t="str">
        <x:v>M6 — تحلیل‌های خام و ورودی‌های نیازمند پالایش</x:v>
      </x:c>
      <x:c r="D2919" s="34" t="str">
        <x:v>H20</x:v>
      </x:c>
      <x:c r="E2919" s="34" t="str">
        <x:v>یادداشت تحلیلی/راهبری ثبت‌شده در 11211</x:v>
      </x:c>
      <x:c r="F2919" s="34" t="str">
        <x:v>P3/CLARIFY</x:v>
      </x:c>
      <x:c r="G2919" s="34" t="str">
        <x:v>هدف/موضوع</x:v>
      </x:c>
      <x:c r="H2919" s="39" t="str">
        <x:v>اتصال به بازار</x:v>
      </x:c>
      <x:c r="I2919" s="39" t="str">
        <x:v>نیازمند تعریف خروجی یا پارک</x:v>
      </x:c>
      <x:c r="J2919" s="39" t="str">
        <x:v>تحلیلگر راهبری/PMO؛ تبدیل به فرضیه یا اقدام در صورت نیاز</x:v>
      </x:c>
      <x:c r="K2919" s="39" t="str"/>
      <x:c r="L2919" s="39" t="str">
        <x:v>E112:P2053؛ E112:P2629؛ E112:P2810</x:v>
      </x:c>
      <x:c r="M2919" s="39" t="str"/>
      <x:c r="N2919" s="39" t="str">
        <x:v>نسخه پایه ۳۱۵۰</x:v>
      </x:c>
    </x:row>
    <x:row r="2920" ht="34" customHeight="1">
      <x:c r="A2920" s="34" t="str">
        <x:v>☐</x:v>
      </x:c>
      <x:c r="B2920" s="34" t="str">
        <x:v>MI-2531</x:v>
      </x:c>
      <x:c r="C2920" s="34" t="str">
        <x:v>M6 — تحلیل‌های خام و ورودی‌های نیازمند پالایش</x:v>
      </x:c>
      <x:c r="D2920" s="34" t="str">
        <x:v>H20</x:v>
      </x:c>
      <x:c r="E2920" s="34" t="str">
        <x:v>یادداشت تحلیلی/راهبری ثبت‌شده در 11211</x:v>
      </x:c>
      <x:c r="F2920" s="34" t="str">
        <x:v>P3/CLARIFY</x:v>
      </x:c>
      <x:c r="G2920" s="34" t="str">
        <x:v>هدف/موضوع</x:v>
      </x:c>
      <x:c r="H2920" s="39" t="str">
        <x:v>استفاده از ظرفیت طبیعی مازندران.</x:v>
      </x:c>
      <x:c r="I2920" s="39" t="str">
        <x:v>نیازمند تعریف خروجی یا پارک</x:v>
      </x:c>
      <x:c r="J2920" s="39" t="str">
        <x:v>تحلیلگر راهبری/PMO؛ تبدیل به فرضیه یا اقدام در صورت نیاز</x:v>
      </x:c>
      <x:c r="K2920" s="39" t="str"/>
      <x:c r="L2920" s="39" t="str">
        <x:v>E112:P2057</x:v>
      </x:c>
      <x:c r="M2920" s="39" t="str"/>
      <x:c r="N2920" s="39" t="str">
        <x:v>نسخه پایه ۳۱۵۰</x:v>
      </x:c>
    </x:row>
    <x:row r="2921" ht="34" customHeight="1">
      <x:c r="A2921" s="34" t="str">
        <x:v>☐</x:v>
      </x:c>
      <x:c r="B2921" s="34" t="str">
        <x:v>MI-2532</x:v>
      </x:c>
      <x:c r="C2921" s="34" t="str">
        <x:v>M6 — تحلیل‌های خام و ورودی‌های نیازمند پالایش</x:v>
      </x:c>
      <x:c r="D2921" s="34" t="str">
        <x:v>H20</x:v>
      </x:c>
      <x:c r="E2921" s="34" t="str">
        <x:v>یادداشت تحلیلی/راهبری ثبت‌شده در 11211</x:v>
      </x:c>
      <x:c r="F2921" s="34" t="str">
        <x:v>P3/CLARIFY</x:v>
      </x:c>
      <x:c r="G2921" s="34" t="str">
        <x:v>هدف/موضوع</x:v>
      </x:c>
      <x:c r="H2921" s="39" t="str">
        <x:v>کاربردها:</x:v>
      </x:c>
      <x:c r="I2921" s="39" t="str">
        <x:v>نیازمند تعریف خروجی یا پارک</x:v>
      </x:c>
      <x:c r="J2921" s="39" t="str">
        <x:v>تحلیلگر راهبری/PMO؛ تبدیل به فرضیه یا اقدام در صورت نیاز</x:v>
      </x:c>
      <x:c r="K2921" s="39" t="str"/>
      <x:c r="L2921" s="39" t="str">
        <x:v>E112:P2059</x:v>
      </x:c>
      <x:c r="M2921" s="39" t="str"/>
      <x:c r="N2921" s="39" t="str">
        <x:v>نسخه پایه ۳۱۵۰</x:v>
      </x:c>
    </x:row>
    <x:row r="2922" ht="34" customHeight="1">
      <x:c r="A2922" s="34" t="str">
        <x:v>☐</x:v>
      </x:c>
      <x:c r="B2922" s="34" t="str">
        <x:v>MI-2535</x:v>
      </x:c>
      <x:c r="C2922" s="34" t="str">
        <x:v>M6 — تحلیل‌های خام و ورودی‌های نیازمند پالایش</x:v>
      </x:c>
      <x:c r="D2922" s="34" t="str">
        <x:v>H20</x:v>
      </x:c>
      <x:c r="E2922" s="34" t="str">
        <x:v>یادداشت تحلیلی/راهبری ثبت‌شده در 11211</x:v>
      </x:c>
      <x:c r="F2922" s="34" t="str">
        <x:v>P3/CLARIFY</x:v>
      </x:c>
      <x:c r="G2922" s="34" t="str">
        <x:v>هدف/موضوع</x:v>
      </x:c>
      <x:c r="H2922" s="39" t="str">
        <x:v>مزیت:</x:v>
      </x:c>
      <x:c r="I2922" s="39" t="str">
        <x:v>نیازمند تعریف خروجی یا پارک</x:v>
      </x:c>
      <x:c r="J2922" s="39" t="str">
        <x:v>تحلیلگر راهبری/PMO؛ تبدیل به فرضیه یا اقدام در صورت نیاز</x:v>
      </x:c>
      <x:c r="K2922" s="39" t="str"/>
      <x:c r="L2922" s="39" t="str">
        <x:v>E112:P2067</x:v>
      </x:c>
      <x:c r="M2922" s="39" t="str"/>
      <x:c r="N2922" s="39" t="str">
        <x:v>نسخه پایه ۳۱۵۰</x:v>
      </x:c>
    </x:row>
    <x:row r="2923" ht="34" customHeight="1">
      <x:c r="A2923" s="34" t="str">
        <x:v>☐</x:v>
      </x:c>
      <x:c r="B2923" s="34" t="str">
        <x:v>MI-2539</x:v>
      </x:c>
      <x:c r="C2923" s="34" t="str">
        <x:v>M6 — تحلیل‌های خام و ورودی‌های نیازمند پالایش</x:v>
      </x:c>
      <x:c r="D2923" s="34" t="str">
        <x:v>H20</x:v>
      </x:c>
      <x:c r="E2923" s="34" t="str">
        <x:v>یادداشت تحلیلی/راهبری ثبت‌شده در 11211</x:v>
      </x:c>
      <x:c r="F2923" s="34" t="str">
        <x:v>P3/CLARIFY</x:v>
      </x:c>
      <x:c r="G2923" s="34" t="str">
        <x:v>هدف/موضوع</x:v>
      </x:c>
      <x:c r="H2923" s="39" t="str">
        <x:v>منابع مسیله:</x:v>
      </x:c>
      <x:c r="I2923" s="39" t="str">
        <x:v>نیازمند تعریف خروجی یا پارک</x:v>
      </x:c>
      <x:c r="J2923" s="39" t="str">
        <x:v>تحلیلگر راهبری/PMO؛ تبدیل به فرضیه یا اقدام در صورت نیاز</x:v>
      </x:c>
      <x:c r="K2923" s="39" t="str"/>
      <x:c r="L2923" s="39" t="str">
        <x:v>E112:P2074</x:v>
      </x:c>
      <x:c r="M2923" s="39" t="str"/>
      <x:c r="N2923" s="39" t="str">
        <x:v>نسخه پایه ۳۱۵۰</x:v>
      </x:c>
    </x:row>
    <x:row r="2924" ht="34" customHeight="1">
      <x:c r="A2924" s="34" t="str">
        <x:v>☐</x:v>
      </x:c>
      <x:c r="B2924" s="34" t="str">
        <x:v>MI-2541</x:v>
      </x:c>
      <x:c r="C2924" s="34" t="str">
        <x:v>M6 — تحلیل‌های خام و ورودی‌های نیازمند پالایش</x:v>
      </x:c>
      <x:c r="D2924" s="34" t="str">
        <x:v>H20</x:v>
      </x:c>
      <x:c r="E2924" s="34" t="str">
        <x:v>یادداشت تحلیلی/راهبری ثبت‌شده در 11211</x:v>
      </x:c>
      <x:c r="F2924" s="34" t="str">
        <x:v>P3/CLARIFY</x:v>
      </x:c>
      <x:c r="G2924" s="34" t="str">
        <x:v>هدف/موضوع</x:v>
      </x:c>
      <x:c r="H2924" s="39" t="str">
        <x:v>مسایل اجتماعی</x:v>
      </x:c>
      <x:c r="I2924" s="39" t="str">
        <x:v>نیازمند تعریف خروجی یا پارک</x:v>
      </x:c>
      <x:c r="J2924" s="39" t="str">
        <x:v>تحلیلگر راهبری/PMO؛ تبدیل به فرضیه یا اقدام در صورت نیاز</x:v>
      </x:c>
      <x:c r="K2924" s="39" t="str"/>
      <x:c r="L2924" s="39" t="str">
        <x:v>E112:P2079؛ E112:P2731</x:v>
      </x:c>
      <x:c r="M2924" s="39" t="str"/>
      <x:c r="N2924" s="39" t="str">
        <x:v>نسخه پایه ۳۱۵۰</x:v>
      </x:c>
    </x:row>
    <x:row r="2925" ht="34" customHeight="1">
      <x:c r="A2925" s="34" t="str">
        <x:v>☐</x:v>
      </x:c>
      <x:c r="B2925" s="34" t="str">
        <x:v>MI-2542</x:v>
      </x:c>
      <x:c r="C2925" s="34" t="str">
        <x:v>M6 — تحلیل‌های خام و ورودی‌های نیازمند پالایش</x:v>
      </x:c>
      <x:c r="D2925" s="34" t="str">
        <x:v>H20</x:v>
      </x:c>
      <x:c r="E2925" s="34" t="str">
        <x:v>یادداشت تحلیلی/راهبری ثبت‌شده در 11211</x:v>
      </x:c>
      <x:c r="F2925" s="34" t="str">
        <x:v>P3/CLARIFY</x:v>
      </x:c>
      <x:c r="G2925" s="34" t="str">
        <x:v>هدف/موضوع</x:v>
      </x:c>
      <x:c r="H2925" s="39" t="str">
        <x:v>فرایند:</x:v>
      </x:c>
      <x:c r="I2925" s="39" t="str">
        <x:v>نیازمند تعریف خروجی یا پارک</x:v>
      </x:c>
      <x:c r="J2925" s="39" t="str">
        <x:v>تحلیلگر راهبری/PMO؛ تبدیل به فرضیه یا اقدام در صورت نیاز</x:v>
      </x:c>
      <x:c r="K2925" s="39" t="str"/>
      <x:c r="L2925" s="39" t="str">
        <x:v>E112:P2081</x:v>
      </x:c>
      <x:c r="M2925" s="39" t="str"/>
      <x:c r="N2925" s="39" t="str">
        <x:v>نسخه پایه ۳۱۵۰</x:v>
      </x:c>
    </x:row>
    <x:row r="2926" ht="34" customHeight="1">
      <x:c r="A2926" s="34" t="str">
        <x:v>☐</x:v>
      </x:c>
      <x:c r="B2926" s="34" t="str">
        <x:v>MI-2545</x:v>
      </x:c>
      <x:c r="C2926" s="34" t="str">
        <x:v>M6 — تحلیل‌های خام و ورودی‌های نیازمند پالایش</x:v>
      </x:c>
      <x:c r="D2926" s="34" t="str">
        <x:v>H20</x:v>
      </x:c>
      <x:c r="E2926" s="34" t="str">
        <x:v>یادداشت تحلیلی/راهبری ثبت‌شده در 11211</x:v>
      </x:c>
      <x:c r="F2926" s="34" t="str">
        <x:v>P3/CLARIFY</x:v>
      </x:c>
      <x:c r="G2926" s="34" t="str">
        <x:v>هدف/موضوع</x:v>
      </x:c>
      <x:c r="H2926" s="39" t="str">
        <x:v>کار:</x:v>
      </x:c>
      <x:c r="I2926" s="39" t="str">
        <x:v>نیازمند تعریف خروجی یا پارک</x:v>
      </x:c>
      <x:c r="J2926" s="39" t="str">
        <x:v>تحلیلگر راهبری/PMO؛ تبدیل به فرضیه یا اقدام در صورت نیاز</x:v>
      </x:c>
      <x:c r="K2926" s="39" t="str"/>
      <x:c r="L2926" s="39" t="str">
        <x:v>E112:P2094</x:v>
      </x:c>
      <x:c r="M2926" s="39" t="str"/>
      <x:c r="N2926" s="39" t="str">
        <x:v>نسخه پایه ۳۱۵۰</x:v>
      </x:c>
    </x:row>
    <x:row r="2927" ht="34" customHeight="1">
      <x:c r="A2927" s="34" t="str">
        <x:v>☐</x:v>
      </x:c>
      <x:c r="B2927" s="34" t="str">
        <x:v>MI-2550</x:v>
      </x:c>
      <x:c r="C2927" s="34" t="str">
        <x:v>M6 — تحلیل‌های خام و ورودی‌های نیازمند پالایش</x:v>
      </x:c>
      <x:c r="D2927" s="34" t="str">
        <x:v>H20</x:v>
      </x:c>
      <x:c r="E2927" s="34" t="str">
        <x:v>یادداشت تحلیلی/راهبری ثبت‌شده در 11211</x:v>
      </x:c>
      <x:c r="F2927" s="34" t="str">
        <x:v>P3/CLARIFY</x:v>
      </x:c>
      <x:c r="G2927" s="34" t="str">
        <x:v>هدف/موضوع</x:v>
      </x:c>
      <x:c r="H2927" s="39" t="str">
        <x:v>چند مدل رویداد:</x:v>
      </x:c>
      <x:c r="I2927" s="39" t="str">
        <x:v>نیازمند تعریف خروجی یا پارک</x:v>
      </x:c>
      <x:c r="J2927" s="39" t="str">
        <x:v>تحلیلگر راهبری/PMO؛ تبدیل به فرضیه یا اقدام در صورت نیاز</x:v>
      </x:c>
      <x:c r="K2927" s="39" t="str"/>
      <x:c r="L2927" s="39" t="str">
        <x:v>E112:P2102</x:v>
      </x:c>
      <x:c r="M2927" s="39" t="str"/>
      <x:c r="N2927" s="39" t="str">
        <x:v>نسخه پایه ۳۱۵۰</x:v>
      </x:c>
    </x:row>
    <x:row r="2928" ht="34" customHeight="1">
      <x:c r="A2928" s="34" t="str">
        <x:v>☐</x:v>
      </x:c>
      <x:c r="B2928" s="34" t="str">
        <x:v>MI-2552</x:v>
      </x:c>
      <x:c r="C2928" s="34" t="str">
        <x:v>M6 — تحلیل‌های خام و ورودی‌های نیازمند پالایش</x:v>
      </x:c>
      <x:c r="D2928" s="34" t="str">
        <x:v>H20</x:v>
      </x:c>
      <x:c r="E2928" s="34" t="str">
        <x:v>یادداشت تحلیلی/راهبری ثبت‌شده در 11211</x:v>
      </x:c>
      <x:c r="F2928" s="34" t="str">
        <x:v>P3/CLARIFY</x:v>
      </x:c>
      <x:c r="G2928" s="34" t="str">
        <x:v>هدف/موضوع</x:v>
      </x:c>
      <x:c r="H2928" s="39" t="str">
        <x:v>رویداد حل مسیله</x:v>
      </x:c>
      <x:c r="I2928" s="39" t="str">
        <x:v>نیازمند تعریف خروجی یا پارک</x:v>
      </x:c>
      <x:c r="J2928" s="39" t="str">
        <x:v>تحلیلگر راهبری/PMO؛ تبدیل به فرضیه یا اقدام در صورت نیاز</x:v>
      </x:c>
      <x:c r="K2928" s="39" t="str"/>
      <x:c r="L2928" s="39" t="str">
        <x:v>E112:P2105؛ E112:P2752؛ E112:P3081</x:v>
      </x:c>
      <x:c r="M2928" s="39" t="str"/>
      <x:c r="N2928" s="39" t="str">
        <x:v>نسخه پایه ۳۱۵۰</x:v>
      </x:c>
    </x:row>
    <x:row r="2929" ht="34" customHeight="1">
      <x:c r="A2929" s="34" t="str">
        <x:v>☐</x:v>
      </x:c>
      <x:c r="B2929" s="34" t="str">
        <x:v>MI-2553</x:v>
      </x:c>
      <x:c r="C2929" s="34" t="str">
        <x:v>M6 — تحلیل‌های خام و ورودی‌های نیازمند پالایش</x:v>
      </x:c>
      <x:c r="D2929" s="34" t="str">
        <x:v>H20</x:v>
      </x:c>
      <x:c r="E2929" s="34" t="str">
        <x:v>یادداشت تحلیلی/راهبری ثبت‌شده در 11211</x:v>
      </x:c>
      <x:c r="F2929" s="34" t="str">
        <x:v>P3/CLARIFY</x:v>
      </x:c>
      <x:c r="G2929" s="34" t="str">
        <x:v>هدف/موضوع</x:v>
      </x:c>
      <x:c r="H2929" s="39" t="str">
        <x:v>مسابقه نوآوری</x:v>
      </x:c>
      <x:c r="I2929" s="39" t="str">
        <x:v>نیازمند تعریف خروجی یا پارک</x:v>
      </x:c>
      <x:c r="J2929" s="39" t="str">
        <x:v>تحلیلگر راهبری/PMO؛ تبدیل به فرضیه یا اقدام در صورت نیاز</x:v>
      </x:c>
      <x:c r="K2929" s="39" t="str"/>
      <x:c r="L2929" s="39" t="str">
        <x:v>E112:P2106؛ E112:P3079</x:v>
      </x:c>
      <x:c r="M2929" s="39" t="str"/>
      <x:c r="N2929" s="39" t="str">
        <x:v>نسخه پایه ۳۱۵۰</x:v>
      </x:c>
    </x:row>
    <x:row r="2930" ht="34" customHeight="1">
      <x:c r="A2930" s="34" t="str">
        <x:v>☐</x:v>
      </x:c>
      <x:c r="B2930" s="34" t="str">
        <x:v>MI-2554</x:v>
      </x:c>
      <x:c r="C2930" s="34" t="str">
        <x:v>M6 — تحلیل‌های خام و ورودی‌های نیازمند پالایش</x:v>
      </x:c>
      <x:c r="D2930" s="34" t="str">
        <x:v>H20</x:v>
      </x:c>
      <x:c r="E2930" s="34" t="str">
        <x:v>یادداشت تحلیلی/راهبری ثبت‌شده در 11211</x:v>
      </x:c>
      <x:c r="F2930" s="34" t="str">
        <x:v>P3/CLARIFY</x:v>
      </x:c>
      <x:c r="G2930" s="34" t="str">
        <x:v>هدف/موضوع</x:v>
      </x:c>
      <x:c r="H2930" s="39" t="str">
        <x:v>هکاتون ها</x:v>
      </x:c>
      <x:c r="I2930" s="39" t="str">
        <x:v>نیازمند تعریف خروجی یا پارک</x:v>
      </x:c>
      <x:c r="J2930" s="39" t="str">
        <x:v>تحلیلگر راهبری/PMO؛ تبدیل به فرضیه یا اقدام در صورت نیاز</x:v>
      </x:c>
      <x:c r="K2930" s="39" t="str"/>
      <x:c r="L2930" s="39" t="str">
        <x:v>E112:P2107؛ E112:P2750؛ E112:P3078؛ E112:P3388</x:v>
      </x:c>
      <x:c r="M2930" s="39" t="str"/>
      <x:c r="N2930" s="39" t="str">
        <x:v>نسخه پایه ۳۱۵۰</x:v>
      </x:c>
    </x:row>
    <x:row r="2931" ht="34" customHeight="1">
      <x:c r="A2931" s="34" t="str">
        <x:v>☐</x:v>
      </x:c>
      <x:c r="B2931" s="34" t="str">
        <x:v>MI-2555</x:v>
      </x:c>
      <x:c r="C2931" s="34" t="str">
        <x:v>M6 — تحلیل‌های خام و ورودی‌های نیازمند پالایش</x:v>
      </x:c>
      <x:c r="D2931" s="34" t="str">
        <x:v>H20</x:v>
      </x:c>
      <x:c r="E2931" s="34" t="str">
        <x:v>یادداشت تحلیلی/راهبری ثبت‌شده در 11211</x:v>
      </x:c>
      <x:c r="F2931" s="34" t="str">
        <x:v>P3/CLARIFY</x:v>
      </x:c>
      <x:c r="G2931" s="34" t="str">
        <x:v>هدف/موضوع</x:v>
      </x:c>
      <x:c r="H2931" s="39" t="str">
        <x:v>همایش کارآفرینی</x:v>
      </x:c>
      <x:c r="I2931" s="39" t="str">
        <x:v>نیازمند تعریف خروجی یا پارک</x:v>
      </x:c>
      <x:c r="J2931" s="39" t="str">
        <x:v>تحلیلگر راهبری/PMO؛ تبدیل به فرضیه یا اقدام در صورت نیاز</x:v>
      </x:c>
      <x:c r="K2931" s="39" t="str"/>
      <x:c r="L2931" s="39" t="str">
        <x:v>E112:P2108؛ E112:P2756؛ E112:P3080</x:v>
      </x:c>
      <x:c r="M2931" s="39" t="str"/>
      <x:c r="N2931" s="39" t="str">
        <x:v>نسخه پایه ۳۱۵۰</x:v>
      </x:c>
    </x:row>
    <x:row r="2932" ht="34" customHeight="1">
      <x:c r="A2932" s="34" t="str">
        <x:v>☐</x:v>
      </x:c>
      <x:c r="B2932" s="34" t="str">
        <x:v>MI-2556</x:v>
      </x:c>
      <x:c r="C2932" s="34" t="str">
        <x:v>M6 — تحلیل‌های خام و ورودی‌های نیازمند پالایش</x:v>
      </x:c>
      <x:c r="D2932" s="34" t="str">
        <x:v>H20</x:v>
      </x:c>
      <x:c r="E2932" s="34" t="str">
        <x:v>یادداشت تحلیلی/راهبری ثبت‌شده در 11211</x:v>
      </x:c>
      <x:c r="F2932" s="34" t="str">
        <x:v>P3/CLARIFY</x:v>
      </x:c>
      <x:c r="G2932" s="34" t="str">
        <x:v>هدف/موضوع</x:v>
      </x:c>
      <x:c r="H2932" s="39" t="str">
        <x:v>اردوهای تخصصی</x:v>
      </x:c>
      <x:c r="I2932" s="39" t="str">
        <x:v>نیازمند تعریف خروجی یا پارک</x:v>
      </x:c>
      <x:c r="J2932" s="39" t="str">
        <x:v>تحلیلگر راهبری/PMO؛ تبدیل به فرضیه یا اقدام در صورت نیاز</x:v>
      </x:c>
      <x:c r="K2932" s="39" t="str"/>
      <x:c r="L2932" s="39" t="str">
        <x:v>E112:P2109؛ E112:P2758</x:v>
      </x:c>
      <x:c r="M2932" s="39" t="str"/>
      <x:c r="N2932" s="39" t="str">
        <x:v>نسخه پایه ۳۱۵۰</x:v>
      </x:c>
    </x:row>
    <x:row r="2933" ht="34" customHeight="1">
      <x:c r="A2933" s="34" t="str">
        <x:v>☐</x:v>
      </x:c>
      <x:c r="B2933" s="34" t="str">
        <x:v>MI-2557</x:v>
      </x:c>
      <x:c r="C2933" s="34" t="str">
        <x:v>M6 — تحلیل‌های خام و ورودی‌های نیازمند پالایش</x:v>
      </x:c>
      <x:c r="D2933" s="34" t="str">
        <x:v>H20</x:v>
      </x:c>
      <x:c r="E2933" s="34" t="str">
        <x:v>یادداشت تحلیلی/راهبری ثبت‌شده در 11211</x:v>
      </x:c>
      <x:c r="F2933" s="34" t="str">
        <x:v>P3/CLARIFY</x:v>
      </x:c>
      <x:c r="G2933" s="34" t="str">
        <x:v>هدف/موضوع</x:v>
      </x:c>
      <x:c r="H2933" s="39" t="str">
        <x:v>هدف:</x:v>
      </x:c>
      <x:c r="I2933" s="39" t="str">
        <x:v>نیازمند تعریف خروجی یا پارک</x:v>
      </x:c>
      <x:c r="J2933" s="39" t="str">
        <x:v>تحلیلگر راهبری/PMO؛ تبدیل به فرضیه یا اقدام در صورت نیاز</x:v>
      </x:c>
      <x:c r="K2933" s="39" t="str"/>
      <x:c r="L2933" s="39" t="str">
        <x:v>E112:P2111؛ E112:P2187؛ E112:P2983؛ E112:P3356؛ E112:P3464</x:v>
      </x:c>
      <x:c r="M2933" s="39" t="str"/>
      <x:c r="N2933" s="39" t="str">
        <x:v>نسخه پایه ۳۱۵۰</x:v>
      </x:c>
    </x:row>
    <x:row r="2934" ht="34" customHeight="1">
      <x:c r="A2934" s="34" t="str">
        <x:v>☐</x:v>
      </x:c>
      <x:c r="B2934" s="34" t="str">
        <x:v>MI-2560</x:v>
      </x:c>
      <x:c r="C2934" s="34" t="str">
        <x:v>M6 — تحلیل‌های خام و ورودی‌های نیازمند پالایش</x:v>
      </x:c>
      <x:c r="D2934" s="34" t="str">
        <x:v>H20</x:v>
      </x:c>
      <x:c r="E2934" s="34" t="str">
        <x:v>یادداشت تحلیلی/راهبری ثبت‌شده در 11211</x:v>
      </x:c>
      <x:c r="F2934" s="34" t="str">
        <x:v>P3/CLARIFY</x:v>
      </x:c>
      <x:c r="G2934" s="34" t="str">
        <x:v>هدف/موضوع</x:v>
      </x:c>
      <x:c r="H2934" s="39" t="str">
        <x:v>در مراحل بالاتر:</x:v>
      </x:c>
      <x:c r="I2934" s="39" t="str">
        <x:v>نیازمند تعریف خروجی یا پارک</x:v>
      </x:c>
      <x:c r="J2934" s="39" t="str">
        <x:v>تحلیلگر راهبری/PMO؛ تبدیل به فرضیه یا اقدام در صورت نیاز</x:v>
      </x:c>
      <x:c r="K2934" s="39" t="str"/>
      <x:c r="L2934" s="39" t="str">
        <x:v>E112:P2119</x:v>
      </x:c>
      <x:c r="M2934" s="39" t="str"/>
      <x:c r="N2934" s="39" t="str">
        <x:v>نسخه پایه ۳۱۵۰</x:v>
      </x:c>
    </x:row>
    <x:row r="2935" ht="34" customHeight="1">
      <x:c r="A2935" s="34" t="str">
        <x:v>☐</x:v>
      </x:c>
      <x:c r="B2935" s="34" t="str">
        <x:v>MI-2562</x:v>
      </x:c>
      <x:c r="C2935" s="34" t="str">
        <x:v>M6 — تحلیل‌های خام و ورودی‌های نیازمند پالایش</x:v>
      </x:c>
      <x:c r="D2935" s="34" t="str">
        <x:v>H20</x:v>
      </x:c>
      <x:c r="E2935" s="34" t="str">
        <x:v>یادداشت تحلیلی/راهبری ثبت‌شده در 11211</x:v>
      </x:c>
      <x:c r="F2935" s="34" t="str">
        <x:v>P3/CLARIFY</x:v>
      </x:c>
      <x:c r="G2935" s="34" t="str">
        <x:v>هدف/موضوع</x:v>
      </x:c>
      <x:c r="H2935" s="39" t="str">
        <x:v>شرکت می شوند</x:v>
      </x:c>
      <x:c r="I2935" s="39" t="str">
        <x:v>نیازمند تعریف خروجی یا پارک</x:v>
      </x:c>
      <x:c r="J2935" s="39" t="str">
        <x:v>تحلیلگر راهبری/PMO؛ تبدیل به فرضیه یا اقدام در صورت نیاز</x:v>
      </x:c>
      <x:c r="K2935" s="39" t="str"/>
      <x:c r="L2935" s="39" t="str">
        <x:v>E112:P2128</x:v>
      </x:c>
      <x:c r="M2935" s="39" t="str"/>
      <x:c r="N2935" s="39" t="str">
        <x:v>نسخه پایه ۳۱۵۰</x:v>
      </x:c>
    </x:row>
    <x:row r="2936" ht="34" customHeight="1">
      <x:c r="A2936" s="34" t="str">
        <x:v>☐</x:v>
      </x:c>
      <x:c r="B2936" s="34" t="str">
        <x:v>MI-2563</x:v>
      </x:c>
      <x:c r="C2936" s="34" t="str">
        <x:v>M6 — تحلیل‌های خام و ورودی‌های نیازمند پالایش</x:v>
      </x:c>
      <x:c r="D2936" s="34" t="str">
        <x:v>H20</x:v>
      </x:c>
      <x:c r="E2936" s="34" t="str">
        <x:v>یادداشت تحلیلی/راهبری ثبت‌شده در 11211</x:v>
      </x:c>
      <x:c r="F2936" s="34" t="str">
        <x:v>P3/CLARIFY</x:v>
      </x:c>
      <x:c r="G2936" s="34" t="str">
        <x:v>هدف/موضوع</x:v>
      </x:c>
      <x:c r="H2936" s="39" t="str">
        <x:v>دفتر می گیرند</x:v>
      </x:c>
      <x:c r="I2936" s="39" t="str">
        <x:v>نیازمند تعریف خروجی یا پارک</x:v>
      </x:c>
      <x:c r="J2936" s="39" t="str">
        <x:v>تحلیلگر راهبری/PMO؛ تبدیل به فرضیه یا اقدام در صورت نیاز</x:v>
      </x:c>
      <x:c r="K2936" s="39" t="str"/>
      <x:c r="L2936" s="39" t="str">
        <x:v>E112:P2129</x:v>
      </x:c>
      <x:c r="M2936" s="39" t="str"/>
      <x:c r="N2936" s="39" t="str">
        <x:v>نسخه پایه ۳۱۵۰</x:v>
      </x:c>
    </x:row>
    <x:row r="2937" ht="34" customHeight="1">
      <x:c r="A2937" s="34" t="str">
        <x:v>☐</x:v>
      </x:c>
      <x:c r="B2937" s="34" t="str">
        <x:v>MI-2568</x:v>
      </x:c>
      <x:c r="C2937" s="34" t="str">
        <x:v>M6 — تحلیل‌های خام و ورودی‌های نیازمند پالایش</x:v>
      </x:c>
      <x:c r="D2937" s="34" t="str">
        <x:v>H20</x:v>
      </x:c>
      <x:c r="E2937" s="34" t="str">
        <x:v>یادداشت تحلیلی/راهبری ثبت‌شده در 11211</x:v>
      </x:c>
      <x:c r="F2937" s="34" t="str">
        <x:v>P3/CLARIFY</x:v>
      </x:c>
      <x:c r="G2937" s="34" t="str">
        <x:v>هدف/موضوع</x:v>
      </x:c>
      <x:c r="H2937" s="39" t="str">
        <x:v>اعتماد</x:v>
      </x:c>
      <x:c r="I2937" s="39" t="str">
        <x:v>نیازمند تعریف خروجی یا پارک</x:v>
      </x:c>
      <x:c r="J2937" s="39" t="str">
        <x:v>تحلیلگر راهبری/PMO؛ تبدیل به فرضیه یا اقدام در صورت نیاز</x:v>
      </x:c>
      <x:c r="K2937" s="39" t="str"/>
      <x:c r="L2937" s="39" t="str">
        <x:v>E112:P2140</x:v>
      </x:c>
      <x:c r="M2937" s="39" t="str"/>
      <x:c r="N2937" s="39" t="str">
        <x:v>نسخه پایه ۳۱۵۰</x:v>
      </x:c>
    </x:row>
    <x:row r="2938" ht="34" customHeight="1">
      <x:c r="A2938" s="34" t="str">
        <x:v>☐</x:v>
      </x:c>
      <x:c r="B2938" s="34" t="str">
        <x:v>MI-2569</x:v>
      </x:c>
      <x:c r="C2938" s="34" t="str">
        <x:v>M6 — تحلیل‌های خام و ورودی‌های نیازمند پالایش</x:v>
      </x:c>
      <x:c r="D2938" s="34" t="str">
        <x:v>H20</x:v>
      </x:c>
      <x:c r="E2938" s="34" t="str">
        <x:v>یادداشت تحلیلی/راهبری ثبت‌شده در 11211</x:v>
      </x:c>
      <x:c r="F2938" s="34" t="str">
        <x:v>P3/CLARIFY</x:v>
      </x:c>
      <x:c r="G2938" s="34" t="str">
        <x:v>هدف/موضوع</x:v>
      </x:c>
      <x:c r="H2938" s="39" t="str">
        <x:v>در این مرحله می توان:</x:v>
      </x:c>
      <x:c r="I2938" s="39" t="str">
        <x:v>نیازمند تعریف خروجی یا پارک</x:v>
      </x:c>
      <x:c r="J2938" s="39" t="str">
        <x:v>تحلیلگر راهبری/PMO؛ تبدیل به فرضیه یا اقدام در صورت نیاز</x:v>
      </x:c>
      <x:c r="K2938" s="39" t="str"/>
      <x:c r="L2938" s="39" t="str">
        <x:v>E112:P2142</x:v>
      </x:c>
      <x:c r="M2938" s="39" t="str"/>
      <x:c r="N2938" s="39" t="str">
        <x:v>نسخه پایه ۳۱۵۰</x:v>
      </x:c>
    </x:row>
    <x:row r="2939" ht="34" customHeight="1">
      <x:c r="A2939" s="34" t="str">
        <x:v>☐</x:v>
      </x:c>
      <x:c r="B2939" s="34" t="str">
        <x:v>MI-2572</x:v>
      </x:c>
      <x:c r="C2939" s="34" t="str">
        <x:v>M6 — تحلیل‌های خام و ورودی‌های نیازمند پالایش</x:v>
      </x:c>
      <x:c r="D2939" s="34" t="str">
        <x:v>H20</x:v>
      </x:c>
      <x:c r="E2939" s="34" t="str">
        <x:v>یادداشت تحلیلی/راهبری ثبت‌شده در 11211</x:v>
      </x:c>
      <x:c r="F2939" s="34" t="str">
        <x:v>P3/CLARIFY</x:v>
      </x:c>
      <x:c r="G2939" s="34" t="str">
        <x:v>هدف/موضوع</x:v>
      </x:c>
      <x:c r="H2939" s="39" t="str">
        <x:v>سه نوع:</x:v>
      </x:c>
      <x:c r="I2939" s="39" t="str">
        <x:v>نیازمند تعریف خروجی یا پارک</x:v>
      </x:c>
      <x:c r="J2939" s="39" t="str">
        <x:v>تحلیلگر راهبری/PMO؛ تبدیل به فرضیه یا اقدام در صورت نیاز</x:v>
      </x:c>
      <x:c r="K2939" s="39" t="str"/>
      <x:c r="L2939" s="39" t="str">
        <x:v>E112:P2149</x:v>
      </x:c>
      <x:c r="M2939" s="39" t="str"/>
      <x:c r="N2939" s="39" t="str">
        <x:v>نسخه پایه ۳۱۵۰</x:v>
      </x:c>
    </x:row>
    <x:row r="2940" ht="34" customHeight="1">
      <x:c r="A2940" s="34" t="str">
        <x:v>☐</x:v>
      </x:c>
      <x:c r="B2940" s="34" t="str">
        <x:v>MI-2576</x:v>
      </x:c>
      <x:c r="C2940" s="34" t="str">
        <x:v>M6 — تحلیل‌های خام و ورودی‌های نیازمند پالایش</x:v>
      </x:c>
      <x:c r="D2940" s="34" t="str">
        <x:v>H20</x:v>
      </x:c>
      <x:c r="E2940" s="34" t="str">
        <x:v>یادداشت تحلیلی/راهبری ثبت‌شده در 11211</x:v>
      </x:c>
      <x:c r="F2940" s="34" t="str">
        <x:v>P3/CLARIFY</x:v>
      </x:c>
      <x:c r="G2940" s="34" t="str">
        <x:v>هدف/موضوع</x:v>
      </x:c>
      <x:c r="H2940" s="39" t="str">
        <x:v>اتصال به بازار جهانی</x:v>
      </x:c>
      <x:c r="I2940" s="39" t="str">
        <x:v>نیازمند تعریف خروجی یا پارک</x:v>
      </x:c>
      <x:c r="J2940" s="39" t="str">
        <x:v>تحلیلگر راهبری/PMO؛ تبدیل به فرضیه یا اقدام در صورت نیاز</x:v>
      </x:c>
      <x:c r="K2940" s="39" t="str"/>
      <x:c r="L2940" s="39" t="str">
        <x:v>E112:P2160؛ E112:P3144؛ E112:P3479</x:v>
      </x:c>
      <x:c r="M2940" s="39" t="str"/>
      <x:c r="N2940" s="39" t="str">
        <x:v>نسخه پایه ۳۱۵۰</x:v>
      </x:c>
    </x:row>
    <x:row r="2941" ht="34" customHeight="1">
      <x:c r="A2941" s="34" t="str">
        <x:v>☐</x:v>
      </x:c>
      <x:c r="B2941" s="34" t="str">
        <x:v>MI-2578</x:v>
      </x:c>
      <x:c r="C2941" s="34" t="str">
        <x:v>M6 — تحلیل‌های خام و ورودی‌های نیازمند پالایش</x:v>
      </x:c>
      <x:c r="D2941" s="34" t="str">
        <x:v>H20</x:v>
      </x:c>
      <x:c r="E2941" s="34" t="str">
        <x:v>یادداشت تحلیلی/راهبری ثبت‌شده در 11211</x:v>
      </x:c>
      <x:c r="F2941" s="34" t="str">
        <x:v>P3/CLARIFY</x:v>
      </x:c>
      <x:c r="G2941" s="34" t="str">
        <x:v>هدف/موضوع</x:v>
      </x:c>
      <x:c r="H2941" s="39" t="str">
        <x:v>با استفاده از:</x:v>
      </x:c>
      <x:c r="I2941" s="39" t="str">
        <x:v>نیازمند تعریف خروجی یا پارک</x:v>
      </x:c>
      <x:c r="J2941" s="39" t="str">
        <x:v>تحلیلگر راهبری/PMO؛ تبدیل به فرضیه یا اقدام در صورت نیاز</x:v>
      </x:c>
      <x:c r="K2941" s="39" t="str"/>
      <x:c r="L2941" s="39" t="str">
        <x:v>E112:P2164</x:v>
      </x:c>
      <x:c r="M2941" s="39" t="str"/>
      <x:c r="N2941" s="39" t="str">
        <x:v>نسخه پایه ۳۱۵۰</x:v>
      </x:c>
    </x:row>
    <x:row r="2942" ht="34" customHeight="1">
      <x:c r="A2942" s="34" t="str">
        <x:v>☐</x:v>
      </x:c>
      <x:c r="B2942" s="34" t="str">
        <x:v>MI-2581</x:v>
      </x:c>
      <x:c r="C2942" s="34" t="str">
        <x:v>M6 — تحلیل‌های خام و ورودی‌های نیازمند پالایش</x:v>
      </x:c>
      <x:c r="D2942" s="34" t="str">
        <x:v>H20</x:v>
      </x:c>
      <x:c r="E2942" s="34" t="str">
        <x:v>یادداشت تحلیلی/راهبری ثبت‌شده در 11211</x:v>
      </x:c>
      <x:c r="F2942" s="34" t="str">
        <x:v>P3/CLARIFY</x:v>
      </x:c>
      <x:c r="G2942" s="34" t="str">
        <x:v>هدف/موضوع</x:v>
      </x:c>
      <x:c r="H2942" s="39" t="str">
        <x:v>دسترسی به روسیه و اوراسیا</x:v>
      </x:c>
      <x:c r="I2942" s="39" t="str">
        <x:v>نیازمند تعریف خروجی یا پارک</x:v>
      </x:c>
      <x:c r="J2942" s="39" t="str">
        <x:v>تحلیلگر راهبری/PMO؛ تبدیل به فرضیه یا اقدام در صورت نیاز</x:v>
      </x:c>
      <x:c r="K2942" s="39" t="str"/>
      <x:c r="L2942" s="39" t="str">
        <x:v>E112:P2168</x:v>
      </x:c>
      <x:c r="M2942" s="39" t="str"/>
      <x:c r="N2942" s="39" t="str">
        <x:v>نسخه پایه ۳۱۵۰</x:v>
      </x:c>
    </x:row>
    <x:row r="2943" ht="34" customHeight="1">
      <x:c r="A2943" s="34" t="str">
        <x:v>☐</x:v>
      </x:c>
      <x:c r="B2943" s="34" t="str">
        <x:v>MI-2583</x:v>
      </x:c>
      <x:c r="C2943" s="34" t="str">
        <x:v>M6 — تحلیل‌های خام و ورودی‌های نیازمند پالایش</x:v>
      </x:c>
      <x:c r="D2943" s="34" t="str">
        <x:v>H20</x:v>
      </x:c>
      <x:c r="E2943" s="34" t="str">
        <x:v>یادداشت تحلیلی/راهبری ثبت‌شده در 11211</x:v>
      </x:c>
      <x:c r="F2943" s="34" t="str">
        <x:v>P3/CLARIFY</x:v>
      </x:c>
      <x:c r="G2943" s="34" t="str">
        <x:v>هدف/موضوع</x:v>
      </x:c>
      <x:c r="H2943" s="39" t="str">
        <x:v>تیم محلی</x:v>
      </x:c>
      <x:c r="I2943" s="39" t="str">
        <x:v>نیازمند تعریف خروجی یا پارک</x:v>
      </x:c>
      <x:c r="J2943" s="39" t="str">
        <x:v>تحلیلگر راهبری/PMO؛ تبدیل به فرضیه یا اقدام در صورت نیاز</x:v>
      </x:c>
      <x:c r="K2943" s="39" t="str"/>
      <x:c r="L2943" s="39" t="str">
        <x:v>E112:P2174؛ E112:P2846</x:v>
      </x:c>
      <x:c r="M2943" s="39" t="str"/>
      <x:c r="N2943" s="39" t="str">
        <x:v>نسخه پایه ۳۱۵۰</x:v>
      </x:c>
    </x:row>
    <x:row r="2944" ht="34" customHeight="1">
      <x:c r="A2944" s="34" t="str">
        <x:v>☐</x:v>
      </x:c>
      <x:c r="B2944" s="34" t="str">
        <x:v>MI-2585</x:v>
      </x:c>
      <x:c r="C2944" s="34" t="str">
        <x:v>M6 — تحلیل‌های خام و ورودی‌های نیازمند پالایش</x:v>
      </x:c>
      <x:c r="D2944" s="34" t="str">
        <x:v>H20</x:v>
      </x:c>
      <x:c r="E2944" s="34" t="str">
        <x:v>یادداشت تحلیلی/راهبری ثبت‌شده در 11211</x:v>
      </x:c>
      <x:c r="F2944" s="34" t="str">
        <x:v>P3/CLARIFY</x:v>
      </x:c>
      <x:c r="G2944" s="34" t="str">
        <x:v>هدف/موضوع</x:v>
      </x:c>
      <x:c r="H2944" s="39" t="str">
        <x:v>14. کار با نوجوانان و دانش آموزان</x:v>
      </x:c>
      <x:c r="I2944" s="39" t="str">
        <x:v>نیازمند تعریف خروجی یا پارک</x:v>
      </x:c>
      <x:c r="J2944" s="39" t="str">
        <x:v>تحلیلگر راهبری/PMO؛ تبدیل به فرضیه یا اقدام در صورت نیاز</x:v>
      </x:c>
      <x:c r="K2944" s="39" t="str"/>
      <x:c r="L2944" s="39" t="str">
        <x:v>E112:P2178</x:v>
      </x:c>
      <x:c r="M2944" s="39" t="str"/>
      <x:c r="N2944" s="39" t="str">
        <x:v>نسخه پایه ۳۱۵۰</x:v>
      </x:c>
    </x:row>
    <x:row r="2945" ht="34" customHeight="1">
      <x:c r="A2945" s="34" t="str">
        <x:v>☐</x:v>
      </x:c>
      <x:c r="B2945" s="34" t="str">
        <x:v>MI-2593</x:v>
      </x:c>
      <x:c r="C2945" s="34" t="str">
        <x:v>M6 — تحلیل‌های خام و ورودی‌های نیازمند پالایش</x:v>
      </x:c>
      <x:c r="D2945" s="34" t="str">
        <x:v>H20</x:v>
      </x:c>
      <x:c r="E2945" s="34" t="str">
        <x:v>یادداشت تحلیلی/راهبری ثبت‌شده در 11211</x:v>
      </x:c>
      <x:c r="F2945" s="34" t="str">
        <x:v>P3/CLARIFY</x:v>
      </x:c>
      <x:c r="G2945" s="34" t="str">
        <x:v>هدف/موضوع</x:v>
      </x:c>
      <x:c r="H2945" s="39" t="str">
        <x:v>سمن های حوزه اشتغال</x:v>
      </x:c>
      <x:c r="I2945" s="39" t="str">
        <x:v>نیازمند تعریف خروجی یا پارک</x:v>
      </x:c>
      <x:c r="J2945" s="39" t="str">
        <x:v>تحلیلگر راهبری/PMO؛ تبدیل به فرضیه یا اقدام در صورت نیاز</x:v>
      </x:c>
      <x:c r="K2945" s="39" t="str"/>
      <x:c r="L2945" s="39" t="str">
        <x:v>E112:P2194</x:v>
      </x:c>
      <x:c r="M2945" s="39" t="str"/>
      <x:c r="N2945" s="39" t="str">
        <x:v>نسخه پایه ۳۱۵۰</x:v>
      </x:c>
    </x:row>
    <x:row r="2946" ht="34" customHeight="1">
      <x:c r="A2946" s="34" t="str">
        <x:v>☐</x:v>
      </x:c>
      <x:c r="B2946" s="34" t="str">
        <x:v>MI-2595</x:v>
      </x:c>
      <x:c r="C2946" s="34" t="str">
        <x:v>M6 — تحلیل‌های خام و ورودی‌های نیازمند پالایش</x:v>
      </x:c>
      <x:c r="D2946" s="34" t="str">
        <x:v>H20</x:v>
      </x:c>
      <x:c r="E2946" s="34" t="str">
        <x:v>یادداشت تحلیلی/راهبری ثبت‌شده در 11211</x:v>
      </x:c>
      <x:c r="F2946" s="34" t="str">
        <x:v>P3/CLARIFY</x:v>
      </x:c>
      <x:c r="G2946" s="34" t="str">
        <x:v>هدف/موضوع</x:v>
      </x:c>
      <x:c r="H2946" s="39" t="str">
        <x:v>انجمن های تخصصی</x:v>
      </x:c>
      <x:c r="I2946" s="39" t="str">
        <x:v>نیازمند تعریف خروجی یا پارک</x:v>
      </x:c>
      <x:c r="J2946" s="39" t="str">
        <x:v>تحلیلگر راهبری/PMO؛ تبدیل به فرضیه یا اقدام در صورت نیاز</x:v>
      </x:c>
      <x:c r="K2946" s="39" t="str"/>
      <x:c r="L2946" s="39" t="str">
        <x:v>E112:P2196</x:v>
      </x:c>
      <x:c r="M2946" s="39" t="str"/>
      <x:c r="N2946" s="39" t="str">
        <x:v>نسخه پایه ۳۱۵۰</x:v>
      </x:c>
    </x:row>
    <x:row r="2947" ht="34" customHeight="1">
      <x:c r="A2947" s="34" t="str">
        <x:v>☐</x:v>
      </x:c>
      <x:c r="B2947" s="34" t="str">
        <x:v>MI-2596</x:v>
      </x:c>
      <x:c r="C2947" s="34" t="str">
        <x:v>M6 — تحلیل‌های خام و ورودی‌های نیازمند پالایش</x:v>
      </x:c>
      <x:c r="D2947" s="34" t="str">
        <x:v>H20</x:v>
      </x:c>
      <x:c r="E2947" s="34" t="str">
        <x:v>یادداشت تحلیلی/راهبری ثبت‌شده در 11211</x:v>
      </x:c>
      <x:c r="F2947" s="34" t="str">
        <x:v>P3/CLARIFY</x:v>
      </x:c>
      <x:c r="G2947" s="34" t="str">
        <x:v>هدف/موضوع</x:v>
      </x:c>
      <x:c r="H2947" s="39" t="str">
        <x:v>کاربرد:</x:v>
      </x:c>
      <x:c r="I2947" s="39" t="str">
        <x:v>نیازمند تعریف خروجی یا پارک</x:v>
      </x:c>
      <x:c r="J2947" s="39" t="str">
        <x:v>تحلیلگر راهبری/PMO؛ تبدیل به فرضیه یا اقدام در صورت نیاز</x:v>
      </x:c>
      <x:c r="K2947" s="39" t="str"/>
      <x:c r="L2947" s="39" t="str">
        <x:v>E112:P2198</x:v>
      </x:c>
      <x:c r="M2947" s="39" t="str"/>
      <x:c r="N2947" s="39" t="str">
        <x:v>نسخه پایه ۳۱۵۰</x:v>
      </x:c>
    </x:row>
    <x:row r="2948" ht="34" customHeight="1">
      <x:c r="A2948" s="34" t="str">
        <x:v>☐</x:v>
      </x:c>
      <x:c r="B2948" s="34" t="str">
        <x:v>MI-2597</x:v>
      </x:c>
      <x:c r="C2948" s="34" t="str">
        <x:v>M6 — تحلیل‌های خام و ورودی‌های نیازمند پالایش</x:v>
      </x:c>
      <x:c r="D2948" s="34" t="str">
        <x:v>H20</x:v>
      </x:c>
      <x:c r="E2948" s="34" t="str">
        <x:v>یادداشت تحلیلی/راهبری ثبت‌شده در 11211</x:v>
      </x:c>
      <x:c r="F2948" s="34" t="str">
        <x:v>P3/CLARIFY</x:v>
      </x:c>
      <x:c r="G2948" s="34" t="str">
        <x:v>هدف/موضوع</x:v>
      </x:c>
      <x:c r="H2948" s="39" t="str">
        <x:v>پایش جوانان</x:v>
      </x:c>
      <x:c r="I2948" s="39" t="str">
        <x:v>نیازمند تعریف خروجی یا پارک</x:v>
      </x:c>
      <x:c r="J2948" s="39" t="str">
        <x:v>تحلیلگر راهبری/PMO؛ تبدیل به فرضیه یا اقدام در صورت نیاز</x:v>
      </x:c>
      <x:c r="K2948" s="39" t="str"/>
      <x:c r="L2948" s="39" t="str">
        <x:v>E112:P2201</x:v>
      </x:c>
      <x:c r="M2948" s="39" t="str"/>
      <x:c r="N2948" s="39" t="str">
        <x:v>نسخه پایه ۳۱۵۰</x:v>
      </x:c>
    </x:row>
    <x:row r="2949" ht="34" customHeight="1">
      <x:c r="A2949" s="34" t="str">
        <x:v>☐</x:v>
      </x:c>
      <x:c r="B2949" s="34" t="str">
        <x:v>MI-2604</x:v>
      </x:c>
      <x:c r="C2949" s="34" t="str">
        <x:v>M6 — تحلیل‌های خام و ورودی‌های نیازمند پالایش</x:v>
      </x:c>
      <x:c r="D2949" s="34" t="str">
        <x:v>H20</x:v>
      </x:c>
      <x:c r="E2949" s="34" t="str">
        <x:v>یادداشت تحلیلی/راهبری ثبت‌شده در 11211</x:v>
      </x:c>
      <x:c r="F2949" s="34" t="str">
        <x:v>P3/CLARIFY</x:v>
      </x:c>
      <x:c r="G2949" s="34" t="str">
        <x:v>هدف/موضوع</x:v>
      </x:c>
      <x:c r="H2949" s="39" t="str">
        <x:v>اگر بخواهی، می توانم قدم بعدی را انجام بدهم که خیلی مهم است:</x:v>
      </x:c>
      <x:c r="I2949" s="39" t="str">
        <x:v>نیازمند تعریف خروجی یا پارک</x:v>
      </x:c>
      <x:c r="J2949" s="39" t="str">
        <x:v>تحلیلگر راهبری/PMO؛ تبدیل به فرضیه یا اقدام در صورت نیاز</x:v>
      </x:c>
      <x:c r="K2949" s="39" t="str"/>
      <x:c r="L2949" s="39" t="str">
        <x:v>E112:P2242</x:v>
      </x:c>
      <x:c r="M2949" s="39" t="str"/>
      <x:c r="N2949" s="39" t="str">
        <x:v>نسخه پایه ۳۱۵۰</x:v>
      </x:c>
    </x:row>
    <x:row r="2950" ht="34" customHeight="1">
      <x:c r="A2950" s="34" t="str">
        <x:v>☐</x:v>
      </x:c>
      <x:c r="B2950" s="34" t="str">
        <x:v>MI-2606</x:v>
      </x:c>
      <x:c r="C2950" s="34" t="str">
        <x:v>M6 — تحلیل‌های خام و ورودی‌های نیازمند پالایش</x:v>
      </x:c>
      <x:c r="D2950" s="34" t="str">
        <x:v>H20</x:v>
      </x:c>
      <x:c r="E2950" s="34" t="str">
        <x:v>یادداشت تحلیلی/راهبری ثبت‌شده در 11211</x:v>
      </x:c>
      <x:c r="F2950" s="34" t="str">
        <x:v>P3/CLARIFY</x:v>
      </x:c>
      <x:c r="G2950" s="34" t="str">
        <x:v>هدف/موضوع</x:v>
      </x:c>
      <x:c r="H2950" s="39" t="str">
        <x:v>که دقیقاً نشان می دهد این 15 بخش چطور به هم وصل می شوند و کدام بخش ها اهرم قدرت واقعی هستند.</x:v>
      </x:c>
      <x:c r="I2950" s="39" t="str">
        <x:v>نیازمند تعریف خروجی یا پارک</x:v>
      </x:c>
      <x:c r="J2950" s="39" t="str">
        <x:v>تحلیلگر راهبری/PMO؛ تبدیل به فرضیه یا اقدام در صورت نیاز</x:v>
      </x:c>
      <x:c r="K2950" s="39" t="str"/>
      <x:c r="L2950" s="39" t="str">
        <x:v>E112:P2246</x:v>
      </x:c>
      <x:c r="M2950" s="39" t="str"/>
      <x:c r="N2950" s="39" t="str">
        <x:v>نسخه پایه ۳۱۵۰</x:v>
      </x:c>
    </x:row>
    <x:row r="2951" ht="34" customHeight="1">
      <x:c r="A2951" s="34" t="str">
        <x:v>☐</x:v>
      </x:c>
      <x:c r="B2951" s="34" t="str">
        <x:v>MI-2607</x:v>
      </x:c>
      <x:c r="C2951" s="34" t="str">
        <x:v>M6 — تحلیل‌های خام و ورودی‌های نیازمند پالایش</x:v>
      </x:c>
      <x:c r="D2951" s="34" t="str">
        <x:v>H20</x:v>
      </x:c>
      <x:c r="E2951" s="34" t="str">
        <x:v>یادداشت تحلیلی/راهبری ثبت‌شده در 11211</x:v>
      </x:c>
      <x:c r="F2951" s="34" t="str">
        <x:v>P3/CLARIFY</x:v>
      </x:c>
      <x:c r="G2951" s="34" t="str">
        <x:v>هدف/موضوع</x:v>
      </x:c>
      <x:c r="H2951" s="39" t="str">
        <x:v>این متن رو بررسی کن ، محتوای اون رو منسجم تر کن</x:v>
      </x:c>
      <x:c r="I2951" s="39" t="str">
        <x:v>نیازمند تعریف خروجی یا پارک</x:v>
      </x:c>
      <x:c r="J2951" s="39" t="str">
        <x:v>تحلیلگر راهبری/PMO؛ تبدیل به فرضیه یا اقدام در صورت نیاز</x:v>
      </x:c>
      <x:c r="K2951" s="39" t="str"/>
      <x:c r="L2951" s="39" t="str">
        <x:v>E112:P2437</x:v>
      </x:c>
      <x:c r="M2951" s="39" t="str"/>
      <x:c r="N2951" s="39" t="str">
        <x:v>نسخه پایه ۳۱۵۰</x:v>
      </x:c>
    </x:row>
    <x:row r="2952" ht="34" customHeight="1">
      <x:c r="A2952" s="34" t="str">
        <x:v>☐</x:v>
      </x:c>
      <x:c r="B2952" s="34" t="str">
        <x:v>MI-2608</x:v>
      </x:c>
      <x:c r="C2952" s="34" t="str">
        <x:v>M6 — تحلیل‌های خام و ورودی‌های نیازمند پالایش</x:v>
      </x:c>
      <x:c r="D2952" s="34" t="str">
        <x:v>H20</x:v>
      </x:c>
      <x:c r="E2952" s="34" t="str">
        <x:v>یادداشت تحلیلی/راهبری ثبت‌شده در 11211</x:v>
      </x:c>
      <x:c r="F2952" s="34" t="str">
        <x:v>P3/CLARIFY</x:v>
      </x:c>
      <x:c r="G2952" s="34" t="str">
        <x:v>هدف/موضوع</x:v>
      </x:c>
      <x:c r="H2952" s="39" t="str">
        <x:v>تا الان هر چه بحث کردیم رو به اون اضافه کن</x:v>
      </x:c>
      <x:c r="I2952" s="39" t="str">
        <x:v>نیازمند تعریف خروجی یا پارک</x:v>
      </x:c>
      <x:c r="J2952" s="39" t="str">
        <x:v>تحلیلگر راهبری/PMO؛ تبدیل به فرضیه یا اقدام در صورت نیاز</x:v>
      </x:c>
      <x:c r="K2952" s="39" t="str"/>
      <x:c r="L2952" s="39" t="str">
        <x:v>E112:P2439</x:v>
      </x:c>
      <x:c r="M2952" s="39" t="str"/>
      <x:c r="N2952" s="39" t="str">
        <x:v>نسخه پایه ۳۱۵۰</x:v>
      </x:c>
    </x:row>
    <x:row r="2953" ht="34" customHeight="1">
      <x:c r="A2953" s="34" t="str">
        <x:v>☐</x:v>
      </x:c>
      <x:c r="B2953" s="34" t="str">
        <x:v>MI-2612</x:v>
      </x:c>
      <x:c r="C2953" s="34" t="str">
        <x:v>M6 — تحلیل‌های خام و ورودی‌های نیازمند پالایش</x:v>
      </x:c>
      <x:c r="D2953" s="34" t="str">
        <x:v>H20</x:v>
      </x:c>
      <x:c r="E2953" s="34" t="str">
        <x:v>یادداشت تحلیلی/راهبری ثبت‌شده در 11211</x:v>
      </x:c>
      <x:c r="F2953" s="34" t="str">
        <x:v>P3/CLARIFY</x:v>
      </x:c>
      <x:c r="G2953" s="34" t="str">
        <x:v>هدف/موضوع</x:v>
      </x:c>
      <x:c r="H2953" s="39" t="str">
        <x:v>1. مقدمه</x:v>
      </x:c>
      <x:c r="I2953" s="39" t="str">
        <x:v>نیازمند تعریف خروجی یا پارک</x:v>
      </x:c>
      <x:c r="J2953" s="39" t="str">
        <x:v>تحلیلگر راهبری/PMO؛ تبدیل به فرضیه یا اقدام در صورت نیاز</x:v>
      </x:c>
      <x:c r="K2953" s="39" t="str"/>
      <x:c r="L2953" s="39" t="str">
        <x:v>E112:P2445</x:v>
      </x:c>
      <x:c r="M2953" s="39" t="str"/>
      <x:c r="N2953" s="39" t="str">
        <x:v>نسخه پایه ۳۱۵۰</x:v>
      </x:c>
    </x:row>
    <x:row r="2954" ht="34" customHeight="1">
      <x:c r="A2954" s="34" t="str">
        <x:v>☐</x:v>
      </x:c>
      <x:c r="B2954" s="34" t="str">
        <x:v>MI-2622</x:v>
      </x:c>
      <x:c r="C2954" s="34" t="str">
        <x:v>M6 — تحلیل‌های خام و ورودی‌های نیازمند پالایش</x:v>
      </x:c>
      <x:c r="D2954" s="34" t="str">
        <x:v>H20</x:v>
      </x:c>
      <x:c r="E2954" s="34" t="str">
        <x:v>یادداشت تحلیلی/راهبری ثبت‌شده در 11211</x:v>
      </x:c>
      <x:c r="F2954" s="34" t="str">
        <x:v>P3/CLARIFY</x:v>
      </x:c>
      <x:c r="G2954" s="34" t="str">
        <x:v>هدف/موضوع</x:v>
      </x:c>
      <x:c r="H2954" s="39" t="str">
        <x:v>دانش</x:v>
      </x:c>
      <x:c r="I2954" s="39" t="str">
        <x:v>نیازمند تعریف خروجی یا پارک</x:v>
      </x:c>
      <x:c r="J2954" s="39" t="str">
        <x:v>تحلیلگر راهبری/PMO؛ تبدیل به فرضیه یا اقدام در صورت نیاز</x:v>
      </x:c>
      <x:c r="K2954" s="39" t="str"/>
      <x:c r="L2954" s="39" t="str">
        <x:v>E112:P2462</x:v>
      </x:c>
      <x:c r="M2954" s="39" t="str"/>
      <x:c r="N2954" s="39" t="str">
        <x:v>نسخه پایه ۳۱۵۰</x:v>
      </x:c>
    </x:row>
    <x:row r="2955" ht="34" customHeight="1">
      <x:c r="A2955" s="34" t="str">
        <x:v>☐</x:v>
      </x:c>
      <x:c r="B2955" s="34" t="str">
        <x:v>MI-2627</x:v>
      </x:c>
      <x:c r="C2955" s="34" t="str">
        <x:v>M6 — تحلیل‌های خام و ورودی‌های نیازمند پالایش</x:v>
      </x:c>
      <x:c r="D2955" s="34" t="str">
        <x:v>H20</x:v>
      </x:c>
      <x:c r="E2955" s="34" t="str">
        <x:v>یادداشت تحلیلی/راهبری ثبت‌شده در 11211</x:v>
      </x:c>
      <x:c r="F2955" s="34" t="str">
        <x:v>P3/CLARIFY</x:v>
      </x:c>
      <x:c r="G2955" s="34" t="str">
        <x:v>هدف/موضوع</x:v>
      </x:c>
      <x:c r="H2955" s="39" t="str">
        <x:v>رویدادهای نوآوری</x:v>
      </x:c>
      <x:c r="I2955" s="39" t="str">
        <x:v>نیازمند تعریف خروجی یا پارک</x:v>
      </x:c>
      <x:c r="J2955" s="39" t="str">
        <x:v>تحلیلگر راهبری/PMO؛ تبدیل به فرضیه یا اقدام در صورت نیاز</x:v>
      </x:c>
      <x:c r="K2955" s="39" t="str"/>
      <x:c r="L2955" s="39" t="str">
        <x:v>E112:P2479</x:v>
      </x:c>
      <x:c r="M2955" s="39" t="str"/>
      <x:c r="N2955" s="39" t="str">
        <x:v>نسخه پایه ۳۱۵۰</x:v>
      </x:c>
    </x:row>
    <x:row r="2956" ht="34" customHeight="1">
      <x:c r="A2956" s="34" t="str">
        <x:v>☐</x:v>
      </x:c>
      <x:c r="B2956" s="34" t="str">
        <x:v>MI-2644</x:v>
      </x:c>
      <x:c r="C2956" s="34" t="str">
        <x:v>M6 — تحلیل‌های خام و ورودی‌های نیازمند پالایش</x:v>
      </x:c>
      <x:c r="D2956" s="34" t="str">
        <x:v>H20</x:v>
      </x:c>
      <x:c r="E2956" s="34" t="str">
        <x:v>یادداشت تحلیلی/راهبری ثبت‌شده در 11211</x:v>
      </x:c>
      <x:c r="F2956" s="34" t="str">
        <x:v>P3/CLARIFY</x:v>
      </x:c>
      <x:c r="G2956" s="34" t="str">
        <x:v>هدف/موضوع</x:v>
      </x:c>
      <x:c r="H2956" s="39" t="str">
        <x:v>تفکر خلاق</x:v>
      </x:c>
      <x:c r="I2956" s="39" t="str">
        <x:v>نیازمند تعریف خروجی یا پارک</x:v>
      </x:c>
      <x:c r="J2956" s="39" t="str">
        <x:v>تحلیلگر راهبری/PMO؛ تبدیل به فرضیه یا اقدام در صورت نیاز</x:v>
      </x:c>
      <x:c r="K2956" s="39" t="str"/>
      <x:c r="L2956" s="39" t="str">
        <x:v>E112:P2530</x:v>
      </x:c>
      <x:c r="M2956" s="39" t="str"/>
      <x:c r="N2956" s="39" t="str">
        <x:v>نسخه پایه ۳۱۵۰</x:v>
      </x:c>
    </x:row>
    <x:row r="2957" ht="34" customHeight="1">
      <x:c r="A2957" s="34" t="str">
        <x:v>☐</x:v>
      </x:c>
      <x:c r="B2957" s="34" t="str">
        <x:v>MI-2657</x:v>
      </x:c>
      <x:c r="C2957" s="34" t="str">
        <x:v>M6 — تحلیل‌های خام و ورودی‌های نیازمند پالایش</x:v>
      </x:c>
      <x:c r="D2957" s="34" t="str">
        <x:v>H20</x:v>
      </x:c>
      <x:c r="E2957" s="34" t="str">
        <x:v>یادداشت تحلیلی/راهبری ثبت‌شده در 11211</x:v>
      </x:c>
      <x:c r="F2957" s="34" t="str">
        <x:v>P3/CLARIFY</x:v>
      </x:c>
      <x:c r="G2957" s="34" t="str">
        <x:v>هدف/موضوع</x:v>
      </x:c>
      <x:c r="H2957" s="39" t="str">
        <x:v>نیاز صنایع استان</x:v>
      </x:c>
      <x:c r="I2957" s="39" t="str">
        <x:v>نیازمند تعریف خروجی یا پارک</x:v>
      </x:c>
      <x:c r="J2957" s="39" t="str">
        <x:v>تحلیلگر راهبری/PMO؛ تبدیل به فرضیه یا اقدام در صورت نیاز</x:v>
      </x:c>
      <x:c r="K2957" s="39" t="str"/>
      <x:c r="L2957" s="39" t="str">
        <x:v>E112:P2571</x:v>
      </x:c>
      <x:c r="M2957" s="39" t="str"/>
      <x:c r="N2957" s="39" t="str">
        <x:v>نسخه پایه ۳۱۵۰</x:v>
      </x:c>
    </x:row>
    <x:row r="2958" ht="34" customHeight="1">
      <x:c r="A2958" s="34" t="str">
        <x:v>☐</x:v>
      </x:c>
      <x:c r="B2958" s="34" t="str">
        <x:v>MI-2661</x:v>
      </x:c>
      <x:c r="C2958" s="34" t="str">
        <x:v>M6 — تحلیل‌های خام و ورودی‌های نیازمند پالایش</x:v>
      </x:c>
      <x:c r="D2958" s="34" t="str">
        <x:v>H20</x:v>
      </x:c>
      <x:c r="E2958" s="34" t="str">
        <x:v>یادداشت تحلیلی/راهبری ثبت‌شده در 11211</x:v>
      </x:c>
      <x:c r="F2958" s="34" t="str">
        <x:v>P3/CLARIFY</x:v>
      </x:c>
      <x:c r="G2958" s="34" t="str">
        <x:v>هدف/موضوع</x:v>
      </x:c>
      <x:c r="H2958" s="39" t="str">
        <x:v>وظایف این مراکز:</x:v>
      </x:c>
      <x:c r="I2958" s="39" t="str">
        <x:v>نیازمند تعریف خروجی یا پارک</x:v>
      </x:c>
      <x:c r="J2958" s="39" t="str">
        <x:v>تحلیلگر راهبری/PMO؛ تبدیل به فرضیه یا اقدام در صورت نیاز</x:v>
      </x:c>
      <x:c r="K2958" s="39" t="str"/>
      <x:c r="L2958" s="39" t="str">
        <x:v>E112:P2580</x:v>
      </x:c>
      <x:c r="M2958" s="39" t="str"/>
      <x:c r="N2958" s="39" t="str">
        <x:v>نسخه پایه ۳۱۵۰</x:v>
      </x:c>
    </x:row>
    <x:row r="2959" ht="34" customHeight="1">
      <x:c r="A2959" s="34" t="str">
        <x:v>☐</x:v>
      </x:c>
      <x:c r="B2959" s="34" t="str">
        <x:v>MI-2663</x:v>
      </x:c>
      <x:c r="C2959" s="34" t="str">
        <x:v>M6 — تحلیل‌های خام و ورودی‌های نیازمند پالایش</x:v>
      </x:c>
      <x:c r="D2959" s="34" t="str">
        <x:v>H20</x:v>
      </x:c>
      <x:c r="E2959" s="34" t="str">
        <x:v>یادداشت تحلیلی/راهبری ثبت‌شده در 11211</x:v>
      </x:c>
      <x:c r="F2959" s="34" t="str">
        <x:v>P3/CLARIFY</x:v>
      </x:c>
      <x:c r="G2959" s="34" t="str">
        <x:v>هدف/موضوع</x:v>
      </x:c>
      <x:c r="H2959" s="39" t="str">
        <x:v>توسعه ایده ها</x:v>
      </x:c>
      <x:c r="I2959" s="39" t="str">
        <x:v>نیازمند تعریف خروجی یا پارک</x:v>
      </x:c>
      <x:c r="J2959" s="39" t="str">
        <x:v>تحلیلگر راهبری/PMO؛ تبدیل به فرضیه یا اقدام در صورت نیاز</x:v>
      </x:c>
      <x:c r="K2959" s="39" t="str"/>
      <x:c r="L2959" s="39" t="str">
        <x:v>E112:P2590</x:v>
      </x:c>
      <x:c r="M2959" s="39" t="str"/>
      <x:c r="N2959" s="39" t="str">
        <x:v>نسخه پایه ۳۱۵۰</x:v>
      </x:c>
    </x:row>
    <x:row r="2960" ht="34" customHeight="1">
      <x:c r="A2960" s="34" t="str">
        <x:v>☐</x:v>
      </x:c>
      <x:c r="B2960" s="34" t="str">
        <x:v>MI-2667</x:v>
      </x:c>
      <x:c r="C2960" s="34" t="str">
        <x:v>M6 — تحلیل‌های خام و ورودی‌های نیازمند پالایش</x:v>
      </x:c>
      <x:c r="D2960" s="34" t="str">
        <x:v>H20</x:v>
      </x:c>
      <x:c r="E2960" s="34" t="str">
        <x:v>یادداشت تحلیلی/راهبری ثبت‌شده در 11211</x:v>
      </x:c>
      <x:c r="F2960" s="34" t="str">
        <x:v>P3/CLARIFY</x:v>
      </x:c>
      <x:c r="G2960" s="34" t="str">
        <x:v>هدف/موضوع</x:v>
      </x:c>
      <x:c r="H2960" s="39" t="str">
        <x:v>تیم تشکیل دهند</x:v>
      </x:c>
      <x:c r="I2960" s="39" t="str">
        <x:v>نیازمند تعریف خروجی یا پارک</x:v>
      </x:c>
      <x:c r="J2960" s="39" t="str">
        <x:v>تحلیلگر راهبری/PMO؛ تبدیل به فرضیه یا اقدام در صورت نیاز</x:v>
      </x:c>
      <x:c r="K2960" s="39" t="str"/>
      <x:c r="L2960" s="39" t="str">
        <x:v>E112:P2598</x:v>
      </x:c>
      <x:c r="M2960" s="39" t="str"/>
      <x:c r="N2960" s="39" t="str">
        <x:v>نسخه پایه ۳۱۵۰</x:v>
      </x:c>
    </x:row>
    <x:row r="2961" ht="34" customHeight="1">
      <x:c r="A2961" s="34" t="str">
        <x:v>☐</x:v>
      </x:c>
      <x:c r="B2961" s="34" t="str">
        <x:v>MI-2668</x:v>
      </x:c>
      <x:c r="C2961" s="34" t="str">
        <x:v>M6 — تحلیل‌های خام و ورودی‌های نیازمند پالایش</x:v>
      </x:c>
      <x:c r="D2961" s="34" t="str">
        <x:v>H20</x:v>
      </x:c>
      <x:c r="E2961" s="34" t="str">
        <x:v>یادداشت تحلیلی/راهبری ثبت‌شده در 11211</x:v>
      </x:c>
      <x:c r="F2961" s="34" t="str">
        <x:v>P3/CLARIFY</x:v>
      </x:c>
      <x:c r="G2961" s="34" t="str">
        <x:v>هدف/موضوع</x:v>
      </x:c>
      <x:c r="H2961" s="39" t="str">
        <x:v>روی ایده های خود کار کنند</x:v>
      </x:c>
      <x:c r="I2961" s="39" t="str">
        <x:v>نیازمند تعریف خروجی یا پارک</x:v>
      </x:c>
      <x:c r="J2961" s="39" t="str">
        <x:v>تحلیلگر راهبری/PMO؛ تبدیل به فرضیه یا اقدام در صورت نیاز</x:v>
      </x:c>
      <x:c r="K2961" s="39" t="str"/>
      <x:c r="L2961" s="39" t="str">
        <x:v>E112:P2600</x:v>
      </x:c>
      <x:c r="M2961" s="39" t="str"/>
      <x:c r="N2961" s="39" t="str">
        <x:v>نسخه پایه ۳۱۵۰</x:v>
      </x:c>
    </x:row>
    <x:row r="2962" ht="34" customHeight="1">
      <x:c r="A2962" s="34" t="str">
        <x:v>☐</x:v>
      </x:c>
      <x:c r="B2962" s="34" t="str">
        <x:v>MI-2669</x:v>
      </x:c>
      <x:c r="C2962" s="34" t="str">
        <x:v>M6 — تحلیل‌های خام و ورودی‌های نیازمند پالایش</x:v>
      </x:c>
      <x:c r="D2962" s="34" t="str">
        <x:v>H20</x:v>
      </x:c>
      <x:c r="E2962" s="34" t="str">
        <x:v>یادداشت تحلیلی/راهبری ثبت‌شده در 11211</x:v>
      </x:c>
      <x:c r="F2962" s="34" t="str">
        <x:v>P3/CLARIFY</x:v>
      </x:c>
      <x:c r="G2962" s="34" t="str">
        <x:v>هدف/موضوع</x:v>
      </x:c>
      <x:c r="H2962" s="39" t="str">
        <x:v>محصول یا خدمات توسعه دهند</x:v>
      </x:c>
      <x:c r="I2962" s="39" t="str">
        <x:v>نیازمند تعریف خروجی یا پارک</x:v>
      </x:c>
      <x:c r="J2962" s="39" t="str">
        <x:v>تحلیلگر راهبری/PMO؛ تبدیل به فرضیه یا اقدام در صورت نیاز</x:v>
      </x:c>
      <x:c r="K2962" s="39" t="str"/>
      <x:c r="L2962" s="39" t="str">
        <x:v>E112:P2602</x:v>
      </x:c>
      <x:c r="M2962" s="39" t="str"/>
      <x:c r="N2962" s="39" t="str">
        <x:v>نسخه پایه ۳۱۵۰</x:v>
      </x:c>
    </x:row>
    <x:row r="2963" ht="34" customHeight="1">
      <x:c r="A2963" s="34" t="str">
        <x:v>☐</x:v>
      </x:c>
      <x:c r="B2963" s="34" t="str">
        <x:v>MI-2672</x:v>
      </x:c>
      <x:c r="C2963" s="34" t="str">
        <x:v>M6 — تحلیل‌های خام و ورودی‌های نیازمند پالایش</x:v>
      </x:c>
      <x:c r="D2963" s="34" t="str">
        <x:v>H20</x:v>
      </x:c>
      <x:c r="E2963" s="34" t="str">
        <x:v>یادداشت تحلیلی/راهبری ثبت‌شده در 11211</x:v>
      </x:c>
      <x:c r="F2963" s="34" t="str">
        <x:v>P3/CLARIFY</x:v>
      </x:c>
      <x:c r="G2963" s="34" t="str">
        <x:v>هدف/موضوع</x:v>
      </x:c>
      <x:c r="H2963" s="39" t="str">
        <x:v>کارآفرینان موفق</x:v>
      </x:c>
      <x:c r="I2963" s="39" t="str">
        <x:v>نیازمند تعریف خروجی یا پارک</x:v>
      </x:c>
      <x:c r="J2963" s="39" t="str">
        <x:v>تحلیلگر راهبری/PMO؛ تبدیل به فرضیه یا اقدام در صورت نیاز</x:v>
      </x:c>
      <x:c r="K2963" s="39" t="str"/>
      <x:c r="L2963" s="39" t="str">
        <x:v>E112:P2609</x:v>
      </x:c>
      <x:c r="M2963" s="39" t="str"/>
      <x:c r="N2963" s="39" t="str">
        <x:v>نسخه پایه ۳۱۵۰</x:v>
      </x:c>
    </x:row>
    <x:row r="2964" ht="34" customHeight="1">
      <x:c r="A2964" s="34" t="str">
        <x:v>☐</x:v>
      </x:c>
      <x:c r="B2964" s="34" t="str">
        <x:v>MI-2679</x:v>
      </x:c>
      <x:c r="C2964" s="34" t="str">
        <x:v>M6 — تحلیل‌های خام و ورودی‌های نیازمند پالایش</x:v>
      </x:c>
      <x:c r="D2964" s="34" t="str">
        <x:v>H20</x:v>
      </x:c>
      <x:c r="E2964" s="34" t="str">
        <x:v>یادداشت تحلیلی/راهبری ثبت‌شده در 11211</x:v>
      </x:c>
      <x:c r="F2964" s="34" t="str">
        <x:v>P3/CLARIFY</x:v>
      </x:c>
      <x:c r="G2964" s="34" t="str">
        <x:v>هدف/موضوع</x:v>
      </x:c>
      <x:c r="H2964" s="39" t="str">
        <x:v>یکی از منابع مهم نیروی انسانی سازمان های مردم نهاد حوزه جوانان هستند.</x:v>
      </x:c>
      <x:c r="I2964" s="39" t="str">
        <x:v>نیازمند تعریف خروجی یا پارک</x:v>
      </x:c>
      <x:c r="J2964" s="39" t="str">
        <x:v>تحلیلگر راهبری/PMO؛ تبدیل به فرضیه یا اقدام در صورت نیاز</x:v>
      </x:c>
      <x:c r="K2964" s="39" t="str"/>
      <x:c r="L2964" s="39" t="str">
        <x:v>E112:P2634</x:v>
      </x:c>
      <x:c r="M2964" s="39" t="str"/>
      <x:c r="N2964" s="39" t="str">
        <x:v>نسخه پایه ۳۱۵۰</x:v>
      </x:c>
    </x:row>
    <x:row r="2965" ht="34" customHeight="1">
      <x:c r="A2965" s="34" t="str">
        <x:v>☐</x:v>
      </x:c>
      <x:c r="B2965" s="34" t="str">
        <x:v>MI-2680</x:v>
      </x:c>
      <x:c r="C2965" s="34" t="str">
        <x:v>M6 — تحلیل‌های خام و ورودی‌های نیازمند پالایش</x:v>
      </x:c>
      <x:c r="D2965" s="34" t="str">
        <x:v>H20</x:v>
      </x:c>
      <x:c r="E2965" s="34" t="str">
        <x:v>یادداشت تحلیلی/راهبری ثبت‌شده در 11211</x:v>
      </x:c>
      <x:c r="F2965" s="34" t="str">
        <x:v>P3/CLARIFY</x:v>
      </x:c>
      <x:c r="G2965" s="34" t="str">
        <x:v>هدف/موضوع</x:v>
      </x:c>
      <x:c r="H2965" s="39" t="str">
        <x:v>به ویژه سمن های حوزه:</x:v>
      </x:c>
      <x:c r="I2965" s="39" t="str">
        <x:v>نیازمند تعریف خروجی یا پارک</x:v>
      </x:c>
      <x:c r="J2965" s="39" t="str">
        <x:v>تحلیلگر راهبری/PMO؛ تبدیل به فرضیه یا اقدام در صورت نیاز</x:v>
      </x:c>
      <x:c r="K2965" s="39" t="str"/>
      <x:c r="L2965" s="39" t="str">
        <x:v>E112:P2636</x:v>
      </x:c>
      <x:c r="M2965" s="39" t="str"/>
      <x:c r="N2965" s="39" t="str">
        <x:v>نسخه پایه ۳۱۵۰</x:v>
      </x:c>
    </x:row>
    <x:row r="2966" ht="34" customHeight="1">
      <x:c r="A2966" s="34" t="str">
        <x:v>☐</x:v>
      </x:c>
      <x:c r="B2966" s="34" t="str">
        <x:v>MI-2681</x:v>
      </x:c>
      <x:c r="C2966" s="34" t="str">
        <x:v>M6 — تحلیل‌های خام و ورودی‌های نیازمند پالایش</x:v>
      </x:c>
      <x:c r="D2966" s="34" t="str">
        <x:v>H20</x:v>
      </x:c>
      <x:c r="E2966" s="34" t="str">
        <x:v>یادداشت تحلیلی/راهبری ثبت‌شده در 11211</x:v>
      </x:c>
      <x:c r="F2966" s="34" t="str">
        <x:v>P3/CLARIFY</x:v>
      </x:c>
      <x:c r="G2966" s="34" t="str">
        <x:v>هدف/موضوع</x:v>
      </x:c>
      <x:c r="H2966" s="39" t="str">
        <x:v>اشتغال</x:v>
      </x:c>
      <x:c r="I2966" s="39" t="str">
        <x:v>نیازمند تعریف خروجی یا پارک</x:v>
      </x:c>
      <x:c r="J2966" s="39" t="str">
        <x:v>تحلیلگر راهبری/PMO؛ تبدیل به فرضیه یا اقدام در صورت نیاز</x:v>
      </x:c>
      <x:c r="K2966" s="39" t="str"/>
      <x:c r="L2966" s="39" t="str">
        <x:v>E112:P2638</x:v>
      </x:c>
      <x:c r="M2966" s="39" t="str"/>
      <x:c r="N2966" s="39" t="str">
        <x:v>نسخه پایه ۳۱۵۰</x:v>
      </x:c>
    </x:row>
    <x:row r="2967" ht="34" customHeight="1">
      <x:c r="A2967" s="34" t="str">
        <x:v>☐</x:v>
      </x:c>
      <x:c r="B2967" s="34" t="str">
        <x:v>MI-2682</x:v>
      </x:c>
      <x:c r="C2967" s="34" t="str">
        <x:v>M6 — تحلیل‌های خام و ورودی‌های نیازمند پالایش</x:v>
      </x:c>
      <x:c r="D2967" s="34" t="str">
        <x:v>H20</x:v>
      </x:c>
      <x:c r="E2967" s="34" t="str">
        <x:v>یادداشت تحلیلی/راهبری ثبت‌شده در 11211</x:v>
      </x:c>
      <x:c r="F2967" s="34" t="str">
        <x:v>P3/CLARIFY</x:v>
      </x:c>
      <x:c r="G2967" s="34" t="str">
        <x:v>هدف/موضوع</x:v>
      </x:c>
      <x:c r="H2967" s="39" t="str">
        <x:v>نوآوری</x:v>
      </x:c>
      <x:c r="I2967" s="39" t="str">
        <x:v>نیازمند تعریف خروجی یا پارک</x:v>
      </x:c>
      <x:c r="J2967" s="39" t="str">
        <x:v>تحلیلگر راهبری/PMO؛ تبدیل به فرضیه یا اقدام در صورت نیاز</x:v>
      </x:c>
      <x:c r="K2967" s="39" t="str"/>
      <x:c r="L2967" s="39" t="str">
        <x:v>E112:P2642</x:v>
      </x:c>
      <x:c r="M2967" s="39" t="str"/>
      <x:c r="N2967" s="39" t="str">
        <x:v>نسخه پایه ۳۱۵۰</x:v>
      </x:c>
    </x:row>
    <x:row r="2968" ht="34" customHeight="1">
      <x:c r="A2968" s="34" t="str">
        <x:v>☐</x:v>
      </x:c>
      <x:c r="B2968" s="34" t="str">
        <x:v>MI-2686</x:v>
      </x:c>
      <x:c r="C2968" s="34" t="str">
        <x:v>M6 — تحلیل‌های خام و ورودی‌های نیازمند پالایش</x:v>
      </x:c>
      <x:c r="D2968" s="34" t="str">
        <x:v>H20</x:v>
      </x:c>
      <x:c r="E2968" s="34" t="str">
        <x:v>یادداشت تحلیلی/راهبری ثبت‌شده در 11211</x:v>
      </x:c>
      <x:c r="F2968" s="34" t="str">
        <x:v>P3/CLARIFY</x:v>
      </x:c>
      <x:c r="G2968" s="34" t="str">
        <x:v>هدف/موضوع</x:v>
      </x:c>
      <x:c r="H2968" s="39" t="str">
        <x:v>افزایش مشارکت اجتماعی</x:v>
      </x:c>
      <x:c r="I2968" s="39" t="str">
        <x:v>نیازمند تعریف خروجی یا پارک</x:v>
      </x:c>
      <x:c r="J2968" s="39" t="str">
        <x:v>تحلیلگر راهبری/PMO؛ تبدیل به فرضیه یا اقدام در صورت نیاز</x:v>
      </x:c>
      <x:c r="K2968" s="39" t="str"/>
      <x:c r="L2968" s="39" t="str">
        <x:v>E112:P2650</x:v>
      </x:c>
      <x:c r="M2968" s="39" t="str"/>
      <x:c r="N2968" s="39" t="str">
        <x:v>نسخه پایه ۳۱۵۰</x:v>
      </x:c>
    </x:row>
    <x:row r="2969" ht="34" customHeight="1">
      <x:c r="A2969" s="34" t="str">
        <x:v>☐</x:v>
      </x:c>
      <x:c r="B2969" s="34" t="str">
        <x:v>MI-2688</x:v>
      </x:c>
      <x:c r="C2969" s="34" t="str">
        <x:v>M6 — تحلیل‌های خام و ورودی‌های نیازمند پالایش</x:v>
      </x:c>
      <x:c r="D2969" s="34" t="str">
        <x:v>H20</x:v>
      </x:c>
      <x:c r="E2969" s="34" t="str">
        <x:v>یادداشت تحلیلی/راهبری ثبت‌شده در 11211</x:v>
      </x:c>
      <x:c r="F2969" s="34" t="str">
        <x:v>P3/CLARIFY</x:v>
      </x:c>
      <x:c r="G2969" s="34" t="str">
        <x:v>هدف/موضوع</x:v>
      </x:c>
      <x:c r="H2969" s="39" t="str">
        <x:v>9. توسعه نسل آینده نوآوری</x:v>
      </x:c>
      <x:c r="I2969" s="39" t="str">
        <x:v>نیازمند تعریف خروجی یا پارک</x:v>
      </x:c>
      <x:c r="J2969" s="39" t="str">
        <x:v>تحلیلگر راهبری/PMO؛ تبدیل به فرضیه یا اقدام در صورت نیاز</x:v>
      </x:c>
      <x:c r="K2969" s="39" t="str"/>
      <x:c r="L2969" s="39" t="str">
        <x:v>E112:P2653</x:v>
      </x:c>
      <x:c r="M2969" s="39" t="str"/>
      <x:c r="N2969" s="39" t="str">
        <x:v>نسخه پایه ۳۱۵۰</x:v>
      </x:c>
    </x:row>
    <x:row r="2970" ht="34" customHeight="1">
      <x:c r="A2970" s="34" t="str">
        <x:v>☐</x:v>
      </x:c>
      <x:c r="B2970" s="34" t="str">
        <x:v>MI-2690</x:v>
      </x:c>
      <x:c r="C2970" s="34" t="str">
        <x:v>M6 — تحلیل‌های خام و ورودی‌های نیازمند پالایش</x:v>
      </x:c>
      <x:c r="D2970" s="34" t="str">
        <x:v>H20</x:v>
      </x:c>
      <x:c r="E2970" s="34" t="str">
        <x:v>یادداشت تحلیلی/راهبری ثبت‌شده در 11211</x:v>
      </x:c>
      <x:c r="F2970" s="34" t="str">
        <x:v>P3/CLARIFY</x:v>
      </x:c>
      <x:c r="G2970" s="34" t="str">
        <x:v>هدف/موضوع</x:v>
      </x:c>
      <x:c r="H2970" s="39" t="str">
        <x:v>در این راستا می توان:</x:v>
      </x:c>
      <x:c r="I2970" s="39" t="str">
        <x:v>نیازمند تعریف خروجی یا پارک</x:v>
      </x:c>
      <x:c r="J2970" s="39" t="str">
        <x:v>تحلیلگر راهبری/PMO؛ تبدیل به فرضیه یا اقدام در صورت نیاز</x:v>
      </x:c>
      <x:c r="K2970" s="39" t="str"/>
      <x:c r="L2970" s="39" t="str">
        <x:v>E112:P2657</x:v>
      </x:c>
      <x:c r="M2970" s="39" t="str"/>
      <x:c r="N2970" s="39" t="str">
        <x:v>نسخه پایه ۳۱۵۰</x:v>
      </x:c>
    </x:row>
    <x:row r="2971" ht="34" customHeight="1">
      <x:c r="A2971" s="34" t="str">
        <x:v>☐</x:v>
      </x:c>
      <x:c r="B2971" s="34" t="str">
        <x:v>MI-2692</x:v>
      </x:c>
      <x:c r="C2971" s="34" t="str">
        <x:v>M6 — تحلیل‌های خام و ورودی‌های نیازمند پالایش</x:v>
      </x:c>
      <x:c r="D2971" s="34" t="str">
        <x:v>H20</x:v>
      </x:c>
      <x:c r="E2971" s="34" t="str">
        <x:v>یادداشت تحلیلی/راهبری ثبت‌شده در 11211</x:v>
      </x:c>
      <x:c r="F2971" s="34" t="str">
        <x:v>P3/CLARIFY</x:v>
      </x:c>
      <x:c r="G2971" s="34" t="str">
        <x:v>هدف/موضوع</x:v>
      </x:c>
      <x:c r="H2971" s="39" t="str">
        <x:v>فعالیت ها می تواند شامل:</x:v>
      </x:c>
      <x:c r="I2971" s="39" t="str">
        <x:v>نیازمند تعریف خروجی یا پارک</x:v>
      </x:c>
      <x:c r="J2971" s="39" t="str">
        <x:v>تحلیلگر راهبری/PMO؛ تبدیل به فرضیه یا اقدام در صورت نیاز</x:v>
      </x:c>
      <x:c r="K2971" s="39" t="str"/>
      <x:c r="L2971" s="39" t="str">
        <x:v>E112:P2661</x:v>
      </x:c>
      <x:c r="M2971" s="39" t="str"/>
      <x:c r="N2971" s="39" t="str">
        <x:v>نسخه پایه ۳۱۵۰</x:v>
      </x:c>
    </x:row>
    <x:row r="2972" ht="34" customHeight="1">
      <x:c r="A2972" s="34" t="str">
        <x:v>☐</x:v>
      </x:c>
      <x:c r="B2972" s="34" t="str">
        <x:v>MI-2697</x:v>
      </x:c>
      <x:c r="C2972" s="34" t="str">
        <x:v>M6 — تحلیل‌های خام و ورودی‌های نیازمند پالایش</x:v>
      </x:c>
      <x:c r="D2972" s="34" t="str">
        <x:v>H20</x:v>
      </x:c>
      <x:c r="E2972" s="34" t="str">
        <x:v>یادداشت تحلیلی/راهبری ثبت‌شده در 11211</x:v>
      </x:c>
      <x:c r="F2972" s="34" t="str">
        <x:v>P3/CLARIFY</x:v>
      </x:c>
      <x:c r="G2972" s="34" t="str">
        <x:v>هدف/موضوع</x:v>
      </x:c>
      <x:c r="H2972" s="39" t="str">
        <x:v>مسابقات فناوری</x:v>
      </x:c>
      <x:c r="I2972" s="39" t="str">
        <x:v>نیازمند تعریف خروجی یا پارک</x:v>
      </x:c>
      <x:c r="J2972" s="39" t="str">
        <x:v>تحلیلگر راهبری/PMO؛ تبدیل به فرضیه یا اقدام در صورت نیاز</x:v>
      </x:c>
      <x:c r="K2972" s="39" t="str"/>
      <x:c r="L2972" s="39" t="str">
        <x:v>E112:P2671</x:v>
      </x:c>
      <x:c r="M2972" s="39" t="str"/>
      <x:c r="N2972" s="39" t="str">
        <x:v>نسخه پایه ۳۱۵۰</x:v>
      </x:c>
    </x:row>
    <x:row r="2973" ht="34" customHeight="1">
      <x:c r="A2973" s="34" t="str">
        <x:v>☐</x:v>
      </x:c>
      <x:c r="B2973" s="34" t="str">
        <x:v>MI-2699</x:v>
      </x:c>
      <x:c r="C2973" s="34" t="str">
        <x:v>M6 — تحلیل‌های خام و ورودی‌های نیازمند پالایش</x:v>
      </x:c>
      <x:c r="D2973" s="34" t="str">
        <x:v>H20</x:v>
      </x:c>
      <x:c r="E2973" s="34" t="str">
        <x:v>یادداشت تحلیلی/راهبری ثبت‌شده در 11211</x:v>
      </x:c>
      <x:c r="F2973" s="34" t="str">
        <x:v>P3/CLARIFY</x:v>
      </x:c>
      <x:c r="G2973" s="34" t="str">
        <x:v>هدف/موضوع</x:v>
      </x:c>
      <x:c r="H2973" s="39" t="str">
        <x:v>پرورش نسل آینده کارآفرینان استان است.</x:v>
      </x:c>
      <x:c r="I2973" s="39" t="str">
        <x:v>نیازمند تعریف خروجی یا پارک</x:v>
      </x:c>
      <x:c r="J2973" s="39" t="str">
        <x:v>تحلیلگر راهبری/PMO؛ تبدیل به فرضیه یا اقدام در صورت نیاز</x:v>
      </x:c>
      <x:c r="K2973" s="39" t="str"/>
      <x:c r="L2973" s="39" t="str">
        <x:v>E112:P2675</x:v>
      </x:c>
      <x:c r="M2973" s="39" t="str"/>
      <x:c r="N2973" s="39" t="str">
        <x:v>نسخه پایه ۳۱۵۰</x:v>
      </x:c>
    </x:row>
    <x:row r="2974" ht="34" customHeight="1">
      <x:c r="A2974" s="34" t="str">
        <x:v>☐</x:v>
      </x:c>
      <x:c r="B2974" s="34" t="str">
        <x:v>MI-2701</x:v>
      </x:c>
      <x:c r="C2974" s="34" t="str">
        <x:v>M6 — تحلیل‌های خام و ورودی‌های نیازمند پالایش</x:v>
      </x:c>
      <x:c r="D2974" s="34" t="str">
        <x:v>H20</x:v>
      </x:c>
      <x:c r="E2974" s="34" t="str">
        <x:v>یادداشت تحلیلی/راهبری ثبت‌شده در 11211</x:v>
      </x:c>
      <x:c r="F2974" s="34" t="str">
        <x:v>P3/CLARIFY</x:v>
      </x:c>
      <x:c r="G2974" s="34" t="str">
        <x:v>هدف/موضوع</x:v>
      </x:c>
      <x:c r="H2974" s="39" t="str">
        <x:v>کاربرد این اردوگاه ها:</x:v>
      </x:c>
      <x:c r="I2974" s="39" t="str">
        <x:v>نیازمند تعریف خروجی یا پارک</x:v>
      </x:c>
      <x:c r="J2974" s="39" t="str">
        <x:v>تحلیلگر راهبری/PMO؛ تبدیل به فرضیه یا اقدام در صورت نیاز</x:v>
      </x:c>
      <x:c r="K2974" s="39" t="str"/>
      <x:c r="L2974" s="39" t="str">
        <x:v>E112:P2680</x:v>
      </x:c>
      <x:c r="M2974" s="39" t="str"/>
      <x:c r="N2974" s="39" t="str">
        <x:v>نسخه پایه ۳۱۵۰</x:v>
      </x:c>
    </x:row>
    <x:row r="2975" ht="34" customHeight="1">
      <x:c r="A2975" s="34" t="str">
        <x:v>☐</x:v>
      </x:c>
      <x:c r="B2975" s="34" t="str">
        <x:v>MI-2709</x:v>
      </x:c>
      <x:c r="C2975" s="34" t="str">
        <x:v>M6 — تحلیل‌های خام و ورودی‌های نیازمند پالایش</x:v>
      </x:c>
      <x:c r="D2975" s="34" t="str">
        <x:v>H20</x:v>
      </x:c>
      <x:c r="E2975" s="34" t="str">
        <x:v>یادداشت تحلیلی/راهبری ثبت‌شده در 11211</x:v>
      </x:c>
      <x:c r="F2975" s="34" t="str">
        <x:v>P3/CLARIFY</x:v>
      </x:c>
      <x:c r="G2975" s="34" t="str">
        <x:v>هدف/موضوع</x:v>
      </x:c>
      <x:c r="H2975" s="39" t="str">
        <x:v>متخصصان</x:v>
      </x:c>
      <x:c r="I2975" s="39" t="str">
        <x:v>نیازمند تعریف خروجی یا پارک</x:v>
      </x:c>
      <x:c r="J2975" s="39" t="str">
        <x:v>تحلیلگر راهبری/PMO؛ تبدیل به فرضیه یا اقدام در صورت نیاز</x:v>
      </x:c>
      <x:c r="K2975" s="39" t="str"/>
      <x:c r="L2975" s="39" t="str">
        <x:v>E112:P2702</x:v>
      </x:c>
      <x:c r="M2975" s="39" t="str"/>
      <x:c r="N2975" s="39" t="str">
        <x:v>نسخه پایه ۳۱۵۰</x:v>
      </x:c>
    </x:row>
    <x:row r="2976" ht="34" customHeight="1">
      <x:c r="A2976" s="34" t="str">
        <x:v>☐</x:v>
      </x:c>
      <x:c r="B2976" s="34" t="str">
        <x:v>MI-2710</x:v>
      </x:c>
      <x:c r="C2976" s="34" t="str">
        <x:v>M6 — تحلیل‌های خام و ورودی‌های نیازمند پالایش</x:v>
      </x:c>
      <x:c r="D2976" s="34" t="str">
        <x:v>H20</x:v>
      </x:c>
      <x:c r="E2976" s="34" t="str">
        <x:v>یادداشت تحلیلی/راهبری ثبت‌شده در 11211</x:v>
      </x:c>
      <x:c r="F2976" s="34" t="str">
        <x:v>P3/CLARIFY</x:v>
      </x:c>
      <x:c r="G2976" s="34" t="str">
        <x:v>هدف/موضوع</x:v>
      </x:c>
      <x:c r="H2976" s="39" t="str">
        <x:v>را در یک محیط چند روزه گرد هم آورد.</x:v>
      </x:c>
      <x:c r="I2976" s="39" t="str">
        <x:v>نیازمند تعریف خروجی یا پارک</x:v>
      </x:c>
      <x:c r="J2976" s="39" t="str">
        <x:v>تحلیلگر راهبری/PMO؛ تبدیل به فرضیه یا اقدام در صورت نیاز</x:v>
      </x:c>
      <x:c r="K2976" s="39" t="str"/>
      <x:c r="L2976" s="39" t="str">
        <x:v>E112:P2704</x:v>
      </x:c>
      <x:c r="M2976" s="39" t="str"/>
      <x:c r="N2976" s="39" t="str">
        <x:v>نسخه پایه ۳۱۵۰</x:v>
      </x:c>
    </x:row>
    <x:row r="2977" ht="34" customHeight="1">
      <x:c r="A2977" s="34" t="str">
        <x:v>☐</x:v>
      </x:c>
      <x:c r="B2977" s="34" t="str">
        <x:v>MI-2711</x:v>
      </x:c>
      <x:c r="C2977" s="34" t="str">
        <x:v>M6 — تحلیل‌های خام و ورودی‌های نیازمند پالایش</x:v>
      </x:c>
      <x:c r="D2977" s="34" t="str">
        <x:v>H20</x:v>
      </x:c>
      <x:c r="E2977" s="34" t="str">
        <x:v>یادداشت تحلیلی/راهبری ثبت‌شده در 11211</x:v>
      </x:c>
      <x:c r="F2977" s="34" t="str">
        <x:v>P3/CLARIFY</x:v>
      </x:c>
      <x:c r="G2977" s="34" t="str">
        <x:v>هدف/موضوع</x:v>
      </x:c>
      <x:c r="H2977" s="39" t="str">
        <x:v>این مدل ترکیبی از:</x:v>
      </x:c>
      <x:c r="I2977" s="39" t="str">
        <x:v>نیازمند تعریف خروجی یا پارک</x:v>
      </x:c>
      <x:c r="J2977" s="39" t="str">
        <x:v>تحلیلگر راهبری/PMO؛ تبدیل به فرضیه یا اقدام در صورت نیاز</x:v>
      </x:c>
      <x:c r="K2977" s="39" t="str"/>
      <x:c r="L2977" s="39" t="str">
        <x:v>E112:P2706</x:v>
      </x:c>
      <x:c r="M2977" s="39" t="str"/>
      <x:c r="N2977" s="39" t="str">
        <x:v>نسخه پایه ۳۱۵۰</x:v>
      </x:c>
    </x:row>
    <x:row r="2978" ht="34" customHeight="1">
      <x:c r="A2978" s="34" t="str">
        <x:v>☐</x:v>
      </x:c>
      <x:c r="B2978" s="34" t="str">
        <x:v>MI-2712</x:v>
      </x:c>
      <x:c r="C2978" s="34" t="str">
        <x:v>M6 — تحلیل‌های خام و ورودی‌های نیازمند پالایش</x:v>
      </x:c>
      <x:c r="D2978" s="34" t="str">
        <x:v>H20</x:v>
      </x:c>
      <x:c r="E2978" s="34" t="str">
        <x:v>یادداشت تحلیلی/راهبری ثبت‌شده در 11211</x:v>
      </x:c>
      <x:c r="F2978" s="34" t="str">
        <x:v>P3/CLARIFY</x:v>
      </x:c>
      <x:c r="G2978" s="34" t="str">
        <x:v>هدف/موضوع</x:v>
      </x:c>
      <x:c r="H2978" s="39" t="str">
        <x:v>تجربه ها</x:v>
      </x:c>
      <x:c r="I2978" s="39" t="str">
        <x:v>نیازمند تعریف خروجی یا پارک</x:v>
      </x:c>
      <x:c r="J2978" s="39" t="str">
        <x:v>تحلیلگر راهبری/PMO؛ تبدیل به فرضیه یا اقدام در صورت نیاز</x:v>
      </x:c>
      <x:c r="K2978" s="39" t="str"/>
      <x:c r="L2978" s="39" t="str">
        <x:v>E112:P2710؛ E112:P3340</x:v>
      </x:c>
      <x:c r="M2978" s="39" t="str"/>
      <x:c r="N2978" s="39" t="str">
        <x:v>نسخه پایه ۳۱۵۰</x:v>
      </x:c>
    </x:row>
    <x:row r="2979" ht="34" customHeight="1">
      <x:c r="A2979" s="34" t="str">
        <x:v>☐</x:v>
      </x:c>
      <x:c r="B2979" s="34" t="str">
        <x:v>MI-2718</x:v>
      </x:c>
      <x:c r="C2979" s="34" t="str">
        <x:v>M6 — تحلیل‌های خام و ورودی‌های نیازمند پالایش</x:v>
      </x:c>
      <x:c r="D2979" s="34" t="str">
        <x:v>H20</x:v>
      </x:c>
      <x:c r="E2979" s="34" t="str">
        <x:v>یادداشت تحلیلی/راهبری ثبت‌شده در 11211</x:v>
      </x:c>
      <x:c r="F2979" s="34" t="str">
        <x:v>P3/CLARIFY</x:v>
      </x:c>
      <x:c r="G2979" s="34" t="str">
        <x:v>هدف/موضوع</x:v>
      </x:c>
      <x:c r="H2979" s="39" t="str">
        <x:v>صنایع استان</x:v>
      </x:c>
      <x:c r="I2979" s="39" t="str">
        <x:v>نیازمند تعریف خروجی یا پارک</x:v>
      </x:c>
      <x:c r="J2979" s="39" t="str">
        <x:v>تحلیلگر راهبری/PMO؛ تبدیل به فرضیه یا اقدام در صورت نیاز</x:v>
      </x:c>
      <x:c r="K2979" s="39" t="str"/>
      <x:c r="L2979" s="39" t="str">
        <x:v>E112:P2723؛ E112:P3046</x:v>
      </x:c>
      <x:c r="M2979" s="39" t="str"/>
      <x:c r="N2979" s="39" t="str">
        <x:v>نسخه پایه ۳۱۵۰</x:v>
      </x:c>
    </x:row>
    <x:row r="2980" ht="34" customHeight="1">
      <x:c r="A2980" s="34" t="str">
        <x:v>☐</x:v>
      </x:c>
      <x:c r="B2980" s="34" t="str">
        <x:v>MI-2720</x:v>
      </x:c>
      <x:c r="C2980" s="34" t="str">
        <x:v>M6 — تحلیل‌های خام و ورودی‌های نیازمند پالایش</x:v>
      </x:c>
      <x:c r="D2980" s="34" t="str">
        <x:v>H20</x:v>
      </x:c>
      <x:c r="E2980" s="34" t="str">
        <x:v>یادداشت تحلیلی/راهبری ثبت‌شده در 11211</x:v>
      </x:c>
      <x:c r="F2980" s="34" t="str">
        <x:v>P3/CLARIFY</x:v>
      </x:c>
      <x:c r="G2980" s="34" t="str">
        <x:v>هدف/موضوع</x:v>
      </x:c>
      <x:c r="H2980" s="39" t="str">
        <x:v>بخش خصوصی</x:v>
      </x:c>
      <x:c r="I2980" s="39" t="str">
        <x:v>نیازمند تعریف خروجی یا پارک</x:v>
      </x:c>
      <x:c r="J2980" s="39" t="str">
        <x:v>تحلیلگر راهبری/PMO؛ تبدیل به فرضیه یا اقدام در صورت نیاز</x:v>
      </x:c>
      <x:c r="K2980" s="39" t="str"/>
      <x:c r="L2980" s="39" t="str">
        <x:v>E112:P2729</x:v>
      </x:c>
      <x:c r="M2980" s="39" t="str"/>
      <x:c r="N2980" s="39" t="str">
        <x:v>نسخه پایه ۳۱۵۰</x:v>
      </x:c>
    </x:row>
    <x:row r="2981" ht="34" customHeight="1">
      <x:c r="A2981" s="34" t="str">
        <x:v>☐</x:v>
      </x:c>
      <x:c r="B2981" s="34" t="str">
        <x:v>MI-2721</x:v>
      </x:c>
      <x:c r="C2981" s="34" t="str">
        <x:v>M6 — تحلیل‌های خام و ورودی‌های نیازمند پالایش</x:v>
      </x:c>
      <x:c r="D2981" s="34" t="str">
        <x:v>H20</x:v>
      </x:c>
      <x:c r="E2981" s="34" t="str">
        <x:v>یادداشت تحلیلی/راهبری ثبت‌شده در 11211</x:v>
      </x:c>
      <x:c r="F2981" s="34" t="str">
        <x:v>P3/CLARIFY</x:v>
      </x:c>
      <x:c r="G2981" s="34" t="str">
        <x:v>هدف/موضوع</x:v>
      </x:c>
      <x:c r="H2981" s="39" t="str">
        <x:v>پس از عارضه یابی:</x:v>
      </x:c>
      <x:c r="I2981" s="39" t="str">
        <x:v>نیازمند تعریف خروجی یا پارک</x:v>
      </x:c>
      <x:c r="J2981" s="39" t="str">
        <x:v>تحلیلگر راهبری/PMO؛ تبدیل به فرضیه یا اقدام در صورت نیاز</x:v>
      </x:c>
      <x:c r="K2981" s="39" t="str"/>
      <x:c r="L2981" s="39" t="str">
        <x:v>E112:P2733</x:v>
      </x:c>
      <x:c r="M2981" s="39" t="str"/>
      <x:c r="N2981" s="39" t="str">
        <x:v>نسخه پایه ۳۱۵۰</x:v>
      </x:c>
    </x:row>
    <x:row r="2982" ht="34" customHeight="1">
      <x:c r="A2982" s="34" t="str">
        <x:v>☐</x:v>
      </x:c>
      <x:c r="B2982" s="34" t="str">
        <x:v>MI-2723</x:v>
      </x:c>
      <x:c r="C2982" s="34" t="str">
        <x:v>M6 — تحلیل‌های خام و ورودی‌های نیازمند پالایش</x:v>
      </x:c>
      <x:c r="D2982" s="34" t="str">
        <x:v>H20</x:v>
      </x:c>
      <x:c r="E2982" s="34" t="str">
        <x:v>یادداشت تحلیلی/راهبری ثبت‌شده در 11211</x:v>
      </x:c>
      <x:c r="F2982" s="34" t="str">
        <x:v>P3/CLARIFY</x:v>
      </x:c>
      <x:c r="G2982" s="34" t="str">
        <x:v>هدف/موضوع</x:v>
      </x:c>
      <x:c r="H2982" s="39" t="str">
        <x:v>تیم تشکیل می شود</x:v>
      </x:c>
      <x:c r="I2982" s="39" t="str">
        <x:v>نیازمند تعریف خروجی یا پارک</x:v>
      </x:c>
      <x:c r="J2982" s="39" t="str">
        <x:v>تحلیلگر راهبری/PMO؛ تبدیل به فرضیه یا اقدام در صورت نیاز</x:v>
      </x:c>
      <x:c r="K2982" s="39" t="str"/>
      <x:c r="L2982" s="39" t="str">
        <x:v>E112:P2737</x:v>
      </x:c>
      <x:c r="M2982" s="39" t="str"/>
      <x:c r="N2982" s="39" t="str">
        <x:v>نسخه پایه ۳۱۵۰</x:v>
      </x:c>
    </x:row>
    <x:row r="2983" ht="34" customHeight="1">
      <x:c r="A2983" s="34" t="str">
        <x:v>☐</x:v>
      </x:c>
      <x:c r="B2983" s="34" t="str">
        <x:v>MI-2725</x:v>
      </x:c>
      <x:c r="C2983" s="34" t="str">
        <x:v>M6 — تحلیل‌های خام و ورودی‌های نیازمند پالایش</x:v>
      </x:c>
      <x:c r="D2983" s="34" t="str">
        <x:v>H20</x:v>
      </x:c>
      <x:c r="E2983" s="34" t="str">
        <x:v>یادداشت تحلیلی/راهبری ثبت‌شده در 11211</x:v>
      </x:c>
      <x:c r="F2983" s="34" t="str">
        <x:v>P3/CLARIFY</x:v>
      </x:c>
      <x:c r="G2983" s="34" t="str">
        <x:v>هدف/موضوع</x:v>
      </x:c>
      <x:c r="H2983" s="39" t="str">
        <x:v>و تیم روی حل مسیله کار می کند.</x:v>
      </x:c>
      <x:c r="I2983" s="39" t="str">
        <x:v>نیازمند تعریف خروجی یا پارک</x:v>
      </x:c>
      <x:c r="J2983" s="39" t="str">
        <x:v>تحلیلگر راهبری/PMO؛ تبدیل به فرضیه یا اقدام در صورت نیاز</x:v>
      </x:c>
      <x:c r="K2983" s="39" t="str"/>
      <x:c r="L2983" s="39" t="str">
        <x:v>E112:P2741</x:v>
      </x:c>
      <x:c r="M2983" s="39" t="str"/>
      <x:c r="N2983" s="39" t="str">
        <x:v>نسخه پایه ۳۱۵۰</x:v>
      </x:c>
    </x:row>
    <x:row r="2984" ht="34" customHeight="1">
      <x:c r="A2984" s="34" t="str">
        <x:v>☐</x:v>
      </x:c>
      <x:c r="B2984" s="34" t="str">
        <x:v>MI-2728</x:v>
      </x:c>
      <x:c r="C2984" s="34" t="str">
        <x:v>M6 — تحلیل‌های خام و ورودی‌های نیازمند پالایش</x:v>
      </x:c>
      <x:c r="D2984" s="34" t="str">
        <x:v>H20</x:v>
      </x:c>
      <x:c r="E2984" s="34" t="str">
        <x:v>یادداشت تحلیلی/راهبری ثبت‌شده در 11211</x:v>
      </x:c>
      <x:c r="F2984" s="34" t="str">
        <x:v>P3/CLARIFY</x:v>
      </x:c>
      <x:c r="G2984" s="34" t="str">
        <x:v>هدف/موضوع</x:v>
      </x:c>
      <x:c r="H2984" s="39" t="str">
        <x:v>انواع رویدادها:</x:v>
      </x:c>
      <x:c r="I2984" s="39" t="str">
        <x:v>نیازمند تعریف خروجی یا پارک</x:v>
      </x:c>
      <x:c r="J2984" s="39" t="str">
        <x:v>تحلیلگر راهبری/PMO؛ تبدیل به فرضیه یا اقدام در صورت نیاز</x:v>
      </x:c>
      <x:c r="K2984" s="39" t="str"/>
      <x:c r="L2984" s="39" t="str">
        <x:v>E112:P2746</x:v>
      </x:c>
      <x:c r="M2984" s="39" t="str"/>
      <x:c r="N2984" s="39" t="str">
        <x:v>نسخه پایه ۳۱۵۰</x:v>
      </x:c>
    </x:row>
    <x:row r="2985" ht="34" customHeight="1">
      <x:c r="A2985" s="34" t="str">
        <x:v>☐</x:v>
      </x:c>
      <x:c r="B2985" s="34" t="str">
        <x:v>MI-2729</x:v>
      </x:c>
      <x:c r="C2985" s="34" t="str">
        <x:v>M6 — تحلیل‌های خام و ورودی‌های نیازمند پالایش</x:v>
      </x:c>
      <x:c r="D2985" s="34" t="str">
        <x:v>H20</x:v>
      </x:c>
      <x:c r="E2985" s="34" t="str">
        <x:v>یادداشت تحلیلی/راهبری ثبت‌شده در 11211</x:v>
      </x:c>
      <x:c r="F2985" s="34" t="str">
        <x:v>P3/CLARIFY</x:v>
      </x:c>
      <x:c r="G2985" s="34" t="str">
        <x:v>هدف/موضوع</x:v>
      </x:c>
      <x:c r="H2985" s="39" t="str">
        <x:v>مسابقات نوآوری</x:v>
      </x:c>
      <x:c r="I2985" s="39" t="str">
        <x:v>نیازمند تعریف خروجی یا پارک</x:v>
      </x:c>
      <x:c r="J2985" s="39" t="str">
        <x:v>تحلیلگر راهبری/PMO؛ تبدیل به فرضیه یا اقدام در صورت نیاز</x:v>
      </x:c>
      <x:c r="K2985" s="39" t="str"/>
      <x:c r="L2985" s="39" t="str">
        <x:v>E112:P2754</x:v>
      </x:c>
      <x:c r="M2985" s="39" t="str"/>
      <x:c r="N2985" s="39" t="str">
        <x:v>نسخه پایه ۳۱۵۰</x:v>
      </x:c>
    </x:row>
    <x:row r="2986" ht="34" customHeight="1">
      <x:c r="A2986" s="34" t="str">
        <x:v>☐</x:v>
      </x:c>
      <x:c r="B2986" s="34" t="str">
        <x:v>MI-2730</x:v>
      </x:c>
      <x:c r="C2986" s="34" t="str">
        <x:v>M6 — تحلیل‌های خام و ورودی‌های نیازمند پالایش</x:v>
      </x:c>
      <x:c r="D2986" s="34" t="str">
        <x:v>H20</x:v>
      </x:c>
      <x:c r="E2986" s="34" t="str">
        <x:v>یادداشت تحلیلی/راهبری ثبت‌شده در 11211</x:v>
      </x:c>
      <x:c r="F2986" s="34" t="str">
        <x:v>P3/CLARIFY</x:v>
      </x:c>
      <x:c r="G2986" s="34" t="str">
        <x:v>هدف/موضوع</x:v>
      </x:c>
      <x:c r="H2986" s="39" t="str">
        <x:v>اهداف این رویدادها:</x:v>
      </x:c>
      <x:c r="I2986" s="39" t="str">
        <x:v>نیازمند تعریف خروجی یا پارک</x:v>
      </x:c>
      <x:c r="J2986" s="39" t="str">
        <x:v>تحلیلگر راهبری/PMO؛ تبدیل به فرضیه یا اقدام در صورت نیاز</x:v>
      </x:c>
      <x:c r="K2986" s="39" t="str"/>
      <x:c r="L2986" s="39" t="str">
        <x:v>E112:P2760</x:v>
      </x:c>
      <x:c r="M2986" s="39" t="str"/>
      <x:c r="N2986" s="39" t="str">
        <x:v>نسخه پایه ۳۱۵۰</x:v>
      </x:c>
    </x:row>
    <x:row r="2987" ht="34" customHeight="1">
      <x:c r="A2987" s="34" t="str">
        <x:v>☐</x:v>
      </x:c>
      <x:c r="B2987" s="34" t="str">
        <x:v>MI-2731</x:v>
      </x:c>
      <x:c r="C2987" s="34" t="str">
        <x:v>M6 — تحلیل‌های خام و ورودی‌های نیازمند پالایش</x:v>
      </x:c>
      <x:c r="D2987" s="34" t="str">
        <x:v>H20</x:v>
      </x:c>
      <x:c r="E2987" s="34" t="str">
        <x:v>یادداشت تحلیلی/راهبری ثبت‌شده در 11211</x:v>
      </x:c>
      <x:c r="F2987" s="34" t="str">
        <x:v>P3/CLARIFY</x:v>
      </x:c>
      <x:c r="G2987" s="34" t="str">
        <x:v>هدف/موضوع</x:v>
      </x:c>
      <x:c r="H2987" s="39" t="str">
        <x:v>جلب توجه رسانه ها</x:v>
      </x:c>
      <x:c r="I2987" s="39" t="str">
        <x:v>نیازمند تعریف خروجی یا پارک</x:v>
      </x:c>
      <x:c r="J2987" s="39" t="str">
        <x:v>تحلیلگر راهبری/PMO؛ تبدیل به فرضیه یا اقدام در صورت نیاز</x:v>
      </x:c>
      <x:c r="K2987" s="39" t="str"/>
      <x:c r="L2987" s="39" t="str">
        <x:v>E112:P2770</x:v>
      </x:c>
      <x:c r="M2987" s="39" t="str"/>
      <x:c r="N2987" s="39" t="str">
        <x:v>نسخه پایه ۳۱۵۰</x:v>
      </x:c>
    </x:row>
    <x:row r="2988" ht="34" customHeight="1">
      <x:c r="A2988" s="34" t="str">
        <x:v>☐</x:v>
      </x:c>
      <x:c r="B2988" s="34" t="str">
        <x:v>MI-2734</x:v>
      </x:c>
      <x:c r="C2988" s="34" t="str">
        <x:v>M6 — تحلیل‌های خام و ورودی‌های نیازمند پالایش</x:v>
      </x:c>
      <x:c r="D2988" s="34" t="str">
        <x:v>H20</x:v>
      </x:c>
      <x:c r="E2988" s="34" t="str">
        <x:v>یادداشت تحلیلی/راهبری ثبت‌شده در 11211</x:v>
      </x:c>
      <x:c r="F2988" s="34" t="str">
        <x:v>P3/CLARIFY</x:v>
      </x:c>
      <x:c r="G2988" s="34" t="str">
        <x:v>هدف/موضوع</x:v>
      </x:c>
      <x:c r="H2988" s="39" t="str">
        <x:v>این اتصال می تواند از طریق:</x:v>
      </x:c>
      <x:c r="I2988" s="39" t="str">
        <x:v>نیازمند تعریف خروجی یا پارک</x:v>
      </x:c>
      <x:c r="J2988" s="39" t="str">
        <x:v>تحلیلگر راهبری/PMO؛ تبدیل به فرضیه یا اقدام در صورت نیاز</x:v>
      </x:c>
      <x:c r="K2988" s="39" t="str"/>
      <x:c r="L2988" s="39" t="str">
        <x:v>E112:P2775</x:v>
      </x:c>
      <x:c r="M2988" s="39" t="str"/>
      <x:c r="N2988" s="39" t="str">
        <x:v>نسخه پایه ۳۱۵۰</x:v>
      </x:c>
    </x:row>
    <x:row r="2989" ht="34" customHeight="1">
      <x:c r="A2989" s="34" t="str">
        <x:v>☐</x:v>
      </x:c>
      <x:c r="B2989" s="34" t="str">
        <x:v>MI-2736</x:v>
      </x:c>
      <x:c r="C2989" s="34" t="str">
        <x:v>M6 — تحلیل‌های خام و ورودی‌های نیازمند پالایش</x:v>
      </x:c>
      <x:c r="D2989" s="34" t="str">
        <x:v>H20</x:v>
      </x:c>
      <x:c r="E2989" s="34" t="str">
        <x:v>یادداشت تحلیلی/راهبری ثبت‌شده در 11211</x:v>
      </x:c>
      <x:c r="F2989" s="34" t="str">
        <x:v>P3/CLARIFY</x:v>
      </x:c>
      <x:c r="G2989" s="34" t="str">
        <x:v>هدف/موضوع</x:v>
      </x:c>
      <x:c r="H2989" s="39" t="str">
        <x:v>صورت بگیرد.</x:v>
      </x:c>
      <x:c r="I2989" s="39" t="str">
        <x:v>نیازمند تعریف خروجی یا پارک</x:v>
      </x:c>
      <x:c r="J2989" s="39" t="str">
        <x:v>تحلیلگر راهبری/PMO؛ تبدیل به فرضیه یا اقدام در صورت نیاز</x:v>
      </x:c>
      <x:c r="K2989" s="39" t="str"/>
      <x:c r="L2989" s="39" t="str">
        <x:v>E112:P2785</x:v>
      </x:c>
      <x:c r="M2989" s="39" t="str"/>
      <x:c r="N2989" s="39" t="str">
        <x:v>نسخه پایه ۳۱۵۰</x:v>
      </x:c>
    </x:row>
    <x:row r="2990" ht="34" customHeight="1">
      <x:c r="A2990" s="34" t="str">
        <x:v>☐</x:v>
      </x:c>
      <x:c r="B2990" s="34" t="str">
        <x:v>MI-2739</x:v>
      </x:c>
      <x:c r="C2990" s="34" t="str">
        <x:v>M6 — تحلیل‌های خام و ورودی‌های نیازمند پالایش</x:v>
      </x:c>
      <x:c r="D2990" s="34" t="str">
        <x:v>H20</x:v>
      </x:c>
      <x:c r="E2990" s="34" t="str">
        <x:v>یادداشت تحلیلی/راهبری ثبت‌شده در 11211</x:v>
      </x:c>
      <x:c r="F2990" s="34" t="str">
        <x:v>P3/CLARIFY</x:v>
      </x:c>
      <x:c r="G2990" s="34" t="str">
        <x:v>هدف/موضوع</x:v>
      </x:c>
      <x:c r="H2990" s="39" t="str">
        <x:v>دفتر بگیرند</x:v>
      </x:c>
      <x:c r="I2990" s="39" t="str">
        <x:v>نیازمند تعریف خروجی یا پارک</x:v>
      </x:c>
      <x:c r="J2990" s="39" t="str">
        <x:v>تحلیلگر راهبری/PMO؛ تبدیل به فرضیه یا اقدام در صورت نیاز</x:v>
      </x:c>
      <x:c r="K2990" s="39" t="str"/>
      <x:c r="L2990" s="39" t="str">
        <x:v>E112:P2791</x:v>
      </x:c>
      <x:c r="M2990" s="39" t="str"/>
      <x:c r="N2990" s="39" t="str">
        <x:v>نسخه پایه ۳۱۵۰</x:v>
      </x:c>
    </x:row>
    <x:row r="2991" ht="34" customHeight="1">
      <x:c r="A2991" s="34" t="str">
        <x:v>☐</x:v>
      </x:c>
      <x:c r="B2991" s="34" t="str">
        <x:v>MI-2741</x:v>
      </x:c>
      <x:c r="C2991" s="34" t="str">
        <x:v>M6 — تحلیل‌های خام و ورودی‌های نیازمند پالایش</x:v>
      </x:c>
      <x:c r="D2991" s="34" t="str">
        <x:v>H20</x:v>
      </x:c>
      <x:c r="E2991" s="34" t="str">
        <x:v>یادداشت تحلیلی/راهبری ثبت‌شده در 11211</x:v>
      </x:c>
      <x:c r="F2991" s="34" t="str">
        <x:v>P3/CLARIFY</x:v>
      </x:c>
      <x:c r="G2991" s="34" t="str">
        <x:v>هدف/موضوع</x:v>
      </x:c>
      <x:c r="H2991" s="39" t="str">
        <x:v>محصول خود را تجاری سازی کنند.</x:v>
      </x:c>
      <x:c r="I2991" s="39" t="str">
        <x:v>نیازمند تعریف خروجی یا پارک</x:v>
      </x:c>
      <x:c r="J2991" s="39" t="str">
        <x:v>تحلیلگر راهبری/PMO؛ تبدیل به فرضیه یا اقدام در صورت نیاز</x:v>
      </x:c>
      <x:c r="K2991" s="39" t="str"/>
      <x:c r="L2991" s="39" t="str">
        <x:v>E112:P2795</x:v>
      </x:c>
      <x:c r="M2991" s="39" t="str"/>
      <x:c r="N2991" s="39" t="str">
        <x:v>نسخه پایه ۳۱۵۰</x:v>
      </x:c>
    </x:row>
    <x:row r="2992" ht="34" customHeight="1">
      <x:c r="A2992" s="34" t="str">
        <x:v>☐</x:v>
      </x:c>
      <x:c r="B2992" s="34" t="str">
        <x:v>MI-2745</x:v>
      </x:c>
      <x:c r="C2992" s="34" t="str">
        <x:v>M6 — تحلیل‌های خام و ورودی‌های نیازمند پالایش</x:v>
      </x:c>
      <x:c r="D2992" s="34" t="str">
        <x:v>H20</x:v>
      </x:c>
      <x:c r="E2992" s="34" t="str">
        <x:v>یادداشت تحلیلی/راهبری ثبت‌شده در 11211</x:v>
      </x:c>
      <x:c r="F2992" s="34" t="str">
        <x:v>P3/CLARIFY</x:v>
      </x:c>
      <x:c r="G2992" s="34" t="str">
        <x:v>هدف/موضوع</x:v>
      </x:c>
      <x:c r="H2992" s="39" t="str">
        <x:v>وظایف آنها:</x:v>
      </x:c>
      <x:c r="I2992" s="39" t="str">
        <x:v>نیازمند تعریف خروجی یا پارک</x:v>
      </x:c>
      <x:c r="J2992" s="39" t="str">
        <x:v>تحلیلگر راهبری/PMO؛ تبدیل به فرضیه یا اقدام در صورت نیاز</x:v>
      </x:c>
      <x:c r="K2992" s="39" t="str"/>
      <x:c r="L2992" s="39" t="str">
        <x:v>E112:P2802</x:v>
      </x:c>
      <x:c r="M2992" s="39" t="str"/>
      <x:c r="N2992" s="39" t="str">
        <x:v>نسخه پایه ۳۱۵۰</x:v>
      </x:c>
    </x:row>
    <x:row r="2993" ht="34" customHeight="1">
      <x:c r="A2993" s="34" t="str">
        <x:v>☐</x:v>
      </x:c>
      <x:c r="B2993" s="34" t="str">
        <x:v>MI-2750</x:v>
      </x:c>
      <x:c r="C2993" s="34" t="str">
        <x:v>M6 — تحلیل‌های خام و ورودی‌های نیازمند پالایش</x:v>
      </x:c>
      <x:c r="D2993" s="34" t="str">
        <x:v>H20</x:v>
      </x:c>
      <x:c r="E2993" s="34" t="str">
        <x:v>یادداشت تحلیلی/راهبری ثبت‌شده در 11211</x:v>
      </x:c>
      <x:c r="F2993" s="34" t="str">
        <x:v>P3/CLARIFY</x:v>
      </x:c>
      <x:c r="G2993" s="34" t="str">
        <x:v>هدف/موضوع</x:v>
      </x:c>
      <x:c r="H2993" s="39" t="str">
        <x:v>اصفهان</x:v>
      </x:c>
      <x:c r="I2993" s="39" t="str">
        <x:v>نیازمند تعریف خروجی یا پارک</x:v>
      </x:c>
      <x:c r="J2993" s="39" t="str">
        <x:v>تحلیلگر راهبری/PMO؛ تبدیل به فرضیه یا اقدام در صورت نیاز</x:v>
      </x:c>
      <x:c r="K2993" s="39" t="str"/>
      <x:c r="L2993" s="39" t="str">
        <x:v>E112:P2818</x:v>
      </x:c>
      <x:c r="M2993" s="39" t="str"/>
      <x:c r="N2993" s="39" t="str">
        <x:v>نسخه پایه ۳۱۵۰</x:v>
      </x:c>
    </x:row>
    <x:row r="2994" ht="34" customHeight="1">
      <x:c r="A2994" s="34" t="str">
        <x:v>☐</x:v>
      </x:c>
      <x:c r="B2994" s="34" t="str">
        <x:v>MI-2751</x:v>
      </x:c>
      <x:c r="C2994" s="34" t="str">
        <x:v>M6 — تحلیل‌های خام و ورودی‌های نیازمند پالایش</x:v>
      </x:c>
      <x:c r="D2994" s="34" t="str">
        <x:v>H20</x:v>
      </x:c>
      <x:c r="E2994" s="34" t="str">
        <x:v>یادداشت تحلیلی/راهبری ثبت‌شده در 11211</x:v>
      </x:c>
      <x:c r="F2994" s="34" t="str">
        <x:v>P3/CLARIFY</x:v>
      </x:c>
      <x:c r="G2994" s="34" t="str">
        <x:v>هدف/موضوع</x:v>
      </x:c>
      <x:c r="H2994" s="39" t="str">
        <x:v>شیراز</x:v>
      </x:c>
      <x:c r="I2994" s="39" t="str">
        <x:v>نیازمند تعریف خروجی یا پارک</x:v>
      </x:c>
      <x:c r="J2994" s="39" t="str">
        <x:v>تحلیلگر راهبری/PMO؛ تبدیل به فرضیه یا اقدام در صورت نیاز</x:v>
      </x:c>
      <x:c r="K2994" s="39" t="str"/>
      <x:c r="L2994" s="39" t="str">
        <x:v>E112:P2820</x:v>
      </x:c>
      <x:c r="M2994" s="39" t="str"/>
      <x:c r="N2994" s="39" t="str">
        <x:v>نسخه پایه ۳۱۵۰</x:v>
      </x:c>
    </x:row>
    <x:row r="2995" ht="34" customHeight="1">
      <x:c r="A2995" s="34" t="str">
        <x:v>☐</x:v>
      </x:c>
      <x:c r="B2995" s="34" t="str">
        <x:v>MI-2752</x:v>
      </x:c>
      <x:c r="C2995" s="34" t="str">
        <x:v>M6 — تحلیل‌های خام و ورودی‌های نیازمند پالایش</x:v>
      </x:c>
      <x:c r="D2995" s="34" t="str">
        <x:v>H20</x:v>
      </x:c>
      <x:c r="E2995" s="34" t="str">
        <x:v>یادداشت تحلیلی/راهبری ثبت‌شده در 11211</x:v>
      </x:c>
      <x:c r="F2995" s="34" t="str">
        <x:v>P3/CLARIFY</x:v>
      </x:c>
      <x:c r="G2995" s="34" t="str">
        <x:v>هدف/موضوع</x:v>
      </x:c>
      <x:c r="H2995" s="39" t="str">
        <x:v>تبریز</x:v>
      </x:c>
      <x:c r="I2995" s="39" t="str">
        <x:v>نیازمند تعریف خروجی یا پارک</x:v>
      </x:c>
      <x:c r="J2995" s="39" t="str">
        <x:v>تحلیلگر راهبری/PMO؛ تبدیل به فرضیه یا اقدام در صورت نیاز</x:v>
      </x:c>
      <x:c r="K2995" s="39" t="str"/>
      <x:c r="L2995" s="39" t="str">
        <x:v>E112:P2822</x:v>
      </x:c>
      <x:c r="M2995" s="39" t="str"/>
      <x:c r="N2995" s="39" t="str">
        <x:v>نسخه پایه ۳۱۵۰</x:v>
      </x:c>
    </x:row>
    <x:row r="2996" ht="34" customHeight="1">
      <x:c r="A2996" s="34" t="str">
        <x:v>☐</x:v>
      </x:c>
      <x:c r="B2996" s="34" t="str">
        <x:v>MI-2755</x:v>
      </x:c>
      <x:c r="C2996" s="34" t="str">
        <x:v>M6 — تحلیل‌های خام و ورودی‌های نیازمند پالایش</x:v>
      </x:c>
      <x:c r="D2996" s="34" t="str">
        <x:v>H20</x:v>
      </x:c>
      <x:c r="E2996" s="34" t="str">
        <x:v>یادداشت تحلیلی/راهبری ثبت‌شده در 11211</x:v>
      </x:c>
      <x:c r="F2996" s="34" t="str">
        <x:v>P3/CLARIFY</x:v>
      </x:c>
      <x:c r="G2996" s="34" t="str">
        <x:v>هدف/موضوع</x:v>
      </x:c>
      <x:c r="H2996" s="39" t="str">
        <x:v>کارآفرینان خارجی</x:v>
      </x:c>
      <x:c r="I2996" s="39" t="str">
        <x:v>نیازمند تعریف خروجی یا پارک</x:v>
      </x:c>
      <x:c r="J2996" s="39" t="str">
        <x:v>تحلیلگر راهبری/PMO؛ تبدیل به فرضیه یا اقدام در صورت نیاز</x:v>
      </x:c>
      <x:c r="K2996" s="39" t="str"/>
      <x:c r="L2996" s="39" t="str">
        <x:v>E112:P2829</x:v>
      </x:c>
      <x:c r="M2996" s="39" t="str"/>
      <x:c r="N2996" s="39" t="str">
        <x:v>نسخه پایه ۳۱۵۰</x:v>
      </x:c>
    </x:row>
    <x:row r="2997" ht="34" customHeight="1">
      <x:c r="A2997" s="34" t="str">
        <x:v>☐</x:v>
      </x:c>
      <x:c r="B2997" s="34" t="str">
        <x:v>MI-2756</x:v>
      </x:c>
      <x:c r="C2997" s="34" t="str">
        <x:v>M6 — تحلیل‌های خام و ورودی‌های نیازمند پالایش</x:v>
      </x:c>
      <x:c r="D2997" s="34" t="str">
        <x:v>H20</x:v>
      </x:c>
      <x:c r="E2997" s="34" t="str">
        <x:v>یادداشت تحلیلی/راهبری ثبت‌شده در 11211</x:v>
      </x:c>
      <x:c r="F2997" s="34" t="str">
        <x:v>P3/CLARIFY</x:v>
      </x:c>
      <x:c r="G2997" s="34" t="str">
        <x:v>هدف/موضوع</x:v>
      </x:c>
      <x:c r="H2997" s="39" t="str">
        <x:v>ایرانیان خارج از کشور</x:v>
      </x:c>
      <x:c r="I2997" s="39" t="str">
        <x:v>نیازمند تعریف خروجی یا پارک</x:v>
      </x:c>
      <x:c r="J2997" s="39" t="str">
        <x:v>تحلیلگر راهبری/PMO؛ تبدیل به فرضیه یا اقدام در صورت نیاز</x:v>
      </x:c>
      <x:c r="K2997" s="39" t="str"/>
      <x:c r="L2997" s="39" t="str">
        <x:v>E112:P2831</x:v>
      </x:c>
      <x:c r="M2997" s="39" t="str"/>
      <x:c r="N2997" s="39" t="str">
        <x:v>نسخه پایه ۳۱۵۰</x:v>
      </x:c>
    </x:row>
    <x:row r="2998" ht="34" customHeight="1">
      <x:c r="A2998" s="34" t="str">
        <x:v>☐</x:v>
      </x:c>
      <x:c r="B2998" s="34" t="str">
        <x:v>MI-2757</x:v>
      </x:c>
      <x:c r="C2998" s="34" t="str">
        <x:v>M6 — تحلیل‌های خام و ورودی‌های نیازمند پالایش</x:v>
      </x:c>
      <x:c r="D2998" s="34" t="str">
        <x:v>H20</x:v>
      </x:c>
      <x:c r="E2998" s="34" t="str">
        <x:v>یادداشت تحلیلی/راهبری ثبت‌شده در 11211</x:v>
      </x:c>
      <x:c r="F2998" s="34" t="str">
        <x:v>P3/CLARIFY</x:v>
      </x:c>
      <x:c r="G2998" s="34" t="str">
        <x:v>هدف/موضوع</x:v>
      </x:c>
      <x:c r="H2998" s="39" t="str">
        <x:v>مدل ترکیبی</x:v>
      </x:c>
      <x:c r="I2998" s="39" t="str">
        <x:v>نیازمند تعریف خروجی یا پارک</x:v>
      </x:c>
      <x:c r="J2998" s="39" t="str">
        <x:v>تحلیلگر راهبری/PMO؛ تبدیل به فرضیه یا اقدام در صورت نیاز</x:v>
      </x:c>
      <x:c r="K2998" s="39" t="str"/>
      <x:c r="L2998" s="39" t="str">
        <x:v>E112:P2834</x:v>
      </x:c>
      <x:c r="M2998" s="39" t="str"/>
      <x:c r="N2998" s="39" t="str">
        <x:v>نسخه پایه ۳۱۵۰</x:v>
      </x:c>
    </x:row>
    <x:row r="2999" ht="34" customHeight="1">
      <x:c r="A2999" s="34" t="str">
        <x:v>☐</x:v>
      </x:c>
      <x:c r="B2999" s="34" t="str">
        <x:v>MI-2758</x:v>
      </x:c>
      <x:c r="C2999" s="34" t="str">
        <x:v>M6 — تحلیل‌های خام و ورودی‌های نیازمند پالایش</x:v>
      </x:c>
      <x:c r="D2999" s="34" t="str">
        <x:v>H20</x:v>
      </x:c>
      <x:c r="E2999" s="34" t="str">
        <x:v>یادداشت تحلیلی/راهبری ثبت‌شده در 11211</x:v>
      </x:c>
      <x:c r="F2999" s="34" t="str">
        <x:v>P3/CLARIFY</x:v>
      </x:c>
      <x:c r="G2999" s="34" t="str">
        <x:v>هدف/موضوع</x:v>
      </x:c>
      <x:c r="H2999" s="39" t="str">
        <x:v>در این مدل کارآفرینان داخلی و خارجی در حوزه های استراتژیک استان فعالیت می کنند.</x:v>
      </x:c>
      <x:c r="I2999" s="39" t="str">
        <x:v>نیازمند تعریف خروجی یا پارک</x:v>
      </x:c>
      <x:c r="J2999" s="39" t="str">
        <x:v>تحلیلگر راهبری/PMO؛ تبدیل به فرضیه یا اقدام در صورت نیاز</x:v>
      </x:c>
      <x:c r="K2999" s="39" t="str"/>
      <x:c r="L2999" s="39" t="str">
        <x:v>E112:P2838</x:v>
      </x:c>
      <x:c r="M2999" s="39" t="str"/>
      <x:c r="N2999" s="39" t="str">
        <x:v>نسخه پایه ۳۱۵۰</x:v>
      </x:c>
    </x:row>
    <x:row r="3000" ht="34" customHeight="1">
      <x:c r="A3000" s="34" t="str">
        <x:v>☐</x:v>
      </x:c>
      <x:c r="B3000" s="34" t="str">
        <x:v>MI-2761</x:v>
      </x:c>
      <x:c r="C3000" s="34" t="str">
        <x:v>M6 — تحلیل‌های خام و ورودی‌های نیازمند پالایش</x:v>
      </x:c>
      <x:c r="D3000" s="34" t="str">
        <x:v>H20</x:v>
      </x:c>
      <x:c r="E3000" s="34" t="str">
        <x:v>یادداشت تحلیلی/راهبری ثبت‌شده در 11211</x:v>
      </x:c>
      <x:c r="F3000" s="34" t="str">
        <x:v>P3/CLARIFY</x:v>
      </x:c>
      <x:c r="G3000" s="34" t="str">
        <x:v>هدف/موضوع</x:v>
      </x:c>
      <x:c r="H3000" s="39" t="str">
        <x:v>مدل پیشنهادی:</x:v>
      </x:c>
      <x:c r="I3000" s="39" t="str">
        <x:v>نیازمند تعریف خروجی یا پارک</x:v>
      </x:c>
      <x:c r="J3000" s="39" t="str">
        <x:v>تحلیلگر راهبری/PMO؛ تبدیل به فرضیه یا اقدام در صورت نیاز</x:v>
      </x:c>
      <x:c r="K3000" s="39" t="str"/>
      <x:c r="L3000" s="39" t="str">
        <x:v>E112:P2843</x:v>
      </x:c>
      <x:c r="M3000" s="39" t="str"/>
      <x:c r="N3000" s="39" t="str">
        <x:v>نسخه پایه ۳۱۵۰</x:v>
      </x:c>
    </x:row>
    <x:row r="3001" ht="34" customHeight="1">
      <x:c r="A3001" s="34" t="str">
        <x:v>☐</x:v>
      </x:c>
      <x:c r="B3001" s="34" t="str">
        <x:v>MI-2766</x:v>
      </x:c>
      <x:c r="C3001" s="34" t="str">
        <x:v>M6 — تحلیل‌های خام و ورودی‌های نیازمند پالایش</x:v>
      </x:c>
      <x:c r="D3001" s="34" t="str">
        <x:v>H20</x:v>
      </x:c>
      <x:c r="E3001" s="34" t="str">
        <x:v>یادداشت تحلیلی/راهبری ثبت‌شده در 11211</x:v>
      </x:c>
      <x:c r="F3001" s="34" t="str">
        <x:v>P3/CLARIFY</x:v>
      </x:c>
      <x:c r="G3001" s="34" t="str">
        <x:v>هدف/موضوع</x:v>
      </x:c>
      <x:c r="H3001" s="39" t="str">
        <x:v>نزدیکی به تهران</x:v>
      </x:c>
      <x:c r="I3001" s="39" t="str">
        <x:v>نیازمند تعریف خروجی یا پارک</x:v>
      </x:c>
      <x:c r="J3001" s="39" t="str">
        <x:v>تحلیلگر راهبری/PMO؛ تبدیل به فرضیه یا اقدام در صورت نیاز</x:v>
      </x:c>
      <x:c r="K3001" s="39" t="str"/>
      <x:c r="L3001" s="39" t="str">
        <x:v>E112:P2855</x:v>
      </x:c>
      <x:c r="M3001" s="39" t="str"/>
      <x:c r="N3001" s="39" t="str">
        <x:v>نسخه پایه ۳۱۵۰</x:v>
      </x:c>
    </x:row>
    <x:row r="3002" ht="34" customHeight="1">
      <x:c r="A3002" s="34" t="str">
        <x:v>☐</x:v>
      </x:c>
      <x:c r="B3002" s="34" t="str">
        <x:v>MI-2769</x:v>
      </x:c>
      <x:c r="C3002" s="34" t="str">
        <x:v>M6 — تحلیل‌های خام و ورودی‌های نیازمند پالایش</x:v>
      </x:c>
      <x:c r="D3002" s="34" t="str">
        <x:v>H20</x:v>
      </x:c>
      <x:c r="E3002" s="34" t="str">
        <x:v>یادداشت تحلیلی/راهبری ثبت‌شده در 11211</x:v>
      </x:c>
      <x:c r="F3002" s="34" t="str">
        <x:v>P3/CLARIFY</x:v>
      </x:c>
      <x:c r="G3002" s="34" t="str">
        <x:v>هدف/موضوع</x:v>
      </x:c>
      <x:c r="H3002" s="39" t="str">
        <x:v>ظرفیت گردشگری بالا</x:v>
      </x:c>
      <x:c r="I3002" s="39" t="str">
        <x:v>نیازمند تعریف خروجی یا پارک</x:v>
      </x:c>
      <x:c r="J3002" s="39" t="str">
        <x:v>تحلیلگر راهبری/PMO؛ تبدیل به فرضیه یا اقدام در صورت نیاز</x:v>
      </x:c>
      <x:c r="K3002" s="39" t="str"/>
      <x:c r="L3002" s="39" t="str">
        <x:v>E112:P2861</x:v>
      </x:c>
      <x:c r="M3002" s="39" t="str"/>
      <x:c r="N3002" s="39" t="str">
        <x:v>نسخه پایه ۳۱۵۰</x:v>
      </x:c>
    </x:row>
    <x:row r="3003" ht="34" customHeight="1">
      <x:c r="A3003" s="34" t="str">
        <x:v>☐</x:v>
      </x:c>
      <x:c r="B3003" s="34" t="str">
        <x:v>MI-2770</x:v>
      </x:c>
      <x:c r="C3003" s="34" t="str">
        <x:v>M6 — تحلیل‌های خام و ورودی‌های نیازمند پالایش</x:v>
      </x:c>
      <x:c r="D3003" s="34" t="str">
        <x:v>H20</x:v>
      </x:c>
      <x:c r="E3003" s="34" t="str">
        <x:v>یادداشت تحلیلی/راهبری ثبت‌شده در 11211</x:v>
      </x:c>
      <x:c r="F3003" s="34" t="str">
        <x:v>P3/CLARIFY</x:v>
      </x:c>
      <x:c r="G3003" s="34" t="str">
        <x:v>هدف/موضوع</x:v>
      </x:c>
      <x:c r="H3003" s="39" t="str">
        <x:v>همچنین امکان استفاده از:</x:v>
      </x:c>
      <x:c r="I3003" s="39" t="str">
        <x:v>نیازمند تعریف خروجی یا پارک</x:v>
      </x:c>
      <x:c r="J3003" s="39" t="str">
        <x:v>تحلیلگر راهبری/PMO؛ تبدیل به فرضیه یا اقدام در صورت نیاز</x:v>
      </x:c>
      <x:c r="K3003" s="39" t="str"/>
      <x:c r="L3003" s="39" t="str">
        <x:v>E112:P2863</x:v>
      </x:c>
      <x:c r="M3003" s="39" t="str"/>
      <x:c r="N3003" s="39" t="str">
        <x:v>نسخه پایه ۳۱۵۰</x:v>
      </x:c>
    </x:row>
    <x:row r="3004" ht="34" customHeight="1">
      <x:c r="A3004" s="34" t="str">
        <x:v>☐</x:v>
      </x:c>
      <x:c r="B3004" s="34" t="str">
        <x:v>MI-2771</x:v>
      </x:c>
      <x:c r="C3004" s="34" t="str">
        <x:v>M6 — تحلیل‌های خام و ورودی‌های نیازمند پالایش</x:v>
      </x:c>
      <x:c r="D3004" s="34" t="str">
        <x:v>H20</x:v>
      </x:c>
      <x:c r="E3004" s="34" t="str">
        <x:v>یادداشت تحلیلی/راهبری ثبت‌شده در 11211</x:v>
      </x:c>
      <x:c r="F3004" s="34" t="str">
        <x:v>P3/CLARIFY</x:v>
      </x:c>
      <x:c r="G3004" s="34" t="str">
        <x:v>هدف/موضوع</x:v>
      </x:c>
      <x:c r="H3004" s="39" t="str">
        <x:v>مناطق آزاد</x:v>
      </x:c>
      <x:c r="I3004" s="39" t="str">
        <x:v>نیازمند تعریف خروجی یا پارک</x:v>
      </x:c>
      <x:c r="J3004" s="39" t="str">
        <x:v>تحلیلگر راهبری/PMO؛ تبدیل به فرضیه یا اقدام در صورت نیاز</x:v>
      </x:c>
      <x:c r="K3004" s="39" t="str"/>
      <x:c r="L3004" s="39" t="str">
        <x:v>E112:P2865</x:v>
      </x:c>
      <x:c r="M3004" s="39" t="str"/>
      <x:c r="N3004" s="39" t="str">
        <x:v>نسخه پایه ۳۱۵۰</x:v>
      </x:c>
    </x:row>
    <x:row r="3005" ht="34" customHeight="1">
      <x:c r="A3005" s="34" t="str">
        <x:v>☐</x:v>
      </x:c>
      <x:c r="B3005" s="34" t="str">
        <x:v>MI-2773</x:v>
      </x:c>
      <x:c r="C3005" s="34" t="str">
        <x:v>M6 — تحلیل‌های خام و ورودی‌های نیازمند پالایش</x:v>
      </x:c>
      <x:c r="D3005" s="34" t="str">
        <x:v>H20</x:v>
      </x:c>
      <x:c r="E3005" s="34" t="str">
        <x:v>یادداشت تحلیلی/راهبری ثبت‌شده در 11211</x:v>
      </x:c>
      <x:c r="F3005" s="34" t="str">
        <x:v>P3/CLARIFY</x:v>
      </x:c>
      <x:c r="G3005" s="34" t="str">
        <x:v>هدف/موضوع</x:v>
      </x:c>
      <x:c r="H3005" s="39" t="str">
        <x:v>وجود دارد.</x:v>
      </x:c>
      <x:c r="I3005" s="39" t="str">
        <x:v>نیازمند تعریف خروجی یا پارک</x:v>
      </x:c>
      <x:c r="J3005" s="39" t="str">
        <x:v>تحلیلگر راهبری/PMO؛ تبدیل به فرضیه یا اقدام در صورت نیاز</x:v>
      </x:c>
      <x:c r="K3005" s="39" t="str"/>
      <x:c r="L3005" s="39" t="str">
        <x:v>E112:P2871</x:v>
      </x:c>
      <x:c r="M3005" s="39" t="str"/>
      <x:c r="N3005" s="39" t="str">
        <x:v>نسخه پایه ۳۱۵۰</x:v>
      </x:c>
    </x:row>
    <x:row r="3006" ht="34" customHeight="1">
      <x:c r="A3006" s="34" t="str">
        <x:v>☐</x:v>
      </x:c>
      <x:c r="B3006" s="34" t="str">
        <x:v>MI-2774</x:v>
      </x:c>
      <x:c r="C3006" s="34" t="str">
        <x:v>M6 — تحلیل‌های خام و ورودی‌های نیازمند پالایش</x:v>
      </x:c>
      <x:c r="D3006" s="34" t="str">
        <x:v>H20</x:v>
      </x:c>
      <x:c r="E3006" s="34" t="str">
        <x:v>یادداشت تحلیلی/راهبری ثبت‌شده در 11211</x:v>
      </x:c>
      <x:c r="F3006" s="34" t="str">
        <x:v>P3/CLARIFY</x:v>
      </x:c>
      <x:c r="G3006" s="34" t="str">
        <x:v>هدف/موضوع</x:v>
      </x:c>
      <x:c r="H3006" s="39" t="str">
        <x:v>17. صنایع استراتژیک استان</x:v>
      </x:c>
      <x:c r="I3006" s="39" t="str">
        <x:v>نیازمند تعریف خروجی یا پارک</x:v>
      </x:c>
      <x:c r="J3006" s="39" t="str">
        <x:v>تحلیلگر راهبری/PMO؛ تبدیل به فرضیه یا اقدام در صورت نیاز</x:v>
      </x:c>
      <x:c r="K3006" s="39" t="str"/>
      <x:c r="L3006" s="39" t="str">
        <x:v>E112:P2872</x:v>
      </x:c>
      <x:c r="M3006" s="39" t="str"/>
      <x:c r="N3006" s="39" t="str">
        <x:v>نسخه پایه ۳۱۵۰</x:v>
      </x:c>
    </x:row>
    <x:row r="3007" ht="34" customHeight="1">
      <x:c r="A3007" s="34" t="str">
        <x:v>☐</x:v>
      </x:c>
      <x:c r="B3007" s="34" t="str">
        <x:v>MI-2775</x:v>
      </x:c>
      <x:c r="C3007" s="34" t="str">
        <x:v>M6 — تحلیل‌های خام و ورودی‌های نیازمند پالایش</x:v>
      </x:c>
      <x:c r="D3007" s="34" t="str">
        <x:v>H20</x:v>
      </x:c>
      <x:c r="E3007" s="34" t="str">
        <x:v>یادداشت تحلیلی/راهبری ثبت‌شده در 11211</x:v>
      </x:c>
      <x:c r="F3007" s="34" t="str">
        <x:v>P3/CLARIFY</x:v>
      </x:c>
      <x:c r="G3007" s="34" t="str">
        <x:v>هدف/موضوع</x:v>
      </x:c>
      <x:c r="H3007" s="39" t="str">
        <x:v>حوزه هایی که بیشترین پتانسیل را دارند:</x:v>
      </x:c>
      <x:c r="I3007" s="39" t="str">
        <x:v>نیازمند تعریف خروجی یا پارک</x:v>
      </x:c>
      <x:c r="J3007" s="39" t="str">
        <x:v>تحلیلگر راهبری/PMO؛ تبدیل به فرضیه یا اقدام در صورت نیاز</x:v>
      </x:c>
      <x:c r="K3007" s="39" t="str"/>
      <x:c r="L3007" s="39" t="str">
        <x:v>E112:P2874</x:v>
      </x:c>
      <x:c r="M3007" s="39" t="str"/>
      <x:c r="N3007" s="39" t="str">
        <x:v>نسخه پایه ۳۱۵۰</x:v>
      </x:c>
    </x:row>
    <x:row r="3008" ht="34" customHeight="1">
      <x:c r="A3008" s="34" t="str">
        <x:v>☐</x:v>
      </x:c>
      <x:c r="B3008" s="34" t="str">
        <x:v>MI-2777</x:v>
      </x:c>
      <x:c r="C3008" s="34" t="str">
        <x:v>M6 — تحلیل‌های خام و ورودی‌های نیازمند پالایش</x:v>
      </x:c>
      <x:c r="D3008" s="34" t="str">
        <x:v>H20</x:v>
      </x:c>
      <x:c r="E3008" s="34" t="str">
        <x:v>یادداشت تحلیلی/راهبری ثبت‌شده در 11211</x:v>
      </x:c>
      <x:c r="F3008" s="34" t="str">
        <x:v>P3/CLARIFY</x:v>
      </x:c>
      <x:c r="G3008" s="34" t="str">
        <x:v>هدف/موضوع</x:v>
      </x:c>
      <x:c r="H3008" s="39" t="str">
        <x:v>18. هدف نهایی</x:v>
      </x:c>
      <x:c r="I3008" s="39" t="str">
        <x:v>نیازمند تعریف خروجی یا پارک</x:v>
      </x:c>
      <x:c r="J3008" s="39" t="str">
        <x:v>تحلیلگر راهبری/PMO؛ تبدیل به فرضیه یا اقدام در صورت نیاز</x:v>
      </x:c>
      <x:c r="K3008" s="39" t="str"/>
      <x:c r="L3008" s="39" t="str">
        <x:v>E112:P2887</x:v>
      </x:c>
      <x:c r="M3008" s="39" t="str"/>
      <x:c r="N3008" s="39" t="str">
        <x:v>نسخه پایه ۳۱۵۰</x:v>
      </x:c>
    </x:row>
    <x:row r="3009" ht="34" customHeight="1">
      <x:c r="A3009" s="34" t="str">
        <x:v>☐</x:v>
      </x:c>
      <x:c r="B3009" s="34" t="str">
        <x:v>MI-2780</x:v>
      </x:c>
      <x:c r="C3009" s="34" t="str">
        <x:v>M6 — تحلیل‌های خام و ورودی‌های نیازمند پالایش</x:v>
      </x:c>
      <x:c r="D3009" s="34" t="str">
        <x:v>H20</x:v>
      </x:c>
      <x:c r="E3009" s="34" t="str">
        <x:v>یادداشت تحلیلی/راهبری ثبت‌شده در 11211</x:v>
      </x:c>
      <x:c r="F3009" s="34" t="str">
        <x:v>P3/CLARIFY</x:v>
      </x:c>
      <x:c r="G3009" s="34" t="str">
        <x:v>هدف/موضوع</x:v>
      </x:c>
      <x:c r="H3009" s="39" t="str">
        <x:v>این چرخه شامل مراحل زیر است:</x:v>
      </x:c>
      <x:c r="I3009" s="39" t="str">
        <x:v>نیازمند تعریف خروجی یا پارک</x:v>
      </x:c>
      <x:c r="J3009" s="39" t="str">
        <x:v>تحلیلگر راهبری/PMO؛ تبدیل به فرضیه یا اقدام در صورت نیاز</x:v>
      </x:c>
      <x:c r="K3009" s="39" t="str"/>
      <x:c r="L3009" s="39" t="str">
        <x:v>E112:P2893</x:v>
      </x:c>
      <x:c r="M3009" s="39" t="str"/>
      <x:c r="N3009" s="39" t="str">
        <x:v>نسخه پایه ۳۱۵۰</x:v>
      </x:c>
    </x:row>
    <x:row r="3010" ht="34" customHeight="1">
      <x:c r="A3010" s="34" t="str">
        <x:v>☐</x:v>
      </x:c>
      <x:c r="B3010" s="34" t="str">
        <x:v>MI-2787</x:v>
      </x:c>
      <x:c r="C3010" s="34" t="str">
        <x:v>M6 — تحلیل‌های خام و ورودی‌های نیازمند پالایش</x:v>
      </x:c>
      <x:c r="D3010" s="34" t="str">
        <x:v>H20</x:v>
      </x:c>
      <x:c r="E3010" s="34" t="str">
        <x:v>یادداشت تحلیلی/راهبری ثبت‌شده در 11211</x:v>
      </x:c>
      <x:c r="F3010" s="34" t="str">
        <x:v>P3/CLARIFY</x:v>
      </x:c>
      <x:c r="G3010" s="34" t="str">
        <x:v>هدف/موضوع</x:v>
      </x:c>
      <x:c r="H3010" s="39" t="str">
        <x:v>که دقیق نشان می دهد تمام این اجزا چگونه به هم متصل می شوند.</x:v>
      </x:c>
      <x:c r="I3010" s="39" t="str">
        <x:v>نیازمند تعریف خروجی یا پارک</x:v>
      </x:c>
      <x:c r="J3010" s="39" t="str">
        <x:v>تحلیلگر راهبری/PMO؛ تبدیل به فرضیه یا اقدام در صورت نیاز</x:v>
      </x:c>
      <x:c r="K3010" s="39" t="str"/>
      <x:c r="L3010" s="39" t="str">
        <x:v>E112:P2917</x:v>
      </x:c>
      <x:c r="M3010" s="39" t="str"/>
      <x:c r="N3010" s="39" t="str">
        <x:v>نسخه پایه ۳۱۵۰</x:v>
      </x:c>
    </x:row>
    <x:row r="3011" ht="34" customHeight="1">
      <x:c r="A3011" s="34" t="str">
        <x:v>☐</x:v>
      </x:c>
      <x:c r="B3011" s="34" t="str">
        <x:v>MI-2789</x:v>
      </x:c>
      <x:c r="C3011" s="34" t="str">
        <x:v>M6 — تحلیل‌های خام و ورودی‌های نیازمند پالایش</x:v>
      </x:c>
      <x:c r="D3011" s="34" t="str">
        <x:v>H20</x:v>
      </x:c>
      <x:c r="E3011" s="34" t="str">
        <x:v>یادداشت تحلیلی/راهبری ثبت‌شده در 11211</x:v>
      </x:c>
      <x:c r="F3011" s="34" t="str">
        <x:v>P3/CLARIFY</x:v>
      </x:c>
      <x:c r="G3011" s="34" t="str">
        <x:v>هدف/موضوع</x:v>
      </x:c>
      <x:c r="H3011" s="39" t="str">
        <x:v>که مشخص می کند از کجا باید شروع کرد و مرحله به مرحله چگونه رشد کند.</x:v>
      </x:c>
      <x:c r="I3011" s="39" t="str">
        <x:v>نیازمند تعریف خروجی یا پارک</x:v>
      </x:c>
      <x:c r="J3011" s="39" t="str">
        <x:v>تحلیلگر راهبری/PMO؛ تبدیل به فرضیه یا اقدام در صورت نیاز</x:v>
      </x:c>
      <x:c r="K3011" s="39" t="str"/>
      <x:c r="L3011" s="39" t="str">
        <x:v>E112:P2921</x:v>
      </x:c>
      <x:c r="M3011" s="39" t="str"/>
      <x:c r="N3011" s="39" t="str">
        <x:v>نسخه پایه ۳۱۵۰</x:v>
      </x:c>
    </x:row>
    <x:row r="3012" ht="34" customHeight="1">
      <x:c r="A3012" s="34" t="str">
        <x:v>☐</x:v>
      </x:c>
      <x:c r="B3012" s="34" t="str">
        <x:v>MI-2791</x:v>
      </x:c>
      <x:c r="C3012" s="34" t="str">
        <x:v>M6 — تحلیل‌های خام و ورودی‌های نیازمند پالایش</x:v>
      </x:c>
      <x:c r="D3012" s="34" t="str">
        <x:v>H20</x:v>
      </x:c>
      <x:c r="E3012" s="34" t="str">
        <x:v>یادداشت تحلیلی/راهبری ثبت‌شده در 11211</x:v>
      </x:c>
      <x:c r="F3012" s="34" t="str">
        <x:v>P3/CLARIFY</x:v>
      </x:c>
      <x:c r="G3012" s="34" t="str">
        <x:v>هدف/موضوع</x:v>
      </x:c>
      <x:c r="H3012" s="39" t="str">
        <x:v>اینو برو</x:v>
      </x:c>
      <x:c r="I3012" s="39" t="str">
        <x:v>نیازمند تعریف خروجی یا پارک</x:v>
      </x:c>
      <x:c r="J3012" s="39" t="str">
        <x:v>تحلیلگر راهبری/PMO؛ تبدیل به فرضیه یا اقدام در صورت نیاز</x:v>
      </x:c>
      <x:c r="K3012" s="39" t="str"/>
      <x:c r="L3012" s="39" t="str">
        <x:v>E112:P2924</x:v>
      </x:c>
      <x:c r="M3012" s="39" t="str"/>
      <x:c r="N3012" s="39" t="str">
        <x:v>نسخه پایه ۳۱۵۰</x:v>
      </x:c>
    </x:row>
    <x:row r="3013" ht="34" customHeight="1">
      <x:c r="A3013" s="34" t="str">
        <x:v>☐</x:v>
      </x:c>
      <x:c r="B3013" s="34" t="str">
        <x:v>MI-2797</x:v>
      </x:c>
      <x:c r="C3013" s="34" t="str">
        <x:v>M6 — تحلیل‌های خام و ورودی‌های نیازمند پالایش</x:v>
      </x:c>
      <x:c r="D3013" s="34" t="str">
        <x:v>H20</x:v>
      </x:c>
      <x:c r="E3013" s="34" t="str">
        <x:v>یادداشت تحلیلی/راهبری ثبت‌شده در 11211</x:v>
      </x:c>
      <x:c r="F3013" s="34" t="str">
        <x:v>P3/CLARIFY</x:v>
      </x:c>
      <x:c r="G3013" s="34" t="str">
        <x:v>هدف/موضوع</x:v>
      </x:c>
      <x:c r="H3013" s="39" t="str">
        <x:v>منابع:</x:v>
      </x:c>
      <x:c r="I3013" s="39" t="str">
        <x:v>نیازمند تعریف خروجی یا پارک</x:v>
      </x:c>
      <x:c r="J3013" s="39" t="str">
        <x:v>تحلیلگر راهبری/PMO؛ تبدیل به فرضیه یا اقدام در صورت نیاز</x:v>
      </x:c>
      <x:c r="K3013" s="39" t="str"/>
      <x:c r="L3013" s="39" t="str">
        <x:v>E112:P2934؛ E112:P3322</x:v>
      </x:c>
      <x:c r="M3013" s="39" t="str"/>
      <x:c r="N3013" s="39" t="str">
        <x:v>نسخه پایه ۳۱۵۰</x:v>
      </x:c>
    </x:row>
    <x:row r="3014" ht="34" customHeight="1">
      <x:c r="A3014" s="34" t="str">
        <x:v>☐</x:v>
      </x:c>
      <x:c r="B3014" s="34" t="str">
        <x:v>MI-2799</x:v>
      </x:c>
      <x:c r="C3014" s="34" t="str">
        <x:v>M6 — تحلیل‌های خام و ورودی‌های نیازمند پالایش</x:v>
      </x:c>
      <x:c r="D3014" s="34" t="str">
        <x:v>H20</x:v>
      </x:c>
      <x:c r="E3014" s="34" t="str">
        <x:v>یادداشت تحلیلی/راهبری ثبت‌شده در 11211</x:v>
      </x:c>
      <x:c r="F3014" s="34" t="str">
        <x:v>P3/CLARIFY</x:v>
      </x:c>
      <x:c r="G3014" s="34" t="str">
        <x:v>هدف/موضوع</x:v>
      </x:c>
      <x:c r="H3014" s="39" t="str">
        <x:v>سمن های جوانان</x:v>
      </x:c>
      <x:c r="I3014" s="39" t="str">
        <x:v>نیازمند تعریف خروجی یا پارک</x:v>
      </x:c>
      <x:c r="J3014" s="39" t="str">
        <x:v>تحلیلگر راهبری/PMO؛ تبدیل به فرضیه یا اقدام در صورت نیاز</x:v>
      </x:c>
      <x:c r="K3014" s="39" t="str"/>
      <x:c r="L3014" s="39" t="str">
        <x:v>E112:P2940</x:v>
      </x:c>
      <x:c r="M3014" s="39" t="str"/>
      <x:c r="N3014" s="39" t="str">
        <x:v>نسخه پایه ۳۱۵۰</x:v>
      </x:c>
    </x:row>
    <x:row r="3015" ht="34" customHeight="1">
      <x:c r="A3015" s="34" t="str">
        <x:v>☐</x:v>
      </x:c>
      <x:c r="B3015" s="34" t="str">
        <x:v>MI-2802</x:v>
      </x:c>
      <x:c r="C3015" s="34" t="str">
        <x:v>M6 — تحلیل‌های خام و ورودی‌های نیازمند پالایش</x:v>
      </x:c>
      <x:c r="D3015" s="34" t="str">
        <x:v>H20</x:v>
      </x:c>
      <x:c r="E3015" s="34" t="str">
        <x:v>یادداشت تحلیلی/راهبری ثبت‌شده در 11211</x:v>
      </x:c>
      <x:c r="F3015" s="34" t="str">
        <x:v>P3/CLARIFY</x:v>
      </x:c>
      <x:c r="G3015" s="34" t="str">
        <x:v>هدف/موضوع</x:v>
      </x:c>
      <x:c r="H3015" s="39" t="str">
        <x:v>خروجی این لایه:</x:v>
      </x:c>
      <x:c r="I3015" s="39" t="str">
        <x:v>نیازمند تعریف خروجی یا پارک</x:v>
      </x:c>
      <x:c r="J3015" s="39" t="str">
        <x:v>تحلیلگر راهبری/PMO؛ تبدیل به فرضیه یا اقدام در صورت نیاز</x:v>
      </x:c>
      <x:c r="K3015" s="39" t="str"/>
      <x:c r="L3015" s="39" t="str">
        <x:v>E112:P2944</x:v>
      </x:c>
      <x:c r="M3015" s="39" t="str"/>
      <x:c r="N3015" s="39" t="str">
        <x:v>نسخه پایه ۳۱۵۰</x:v>
      </x:c>
    </x:row>
    <x:row r="3016" ht="34" customHeight="1">
      <x:c r="A3016" s="34" t="str">
        <x:v>☐</x:v>
      </x:c>
      <x:c r="B3016" s="34" t="str">
        <x:v>MI-2807</x:v>
      </x:c>
      <x:c r="C3016" s="34" t="str">
        <x:v>M6 — تحلیل‌های خام و ورودی‌های نیازمند پالایش</x:v>
      </x:c>
      <x:c r="D3016" s="34" t="str">
        <x:v>H20</x:v>
      </x:c>
      <x:c r="E3016" s="34" t="str">
        <x:v>یادداشت تحلیلی/راهبری ثبت‌شده در 11211</x:v>
      </x:c>
      <x:c r="F3016" s="34" t="str">
        <x:v>P3/CLARIFY</x:v>
      </x:c>
      <x:c r="G3016" s="34" t="str">
        <x:v>هدف/موضوع</x:v>
      </x:c>
      <x:c r="H3016" s="39" t="str">
        <x:v>کارکردها:</x:v>
      </x:c>
      <x:c r="I3016" s="39" t="str">
        <x:v>نیازمند تعریف خروجی یا پارک</x:v>
      </x:c>
      <x:c r="J3016" s="39" t="str">
        <x:v>تحلیلگر راهبری/PMO؛ تبدیل به فرضیه یا اقدام در صورت نیاز</x:v>
      </x:c>
      <x:c r="K3016" s="39" t="str"/>
      <x:c r="L3016" s="39" t="str">
        <x:v>E112:P2953</x:v>
      </x:c>
      <x:c r="M3016" s="39" t="str"/>
      <x:c r="N3016" s="39" t="str">
        <x:v>نسخه پایه ۳۱۵۰</x:v>
      </x:c>
    </x:row>
    <x:row r="3017" ht="34" customHeight="1">
      <x:c r="A3017" s="34" t="str">
        <x:v>☐</x:v>
      </x:c>
      <x:c r="B3017" s="34" t="str">
        <x:v>MI-2810</x:v>
      </x:c>
      <x:c r="C3017" s="34" t="str">
        <x:v>M6 — تحلیل‌های خام و ورودی‌های نیازمند پالایش</x:v>
      </x:c>
      <x:c r="D3017" s="34" t="str">
        <x:v>H20</x:v>
      </x:c>
      <x:c r="E3017" s="34" t="str">
        <x:v>یادداشت تحلیلی/راهبری ثبت‌شده در 11211</x:v>
      </x:c>
      <x:c r="F3017" s="34" t="str">
        <x:v>P3/CLARIFY</x:v>
      </x:c>
      <x:c r="G3017" s="34" t="str">
        <x:v>هدف/موضوع</x:v>
      </x:c>
      <x:c r="H3017" s="39" t="str">
        <x:v>قابلیت های سیستم:</x:v>
      </x:c>
      <x:c r="I3017" s="39" t="str">
        <x:v>نیازمند تعریف خروجی یا پارک</x:v>
      </x:c>
      <x:c r="J3017" s="39" t="str">
        <x:v>تحلیلگر راهبری/PMO؛ تبدیل به فرضیه یا اقدام در صورت نیاز</x:v>
      </x:c>
      <x:c r="K3017" s="39" t="str"/>
      <x:c r="L3017" s="39" t="str">
        <x:v>E112:P2962</x:v>
      </x:c>
      <x:c r="M3017" s="39" t="str"/>
      <x:c r="N3017" s="39" t="str">
        <x:v>نسخه پایه ۳۱۵۰</x:v>
      </x:c>
    </x:row>
    <x:row r="3018" ht="34" customHeight="1">
      <x:c r="A3018" s="34" t="str">
        <x:v>☐</x:v>
      </x:c>
      <x:c r="B3018" s="34" t="str">
        <x:v>MI-2818</x:v>
      </x:c>
      <x:c r="C3018" s="34" t="str">
        <x:v>M6 — تحلیل‌های خام و ورودی‌های نیازمند پالایش</x:v>
      </x:c>
      <x:c r="D3018" s="34" t="str">
        <x:v>H20</x:v>
      </x:c>
      <x:c r="E3018" s="34" t="str">
        <x:v>یادداشت تحلیلی/راهبری ثبت‌شده در 11211</x:v>
      </x:c>
      <x:c r="F3018" s="34" t="str">
        <x:v>P3/CLARIFY</x:v>
      </x:c>
      <x:c r="G3018" s="34" t="str">
        <x:v>هدف/موضوع</x:v>
      </x:c>
      <x:c r="H3018" s="39" t="str">
        <x:v>مثال:</x:v>
      </x:c>
      <x:c r="I3018" s="39" t="str">
        <x:v>نیازمند تعریف خروجی یا پارک</x:v>
      </x:c>
      <x:c r="J3018" s="39" t="str">
        <x:v>تحلیلگر راهبری/PMO؛ تبدیل به فرضیه یا اقدام در صورت نیاز</x:v>
      </x:c>
      <x:c r="K3018" s="39" t="str"/>
      <x:c r="L3018" s="39" t="str">
        <x:v>E112:P2990؛ E112:P3011</x:v>
      </x:c>
      <x:c r="M3018" s="39" t="str"/>
      <x:c r="N3018" s="39" t="str">
        <x:v>نسخه پایه ۳۱۵۰</x:v>
      </x:c>
    </x:row>
    <x:row r="3019" ht="34" customHeight="1">
      <x:c r="A3019" s="34" t="str">
        <x:v>☐</x:v>
      </x:c>
      <x:c r="B3019" s="34" t="str">
        <x:v>MI-2819</x:v>
      </x:c>
      <x:c r="C3019" s="34" t="str">
        <x:v>M6 — تحلیل‌های خام و ورودی‌های نیازمند پالایش</x:v>
      </x:c>
      <x:c r="D3019" s="34" t="str">
        <x:v>H20</x:v>
      </x:c>
      <x:c r="E3019" s="34" t="str">
        <x:v>یادداشت تحلیلی/راهبری ثبت‌شده در 11211</x:v>
      </x:c>
      <x:c r="F3019" s="34" t="str">
        <x:v>P3/CLARIFY</x:v>
      </x:c>
      <x:c r="G3019" s="34" t="str">
        <x:v>هدف/موضوع</x:v>
      </x:c>
      <x:c r="H3019" s="39" t="str">
        <x:v>ابزارهای AgriTech</x:v>
      </x:c>
      <x:c r="I3019" s="39" t="str">
        <x:v>نیازمند تعریف خروجی یا پارک</x:v>
      </x:c>
      <x:c r="J3019" s="39" t="str">
        <x:v>تحلیلگر راهبری/PMO؛ تبدیل به فرضیه یا اقدام در صورت نیاز</x:v>
      </x:c>
      <x:c r="K3019" s="39" t="str"/>
      <x:c r="L3019" s="39" t="str">
        <x:v>E112:P2996</x:v>
      </x:c>
      <x:c r="M3019" s="39" t="str"/>
      <x:c r="N3019" s="39" t="str">
        <x:v>نسخه پایه ۳۱۵۰</x:v>
      </x:c>
    </x:row>
    <x:row r="3020" ht="34" customHeight="1">
      <x:c r="A3020" s="34" t="str">
        <x:v>☐</x:v>
      </x:c>
      <x:c r="B3020" s="34" t="str">
        <x:v>MI-2823</x:v>
      </x:c>
      <x:c r="C3020" s="34" t="str">
        <x:v>M6 — تحلیل‌های خام و ورودی‌های نیازمند پالایش</x:v>
      </x:c>
      <x:c r="D3020" s="34" t="str">
        <x:v>H20</x:v>
      </x:c>
      <x:c r="E3020" s="34" t="str">
        <x:v>یادداشت تحلیلی/راهبری ثبت‌شده در 11211</x:v>
      </x:c>
      <x:c r="F3020" s="34" t="str">
        <x:v>P3/CLARIFY</x:v>
      </x:c>
      <x:c r="G3020" s="34" t="str">
        <x:v>هدف/موضوع</x:v>
      </x:c>
      <x:c r="H3020" s="39" t="str">
        <x:v>نهادهای فعال:</x:v>
      </x:c>
      <x:c r="I3020" s="39" t="str">
        <x:v>نیازمند تعریف خروجی یا پارک</x:v>
      </x:c>
      <x:c r="J3020" s="39" t="str">
        <x:v>تحلیلگر راهبری/PMO؛ تبدیل به فرضیه یا اقدام در صورت نیاز</x:v>
      </x:c>
      <x:c r="K3020" s="39" t="str"/>
      <x:c r="L3020" s="39" t="str">
        <x:v>E112:P3004؛ E112:P3095</x:v>
      </x:c>
      <x:c r="M3020" s="39" t="str"/>
      <x:c r="N3020" s="39" t="str">
        <x:v>نسخه پایه ۳۱۵۰</x:v>
      </x:c>
    </x:row>
    <x:row r="3021" ht="34" customHeight="1">
      <x:c r="A3021" s="34" t="str">
        <x:v>☐</x:v>
      </x:c>
      <x:c r="B3021" s="34" t="str">
        <x:v>MI-2824</x:v>
      </x:c>
      <x:c r="C3021" s="34" t="str">
        <x:v>M6 — تحلیل‌های خام و ورودی‌های نیازمند پالایش</x:v>
      </x:c>
      <x:c r="D3021" s="34" t="str">
        <x:v>H20</x:v>
      </x:c>
      <x:c r="E3021" s="34" t="str">
        <x:v>یادداشت تحلیلی/راهبری ثبت‌شده در 11211</x:v>
      </x:c>
      <x:c r="F3021" s="34" t="str">
        <x:v>P3/CLARIFY</x:v>
      </x:c>
      <x:c r="G3021" s="34" t="str">
        <x:v>هدف/موضوع</x:v>
      </x:c>
      <x:c r="H3021" s="39" t="str">
        <x:v>هاب های کارآفرینی</x:v>
      </x:c>
      <x:c r="I3021" s="39" t="str">
        <x:v>نیازمند تعریف خروجی یا پارک</x:v>
      </x:c>
      <x:c r="J3021" s="39" t="str">
        <x:v>تحلیلگر راهبری/PMO؛ تبدیل به فرضیه یا اقدام در صورت نیاز</x:v>
      </x:c>
      <x:c r="K3021" s="39" t="str"/>
      <x:c r="L3021" s="39" t="str">
        <x:v>E112:P3008</x:v>
      </x:c>
      <x:c r="M3021" s="39" t="str"/>
      <x:c r="N3021" s="39" t="str">
        <x:v>نسخه پایه ۳۱۵۰</x:v>
      </x:c>
    </x:row>
    <x:row r="3022" ht="34" customHeight="1">
      <x:c r="A3022" s="34" t="str">
        <x:v>☐</x:v>
      </x:c>
      <x:c r="B3022" s="34" t="str">
        <x:v>MI-2825</x:v>
      </x:c>
      <x:c r="C3022" s="34" t="str">
        <x:v>M6 — تحلیل‌های خام و ورودی‌های نیازمند پالایش</x:v>
      </x:c>
      <x:c r="D3022" s="34" t="str">
        <x:v>H20</x:v>
      </x:c>
      <x:c r="E3022" s="34" t="str">
        <x:v>یادداشت تحلیلی/راهبری ثبت‌شده در 11211</x:v>
      </x:c>
      <x:c r="F3022" s="34" t="str">
        <x:v>P3/CLARIFY</x:v>
      </x:c>
      <x:c r="G3022" s="34" t="str">
        <x:v>هدف/موضوع</x:v>
      </x:c>
      <x:c r="H3022" s="39" t="str">
        <x:v>فضای کار اشتراکی</x:v>
      </x:c>
      <x:c r="I3022" s="39" t="str">
        <x:v>نیازمند تعریف خروجی یا پارک</x:v>
      </x:c>
      <x:c r="J3022" s="39" t="str">
        <x:v>تحلیلگر راهبری/PMO؛ تبدیل به فرضیه یا اقدام در صورت نیاز</x:v>
      </x:c>
      <x:c r="K3022" s="39" t="str"/>
      <x:c r="L3022" s="39" t="str">
        <x:v>E112:P3009</x:v>
      </x:c>
      <x:c r="M3022" s="39" t="str"/>
      <x:c r="N3022" s="39" t="str">
        <x:v>نسخه پایه ۳۱۵۰</x:v>
      </x:c>
    </x:row>
    <x:row r="3023" ht="34" customHeight="1">
      <x:c r="A3023" s="34" t="str">
        <x:v>☐</x:v>
      </x:c>
      <x:c r="B3023" s="34" t="str">
        <x:v>MI-2826</x:v>
      </x:c>
      <x:c r="C3023" s="34" t="str">
        <x:v>M6 — تحلیل‌های خام و ورودی‌های نیازمند پالایش</x:v>
      </x:c>
      <x:c r="D3023" s="34" t="str">
        <x:v>H20</x:v>
      </x:c>
      <x:c r="E3023" s="34" t="str">
        <x:v>یادداشت تحلیلی/راهبری ثبت‌شده در 11211</x:v>
      </x:c>
      <x:c r="F3023" s="34" t="str">
        <x:v>P3/CLARIFY</x:v>
      </x:c>
      <x:c r="G3023" s="34" t="str">
        <x:v>هدف/موضوع</x:v>
      </x:c>
      <x:c r="H3023" s="39" t="str">
        <x:v>وظایف:</x:v>
      </x:c>
      <x:c r="I3023" s="39" t="str">
        <x:v>نیازمند تعریف خروجی یا پارک</x:v>
      </x:c>
      <x:c r="J3023" s="39" t="str">
        <x:v>تحلیلگر راهبری/PMO؛ تبدیل به فرضیه یا اقدام در صورت نیاز</x:v>
      </x:c>
      <x:c r="K3023" s="39" t="str"/>
      <x:c r="L3023" s="39" t="str">
        <x:v>E112:P3015</x:v>
      </x:c>
      <x:c r="M3023" s="39" t="str"/>
      <x:c r="N3023" s="39" t="str">
        <x:v>نسخه پایه ۳۱۵۰</x:v>
      </x:c>
    </x:row>
    <x:row r="3024" ht="34" customHeight="1">
      <x:c r="A3024" s="34" t="str">
        <x:v>☐</x:v>
      </x:c>
      <x:c r="B3024" s="34" t="str">
        <x:v>MI-2834</x:v>
      </x:c>
      <x:c r="C3024" s="34" t="str">
        <x:v>M6 — تحلیل‌های خام و ورودی‌های نیازمند پالایش</x:v>
      </x:c>
      <x:c r="D3024" s="34" t="str">
        <x:v>H20</x:v>
      </x:c>
      <x:c r="E3024" s="34" t="str">
        <x:v>یادداشت تحلیلی/راهبری ثبت‌شده در 11211</x:v>
      </x:c>
      <x:c r="F3024" s="34" t="str">
        <x:v>P3/CLARIFY</x:v>
      </x:c>
      <x:c r="G3024" s="34" t="str">
        <x:v>هدف/موضوع</x:v>
      </x:c>
      <x:c r="H3024" s="39" t="str">
        <x:v>شرکت های خصوصی</x:v>
      </x:c>
      <x:c r="I3024" s="39" t="str">
        <x:v>نیازمند تعریف خروجی یا پارک</x:v>
      </x:c>
      <x:c r="J3024" s="39" t="str">
        <x:v>تحلیلگر راهبری/PMO؛ تبدیل به فرضیه یا اقدام در صورت نیاز</x:v>
      </x:c>
      <x:c r="K3024" s="39" t="str"/>
      <x:c r="L3024" s="39" t="str">
        <x:v>E112:P3052</x:v>
      </x:c>
      <x:c r="M3024" s="39" t="str"/>
      <x:c r="N3024" s="39" t="str">
        <x:v>نسخه پایه ۳۱۵۰</x:v>
      </x:c>
    </x:row>
    <x:row r="3025" ht="34" customHeight="1">
      <x:c r="A3025" s="34" t="str">
        <x:v>☐</x:v>
      </x:c>
      <x:c r="B3025" s="34" t="str">
        <x:v>MI-2835</x:v>
      </x:c>
      <x:c r="C3025" s="34" t="str">
        <x:v>M6 — تحلیل‌های خام و ورودی‌های نیازمند پالایش</x:v>
      </x:c>
      <x:c r="D3025" s="34" t="str">
        <x:v>H20</x:v>
      </x:c>
      <x:c r="E3025" s="34" t="str">
        <x:v>یادداشت تحلیلی/راهبری ثبت‌شده در 11211</x:v>
      </x:c>
      <x:c r="F3025" s="34" t="str">
        <x:v>P3/CLARIFY</x:v>
      </x:c>
      <x:c r="G3025" s="34" t="str">
        <x:v>هدف/موضوع</x:v>
      </x:c>
      <x:c r="H3025" s="39" t="str">
        <x:v>این مسایل تبدیل می شوند به:</x:v>
      </x:c>
      <x:c r="I3025" s="39" t="str">
        <x:v>نیازمند تعریف خروجی یا پارک</x:v>
      </x:c>
      <x:c r="J3025" s="39" t="str">
        <x:v>تحلیلگر راهبری/PMO؛ تبدیل به فرضیه یا اقدام در صورت نیاز</x:v>
      </x:c>
      <x:c r="K3025" s="39" t="str"/>
      <x:c r="L3025" s="39" t="str">
        <x:v>E112:P3054</x:v>
      </x:c>
      <x:c r="M3025" s="39" t="str"/>
      <x:c r="N3025" s="39" t="str">
        <x:v>نسخه پایه ۳۱۵۰</x:v>
      </x:c>
    </x:row>
    <x:row r="3026" ht="34" customHeight="1">
      <x:c r="A3026" s="34" t="str">
        <x:v>☐</x:v>
      </x:c>
      <x:c r="B3026" s="34" t="str">
        <x:v>MI-2840</x:v>
      </x:c>
      <x:c r="C3026" s="34" t="str">
        <x:v>M6 — تحلیل‌های خام و ورودی‌های نیازمند پالایش</x:v>
      </x:c>
      <x:c r="D3026" s="34" t="str">
        <x:v>H20</x:v>
      </x:c>
      <x:c r="E3026" s="34" t="str">
        <x:v>یادداشت تحلیلی/راهبری ثبت‌شده در 11211</x:v>
      </x:c>
      <x:c r="F3026" s="34" t="str">
        <x:v>P3/CLARIFY</x:v>
      </x:c>
      <x:c r="G3026" s="34" t="str">
        <x:v>هدف/موضوع</x:v>
      </x:c>
      <x:c r="H3026" s="39" t="str">
        <x:v>اردوهای فناوری</x:v>
      </x:c>
      <x:c r="I3026" s="39" t="str">
        <x:v>نیازمند تعریف خروجی یا پارک</x:v>
      </x:c>
      <x:c r="J3026" s="39" t="str">
        <x:v>تحلیلگر راهبری/PMO؛ تبدیل به فرضیه یا اقدام در صورت نیاز</x:v>
      </x:c>
      <x:c r="K3026" s="39" t="str"/>
      <x:c r="L3026" s="39" t="str">
        <x:v>E112:P3065</x:v>
      </x:c>
      <x:c r="M3026" s="39" t="str"/>
      <x:c r="N3026" s="39" t="str">
        <x:v>نسخه پایه ۳۱۵۰</x:v>
      </x:c>
    </x:row>
    <x:row r="3027" ht="34" customHeight="1">
      <x:c r="A3027" s="34" t="str">
        <x:v>☐</x:v>
      </x:c>
      <x:c r="B3027" s="34" t="str">
        <x:v>MI-2841</x:v>
      </x:c>
      <x:c r="C3027" s="34" t="str">
        <x:v>M6 — تحلیل‌های خام و ورودی‌های نیازمند پالایش</x:v>
      </x:c>
      <x:c r="D3027" s="34" t="str">
        <x:v>H20</x:v>
      </x:c>
      <x:c r="E3027" s="34" t="str">
        <x:v>یادداشت تحلیلی/راهبری ثبت‌شده در 11211</x:v>
      </x:c>
      <x:c r="F3027" s="34" t="str">
        <x:v>P3/CLARIFY</x:v>
      </x:c>
      <x:c r="G3027" s="34" t="str">
        <x:v>هدف/موضوع</x:v>
      </x:c>
      <x:c r="H3027" s="39" t="str">
        <x:v>نشست های حل مسیله</x:v>
      </x:c>
      <x:c r="I3027" s="39" t="str">
        <x:v>نیازمند تعریف خروجی یا پارک</x:v>
      </x:c>
      <x:c r="J3027" s="39" t="str">
        <x:v>تحلیلگر راهبری/PMO؛ تبدیل به فرضیه یا اقدام در صورت نیاز</x:v>
      </x:c>
      <x:c r="K3027" s="39" t="str"/>
      <x:c r="L3027" s="39" t="str">
        <x:v>E112:P3067</x:v>
      </x:c>
      <x:c r="M3027" s="39" t="str"/>
      <x:c r="N3027" s="39" t="str">
        <x:v>نسخه پایه ۳۱۵۰</x:v>
      </x:c>
    </x:row>
    <x:row r="3028" ht="34" customHeight="1">
      <x:c r="A3028" s="34" t="str">
        <x:v>☐</x:v>
      </x:c>
      <x:c r="B3028" s="34" t="str">
        <x:v>MI-2842</x:v>
      </x:c>
      <x:c r="C3028" s="34" t="str">
        <x:v>M6 — تحلیل‌های خام و ورودی‌های نیازمند پالایش</x:v>
      </x:c>
      <x:c r="D3028" s="34" t="str">
        <x:v>H20</x:v>
      </x:c>
      <x:c r="E3028" s="34" t="str">
        <x:v>یادداشت تحلیلی/راهبری ثبت‌شده در 11211</x:v>
      </x:c>
      <x:c r="F3028" s="34" t="str">
        <x:v>P3/CLARIFY</x:v>
      </x:c>
      <x:c r="G3028" s="34" t="str">
        <x:v>هدف/موضوع</x:v>
      </x:c>
      <x:c r="H3028" s="39" t="str">
        <x:v>مزیت مازندران:</x:v>
      </x:c>
      <x:c r="I3028" s="39" t="str">
        <x:v>نیازمند تعریف خروجی یا پارک</x:v>
      </x:c>
      <x:c r="J3028" s="39" t="str">
        <x:v>تحلیلگر راهبری/PMO؛ تبدیل به فرضیه یا اقدام در صورت نیاز</x:v>
      </x:c>
      <x:c r="K3028" s="39" t="str"/>
      <x:c r="L3028" s="39" t="str">
        <x:v>E112:P3069</x:v>
      </x:c>
      <x:c r="M3028" s="39" t="str"/>
      <x:c r="N3028" s="39" t="str">
        <x:v>نسخه پایه ۳۱۵۰</x:v>
      </x:c>
    </x:row>
    <x:row r="3029" ht="34" customHeight="1">
      <x:c r="A3029" s="34" t="str">
        <x:v>☐</x:v>
      </x:c>
      <x:c r="B3029" s="34" t="str">
        <x:v>MI-2846</x:v>
      </x:c>
      <x:c r="C3029" s="34" t="str">
        <x:v>M6 — تحلیل‌های خام و ورودی‌های نیازمند پالایش</x:v>
      </x:c>
      <x:c r="D3029" s="34" t="str">
        <x:v>H20</x:v>
      </x:c>
      <x:c r="E3029" s="34" t="str">
        <x:v>یادداشت تحلیلی/راهبری ثبت‌شده در 11211</x:v>
      </x:c>
      <x:c r="F3029" s="34" t="str">
        <x:v>P3/CLARIFY</x:v>
      </x:c>
      <x:c r="G3029" s="34" t="str">
        <x:v>هدف/موضوع</x:v>
      </x:c>
      <x:c r="H3029" s="39" t="str">
        <x:v>انواع رویداد:</x:v>
      </x:c>
      <x:c r="I3029" s="39" t="str">
        <x:v>نیازمند تعریف خروجی یا پارک</x:v>
      </x:c>
      <x:c r="J3029" s="39" t="str">
        <x:v>تحلیلگر راهبری/PMO؛ تبدیل به فرضیه یا اقدام در صورت نیاز</x:v>
      </x:c>
      <x:c r="K3029" s="39" t="str"/>
      <x:c r="L3029" s="39" t="str">
        <x:v>E112:P3076</x:v>
      </x:c>
      <x:c r="M3029" s="39" t="str"/>
      <x:c r="N3029" s="39" t="str">
        <x:v>نسخه پایه ۳۱۵۰</x:v>
      </x:c>
    </x:row>
    <x:row r="3030" ht="34" customHeight="1">
      <x:c r="A3030" s="34" t="str">
        <x:v>☐</x:v>
      </x:c>
      <x:c r="B3030" s="34" t="str">
        <x:v>MI-2848</x:v>
      </x:c>
      <x:c r="C3030" s="34" t="str">
        <x:v>M6 — تحلیل‌های خام و ورودی‌های نیازمند پالایش</x:v>
      </x:c>
      <x:c r="D3030" s="34" t="str">
        <x:v>H20</x:v>
      </x:c>
      <x:c r="E3030" s="34" t="str">
        <x:v>یادداشت تحلیلی/راهبری ثبت‌شده در 11211</x:v>
      </x:c>
      <x:c r="F3030" s="34" t="str">
        <x:v>P3/CLARIFY</x:v>
      </x:c>
      <x:c r="G3030" s="34" t="str">
        <x:v>هدف/موضوع</x:v>
      </x:c>
      <x:c r="H3030" s="39" t="str">
        <x:v>کارکرد:</x:v>
      </x:c>
      <x:c r="I3030" s="39" t="str">
        <x:v>نیازمند تعریف خروجی یا پارک</x:v>
      </x:c>
      <x:c r="J3030" s="39" t="str">
        <x:v>تحلیلگر راهبری/PMO؛ تبدیل به فرضیه یا اقدام در صورت نیاز</x:v>
      </x:c>
      <x:c r="K3030" s="39" t="str"/>
      <x:c r="L3030" s="39" t="str">
        <x:v>E112:P3084؛ E112:P3140؛ E112:P3476</x:v>
      </x:c>
      <x:c r="M3030" s="39" t="str"/>
      <x:c r="N3030" s="39" t="str">
        <x:v>نسخه پایه ۳۱۵۰</x:v>
      </x:c>
    </x:row>
    <x:row r="3031" ht="34" customHeight="1">
      <x:c r="A3031" s="34" t="str">
        <x:v>☐</x:v>
      </x:c>
      <x:c r="B3031" s="34" t="str">
        <x:v>MI-2849</x:v>
      </x:c>
      <x:c r="C3031" s="34" t="str">
        <x:v>M6 — تحلیل‌های خام و ورودی‌های نیازمند پالایش</x:v>
      </x:c>
      <x:c r="D3031" s="34" t="str">
        <x:v>H20</x:v>
      </x:c>
      <x:c r="E3031" s="34" t="str">
        <x:v>یادداشت تحلیلی/راهبری ثبت‌شده در 11211</x:v>
      </x:c>
      <x:c r="F3031" s="34" t="str">
        <x:v>P3/CLARIFY</x:v>
      </x:c>
      <x:c r="G3031" s="34" t="str">
        <x:v>هدف/موضوع</x:v>
      </x:c>
      <x:c r="H3031" s="39" t="str">
        <x:v>رسانه سازی</x:v>
      </x:c>
      <x:c r="I3031" s="39" t="str">
        <x:v>نیازمند تعریف خروجی یا پارک</x:v>
      </x:c>
      <x:c r="J3031" s="39" t="str">
        <x:v>تحلیلگر راهبری/PMO؛ تبدیل به فرضیه یا اقدام در صورت نیاز</x:v>
      </x:c>
      <x:c r="K3031" s="39" t="str"/>
      <x:c r="L3031" s="39" t="str">
        <x:v>E112:P3089</x:v>
      </x:c>
      <x:c r="M3031" s="39" t="str"/>
      <x:c r="N3031" s="39" t="str">
        <x:v>نسخه پایه ۳۱۵۰</x:v>
      </x:c>
    </x:row>
    <x:row r="3032" ht="34" customHeight="1">
      <x:c r="A3032" s="34" t="str">
        <x:v>☐</x:v>
      </x:c>
      <x:c r="B3032" s="34" t="str">
        <x:v>MI-2853</x:v>
      </x:c>
      <x:c r="C3032" s="34" t="str">
        <x:v>M6 — تحلیل‌های خام و ورودی‌های نیازمند پالایش</x:v>
      </x:c>
      <x:c r="D3032" s="34" t="str">
        <x:v>H20</x:v>
      </x:c>
      <x:c r="E3032" s="34" t="str">
        <x:v>یادداشت تحلیلی/راهبری ثبت‌شده در 11211</x:v>
      </x:c>
      <x:c r="F3032" s="34" t="str">
        <x:v>P3/CLARIFY</x:v>
      </x:c>
      <x:c r="G3032" s="34" t="str">
        <x:v>هدف/موضوع</x:v>
      </x:c>
      <x:c r="H3032" s="39" t="str">
        <x:v>توسعه محصول</x:v>
      </x:c>
      <x:c r="I3032" s="39" t="str">
        <x:v>نیازمند تعریف خروجی یا پارک</x:v>
      </x:c>
      <x:c r="J3032" s="39" t="str">
        <x:v>تحلیلگر راهبری/PMO؛ تبدیل به فرضیه یا اقدام در صورت نیاز</x:v>
      </x:c>
      <x:c r="K3032" s="39" t="str"/>
      <x:c r="L3032" s="39" t="str">
        <x:v>E112:P3106</x:v>
      </x:c>
      <x:c r="M3032" s="39" t="str"/>
      <x:c r="N3032" s="39" t="str">
        <x:v>نسخه پایه ۳۱۵۰</x:v>
      </x:c>
    </x:row>
    <x:row r="3033" ht="34" customHeight="1">
      <x:c r="A3033" s="34" t="str">
        <x:v>☐</x:v>
      </x:c>
      <x:c r="B3033" s="34" t="str">
        <x:v>MI-2854</x:v>
      </x:c>
      <x:c r="C3033" s="34" t="str">
        <x:v>M6 — تحلیل‌های خام و ورودی‌های نیازمند پالایش</x:v>
      </x:c>
      <x:c r="D3033" s="34" t="str">
        <x:v>H20</x:v>
      </x:c>
      <x:c r="E3033" s="34" t="str">
        <x:v>یادداشت تحلیلی/راهبری ثبت‌شده در 11211</x:v>
      </x:c>
      <x:c r="F3033" s="34" t="str">
        <x:v>P3/CLARIFY</x:v>
      </x:c>
      <x:c r="G3033" s="34" t="str">
        <x:v>هدف/موضوع</x:v>
      </x:c>
      <x:c r="H3033" s="39" t="str">
        <x:v>ورود به بازار</x:v>
      </x:c>
      <x:c r="I3033" s="39" t="str">
        <x:v>نیازمند تعریف خروجی یا پارک</x:v>
      </x:c>
      <x:c r="J3033" s="39" t="str">
        <x:v>تحلیلگر راهبری/PMO؛ تبدیل به فرضیه یا اقدام در صورت نیاز</x:v>
      </x:c>
      <x:c r="K3033" s="39" t="str"/>
      <x:c r="L3033" s="39" t="str">
        <x:v>E112:P3107</x:v>
      </x:c>
      <x:c r="M3033" s="39" t="str"/>
      <x:c r="N3033" s="39" t="str">
        <x:v>نسخه پایه ۳۱۵۰</x:v>
      </x:c>
    </x:row>
    <x:row r="3034" ht="34" customHeight="1">
      <x:c r="A3034" s="34" t="str">
        <x:v>☐</x:v>
      </x:c>
      <x:c r="B3034" s="34" t="str">
        <x:v>MI-2858</x:v>
      </x:c>
      <x:c r="C3034" s="34" t="str">
        <x:v>M6 — تحلیل‌های خام و ورودی‌های نیازمند پالایش</x:v>
      </x:c>
      <x:c r="D3034" s="34" t="str">
        <x:v>H20</x:v>
      </x:c>
      <x:c r="E3034" s="34" t="str">
        <x:v>یادداشت تحلیلی/راهبری ثبت‌شده در 11211</x:v>
      </x:c>
      <x:c r="F3034" s="34" t="str">
        <x:v>P3/CLARIFY</x:v>
      </x:c>
      <x:c r="G3034" s="34" t="str">
        <x:v>هدف/موضوع</x:v>
      </x:c>
      <x:c r="H3034" s="39" t="str">
        <x:v>بازارهای هدف:</x:v>
      </x:c>
      <x:c r="I3034" s="39" t="str">
        <x:v>نیازمند تعریف خروجی یا پارک</x:v>
      </x:c>
      <x:c r="J3034" s="39" t="str">
        <x:v>تحلیلگر راهبری/PMO؛ تبدیل به فرضیه یا اقدام در صورت نیاز</x:v>
      </x:c>
      <x:c r="K3034" s="39" t="str"/>
      <x:c r="L3034" s="39" t="str">
        <x:v>E112:P3122</x:v>
      </x:c>
      <x:c r="M3034" s="39" t="str"/>
      <x:c r="N3034" s="39" t="str">
        <x:v>نسخه پایه ۳۱۵۰</x:v>
      </x:c>
    </x:row>
    <x:row r="3035" ht="34" customHeight="1">
      <x:c r="A3035" s="34" t="str">
        <x:v>☐</x:v>
      </x:c>
      <x:c r="B3035" s="34" t="str">
        <x:v>MI-2859</x:v>
      </x:c>
      <x:c r="C3035" s="34" t="str">
        <x:v>M6 — تحلیل‌های خام و ورودی‌های نیازمند پالایش</x:v>
      </x:c>
      <x:c r="D3035" s="34" t="str">
        <x:v>H20</x:v>
      </x:c>
      <x:c r="E3035" s="34" t="str">
        <x:v>یادداشت تحلیلی/راهبری ثبت‌شده در 11211</x:v>
      </x:c>
      <x:c r="F3035" s="34" t="str">
        <x:v>P3/CLARIFY</x:v>
      </x:c>
      <x:c r="G3035" s="34" t="str">
        <x:v>هدف/موضوع</x:v>
      </x:c>
      <x:c r="H3035" s="39" t="str">
        <x:v>روسیه</x:v>
      </x:c>
      <x:c r="I3035" s="39" t="str">
        <x:v>نیازمند تعریف خروجی یا پارک</x:v>
      </x:c>
      <x:c r="J3035" s="39" t="str">
        <x:v>تحلیلگر راهبری/PMO؛ تبدیل به فرضیه یا اقدام در صورت نیاز</x:v>
      </x:c>
      <x:c r="K3035" s="39" t="str"/>
      <x:c r="L3035" s="39" t="str">
        <x:v>E112:P3124</x:v>
      </x:c>
      <x:c r="M3035" s="39" t="str"/>
      <x:c r="N3035" s="39" t="str">
        <x:v>نسخه پایه ۳۱۵۰</x:v>
      </x:c>
    </x:row>
    <x:row r="3036" ht="34" customHeight="1">
      <x:c r="A3036" s="34" t="str">
        <x:v>☐</x:v>
      </x:c>
      <x:c r="B3036" s="34" t="str">
        <x:v>MI-2860</x:v>
      </x:c>
      <x:c r="C3036" s="34" t="str">
        <x:v>M6 — تحلیل‌های خام و ورودی‌های نیازمند پالایش</x:v>
      </x:c>
      <x:c r="D3036" s="34" t="str">
        <x:v>H20</x:v>
      </x:c>
      <x:c r="E3036" s="34" t="str">
        <x:v>یادداشت تحلیلی/راهبری ثبت‌شده در 11211</x:v>
      </x:c>
      <x:c r="F3036" s="34" t="str">
        <x:v>P3/CLARIFY</x:v>
      </x:c>
      <x:c r="G3036" s="34" t="str">
        <x:v>هدف/موضوع</x:v>
      </x:c>
      <x:c r="H3036" s="39" t="str">
        <x:v>کشورهای CIS</x:v>
      </x:c>
      <x:c r="I3036" s="39" t="str">
        <x:v>نیازمند تعریف خروجی یا پارک</x:v>
      </x:c>
      <x:c r="J3036" s="39" t="str">
        <x:v>تحلیلگر راهبری/PMO؛ تبدیل به فرضیه یا اقدام در صورت نیاز</x:v>
      </x:c>
      <x:c r="K3036" s="39" t="str"/>
      <x:c r="L3036" s="39" t="str">
        <x:v>E112:P3125</x:v>
      </x:c>
      <x:c r="M3036" s="39" t="str"/>
      <x:c r="N3036" s="39" t="str">
        <x:v>نسخه پایه ۳۱۵۰</x:v>
      </x:c>
    </x:row>
    <x:row r="3037" ht="34" customHeight="1">
      <x:c r="A3037" s="34" t="str">
        <x:v>☐</x:v>
      </x:c>
      <x:c r="B3037" s="34" t="str">
        <x:v>MI-2861</x:v>
      </x:c>
      <x:c r="C3037" s="34" t="str">
        <x:v>M6 — تحلیل‌های خام و ورودی‌های نیازمند پالایش</x:v>
      </x:c>
      <x:c r="D3037" s="34" t="str">
        <x:v>H20</x:v>
      </x:c>
      <x:c r="E3037" s="34" t="str">
        <x:v>یادداشت تحلیلی/راهبری ثبت‌شده در 11211</x:v>
      </x:c>
      <x:c r="F3037" s="34" t="str">
        <x:v>P3/CLARIFY</x:v>
      </x:c>
      <x:c r="G3037" s="34" t="str">
        <x:v>هدف/موضوع</x:v>
      </x:c>
      <x:c r="H3037" s="39" t="str">
        <x:v>اوراسیا</x:v>
      </x:c>
      <x:c r="I3037" s="39" t="str">
        <x:v>نیازمند تعریف خروجی یا پارک</x:v>
      </x:c>
      <x:c r="J3037" s="39" t="str">
        <x:v>تحلیلگر راهبری/PMO؛ تبدیل به فرضیه یا اقدام در صورت نیاز</x:v>
      </x:c>
      <x:c r="K3037" s="39" t="str"/>
      <x:c r="L3037" s="39" t="str">
        <x:v>E112:P3126</x:v>
      </x:c>
      <x:c r="M3037" s="39" t="str"/>
      <x:c r="N3037" s="39" t="str">
        <x:v>نسخه پایه ۳۱۵۰</x:v>
      </x:c>
    </x:row>
    <x:row r="3038" ht="34" customHeight="1">
      <x:c r="A3038" s="34" t="str">
        <x:v>☐</x:v>
      </x:c>
      <x:c r="B3038" s="34" t="str">
        <x:v>MI-2864</x:v>
      </x:c>
      <x:c r="C3038" s="34" t="str">
        <x:v>M6 — تحلیل‌های خام و ورودی‌های نیازمند پالایش</x:v>
      </x:c>
      <x:c r="D3038" s="34" t="str">
        <x:v>H20</x:v>
      </x:c>
      <x:c r="E3038" s="34" t="str">
        <x:v>یادداشت تحلیلی/راهبری ثبت‌شده در 11211</x:v>
      </x:c>
      <x:c r="F3038" s="34" t="str">
        <x:v>P3/CLARIFY</x:v>
      </x:c>
      <x:c r="G3038" s="34" t="str">
        <x:v>هدف/موضوع</x:v>
      </x:c>
      <x:c r="H3038" s="39" t="str">
        <x:v>سه مدل:</x:v>
      </x:c>
      <x:c r="I3038" s="39" t="str">
        <x:v>نیازمند تعریف خروجی یا پارک</x:v>
      </x:c>
      <x:c r="J3038" s="39" t="str">
        <x:v>تحلیلگر راهبری/PMO؛ تبدیل به فرضیه یا اقدام در صورت نیاز</x:v>
      </x:c>
      <x:c r="K3038" s="39" t="str"/>
      <x:c r="L3038" s="39" t="str">
        <x:v>E112:P3132</x:v>
      </x:c>
      <x:c r="M3038" s="39" t="str"/>
      <x:c r="N3038" s="39" t="str">
        <x:v>نسخه پایه ۳۱۵۰</x:v>
      </x:c>
    </x:row>
    <x:row r="3039" ht="34" customHeight="1">
      <x:c r="A3039" s="34" t="str">
        <x:v>☐</x:v>
      </x:c>
      <x:c r="B3039" s="34" t="str">
        <x:v>MI-2868</x:v>
      </x:c>
      <x:c r="C3039" s="34" t="str">
        <x:v>M6 — تحلیل‌های خام و ورودی‌های نیازمند پالایش</x:v>
      </x:c>
      <x:c r="D3039" s="34" t="str">
        <x:v>H20</x:v>
      </x:c>
      <x:c r="E3039" s="34" t="str">
        <x:v>یادداشت تحلیلی/راهبری ثبت‌شده در 11211</x:v>
      </x:c>
      <x:c r="F3039" s="34" t="str">
        <x:v>P3/CLARIFY</x:v>
      </x:c>
      <x:c r="G3039" s="34" t="str">
        <x:v>هدف/موضوع</x:v>
      </x:c>
      <x:c r="H3039" s="39" t="str">
        <x:v>مدل همکاری:</x:v>
      </x:c>
      <x:c r="I3039" s="39" t="str">
        <x:v>نیازمند تعریف خروجی یا پارک</x:v>
      </x:c>
      <x:c r="J3039" s="39" t="str">
        <x:v>تحلیلگر راهبری/PMO؛ تبدیل به فرضیه یا اقدام در صورت نیاز</x:v>
      </x:c>
      <x:c r="K3039" s="39" t="str"/>
      <x:c r="L3039" s="39" t="str">
        <x:v>E112:P3149</x:v>
      </x:c>
      <x:c r="M3039" s="39" t="str"/>
      <x:c r="N3039" s="39" t="str">
        <x:v>نسخه پایه ۳۱۵۰</x:v>
      </x:c>
    </x:row>
    <x:row r="3040" ht="34" customHeight="1">
      <x:c r="A3040" s="34" t="str">
        <x:v>☐</x:v>
      </x:c>
      <x:c r="B3040" s="34" t="str">
        <x:v>MI-2870</x:v>
      </x:c>
      <x:c r="C3040" s="34" t="str">
        <x:v>M6 — تحلیل‌های خام و ورودی‌های نیازمند پالایش</x:v>
      </x:c>
      <x:c r="D3040" s="34" t="str">
        <x:v>H20</x:v>
      </x:c>
      <x:c r="E3040" s="34" t="str">
        <x:v>یادداشت تحلیلی/راهبری ثبت‌شده در 11211</x:v>
      </x:c>
      <x:c r="F3040" s="34" t="str">
        <x:v>P3/CLARIFY</x:v>
      </x:c>
      <x:c r="G3040" s="34" t="str">
        <x:v>هدف/موضوع</x:v>
      </x:c>
      <x:c r="H3040" s="39" t="str">
        <x:v>تیم کارآفرین</x:v>
      </x:c>
      <x:c r="I3040" s="39" t="str">
        <x:v>نیازمند تعریف خروجی یا پارک</x:v>
      </x:c>
      <x:c r="J3040" s="39" t="str">
        <x:v>تحلیلگر راهبری/PMO؛ تبدیل به فرضیه یا اقدام در صورت نیاز</x:v>
      </x:c>
      <x:c r="K3040" s="39" t="str"/>
      <x:c r="L3040" s="39" t="str">
        <x:v>E112:P3155</x:v>
      </x:c>
      <x:c r="M3040" s="39" t="str"/>
      <x:c r="N3040" s="39" t="str">
        <x:v>نسخه پایه ۳۱۵۰</x:v>
      </x:c>
    </x:row>
    <x:row r="3041" ht="34" customHeight="1">
      <x:c r="A3041" s="34" t="str">
        <x:v>☐</x:v>
      </x:c>
      <x:c r="B3041" s="34" t="str">
        <x:v>MI-2875</x:v>
      </x:c>
      <x:c r="C3041" s="34" t="str">
        <x:v>M6 — تحلیل‌های خام و ورودی‌های نیازمند پالایش</x:v>
      </x:c>
      <x:c r="D3041" s="34" t="str">
        <x:v>H20</x:v>
      </x:c>
      <x:c r="E3041" s="34" t="str">
        <x:v>یادداشت تحلیلی/راهبری ثبت‌شده در 11211</x:v>
      </x:c>
      <x:c r="F3041" s="34" t="str">
        <x:v>P3/CLARIFY</x:v>
      </x:c>
      <x:c r="G3041" s="34" t="str">
        <x:v>هدف/موضوع</x:v>
      </x:c>
      <x:c r="H3041" s="39" t="str">
        <x:v>text</x:v>
      </x:c>
      <x:c r="I3041" s="39" t="str">
        <x:v>نیازمند تعریف خروجی یا پارک</x:v>
      </x:c>
      <x:c r="J3041" s="39" t="str">
        <x:v>تحلیلگر راهبری/PMO؛ تبدیل به فرضیه یا اقدام در صورت نیاز</x:v>
      </x:c>
      <x:c r="K3041" s="39" t="str"/>
      <x:c r="L3041" s="39" t="str">
        <x:v>E112:P3195</x:v>
      </x:c>
      <x:c r="M3041" s="39" t="str"/>
      <x:c r="N3041" s="39" t="str">
        <x:v>نسخه پایه ۳۱۵۰</x:v>
      </x:c>
    </x:row>
    <x:row r="3042" ht="34" customHeight="1">
      <x:c r="A3042" s="34" t="str">
        <x:v>☐</x:v>
      </x:c>
      <x:c r="B3042" s="34" t="str">
        <x:v>MI-2885</x:v>
      </x:c>
      <x:c r="C3042" s="34" t="str">
        <x:v>M6 — تحلیل‌های خام و ورودی‌های نیازمند پالایش</x:v>
      </x:c>
      <x:c r="D3042" s="34" t="str">
        <x:v>H20</x:v>
      </x:c>
      <x:c r="E3042" s="34" t="str">
        <x:v>یادداشت تحلیلی/راهبری ثبت‌شده در 11211</x:v>
      </x:c>
      <x:c r="F3042" s="34" t="str">
        <x:v>P3/CLARIFY</x:v>
      </x:c>
      <x:c r="G3042" s="34" t="str">
        <x:v>هدف/موضوع</x:v>
      </x:c>
      <x:c r="H3042" s="39" t="str">
        <x:v>(یعنی دقیقاً کدام نهادها اگر فعال شوند کل این سیستم واقعاً راه می افتد، نه فقط روی کاغذ).</x:v>
      </x:c>
      <x:c r="I3042" s="39" t="str">
        <x:v>نیازمند تعریف خروجی یا پارک</x:v>
      </x:c>
      <x:c r="J3042" s="39" t="str">
        <x:v>تحلیلگر راهبری/PMO؛ تبدیل به فرضیه یا اقدام در صورت نیاز</x:v>
      </x:c>
      <x:c r="K3042" s="39" t="str"/>
      <x:c r="L3042" s="39" t="str">
        <x:v>E112:P3221</x:v>
      </x:c>
      <x:c r="M3042" s="39" t="str"/>
      <x:c r="N3042" s="39" t="str">
        <x:v>نسخه پایه ۳۱۵۰</x:v>
      </x:c>
    </x:row>
    <x:row r="3043" ht="34" customHeight="1">
      <x:c r="A3043" s="34" t="str">
        <x:v>☐</x:v>
      </x:c>
      <x:c r="B3043" s="34" t="str">
        <x:v>MI-2886</x:v>
      </x:c>
      <x:c r="C3043" s="34" t="str">
        <x:v>M6 — تحلیل‌های خام و ورودی‌های نیازمند پالایش</x:v>
      </x:c>
      <x:c r="D3043" s="34" t="str">
        <x:v>H20</x:v>
      </x:c>
      <x:c r="E3043" s="34" t="str">
        <x:v>یادداشت تحلیلی/راهبری ثبت‌شده در 11211</x:v>
      </x:c>
      <x:c r="F3043" s="34" t="str">
        <x:v>P3/CLARIFY</x:v>
      </x:c>
      <x:c r="G3043" s="34" t="str">
        <x:v>هدف/موضوع</x:v>
      </x:c>
      <x:c r="H3043" s="39" t="str">
        <x:v>کل این محتوا رو توی سورس نوت بوک ال ام گذاشتم</x:v>
      </x:c>
      <x:c r="I3043" s="39" t="str">
        <x:v>نیازمند تعریف خروجی یا پارک</x:v>
      </x:c>
      <x:c r="J3043" s="39" t="str">
        <x:v>تحلیلگر راهبری/PMO؛ تبدیل به فرضیه یا اقدام در صورت نیاز</x:v>
      </x:c>
      <x:c r="K3043" s="39" t="str"/>
      <x:c r="L3043" s="39" t="str">
        <x:v>E112:P3222</x:v>
      </x:c>
      <x:c r="M3043" s="39" t="str"/>
      <x:c r="N3043" s="39" t="str">
        <x:v>نسخه پایه ۳۱۵۰</x:v>
      </x:c>
    </x:row>
    <x:row r="3044" ht="34" customHeight="1">
      <x:c r="A3044" s="34" t="str">
        <x:v>☐</x:v>
      </x:c>
      <x:c r="B3044" s="34" t="str">
        <x:v>MI-2887</x:v>
      </x:c>
      <x:c r="C3044" s="34" t="str">
        <x:v>M6 — تحلیل‌های خام و ورودی‌های نیازمند پالایش</x:v>
      </x:c>
      <x:c r="D3044" s="34" t="str">
        <x:v>H20</x:v>
      </x:c>
      <x:c r="E3044" s="34" t="str">
        <x:v>یادداشت تحلیلی/راهبری ثبت‌شده در 11211</x:v>
      </x:c>
      <x:c r="F3044" s="34" t="str">
        <x:v>P3/CLARIFY</x:v>
      </x:c>
      <x:c r="G3044" s="34" t="str">
        <x:v>هدف/موضوع</x:v>
      </x:c>
      <x:c r="H3044" s="39" t="str">
        <x:v>حالا میخوام بدون اینکه محتوا رو حذف کنه بیاد و بررسی کنه که چه طبقه بندی و سیستمی میتونه اجرا کنه</x:v>
      </x:c>
      <x:c r="I3044" s="39" t="str">
        <x:v>نیازمند تعریف خروجی یا پارک</x:v>
      </x:c>
      <x:c r="J3044" s="39" t="str">
        <x:v>تحلیلگر راهبری/PMO؛ تبدیل به فرضیه یا اقدام در صورت نیاز</x:v>
      </x:c>
      <x:c r="K3044" s="39" t="str"/>
      <x:c r="L3044" s="39" t="str">
        <x:v>E112:P3223</x:v>
      </x:c>
      <x:c r="M3044" s="39" t="str"/>
      <x:c r="N3044" s="39" t="str">
        <x:v>نسخه پایه ۳۱۵۰</x:v>
      </x:c>
    </x:row>
    <x:row r="3045" ht="34" customHeight="1">
      <x:c r="A3045" s="34" t="str">
        <x:v>☐</x:v>
      </x:c>
      <x:c r="B3045" s="34" t="str">
        <x:v>MI-2888</x:v>
      </x:c>
      <x:c r="C3045" s="34" t="str">
        <x:v>M6 — تحلیل‌های خام و ورودی‌های نیازمند پالایش</x:v>
      </x:c>
      <x:c r="D3045" s="34" t="str">
        <x:v>H20</x:v>
      </x:c>
      <x:c r="E3045" s="34" t="str">
        <x:v>یادداشت تحلیلی/راهبری ثبت‌شده در 11211</x:v>
      </x:c>
      <x:c r="F3045" s="34" t="str">
        <x:v>P3/CLARIFY</x:v>
      </x:c>
      <x:c r="G3045" s="34" t="str">
        <x:v>هدف/موضوع</x:v>
      </x:c>
      <x:c r="H3045" s="39" t="str">
        <x:v>که کل این محتوا رو اجرا کنه</x:v>
      </x:c>
      <x:c r="I3045" s="39" t="str">
        <x:v>نیازمند تعریف خروجی یا پارک</x:v>
      </x:c>
      <x:c r="J3045" s="39" t="str">
        <x:v>تحلیلگر راهبری/PMO؛ تبدیل به فرضیه یا اقدام در صورت نیاز</x:v>
      </x:c>
      <x:c r="K3045" s="39" t="str"/>
      <x:c r="L3045" s="39" t="str">
        <x:v>E112:P3225</x:v>
      </x:c>
      <x:c r="M3045" s="39" t="str"/>
      <x:c r="N3045" s="39" t="str">
        <x:v>نسخه پایه ۳۱۵۰</x:v>
      </x:c>
    </x:row>
    <x:row r="3046" ht="34" customHeight="1">
      <x:c r="A3046" s="34" t="str">
        <x:v>☐</x:v>
      </x:c>
      <x:c r="B3046" s="34" t="str">
        <x:v>MI-2891</x:v>
      </x:c>
      <x:c r="C3046" s="34" t="str">
        <x:v>M6 — تحلیل‌های خام و ورودی‌های نیازمند پالایش</x:v>
      </x:c>
      <x:c r="D3046" s="34" t="str">
        <x:v>H20</x:v>
      </x:c>
      <x:c r="E3046" s="34" t="str">
        <x:v>یادداشت تحلیلی/راهبری ثبت‌شده در 11211</x:v>
      </x:c>
      <x:c r="F3046" s="34" t="str">
        <x:v>P3/CLARIFY</x:v>
      </x:c>
      <x:c r="G3046" s="34" t="str">
        <x:v>هدف/موضوع</x:v>
      </x:c>
      <x:c r="H3046" s="39" t="str">
        <x:v>می توانی دقیقاً از چنین پرامپتی استفاده کنی:</x:v>
      </x:c>
      <x:c r="I3046" s="39" t="str">
        <x:v>نیازمند تعریف خروجی یا پارک</x:v>
      </x:c>
      <x:c r="J3046" s="39" t="str">
        <x:v>تحلیلگر راهبری/PMO؛ تبدیل به فرضیه یا اقدام در صورت نیاز</x:v>
      </x:c>
      <x:c r="K3046" s="39" t="str"/>
      <x:c r="L3046" s="39" t="str">
        <x:v>E112:P3231</x:v>
      </x:c>
      <x:c r="M3046" s="39" t="str"/>
      <x:c r="N3046" s="39" t="str">
        <x:v>نسخه پایه ۳۱۵۰</x:v>
      </x:c>
    </x:row>
    <x:row r="3047" ht="34" customHeight="1">
      <x:c r="A3047" s="34" t="str">
        <x:v>☐</x:v>
      </x:c>
      <x:c r="B3047" s="34" t="str">
        <x:v>MI-2892</x:v>
      </x:c>
      <x:c r="C3047" s="34" t="str">
        <x:v>M6 — تحلیل‌های خام و ورودی‌های نیازمند پالایش</x:v>
      </x:c>
      <x:c r="D3047" s="34" t="str">
        <x:v>H20</x:v>
      </x:c>
      <x:c r="E3047" s="34" t="str">
        <x:v>یادداشت تحلیلی/راهبری ثبت‌شده در 11211</x:v>
      </x:c>
      <x:c r="F3047" s="34" t="str">
        <x:v>P3/CLARIFY</x:v>
      </x:c>
      <x:c r="G3047" s="34" t="str">
        <x:v>هدف/موضوع</x:v>
      </x:c>
      <x:c r="H3047" s="39" t="str">
        <x:v>:::writing</x:v>
      </x:c>
      <x:c r="I3047" s="39" t="str">
        <x:v>نیازمند تعریف خروجی یا پارک</x:v>
      </x:c>
      <x:c r="J3047" s="39" t="str">
        <x:v>تحلیلگر راهبری/PMO؛ تبدیل به فرضیه یا اقدام در صورت نیاز</x:v>
      </x:c>
      <x:c r="K3047" s="39" t="str"/>
      <x:c r="L3047" s="39" t="str">
        <x:v>E112:P3233</x:v>
      </x:c>
      <x:c r="M3047" s="39" t="str"/>
      <x:c r="N3047" s="39" t="str">
        <x:v>نسخه پایه ۳۱۵۰</x:v>
      </x:c>
    </x:row>
    <x:row r="3048" ht="34" customHeight="1">
      <x:c r="A3048" s="34" t="str">
        <x:v>☐</x:v>
      </x:c>
      <x:c r="B3048" s="34" t="str">
        <x:v>MI-2896</x:v>
      </x:c>
      <x:c r="C3048" s="34" t="str">
        <x:v>M6 — تحلیل‌های خام و ورودی‌های نیازمند پالایش</x:v>
      </x:c>
      <x:c r="D3048" s="34" t="str">
        <x:v>H20</x:v>
      </x:c>
      <x:c r="E3048" s="34" t="str">
        <x:v>یادداشت تحلیلی/راهبری ثبت‌شده در 11211</x:v>
      </x:c>
      <x:c r="F3048" s="34" t="str">
        <x:v>P3/CLARIFY</x:v>
      </x:c>
      <x:c r="G3048" s="34" t="str">
        <x:v>هدف/موضوع</x:v>
      </x:c>
      <x:c r="H3048" s="39" t="str">
        <x:v>مهم:</x:v>
      </x:c>
      <x:c r="I3048" s="39" t="str">
        <x:v>نیازمند تعریف خروجی یا پارک</x:v>
      </x:c>
      <x:c r="J3048" s="39" t="str">
        <x:v>تحلیلگر راهبری/PMO؛ تبدیل به فرضیه یا اقدام در صورت نیاز</x:v>
      </x:c>
      <x:c r="K3048" s="39" t="str"/>
      <x:c r="L3048" s="39" t="str">
        <x:v>E112:P3241</x:v>
      </x:c>
      <x:c r="M3048" s="39" t="str"/>
      <x:c r="N3048" s="39" t="str">
        <x:v>نسخه پایه ۳۱۵۰</x:v>
      </x:c>
    </x:row>
    <x:row r="3049" ht="34" customHeight="1">
      <x:c r="A3049" s="34" t="str">
        <x:v>☐</x:v>
      </x:c>
      <x:c r="B3049" s="34" t="str">
        <x:v>MI-2897</x:v>
      </x:c>
      <x:c r="C3049" s="34" t="str">
        <x:v>M6 — تحلیل‌های خام و ورودی‌های نیازمند پالایش</x:v>
      </x:c>
      <x:c r="D3049" s="34" t="str">
        <x:v>H20</x:v>
      </x:c>
      <x:c r="E3049" s="34" t="str">
        <x:v>یادداشت تحلیلی/راهبری ثبت‌شده در 11211</x:v>
      </x:c>
      <x:c r="F3049" s="34" t="str">
        <x:v>P3/CLARIFY</x:v>
      </x:c>
      <x:c r="G3049" s="34" t="str">
        <x:v>هدف/موضوع</x:v>
      </x:c>
      <x:c r="H3049" s="39" t="str">
        <x:v>هیچ بخشی از محتوای موجود را حذف یا خلاصه نکن.</x:v>
      </x:c>
      <x:c r="I3049" s="39" t="str">
        <x:v>نیازمند تعریف خروجی یا پارک</x:v>
      </x:c>
      <x:c r="J3049" s="39" t="str">
        <x:v>تحلیلگر راهبری/PMO؛ تبدیل به فرضیه یا اقدام در صورت نیاز</x:v>
      </x:c>
      <x:c r="K3049" s="39" t="str"/>
      <x:c r="L3049" s="39" t="str">
        <x:v>E112:P3243</x:v>
      </x:c>
      <x:c r="M3049" s="39" t="str"/>
      <x:c r="N3049" s="39" t="str">
        <x:v>نسخه پایه ۳۱۵۰</x:v>
      </x:c>
    </x:row>
    <x:row r="3050" ht="34" customHeight="1">
      <x:c r="A3050" s="34" t="str">
        <x:v>☐</x:v>
      </x:c>
      <x:c r="B3050" s="34" t="str">
        <x:v>MI-2899</x:v>
      </x:c>
      <x:c r="C3050" s="34" t="str">
        <x:v>M6 — تحلیل‌های خام و ورودی‌های نیازمند پالایش</x:v>
      </x:c>
      <x:c r="D3050" s="34" t="str">
        <x:v>H20</x:v>
      </x:c>
      <x:c r="E3050" s="34" t="str">
        <x:v>یادداشت تحلیلی/راهبری ثبت‌شده در 11211</x:v>
      </x:c>
      <x:c r="F3050" s="34" t="str">
        <x:v>P3/CLARIFY</x:v>
      </x:c>
      <x:c r="G3050" s="34" t="str">
        <x:v>هدف/موضوع</x:v>
      </x:c>
      <x:c r="H3050" s="39" t="str">
        <x:v>وظیفه تو این است که:</x:v>
      </x:c>
      <x:c r="I3050" s="39" t="str">
        <x:v>نیازمند تعریف خروجی یا پارک</x:v>
      </x:c>
      <x:c r="J3050" s="39" t="str">
        <x:v>تحلیلگر راهبری/PMO؛ تبدیل به فرضیه یا اقدام در صورت نیاز</x:v>
      </x:c>
      <x:c r="K3050" s="39" t="str"/>
      <x:c r="L3050" s="39" t="str">
        <x:v>E112:P3247</x:v>
      </x:c>
      <x:c r="M3050" s="39" t="str"/>
      <x:c r="N3050" s="39" t="str">
        <x:v>نسخه پایه ۳۱۵۰</x:v>
      </x:c>
    </x:row>
    <x:row r="3051" ht="34" customHeight="1">
      <x:c r="A3051" s="34" t="str">
        <x:v>☐</x:v>
      </x:c>
      <x:c r="B3051" s="34" t="str">
        <x:v>MI-2900</x:v>
      </x:c>
      <x:c r="C3051" s="34" t="str">
        <x:v>M6 — تحلیل‌های خام و ورودی‌های نیازمند پالایش</x:v>
      </x:c>
      <x:c r="D3051" s="34" t="str">
        <x:v>H20</x:v>
      </x:c>
      <x:c r="E3051" s="34" t="str">
        <x:v>یادداشت تحلیلی/راهبری ثبت‌شده در 11211</x:v>
      </x:c>
      <x:c r="F3051" s="34" t="str">
        <x:v>P3/CLARIFY</x:v>
      </x:c>
      <x:c r="G3051" s="34" t="str">
        <x:v>هدف/موضوع</x:v>
      </x:c>
      <x:c r="H3051" s="39" t="str">
        <x:v>کل محتوای موجود را بررسی کنی.</x:v>
      </x:c>
      <x:c r="I3051" s="39" t="str">
        <x:v>نیازمند تعریف خروجی یا پارک</x:v>
      </x:c>
      <x:c r="J3051" s="39" t="str">
        <x:v>تحلیلگر راهبری/PMO؛ تبدیل به فرضیه یا اقدام در صورت نیاز</x:v>
      </x:c>
      <x:c r="K3051" s="39" t="str"/>
      <x:c r="L3051" s="39" t="str">
        <x:v>E112:P3249</x:v>
      </x:c>
      <x:c r="M3051" s="39" t="str"/>
      <x:c r="N3051" s="39" t="str">
        <x:v>نسخه پایه ۳۱۵۰</x:v>
      </x:c>
    </x:row>
    <x:row r="3052" ht="34" customHeight="1">
      <x:c r="A3052" s="34" t="str">
        <x:v>☐</x:v>
      </x:c>
      <x:c r="B3052" s="34" t="str">
        <x:v>MI-2901</x:v>
      </x:c>
      <x:c r="C3052" s="34" t="str">
        <x:v>M6 — تحلیل‌های خام و ورودی‌های نیازمند پالایش</x:v>
      </x:c>
      <x:c r="D3052" s="34" t="str">
        <x:v>H20</x:v>
      </x:c>
      <x:c r="E3052" s="34" t="str">
        <x:v>یادداشت تحلیلی/راهبری ثبت‌شده در 11211</x:v>
      </x:c>
      <x:c r="F3052" s="34" t="str">
        <x:v>P3/CLARIFY</x:v>
      </x:c>
      <x:c r="G3052" s="34" t="str">
        <x:v>هدف/موضوع</x:v>
      </x:c>
      <x:c r="H3052" s="39" t="str">
        <x:v>یک سیستم طبقه بندی مدیریتی برای آن طراحی کنی.</x:v>
      </x:c>
      <x:c r="I3052" s="39" t="str">
        <x:v>نیازمند تعریف خروجی یا پارک</x:v>
      </x:c>
      <x:c r="J3052" s="39" t="str">
        <x:v>تحلیلگر راهبری/PMO؛ تبدیل به فرضیه یا اقدام در صورت نیاز</x:v>
      </x:c>
      <x:c r="K3052" s="39" t="str"/>
      <x:c r="L3052" s="39" t="str">
        <x:v>E112:P3250</x:v>
      </x:c>
      <x:c r="M3052" s="39" t="str"/>
      <x:c r="N3052" s="39" t="str">
        <x:v>نسخه پایه ۳۱۵۰</x:v>
      </x:c>
    </x:row>
    <x:row r="3053" ht="34" customHeight="1">
      <x:c r="A3053" s="34" t="str">
        <x:v>☐</x:v>
      </x:c>
      <x:c r="B3053" s="34" t="str">
        <x:v>MI-2903</x:v>
      </x:c>
      <x:c r="C3053" s="34" t="str">
        <x:v>M6 — تحلیل‌های خام و ورودی‌های نیازمند پالایش</x:v>
      </x:c>
      <x:c r="D3053" s="34" t="str">
        <x:v>H20</x:v>
      </x:c>
      <x:c r="E3053" s="34" t="str">
        <x:v>یادداشت تحلیلی/راهبری ثبت‌شده در 11211</x:v>
      </x:c>
      <x:c r="F3053" s="34" t="str">
        <x:v>P3/CLARIFY</x:v>
      </x:c>
      <x:c r="G3053" s="34" t="str">
        <x:v>هدف/موضوع</x:v>
      </x:c>
      <x:c r="H3053" s="39" t="str">
        <x:v>برای هر بخش زیرسیستم ها و وظایف آن را تعریف کنی.</x:v>
      </x:c>
      <x:c r="I3053" s="39" t="str">
        <x:v>نیازمند تعریف خروجی یا پارک</x:v>
      </x:c>
      <x:c r="J3053" s="39" t="str">
        <x:v>تحلیلگر راهبری/PMO؛ تبدیل به فرضیه یا اقدام در صورت نیاز</x:v>
      </x:c>
      <x:c r="K3053" s="39" t="str"/>
      <x:c r="L3053" s="39" t="str">
        <x:v>E112:P3252</x:v>
      </x:c>
      <x:c r="M3053" s="39" t="str"/>
      <x:c r="N3053" s="39" t="str">
        <x:v>نسخه پایه ۳۱۵۰</x:v>
      </x:c>
    </x:row>
    <x:row r="3054" ht="34" customHeight="1">
      <x:c r="A3054" s="34" t="str">
        <x:v>☐</x:v>
      </x:c>
      <x:c r="B3054" s="34" t="str">
        <x:v>MI-2907</x:v>
      </x:c>
      <x:c r="C3054" s="34" t="str">
        <x:v>M6 — تحلیل‌های خام و ورودی‌های نیازمند پالایش</x:v>
      </x:c>
      <x:c r="D3054" s="34" t="str">
        <x:v>H20</x:v>
      </x:c>
      <x:c r="E3054" s="34" t="str">
        <x:v>یادداشت تحلیلی/راهبری ثبت‌شده در 11211</x:v>
      </x:c>
      <x:c r="F3054" s="34" t="str">
        <x:v>P3/CLARIFY</x:v>
      </x:c>
      <x:c r="G3054" s="34" t="str">
        <x:v>هدف/موضوع</x:v>
      </x:c>
      <x:c r="H3054" s="39" t="str">
        <x:v>در طراحی خود موارد زیر را هم مشخص کن:</x:v>
      </x:c>
      <x:c r="I3054" s="39" t="str">
        <x:v>نیازمند تعریف خروجی یا پارک</x:v>
      </x:c>
      <x:c r="J3054" s="39" t="str">
        <x:v>تحلیلگر راهبری/PMO؛ تبدیل به فرضیه یا اقدام در صورت نیاز</x:v>
      </x:c>
      <x:c r="K3054" s="39" t="str"/>
      <x:c r="L3054" s="39" t="str">
        <x:v>E112:P3257</x:v>
      </x:c>
      <x:c r="M3054" s="39" t="str"/>
      <x:c r="N3054" s="39" t="str">
        <x:v>نسخه پایه ۳۱۵۰</x:v>
      </x:c>
    </x:row>
    <x:row r="3055" ht="34" customHeight="1">
      <x:c r="A3055" s="34" t="str">
        <x:v>☐</x:v>
      </x:c>
      <x:c r="B3055" s="34" t="str">
        <x:v>MI-2917</x:v>
      </x:c>
      <x:c r="C3055" s="34" t="str">
        <x:v>M6 — تحلیل‌های خام و ورودی‌های نیازمند پالایش</x:v>
      </x:c>
      <x:c r="D3055" s="34" t="str">
        <x:v>H20</x:v>
      </x:c>
      <x:c r="E3055" s="34" t="str">
        <x:v>یادداشت تحلیلی/راهبری ثبت‌شده در 11211</x:v>
      </x:c>
      <x:c r="F3055" s="34" t="str">
        <x:v>P3/CLARIFY</x:v>
      </x:c>
      <x:c r="G3055" s="34" t="str">
        <x:v>هدف/موضوع</x:v>
      </x:c>
      <x:c r="H3055" s="39" t="str">
        <x:v>همچنین مشخص کن:</x:v>
      </x:c>
      <x:c r="I3055" s="39" t="str">
        <x:v>نیازمند تعریف خروجی یا پارک</x:v>
      </x:c>
      <x:c r="J3055" s="39" t="str">
        <x:v>تحلیلگر راهبری/PMO؛ تبدیل به فرضیه یا اقدام در صورت نیاز</x:v>
      </x:c>
      <x:c r="K3055" s="39" t="str"/>
      <x:c r="L3055" s="39" t="str">
        <x:v>E112:P3269</x:v>
      </x:c>
      <x:c r="M3055" s="39" t="str"/>
      <x:c r="N3055" s="39" t="str">
        <x:v>نسخه پایه ۳۱۵۰</x:v>
      </x:c>
    </x:row>
    <x:row r="3056" ht="34" customHeight="1">
      <x:c r="A3056" s="34" t="str">
        <x:v>☐</x:v>
      </x:c>
      <x:c r="B3056" s="34" t="str">
        <x:v>MI-2920</x:v>
      </x:c>
      <x:c r="C3056" s="34" t="str">
        <x:v>M6 — تحلیل‌های خام و ورودی‌های نیازمند پالایش</x:v>
      </x:c>
      <x:c r="D3056" s="34" t="str">
        <x:v>H20</x:v>
      </x:c>
      <x:c r="E3056" s="34" t="str">
        <x:v>یادداشت تحلیلی/راهبری ثبت‌شده در 11211</x:v>
      </x:c>
      <x:c r="F3056" s="34" t="str">
        <x:v>P3/CLARIFY</x:v>
      </x:c>
      <x:c r="G3056" s="34" t="str">
        <x:v>هدف/موضوع</x:v>
      </x:c>
      <x:c r="H3056" s="39" t="str">
        <x:v>چه شاخص هایی باید پایش شود</x:v>
      </x:c>
      <x:c r="I3056" s="39" t="str">
        <x:v>نیازمند تعریف خروجی یا پارک</x:v>
      </x:c>
      <x:c r="J3056" s="39" t="str">
        <x:v>تحلیلگر راهبری/PMO؛ تبدیل به فرضیه یا اقدام در صورت نیاز</x:v>
      </x:c>
      <x:c r="K3056" s="39" t="str"/>
      <x:c r="L3056" s="39" t="str">
        <x:v>E112:P3273</x:v>
      </x:c>
      <x:c r="M3056" s="39" t="str"/>
      <x:c r="N3056" s="39" t="str">
        <x:v>نسخه پایه ۳۱۵۰</x:v>
      </x:c>
    </x:row>
    <x:row r="3057" ht="34" customHeight="1">
      <x:c r="A3057" s="34" t="str">
        <x:v>☐</x:v>
      </x:c>
      <x:c r="B3057" s="34" t="str">
        <x:v>MI-2923</x:v>
      </x:c>
      <x:c r="C3057" s="34" t="str">
        <x:v>M6 — تحلیل‌های خام و ورودی‌های نیازمند پالایش</x:v>
      </x:c>
      <x:c r="D3057" s="34" t="str">
        <x:v>H20</x:v>
      </x:c>
      <x:c r="E3057" s="34" t="str">
        <x:v>یادداشت تحلیلی/راهبری ثبت‌شده در 11211</x:v>
      </x:c>
      <x:c r="F3057" s="34" t="str">
        <x:v>P3/CLARIFY</x:v>
      </x:c>
      <x:c r="G3057" s="34" t="str">
        <x:v>هدف/موضوع</x:v>
      </x:c>
      <x:c r="H3057" s="39" t="str">
        <x:v>چند نکته خیلی مهم درباره NotebookLM:</x:v>
      </x:c>
      <x:c r="I3057" s="39" t="str">
        <x:v>نیازمند تعریف خروجی یا پارک</x:v>
      </x:c>
      <x:c r="J3057" s="39" t="str">
        <x:v>تحلیلگر راهبری/PMO؛ تبدیل به فرضیه یا اقدام در صورت نیاز</x:v>
      </x:c>
      <x:c r="K3057" s="39" t="str"/>
      <x:c r="L3057" s="39" t="str">
        <x:v>E112:P3280</x:v>
      </x:c>
      <x:c r="M3057" s="39" t="str"/>
      <x:c r="N3057" s="39" t="str">
        <x:v>نسخه پایه ۳۱۵۰</x:v>
      </x:c>
    </x:row>
    <x:row r="3058" ht="34" customHeight="1">
      <x:c r="A3058" s="34" t="str">
        <x:v>☐</x:v>
      </x:c>
      <x:c r="B3058" s="34" t="str">
        <x:v>MI-2924</x:v>
      </x:c>
      <x:c r="C3058" s="34" t="str">
        <x:v>M6 — تحلیل‌های خام و ورودی‌های نیازمند پالایش</x:v>
      </x:c>
      <x:c r="D3058" s="34" t="str">
        <x:v>H20</x:v>
      </x:c>
      <x:c r="E3058" s="34" t="str">
        <x:v>یادداشت تحلیلی/راهبری ثبت‌شده در 11211</x:v>
      </x:c>
      <x:c r="F3058" s="34" t="str">
        <x:v>P3/CLARIFY</x:v>
      </x:c>
      <x:c r="G3058" s="34" t="str">
        <x:v>هدف/موضوع</x:v>
      </x:c>
      <x:c r="H3058" s="39" t="str">
        <x:v>اگر ننویسی Don’t summarize or delete existing content معمولاً خلاصه می کند.</x:v>
      </x:c>
      <x:c r="I3058" s="39" t="str">
        <x:v>نیازمند تعریف خروجی یا پارک</x:v>
      </x:c>
      <x:c r="J3058" s="39" t="str">
        <x:v>تحلیلگر راهبری/PMO؛ تبدیل به فرضیه یا اقدام در صورت نیاز</x:v>
      </x:c>
      <x:c r="K3058" s="39" t="str"/>
      <x:c r="L3058" s="39" t="str">
        <x:v>E112:P3282</x:v>
      </x:c>
      <x:c r="M3058" s="39" t="str"/>
      <x:c r="N3058" s="39" t="str">
        <x:v>نسخه پایه ۳۱۵۰</x:v>
      </x:c>
    </x:row>
    <x:row r="3059" ht="34" customHeight="1">
      <x:c r="A3059" s="34" t="str">
        <x:v>☐</x:v>
      </x:c>
      <x:c r="B3059" s="34" t="str">
        <x:v>MI-2925</x:v>
      </x:c>
      <x:c r="C3059" s="34" t="str">
        <x:v>M6 — تحلیل‌های خام و ورودی‌های نیازمند پالایش</x:v>
      </x:c>
      <x:c r="D3059" s="34" t="str">
        <x:v>H20</x:v>
      </x:c>
      <x:c r="E3059" s="34" t="str">
        <x:v>یادداشت تحلیلی/راهبری ثبت‌شده در 11211</x:v>
      </x:c>
      <x:c r="F3059" s="34" t="str">
        <x:v>P3/CLARIFY</x:v>
      </x:c>
      <x:c r="G3059" s="34" t="str">
        <x:v>هدف/موضوع</x:v>
      </x:c>
      <x:c r="H3059" s="39" t="str">
        <x:v>بهتر است بگویی Build a management architecture on top of the existing notes.</x:v>
      </x:c>
      <x:c r="I3059" s="39" t="str">
        <x:v>نیازمند تعریف خروجی یا پارک</x:v>
      </x:c>
      <x:c r="J3059" s="39" t="str">
        <x:v>تحلیلگر راهبری/PMO؛ تبدیل به فرضیه یا اقدام در صورت نیاز</x:v>
      </x:c>
      <x:c r="K3059" s="39" t="str"/>
      <x:c r="L3059" s="39" t="str">
        <x:v>E112:P3283</x:v>
      </x:c>
      <x:c r="M3059" s="39" t="str"/>
      <x:c r="N3059" s="39" t="str">
        <x:v>نسخه پایه ۳۱۵۰</x:v>
      </x:c>
    </x:row>
    <x:row r="3060" ht="34" customHeight="1">
      <x:c r="A3060" s="34" t="str">
        <x:v>☐</x:v>
      </x:c>
      <x:c r="B3060" s="34" t="str">
        <x:v>MI-2929</x:v>
      </x:c>
      <x:c r="C3060" s="34" t="str">
        <x:v>M6 — تحلیل‌های خام و ورودی‌های نیازمند پالایش</x:v>
      </x:c>
      <x:c r="D3060" s="34" t="str">
        <x:v>H20</x:v>
      </x:c>
      <x:c r="E3060" s="34" t="str">
        <x:v>یادداشت تحلیلی/راهبری ثبت‌شده در 11211</x:v>
      </x:c>
      <x:c r="F3060" s="34" t="str">
        <x:v>P3/CLARIFY</x:v>
      </x:c>
      <x:c r="G3060" s="34" t="str">
        <x:v>هدف/موضوع</x:v>
      </x:c>
      <x:c r="H3060" s="39" t="str">
        <x:v>این محتوا رو جوری بدون حذف کردن و با تقویت کردن به مرحله ای برسون که بشه اجراییش کرد</x:v>
      </x:c>
      <x:c r="I3060" s="39" t="str">
        <x:v>نیازمند تعریف خروجی یا پارک</x:v>
      </x:c>
      <x:c r="J3060" s="39" t="str">
        <x:v>تحلیلگر راهبری/PMO؛ تبدیل به فرضیه یا اقدام در صورت نیاز</x:v>
      </x:c>
      <x:c r="K3060" s="39" t="str"/>
      <x:c r="L3060" s="39" t="str">
        <x:v>E112:P3289</x:v>
      </x:c>
      <x:c r="M3060" s="39" t="str"/>
      <x:c r="N3060" s="39" t="str">
        <x:v>نسخه پایه ۳۱۵۰</x:v>
      </x:c>
    </x:row>
    <x:row r="3061" ht="34" customHeight="1">
      <x:c r="A3061" s="34" t="str">
        <x:v>☐</x:v>
      </x:c>
      <x:c r="B3061" s="34" t="str">
        <x:v>MI-2930</x:v>
      </x:c>
      <x:c r="C3061" s="34" t="str">
        <x:v>M6 — تحلیل‌های خام و ورودی‌های نیازمند پالایش</x:v>
      </x:c>
      <x:c r="D3061" s="34" t="str">
        <x:v>H20</x:v>
      </x:c>
      <x:c r="E3061" s="34" t="str">
        <x:v>یادداشت تحلیلی/راهبری ثبت‌شده در 11211</x:v>
      </x:c>
      <x:c r="F3061" s="34" t="str">
        <x:v>P3/CLARIFY</x:v>
      </x:c>
      <x:c r="G3061" s="34" t="str">
        <x:v>هدف/موضوع</x:v>
      </x:c>
      <x:c r="H3061" s="39" t="str">
        <x:v>برای اجرایی شدن، باید همان محتوایی که داری به یک سیستم عملیاتی (Operating Model) تبدیل شود. یعنی محتوا حذف نشود، بلکه روی آن 4 لایه اجرایی سوار شود:</x:v>
      </x:c>
      <x:c r="I3061" s="39" t="str">
        <x:v>نیازمند تعریف خروجی یا پارک</x:v>
      </x:c>
      <x:c r="J3061" s="39" t="str">
        <x:v>تحلیلگر راهبری/PMO؛ تبدیل به فرضیه یا اقدام در صورت نیاز</x:v>
      </x:c>
      <x:c r="K3061" s="39" t="str"/>
      <x:c r="L3061" s="39" t="str">
        <x:v>E112:P3291</x:v>
      </x:c>
      <x:c r="M3061" s="39" t="str"/>
      <x:c r="N3061" s="39" t="str">
        <x:v>نسخه پایه ۳۱۵۰</x:v>
      </x:c>
    </x:row>
    <x:row r="3062" ht="34" customHeight="1">
      <x:c r="A3062" s="34" t="str">
        <x:v>☐</x:v>
      </x:c>
      <x:c r="B3062" s="34" t="str">
        <x:v>MI-2945</x:v>
      </x:c>
      <x:c r="C3062" s="34" t="str">
        <x:v>M6 — تحلیل‌های خام و ورودی‌های نیازمند پالایش</x:v>
      </x:c>
      <x:c r="D3062" s="34" t="str">
        <x:v>H20</x:v>
      </x:c>
      <x:c r="E3062" s="34" t="str">
        <x:v>یادداشت تحلیلی/راهبری ثبت‌شده در 11211</x:v>
      </x:c>
      <x:c r="F3062" s="34" t="str">
        <x:v>P3/CLARIFY</x:v>
      </x:c>
      <x:c r="G3062" s="34" t="str">
        <x:v>هدف/موضوع</x:v>
      </x:c>
      <x:c r="H3062" s="39" t="str">
        <x:v>کل محتوا را می توان به شش سیستم اجرایی تبدیل کرد.</x:v>
      </x:c>
      <x:c r="I3062" s="39" t="str">
        <x:v>نیازمند تعریف خروجی یا پارک</x:v>
      </x:c>
      <x:c r="J3062" s="39" t="str">
        <x:v>تحلیلگر راهبری/PMO؛ تبدیل به فرضیه یا اقدام در صورت نیاز</x:v>
      </x:c>
      <x:c r="K3062" s="39" t="str"/>
      <x:c r="L3062" s="39" t="str">
        <x:v>E112:P3315</x:v>
      </x:c>
      <x:c r="M3062" s="39" t="str"/>
      <x:c r="N3062" s="39" t="str">
        <x:v>نسخه پایه ۳۱۵۰</x:v>
      </x:c>
    </x:row>
    <x:row r="3063" ht="34" customHeight="1">
      <x:c r="A3063" s="34" t="str">
        <x:v>☐</x:v>
      </x:c>
      <x:c r="B3063" s="34" t="str">
        <x:v>MI-2949</x:v>
      </x:c>
      <x:c r="C3063" s="34" t="str">
        <x:v>M6 — تحلیل‌های خام و ورودی‌های نیازمند پالایش</x:v>
      </x:c>
      <x:c r="D3063" s="34" t="str">
        <x:v>H20</x:v>
      </x:c>
      <x:c r="E3063" s="34" t="str">
        <x:v>یادداشت تحلیلی/راهبری ثبت‌شده در 11211</x:v>
      </x:c>
      <x:c r="F3063" s="34" t="str">
        <x:v>P3/CLARIFY</x:v>
      </x:c>
      <x:c r="G3063" s="34" t="str">
        <x:v>هدف/موضوع</x:v>
      </x:c>
      <x:c r="H3063" s="39" t="str">
        <x:v>سمن ها</x:v>
      </x:c>
      <x:c r="I3063" s="39" t="str">
        <x:v>نیازمند تعریف خروجی یا پارک</x:v>
      </x:c>
      <x:c r="J3063" s="39" t="str">
        <x:v>تحلیلگر راهبری/PMO؛ تبدیل به فرضیه یا اقدام در صورت نیاز</x:v>
      </x:c>
      <x:c r="K3063" s="39" t="str"/>
      <x:c r="L3063" s="39" t="str">
        <x:v>E112:P3327</x:v>
      </x:c>
      <x:c r="M3063" s="39" t="str"/>
      <x:c r="N3063" s="39" t="str">
        <x:v>نسخه پایه ۳۱۵۰</x:v>
      </x:c>
    </x:row>
    <x:row r="3064" ht="34" customHeight="1">
      <x:c r="A3064" s="34" t="str">
        <x:v>☐</x:v>
      </x:c>
      <x:c r="B3064" s="34" t="str">
        <x:v>MI-2950</x:v>
      </x:c>
      <x:c r="C3064" s="34" t="str">
        <x:v>M6 — تحلیل‌های خام و ورودی‌های نیازمند پالایش</x:v>
      </x:c>
      <x:c r="D3064" s="34" t="str">
        <x:v>H20</x:v>
      </x:c>
      <x:c r="E3064" s="34" t="str">
        <x:v>یادداشت تحلیلی/راهبری ثبت‌شده در 11211</x:v>
      </x:c>
      <x:c r="F3064" s="34" t="str">
        <x:v>P3/CLARIFY</x:v>
      </x:c>
      <x:c r="G3064" s="34" t="str">
        <x:v>هدف/موضوع</x:v>
      </x:c>
      <x:c r="H3064" s="39" t="str">
        <x:v>جوامع تخصصی</x:v>
      </x:c>
      <x:c r="I3064" s="39" t="str">
        <x:v>نیازمند تعریف خروجی یا پارک</x:v>
      </x:c>
      <x:c r="J3064" s="39" t="str">
        <x:v>تحلیلگر راهبری/PMO؛ تبدیل به فرضیه یا اقدام در صورت نیاز</x:v>
      </x:c>
      <x:c r="K3064" s="39" t="str"/>
      <x:c r="L3064" s="39" t="str">
        <x:v>E112:P3328؛ E112:P3557</x:v>
      </x:c>
      <x:c r="M3064" s="39" t="str"/>
      <x:c r="N3064" s="39" t="str">
        <x:v>نسخه پایه ۳۱۵۰</x:v>
      </x:c>
    </x:row>
    <x:row r="3065" ht="34" customHeight="1">
      <x:c r="A3065" s="34" t="str">
        <x:v>☐</x:v>
      </x:c>
      <x:c r="B3065" s="34" t="str">
        <x:v>MI-2951</x:v>
      </x:c>
      <x:c r="C3065" s="34" t="str">
        <x:v>M6 — تحلیل‌های خام و ورودی‌های نیازمند پالایش</x:v>
      </x:c>
      <x:c r="D3065" s="34" t="str">
        <x:v>H20</x:v>
      </x:c>
      <x:c r="E3065" s="34" t="str">
        <x:v>یادداشت تحلیلی/راهبری ثبت‌شده در 11211</x:v>
      </x:c>
      <x:c r="F3065" s="34" t="str">
        <x:v>P3/CLARIFY</x:v>
      </x:c>
      <x:c r="G3065" s="34" t="str">
        <x:v>هدف/موضوع</x:v>
      </x:c>
      <x:c r="H3065" s="39" t="str">
        <x:v>رویدادها</x:v>
      </x:c>
      <x:c r="I3065" s="39" t="str">
        <x:v>نیازمند تعریف خروجی یا پارک</x:v>
      </x:c>
      <x:c r="J3065" s="39" t="str">
        <x:v>تحلیلگر راهبری/PMO؛ تبدیل به فرضیه یا اقدام در صورت نیاز</x:v>
      </x:c>
      <x:c r="K3065" s="39" t="str"/>
      <x:c r="L3065" s="39" t="str">
        <x:v>E112:P3329</x:v>
      </x:c>
      <x:c r="M3065" s="39" t="str"/>
      <x:c r="N3065" s="39" t="str">
        <x:v>نسخه پایه ۳۱۵۰</x:v>
      </x:c>
    </x:row>
    <x:row r="3066" ht="34" customHeight="1">
      <x:c r="A3066" s="34" t="str">
        <x:v>☐</x:v>
      </x:c>
      <x:c r="B3066" s="34" t="str">
        <x:v>MI-2952</x:v>
      </x:c>
      <x:c r="C3066" s="34" t="str">
        <x:v>M6 — تحلیل‌های خام و ورودی‌های نیازمند پالایش</x:v>
      </x:c>
      <x:c r="D3066" s="34" t="str">
        <x:v>H20</x:v>
      </x:c>
      <x:c r="E3066" s="34" t="str">
        <x:v>یادداشت تحلیلی/راهبری ثبت‌شده در 11211</x:v>
      </x:c>
      <x:c r="F3066" s="34" t="str">
        <x:v>P3/CLARIFY</x:v>
      </x:c>
      <x:c r="G3066" s="34" t="str">
        <x:v>هدف/موضوع</x:v>
      </x:c>
      <x:c r="H3066" s="39" t="str">
        <x:v>ابزار اصلی:</x:v>
      </x:c>
      <x:c r="I3066" s="39" t="str">
        <x:v>نیازمند تعریف خروجی یا پارک</x:v>
      </x:c>
      <x:c r="J3066" s="39" t="str">
        <x:v>تحلیلگر راهبری/PMO؛ تبدیل به فرضیه یا اقدام در صورت نیاز</x:v>
      </x:c>
      <x:c r="K3066" s="39" t="str"/>
      <x:c r="L3066" s="39" t="str">
        <x:v>E112:P3331</x:v>
      </x:c>
      <x:c r="M3066" s="39" t="str"/>
      <x:c r="N3066" s="39" t="str">
        <x:v>نسخه پایه ۳۱۵۰</x:v>
      </x:c>
    </x:row>
    <x:row r="3067" ht="34" customHeight="1">
      <x:c r="A3067" s="34" t="str">
        <x:v>☐</x:v>
      </x:c>
      <x:c r="B3067" s="34" t="str">
        <x:v>MI-2954</x:v>
      </x:c>
      <x:c r="C3067" s="34" t="str">
        <x:v>M6 — تحلیل‌های خام و ورودی‌های نیازمند پالایش</x:v>
      </x:c>
      <x:c r="D3067" s="34" t="str">
        <x:v>H20</x:v>
      </x:c>
      <x:c r="E3067" s="34" t="str">
        <x:v>یادداشت تحلیلی/راهبری ثبت‌شده در 11211</x:v>
      </x:c>
      <x:c r="F3067" s="34" t="str">
        <x:v>P3/CLARIFY</x:v>
      </x:c>
      <x:c r="G3067" s="34" t="str">
        <x:v>هدف/موضوع</x:v>
      </x:c>
      <x:c r="H3067" s="39" t="str">
        <x:v>علایق</x:v>
      </x:c>
      <x:c r="I3067" s="39" t="str">
        <x:v>نیازمند تعریف خروجی یا پارک</x:v>
      </x:c>
      <x:c r="J3067" s="39" t="str">
        <x:v>تحلیلگر راهبری/PMO؛ تبدیل به فرضیه یا اقدام در صورت نیاز</x:v>
      </x:c>
      <x:c r="K3067" s="39" t="str"/>
      <x:c r="L3067" s="39" t="str">
        <x:v>E112:P3338</x:v>
      </x:c>
      <x:c r="M3067" s="39" t="str"/>
      <x:c r="N3067" s="39" t="str">
        <x:v>نسخه پایه ۳۱۵۰</x:v>
      </x:c>
    </x:row>
    <x:row r="3068" ht="34" customHeight="1">
      <x:c r="A3068" s="34" t="str">
        <x:v>☐</x:v>
      </x:c>
      <x:c r="B3068" s="34" t="str">
        <x:v>MI-2956</x:v>
      </x:c>
      <x:c r="C3068" s="34" t="str">
        <x:v>M6 — تحلیل‌های خام و ورودی‌های نیازمند پالایش</x:v>
      </x:c>
      <x:c r="D3068" s="34" t="str">
        <x:v>H20</x:v>
      </x:c>
      <x:c r="E3068" s="34" t="str">
        <x:v>یادداشت تحلیلی/راهبری ثبت‌شده در 11211</x:v>
      </x:c>
      <x:c r="F3068" s="34" t="str">
        <x:v>P3/CLARIFY</x:v>
      </x:c>
      <x:c r="G3068" s="34" t="str">
        <x:v>هدف/موضوع</x:v>
      </x:c>
      <x:c r="H3068" s="39" t="str">
        <x:v>خروجی این سیستم:</x:v>
      </x:c>
      <x:c r="I3068" s="39" t="str">
        <x:v>نیازمند تعریف خروجی یا پارک</x:v>
      </x:c>
      <x:c r="J3068" s="39" t="str">
        <x:v>تحلیلگر راهبری/PMO؛ تبدیل به فرضیه یا اقدام در صورت نیاز</x:v>
      </x:c>
      <x:c r="K3068" s="39" t="str"/>
      <x:c r="L3068" s="39" t="str">
        <x:v>E112:P3343</x:v>
      </x:c>
      <x:c r="M3068" s="39" t="str"/>
      <x:c r="N3068" s="39" t="str">
        <x:v>نسخه پایه ۳۱۵۰</x:v>
      </x:c>
    </x:row>
    <x:row r="3069" ht="34" customHeight="1">
      <x:c r="A3069" s="34" t="str">
        <x:v>☐</x:v>
      </x:c>
      <x:c r="B3069" s="34" t="str">
        <x:v>MI-2960</x:v>
      </x:c>
      <x:c r="C3069" s="34" t="str">
        <x:v>M6 — تحلیل‌های خام و ورودی‌های نیازمند پالایش</x:v>
      </x:c>
      <x:c r="D3069" s="34" t="str">
        <x:v>H20</x:v>
      </x:c>
      <x:c r="E3069" s="34" t="str">
        <x:v>یادداشت تحلیلی/راهبری ثبت‌شده در 11211</x:v>
      </x:c>
      <x:c r="F3069" s="34" t="str">
        <x:v>P3/CLARIFY</x:v>
      </x:c>
      <x:c r="G3069" s="34" t="str">
        <x:v>هدف/موضوع</x:v>
      </x:c>
      <x:c r="H3069" s="39" t="str">
        <x:v>شامل:</x:v>
      </x:c>
      <x:c r="I3069" s="39" t="str">
        <x:v>نیازمند تعریف خروجی یا پارک</x:v>
      </x:c>
      <x:c r="J3069" s="39" t="str">
        <x:v>تحلیلگر راهبری/PMO؛ تبدیل به فرضیه یا اقدام در صورت نیاز</x:v>
      </x:c>
      <x:c r="K3069" s="39" t="str"/>
      <x:c r="L3069" s="39" t="str">
        <x:v>E112:P3350</x:v>
      </x:c>
      <x:c r="M3069" s="39" t="str"/>
      <x:c r="N3069" s="39" t="str">
        <x:v>نسخه پایه ۳۱۵۰</x:v>
      </x:c>
    </x:row>
    <x:row r="3070" ht="34" customHeight="1">
      <x:c r="A3070" s="34" t="str">
        <x:v>☐</x:v>
      </x:c>
      <x:c r="B3070" s="34" t="str">
        <x:v>MI-2962</x:v>
      </x:c>
      <x:c r="C3070" s="34" t="str">
        <x:v>M6 — تحلیل‌های خام و ورودی‌های نیازمند پالایش</x:v>
      </x:c>
      <x:c r="D3070" s="34" t="str">
        <x:v>H20</x:v>
      </x:c>
      <x:c r="E3070" s="34" t="str">
        <x:v>یادداشت تحلیلی/راهبری ثبت‌شده در 11211</x:v>
      </x:c>
      <x:c r="F3070" s="34" t="str">
        <x:v>P3/CLARIFY</x:v>
      </x:c>
      <x:c r="G3070" s="34" t="str">
        <x:v>هدف/موضوع</x:v>
      </x:c>
      <x:c r="H3070" s="39" t="str">
        <x:v>Bootcamp</x:v>
      </x:c>
      <x:c r="I3070" s="39" t="str">
        <x:v>نیازمند تعریف خروجی یا پارک</x:v>
      </x:c>
      <x:c r="J3070" s="39" t="str">
        <x:v>تحلیلگر راهبری/PMO؛ تبدیل به فرضیه یا اقدام در صورت نیاز</x:v>
      </x:c>
      <x:c r="K3070" s="39" t="str"/>
      <x:c r="L3070" s="39" t="str">
        <x:v>E112:P3366</x:v>
      </x:c>
      <x:c r="M3070" s="39" t="str"/>
      <x:c r="N3070" s="39" t="str">
        <x:v>نسخه پایه ۳۱۵۰</x:v>
      </x:c>
    </x:row>
    <x:row r="3071" ht="34" customHeight="1">
      <x:c r="A3071" s="34" t="str">
        <x:v>☐</x:v>
      </x:c>
      <x:c r="B3071" s="34" t="str">
        <x:v>MI-2963</x:v>
      </x:c>
      <x:c r="C3071" s="34" t="str">
        <x:v>M6 — تحلیل‌های خام و ورودی‌های نیازمند پالایش</x:v>
      </x:c>
      <x:c r="D3071" s="34" t="str">
        <x:v>H20</x:v>
      </x:c>
      <x:c r="E3071" s="34" t="str">
        <x:v>یادداشت تحلیلی/راهبری ثبت‌شده در 11211</x:v>
      </x:c>
      <x:c r="F3071" s="34" t="str">
        <x:v>P3/CLARIFY</x:v>
      </x:c>
      <x:c r="G3071" s="34" t="str">
        <x:v>هدف/موضوع</x:v>
      </x:c>
      <x:c r="H3071" s="39" t="str">
        <x:v>Workshop</x:v>
      </x:c>
      <x:c r="I3071" s="39" t="str">
        <x:v>نیازمند تعریف خروجی یا پارک</x:v>
      </x:c>
      <x:c r="J3071" s="39" t="str">
        <x:v>تحلیلگر راهبری/PMO؛ تبدیل به فرضیه یا اقدام در صورت نیاز</x:v>
      </x:c>
      <x:c r="K3071" s="39" t="str"/>
      <x:c r="L3071" s="39" t="str">
        <x:v>E112:P3368</x:v>
      </x:c>
      <x:c r="M3071" s="39" t="str"/>
      <x:c r="N3071" s="39" t="str">
        <x:v>نسخه پایه ۳۱۵۰</x:v>
      </x:c>
    </x:row>
    <x:row r="3072" ht="34" customHeight="1">
      <x:c r="A3072" s="34" t="str">
        <x:v>☐</x:v>
      </x:c>
      <x:c r="B3072" s="34" t="str">
        <x:v>MI-2964</x:v>
      </x:c>
      <x:c r="C3072" s="34" t="str">
        <x:v>M6 — تحلیل‌های خام و ورودی‌های نیازمند پالایش</x:v>
      </x:c>
      <x:c r="D3072" s="34" t="str">
        <x:v>H20</x:v>
      </x:c>
      <x:c r="E3072" s="34" t="str">
        <x:v>یادداشت تحلیلی/راهبری ثبت‌شده در 11211</x:v>
      </x:c>
      <x:c r="F3072" s="34" t="str">
        <x:v>P3/CLARIFY</x:v>
      </x:c>
      <x:c r="G3072" s="34" t="str">
        <x:v>هدف/موضوع</x:v>
      </x:c>
      <x:c r="H3072" s="39" t="str">
        <x:v>Online learning</x:v>
      </x:c>
      <x:c r="I3072" s="39" t="str">
        <x:v>نیازمند تعریف خروجی یا پارک</x:v>
      </x:c>
      <x:c r="J3072" s="39" t="str">
        <x:v>تحلیلگر راهبری/PMO؛ تبدیل به فرضیه یا اقدام در صورت نیاز</x:v>
      </x:c>
      <x:c r="K3072" s="39" t="str"/>
      <x:c r="L3072" s="39" t="str">
        <x:v>E112:P3370</x:v>
      </x:c>
      <x:c r="M3072" s="39" t="str"/>
      <x:c r="N3072" s="39" t="str">
        <x:v>نسخه پایه ۳۱۵۰</x:v>
      </x:c>
    </x:row>
    <x:row r="3073" ht="34" customHeight="1">
      <x:c r="A3073" s="34" t="str">
        <x:v>☐</x:v>
      </x:c>
      <x:c r="B3073" s="34" t="str">
        <x:v>MI-2965</x:v>
      </x:c>
      <x:c r="C3073" s="34" t="str">
        <x:v>M6 — تحلیل‌های خام و ورودی‌های نیازمند پالایش</x:v>
      </x:c>
      <x:c r="D3073" s="34" t="str">
        <x:v>H20</x:v>
      </x:c>
      <x:c r="E3073" s="34" t="str">
        <x:v>یادداشت تحلیلی/راهبری ثبت‌شده در 11211</x:v>
      </x:c>
      <x:c r="F3073" s="34" t="str">
        <x:v>P3/CLARIFY</x:v>
      </x:c>
      <x:c r="G3073" s="34" t="str">
        <x:v>هدف/موضوع</x:v>
      </x:c>
      <x:c r="H3073" s="39" t="str">
        <x:v>Mentorship learning</x:v>
      </x:c>
      <x:c r="I3073" s="39" t="str">
        <x:v>نیازمند تعریف خروجی یا پارک</x:v>
      </x:c>
      <x:c r="J3073" s="39" t="str">
        <x:v>تحلیلگر راهبری/PMO؛ تبدیل به فرضیه یا اقدام در صورت نیاز</x:v>
      </x:c>
      <x:c r="K3073" s="39" t="str"/>
      <x:c r="L3073" s="39" t="str">
        <x:v>E112:P3372</x:v>
      </x:c>
      <x:c r="M3073" s="39" t="str"/>
      <x:c r="N3073" s="39" t="str">
        <x:v>نسخه پایه ۳۱۵۰</x:v>
      </x:c>
    </x:row>
    <x:row r="3074" ht="34" customHeight="1">
      <x:c r="A3074" s="34" t="str">
        <x:v>☐</x:v>
      </x:c>
      <x:c r="B3074" s="34" t="str">
        <x:v>MI-2968</x:v>
      </x:c>
      <x:c r="C3074" s="34" t="str">
        <x:v>M6 — تحلیل‌های خام و ورودی‌های نیازمند پالایش</x:v>
      </x:c>
      <x:c r="D3074" s="34" t="str">
        <x:v>H20</x:v>
      </x:c>
      <x:c r="E3074" s="34" t="str">
        <x:v>یادداشت تحلیلی/راهبری ثبت‌شده در 11211</x:v>
      </x:c>
      <x:c r="F3074" s="34" t="str">
        <x:v>P3/CLARIFY</x:v>
      </x:c>
      <x:c r="G3074" s="34" t="str">
        <x:v>هدف/موضوع</x:v>
      </x:c>
      <x:c r="H3074" s="39" t="str">
        <x:v>(Innovation Programs)</x:v>
      </x:c>
      <x:c r="I3074" s="39" t="str">
        <x:v>نیازمند تعریف خروجی یا پارک</x:v>
      </x:c>
      <x:c r="J3074" s="39" t="str">
        <x:v>تحلیلگر راهبری/PMO؛ تبدیل به فرضیه یا اقدام در صورت نیاز</x:v>
      </x:c>
      <x:c r="K3074" s="39" t="str"/>
      <x:c r="L3074" s="39" t="str">
        <x:v>E112:P3379</x:v>
      </x:c>
      <x:c r="M3074" s="39" t="str"/>
      <x:c r="N3074" s="39" t="str">
        <x:v>نسخه پایه ۳۱۵۰</x:v>
      </x:c>
    </x:row>
    <x:row r="3075" ht="34" customHeight="1">
      <x:c r="A3075" s="34" t="str">
        <x:v>☐</x:v>
      </x:c>
      <x:c r="B3075" s="34" t="str">
        <x:v>MI-2970</x:v>
      </x:c>
      <x:c r="C3075" s="34" t="str">
        <x:v>M6 — تحلیل‌های خام و ورودی‌های نیازمند پالایش</x:v>
      </x:c>
      <x:c r="D3075" s="34" t="str">
        <x:v>H20</x:v>
      </x:c>
      <x:c r="E3075" s="34" t="str">
        <x:v>یادداشت تحلیلی/راهبری ثبت‌شده در 11211</x:v>
      </x:c>
      <x:c r="F3075" s="34" t="str">
        <x:v>P3/CLARIFY</x:v>
      </x:c>
      <x:c r="G3075" s="34" t="str">
        <x:v>هدف/موضوع</x:v>
      </x:c>
      <x:c r="H3075" s="39" t="str">
        <x:v>ابزارها:</x:v>
      </x:c>
      <x:c r="I3075" s="39" t="str">
        <x:v>نیازمند تعریف خروجی یا پارک</x:v>
      </x:c>
      <x:c r="J3075" s="39" t="str">
        <x:v>تحلیلگر راهبری/PMO؛ تبدیل به فرضیه یا اقدام در صورت نیاز</x:v>
      </x:c>
      <x:c r="K3075" s="39" t="str"/>
      <x:c r="L3075" s="39" t="str">
        <x:v>E112:P3383؛ E112:P3449</x:v>
      </x:c>
      <x:c r="M3075" s="39" t="str"/>
      <x:c r="N3075" s="39" t="str">
        <x:v>نسخه پایه ۳۱۵۰</x:v>
      </x:c>
    </x:row>
    <x:row r="3076" ht="34" customHeight="1">
      <x:c r="A3076" s="34" t="str">
        <x:v>☐</x:v>
      </x:c>
      <x:c r="B3076" s="34" t="str">
        <x:v>MI-2973</x:v>
      </x:c>
      <x:c r="C3076" s="34" t="str">
        <x:v>M6 — تحلیل‌های خام و ورودی‌های نیازمند پالایش</x:v>
      </x:c>
      <x:c r="D3076" s="34" t="str">
        <x:v>H20</x:v>
      </x:c>
      <x:c r="E3076" s="34" t="str">
        <x:v>یادداشت تحلیلی/راهبری ثبت‌شده در 11211</x:v>
      </x:c>
      <x:c r="F3076" s="34" t="str">
        <x:v>P3/CLARIFY</x:v>
      </x:c>
      <x:c r="G3076" s="34" t="str">
        <x:v>هدف/موضوع</x:v>
      </x:c>
      <x:c r="H3076" s="39" t="str">
        <x:v>فرآیند:</x:v>
      </x:c>
      <x:c r="I3076" s="39" t="str">
        <x:v>نیازمند تعریف خروجی یا پارک</x:v>
      </x:c>
      <x:c r="J3076" s="39" t="str">
        <x:v>تحلیلگر راهبری/PMO؛ تبدیل به فرضیه یا اقدام در صورت نیاز</x:v>
      </x:c>
      <x:c r="K3076" s="39" t="str"/>
      <x:c r="L3076" s="39" t="str">
        <x:v>E112:P3390؛ E112:P3424</x:v>
      </x:c>
      <x:c r="M3076" s="39" t="str"/>
      <x:c r="N3076" s="39" t="str">
        <x:v>نسخه پایه ۳۱۵۰</x:v>
      </x:c>
    </x:row>
    <x:row r="3077" ht="34" customHeight="1">
      <x:c r="A3077" s="34" t="str">
        <x:v>☐</x:v>
      </x:c>
      <x:c r="B3077" s="34" t="str">
        <x:v>MI-2974</x:v>
      </x:c>
      <x:c r="C3077" s="34" t="str">
        <x:v>M6 — تحلیل‌های خام و ورودی‌های نیازمند پالایش</x:v>
      </x:c>
      <x:c r="D3077" s="34" t="str">
        <x:v>H20</x:v>
      </x:c>
      <x:c r="E3077" s="34" t="str">
        <x:v>یادداشت تحلیلی/راهبری ثبت‌شده در 11211</x:v>
      </x:c>
      <x:c r="F3077" s="34" t="str">
        <x:v>P3/CLARIFY</x:v>
      </x:c>
      <x:c r="G3077" s="34" t="str">
        <x:v>هدف/موضوع</x:v>
      </x:c>
      <x:c r="H3077" s="39" t="str">
        <x:v>ایده</x:v>
      </x:c>
      <x:c r="I3077" s="39" t="str">
        <x:v>نیازمند تعریف خروجی یا پارک</x:v>
      </x:c>
      <x:c r="J3077" s="39" t="str">
        <x:v>تحلیلگر راهبری/PMO؛ تبدیل به فرضیه یا اقدام در صورت نیاز</x:v>
      </x:c>
      <x:c r="K3077" s="39" t="str"/>
      <x:c r="L3077" s="39" t="str">
        <x:v>E112:P3400</x:v>
      </x:c>
      <x:c r="M3077" s="39" t="str"/>
      <x:c r="N3077" s="39" t="str">
        <x:v>نسخه پایه ۳۱۵۰</x:v>
      </x:c>
    </x:row>
    <x:row r="3078" ht="34" customHeight="1">
      <x:c r="A3078" s="34" t="str">
        <x:v>☐</x:v>
      </x:c>
      <x:c r="B3078" s="34" t="str">
        <x:v>MI-2977</x:v>
      </x:c>
      <x:c r="C3078" s="34" t="str">
        <x:v>M6 — تحلیل‌های خام و ورودی‌های نیازمند پالایش</x:v>
      </x:c>
      <x:c r="D3078" s="34" t="str">
        <x:v>H20</x:v>
      </x:c>
      <x:c r="E3078" s="34" t="str">
        <x:v>یادداشت تحلیلی/راهبری ثبت‌شده در 11211</x:v>
      </x:c>
      <x:c r="F3078" s="34" t="str">
        <x:v>P3/CLARIFY</x:v>
      </x:c>
      <x:c r="G3078" s="34" t="str">
        <x:v>هدف/موضوع</x:v>
      </x:c>
      <x:c r="H3078" s="39" t="str">
        <x:v>(Industry Problem Lab)</x:v>
      </x:c>
      <x:c r="I3078" s="39" t="str">
        <x:v>نیازمند تعریف خروجی یا پارک</x:v>
      </x:c>
      <x:c r="J3078" s="39" t="str">
        <x:v>تحلیلگر راهبری/PMO؛ تبدیل به فرضیه یا اقدام در صورت نیاز</x:v>
      </x:c>
      <x:c r="K3078" s="39" t="str"/>
      <x:c r="L3078" s="39" t="str">
        <x:v>E112:P3411</x:v>
      </x:c>
      <x:c r="M3078" s="39" t="str"/>
      <x:c r="N3078" s="39" t="str">
        <x:v>نسخه پایه ۳۱۵۰</x:v>
      </x:c>
    </x:row>
    <x:row r="3079" ht="34" customHeight="1">
      <x:c r="A3079" s="34" t="str">
        <x:v>☐</x:v>
      </x:c>
      <x:c r="B3079" s="34" t="str">
        <x:v>MI-2979</x:v>
      </x:c>
      <x:c r="C3079" s="34" t="str">
        <x:v>M6 — تحلیل‌های خام و ورودی‌های نیازمند پالایش</x:v>
      </x:c>
      <x:c r="D3079" s="34" t="str">
        <x:v>H20</x:v>
      </x:c>
      <x:c r="E3079" s="34" t="str">
        <x:v>یادداشت تحلیلی/راهبری ثبت‌شده در 11211</x:v>
      </x:c>
      <x:c r="F3079" s="34" t="str">
        <x:v>P3/CLARIFY</x:v>
      </x:c>
      <x:c r="G3079" s="34" t="str">
        <x:v>هدف/موضوع</x:v>
      </x:c>
      <x:c r="H3079" s="39" t="str">
        <x:v>صنایع هدف در مازندران:</x:v>
      </x:c>
      <x:c r="I3079" s="39" t="str">
        <x:v>نیازمند تعریف خروجی یا پارک</x:v>
      </x:c>
      <x:c r="J3079" s="39" t="str">
        <x:v>تحلیلگر راهبری/PMO؛ تبدیل به فرضیه یا اقدام در صورت نیاز</x:v>
      </x:c>
      <x:c r="K3079" s="39" t="str"/>
      <x:c r="L3079" s="39" t="str">
        <x:v>E112:P3415</x:v>
      </x:c>
      <x:c r="M3079" s="39" t="str"/>
      <x:c r="N3079" s="39" t="str">
        <x:v>نسخه پایه ۳۱۵۰</x:v>
      </x:c>
    </x:row>
    <x:row r="3080" ht="34" customHeight="1">
      <x:c r="A3080" s="34" t="str">
        <x:v>☐</x:v>
      </x:c>
      <x:c r="B3080" s="34" t="str">
        <x:v>MI-2984</x:v>
      </x:c>
      <x:c r="C3080" s="34" t="str">
        <x:v>M6 — تحلیل‌های خام و ورودی‌های نیازمند پالایش</x:v>
      </x:c>
      <x:c r="D3080" s="34" t="str">
        <x:v>H20</x:v>
      </x:c>
      <x:c r="E3080" s="34" t="str">
        <x:v>یادداشت تحلیلی/راهبری ثبت‌شده در 11211</x:v>
      </x:c>
      <x:c r="F3080" s="34" t="str">
        <x:v>P3/CLARIFY</x:v>
      </x:c>
      <x:c r="G3080" s="34" t="str">
        <x:v>هدف/موضوع</x:v>
      </x:c>
      <x:c r="H3080" s="39" t="str">
        <x:v>(Venture Development)</x:v>
      </x:c>
      <x:c r="I3080" s="39" t="str">
        <x:v>نیازمند تعریف خروجی یا پارک</x:v>
      </x:c>
      <x:c r="J3080" s="39" t="str">
        <x:v>تحلیلگر راهبری/PMO؛ تبدیل به فرضیه یا اقدام در صورت نیاز</x:v>
      </x:c>
      <x:c r="K3080" s="39" t="str"/>
      <x:c r="L3080" s="39" t="str">
        <x:v>E112:P3445</x:v>
      </x:c>
      <x:c r="M3080" s="39" t="str"/>
      <x:c r="N3080" s="39" t="str">
        <x:v>نسخه پایه ۳۱۵۰</x:v>
      </x:c>
    </x:row>
    <x:row r="3081" ht="34" customHeight="1">
      <x:c r="A3081" s="34" t="str">
        <x:v>☐</x:v>
      </x:c>
      <x:c r="B3081" s="34" t="str">
        <x:v>MI-2991</x:v>
      </x:c>
      <x:c r="C3081" s="34" t="str">
        <x:v>M6 — تحلیل‌های خام و ورودی‌های نیازمند پالایش</x:v>
      </x:c>
      <x:c r="D3081" s="34" t="str">
        <x:v>H20</x:v>
      </x:c>
      <x:c r="E3081" s="34" t="str">
        <x:v>یادداشت تحلیلی/راهبری ثبت‌شده در 11211</x:v>
      </x:c>
      <x:c r="F3081" s="34" t="str">
        <x:v>P3/CLARIFY</x:v>
      </x:c>
      <x:c r="G3081" s="34" t="str">
        <x:v>هدف/موضوع</x:v>
      </x:c>
      <x:c r="H3081" s="39" t="str">
        <x:v>Entrepreneur in Residence</x:v>
      </x:c>
      <x:c r="I3081" s="39" t="str">
        <x:v>نیازمند تعریف خروجی یا پارک</x:v>
      </x:c>
      <x:c r="J3081" s="39" t="str">
        <x:v>تحلیلگر راهبری/PMO؛ تبدیل به فرضیه یا اقدام در صورت نیاز</x:v>
      </x:c>
      <x:c r="K3081" s="39" t="str"/>
      <x:c r="L3081" s="39" t="str">
        <x:v>E112:P3470</x:v>
      </x:c>
      <x:c r="M3081" s="39" t="str"/>
      <x:c r="N3081" s="39" t="str">
        <x:v>نسخه پایه ۳۱۵۰</x:v>
      </x:c>
    </x:row>
    <x:row r="3082" ht="34" customHeight="1">
      <x:c r="A3082" s="34" t="str">
        <x:v>☐</x:v>
      </x:c>
      <x:c r="B3082" s="34" t="str">
        <x:v>MI-2992</x:v>
      </x:c>
      <x:c r="C3082" s="34" t="str">
        <x:v>M6 — تحلیل‌های خام و ورودی‌های نیازمند پالایش</x:v>
      </x:c>
      <x:c r="D3082" s="34" t="str">
        <x:v>H20</x:v>
      </x:c>
      <x:c r="E3082" s="34" t="str">
        <x:v>یادداشت تحلیلی/راهبری ثبت‌شده در 11211</x:v>
      </x:c>
      <x:c r="F3082" s="34" t="str">
        <x:v>P3/CLARIFY</x:v>
      </x:c>
      <x:c r="G3082" s="34" t="str">
        <x:v>هدف/موضوع</x:v>
      </x:c>
      <x:c r="H3082" s="39" t="str">
        <x:v>Startup Exchange</x:v>
      </x:c>
      <x:c r="I3082" s="39" t="str">
        <x:v>نیازمند تعریف خروجی یا پارک</x:v>
      </x:c>
      <x:c r="J3082" s="39" t="str">
        <x:v>تحلیلگر راهبری/PMO؛ تبدیل به فرضیه یا اقدام در صورت نیاز</x:v>
      </x:c>
      <x:c r="K3082" s="39" t="str"/>
      <x:c r="L3082" s="39" t="str">
        <x:v>E112:P3472</x:v>
      </x:c>
      <x:c r="M3082" s="39" t="str"/>
      <x:c r="N3082" s="39" t="str">
        <x:v>نسخه پایه ۳۱۵۰</x:v>
      </x:c>
    </x:row>
    <x:row r="3083" ht="34" customHeight="1">
      <x:c r="A3083" s="34" t="str">
        <x:v>☐</x:v>
      </x:c>
      <x:c r="B3083" s="34" t="str">
        <x:v>MI-2993</x:v>
      </x:c>
      <x:c r="C3083" s="34" t="str">
        <x:v>M6 — تحلیل‌های خام و ورودی‌های نیازمند پالایش</x:v>
      </x:c>
      <x:c r="D3083" s="34" t="str">
        <x:v>H20</x:v>
      </x:c>
      <x:c r="E3083" s="34" t="str">
        <x:v>یادداشت تحلیلی/راهبری ثبت‌شده در 11211</x:v>
      </x:c>
      <x:c r="F3083" s="34" t="str">
        <x:v>P3/CLARIFY</x:v>
      </x:c>
      <x:c r="G3083" s="34" t="str">
        <x:v>هدف/موضوع</x:v>
      </x:c>
      <x:c r="H3083" s="39" t="str">
        <x:v>Global Mentors</x:v>
      </x:c>
      <x:c r="I3083" s="39" t="str">
        <x:v>نیازمند تعریف خروجی یا پارک</x:v>
      </x:c>
      <x:c r="J3083" s="39" t="str">
        <x:v>تحلیلگر راهبری/PMO؛ تبدیل به فرضیه یا اقدام در صورت نیاز</x:v>
      </x:c>
      <x:c r="K3083" s="39" t="str"/>
      <x:c r="L3083" s="39" t="str">
        <x:v>E112:P3474</x:v>
      </x:c>
      <x:c r="M3083" s="39" t="str"/>
      <x:c r="N3083" s="39" t="str">
        <x:v>نسخه پایه ۳۱۵۰</x:v>
      </x:c>
    </x:row>
    <x:row r="3084" ht="34" customHeight="1">
      <x:c r="A3084" s="34" t="str">
        <x:v>☐</x:v>
      </x:c>
      <x:c r="B3084" s="34" t="str">
        <x:v>MI-2995</x:v>
      </x:c>
      <x:c r="C3084" s="34" t="str">
        <x:v>M6 — تحلیل‌های خام و ورودی‌های نیازمند پالایش</x:v>
      </x:c>
      <x:c r="D3084" s="34" t="str">
        <x:v>H20</x:v>
      </x:c>
      <x:c r="E3084" s="34" t="str">
        <x:v>یادداشت تحلیلی/راهبری ثبت‌شده در 11211</x:v>
      </x:c>
      <x:c r="F3084" s="34" t="str">
        <x:v>P3/CLARIFY</x:v>
      </x:c>
      <x:c r="G3084" s="34" t="str">
        <x:v>هدف/موضوع</x:v>
      </x:c>
      <x:c r="H3084" s="39" t="str">
        <x:v>بدون داده این سیستم قابل مدیریت نیست.</x:v>
      </x:c>
      <x:c r="I3084" s="39" t="str">
        <x:v>نیازمند تعریف خروجی یا پارک</x:v>
      </x:c>
      <x:c r="J3084" s="39" t="str">
        <x:v>تحلیلگر راهبری/PMO؛ تبدیل به فرضیه یا اقدام در صورت نیاز</x:v>
      </x:c>
      <x:c r="K3084" s="39" t="str"/>
      <x:c r="L3084" s="39" t="str">
        <x:v>E112:P3484</x:v>
      </x:c>
      <x:c r="M3084" s="39" t="str"/>
      <x:c r="N3084" s="39" t="str">
        <x:v>نسخه پایه ۳۱۵۰</x:v>
      </x:c>
    </x:row>
    <x:row r="3085" ht="34" customHeight="1">
      <x:c r="A3085" s="34" t="str">
        <x:v>☐</x:v>
      </x:c>
      <x:c r="B3085" s="34" t="str">
        <x:v>MI-2998</x:v>
      </x:c>
      <x:c r="C3085" s="34" t="str">
        <x:v>M6 — تحلیل‌های خام و ورودی‌های نیازمند پالایش</x:v>
      </x:c>
      <x:c r="D3085" s="34" t="str">
        <x:v>H20</x:v>
      </x:c>
      <x:c r="E3085" s="34" t="str">
        <x:v>یادداشت تحلیلی/راهبری ثبت‌شده در 11211</x:v>
      </x:c>
      <x:c r="F3085" s="34" t="str">
        <x:v>P3/CLARIFY</x:v>
      </x:c>
      <x:c r="G3085" s="34" t="str">
        <x:v>هدف/موضوع</x:v>
      </x:c>
      <x:c r="H3085" s="39" t="str">
        <x:v>شاخص هایی که باید پایش شود:</x:v>
      </x:c>
      <x:c r="I3085" s="39" t="str">
        <x:v>نیازمند تعریف خروجی یا پارک</x:v>
      </x:c>
      <x:c r="J3085" s="39" t="str">
        <x:v>تحلیلگر راهبری/PMO؛ تبدیل به فرضیه یا اقدام در صورت نیاز</x:v>
      </x:c>
      <x:c r="K3085" s="39" t="str"/>
      <x:c r="L3085" s="39" t="str">
        <x:v>E112:P3502</x:v>
      </x:c>
      <x:c r="M3085" s="39" t="str"/>
      <x:c r="N3085" s="39" t="str">
        <x:v>نسخه پایه ۳۱۵۰</x:v>
      </x:c>
    </x:row>
    <x:row r="3086" ht="34" customHeight="1">
      <x:c r="A3086" s="34" t="str">
        <x:v>☐</x:v>
      </x:c>
      <x:c r="B3086" s="34" t="str">
        <x:v>MI-3006</x:v>
      </x:c>
      <x:c r="C3086" s="34" t="str">
        <x:v>M6 — تحلیل‌های خام و ورودی‌های نیازمند پالایش</x:v>
      </x:c>
      <x:c r="D3086" s="34" t="str">
        <x:v>H20</x:v>
      </x:c>
      <x:c r="E3086" s="34" t="str">
        <x:v>یادداشت تحلیلی/راهبری ثبت‌شده در 11211</x:v>
      </x:c>
      <x:c r="F3086" s="34" t="str">
        <x:v>P3/CLARIFY</x:v>
      </x:c>
      <x:c r="G3086" s="34" t="str">
        <x:v>هدف/موضوع</x:v>
      </x:c>
      <x:c r="H3086" s="39" t="str">
        <x:v>این مهم ترین بخش اجرایی است.</x:v>
      </x:c>
      <x:c r="I3086" s="39" t="str">
        <x:v>نیازمند تعریف خروجی یا پارک</x:v>
      </x:c>
      <x:c r="J3086" s="39" t="str">
        <x:v>تحلیلگر راهبری/PMO؛ تبدیل به فرضیه یا اقدام در صورت نیاز</x:v>
      </x:c>
      <x:c r="K3086" s="39" t="str"/>
      <x:c r="L3086" s="39" t="str">
        <x:v>E112:P3513</x:v>
      </x:c>
      <x:c r="M3086" s="39" t="str"/>
      <x:c r="N3086" s="39" t="str">
        <x:v>نسخه پایه ۳۱۵۰</x:v>
      </x:c>
    </x:row>
    <x:row r="3087" ht="34" customHeight="1">
      <x:c r="A3087" s="34" t="str">
        <x:v>☐</x:v>
      </x:c>
      <x:c r="B3087" s="34" t="str">
        <x:v>MI-3007</x:v>
      </x:c>
      <x:c r="C3087" s="34" t="str">
        <x:v>M6 — تحلیل‌های خام و ورودی‌های نیازمند پالایش</x:v>
      </x:c>
      <x:c r="D3087" s="34" t="str">
        <x:v>H20</x:v>
      </x:c>
      <x:c r="E3087" s="34" t="str">
        <x:v>یادداشت تحلیلی/راهبری ثبت‌شده در 11211</x:v>
      </x:c>
      <x:c r="F3087" s="34" t="str">
        <x:v>P3/CLARIFY</x:v>
      </x:c>
      <x:c r="G3087" s="34" t="str">
        <x:v>هدف/موضوع</x:v>
      </x:c>
      <x:c r="H3087" s="39" t="str">
        <x:v>جریان واقعی باید این باشد:</x:v>
      </x:c>
      <x:c r="I3087" s="39" t="str">
        <x:v>نیازمند تعریف خروجی یا پارک</x:v>
      </x:c>
      <x:c r="J3087" s="39" t="str">
        <x:v>تحلیلگر راهبری/PMO؛ تبدیل به فرضیه یا اقدام در صورت نیاز</x:v>
      </x:c>
      <x:c r="K3087" s="39" t="str"/>
      <x:c r="L3087" s="39" t="str">
        <x:v>E112:P3515</x:v>
      </x:c>
      <x:c r="M3087" s="39" t="str"/>
      <x:c r="N3087" s="39" t="str">
        <x:v>نسخه پایه ۳۱۵۰</x:v>
      </x:c>
    </x:row>
    <x:row r="3088" ht="34" customHeight="1">
      <x:c r="A3088" s="34" t="str">
        <x:v>☐</x:v>
      </x:c>
      <x:c r="B3088" s="34" t="str">
        <x:v>MI-3008</x:v>
      </x:c>
      <x:c r="C3088" s="34" t="str">
        <x:v>M6 — تحلیل‌های خام و ورودی‌های نیازمند پالایش</x:v>
      </x:c>
      <x:c r="D3088" s="34" t="str">
        <x:v>H20</x:v>
      </x:c>
      <x:c r="E3088" s="34" t="str">
        <x:v>یادداشت تحلیلی/راهبری ثبت‌شده در 11211</x:v>
      </x:c>
      <x:c r="F3088" s="34" t="str">
        <x:v>P3/CLARIFY</x:v>
      </x:c>
      <x:c r="G3088" s="34" t="str">
        <x:v>هدف/موضوع</x:v>
      </x:c>
      <x:c r="H3088" s="39" t="str">
        <x:v>Talent Discovery</x:v>
      </x:c>
      <x:c r="I3088" s="39" t="str">
        <x:v>نیازمند تعریف خروجی یا پارک</x:v>
      </x:c>
      <x:c r="J3088" s="39" t="str">
        <x:v>تحلیلگر راهبری/PMO؛ تبدیل به فرضیه یا اقدام در صورت نیاز</x:v>
      </x:c>
      <x:c r="K3088" s="39" t="str"/>
      <x:c r="L3088" s="39" t="str">
        <x:v>E112:P3517</x:v>
      </x:c>
      <x:c r="M3088" s="39" t="str"/>
      <x:c r="N3088" s="39" t="str">
        <x:v>نسخه پایه ۳۱۵۰</x:v>
      </x:c>
    </x:row>
    <x:row r="3089" ht="34" customHeight="1">
      <x:c r="A3089" s="34" t="str">
        <x:v>☐</x:v>
      </x:c>
      <x:c r="B3089" s="34" t="str">
        <x:v>MI-3010</x:v>
      </x:c>
      <x:c r="C3089" s="34" t="str">
        <x:v>M6 — تحلیل‌های خام و ورودی‌های نیازمند پالایش</x:v>
      </x:c>
      <x:c r="D3089" s="34" t="str">
        <x:v>H20</x:v>
      </x:c>
      <x:c r="E3089" s="34" t="str">
        <x:v>یادداشت تحلیلی/راهبری ثبت‌شده در 11211</x:v>
      </x:c>
      <x:c r="F3089" s="34" t="str">
        <x:v>P3/CLARIFY</x:v>
      </x:c>
      <x:c r="G3089" s="34" t="str">
        <x:v>هدف/موضوع</x:v>
      </x:c>
      <x:c r="H3089" s="39" t="str">
        <x:v>Team Formation</x:v>
      </x:c>
      <x:c r="I3089" s="39" t="str">
        <x:v>نیازمند تعریف خروجی یا پارک</x:v>
      </x:c>
      <x:c r="J3089" s="39" t="str">
        <x:v>تحلیلگر راهبری/PMO؛ تبدیل به فرضیه یا اقدام در صورت نیاز</x:v>
      </x:c>
      <x:c r="K3089" s="39" t="str"/>
      <x:c r="L3089" s="39" t="str">
        <x:v>E112:P3529</x:v>
      </x:c>
      <x:c r="M3089" s="39" t="str"/>
      <x:c r="N3089" s="39" t="str">
        <x:v>نسخه پایه ۳۱۵۰</x:v>
      </x:c>
    </x:row>
    <x:row r="3090" ht="34" customHeight="1">
      <x:c r="A3090" s="34" t="str">
        <x:v>☐</x:v>
      </x:c>
      <x:c r="B3090" s="34" t="str">
        <x:v>MI-3011</x:v>
      </x:c>
      <x:c r="C3090" s="34" t="str">
        <x:v>M6 — تحلیل‌های خام و ورودی‌های نیازمند پالایش</x:v>
      </x:c>
      <x:c r="D3090" s="34" t="str">
        <x:v>H20</x:v>
      </x:c>
      <x:c r="E3090" s="34" t="str">
        <x:v>یادداشت تحلیلی/راهبری ثبت‌شده در 11211</x:v>
      </x:c>
      <x:c r="F3090" s="34" t="str">
        <x:v>P3/CLARIFY</x:v>
      </x:c>
      <x:c r="G3090" s="34" t="str">
        <x:v>هدف/موضوع</x:v>
      </x:c>
      <x:c r="H3090" s="39" t="str">
        <x:v>Industry Projects</x:v>
      </x:c>
      <x:c r="I3090" s="39" t="str">
        <x:v>نیازمند تعریف خروجی یا پارک</x:v>
      </x:c>
      <x:c r="J3090" s="39" t="str">
        <x:v>تحلیلگر راهبری/PMO؛ تبدیل به فرضیه یا اقدام در صورت نیاز</x:v>
      </x:c>
      <x:c r="K3090" s="39" t="str"/>
      <x:c r="L3090" s="39" t="str">
        <x:v>E112:P3533</x:v>
      </x:c>
      <x:c r="M3090" s="39" t="str"/>
      <x:c r="N3090" s="39" t="str">
        <x:v>نسخه پایه ۳۱۵۰</x:v>
      </x:c>
    </x:row>
    <x:row r="3091" ht="34" customHeight="1">
      <x:c r="A3091" s="34" t="str">
        <x:v>☐</x:v>
      </x:c>
      <x:c r="B3091" s="34" t="str">
        <x:v>MI-3012</x:v>
      </x:c>
      <x:c r="C3091" s="34" t="str">
        <x:v>M6 — تحلیل‌های خام و ورودی‌های نیازمند پالایش</x:v>
      </x:c>
      <x:c r="D3091" s="34" t="str">
        <x:v>H20</x:v>
      </x:c>
      <x:c r="E3091" s="34" t="str">
        <x:v>یادداشت تحلیلی/راهبری ثبت‌شده در 11211</x:v>
      </x:c>
      <x:c r="F3091" s="34" t="str">
        <x:v>P3/CLARIFY</x:v>
      </x:c>
      <x:c r="G3091" s="34" t="str">
        <x:v>هدف/موضوع</x:v>
      </x:c>
      <x:c r="H3091" s="39" t="str">
        <x:v>Startup Creation</x:v>
      </x:c>
      <x:c r="I3091" s="39" t="str">
        <x:v>نیازمند تعریف خروجی یا پارک</x:v>
      </x:c>
      <x:c r="J3091" s="39" t="str">
        <x:v>تحلیلگر راهبری/PMO؛ تبدیل به فرضیه یا اقدام در صورت نیاز</x:v>
      </x:c>
      <x:c r="K3091" s="39" t="str"/>
      <x:c r="L3091" s="39" t="str">
        <x:v>E112:P3537</x:v>
      </x:c>
      <x:c r="M3091" s="39" t="str"/>
      <x:c r="N3091" s="39" t="str">
        <x:v>نسخه پایه ۳۱۵۰</x:v>
      </x:c>
    </x:row>
    <x:row r="3092" ht="34" customHeight="1">
      <x:c r="A3092" s="34" t="str">
        <x:v>☐</x:v>
      </x:c>
      <x:c r="B3092" s="34" t="str">
        <x:v>MI-3014</x:v>
      </x:c>
      <x:c r="C3092" s="34" t="str">
        <x:v>M6 — تحلیل‌های خام و ورودی‌های نیازمند پالایش</x:v>
      </x:c>
      <x:c r="D3092" s="34" t="str">
        <x:v>H20</x:v>
      </x:c>
      <x:c r="E3092" s="34" t="str">
        <x:v>یادداشت تحلیلی/راهبری ثبت‌شده در 11211</x:v>
      </x:c>
      <x:c r="F3092" s="34" t="str">
        <x:v>P3/CLARIFY</x:v>
      </x:c>
      <x:c r="G3092" s="34" t="str">
        <x:v>هدف/موضوع</x:v>
      </x:c>
      <x:c r="H3092" s="39" t="str">
        <x:v>Market</x:v>
      </x:c>
      <x:c r="I3092" s="39" t="str">
        <x:v>نیازمند تعریف خروجی یا پارک</x:v>
      </x:c>
      <x:c r="J3092" s="39" t="str">
        <x:v>تحلیلگر راهبری/PMO؛ تبدیل به فرضیه یا اقدام در صورت نیاز</x:v>
      </x:c>
      <x:c r="K3092" s="39" t="str"/>
      <x:c r="L3092" s="39" t="str">
        <x:v>E112:P3545</x:v>
      </x:c>
      <x:c r="M3092" s="39" t="str"/>
      <x:c r="N3092" s="39" t="str">
        <x:v>نسخه پایه ۳۱۵۰</x:v>
      </x:c>
    </x:row>
    <x:row r="3093" ht="34" customHeight="1">
      <x:c r="A3093" s="34" t="str">
        <x:v>☐</x:v>
      </x:c>
      <x:c r="B3093" s="34" t="str">
        <x:v>MI-3020</x:v>
      </x:c>
      <x:c r="C3093" s="34" t="str">
        <x:v>M6 — تحلیل‌های خام و ورودی‌های نیازمند پالایش</x:v>
      </x:c>
      <x:c r="D3093" s="34" t="str">
        <x:v>H20</x:v>
      </x:c>
      <x:c r="E3093" s="34" t="str">
        <x:v>یادداشت تحلیلی/راهبری ثبت‌شده در 11211</x:v>
      </x:c>
      <x:c r="F3093" s="34" t="str">
        <x:v>P3/CLARIFY</x:v>
      </x:c>
      <x:c r="G3093" s="34" t="str">
        <x:v>هدف/موضوع</x:v>
      </x:c>
      <x:c r="H3093" s="39" t="str">
        <x:v>طراح ها</x:v>
      </x:c>
      <x:c r="I3093" s="39" t="str">
        <x:v>نیازمند تعریف خروجی یا پارک</x:v>
      </x:c>
      <x:c r="J3093" s="39" t="str">
        <x:v>تحلیلگر راهبری/PMO؛ تبدیل به فرضیه یا اقدام در صورت نیاز</x:v>
      </x:c>
      <x:c r="K3093" s="39" t="str"/>
      <x:c r="L3093" s="39" t="str">
        <x:v>E112:P3564</x:v>
      </x:c>
      <x:c r="M3093" s="39" t="str"/>
      <x:c r="N3093" s="39" t="str">
        <x:v>نسخه پایه ۳۱۵۰</x:v>
      </x:c>
    </x:row>
    <x:row r="3094" ht="34" customHeight="1">
      <x:c r="A3094" s="34" t="str">
        <x:v>☐</x:v>
      </x:c>
      <x:c r="B3094" s="34" t="str">
        <x:v>MI-3021</x:v>
      </x:c>
      <x:c r="C3094" s="34" t="str">
        <x:v>M6 — تحلیل‌های خام و ورودی‌های نیازمند پالایش</x:v>
      </x:c>
      <x:c r="D3094" s="34" t="str">
        <x:v>H20</x:v>
      </x:c>
      <x:c r="E3094" s="34" t="str">
        <x:v>یادداشت تحلیلی/راهبری ثبت‌شده در 11211</x:v>
      </x:c>
      <x:c r="F3094" s="34" t="str">
        <x:v>P3/CLARIFY</x:v>
      </x:c>
      <x:c r="G3094" s="34" t="str">
        <x:v>هدف/موضوع</x:v>
      </x:c>
      <x:c r="H3094" s="39" t="str">
        <x:v>مهندس ها</x:v>
      </x:c>
      <x:c r="I3094" s="39" t="str">
        <x:v>نیازمند تعریف خروجی یا پارک</x:v>
      </x:c>
      <x:c r="J3094" s="39" t="str">
        <x:v>تحلیلگر راهبری/PMO؛ تبدیل به فرضیه یا اقدام در صورت نیاز</x:v>
      </x:c>
      <x:c r="K3094" s="39" t="str"/>
      <x:c r="L3094" s="39" t="str">
        <x:v>E112:P3566</x:v>
      </x:c>
      <x:c r="M3094" s="39" t="str"/>
      <x:c r="N3094" s="39" t="str">
        <x:v>نسخه پایه ۳۱۵۰</x:v>
      </x:c>
    </x:row>
    <x:row r="3095" ht="34" customHeight="1">
      <x:c r="A3095" s="34" t="str">
        <x:v>☐</x:v>
      </x:c>
      <x:c r="B3095" s="34" t="str">
        <x:v>MI-3022</x:v>
      </x:c>
      <x:c r="C3095" s="34" t="str">
        <x:v>M6 — تحلیل‌های خام و ورودی‌های نیازمند پالایش</x:v>
      </x:c>
      <x:c r="D3095" s="34" t="str">
        <x:v>H20</x:v>
      </x:c>
      <x:c r="E3095" s="34" t="str">
        <x:v>یادداشت تحلیلی/راهبری ثبت‌شده در 11211</x:v>
      </x:c>
      <x:c r="F3095" s="34" t="str">
        <x:v>P3/CLARIFY</x:v>
      </x:c>
      <x:c r="G3095" s="34" t="str">
        <x:v>هدف/موضوع</x:v>
      </x:c>
      <x:c r="H3095" s="39" t="str">
        <x:v>متخصصان کسب وکار</x:v>
      </x:c>
      <x:c r="I3095" s="39" t="str">
        <x:v>نیازمند تعریف خروجی یا پارک</x:v>
      </x:c>
      <x:c r="J3095" s="39" t="str">
        <x:v>تحلیلگر راهبری/PMO؛ تبدیل به فرضیه یا اقدام در صورت نیاز</x:v>
      </x:c>
      <x:c r="K3095" s="39" t="str"/>
      <x:c r="L3095" s="39" t="str">
        <x:v>E112:P3568</x:v>
      </x:c>
      <x:c r="M3095" s="39" t="str"/>
      <x:c r="N3095" s="39" t="str">
        <x:v>نسخه پایه ۳۱۵۰</x:v>
      </x:c>
    </x:row>
    <x:row r="3096" ht="34" customHeight="1">
      <x:c r="A3096" s="34" t="str">
        <x:v>☐</x:v>
      </x:c>
      <x:c r="B3096" s="34" t="str">
        <x:v>MI-3025</x:v>
      </x:c>
      <x:c r="C3096" s="34" t="str">
        <x:v>M6 — تحلیل‌های خام و ورودی‌های نیازمند پالایش</x:v>
      </x:c>
      <x:c r="D3096" s="34" t="str">
        <x:v>H20</x:v>
      </x:c>
      <x:c r="E3096" s="34" t="str">
        <x:v>یادداشت تحلیلی/راهبری ثبت‌شده در 11211</x:v>
      </x:c>
      <x:c r="F3096" s="34" t="str">
        <x:v>P3/CLARIFY</x:v>
      </x:c>
      <x:c r="G3096" s="34" t="str">
        <x:v>هدف/موضوع</x:v>
      </x:c>
      <x:c r="H3096" s="39" t="str">
        <x:v>North Innovation Camp</x:v>
      </x:c>
      <x:c r="I3096" s="39" t="str">
        <x:v>نیازمند تعریف خروجی یا پارک</x:v>
      </x:c>
      <x:c r="J3096" s="39" t="str">
        <x:v>تحلیلگر راهبری/PMO؛ تبدیل به فرضیه یا اقدام در صورت نیاز</x:v>
      </x:c>
      <x:c r="K3096" s="39" t="str"/>
      <x:c r="L3096" s="39" t="str">
        <x:v>E112:P3575</x:v>
      </x:c>
      <x:c r="M3096" s="39" t="str"/>
      <x:c r="N3096" s="39" t="str">
        <x:v>نسخه پایه ۳۱۵۰</x:v>
      </x:c>
    </x:row>
    <x:row r="3097" ht="34" customHeight="1">
      <x:c r="A3097" s="34" t="str">
        <x:v>☐</x:v>
      </x:c>
      <x:c r="B3097" s="34" t="str">
        <x:v>MI-3029</x:v>
      </x:c>
      <x:c r="C3097" s="34" t="str">
        <x:v>M6 — تحلیل‌های خام و ورودی‌های نیازمند پالایش</x:v>
      </x:c>
      <x:c r="D3097" s="34" t="str">
        <x:v>H20</x:v>
      </x:c>
      <x:c r="E3097" s="34" t="str">
        <x:v>یادداشت تحلیلی/راهبری ثبت‌شده در 11211</x:v>
      </x:c>
      <x:c r="F3097" s="34" t="str">
        <x:v>P3/CLARIFY</x:v>
      </x:c>
      <x:c r="G3097" s="34" t="str">
        <x:v>هدف/موضوع</x:v>
      </x:c>
      <x:c r="H3097" s="39" t="str">
        <x:v>6. گره های قدرت واقعی</x:v>
      </x:c>
      <x:c r="I3097" s="39" t="str">
        <x:v>نیازمند تعریف خروجی یا پارک</x:v>
      </x:c>
      <x:c r="J3097" s="39" t="str">
        <x:v>تحلیلگر راهبری/PMO؛ تبدیل به فرضیه یا اقدام در صورت نیاز</x:v>
      </x:c>
      <x:c r="K3097" s="39" t="str"/>
      <x:c r="L3097" s="39" t="str">
        <x:v>E112:P3581</x:v>
      </x:c>
      <x:c r="M3097" s="39" t="str"/>
      <x:c r="N3097" s="39" t="str">
        <x:v>نسخه پایه ۳۱۵۰</x:v>
      </x:c>
    </x:row>
    <x:row r="3098" ht="34" customHeight="1">
      <x:c r="A3098" s="34" t="str">
        <x:v>☐</x:v>
      </x:c>
      <x:c r="B3098" s="34" t="str">
        <x:v>MI-3030</x:v>
      </x:c>
      <x:c r="C3098" s="34" t="str">
        <x:v>M6 — تحلیل‌های خام و ورودی‌های نیازمند پالایش</x:v>
      </x:c>
      <x:c r="D3098" s="34" t="str">
        <x:v>H20</x:v>
      </x:c>
      <x:c r="E3098" s="34" t="str">
        <x:v>یادداشت تحلیلی/راهبری ثبت‌شده در 11211</x:v>
      </x:c>
      <x:c r="F3098" s="34" t="str">
        <x:v>P3/CLARIFY</x:v>
      </x:c>
      <x:c r="G3098" s="34" t="str">
        <x:v>هدف/موضوع</x:v>
      </x:c>
      <x:c r="H3098" s="39" t="str">
        <x:v>اگر این نهادها فعال شوند کل سیستم حرکت می کند:</x:v>
      </x:c>
      <x:c r="I3098" s="39" t="str">
        <x:v>نیازمند تعریف خروجی یا پارک</x:v>
      </x:c>
      <x:c r="J3098" s="39" t="str">
        <x:v>تحلیلگر راهبری/PMO؛ تبدیل به فرضیه یا اقدام در صورت نیاز</x:v>
      </x:c>
      <x:c r="K3098" s="39" t="str"/>
      <x:c r="L3098" s="39" t="str">
        <x:v>E112:P3583</x:v>
      </x:c>
      <x:c r="M3098" s="39" t="str"/>
      <x:c r="N3098" s="39" t="str">
        <x:v>نسخه پایه ۳۱۵۰</x:v>
      </x:c>
    </x:row>
    <x:row r="3099" ht="34" customHeight="1">
      <x:c r="A3099" s="34" t="str">
        <x:v>☐</x:v>
      </x:c>
      <x:c r="B3099" s="34" t="str">
        <x:v>MI-3036</x:v>
      </x:c>
      <x:c r="C3099" s="34" t="str">
        <x:v>M6 — تحلیل‌های خام و ورودی‌های نیازمند پالایش</x:v>
      </x:c>
      <x:c r="D3099" s="34" t="str">
        <x:v>H20</x:v>
      </x:c>
      <x:c r="E3099" s="34" t="str">
        <x:v>یادداشت تحلیلی/راهبری ثبت‌شده در 11211</x:v>
      </x:c>
      <x:c r="F3099" s="34" t="str">
        <x:v>P3/CLARIFY</x:v>
      </x:c>
      <x:c r="G3099" s="34" t="str">
        <x:v>هدف/موضوع</x:v>
      </x:c>
      <x:c r="H3099" s="39" t="str">
        <x:v>سطح 1</x:v>
      </x:c>
      <x:c r="I3099" s="39" t="str">
        <x:v>نیازمند تعریف خروجی یا پارک</x:v>
      </x:c>
      <x:c r="J3099" s="39" t="str">
        <x:v>تحلیلگر راهبری/PMO؛ تبدیل به فرضیه یا اقدام در صورت نیاز</x:v>
      </x:c>
      <x:c r="K3099" s="39" t="str"/>
      <x:c r="L3099" s="39" t="str">
        <x:v>E112:P3602؛ E112:P3606؛ E112:P3610</x:v>
      </x:c>
      <x:c r="M3099" s="39" t="str"/>
      <x:c r="N3099" s="39" t="str">
        <x:v>نسخه پایه ۳۱۵۰</x:v>
      </x:c>
    </x:row>
    <x:row r="3100" ht="34" customHeight="1">
      <x:c r="A3100" s="34" t="str">
        <x:v>☐</x:v>
      </x:c>
      <x:c r="B3100" s="34" t="str">
        <x:v>MI-3037</x:v>
      </x:c>
      <x:c r="C3100" s="34" t="str">
        <x:v>M6 — تحلیل‌های خام و ورودی‌های نیازمند پالایش</x:v>
      </x:c>
      <x:c r="D3100" s="34" t="str">
        <x:v>H20</x:v>
      </x:c>
      <x:c r="E3100" s="34" t="str">
        <x:v>یادداشت تحلیلی/راهبری ثبت‌شده در 11211</x:v>
      </x:c>
      <x:c r="F3100" s="34" t="str">
        <x:v>P3/CLARIFY</x:v>
      </x:c>
      <x:c r="G3100" s="34" t="str">
        <x:v>هدف/موضوع</x:v>
      </x:c>
      <x:c r="H3100" s="39" t="str">
        <x:v>Core Team</x:v>
      </x:c>
      <x:c r="I3100" s="39" t="str">
        <x:v>نیازمند تعریف خروجی یا پارک</x:v>
      </x:c>
      <x:c r="J3100" s="39" t="str">
        <x:v>تحلیلگر راهبری/PMO؛ تبدیل به فرضیه یا اقدام در صورت نیاز</x:v>
      </x:c>
      <x:c r="K3100" s="39" t="str"/>
      <x:c r="L3100" s="39" t="str">
        <x:v>E112:P3604</x:v>
      </x:c>
      <x:c r="M3100" s="39" t="str"/>
      <x:c r="N3100" s="39" t="str">
        <x:v>نسخه پایه ۳۱۵۰</x:v>
      </x:c>
    </x:row>
    <x:row r="3101" ht="34" customHeight="1">
      <x:c r="A3101" s="34" t="str">
        <x:v>☐</x:v>
      </x:c>
      <x:c r="B3101" s="34" t="str">
        <x:v>MI-3038</x:v>
      </x:c>
      <x:c r="C3101" s="34" t="str">
        <x:v>M6 — تحلیل‌های خام و ورودی‌های نیازمند پالایش</x:v>
      </x:c>
      <x:c r="D3101" s="34" t="str">
        <x:v>H20</x:v>
      </x:c>
      <x:c r="E3101" s="34" t="str">
        <x:v>یادداشت تحلیلی/راهبری ثبت‌شده در 11211</x:v>
      </x:c>
      <x:c r="F3101" s="34" t="str">
        <x:v>P3/CLARIFY</x:v>
      </x:c>
      <x:c r="G3101" s="34" t="str">
        <x:v>هدف/موضوع</x:v>
      </x:c>
      <x:c r="H3101" s="39" t="str">
        <x:v>Program Managers</x:v>
      </x:c>
      <x:c r="I3101" s="39" t="str">
        <x:v>نیازمند تعریف خروجی یا پارک</x:v>
      </x:c>
      <x:c r="J3101" s="39" t="str">
        <x:v>تحلیلگر راهبری/PMO؛ تبدیل به فرضیه یا اقدام در صورت نیاز</x:v>
      </x:c>
      <x:c r="K3101" s="39" t="str"/>
      <x:c r="L3101" s="39" t="str">
        <x:v>E112:P3608</x:v>
      </x:c>
      <x:c r="M3101" s="39" t="str"/>
      <x:c r="N3101" s="39" t="str">
        <x:v>نسخه پایه ۳۱۵۰</x:v>
      </x:c>
    </x:row>
    <x:row r="3102" ht="34" customHeight="1">
      <x:c r="A3102" s="34" t="str">
        <x:v>☐</x:v>
      </x:c>
      <x:c r="B3102" s="34" t="str">
        <x:v>MI-3040</x:v>
      </x:c>
      <x:c r="C3102" s="34" t="str">
        <x:v>M6 — تحلیل‌های خام و ورودی‌های نیازمند پالایش</x:v>
      </x:c>
      <x:c r="D3102" s="34" t="str">
        <x:v>H20</x:v>
      </x:c>
      <x:c r="E3102" s="34" t="str">
        <x:v>یادداشت تحلیلی/راهبری ثبت‌شده در 11211</x:v>
      </x:c>
      <x:c r="F3102" s="34" t="str">
        <x:v>P3/CLARIFY</x:v>
      </x:c>
      <x:c r="G3102" s="34" t="str">
        <x:v>هدف/موضوع</x:v>
      </x:c>
      <x:c r="H3102" s="39" t="str">
        <x:v>8. اولین گام اجرایی واقعی</x:v>
      </x:c>
      <x:c r="I3102" s="39" t="str">
        <x:v>نیازمند تعریف خروجی یا پارک</x:v>
      </x:c>
      <x:c r="J3102" s="39" t="str">
        <x:v>تحلیلگر راهبری/PMO؛ تبدیل به فرضیه یا اقدام در صورت نیاز</x:v>
      </x:c>
      <x:c r="K3102" s="39" t="str"/>
      <x:c r="L3102" s="39" t="str">
        <x:v>E112:P3613</x:v>
      </x:c>
      <x:c r="M3102" s="39" t="str"/>
      <x:c r="N3102" s="39" t="str">
        <x:v>نسخه پایه ۳۱۵۰</x:v>
      </x:c>
    </x:row>
    <x:row r="3103" ht="34" customHeight="1">
      <x:c r="A3103" s="34" t="str">
        <x:v>☐</x:v>
      </x:c>
      <x:c r="B3103" s="34" t="str">
        <x:v>MI-3041</x:v>
      </x:c>
      <x:c r="C3103" s="34" t="str">
        <x:v>M6 — تحلیل‌های خام و ورودی‌های نیازمند پالایش</x:v>
      </x:c>
      <x:c r="D3103" s="34" t="str">
        <x:v>H20</x:v>
      </x:c>
      <x:c r="E3103" s="34" t="str">
        <x:v>یادداشت تحلیلی/راهبری ثبت‌شده در 11211</x:v>
      </x:c>
      <x:c r="F3103" s="34" t="str">
        <x:v>P3/CLARIFY</x:v>
      </x:c>
      <x:c r="G3103" s="34" t="str">
        <x:v>هدف/موضوع</x:v>
      </x:c>
      <x:c r="H3103" s="39" t="str">
        <x:v>برای شروع کل این سیستم فقط سه چیز لازم است:</x:v>
      </x:c>
      <x:c r="I3103" s="39" t="str">
        <x:v>نیازمند تعریف خروجی یا پارک</x:v>
      </x:c>
      <x:c r="J3103" s="39" t="str">
        <x:v>تحلیلگر راهبری/PMO؛ تبدیل به فرضیه یا اقدام در صورت نیاز</x:v>
      </x:c>
      <x:c r="K3103" s="39" t="str"/>
      <x:c r="L3103" s="39" t="str">
        <x:v>E112:P3615</x:v>
      </x:c>
      <x:c r="M3103" s="39" t="str"/>
      <x:c r="N3103" s="39" t="str">
        <x:v>نسخه پایه ۳۱۵۰</x:v>
      </x:c>
    </x:row>
    <x:row r="3104" ht="34" customHeight="1">
      <x:c r="A3104" s="34" t="str">
        <x:v>☐</x:v>
      </x:c>
      <x:c r="B3104" s="34" t="str">
        <x:v>MI-3045</x:v>
      </x:c>
      <x:c r="C3104" s="34" t="str">
        <x:v>M6 — تحلیل‌های خام و ورودی‌های نیازمند پالایش</x:v>
      </x:c>
      <x:c r="D3104" s="34" t="str">
        <x:v>H20</x:v>
      </x:c>
      <x:c r="E3104" s="34" t="str">
        <x:v>یادداشت تحلیلی/راهبری ثبت‌شده در 11211</x:v>
      </x:c>
      <x:c r="F3104" s="34" t="str">
        <x:v>P3/CLARIFY</x:v>
      </x:c>
      <x:c r="G3104" s="34" t="str">
        <x:v>هدف/موضوع</x:v>
      </x:c>
      <x:c r="H3104" s="39" t="str">
        <x:v>Innovation Camp Mazandaran</x:v>
      </x:c>
      <x:c r="I3104" s="39" t="str">
        <x:v>نیازمند تعریف خروجی یا پارک</x:v>
      </x:c>
      <x:c r="J3104" s="39" t="str">
        <x:v>تحلیلگر راهبری/PMO؛ تبدیل به فرضیه یا اقدام در صورت نیاز</x:v>
      </x:c>
      <x:c r="K3104" s="39" t="str"/>
      <x:c r="L3104" s="39" t="str">
        <x:v>E112:P3629</x:v>
      </x:c>
      <x:c r="M3104" s="39" t="str"/>
      <x:c r="N3104" s="39" t="str">
        <x:v>نسخه پایه ۳۱۵۰</x:v>
      </x:c>
    </x:row>
    <x:row r="3105" ht="34" customHeight="1">
      <x:c r="A3105" s="34" t="str">
        <x:v>☐</x:v>
      </x:c>
      <x:c r="B3105" s="34" t="str">
        <x:v>MI-3046</x:v>
      </x:c>
      <x:c r="C3105" s="34" t="str">
        <x:v>M6 — تحلیل‌های خام و ورودی‌های نیازمند پالایش</x:v>
      </x:c>
      <x:c r="D3105" s="34" t="str">
        <x:v>H20</x:v>
      </x:c>
      <x:c r="E3105" s="34" t="str">
        <x:v>یادداشت تحلیلی/راهبری ثبت‌شده در 11211</x:v>
      </x:c>
      <x:c r="F3105" s="34" t="str">
        <x:v>P3/CLARIFY</x:v>
      </x:c>
      <x:c r="G3105" s="34" t="str">
        <x:v>هدف/موضوع</x:v>
      </x:c>
      <x:c r="H3105" s="39" t="str">
        <x:v>نکته مهم</x:v>
      </x:c>
      <x:c r="I3105" s="39" t="str">
        <x:v>نیازمند تعریف خروجی یا پارک</x:v>
      </x:c>
      <x:c r="J3105" s="39" t="str">
        <x:v>تحلیلگر راهبری/PMO؛ تبدیل به فرضیه یا اقدام در صورت نیاز</x:v>
      </x:c>
      <x:c r="K3105" s="39" t="str"/>
      <x:c r="L3105" s="39" t="str">
        <x:v>E112:P3630</x:v>
      </x:c>
      <x:c r="M3105" s="39" t="str"/>
      <x:c r="N3105" s="39" t="str">
        <x:v>نسخه پایه ۳۱۵۰</x:v>
      </x:c>
    </x:row>
    <x:row r="3106" ht="34" customHeight="1">
      <x:c r="A3106" s="34" t="str">
        <x:v>☐</x:v>
      </x:c>
      <x:c r="B3106" s="34" t="str">
        <x:v>MI-3049</x:v>
      </x:c>
      <x:c r="C3106" s="34" t="str">
        <x:v>M6 — تحلیل‌های خام و ورودی‌های نیازمند پالایش</x:v>
      </x:c>
      <x:c r="D3106" s="34" t="str">
        <x:v>H20</x:v>
      </x:c>
      <x:c r="E3106" s="34" t="str">
        <x:v>یادداشت تحلیلی/راهبری ثبت‌شده در 11211</x:v>
      </x:c>
      <x:c r="F3106" s="34" t="str">
        <x:v>P3/CLARIFY</x:v>
      </x:c>
      <x:c r="G3106" s="34" t="str">
        <x:v>هدف/موضوع</x:v>
      </x:c>
      <x:c r="H3106" s="39" t="str">
        <x:v>Programs</x:v>
      </x:c>
      <x:c r="I3106" s="39" t="str">
        <x:v>نیازمند تعریف خروجی یا پارک</x:v>
      </x:c>
      <x:c r="J3106" s="39" t="str">
        <x:v>تحلیلگر راهبری/PMO؛ تبدیل به فرضیه یا اقدام در صورت نیاز</x:v>
      </x:c>
      <x:c r="K3106" s="39" t="str"/>
      <x:c r="L3106" s="39" t="str">
        <x:v>E112:P3636</x:v>
      </x:c>
      <x:c r="M3106" s="39" t="str"/>
      <x:c r="N3106" s="39" t="str">
        <x:v>نسخه پایه ۳۱۵۰</x:v>
      </x:c>
    </x:row>
    <x:row r="3107" ht="34" customHeight="1">
      <x:c r="A3107" s="34" t="str">
        <x:v>☐</x:v>
      </x:c>
      <x:c r="B3107" s="34" t="str">
        <x:v>MI-3053</x:v>
      </x:c>
      <x:c r="C3107" s="34" t="str">
        <x:v>M6 — تحلیل‌های خام و ورودی‌های نیازمند پالایش</x:v>
      </x:c>
      <x:c r="D3107" s="34" t="str">
        <x:v>H20</x:v>
      </x:c>
      <x:c r="E3107" s="34" t="str">
        <x:v>یادداشت تحلیلی/راهبری ثبت‌شده در 11211</x:v>
      </x:c>
      <x:c r="F3107" s="34" t="str">
        <x:v>P3/CLARIFY</x:v>
      </x:c>
      <x:c r="G3107" s="34" t="str">
        <x:v>هدف/موضوع</x:v>
      </x:c>
      <x:c r="H3107" s="39" t="str">
        <x:v>یعنی دقیقاً مشخص کنیم:</x:v>
      </x:c>
      <x:c r="I3107" s="39" t="str">
        <x:v>نیازمند تعریف خروجی یا پارک</x:v>
      </x:c>
      <x:c r="J3107" s="39" t="str">
        <x:v>تحلیلگر راهبری/PMO؛ تبدیل به فرضیه یا اقدام در صورت نیاز</x:v>
      </x:c>
      <x:c r="K3107" s="39" t="str"/>
      <x:c r="L3107" s="39" t="str">
        <x:v>E112:P3646</x:v>
      </x:c>
      <x:c r="M3107" s="39" t="str"/>
      <x:c r="N3107" s="39" t="str">
        <x:v>نسخه پایه ۳۱۵۰</x:v>
      </x:c>
    </x:row>
    <x:row r="3108" ht="34" customHeight="1">
      <x:c r="A3108" s="34" t="str">
        <x:v>☐</x:v>
      </x:c>
      <x:c r="B3108" s="34" t="str">
        <x:v>MI-3055</x:v>
      </x:c>
      <x:c r="C3108" s="34" t="str">
        <x:v>M6 — تحلیل‌های خام و ورودی‌های نیازمند پالایش</x:v>
      </x:c>
      <x:c r="D3108" s="34" t="str">
        <x:v>H20</x:v>
      </x:c>
      <x:c r="E3108" s="34" t="str">
        <x:v>یادداشت تحلیلی/راهبری ثبت‌شده در 11211</x:v>
      </x:c>
      <x:c r="F3108" s="34" t="str">
        <x:v>P3/CLARIFY</x:v>
      </x:c>
      <x:c r="G3108" s="34" t="str">
        <x:v>هدف/موضوع</x:v>
      </x:c>
      <x:c r="H3108" s="39" t="str">
        <x:v>چه سازمان هایی</x:v>
      </x:c>
      <x:c r="I3108" s="39" t="str">
        <x:v>نیازمند تعریف خروجی یا پارک</x:v>
      </x:c>
      <x:c r="J3108" s="39" t="str">
        <x:v>تحلیلگر راهبری/PMO؛ تبدیل به فرضیه یا اقدام در صورت نیاز</x:v>
      </x:c>
      <x:c r="K3108" s="39" t="str"/>
      <x:c r="L3108" s="39" t="str">
        <x:v>E112:P3649</x:v>
      </x:c>
      <x:c r="M3108" s="39" t="str"/>
      <x:c r="N3108" s="39" t="str">
        <x:v>نسخه پایه ۳۱۵۰</x:v>
      </x:c>
    </x:row>
    <x:row r="3109" ht="34" customHeight="1">
      <x:c r="A3109" s="34" t="str">
        <x:v>☐</x:v>
      </x:c>
      <x:c r="B3109" s="34" t="str">
        <x:v>MI-3056</x:v>
      </x:c>
      <x:c r="C3109" s="34" t="str">
        <x:v>M6 — تحلیل‌های خام و ورودی‌های نیازمند پالایش</x:v>
      </x:c>
      <x:c r="D3109" s="34" t="str">
        <x:v>H20</x:v>
      </x:c>
      <x:c r="E3109" s="34" t="str">
        <x:v>یادداشت تحلیلی/راهبری ثبت‌شده در 11211</x:v>
      </x:c>
      <x:c r="F3109" s="34" t="str">
        <x:v>P3/CLARIFY</x:v>
      </x:c>
      <x:c r="G3109" s="34" t="str">
        <x:v>هدف/موضوع</x:v>
      </x:c>
      <x:c r="H3109" s="39" t="str">
        <x:v>چه گروه هایی</x:v>
      </x:c>
      <x:c r="I3109" s="39" t="str">
        <x:v>نیازمند تعریف خروجی یا پارک</x:v>
      </x:c>
      <x:c r="J3109" s="39" t="str">
        <x:v>تحلیلگر راهبری/PMO؛ تبدیل به فرضیه یا اقدام در صورت نیاز</x:v>
      </x:c>
      <x:c r="K3109" s="39" t="str"/>
      <x:c r="L3109" s="39" t="str">
        <x:v>E112:P3650</x:v>
      </x:c>
      <x:c r="M3109" s="39" t="str"/>
      <x:c r="N3109" s="39" t="str">
        <x:v>نسخه پایه ۳۱۵۰</x:v>
      </x:c>
    </x:row>
    <x:row r="3110" ht="34" customHeight="1">
      <x:c r="A3110" s="34" t="str">
        <x:v>☐</x:v>
      </x:c>
      <x:c r="B3110" s="34" t="str">
        <x:v>MI-3076</x:v>
      </x:c>
      <x:c r="C3110" s="34" t="str">
        <x:v>M1 — فرد، پایه‌های عملکرد و خودشناسی</x:v>
      </x:c>
      <x:c r="D3110" s="34" t="str">
        <x:v>H21</x:v>
      </x:c>
      <x:c r="E3110" s="34" t="str">
        <x:v>شاهد و داده خوداظهاری مصاحبه</x:v>
      </x:c>
      <x:c r="F3110" s="34" t="str">
        <x:v>P3/CLARIFY</x:v>
      </x:c>
      <x:c r="G3110" s="34" t="str">
        <x:v>اقدام اجرایی</x:v>
      </x:c>
      <x:c r="H3110" s="39" t="str">
        <x:v>از نظردیگران (دوستان، همکاران، اعضای خانواده ) شما چه جور آدمی هستید؟ در مورد ویژگی های رفتاری مثبت و منفی که اشاره کردند، ده مورد رو بنویسید.؟</x:v>
      </x:c>
      <x:c r="I3110" s="39" t="str">
        <x:v>نیازمند تعریف خروجی یا پارک</x:v>
      </x:c>
      <x:c r="J3110" s="39" t="str">
        <x:v>کوچ/تحلیلگر پرونده؛ داده شاهد</x:v>
      </x:c>
      <x:c r="K3110" s="39" t="str"/>
      <x:c r="L3110" s="39" t="str">
        <x:v>INT:T15 R1</x:v>
      </x:c>
      <x:c r="M3110" s="39" t="str"/>
      <x:c r="N3110" s="39" t="str">
        <x:v>نسخه پایه ۳۱۵۰</x:v>
      </x:c>
    </x:row>
    <x:row r="3111" ht="34" customHeight="1">
      <x:c r="A3111" s="34" t="str">
        <x:v>☐</x:v>
      </x:c>
      <x:c r="B3111" s="34" t="str">
        <x:v>MI-3067</x:v>
      </x:c>
      <x:c r="C3111" s="34" t="str">
        <x:v>M1 — فرد، پایه‌های عملکرد و خودشناسی</x:v>
      </x:c>
      <x:c r="D3111" s="34" t="str">
        <x:v>H21</x:v>
      </x:c>
      <x:c r="E3111" s="34" t="str">
        <x:v>شاهد و داده خوداظهاری مصاحبه</x:v>
      </x:c>
      <x:c r="F3111" s="34" t="str">
        <x:v>P3/CLARIFY</x:v>
      </x:c>
      <x:c r="G3111" s="34" t="str">
        <x:v>هدف/موضوع</x:v>
      </x:c>
      <x:c r="H3111" s="39" t="str">
        <x:v>فردی که خیلی قبولش دارید و رول مدل شماست چه کسی می باشد و دلیل انتخاب ایشان چیست؟</x:v>
      </x:c>
      <x:c r="I3111" s="39" t="str">
        <x:v>نیازمند تعریف خروجی یا پارک</x:v>
      </x:c>
      <x:c r="J3111" s="39" t="str">
        <x:v>کوچ/تحلیلگر پرونده؛ داده شاهد</x:v>
      </x:c>
      <x:c r="K3111" s="39" t="str"/>
      <x:c r="L3111" s="39" t="str">
        <x:v>INT:T10 R1</x:v>
      </x:c>
      <x:c r="M3111" s="39" t="str"/>
      <x:c r="N3111" s="39" t="str">
        <x:v>نسخه پایه ۳۱۵۰</x:v>
      </x:c>
    </x:row>
    <x:row r="3112" ht="34" customHeight="1">
      <x:c r="A3112" s="34" t="str">
        <x:v>☐</x:v>
      </x:c>
      <x:c r="B3112" s="34" t="str">
        <x:v>MI-3069</x:v>
      </x:c>
      <x:c r="C3112" s="34" t="str">
        <x:v>M1 — فرد، پایه‌های عملکرد و خودشناسی</x:v>
      </x:c>
      <x:c r="D3112" s="34" t="str">
        <x:v>H21</x:v>
      </x:c>
      <x:c r="E3112" s="34" t="str">
        <x:v>شاهد و داده خوداظهاری مصاحبه</x:v>
      </x:c>
      <x:c r="F3112" s="34" t="str">
        <x:v>P3/CLARIFY</x:v>
      </x:c>
      <x:c r="G3112" s="34" t="str">
        <x:v>هدف/موضوع</x:v>
      </x:c>
      <x:c r="H3112" s="39" t="str">
        <x:v>تصور کنید پول زیادی دارید و هر کاری که دلتون می خواهد، می توانید انجام دهید، چکار می کردید؟</x:v>
      </x:c>
      <x:c r="I3112" s="39" t="str">
        <x:v>نیازمند تعریف خروجی یا پارک</x:v>
      </x:c>
      <x:c r="J3112" s="39" t="str">
        <x:v>کوچ/تحلیلگر پرونده؛ داده شاهد</x:v>
      </x:c>
      <x:c r="K3112" s="39" t="str"/>
      <x:c r="L3112" s="39" t="str">
        <x:v>INT:T11 R1</x:v>
      </x:c>
      <x:c r="M3112" s="39" t="str"/>
      <x:c r="N3112" s="39" t="str">
        <x:v>نسخه پایه ۳۱۵۰</x:v>
      </x:c>
    </x:row>
    <x:row r="3113" ht="34" customHeight="1">
      <x:c r="A3113" s="34" t="str">
        <x:v>☐</x:v>
      </x:c>
      <x:c r="B3113" s="34" t="str">
        <x:v>MI-3073</x:v>
      </x:c>
      <x:c r="C3113" s="34" t="str">
        <x:v>M1 — فرد، پایه‌های عملکرد و خودشناسی</x:v>
      </x:c>
      <x:c r="D3113" s="34" t="str">
        <x:v>H21</x:v>
      </x:c>
      <x:c r="E3113" s="34" t="str">
        <x:v>شاهد و داده خوداظهاری مصاحبه</x:v>
      </x:c>
      <x:c r="F3113" s="34" t="str">
        <x:v>P3/CLARIFY</x:v>
      </x:c>
      <x:c r="G3113" s="34" t="str">
        <x:v>هدف/موضوع</x:v>
      </x:c>
      <x:c r="H3113" s="39" t="str">
        <x:v>تا حالا شده کاری رو انجام داده باشید یا دوست داشته باشید انجام دهید که احساس کنی با انجام دادنش آدم مهمی هستی؟ چه کاری بوده؟ لطفا توضیح دهید</x:v>
      </x:c>
      <x:c r="I3113" s="39" t="str">
        <x:v>نیازمند تعریف خروجی یا پارک</x:v>
      </x:c>
      <x:c r="J3113" s="39" t="str">
        <x:v>کوچ/تحلیلگر پرونده؛ داده شاهد</x:v>
      </x:c>
      <x:c r="K3113" s="39" t="str"/>
      <x:c r="L3113" s="39" t="str">
        <x:v>INT:T13 R1</x:v>
      </x:c>
      <x:c r="M3113" s="39" t="str"/>
      <x:c r="N3113" s="39" t="str">
        <x:v>نسخه پایه ۳۱۵۰</x:v>
      </x:c>
    </x:row>
    <x:row r="3114" ht="34" customHeight="1">
      <x:c r="A3114" s="34" t="str">
        <x:v>☐</x:v>
      </x:c>
      <x:c r="B3114" s="34" t="str">
        <x:v>MI-3088</x:v>
      </x:c>
      <x:c r="C3114" s="34" t="str">
        <x:v>M1 — فرد، پایه‌های عملکرد و خودشناسی</x:v>
      </x:c>
      <x:c r="D3114" s="34" t="str">
        <x:v>H21</x:v>
      </x:c>
      <x:c r="E3114" s="34" t="str">
        <x:v>شاهد و داده خوداظهاری مصاحبه</x:v>
      </x:c>
      <x:c r="F3114" s="34" t="str">
        <x:v>P3/CLARIFY</x:v>
      </x:c>
      <x:c r="G3114" s="34" t="str">
        <x:v>هدف/موضوع</x:v>
      </x:c>
      <x:c r="H3114" s="39" t="str">
        <x:v>چه رشته تحصیلی رو دوست داشتید و آیا همون رشته تحصیلی را خوندید؟ و اگر در اون رشته الان نیستید علتش چیه؟</x:v>
      </x:c>
      <x:c r="I3114" s="39" t="str">
        <x:v>نیازمند تعریف خروجی یا پارک</x:v>
      </x:c>
      <x:c r="J3114" s="39" t="str">
        <x:v>کوچ/تحلیلگر پرونده؛ داده شاهد</x:v>
      </x:c>
      <x:c r="K3114" s="39" t="str"/>
      <x:c r="L3114" s="39" t="str">
        <x:v>INT:T25 R1</x:v>
      </x:c>
      <x:c r="M3114" s="39" t="str"/>
      <x:c r="N3114" s="39" t="str">
        <x:v>نسخه پایه ۳۱۵۰</x:v>
      </x:c>
    </x:row>
    <x:row r="3115" ht="34" customHeight="1">
      <x:c r="A3115" s="34" t="str">
        <x:v>☐</x:v>
      </x:c>
      <x:c r="B3115" s="34" t="str">
        <x:v>MI-3092</x:v>
      </x:c>
      <x:c r="C3115" s="34" t="str">
        <x:v>M1 — فرد، پایه‌های عملکرد و خودشناسی</x:v>
      </x:c>
      <x:c r="D3115" s="34" t="str">
        <x:v>H21</x:v>
      </x:c>
      <x:c r="E3115" s="34" t="str">
        <x:v>شاهد و داده خوداظهاری مصاحبه</x:v>
      </x:c>
      <x:c r="F3115" s="34" t="str">
        <x:v>P3/CLARIFY</x:v>
      </x:c>
      <x:c r="G3115" s="34" t="str">
        <x:v>هدف/موضوع</x:v>
      </x:c>
      <x:c r="H3115" s="39" t="str">
        <x:v>چه کارهایی رو دوست دارید انجام دهید که حتی اگه ساعت های طولانی مشغول اون کار باشید، لذت می برید؟</x:v>
      </x:c>
      <x:c r="I3115" s="39" t="str">
        <x:v>نیازمند تعریف خروجی یا پارک</x:v>
      </x:c>
      <x:c r="J3115" s="39" t="str">
        <x:v>کوچ/تحلیلگر پرونده؛ داده شاهد</x:v>
      </x:c>
      <x:c r="K3115" s="39" t="str"/>
      <x:c r="L3115" s="39" t="str">
        <x:v>INT:T27 R1</x:v>
      </x:c>
      <x:c r="M3115" s="39" t="str"/>
      <x:c r="N3115" s="39" t="str">
        <x:v>نسخه پایه ۳۱۵۰</x:v>
      </x:c>
    </x:row>
    <x:row r="3116" ht="34" customHeight="1">
      <x:c r="A3116" s="34" t="str">
        <x:v>☐</x:v>
      </x:c>
      <x:c r="B3116" s="34" t="str">
        <x:v>MI-3094</x:v>
      </x:c>
      <x:c r="C3116" s="34" t="str">
        <x:v>M1 — فرد، پایه‌های عملکرد و خودشناسی</x:v>
      </x:c>
      <x:c r="D3116" s="34" t="str">
        <x:v>H21</x:v>
      </x:c>
      <x:c r="E3116" s="34" t="str">
        <x:v>شاهد و داده خوداظهاری مصاحبه</x:v>
      </x:c>
      <x:c r="F3116" s="34" t="str">
        <x:v>P3/CLARIFY</x:v>
      </x:c>
      <x:c r="G3116" s="34" t="str">
        <x:v>هدف/موضوع</x:v>
      </x:c>
      <x:c r="H3116" s="39" t="str">
        <x:v>در چه زمینه و رشته ای دوست دارید اطلاعات تان بروز باشد و همیشه درموردش اطلاعات بدست بیارید؟</x:v>
      </x:c>
      <x:c r="I3116" s="39" t="str">
        <x:v>نیازمند تعریف خروجی یا پارک</x:v>
      </x:c>
      <x:c r="J3116" s="39" t="str">
        <x:v>کوچ/تحلیلگر پرونده؛ داده شاهد</x:v>
      </x:c>
      <x:c r="K3116" s="39" t="str"/>
      <x:c r="L3116" s="39" t="str">
        <x:v>INT:T28 R1</x:v>
      </x:c>
      <x:c r="M3116" s="39" t="str"/>
      <x:c r="N3116" s="39" t="str">
        <x:v>نسخه پایه ۳۱۵۰</x:v>
      </x:c>
    </x:row>
    <x:row r="3117" ht="34" customHeight="1">
      <x:c r="A3117" s="34" t="str">
        <x:v>☐</x:v>
      </x:c>
      <x:c r="B3117" s="34" t="str">
        <x:v>MI-3096</x:v>
      </x:c>
      <x:c r="C3117" s="34" t="str">
        <x:v>M1 — فرد، پایه‌های عملکرد و خودشناسی</x:v>
      </x:c>
      <x:c r="D3117" s="34" t="str">
        <x:v>H21</x:v>
      </x:c>
      <x:c r="E3117" s="34" t="str">
        <x:v>شاهد و داده خوداظهاری مصاحبه</x:v>
      </x:c>
      <x:c r="F3117" s="34" t="str">
        <x:v>P3/CLARIFY</x:v>
      </x:c>
      <x:c r="G3117" s="34" t="str">
        <x:v>هدف/موضوع</x:v>
      </x:c>
      <x:c r="H3117" s="39" t="str">
        <x:v>در چه فعالیت هایی حس می کنید از اطرافیانتان موفق تر هستید؟</x:v>
      </x:c>
      <x:c r="I3117" s="39" t="str">
        <x:v>نیازمند تعریف خروجی یا پارک</x:v>
      </x:c>
      <x:c r="J3117" s="39" t="str">
        <x:v>کوچ/تحلیلگر پرونده؛ داده شاهد</x:v>
      </x:c>
      <x:c r="K3117" s="39" t="str"/>
      <x:c r="L3117" s="39" t="str">
        <x:v>INT:T29 R1</x:v>
      </x:c>
      <x:c r="M3117" s="39" t="str"/>
      <x:c r="N3117" s="39" t="str">
        <x:v>نسخه پایه ۳۱۵۰</x:v>
      </x:c>
    </x:row>
    <x:row r="3118" ht="34" customHeight="1">
      <x:c r="A3118" s="34" t="str">
        <x:v>☐</x:v>
      </x:c>
      <x:c r="B3118" s="34" t="str">
        <x:v>MI-3100</x:v>
      </x:c>
      <x:c r="C3118" s="34" t="str">
        <x:v>M1 — فرد، پایه‌های عملکرد و خودشناسی</x:v>
      </x:c>
      <x:c r="D3118" s="34" t="str">
        <x:v>H21</x:v>
      </x:c>
      <x:c r="E3118" s="34" t="str">
        <x:v>شاهد و داده خوداظهاری مصاحبه</x:v>
      </x:c>
      <x:c r="F3118" s="34" t="str">
        <x:v>P3/CLARIFY</x:v>
      </x:c>
      <x:c r="G3118" s="34" t="str">
        <x:v>هدف/موضوع</x:v>
      </x:c>
      <x:c r="H3118" s="39" t="str">
        <x:v>چه کاری رو اگر انجام دهید و دیگران تشویقت نکنن واستون مهم نیست و بازم انجام می دهید؟</x:v>
      </x:c>
      <x:c r="I3118" s="39" t="str">
        <x:v>نیازمند تعریف خروجی یا پارک</x:v>
      </x:c>
      <x:c r="J3118" s="39" t="str">
        <x:v>کوچ/تحلیلگر پرونده؛ داده شاهد</x:v>
      </x:c>
      <x:c r="K3118" s="39" t="str"/>
      <x:c r="L3118" s="39" t="str">
        <x:v>INT:T31 R1</x:v>
      </x:c>
      <x:c r="M3118" s="39" t="str"/>
      <x:c r="N3118" s="39" t="str">
        <x:v>نسخه پایه ۳۱۵۰</x:v>
      </x:c>
    </x:row>
    <x:row r="3119" ht="34" customHeight="1">
      <x:c r="A3119" s="34" t="str">
        <x:v>☐</x:v>
      </x:c>
      <x:c r="B3119" s="34" t="str">
        <x:v>MI-3104</x:v>
      </x:c>
      <x:c r="C3119" s="34" t="str">
        <x:v>M1 — فرد، پایه‌های عملکرد و خودشناسی</x:v>
      </x:c>
      <x:c r="D3119" s="34" t="str">
        <x:v>H21</x:v>
      </x:c>
      <x:c r="E3119" s="34" t="str">
        <x:v>شاهد و داده خوداظهاری مصاحبه</x:v>
      </x:c>
      <x:c r="F3119" s="34" t="str">
        <x:v>P3/CLARIFY</x:v>
      </x:c>
      <x:c r="G3119" s="34" t="str">
        <x:v>هدف/موضوع</x:v>
      </x:c>
      <x:c r="H3119" s="39" t="str">
        <x:v>در زندگی کیا بهتون ظلم یا بدی کردند و چه بوده است؟ لطفا توضیح دهید؟</x:v>
      </x:c>
      <x:c r="I3119" s="39" t="str">
        <x:v>نیازمند تعریف خروجی یا پارک</x:v>
      </x:c>
      <x:c r="J3119" s="39" t="str">
        <x:v>کوچ/تحلیلگر پرونده؛ داده شاهد</x:v>
      </x:c>
      <x:c r="K3119" s="39" t="str"/>
      <x:c r="L3119" s="39" t="str">
        <x:v>INT:T33 R1</x:v>
      </x:c>
      <x:c r="M3119" s="39" t="str"/>
      <x:c r="N3119" s="39" t="str">
        <x:v>نسخه پایه ۳۱۵۰</x:v>
      </x:c>
    </x:row>
    <x:row r="3120" ht="34" customHeight="1">
      <x:c r="A3120" s="34" t="str">
        <x:v>☐</x:v>
      </x:c>
      <x:c r="B3120" s="34" t="str">
        <x:v>MI-3136</x:v>
      </x:c>
      <x:c r="C3120" s="34" t="str">
        <x:v>M1 — فرد، پایه‌های عملکرد و خودشناسی</x:v>
      </x:c>
      <x:c r="D3120" s="34" t="str">
        <x:v>H22</x:v>
      </x:c>
      <x:c r="E3120" s="34" t="str">
        <x:v>نتیجه آزمون و داده سنجشی</x:v>
      </x:c>
      <x:c r="F3120" s="34" t="str">
        <x:v>P3/CLARIFY</x:v>
      </x:c>
      <x:c r="G3120" s="34" t="str">
        <x:v>اقدام اجرایی</x:v>
      </x:c>
      <x:c r="H3120" s="39" t="str">
        <x:v>هالند قراردادی/سازمان‌دهنده: 12.5</x:v>
      </x:c>
      <x:c r="I3120" s="39" t="str">
        <x:v>نیازمند تعریف خروجی یا پارک</x:v>
      </x:c>
      <x:c r="J3120" s="39" t="str">
        <x:v>متخصص ارزیابی؛ داده سنجشی</x:v>
      </x:c>
      <x:c r="K3120" s="39" t="str"/>
      <x:c r="L3120" s="39" t="str">
        <x:v>TEST:هالند قراردادی/سازمان‌دهنده</x:v>
      </x:c>
      <x:c r="M3120" s="39" t="str"/>
      <x:c r="N3120" s="39" t="str">
        <x:v>نسخه پایه ۳۱۵۰</x:v>
      </x:c>
    </x:row>
    <x:row r="3121" ht="34" customHeight="1">
      <x:c r="A3121" s="34" t="str">
        <x:v>☐</x:v>
      </x:c>
      <x:c r="B3121" s="34" t="str">
        <x:v>MI-3119</x:v>
      </x:c>
      <x:c r="C3121" s="34" t="str">
        <x:v>M1 — فرد، پایه‌های عملکرد و خودشناسی</x:v>
      </x:c>
      <x:c r="D3121" s="34" t="str">
        <x:v>H22</x:v>
      </x:c>
      <x:c r="E3121" s="34" t="str">
        <x:v>نتیجه آزمون و داده سنجشی</x:v>
      </x:c>
      <x:c r="F3121" s="34" t="str">
        <x:v>P3/CLARIFY</x:v>
      </x:c>
      <x:c r="G3121" s="34" t="str">
        <x:v>هدف/موضوع</x:v>
      </x:c>
      <x:c r="H3121" s="39" t="str">
        <x:v>DISC الگو: ترغیب کننده</x:v>
      </x:c>
      <x:c r="I3121" s="39" t="str">
        <x:v>نیازمند تعریف خروجی یا پارک</x:v>
      </x:c>
      <x:c r="J3121" s="39" t="str">
        <x:v>متخصص ارزیابی؛ داده سنجشی</x:v>
      </x:c>
      <x:c r="K3121" s="39" t="str"/>
      <x:c r="L3121" s="39" t="str">
        <x:v>TEST:DISC الگو</x:v>
      </x:c>
      <x:c r="M3121" s="39" t="str"/>
      <x:c r="N3121" s="39" t="str">
        <x:v>نسخه پایه ۳۱۵۰</x:v>
      </x:c>
    </x:row>
    <x:row r="3122" ht="34" customHeight="1">
      <x:c r="A3122" s="34" t="str">
        <x:v>☐</x:v>
      </x:c>
      <x:c r="B3122" s="34" t="str">
        <x:v>MI-3120</x:v>
      </x:c>
      <x:c r="C3122" s="34" t="str">
        <x:v>M1 — فرد، پایه‌های عملکرد و خودشناسی</x:v>
      </x:c>
      <x:c r="D3122" s="34" t="str">
        <x:v>H22</x:v>
      </x:c>
      <x:c r="E3122" s="34" t="str">
        <x:v>نتیجه آزمون و داده سنجشی</x:v>
      </x:c>
      <x:c r="F3122" s="34" t="str">
        <x:v>P3/CLARIFY</x:v>
      </x:c>
      <x:c r="G3122" s="34" t="str">
        <x:v>هدف/موضوع</x:v>
      </x:c>
      <x:c r="H3122" s="39" t="str">
        <x:v>DISC کد: ID</x:v>
      </x:c>
      <x:c r="I3122" s="39" t="str">
        <x:v>نیازمند تعریف خروجی یا پارک</x:v>
      </x:c>
      <x:c r="J3122" s="39" t="str">
        <x:v>متخصص ارزیابی؛ داده سنجشی</x:v>
      </x:c>
      <x:c r="K3122" s="39" t="str"/>
      <x:c r="L3122" s="39" t="str">
        <x:v>TEST:DISC کد</x:v>
      </x:c>
      <x:c r="M3122" s="39" t="str"/>
      <x:c r="N3122" s="39" t="str">
        <x:v>نسخه پایه ۳۱۵۰</x:v>
      </x:c>
    </x:row>
    <x:row r="3123" ht="34" customHeight="1">
      <x:c r="A3123" s="34" t="str">
        <x:v>☐</x:v>
      </x:c>
      <x:c r="B3123" s="34" t="str">
        <x:v>MI-3121</x:v>
      </x:c>
      <x:c r="C3123" s="34" t="str">
        <x:v>M1 — فرد، پایه‌های عملکرد و خودشناسی</x:v>
      </x:c>
      <x:c r="D3123" s="34" t="str">
        <x:v>H22</x:v>
      </x:c>
      <x:c r="E3123" s="34" t="str">
        <x:v>نتیجه آزمون و داده سنجشی</x:v>
      </x:c>
      <x:c r="F3123" s="34" t="str">
        <x:v>P3/CLARIFY</x:v>
      </x:c>
      <x:c r="G3123" s="34" t="str">
        <x:v>هدف/موضوع</x:v>
      </x:c>
      <x:c r="H3123" s="39" t="str">
        <x:v>کلیفتون 1: دست یابنده</x:v>
      </x:c>
      <x:c r="I3123" s="39" t="str">
        <x:v>نیازمند تعریف خروجی یا پارک</x:v>
      </x:c>
      <x:c r="J3123" s="39" t="str">
        <x:v>متخصص ارزیابی؛ داده سنجشی</x:v>
      </x:c>
      <x:c r="K3123" s="39" t="str"/>
      <x:c r="L3123" s="39" t="str">
        <x:v>TEST:کلیفتون 1</x:v>
      </x:c>
      <x:c r="M3123" s="39" t="str"/>
      <x:c r="N3123" s="39" t="str">
        <x:v>نسخه پایه ۳۱۵۰</x:v>
      </x:c>
    </x:row>
    <x:row r="3124" ht="34" customHeight="1">
      <x:c r="A3124" s="34" t="str">
        <x:v>☐</x:v>
      </x:c>
      <x:c r="B3124" s="34" t="str">
        <x:v>MI-3122</x:v>
      </x:c>
      <x:c r="C3124" s="34" t="str">
        <x:v>M1 — فرد، پایه‌های عملکرد و خودشناسی</x:v>
      </x:c>
      <x:c r="D3124" s="34" t="str">
        <x:v>H22</x:v>
      </x:c>
      <x:c r="E3124" s="34" t="str">
        <x:v>نتیجه آزمون و داده سنجشی</x:v>
      </x:c>
      <x:c r="F3124" s="34" t="str">
        <x:v>P3/CLARIFY</x:v>
      </x:c>
      <x:c r="G3124" s="34" t="str">
        <x:v>هدف/موضوع</x:v>
      </x:c>
      <x:c r="H3124" s="39" t="str">
        <x:v>کلیفتون 2: آینده نگر</x:v>
      </x:c>
      <x:c r="I3124" s="39" t="str">
        <x:v>نیازمند تعریف خروجی یا پارک</x:v>
      </x:c>
      <x:c r="J3124" s="39" t="str">
        <x:v>متخصص ارزیابی؛ داده سنجشی</x:v>
      </x:c>
      <x:c r="K3124" s="39" t="str"/>
      <x:c r="L3124" s="39" t="str">
        <x:v>TEST:کلیفتون 2</x:v>
      </x:c>
      <x:c r="M3124" s="39" t="str"/>
      <x:c r="N3124" s="39" t="str">
        <x:v>نسخه پایه ۳۱۵۰</x:v>
      </x:c>
    </x:row>
    <x:row r="3125" ht="34" customHeight="1">
      <x:c r="A3125" s="34" t="str">
        <x:v>☐</x:v>
      </x:c>
      <x:c r="B3125" s="34" t="str">
        <x:v>MI-3123</x:v>
      </x:c>
      <x:c r="C3125" s="34" t="str">
        <x:v>M1 — فرد، پایه‌های عملکرد و خودشناسی</x:v>
      </x:c>
      <x:c r="D3125" s="34" t="str">
        <x:v>H22</x:v>
      </x:c>
      <x:c r="E3125" s="34" t="str">
        <x:v>نتیجه آزمون و داده سنجشی</x:v>
      </x:c>
      <x:c r="F3125" s="34" t="str">
        <x:v>P3/CLARIFY</x:v>
      </x:c>
      <x:c r="G3125" s="34" t="str">
        <x:v>هدف/موضوع</x:v>
      </x:c>
      <x:c r="H3125" s="39" t="str">
        <x:v>کلیفتون 3: ایده پرداز</x:v>
      </x:c>
      <x:c r="I3125" s="39" t="str">
        <x:v>نیازمند تعریف خروجی یا پارک</x:v>
      </x:c>
      <x:c r="J3125" s="39" t="str">
        <x:v>متخصص ارزیابی؛ داده سنجشی</x:v>
      </x:c>
      <x:c r="K3125" s="39" t="str"/>
      <x:c r="L3125" s="39" t="str">
        <x:v>TEST:کلیفتون 3</x:v>
      </x:c>
      <x:c r="M3125" s="39" t="str"/>
      <x:c r="N3125" s="39" t="str">
        <x:v>نسخه پایه ۳۱۵۰</x:v>
      </x:c>
    </x:row>
    <x:row r="3126" ht="34" customHeight="1">
      <x:c r="A3126" s="34" t="str">
        <x:v>☐</x:v>
      </x:c>
      <x:c r="B3126" s="34" t="str">
        <x:v>MI-3124</x:v>
      </x:c>
      <x:c r="C3126" s="34" t="str">
        <x:v>M1 — فرد، پایه‌های عملکرد و خودشناسی</x:v>
      </x:c>
      <x:c r="D3126" s="34" t="str">
        <x:v>H22</x:v>
      </x:c>
      <x:c r="E3126" s="34" t="str">
        <x:v>نتیجه آزمون و داده سنجشی</x:v>
      </x:c>
      <x:c r="F3126" s="34" t="str">
        <x:v>P3/CLARIFY</x:v>
      </x:c>
      <x:c r="G3126" s="34" t="str">
        <x:v>هدف/موضوع</x:v>
      </x:c>
      <x:c r="H3126" s="39" t="str">
        <x:v>کلیفتون 4: فردیت بخش</x:v>
      </x:c>
      <x:c r="I3126" s="39" t="str">
        <x:v>نیازمند تعریف خروجی یا پارک</x:v>
      </x:c>
      <x:c r="J3126" s="39" t="str">
        <x:v>متخصص ارزیابی؛ داده سنجشی</x:v>
      </x:c>
      <x:c r="K3126" s="39" t="str"/>
      <x:c r="L3126" s="39" t="str">
        <x:v>TEST:کلیفتون 4</x:v>
      </x:c>
      <x:c r="M3126" s="39" t="str"/>
      <x:c r="N3126" s="39" t="str">
        <x:v>نسخه پایه ۳۱۵۰</x:v>
      </x:c>
    </x:row>
    <x:row r="3127" ht="34" customHeight="1">
      <x:c r="A3127" s="34" t="str">
        <x:v>☐</x:v>
      </x:c>
      <x:c r="B3127" s="34" t="str">
        <x:v>MI-3125</x:v>
      </x:c>
      <x:c r="C3127" s="34" t="str">
        <x:v>M1 — فرد، پایه‌های عملکرد و خودشناسی</x:v>
      </x:c>
      <x:c r="D3127" s="34" t="str">
        <x:v>H22</x:v>
      </x:c>
      <x:c r="E3127" s="34" t="str">
        <x:v>نتیجه آزمون و داده سنجشی</x:v>
      </x:c>
      <x:c r="F3127" s="34" t="str">
        <x:v>P3/CLARIFY</x:v>
      </x:c>
      <x:c r="G3127" s="34" t="str">
        <x:v>هدف/موضوع</x:v>
      </x:c>
      <x:c r="H3127" s="39" t="str">
        <x:v>کلیفتون 5: جذب کننده</x:v>
      </x:c>
      <x:c r="I3127" s="39" t="str">
        <x:v>نیازمند تعریف خروجی یا پارک</x:v>
      </x:c>
      <x:c r="J3127" s="39" t="str">
        <x:v>متخصص ارزیابی؛ داده سنجشی</x:v>
      </x:c>
      <x:c r="K3127" s="39" t="str"/>
      <x:c r="L3127" s="39" t="str">
        <x:v>TEST:کلیفتون 5</x:v>
      </x:c>
      <x:c r="M3127" s="39" t="str"/>
      <x:c r="N3127" s="39" t="str">
        <x:v>نسخه پایه ۳۱۵۰</x:v>
      </x:c>
    </x:row>
    <x:row r="3128" ht="34" customHeight="1">
      <x:c r="A3128" s="34" t="str">
        <x:v>☐</x:v>
      </x:c>
      <x:c r="B3128" s="34" t="str">
        <x:v>MI-3126</x:v>
      </x:c>
      <x:c r="C3128" s="34" t="str">
        <x:v>M1 — فرد، پایه‌های عملکرد و خودشناسی</x:v>
      </x:c>
      <x:c r="D3128" s="34" t="str">
        <x:v>H22</x:v>
      </x:c>
      <x:c r="E3128" s="34" t="str">
        <x:v>نتیجه آزمون و داده سنجشی</x:v>
      </x:c>
      <x:c r="F3128" s="34" t="str">
        <x:v>P3/CLARIFY</x:v>
      </x:c>
      <x:c r="G3128" s="34" t="str">
        <x:v>هدف/موضوع</x:v>
      </x:c>
      <x:c r="H3128" s="39" t="str">
        <x:v>گاردنر موسیقیایی: 50</x:v>
      </x:c>
      <x:c r="I3128" s="39" t="str">
        <x:v>نیازمند تعریف خروجی یا پارک</x:v>
      </x:c>
      <x:c r="J3128" s="39" t="str">
        <x:v>متخصص ارزیابی؛ داده سنجشی</x:v>
      </x:c>
      <x:c r="K3128" s="39" t="str"/>
      <x:c r="L3128" s="39" t="str">
        <x:v>TEST:گاردنر موسیقیایی</x:v>
      </x:c>
      <x:c r="M3128" s="39" t="str"/>
      <x:c r="N3128" s="39" t="str">
        <x:v>نسخه پایه ۳۱۵۰</x:v>
      </x:c>
    </x:row>
    <x:row r="3129" ht="34" customHeight="1">
      <x:c r="A3129" s="34" t="str">
        <x:v>☐</x:v>
      </x:c>
      <x:c r="B3129" s="34" t="str">
        <x:v>MI-3127</x:v>
      </x:c>
      <x:c r="C3129" s="34" t="str">
        <x:v>M1 — فرد، پایه‌های عملکرد و خودشناسی</x:v>
      </x:c>
      <x:c r="D3129" s="34" t="str">
        <x:v>H22</x:v>
      </x:c>
      <x:c r="E3129" s="34" t="str">
        <x:v>نتیجه آزمون و داده سنجشی</x:v>
      </x:c>
      <x:c r="F3129" s="34" t="str">
        <x:v>P3/CLARIFY</x:v>
      </x:c>
      <x:c r="G3129" s="34" t="str">
        <x:v>هدف/موضوع</x:v>
      </x:c>
      <x:c r="H3129" s="39" t="str">
        <x:v>گاردنر طبیعت گرا: 62.5</x:v>
      </x:c>
      <x:c r="I3129" s="39" t="str">
        <x:v>نیازمند تعریف خروجی یا پارک</x:v>
      </x:c>
      <x:c r="J3129" s="39" t="str">
        <x:v>متخصص ارزیابی؛ داده سنجشی</x:v>
      </x:c>
      <x:c r="K3129" s="39" t="str"/>
      <x:c r="L3129" s="39" t="str">
        <x:v>TEST:گاردنر طبیعت گرا</x:v>
      </x:c>
      <x:c r="M3129" s="39" t="str"/>
      <x:c r="N3129" s="39" t="str">
        <x:v>نسخه پایه ۳۱۵۰</x:v>
      </x:c>
    </x:row>
    <x:row r="3130" ht="34" customHeight="1">
      <x:c r="A3130" s="34" t="str">
        <x:v>☐</x:v>
      </x:c>
      <x:c r="B3130" s="34" t="str">
        <x:v>MI-3128</x:v>
      </x:c>
      <x:c r="C3130" s="34" t="str">
        <x:v>M1 — فرد، پایه‌های عملکرد و خودشناسی</x:v>
      </x:c>
      <x:c r="D3130" s="34" t="str">
        <x:v>H22</x:v>
      </x:c>
      <x:c r="E3130" s="34" t="str">
        <x:v>نتیجه آزمون و داده سنجشی</x:v>
      </x:c>
      <x:c r="F3130" s="34" t="str">
        <x:v>P3/CLARIFY</x:v>
      </x:c>
      <x:c r="G3130" s="34" t="str">
        <x:v>هدف/موضوع</x:v>
      </x:c>
      <x:c r="H3130" s="39" t="str">
        <x:v>گاردنر ریاضی-منطقی: 62.5</x:v>
      </x:c>
      <x:c r="I3130" s="39" t="str">
        <x:v>نیازمند تعریف خروجی یا پارک</x:v>
      </x:c>
      <x:c r="J3130" s="39" t="str">
        <x:v>متخصص ارزیابی؛ داده سنجشی</x:v>
      </x:c>
      <x:c r="K3130" s="39" t="str"/>
      <x:c r="L3130" s="39" t="str">
        <x:v>TEST:گاردنر ریاضی-منطقی</x:v>
      </x:c>
      <x:c r="M3130" s="39" t="str"/>
      <x:c r="N3130" s="39" t="str">
        <x:v>نسخه پایه ۳۱۵۰</x:v>
      </x:c>
    </x:row>
    <x:row r="3131" ht="34" customHeight="1">
      <x:c r="A3131" s="34" t="str">
        <x:v>☐</x:v>
      </x:c>
      <x:c r="B3131" s="34" t="str">
        <x:v>MI-3129</x:v>
      </x:c>
      <x:c r="C3131" s="34" t="str">
        <x:v>M1 — فرد، پایه‌های عملکرد و خودشناسی</x:v>
      </x:c>
      <x:c r="D3131" s="34" t="str">
        <x:v>H22</x:v>
      </x:c>
      <x:c r="E3131" s="34" t="str">
        <x:v>نتیجه آزمون و داده سنجشی</x:v>
      </x:c>
      <x:c r="F3131" s="34" t="str">
        <x:v>P3/CLARIFY</x:v>
      </x:c>
      <x:c r="G3131" s="34" t="str">
        <x:v>هدف/موضوع</x:v>
      </x:c>
      <x:c r="H3131" s="39" t="str">
        <x:v>گاردنر معناگرا: 67.5</x:v>
      </x:c>
      <x:c r="I3131" s="39" t="str">
        <x:v>نیازمند تعریف خروجی یا پارک</x:v>
      </x:c>
      <x:c r="J3131" s="39" t="str">
        <x:v>متخصص ارزیابی؛ داده سنجشی</x:v>
      </x:c>
      <x:c r="K3131" s="39" t="str"/>
      <x:c r="L3131" s="39" t="str">
        <x:v>TEST:گاردنر معناگرا</x:v>
      </x:c>
      <x:c r="M3131" s="39" t="str"/>
      <x:c r="N3131" s="39" t="str">
        <x:v>نسخه پایه ۳۱۵۰</x:v>
      </x:c>
    </x:row>
    <x:row r="3132" ht="34" customHeight="1">
      <x:c r="A3132" s="34" t="str">
        <x:v>☐</x:v>
      </x:c>
      <x:c r="B3132" s="34" t="str">
        <x:v>MI-3130</x:v>
      </x:c>
      <x:c r="C3132" s="34" t="str">
        <x:v>M1 — فرد، پایه‌های عملکرد و خودشناسی</x:v>
      </x:c>
      <x:c r="D3132" s="34" t="str">
        <x:v>H22</x:v>
      </x:c>
      <x:c r="E3132" s="34" t="str">
        <x:v>نتیجه آزمون و داده سنجشی</x:v>
      </x:c>
      <x:c r="F3132" s="34" t="str">
        <x:v>P3/CLARIFY</x:v>
      </x:c>
      <x:c r="G3132" s="34" t="str">
        <x:v>هدف/موضوع</x:v>
      </x:c>
      <x:c r="H3132" s="39" t="str">
        <x:v>گاردنر بین فردی: 75</x:v>
      </x:c>
      <x:c r="I3132" s="39" t="str">
        <x:v>نیازمند تعریف خروجی یا پارک</x:v>
      </x:c>
      <x:c r="J3132" s="39" t="str">
        <x:v>متخصص ارزیابی؛ داده سنجشی</x:v>
      </x:c>
      <x:c r="K3132" s="39" t="str"/>
      <x:c r="L3132" s="39" t="str">
        <x:v>TEST:گاردنر بین فردی</x:v>
      </x:c>
      <x:c r="M3132" s="39" t="str"/>
      <x:c r="N3132" s="39" t="str">
        <x:v>نسخه پایه ۳۱۵۰</x:v>
      </x:c>
    </x:row>
    <x:row r="3133" ht="34" customHeight="1">
      <x:c r="A3133" s="34" t="str">
        <x:v>☐</x:v>
      </x:c>
      <x:c r="B3133" s="34" t="str">
        <x:v>MI-3131</x:v>
      </x:c>
      <x:c r="C3133" s="34" t="str">
        <x:v>M1 — فرد، پایه‌های عملکرد و خودشناسی</x:v>
      </x:c>
      <x:c r="D3133" s="34" t="str">
        <x:v>H22</x:v>
      </x:c>
      <x:c r="E3133" s="34" t="str">
        <x:v>نتیجه آزمون و داده سنجشی</x:v>
      </x:c>
      <x:c r="F3133" s="34" t="str">
        <x:v>P3/CLARIFY</x:v>
      </x:c>
      <x:c r="G3133" s="34" t="str">
        <x:v>هدف/موضوع</x:v>
      </x:c>
      <x:c r="H3133" s="39" t="str">
        <x:v>گاردنر بدنی-جنبشی: 67.5</x:v>
      </x:c>
      <x:c r="I3133" s="39" t="str">
        <x:v>نیازمند تعریف خروجی یا پارک</x:v>
      </x:c>
      <x:c r="J3133" s="39" t="str">
        <x:v>متخصص ارزیابی؛ داده سنجشی</x:v>
      </x:c>
      <x:c r="K3133" s="39" t="str"/>
      <x:c r="L3133" s="39" t="str">
        <x:v>TEST:گاردنر بدنی-جنبشی</x:v>
      </x:c>
      <x:c r="M3133" s="39" t="str"/>
      <x:c r="N3133" s="39" t="str">
        <x:v>نسخه پایه ۳۱۵۰</x:v>
      </x:c>
    </x:row>
    <x:row r="3134" ht="34" customHeight="1">
      <x:c r="A3134" s="34" t="str">
        <x:v>☐</x:v>
      </x:c>
      <x:c r="B3134" s="34" t="str">
        <x:v>MI-3132</x:v>
      </x:c>
      <x:c r="C3134" s="34" t="str">
        <x:v>M1 — فرد، پایه‌های عملکرد و خودشناسی</x:v>
      </x:c>
      <x:c r="D3134" s="34" t="str">
        <x:v>H22</x:v>
      </x:c>
      <x:c r="E3134" s="34" t="str">
        <x:v>نتیجه آزمون و داده سنجشی</x:v>
      </x:c>
      <x:c r="F3134" s="34" t="str">
        <x:v>P3/CLARIFY</x:v>
      </x:c>
      <x:c r="G3134" s="34" t="str">
        <x:v>هدف/موضوع</x:v>
      </x:c>
      <x:c r="H3134" s="39" t="str">
        <x:v>گاردنر زبانی-کلامی: 57.5</x:v>
      </x:c>
      <x:c r="I3134" s="39" t="str">
        <x:v>نیازمند تعریف خروجی یا پارک</x:v>
      </x:c>
      <x:c r="J3134" s="39" t="str">
        <x:v>متخصص ارزیابی؛ داده سنجشی</x:v>
      </x:c>
      <x:c r="K3134" s="39" t="str"/>
      <x:c r="L3134" s="39" t="str">
        <x:v>TEST:گاردنر زبانی-کلامی</x:v>
      </x:c>
      <x:c r="M3134" s="39" t="str"/>
      <x:c r="N3134" s="39" t="str">
        <x:v>نسخه پایه ۳۱۵۰</x:v>
      </x:c>
    </x:row>
    <x:row r="3135" ht="34" customHeight="1">
      <x:c r="A3135" s="34" t="str">
        <x:v>☐</x:v>
      </x:c>
      <x:c r="B3135" s="34" t="str">
        <x:v>MI-3133</x:v>
      </x:c>
      <x:c r="C3135" s="34" t="str">
        <x:v>M1 — فرد، پایه‌های عملکرد و خودشناسی</x:v>
      </x:c>
      <x:c r="D3135" s="34" t="str">
        <x:v>H22</x:v>
      </x:c>
      <x:c r="E3135" s="34" t="str">
        <x:v>نتیجه آزمون و داده سنجشی</x:v>
      </x:c>
      <x:c r="F3135" s="34" t="str">
        <x:v>P3/CLARIFY</x:v>
      </x:c>
      <x:c r="G3135" s="34" t="str">
        <x:v>هدف/موضوع</x:v>
      </x:c>
      <x:c r="H3135" s="39" t="str">
        <x:v>گاردنر درون فردی: 72.5</x:v>
      </x:c>
      <x:c r="I3135" s="39" t="str">
        <x:v>نیازمند تعریف خروجی یا پارک</x:v>
      </x:c>
      <x:c r="J3135" s="39" t="str">
        <x:v>متخصص ارزیابی؛ داده سنجشی</x:v>
      </x:c>
      <x:c r="K3135" s="39" t="str"/>
      <x:c r="L3135" s="39" t="str">
        <x:v>TEST:گاردنر درون فردی</x:v>
      </x:c>
      <x:c r="M3135" s="39" t="str"/>
      <x:c r="N3135" s="39" t="str">
        <x:v>نسخه پایه ۳۱۵۰</x:v>
      </x:c>
    </x:row>
    <x:row r="3136" ht="34" customHeight="1">
      <x:c r="A3136" s="34" t="str">
        <x:v>☐</x:v>
      </x:c>
      <x:c r="B3136" s="34" t="str">
        <x:v>MI-3134</x:v>
      </x:c>
      <x:c r="C3136" s="34" t="str">
        <x:v>M1 — فرد، پایه‌های عملکرد و خودشناسی</x:v>
      </x:c>
      <x:c r="D3136" s="34" t="str">
        <x:v>H22</x:v>
      </x:c>
      <x:c r="E3136" s="34" t="str">
        <x:v>نتیجه آزمون و داده سنجشی</x:v>
      </x:c>
      <x:c r="F3136" s="34" t="str">
        <x:v>P3/CLARIFY</x:v>
      </x:c>
      <x:c r="G3136" s="34" t="str">
        <x:v>هدف/موضوع</x:v>
      </x:c>
      <x:c r="H3136" s="39" t="str">
        <x:v>گاردنر بصری-فضایی: 60</x:v>
      </x:c>
      <x:c r="I3136" s="39" t="str">
        <x:v>نیازمند تعریف خروجی یا پارک</x:v>
      </x:c>
      <x:c r="J3136" s="39" t="str">
        <x:v>متخصص ارزیابی؛ داده سنجشی</x:v>
      </x:c>
      <x:c r="K3136" s="39" t="str"/>
      <x:c r="L3136" s="39" t="str">
        <x:v>TEST:گاردنر بصری-فضایی</x:v>
      </x:c>
      <x:c r="M3136" s="39" t="str"/>
      <x:c r="N3136" s="39" t="str">
        <x:v>نسخه پایه ۳۱۵۰</x:v>
      </x:c>
    </x:row>
    <x:row r="3137" ht="34" customHeight="1">
      <x:c r="A3137" s="34" t="str">
        <x:v>☐</x:v>
      </x:c>
      <x:c r="B3137" s="34" t="str">
        <x:v>MI-3135</x:v>
      </x:c>
      <x:c r="C3137" s="34" t="str">
        <x:v>M1 — فرد، پایه‌های عملکرد و خودشناسی</x:v>
      </x:c>
      <x:c r="D3137" s="34" t="str">
        <x:v>H22</x:v>
      </x:c>
      <x:c r="E3137" s="34" t="str">
        <x:v>نتیجه آزمون و داده سنجشی</x:v>
      </x:c>
      <x:c r="F3137" s="34" t="str">
        <x:v>P3/CLARIFY</x:v>
      </x:c>
      <x:c r="G3137" s="34" t="str">
        <x:v>هدف/موضوع</x:v>
      </x:c>
      <x:c r="H3137" s="39" t="str">
        <x:v>هالند رقابتی/متقاعدکننده: 75</x:v>
      </x:c>
      <x:c r="I3137" s="39" t="str">
        <x:v>نیازمند تعریف خروجی یا پارک</x:v>
      </x:c>
      <x:c r="J3137" s="39" t="str">
        <x:v>متخصص ارزیابی؛ داده سنجشی</x:v>
      </x:c>
      <x:c r="K3137" s="39" t="str"/>
      <x:c r="L3137" s="39" t="str">
        <x:v>TEST:هالند رقابتی/متقاعدکننده</x:v>
      </x:c>
      <x:c r="M3137" s="39" t="str"/>
      <x:c r="N3137" s="39" t="str">
        <x:v>نسخه پایه ۳۱۵۰</x:v>
      </x:c>
    </x:row>
    <x:row r="3138" ht="34" customHeight="1">
      <x:c r="A3138" s="34" t="str">
        <x:v>☐</x:v>
      </x:c>
      <x:c r="B3138" s="34" t="str">
        <x:v>MI-3137</x:v>
      </x:c>
      <x:c r="C3138" s="34" t="str">
        <x:v>M1 — فرد، پایه‌های عملکرد و خودشناسی</x:v>
      </x:c>
      <x:c r="D3138" s="34" t="str">
        <x:v>H22</x:v>
      </x:c>
      <x:c r="E3138" s="34" t="str">
        <x:v>نتیجه آزمون و داده سنجشی</x:v>
      </x:c>
      <x:c r="F3138" s="34" t="str">
        <x:v>P3/CLARIFY</x:v>
      </x:c>
      <x:c r="G3138" s="34" t="str">
        <x:v>هدف/موضوع</x:v>
      </x:c>
      <x:c r="H3138" s="39" t="str">
        <x:v>هالند واقع‌گرا/عمل‌گرا: 37.5</x:v>
      </x:c>
      <x:c r="I3138" s="39" t="str">
        <x:v>نیازمند تعریف خروجی یا پارک</x:v>
      </x:c>
      <x:c r="J3138" s="39" t="str">
        <x:v>متخصص ارزیابی؛ داده سنجشی</x:v>
      </x:c>
      <x:c r="K3138" s="39" t="str"/>
      <x:c r="L3138" s="39" t="str">
        <x:v>TEST:هالند واقع‌گرا/عمل‌گرا</x:v>
      </x:c>
      <x:c r="M3138" s="39" t="str"/>
      <x:c r="N3138" s="39" t="str">
        <x:v>نسخه پایه ۳۱۵۰</x:v>
      </x:c>
    </x:row>
    <x:row r="3139" ht="34" customHeight="1">
      <x:c r="A3139" s="34" t="str">
        <x:v>☐</x:v>
      </x:c>
      <x:c r="B3139" s="34" t="str">
        <x:v>MI-3139</x:v>
      </x:c>
      <x:c r="C3139" s="34" t="str">
        <x:v>M1 — فرد، پایه‌های عملکرد و خودشناسی</x:v>
      </x:c>
      <x:c r="D3139" s="34" t="str">
        <x:v>H22</x:v>
      </x:c>
      <x:c r="E3139" s="34" t="str">
        <x:v>نتیجه آزمون و داده سنجشی</x:v>
      </x:c>
      <x:c r="F3139" s="34" t="str">
        <x:v>P3/CLARIFY</x:v>
      </x:c>
      <x:c r="G3139" s="34" t="str">
        <x:v>هدف/موضوع</x:v>
      </x:c>
      <x:c r="H3139" s="39" t="str">
        <x:v>هالند هنری/خلاق: 50</x:v>
      </x:c>
      <x:c r="I3139" s="39" t="str">
        <x:v>نیازمند تعریف خروجی یا پارک</x:v>
      </x:c>
      <x:c r="J3139" s="39" t="str">
        <x:v>متخصص ارزیابی؛ داده سنجشی</x:v>
      </x:c>
      <x:c r="K3139" s="39" t="str"/>
      <x:c r="L3139" s="39" t="str">
        <x:v>TEST:هالند هنری/خلاق</x:v>
      </x:c>
      <x:c r="M3139" s="39" t="str"/>
      <x:c r="N3139" s="39" t="str">
        <x:v>نسخه پایه ۳۱۵۰</x:v>
      </x:c>
    </x:row>
    <x:row r="3140" ht="34" customHeight="1">
      <x:c r="A3140" s="34" t="str">
        <x:v>☐</x:v>
      </x:c>
      <x:c r="B3140" s="34" t="str">
        <x:v>MI-3140</x:v>
      </x:c>
      <x:c r="C3140" s="34" t="str">
        <x:v>M1 — فرد، پایه‌های عملکرد و خودشناسی</x:v>
      </x:c>
      <x:c r="D3140" s="34" t="str">
        <x:v>H22</x:v>
      </x:c>
      <x:c r="E3140" s="34" t="str">
        <x:v>نتیجه آزمون و داده سنجشی</x:v>
      </x:c>
      <x:c r="F3140" s="34" t="str">
        <x:v>P3/CLARIFY</x:v>
      </x:c>
      <x:c r="G3140" s="34" t="str">
        <x:v>هدف/موضوع</x:v>
      </x:c>
      <x:c r="H3140" s="39" t="str">
        <x:v>هالند جستجوگر/متفکر: 25</x:v>
      </x:c>
      <x:c r="I3140" s="39" t="str">
        <x:v>نیازمند تعریف خروجی یا پارک</x:v>
      </x:c>
      <x:c r="J3140" s="39" t="str">
        <x:v>متخصص ارزیابی؛ داده سنجشی</x:v>
      </x:c>
      <x:c r="K3140" s="39" t="str"/>
      <x:c r="L3140" s="39" t="str">
        <x:v>TEST:هالند جستجوگر/متفکر</x:v>
      </x:c>
      <x:c r="M3140" s="39" t="str"/>
      <x:c r="N3140" s="39" t="str">
        <x:v>نسخه پایه ۳۱۵۰</x:v>
      </x:c>
    </x:row>
    <x:row r="3141" ht="34" customHeight="1">
      <x:c r="A3141" s="34" t="str">
        <x:v>☐</x:v>
      </x:c>
      <x:c r="B3141" s="34" t="str">
        <x:v>MI-3141</x:v>
      </x:c>
      <x:c r="C3141" s="34" t="str">
        <x:v>M1 — فرد، پایه‌های عملکرد و خودشناسی</x:v>
      </x:c>
      <x:c r="D3141" s="34" t="str">
        <x:v>H22</x:v>
      </x:c>
      <x:c r="E3141" s="34" t="str">
        <x:v>نتیجه آزمون و داده سنجشی</x:v>
      </x:c>
      <x:c r="F3141" s="34" t="str">
        <x:v>P3/CLARIFY</x:v>
      </x:c>
      <x:c r="G3141" s="34" t="str">
        <x:v>هدف/موضوع</x:v>
      </x:c>
      <x:c r="H3141" s="39" t="str">
        <x:v>ارزش 1: معنویت</x:v>
      </x:c>
      <x:c r="I3141" s="39" t="str">
        <x:v>نیازمند تعریف خروجی یا پارک</x:v>
      </x:c>
      <x:c r="J3141" s="39" t="str">
        <x:v>متخصص ارزیابی؛ داده سنجشی</x:v>
      </x:c>
      <x:c r="K3141" s="39" t="str"/>
      <x:c r="L3141" s="39" t="str">
        <x:v>TEST:ارزش 1</x:v>
      </x:c>
      <x:c r="M3141" s="39" t="str"/>
      <x:c r="N3141" s="39" t="str">
        <x:v>نسخه پایه ۳۱۵۰</x:v>
      </x:c>
    </x:row>
    <x:row r="3142" ht="34" customHeight="1">
      <x:c r="A3142" s="34" t="str">
        <x:v>☐</x:v>
      </x:c>
      <x:c r="B3142" s="34" t="str">
        <x:v>MI-3142</x:v>
      </x:c>
      <x:c r="C3142" s="34" t="str">
        <x:v>M1 — فرد، پایه‌های عملکرد و خودشناسی</x:v>
      </x:c>
      <x:c r="D3142" s="34" t="str">
        <x:v>H22</x:v>
      </x:c>
      <x:c r="E3142" s="34" t="str">
        <x:v>نتیجه آزمون و داده سنجشی</x:v>
      </x:c>
      <x:c r="F3142" s="34" t="str">
        <x:v>P3/CLARIFY</x:v>
      </x:c>
      <x:c r="G3142" s="34" t="str">
        <x:v>هدف/موضوع</x:v>
      </x:c>
      <x:c r="H3142" s="39" t="str">
        <x:v>ارزش 2: صداقت</x:v>
      </x:c>
      <x:c r="I3142" s="39" t="str">
        <x:v>نیازمند تعریف خروجی یا پارک</x:v>
      </x:c>
      <x:c r="J3142" s="39" t="str">
        <x:v>متخصص ارزیابی؛ داده سنجشی</x:v>
      </x:c>
      <x:c r="K3142" s="39" t="str"/>
      <x:c r="L3142" s="39" t="str">
        <x:v>TEST:ارزش 2</x:v>
      </x:c>
      <x:c r="M3142" s="39" t="str"/>
      <x:c r="N3142" s="39" t="str">
        <x:v>نسخه پایه ۳۱۵۰</x:v>
      </x:c>
    </x:row>
    <x:row r="3143" ht="34" customHeight="1">
      <x:c r="A3143" s="34" t="str">
        <x:v>☐</x:v>
      </x:c>
      <x:c r="B3143" s="34" t="str">
        <x:v>MI-3143</x:v>
      </x:c>
      <x:c r="C3143" s="34" t="str">
        <x:v>M1 — فرد، پایه‌های عملکرد و خودشناسی</x:v>
      </x:c>
      <x:c r="D3143" s="34" t="str">
        <x:v>H22</x:v>
      </x:c>
      <x:c r="E3143" s="34" t="str">
        <x:v>نتیجه آزمون و داده سنجشی</x:v>
      </x:c>
      <x:c r="F3143" s="34" t="str">
        <x:v>P3/CLARIFY</x:v>
      </x:c>
      <x:c r="G3143" s="34" t="str">
        <x:v>هدف/موضوع</x:v>
      </x:c>
      <x:c r="H3143" s="39" t="str">
        <x:v>ارزش 3: قدرت</x:v>
      </x:c>
      <x:c r="I3143" s="39" t="str">
        <x:v>نیازمند تعریف خروجی یا پارک</x:v>
      </x:c>
      <x:c r="J3143" s="39" t="str">
        <x:v>متخصص ارزیابی؛ داده سنجشی</x:v>
      </x:c>
      <x:c r="K3143" s="39" t="str"/>
      <x:c r="L3143" s="39" t="str">
        <x:v>TEST:ارزش 3</x:v>
      </x:c>
      <x:c r="M3143" s="39" t="str"/>
      <x:c r="N3143" s="39" t="str">
        <x:v>نسخه پایه ۳۱۵۰</x:v>
      </x:c>
    </x:row>
    <x:row r="3144" ht="34" customHeight="1">
      <x:c r="A3144" s="34" t="str">
        <x:v>☐</x:v>
      </x:c>
      <x:c r="B3144" s="34" t="str">
        <x:v>MI-3144</x:v>
      </x:c>
      <x:c r="C3144" s="34" t="str">
        <x:v>M1 — فرد، پایه‌های عملکرد و خودشناسی</x:v>
      </x:c>
      <x:c r="D3144" s="34" t="str">
        <x:v>H22</x:v>
      </x:c>
      <x:c r="E3144" s="34" t="str">
        <x:v>نتیجه آزمون و داده سنجشی</x:v>
      </x:c>
      <x:c r="F3144" s="34" t="str">
        <x:v>P3/CLARIFY</x:v>
      </x:c>
      <x:c r="G3144" s="34" t="str">
        <x:v>هدف/موضوع</x:v>
      </x:c>
      <x:c r="H3144" s="39" t="str">
        <x:v>ارزش 4: خلاقیت</x:v>
      </x:c>
      <x:c r="I3144" s="39" t="str">
        <x:v>نیازمند تعریف خروجی یا پارک</x:v>
      </x:c>
      <x:c r="J3144" s="39" t="str">
        <x:v>متخصص ارزیابی؛ داده سنجشی</x:v>
      </x:c>
      <x:c r="K3144" s="39" t="str"/>
      <x:c r="L3144" s="39" t="str">
        <x:v>TEST:ارزش 4</x:v>
      </x:c>
      <x:c r="M3144" s="39" t="str"/>
      <x:c r="N3144" s="39" t="str">
        <x:v>نسخه پایه ۳۱۵۰</x:v>
      </x:c>
    </x:row>
    <x:row r="3145" ht="34" customHeight="1">
      <x:c r="A3145" s="34" t="str">
        <x:v>☐</x:v>
      </x:c>
      <x:c r="B3145" s="34" t="str">
        <x:v>MI-3145</x:v>
      </x:c>
      <x:c r="C3145" s="34" t="str">
        <x:v>M1 — فرد، پایه‌های عملکرد و خودشناسی</x:v>
      </x:c>
      <x:c r="D3145" s="34" t="str">
        <x:v>H22</x:v>
      </x:c>
      <x:c r="E3145" s="34" t="str">
        <x:v>نتیجه آزمون و داده سنجشی</x:v>
      </x:c>
      <x:c r="F3145" s="34" t="str">
        <x:v>P3/CLARIFY</x:v>
      </x:c>
      <x:c r="G3145" s="34" t="str">
        <x:v>هدف/موضوع</x:v>
      </x:c>
      <x:c r="H3145" s="39" t="str">
        <x:v>ارزش 5: کنجکاو</x:v>
      </x:c>
      <x:c r="I3145" s="39" t="str">
        <x:v>نیازمند تعریف خروجی یا پارک</x:v>
      </x:c>
      <x:c r="J3145" s="39" t="str">
        <x:v>متخصص ارزیابی؛ داده سنجشی</x:v>
      </x:c>
      <x:c r="K3145" s="39" t="str"/>
      <x:c r="L3145" s="39" t="str">
        <x:v>TEST:ارزش 5</x:v>
      </x:c>
      <x:c r="M3145" s="39" t="str"/>
      <x:c r="N3145" s="39" t="str">
        <x:v>نسخه پایه ۳۱۵۰</x:v>
      </x:c>
    </x:row>
    <x:row r="3146" ht="34" customHeight="1">
      <x:c r="A3146" s="34" t="str">
        <x:v>☐</x:v>
      </x:c>
      <x:c r="B3146" s="34" t="str">
        <x:v>MI-3146</x:v>
      </x:c>
      <x:c r="C3146" s="34" t="str">
        <x:v>M1 — فرد، پایه‌های عملکرد و خودشناسی</x:v>
      </x:c>
      <x:c r="D3146" s="34" t="str">
        <x:v>H22</x:v>
      </x:c>
      <x:c r="E3146" s="34" t="str">
        <x:v>نتیجه آزمون و داده سنجشی</x:v>
      </x:c>
      <x:c r="F3146" s="34" t="str">
        <x:v>P3/CLARIFY</x:v>
      </x:c>
      <x:c r="G3146" s="34" t="str">
        <x:v>هدف/موضوع</x:v>
      </x:c>
      <x:c r="H3146" s="39" t="str">
        <x:v>ارزش 6: آزادی-استقلال</x:v>
      </x:c>
      <x:c r="I3146" s="39" t="str">
        <x:v>نیازمند تعریف خروجی یا پارک</x:v>
      </x:c>
      <x:c r="J3146" s="39" t="str">
        <x:v>متخصص ارزیابی؛ داده سنجشی</x:v>
      </x:c>
      <x:c r="K3146" s="39" t="str"/>
      <x:c r="L3146" s="39" t="str">
        <x:v>TEST:ارزش 6</x:v>
      </x:c>
      <x:c r="M3146" s="39" t="str"/>
      <x:c r="N3146" s="39" t="str">
        <x:v>نسخه پایه ۳۱۵۰</x:v>
      </x:c>
    </x:row>
    <x:row r="3147" ht="34" customHeight="1">
      <x:c r="A3147" s="34" t="str">
        <x:v>☐</x:v>
      </x:c>
      <x:c r="B3147" s="34" t="str">
        <x:v>MI-3148</x:v>
      </x:c>
      <x:c r="C3147" s="34" t="str">
        <x:v>M1 — فرد، پایه‌های عملکرد و خودشناسی</x:v>
      </x:c>
      <x:c r="D3147" s="34" t="str">
        <x:v>H22</x:v>
      </x:c>
      <x:c r="E3147" s="34" t="str">
        <x:v>نتیجه آزمون و داده سنجشی</x:v>
      </x:c>
      <x:c r="F3147" s="34" t="str">
        <x:v>P3/CLARIFY</x:v>
      </x:c>
      <x:c r="G3147" s="34" t="str">
        <x:v>هدف/موضوع</x:v>
      </x:c>
      <x:c r="H3147" s="39" t="str">
        <x:v>ارزش 8: همکاری و مشارکت</x:v>
      </x:c>
      <x:c r="I3147" s="39" t="str">
        <x:v>نیازمند تعریف خروجی یا پارک</x:v>
      </x:c>
      <x:c r="J3147" s="39" t="str">
        <x:v>متخصص ارزیابی؛ داده سنجشی</x:v>
      </x:c>
      <x:c r="K3147" s="39" t="str"/>
      <x:c r="L3147" s="39" t="str">
        <x:v>TEST:ارزش 8</x:v>
      </x:c>
      <x:c r="M3147" s="39" t="str"/>
      <x:c r="N3147" s="39" t="str">
        <x:v>نسخه پایه ۳۱۵۰</x:v>
      </x:c>
    </x:row>
    <x:row r="3148" ht="34" customHeight="1">
      <x:c r="A3148" s="34" t="str">
        <x:v>☐</x:v>
      </x:c>
      <x:c r="B3148" s="34" t="str">
        <x:v>MI-3149</x:v>
      </x:c>
      <x:c r="C3148" s="34" t="str">
        <x:v>M1 — فرد، پایه‌های عملکرد و خودشناسی</x:v>
      </x:c>
      <x:c r="D3148" s="34" t="str">
        <x:v>H22</x:v>
      </x:c>
      <x:c r="E3148" s="34" t="str">
        <x:v>نتیجه آزمون و داده سنجشی</x:v>
      </x:c>
      <x:c r="F3148" s="34" t="str">
        <x:v>P3/CLARIFY</x:v>
      </x:c>
      <x:c r="G3148" s="34" t="str">
        <x:v>هدف/موضوع</x:v>
      </x:c>
      <x:c r="H3148" s="39" t="str">
        <x:v>ارزش 9: دستاورد</x:v>
      </x:c>
      <x:c r="I3148" s="39" t="str">
        <x:v>نیازمند تعریف خروجی یا پارک</x:v>
      </x:c>
      <x:c r="J3148" s="39" t="str">
        <x:v>متخصص ارزیابی؛ داده سنجشی</x:v>
      </x:c>
      <x:c r="K3148" s="39" t="str"/>
      <x:c r="L3148" s="39" t="str">
        <x:v>TEST:ارزش 9</x:v>
      </x:c>
      <x:c r="M3148" s="39" t="str"/>
      <x:c r="N3148" s="39" t="str">
        <x:v>نسخه پایه ۳۱۵۰</x:v>
      </x:c>
    </x:row>
    <x:row r="3149" ht="34" customHeight="1">
      <x:c r="A3149" s="34" t="str">
        <x:v>☐</x:v>
      </x:c>
      <x:c r="B3149" s="34" t="str">
        <x:v>MI-3150</x:v>
      </x:c>
      <x:c r="C3149" s="34" t="str">
        <x:v>M1 — فرد، پایه‌های عملکرد و خودشناسی</x:v>
      </x:c>
      <x:c r="D3149" s="34" t="str">
        <x:v>H22</x:v>
      </x:c>
      <x:c r="E3149" s="34" t="str">
        <x:v>نتیجه آزمون و داده سنجشی</x:v>
      </x:c>
      <x:c r="F3149" s="34" t="str">
        <x:v>P3/CLARIFY</x:v>
      </x:c>
      <x:c r="G3149" s="34" t="str">
        <x:v>هدف/موضوع</x:v>
      </x:c>
      <x:c r="H3149" s="39" t="str">
        <x:v>ارزش 10: حمایتگر</x:v>
      </x:c>
      <x:c r="I3149" s="39" t="str">
        <x:v>نیازمند تعریف خروجی یا پارک</x:v>
      </x:c>
      <x:c r="J3149" s="39" t="str">
        <x:v>متخصص ارزیابی؛ داده سنجشی</x:v>
      </x:c>
      <x:c r="K3149" s="39" t="str"/>
      <x:c r="L3149" s="39" t="str">
        <x:v>TEST:ارزش 10</x:v>
      </x:c>
      <x:c r="M3149" s="39" t="str"/>
      <x:c r="N3149" s="39" t="str">
        <x:v>نسخه پایه ۳۱۵۰</x:v>
      </x:c>
    </x:row>
    <x:row r="3150" ht="34" customHeight="1">
      <x:c r="A3150" s="34" t="str">
        <x:v>☐</x:v>
      </x:c>
      <x:c r="B3150" s="34" t="str">
        <x:v>MI-1132</x:v>
      </x:c>
      <x:c r="C3150" s="34" t="str">
        <x:v>M6 — تحلیل‌های خام و ورودی‌های نیازمند پالایش</x:v>
      </x:c>
      <x:c r="D3150" s="34" t="str">
        <x:v>H23</x:v>
      </x:c>
      <x:c r="E3150" s="34" t="str">
        <x:v>عنوان/موضوع عمومی نیازمند تعریف خروجی</x:v>
      </x:c>
      <x:c r="F3150" s="34" t="str">
        <x:v>P3/CLARIFY</x:v>
      </x:c>
      <x:c r="G3150" s="34" t="str">
        <x:v>اقدام اجرایی</x:v>
      </x:c>
      <x:c r="H3150" s="39" t="str">
        <x:v>در برنامه های همه حضور داشته باشید، از اونها دعوت کنید که بیان و در برنامه های ما باشن</x:v>
      </x:c>
      <x:c r="I3150" s="39" t="str">
        <x:v>نیازمند تعریف خروجی یا پارک</x:v>
      </x:c>
      <x:c r="J3150" s="39" t="str">
        <x:v>PMO/کوچ؛ شفاف‌سازی قبل از ورود به WIP</x:v>
      </x:c>
      <x:c r="K3150" s="39" t="str"/>
      <x:c r="L3150" s="39" t="str">
        <x:v>AP:P981</x:v>
      </x:c>
      <x:c r="M3150" s="39" t="str"/>
      <x:c r="N3150" s="39" t="str">
        <x:v>نسخه پایه ۳۱۵۰</x:v>
      </x:c>
    </x:row>
    <x:row r="3151" ht="34" customHeight="1">
      <x:c r="A3151" s="34" t="str">
        <x:v>☐</x:v>
      </x:c>
      <x:c r="B3151" s="34" t="str">
        <x:v>MI-1139</x:v>
      </x:c>
      <x:c r="C3151" s="34" t="str">
        <x:v>M6 — تحلیل‌های خام و ورودی‌های نیازمند پالایش</x:v>
      </x:c>
      <x:c r="D3151" s="34" t="str">
        <x:v>H23</x:v>
      </x:c>
      <x:c r="E3151" s="34" t="str">
        <x:v>عنوان/موضوع عمومی نیازمند تعریف خروجی</x:v>
      </x:c>
      <x:c r="F3151" s="34" t="str">
        <x:v>P3/CLARIFY</x:v>
      </x:c>
      <x:c r="G3151" s="34" t="str">
        <x:v>اقدام اجرایی</x:v>
      </x:c>
      <x:c r="H3151" s="39" t="str">
        <x:v>برگزاری مراسم در کنار مقبره شهدا</x:v>
      </x:c>
      <x:c r="I3151" s="39" t="str">
        <x:v>نیازمند تعریف خروجی یا پارک</x:v>
      </x:c>
      <x:c r="J3151" s="39" t="str">
        <x:v>PMO/کوچ؛ شفاف‌سازی قبل از ورود به WIP</x:v>
      </x:c>
      <x:c r="K3151" s="39" t="str"/>
      <x:c r="L3151" s="39" t="str">
        <x:v>AP:P988</x:v>
      </x:c>
      <x:c r="M3151" s="39" t="str"/>
      <x:c r="N3151" s="39" t="str">
        <x:v>نسخه پایه ۳۱۵۰</x:v>
      </x:c>
    </x:row>
    <x:row r="3152" ht="34" customHeight="1">
      <x:c r="A3152" s="34" t="str">
        <x:v>☐</x:v>
      </x:c>
      <x:c r="B3152" s="34" t="str">
        <x:v>MI-0089</x:v>
      </x:c>
      <x:c r="C3152" s="34" t="str">
        <x:v>M6 — تحلیل‌های خام و ورودی‌های نیازمند پالایش</x:v>
      </x:c>
      <x:c r="D3152" s="34" t="str">
        <x:v>H23</x:v>
      </x:c>
      <x:c r="E3152" s="34" t="str">
        <x:v>عنوان/موضوع عمومی نیازمند تعریف خروجی</x:v>
      </x:c>
      <x:c r="F3152" s="34" t="str">
        <x:v>P3/CLARIFY</x:v>
      </x:c>
      <x:c r="G3152" s="34" t="str">
        <x:v>پروژه/طرح</x:v>
      </x:c>
      <x:c r="H3152" s="39" t="str">
        <x:v>پروژه الک سه فازی</x:v>
      </x:c>
      <x:c r="I3152" s="39" t="str">
        <x:v>نیازمند تعریف خروجی یا پارک</x:v>
      </x:c>
      <x:c r="J3152" s="39" t="str">
        <x:v>PMO/کوچ؛ شفاف‌سازی قبل از ورود به WIP</x:v>
      </x:c>
      <x:c r="K3152" s="39" t="str"/>
      <x:c r="L3152" s="39" t="str">
        <x:v>PL:R90</x:v>
      </x:c>
      <x:c r="M3152" s="39" t="str"/>
      <x:c r="N3152" s="39" t="str">
        <x:v>نسخه پایه ۳۱۵۰</x:v>
      </x:c>
    </x:row>
    <x:row r="3153" ht="34" customHeight="1">
      <x:c r="A3153" s="34" t="str">
        <x:v>☐</x:v>
      </x:c>
      <x:c r="B3153" s="34" t="str">
        <x:v>MI-0628</x:v>
      </x:c>
      <x:c r="C3153" s="34" t="str">
        <x:v>M6 — تحلیل‌های خام و ورودی‌های نیازمند پالایش</x:v>
      </x:c>
      <x:c r="D3153" s="34" t="str">
        <x:v>H23</x:v>
      </x:c>
      <x:c r="E3153" s="34" t="str">
        <x:v>عنوان/موضوع عمومی نیازمند تعریف خروجی</x:v>
      </x:c>
      <x:c r="F3153" s="34" t="str">
        <x:v>P3/CLARIFY</x:v>
      </x:c>
      <x:c r="G3153" s="34" t="str">
        <x:v>پروژه/طرح</x:v>
      </x:c>
      <x:c r="H3153" s="39" t="str">
        <x:v>سامانه اطلاع رسانی در وضعیت اینترنت ملی کامل از بین میرود.</x:v>
      </x:c>
      <x:c r="I3153" s="39" t="str">
        <x:v>نیازمند تعریف خروجی یا پارک</x:v>
      </x:c>
      <x:c r="J3153" s="39" t="str">
        <x:v>PMO/کوچ؛ شفاف‌سازی قبل از ورود به WIP</x:v>
      </x:c>
      <x:c r="K3153" s="39" t="str"/>
      <x:c r="L3153" s="39" t="str">
        <x:v>AP:P415</x:v>
      </x:c>
      <x:c r="M3153" s="39" t="str"/>
      <x:c r="N3153" s="39" t="str">
        <x:v>نسخه پایه ۳۱۵۰</x:v>
      </x:c>
    </x:row>
    <x:row r="3154" ht="34" customHeight="1">
      <x:c r="A3154" s="34" t="str">
        <x:v>☐</x:v>
      </x:c>
      <x:c r="B3154" s="34" t="str">
        <x:v>MI-0629</x:v>
      </x:c>
      <x:c r="C3154" s="34" t="str">
        <x:v>M6 — تحلیل‌های خام و ورودی‌های نیازمند پالایش</x:v>
      </x:c>
      <x:c r="D3154" s="34" t="str">
        <x:v>H23</x:v>
      </x:c>
      <x:c r="E3154" s="34" t="str">
        <x:v>عنوان/موضوع عمومی نیازمند تعریف خروجی</x:v>
      </x:c>
      <x:c r="F3154" s="34" t="str">
        <x:v>P3/CLARIFY</x:v>
      </x:c>
      <x:c r="G3154" s="34" t="str">
        <x:v>پروژه/طرح</x:v>
      </x:c>
      <x:c r="H3154" s="39" t="str">
        <x:v>سامانه آفلاین جهت اطلاع رسانی نداریم.</x:v>
      </x:c>
      <x:c r="I3154" s="39" t="str">
        <x:v>نیازمند تعریف خروجی یا پارک</x:v>
      </x:c>
      <x:c r="J3154" s="39" t="str">
        <x:v>PMO/کوچ؛ شفاف‌سازی قبل از ورود به WIP</x:v>
      </x:c>
      <x:c r="K3154" s="39" t="str"/>
      <x:c r="L3154" s="39" t="str">
        <x:v>AP:P416</x:v>
      </x:c>
      <x:c r="M3154" s="39" t="str"/>
      <x:c r="N3154" s="39" t="str">
        <x:v>نسخه پایه ۳۱۵۰</x:v>
      </x:c>
    </x:row>
    <x:row r="3155" ht="34" customHeight="1">
      <x:c r="A3155" s="34" t="str">
        <x:v>☐</x:v>
      </x:c>
      <x:c r="B3155" s="34" t="str">
        <x:v>MI-1114</x:v>
      </x:c>
      <x:c r="C3155" s="34" t="str">
        <x:v>M6 — تحلیل‌های خام و ورودی‌های نیازمند پالایش</x:v>
      </x:c>
      <x:c r="D3155" s="34" t="str">
        <x:v>H23</x:v>
      </x:c>
      <x:c r="E3155" s="34" t="str">
        <x:v>عنوان/موضوع عمومی نیازمند تعریف خروجی</x:v>
      </x:c>
      <x:c r="F3155" s="34" t="str">
        <x:v>P3/CLARIFY</x:v>
      </x:c>
      <x:c r="G3155" s="34" t="str">
        <x:v>پروژه/طرح</x:v>
      </x:c>
      <x:c r="H3155" s="39" t="str">
        <x:v>جلسه دوستان طرح حامیم:</x:v>
      </x:c>
      <x:c r="I3155" s="39" t="str">
        <x:v>نیازمند تعریف خروجی یا پارک</x:v>
      </x:c>
      <x:c r="J3155" s="39" t="str">
        <x:v>PMO/کوچ؛ شفاف‌سازی قبل از ورود به WIP</x:v>
      </x:c>
      <x:c r="K3155" s="39" t="str"/>
      <x:c r="L3155" s="39" t="str">
        <x:v>AP:P962</x:v>
      </x:c>
      <x:c r="M3155" s="39" t="str"/>
      <x:c r="N3155" s="39" t="str">
        <x:v>نسخه پایه ۳۱۵۰</x:v>
      </x:c>
    </x:row>
    <x:row r="3156" ht="34" customHeight="1">
      <x:c r="A3156" s="34" t="str">
        <x:v>☐</x:v>
      </x:c>
      <x:c r="B3156" s="34" t="str">
        <x:v>MI-1206</x:v>
      </x:c>
      <x:c r="C3156" s="34" t="str">
        <x:v>M6 — تحلیل‌های خام و ورودی‌های نیازمند پالایش</x:v>
      </x:c>
      <x:c r="D3156" s="34" t="str">
        <x:v>H23</x:v>
      </x:c>
      <x:c r="E3156" s="34" t="str">
        <x:v>عنوان/موضوع عمومی نیازمند تعریف خروجی</x:v>
      </x:c>
      <x:c r="F3156" s="34" t="str">
        <x:v>P3/CLARIFY</x:v>
      </x:c>
      <x:c r="G3156" s="34" t="str">
        <x:v>پروژه/طرح</x:v>
      </x:c>
      <x:c r="H3156" s="39" t="str">
        <x:v>تحصیلی</x:v>
      </x:c>
      <x:c r="I3156" s="39" t="str">
        <x:v>نیازمند تعریف خروجی یا پارک</x:v>
      </x:c>
      <x:c r="J3156" s="39" t="str">
        <x:v>PMO/کوچ؛ شفاف‌سازی قبل از ورود به WIP</x:v>
      </x:c>
      <x:c r="K3156" s="39" t="str"/>
      <x:c r="L3156" s="39" t="str">
        <x:v>AP:P1067</x:v>
      </x:c>
      <x:c r="M3156" s="39" t="str"/>
      <x:c r="N3156" s="39" t="str">
        <x:v>نسخه پایه ۳۱۵۰</x:v>
      </x:c>
    </x:row>
    <x:row r="3157" ht="34" customHeight="1">
      <x:c r="A3157" s="34" t="str">
        <x:v>☐</x:v>
      </x:c>
      <x:c r="B3157" s="34" t="str">
        <x:v>MI-1209</x:v>
      </x:c>
      <x:c r="C3157" s="34" t="str">
        <x:v>M6 — تحلیل‌های خام و ورودی‌های نیازمند پالایش</x:v>
      </x:c>
      <x:c r="D3157" s="34" t="str">
        <x:v>H23</x:v>
      </x:c>
      <x:c r="E3157" s="34" t="str">
        <x:v>عنوان/موضوع عمومی نیازمند تعریف خروجی</x:v>
      </x:c>
      <x:c r="F3157" s="34" t="str">
        <x:v>P3/CLARIFY</x:v>
      </x:c>
      <x:c r="G3157" s="34" t="str">
        <x:v>پروژه/طرح</x:v>
      </x:c>
      <x:c r="H3157" s="39" t="str">
        <x:v>امتحان ها</x:v>
      </x:c>
      <x:c r="I3157" s="39" t="str">
        <x:v>نیازمند تعریف خروجی یا پارک</x:v>
      </x:c>
      <x:c r="J3157" s="39" t="str">
        <x:v>PMO/کوچ؛ شفاف‌سازی قبل از ورود به WIP</x:v>
      </x:c>
      <x:c r="K3157" s="39" t="str"/>
      <x:c r="L3157" s="39" t="str">
        <x:v>AP:P1071</x:v>
      </x:c>
      <x:c r="M3157" s="39" t="str"/>
      <x:c r="N3157" s="39" t="str">
        <x:v>نسخه پایه ۳۱۵۰</x:v>
      </x:c>
    </x:row>
    <x:row r="3158" ht="34" customHeight="1">
      <x:c r="A3158" s="34" t="str">
        <x:v>☐</x:v>
      </x:c>
      <x:c r="B3158" s="34" t="str">
        <x:v>MI-1211</x:v>
      </x:c>
      <x:c r="C3158" s="34" t="str">
        <x:v>M6 — تحلیل‌های خام و ورودی‌های نیازمند پالایش</x:v>
      </x:c>
      <x:c r="D3158" s="34" t="str">
        <x:v>H23</x:v>
      </x:c>
      <x:c r="E3158" s="34" t="str">
        <x:v>عنوان/موضوع عمومی نیازمند تعریف خروجی</x:v>
      </x:c>
      <x:c r="F3158" s="34" t="str">
        <x:v>P3/CLARIFY</x:v>
      </x:c>
      <x:c r="G3158" s="34" t="str">
        <x:v>پروژه/طرح</x:v>
      </x:c>
      <x:c r="H3158" s="39" t="str">
        <x:v>مکات</x:v>
      </x:c>
      <x:c r="I3158" s="39" t="str">
        <x:v>نیازمند تعریف خروجی یا پارک</x:v>
      </x:c>
      <x:c r="J3158" s="39" t="str">
        <x:v>PMO/کوچ؛ شفاف‌سازی قبل از ورود به WIP</x:v>
      </x:c>
      <x:c r="K3158" s="39" t="str"/>
      <x:c r="L3158" s="39" t="str">
        <x:v>AP:P1074</x:v>
      </x:c>
      <x:c r="M3158" s="39" t="str"/>
      <x:c r="N3158" s="39" t="str">
        <x:v>نسخه پایه ۳۱۵۰</x:v>
      </x:c>
    </x:row>
    <x:row r="3159" ht="34" customHeight="1">
      <x:c r="A3159" s="34" t="str">
        <x:v>☐</x:v>
      </x:c>
      <x:c r="B3159" s="34" t="str">
        <x:v>MI-1222</x:v>
      </x:c>
      <x:c r="C3159" s="34" t="str">
        <x:v>M6 — تحلیل‌های خام و ورودی‌های نیازمند پالایش</x:v>
      </x:c>
      <x:c r="D3159" s="34" t="str">
        <x:v>H23</x:v>
      </x:c>
      <x:c r="E3159" s="34" t="str">
        <x:v>عنوان/موضوع عمومی نیازمند تعریف خروجی</x:v>
      </x:c>
      <x:c r="F3159" s="34" t="str">
        <x:v>P3/CLARIFY</x:v>
      </x:c>
      <x:c r="G3159" s="34" t="str">
        <x:v>پروژه/طرح</x:v>
      </x:c>
      <x:c r="H3159" s="39" t="str">
        <x:v>میثور</x:v>
      </x:c>
      <x:c r="I3159" s="39" t="str">
        <x:v>نیازمند تعریف خروجی یا پارک</x:v>
      </x:c>
      <x:c r="J3159" s="39" t="str">
        <x:v>PMO/کوچ؛ شفاف‌سازی قبل از ورود به WIP</x:v>
      </x:c>
      <x:c r="K3159" s="39" t="str"/>
      <x:c r="L3159" s="39" t="str">
        <x:v>AP:P1086</x:v>
      </x:c>
      <x:c r="M3159" s="39" t="str"/>
      <x:c r="N3159" s="39" t="str">
        <x:v>نسخه پایه ۳۱۵۰</x:v>
      </x:c>
    </x:row>
    <x:row r="3160" ht="34" customHeight="1">
      <x:c r="A3160" s="34" t="str">
        <x:v>☐</x:v>
      </x:c>
      <x:c r="B3160" s="34" t="str">
        <x:v>MI-1223</x:v>
      </x:c>
      <x:c r="C3160" s="34" t="str">
        <x:v>M6 — تحلیل‌های خام و ورودی‌های نیازمند پالایش</x:v>
      </x:c>
      <x:c r="D3160" s="34" t="str">
        <x:v>H23</x:v>
      </x:c>
      <x:c r="E3160" s="34" t="str">
        <x:v>عنوان/موضوع عمومی نیازمند تعریف خروجی</x:v>
      </x:c>
      <x:c r="F3160" s="34" t="str">
        <x:v>P3/CLARIFY</x:v>
      </x:c>
      <x:c r="G3160" s="34" t="str">
        <x:v>پروژه/طرح</x:v>
      </x:c>
      <x:c r="H3160" s="39" t="str">
        <x:v>gandery</x:v>
      </x:c>
      <x:c r="I3160" s="39" t="str">
        <x:v>نیازمند تعریف خروجی یا پارک</x:v>
      </x:c>
      <x:c r="J3160" s="39" t="str">
        <x:v>PMO/کوچ؛ شفاف‌سازی قبل از ورود به WIP</x:v>
      </x:c>
      <x:c r="K3160" s="39" t="str"/>
      <x:c r="L3160" s="39" t="str">
        <x:v>AP:P1087</x:v>
      </x:c>
      <x:c r="M3160" s="39" t="str"/>
      <x:c r="N3160" s="39" t="str">
        <x:v>نسخه پایه ۳۱۵۰</x:v>
      </x:c>
    </x:row>
    <x:row r="3161" ht="34" customHeight="1">
      <x:c r="A3161" s="34" t="str">
        <x:v>☐</x:v>
      </x:c>
      <x:c r="B3161" s="34" t="str">
        <x:v>MI-1224</x:v>
      </x:c>
      <x:c r="C3161" s="34" t="str">
        <x:v>M6 — تحلیل‌های خام و ورودی‌های نیازمند پالایش</x:v>
      </x:c>
      <x:c r="D3161" s="34" t="str">
        <x:v>H23</x:v>
      </x:c>
      <x:c r="E3161" s="34" t="str">
        <x:v>عنوان/موضوع عمومی نیازمند تعریف خروجی</x:v>
      </x:c>
      <x:c r="F3161" s="34" t="str">
        <x:v>P3/CLARIFY</x:v>
      </x:c>
      <x:c r="G3161" s="34" t="str">
        <x:v>پروژه/طرح</x:v>
      </x:c>
      <x:c r="H3161" s="39" t="str">
        <x:v>plant products</x:v>
      </x:c>
      <x:c r="I3161" s="39" t="str">
        <x:v>نیازمند تعریف خروجی یا پارک</x:v>
      </x:c>
      <x:c r="J3161" s="39" t="str">
        <x:v>PMO/کوچ؛ شفاف‌سازی قبل از ورود به WIP</x:v>
      </x:c>
      <x:c r="K3161" s="39" t="str"/>
      <x:c r="L3161" s="39" t="str">
        <x:v>AP:P1088</x:v>
      </x:c>
      <x:c r="M3161" s="39" t="str"/>
      <x:c r="N3161" s="39" t="str">
        <x:v>نسخه پایه ۳۱۵۰</x:v>
      </x:c>
    </x:row>
    <x:row r="3162" ht="34" customHeight="1">
      <x:c r="A3162" s="34" t="str">
        <x:v>☐</x:v>
      </x:c>
      <x:c r="B3162" s="34" t="str">
        <x:v>MI-1227</x:v>
      </x:c>
      <x:c r="C3162" s="34" t="str">
        <x:v>M6 — تحلیل‌های خام و ورودی‌های نیازمند پالایش</x:v>
      </x:c>
      <x:c r="D3162" s="34" t="str">
        <x:v>H23</x:v>
      </x:c>
      <x:c r="E3162" s="34" t="str">
        <x:v>عنوان/موضوع عمومی نیازمند تعریف خروجی</x:v>
      </x:c>
      <x:c r="F3162" s="34" t="str">
        <x:v>P3/CLARIFY</x:v>
      </x:c>
      <x:c r="G3162" s="34" t="str">
        <x:v>پروژه/طرح</x:v>
      </x:c>
      <x:c r="H3162" s="39" t="str">
        <x:v>حتی برای رفت و برگشت میشه دوبل که آنتن دهی بهتر میشه به جای دکل زدن</x:v>
      </x:c>
      <x:c r="I3162" s="39" t="str">
        <x:v>نیازمند تعریف خروجی یا پارک</x:v>
      </x:c>
      <x:c r="J3162" s="39" t="str">
        <x:v>PMO/کوچ؛ شفاف‌سازی قبل از ورود به WIP</x:v>
      </x:c>
      <x:c r="K3162" s="39" t="str"/>
      <x:c r="L3162" s="39" t="str">
        <x:v>AP:P1091</x:v>
      </x:c>
      <x:c r="M3162" s="39" t="str"/>
      <x:c r="N3162" s="39" t="str">
        <x:v>نسخه پایه ۳۱۵۰</x:v>
      </x:c>
    </x:row>
    <x:row r="3163" ht="34" customHeight="1">
      <x:c r="A3163" s="34" t="str">
        <x:v>☐</x:v>
      </x:c>
      <x:c r="B3163" s="34" t="str">
        <x:v>MI-1228</x:v>
      </x:c>
      <x:c r="C3163" s="34" t="str">
        <x:v>M6 — تحلیل‌های خام و ورودی‌های نیازمند پالایش</x:v>
      </x:c>
      <x:c r="D3163" s="34" t="str">
        <x:v>H23</x:v>
      </x:c>
      <x:c r="E3163" s="34" t="str">
        <x:v>عنوان/موضوع عمومی نیازمند تعریف خروجی</x:v>
      </x:c>
      <x:c r="F3163" s="34" t="str">
        <x:v>P3/CLARIFY</x:v>
      </x:c>
      <x:c r="G3163" s="34" t="str">
        <x:v>پروژه/طرح</x:v>
      </x:c>
      <x:c r="H3163" s="39" t="str">
        <x:v>طرح اشتراک آنتن دهی از ابتدای جاده توسطموبایل شخص اول تا انتهای جاده و با موبایل نفر دوم</x:v>
      </x:c>
      <x:c r="I3163" s="39" t="str">
        <x:v>نیازمند تعریف خروجی یا پارک</x:v>
      </x:c>
      <x:c r="J3163" s="39" t="str">
        <x:v>PMO/کوچ؛ شفاف‌سازی قبل از ورود به WIP</x:v>
      </x:c>
      <x:c r="K3163" s="39" t="str"/>
      <x:c r="L3163" s="39" t="str">
        <x:v>AP:P1092</x:v>
      </x:c>
      <x:c r="M3163" s="39" t="str"/>
      <x:c r="N3163" s="39" t="str">
        <x:v>نسخه پایه ۳۱۵۰</x:v>
      </x:c>
    </x:row>
    <x:row r="3164" ht="34" customHeight="1">
      <x:c r="A3164" s="34" t="str">
        <x:v>☐</x:v>
      </x:c>
      <x:c r="B3164" s="34" t="str">
        <x:v>MI-1229</x:v>
      </x:c>
      <x:c r="C3164" s="34" t="str">
        <x:v>M6 — تحلیل‌های خام و ورودی‌های نیازمند پالایش</x:v>
      </x:c>
      <x:c r="D3164" s="34" t="str">
        <x:v>H23</x:v>
      </x:c>
      <x:c r="E3164" s="34" t="str">
        <x:v>عنوان/موضوع عمومی نیازمند تعریف خروجی</x:v>
      </x:c>
      <x:c r="F3164" s="34" t="str">
        <x:v>P3/CLARIFY</x:v>
      </x:c>
      <x:c r="G3164" s="34" t="str">
        <x:v>پروژه/طرح</x:v>
      </x:c>
      <x:c r="H3164" s="39" t="str">
        <x:v>بازدید پلیس از صحنه تصادف با هلی شات</x:v>
      </x:c>
      <x:c r="I3164" s="39" t="str">
        <x:v>نیازمند تعریف خروجی یا پارک</x:v>
      </x:c>
      <x:c r="J3164" s="39" t="str">
        <x:v>PMO/کوچ؛ شفاف‌سازی قبل از ورود به WIP</x:v>
      </x:c>
      <x:c r="K3164" s="39" t="str"/>
      <x:c r="L3164" s="39" t="str">
        <x:v>AP:P1093</x:v>
      </x:c>
      <x:c r="M3164" s="39" t="str"/>
      <x:c r="N3164" s="39" t="str">
        <x:v>نسخه پایه ۳۱۵۰</x:v>
      </x:c>
    </x:row>
    <x:row r="3165" ht="34" customHeight="1">
      <x:c r="A3165" s="34" t="str">
        <x:v>☐</x:v>
      </x:c>
      <x:c r="B3165" s="34" t="str">
        <x:v>MI-1230</x:v>
      </x:c>
      <x:c r="C3165" s="34" t="str">
        <x:v>M6 — تحلیل‌های خام و ورودی‌های نیازمند پالایش</x:v>
      </x:c>
      <x:c r="D3165" s="34" t="str">
        <x:v>H23</x:v>
      </x:c>
      <x:c r="E3165" s="34" t="str">
        <x:v>عنوان/موضوع عمومی نیازمند تعریف خروجی</x:v>
      </x:c>
      <x:c r="F3165" s="34" t="str">
        <x:v>P3/CLARIFY</x:v>
      </x:c>
      <x:c r="G3165" s="34" t="str">
        <x:v>پروژه/طرح</x:v>
      </x:c>
      <x:c r="H3165" s="39" t="str">
        <x:v>دفترچه حاجی رمضانی</x:v>
      </x:c>
      <x:c r="I3165" s="39" t="str">
        <x:v>نیازمند تعریف خروجی یا پارک</x:v>
      </x:c>
      <x:c r="J3165" s="39" t="str">
        <x:v>PMO/کوچ؛ شفاف‌سازی قبل از ورود به WIP</x:v>
      </x:c>
      <x:c r="K3165" s="39" t="str"/>
      <x:c r="L3165" s="39" t="str">
        <x:v>AP:P1094</x:v>
      </x:c>
      <x:c r="M3165" s="39" t="str"/>
      <x:c r="N3165" s="39" t="str">
        <x:v>نسخه پایه ۳۱۵۰</x:v>
      </x:c>
    </x:row>
    <x:row r="3166" ht="34" customHeight="1">
      <x:c r="A3166" s="34" t="str">
        <x:v>☐</x:v>
      </x:c>
      <x:c r="B3166" s="34" t="str">
        <x:v>MI-1232</x:v>
      </x:c>
      <x:c r="C3166" s="34" t="str">
        <x:v>M6 — تحلیل‌های خام و ورودی‌های نیازمند پالایش</x:v>
      </x:c>
      <x:c r="D3166" s="34" t="str">
        <x:v>H23</x:v>
      </x:c>
      <x:c r="E3166" s="34" t="str">
        <x:v>عنوان/موضوع عمومی نیازمند تعریف خروجی</x:v>
      </x:c>
      <x:c r="F3166" s="34" t="str">
        <x:v>P3/CLARIFY</x:v>
      </x:c>
      <x:c r="G3166" s="34" t="str">
        <x:v>پروژه/طرح</x:v>
      </x:c>
      <x:c r="H3166" s="39" t="str">
        <x:v>کافه جریان</x:v>
      </x:c>
      <x:c r="I3166" s="39" t="str">
        <x:v>نیازمند تعریف خروجی یا پارک</x:v>
      </x:c>
      <x:c r="J3166" s="39" t="str">
        <x:v>PMO/کوچ؛ شفاف‌سازی قبل از ورود به WIP</x:v>
      </x:c>
      <x:c r="K3166" s="39" t="str"/>
      <x:c r="L3166" s="39" t="str">
        <x:v>AP:P1096</x:v>
      </x:c>
      <x:c r="M3166" s="39" t="str"/>
      <x:c r="N3166" s="39" t="str">
        <x:v>نسخه پایه ۳۱۵۰</x:v>
      </x:c>
    </x:row>
    <x:row r="3167" ht="34" customHeight="1">
      <x:c r="A3167" s="34" t="str">
        <x:v>☐</x:v>
      </x:c>
      <x:c r="B3167" s="34" t="str">
        <x:v>MI-1233</x:v>
      </x:c>
      <x:c r="C3167" s="34" t="str">
        <x:v>M6 — تحلیل‌های خام و ورودی‌های نیازمند پالایش</x:v>
      </x:c>
      <x:c r="D3167" s="34" t="str">
        <x:v>H23</x:v>
      </x:c>
      <x:c r="E3167" s="34" t="str">
        <x:v>عنوان/موضوع عمومی نیازمند تعریف خروجی</x:v>
      </x:c>
      <x:c r="F3167" s="34" t="str">
        <x:v>P3/CLARIFY</x:v>
      </x:c>
      <x:c r="G3167" s="34" t="str">
        <x:v>پروژه/طرح</x:v>
      </x:c>
      <x:c r="H3167" s="39" t="str">
        <x:v>محمد عرفان</x:v>
      </x:c>
      <x:c r="I3167" s="39" t="str">
        <x:v>نیازمند تعریف خروجی یا پارک</x:v>
      </x:c>
      <x:c r="J3167" s="39" t="str">
        <x:v>PMO/کوچ؛ شفاف‌سازی قبل از ورود به WIP</x:v>
      </x:c>
      <x:c r="K3167" s="39" t="str"/>
      <x:c r="L3167" s="39" t="str">
        <x:v>AP:P1097</x:v>
      </x:c>
      <x:c r="M3167" s="39" t="str"/>
      <x:c r="N3167" s="39" t="str">
        <x:v>نسخه پایه ۳۱۵۰</x:v>
      </x:c>
    </x:row>
    <x:row r="3168" ht="34" customHeight="1">
      <x:c r="A3168" s="34" t="str">
        <x:v>☐</x:v>
      </x:c>
      <x:c r="B3168" s="34" t="str">
        <x:v>MI-1239</x:v>
      </x:c>
      <x:c r="C3168" s="34" t="str">
        <x:v>M6 — تحلیل‌های خام و ورودی‌های نیازمند پالایش</x:v>
      </x:c>
      <x:c r="D3168" s="34" t="str">
        <x:v>H23</x:v>
      </x:c>
      <x:c r="E3168" s="34" t="str">
        <x:v>عنوان/موضوع عمومی نیازمند تعریف خروجی</x:v>
      </x:c>
      <x:c r="F3168" s="34" t="str">
        <x:v>P3/CLARIFY</x:v>
      </x:c>
      <x:c r="G3168" s="34" t="str">
        <x:v>پروژه/طرح</x:v>
      </x:c>
      <x:c r="H3168" s="39" t="str">
        <x:v>الگوبرداری از شیوه عملیاتی امام</x:v>
      </x:c>
      <x:c r="I3168" s="39" t="str">
        <x:v>نیازمند تعریف خروجی یا پارک</x:v>
      </x:c>
      <x:c r="J3168" s="39" t="str">
        <x:v>PMO/کوچ؛ شفاف‌سازی قبل از ورود به WIP</x:v>
      </x:c>
      <x:c r="K3168" s="39" t="str"/>
      <x:c r="L3168" s="39" t="str">
        <x:v>AP:P1106</x:v>
      </x:c>
      <x:c r="M3168" s="39" t="str"/>
      <x:c r="N3168" s="39" t="str">
        <x:v>نسخه پایه ۳۱۵۰</x:v>
      </x:c>
    </x:row>
    <x:row r="3169" ht="34" customHeight="1">
      <x:c r="A3169" s="34" t="str">
        <x:v>☐</x:v>
      </x:c>
      <x:c r="B3169" s="34" t="str">
        <x:v>MI-1240</x:v>
      </x:c>
      <x:c r="C3169" s="34" t="str">
        <x:v>M6 — تحلیل‌های خام و ورودی‌های نیازمند پالایش</x:v>
      </x:c>
      <x:c r="D3169" s="34" t="str">
        <x:v>H23</x:v>
      </x:c>
      <x:c r="E3169" s="34" t="str">
        <x:v>عنوان/موضوع عمومی نیازمند تعریف خروجی</x:v>
      </x:c>
      <x:c r="F3169" s="34" t="str">
        <x:v>P3/CLARIFY</x:v>
      </x:c>
      <x:c r="G3169" s="34" t="str">
        <x:v>پروژه/طرح</x:v>
      </x:c>
      <x:c r="H3169" s="39" t="str">
        <x:v>امام سجاد</x:v>
      </x:c>
      <x:c r="I3169" s="39" t="str">
        <x:v>نیازمند تعریف خروجی یا پارک</x:v>
      </x:c>
      <x:c r="J3169" s="39" t="str">
        <x:v>PMO/کوچ؛ شفاف‌سازی قبل از ورود به WIP</x:v>
      </x:c>
      <x:c r="K3169" s="39" t="str"/>
      <x:c r="L3169" s="39" t="str">
        <x:v>AP:P1107</x:v>
      </x:c>
      <x:c r="M3169" s="39" t="str"/>
      <x:c r="N3169" s="39" t="str">
        <x:v>نسخه پایه ۳۱۵۰</x:v>
      </x:c>
    </x:row>
    <x:row r="3170" ht="34" customHeight="1">
      <x:c r="A3170" s="34" t="str">
        <x:v>☐</x:v>
      </x:c>
      <x:c r="B3170" s="34" t="str">
        <x:v>MI-1241</x:v>
      </x:c>
      <x:c r="C3170" s="34" t="str">
        <x:v>M6 — تحلیل‌های خام و ورودی‌های نیازمند پالایش</x:v>
      </x:c>
      <x:c r="D3170" s="34" t="str">
        <x:v>H23</x:v>
      </x:c>
      <x:c r="E3170" s="34" t="str">
        <x:v>عنوان/موضوع عمومی نیازمند تعریف خروجی</x:v>
      </x:c>
      <x:c r="F3170" s="34" t="str">
        <x:v>P3/CLARIFY</x:v>
      </x:c>
      <x:c r="G3170" s="34" t="str">
        <x:v>پروژه/طرح</x:v>
      </x:c>
      <x:c r="H3170" s="39" t="str">
        <x:v>امام هادی</x:v>
      </x:c>
      <x:c r="I3170" s="39" t="str">
        <x:v>نیازمند تعریف خروجی یا پارک</x:v>
      </x:c>
      <x:c r="J3170" s="39" t="str">
        <x:v>PMO/کوچ؛ شفاف‌سازی قبل از ورود به WIP</x:v>
      </x:c>
      <x:c r="K3170" s="39" t="str"/>
      <x:c r="L3170" s="39" t="str">
        <x:v>AP:P1108</x:v>
      </x:c>
      <x:c r="M3170" s="39" t="str"/>
      <x:c r="N3170" s="39" t="str">
        <x:v>نسخه پایه ۳۱۵۰</x:v>
      </x:c>
    </x:row>
    <x:row r="3171" ht="34" customHeight="1">
      <x:c r="A3171" s="34" t="str">
        <x:v>☐</x:v>
      </x:c>
      <x:c r="B3171" s="34" t="str">
        <x:v>MI-1242</x:v>
      </x:c>
      <x:c r="C3171" s="34" t="str">
        <x:v>M6 — تحلیل‌های خام و ورودی‌های نیازمند پالایش</x:v>
      </x:c>
      <x:c r="D3171" s="34" t="str">
        <x:v>H23</x:v>
      </x:c>
      <x:c r="E3171" s="34" t="str">
        <x:v>عنوان/موضوع عمومی نیازمند تعریف خروجی</x:v>
      </x:c>
      <x:c r="F3171" s="34" t="str">
        <x:v>P3/CLARIFY</x:v>
      </x:c>
      <x:c r="G3171" s="34" t="str">
        <x:v>پروژه/طرح</x:v>
      </x:c>
      <x:c r="H3171" s="39" t="str">
        <x:v>امام حسن عسگری</x:v>
      </x:c>
      <x:c r="I3171" s="39" t="str">
        <x:v>نیازمند تعریف خروجی یا پارک</x:v>
      </x:c>
      <x:c r="J3171" s="39" t="str">
        <x:v>PMO/کوچ؛ شفاف‌سازی قبل از ورود به WIP</x:v>
      </x:c>
      <x:c r="K3171" s="39" t="str"/>
      <x:c r="L3171" s="39" t="str">
        <x:v>AP:P1109</x:v>
      </x:c>
      <x:c r="M3171" s="39" t="str"/>
      <x:c r="N3171" s="39" t="str">
        <x:v>نسخه پایه ۳۱۵۰</x:v>
      </x:c>
    </x:row>
    <x:row r="3172" ht="34" customHeight="1">
      <x:c r="A3172" s="34" t="str">
        <x:v>☐</x:v>
      </x:c>
      <x:c r="B3172" s="34" t="str">
        <x:v>MI-1243</x:v>
      </x:c>
      <x:c r="C3172" s="34" t="str">
        <x:v>M6 — تحلیل‌های خام و ورودی‌های نیازمند پالایش</x:v>
      </x:c>
      <x:c r="D3172" s="34" t="str">
        <x:v>H23</x:v>
      </x:c>
      <x:c r="E3172" s="34" t="str">
        <x:v>عنوان/موضوع عمومی نیازمند تعریف خروجی</x:v>
      </x:c>
      <x:c r="F3172" s="34" t="str">
        <x:v>P3/CLARIFY</x:v>
      </x:c>
      <x:c r="G3172" s="34" t="str">
        <x:v>پروژه/طرح</x:v>
      </x:c>
      <x:c r="H3172" s="39" t="str">
        <x:v>امام جواد</x:v>
      </x:c>
      <x:c r="I3172" s="39" t="str">
        <x:v>نیازمند تعریف خروجی یا پارک</x:v>
      </x:c>
      <x:c r="J3172" s="39" t="str">
        <x:v>PMO/کوچ؛ شفاف‌سازی قبل از ورود به WIP</x:v>
      </x:c>
      <x:c r="K3172" s="39" t="str"/>
      <x:c r="L3172" s="39" t="str">
        <x:v>AP:P1110</x:v>
      </x:c>
      <x:c r="M3172" s="39" t="str"/>
      <x:c r="N3172" s="39" t="str">
        <x:v>نسخه پایه ۳۱۵۰</x:v>
      </x:c>
    </x:row>
    <x:row r="3173" ht="34" customHeight="1">
      <x:c r="A3173" s="34" t="str">
        <x:v>☐</x:v>
      </x:c>
      <x:c r="B3173" s="34" t="str">
        <x:v>MI-1244</x:v>
      </x:c>
      <x:c r="C3173" s="34" t="str">
        <x:v>M6 — تحلیل‌های خام و ورودی‌های نیازمند پالایش</x:v>
      </x:c>
      <x:c r="D3173" s="34" t="str">
        <x:v>H23</x:v>
      </x:c>
      <x:c r="E3173" s="34" t="str">
        <x:v>عنوان/موضوع عمومی نیازمند تعریف خروجی</x:v>
      </x:c>
      <x:c r="F3173" s="34" t="str">
        <x:v>P3/CLARIFY</x:v>
      </x:c>
      <x:c r="G3173" s="34" t="str">
        <x:v>پروژه/طرح</x:v>
      </x:c>
      <x:c r="H3173" s="39" t="str">
        <x:v>نماز خوانی علمداری</x:v>
      </x:c>
      <x:c r="I3173" s="39" t="str">
        <x:v>نیازمند تعریف خروجی یا پارک</x:v>
      </x:c>
      <x:c r="J3173" s="39" t="str">
        <x:v>PMO/کوچ؛ شفاف‌سازی قبل از ورود به WIP</x:v>
      </x:c>
      <x:c r="K3173" s="39" t="str"/>
      <x:c r="L3173" s="39" t="str">
        <x:v>AP:P1111</x:v>
      </x:c>
      <x:c r="M3173" s="39" t="str"/>
      <x:c r="N3173" s="39" t="str">
        <x:v>نسخه پایه ۳۱۵۰</x:v>
      </x:c>
    </x:row>
    <x:row r="3174" ht="34" customHeight="1">
      <x:c r="A3174" s="34" t="str">
        <x:v>☐</x:v>
      </x:c>
      <x:c r="B3174" s="34" t="str">
        <x:v>MI-1408</x:v>
      </x:c>
      <x:c r="C3174" s="34" t="str">
        <x:v>M6 — تحلیل‌های خام و ورودی‌های نیازمند پالایش</x:v>
      </x:c>
      <x:c r="D3174" s="34" t="str">
        <x:v>H23</x:v>
      </x:c>
      <x:c r="E3174" s="34" t="str">
        <x:v>عنوان/موضوع عمومی نیازمند تعریف خروجی</x:v>
      </x:c>
      <x:c r="F3174" s="34" t="str">
        <x:v>P3/CLARIFY</x:v>
      </x:c>
      <x:c r="G3174" s="34" t="str">
        <x:v>پروژه/طرح</x:v>
      </x:c>
      <x:c r="H3174" s="39" t="str">
        <x:v>گروه معارف</x:v>
      </x:c>
      <x:c r="I3174" s="39" t="str">
        <x:v>نیازمند تعریف خروجی یا پارک</x:v>
      </x:c>
      <x:c r="J3174" s="39" t="str">
        <x:v>PMO/کوچ؛ شفاف‌سازی قبل از ورود به WIP</x:v>
      </x:c>
      <x:c r="K3174" s="39" t="str"/>
      <x:c r="L3174" s="39" t="str">
        <x:v>AP:P1302</x:v>
      </x:c>
      <x:c r="M3174" s="39" t="str"/>
      <x:c r="N3174" s="39" t="str">
        <x:v>نسخه پایه ۳۱۵۰</x:v>
      </x:c>
    </x:row>
    <x:row r="3175" ht="34" customHeight="1">
      <x:c r="A3175" s="34" t="str">
        <x:v>☐</x:v>
      </x:c>
      <x:c r="B3175" s="34" t="str">
        <x:v>MI-1425</x:v>
      </x:c>
      <x:c r="C3175" s="34" t="str">
        <x:v>M6 — تحلیل‌های خام و ورودی‌های نیازمند پالایش</x:v>
      </x:c>
      <x:c r="D3175" s="34" t="str">
        <x:v>H23</x:v>
      </x:c>
      <x:c r="E3175" s="34" t="str">
        <x:v>عنوان/موضوع عمومی نیازمند تعریف خروجی</x:v>
      </x:c>
      <x:c r="F3175" s="34" t="str">
        <x:v>P3/CLARIFY</x:v>
      </x:c>
      <x:c r="G3175" s="34" t="str">
        <x:v>پروژه/طرح</x:v>
      </x:c>
      <x:c r="H3175" s="39" t="str">
        <x:v>خرید یک جاکارتی شیک برای سید</x:v>
      </x:c>
      <x:c r="I3175" s="39" t="str">
        <x:v>نیازمند تعریف خروجی یا پارک</x:v>
      </x:c>
      <x:c r="J3175" s="39" t="str">
        <x:v>PMO/کوچ؛ شفاف‌سازی قبل از ورود به WIP</x:v>
      </x:c>
      <x:c r="K3175" s="39" t="str"/>
      <x:c r="L3175" s="39" t="str">
        <x:v>AP:P1324</x:v>
      </x:c>
      <x:c r="M3175" s="39" t="str"/>
      <x:c r="N3175" s="39" t="str">
        <x:v>نسخه پایه ۳۱۵۰</x:v>
      </x:c>
    </x:row>
    <x:row r="3176" ht="34" customHeight="1">
      <x:c r="A3176" s="34" t="str">
        <x:v>☐</x:v>
      </x:c>
      <x:c r="B3176" s="34" t="str">
        <x:v>MI-0205</x:v>
      </x:c>
      <x:c r="C3176" s="34" t="str">
        <x:v>M6 — تحلیل‌های خام و ورودی‌های نیازمند پالایش</x:v>
      </x:c>
      <x:c r="D3176" s="34" t="str">
        <x:v>H23</x:v>
      </x:c>
      <x:c r="E3176" s="34" t="str">
        <x:v>عنوان/موضوع عمومی نیازمند تعریف خروجی</x:v>
      </x:c>
      <x:c r="F3176" s="34" t="str">
        <x:v>P3/CLARIFY</x:v>
      </x:c>
      <x:c r="G3176" s="34" t="str">
        <x:v>مهارت/یادگیری</x:v>
      </x:c>
      <x:c r="H3176" s="39" t="str">
        <x:v>آموزش زبانهای خارجی</x:v>
      </x:c>
      <x:c r="I3176" s="39" t="str">
        <x:v>نیازمند تعریف خروجی یا پارک</x:v>
      </x:c>
      <x:c r="J3176" s="39" t="str">
        <x:v>PMO/کوچ؛ شفاف‌سازی قبل از ورود به WIP</x:v>
      </x:c>
      <x:c r="K3176" s="39" t="str"/>
      <x:c r="L3176" s="39" t="str">
        <x:v>PL:R254</x:v>
      </x:c>
      <x:c r="M3176" s="39" t="str"/>
      <x:c r="N3176" s="39" t="str">
        <x:v>نسخه پایه ۳۱۵۰</x:v>
      </x:c>
    </x:row>
    <x:row r="3177" ht="34" customHeight="1">
      <x:c r="A3177" s="34" t="str">
        <x:v>☐</x:v>
      </x:c>
      <x:c r="B3177" s="34" t="str">
        <x:v>MI-0224</x:v>
      </x:c>
      <x:c r="C3177" s="34" t="str">
        <x:v>M6 — تحلیل‌های خام و ورودی‌های نیازمند پالایش</x:v>
      </x:c>
      <x:c r="D3177" s="34" t="str">
        <x:v>H23</x:v>
      </x:c>
      <x:c r="E3177" s="34" t="str">
        <x:v>عنوان/موضوع عمومی نیازمند تعریف خروجی</x:v>
      </x:c>
      <x:c r="F3177" s="34" t="str">
        <x:v>P3/CLARIFY</x:v>
      </x:c>
      <x:c r="G3177" s="34" t="str">
        <x:v>مهارت/یادگیری</x:v>
      </x:c>
      <x:c r="H3177" s="39" t="str">
        <x:v>مهارتها و مدارک تخصصی</x:v>
      </x:c>
      <x:c r="I3177" s="39" t="str">
        <x:v>نیازمند تعریف خروجی یا پارک</x:v>
      </x:c>
      <x:c r="J3177" s="39" t="str">
        <x:v>PMO/کوچ؛ شفاف‌سازی قبل از ورود به WIP</x:v>
      </x:c>
      <x:c r="K3177" s="39" t="str"/>
      <x:c r="L3177" s="39" t="str">
        <x:v>PL:R357</x:v>
      </x:c>
      <x:c r="M3177" s="39" t="str"/>
      <x:c r="N3177" s="39" t="str">
        <x:v>نسخه پایه ۳۱۵۰</x:v>
      </x:c>
    </x:row>
    <x:row r="3178" ht="34" customHeight="1">
      <x:c r="A3178" s="34" t="str">
        <x:v>☐</x:v>
      </x:c>
      <x:c r="B3178" s="34" t="str">
        <x:v>MI-0226</x:v>
      </x:c>
      <x:c r="C3178" s="34" t="str">
        <x:v>M6 — تحلیل‌های خام و ورودی‌های نیازمند پالایش</x:v>
      </x:c>
      <x:c r="D3178" s="34" t="str">
        <x:v>H23</x:v>
      </x:c>
      <x:c r="E3178" s="34" t="str">
        <x:v>عنوان/موضوع عمومی نیازمند تعریف خروجی</x:v>
      </x:c>
      <x:c r="F3178" s="34" t="str">
        <x:v>P3/CLARIFY</x:v>
      </x:c>
      <x:c r="G3178" s="34" t="str">
        <x:v>مهارت/یادگیری</x:v>
      </x:c>
      <x:c r="H3178" s="39" t="str">
        <x:v>مهارتهای فردی و نوشتاری</x:v>
      </x:c>
      <x:c r="I3178" s="39" t="str">
        <x:v>نیازمند تعریف خروجی یا پارک</x:v>
      </x:c>
      <x:c r="J3178" s="39" t="str">
        <x:v>PMO/کوچ؛ شفاف‌سازی قبل از ورود به WIP</x:v>
      </x:c>
      <x:c r="K3178" s="39" t="str"/>
      <x:c r="L3178" s="39" t="str">
        <x:v>PL:R384</x:v>
      </x:c>
      <x:c r="M3178" s="39" t="str"/>
      <x:c r="N3178" s="39" t="str">
        <x:v>نسخه پایه ۳۱۵۰</x:v>
      </x:c>
    </x:row>
    <x:row r="3179" ht="34" customHeight="1">
      <x:c r="A3179" s="34" t="str">
        <x:v>☐</x:v>
      </x:c>
      <x:c r="B3179" s="34" t="str">
        <x:v>MI-0227</x:v>
      </x:c>
      <x:c r="C3179" s="34" t="str">
        <x:v>M6 — تحلیل‌های خام و ورودی‌های نیازمند پالایش</x:v>
      </x:c>
      <x:c r="D3179" s="34" t="str">
        <x:v>H23</x:v>
      </x:c>
      <x:c r="E3179" s="34" t="str">
        <x:v>عنوان/موضوع عمومی نیازمند تعریف خروجی</x:v>
      </x:c>
      <x:c r="F3179" s="34" t="str">
        <x:v>P3/CLARIFY</x:v>
      </x:c>
      <x:c r="G3179" s="34" t="str">
        <x:v>مهارت/یادگیری</x:v>
      </x:c>
      <x:c r="H3179" s="39" t="str">
        <x:v>مهارتهای نرمافزاری و فنی</x:v>
      </x:c>
      <x:c r="I3179" s="39" t="str">
        <x:v>نیازمند تعریف خروجی یا پارک</x:v>
      </x:c>
      <x:c r="J3179" s="39" t="str">
        <x:v>PMO/کوچ؛ شفاف‌سازی قبل از ورود به WIP</x:v>
      </x:c>
      <x:c r="K3179" s="39" t="str"/>
      <x:c r="L3179" s="39" t="str">
        <x:v>PL:R387</x:v>
      </x:c>
      <x:c r="M3179" s="39" t="str"/>
      <x:c r="N3179" s="39" t="str">
        <x:v>نسخه پایه ۳۱۵۰</x:v>
      </x:c>
    </x:row>
    <x:row r="3180" ht="34" customHeight="1">
      <x:c r="A3180" s="34" t="str">
        <x:v>☐</x:v>
      </x:c>
      <x:c r="B3180" s="34" t="str">
        <x:v>MI-0228</x:v>
      </x:c>
      <x:c r="C3180" s="34" t="str">
        <x:v>M6 — تحلیل‌های خام و ورودی‌های نیازمند پالایش</x:v>
      </x:c>
      <x:c r="D3180" s="34" t="str">
        <x:v>H23</x:v>
      </x:c>
      <x:c r="E3180" s="34" t="str">
        <x:v>عنوان/موضوع عمومی نیازمند تعریف خروجی</x:v>
      </x:c>
      <x:c r="F3180" s="34" t="str">
        <x:v>P3/CLARIFY</x:v>
      </x:c>
      <x:c r="G3180" s="34" t="str">
        <x:v>مهارت/یادگیری</x:v>
      </x:c>
      <x:c r="H3180" s="39" t="str">
        <x:v>مهارتهای نرمافزاری کاربردی</x:v>
      </x:c>
      <x:c r="I3180" s="39" t="str">
        <x:v>نیازمند تعریف خروجی یا پارک</x:v>
      </x:c>
      <x:c r="J3180" s="39" t="str">
        <x:v>PMO/کوچ؛ شفاف‌سازی قبل از ورود به WIP</x:v>
      </x:c>
      <x:c r="K3180" s="39" t="str"/>
      <x:c r="L3180" s="39" t="str">
        <x:v>PL:R398</x:v>
      </x:c>
      <x:c r="M3180" s="39" t="str"/>
      <x:c r="N3180" s="39" t="str">
        <x:v>نسخه پایه ۳۱۵۰</x:v>
      </x:c>
    </x:row>
    <x:row r="3181" ht="34" customHeight="1">
      <x:c r="A3181" s="34" t="str">
        <x:v>☐</x:v>
      </x:c>
      <x:c r="B3181" s="34" t="str">
        <x:v>MI-0229</x:v>
      </x:c>
      <x:c r="C3181" s="34" t="str">
        <x:v>M6 — تحلیل‌های خام و ورودی‌های نیازمند پالایش</x:v>
      </x:c>
      <x:c r="D3181" s="34" t="str">
        <x:v>H23</x:v>
      </x:c>
      <x:c r="E3181" s="34" t="str">
        <x:v>عنوان/موضوع عمومی نیازمند تعریف خروجی</x:v>
      </x:c>
      <x:c r="F3181" s="34" t="str">
        <x:v>P3/CLARIFY</x:v>
      </x:c>
      <x:c r="G3181" s="34" t="str">
        <x:v>مهارت/یادگیری</x:v>
      </x:c>
      <x:c r="H3181" s="39" t="str">
        <x:v>مهارتهای هفتگانه کامپیوتر</x:v>
      </x:c>
      <x:c r="I3181" s="39" t="str">
        <x:v>نیازمند تعریف خروجی یا پارک</x:v>
      </x:c>
      <x:c r="J3181" s="39" t="str">
        <x:v>PMO/کوچ؛ شفاف‌سازی قبل از ورود به WIP</x:v>
      </x:c>
      <x:c r="K3181" s="39" t="str"/>
      <x:c r="L3181" s="39" t="str">
        <x:v>PL:R401</x:v>
      </x:c>
      <x:c r="M3181" s="39" t="str"/>
      <x:c r="N3181" s="39" t="str">
        <x:v>نسخه پایه ۳۱۵۰</x:v>
      </x:c>
    </x:row>
    <x:row r="3182" ht="34" customHeight="1">
      <x:c r="A3182" s="34" t="str">
        <x:v>☐</x:v>
      </x:c>
      <x:c r="B3182" s="34" t="str">
        <x:v>MI-0248</x:v>
      </x:c>
      <x:c r="C3182" s="34" t="str">
        <x:v>M6 — تحلیل‌های خام و ورودی‌های نیازمند پالایش</x:v>
      </x:c>
      <x:c r="D3182" s="34" t="str">
        <x:v>H23</x:v>
      </x:c>
      <x:c r="E3182" s="34" t="str">
        <x:v>عنوان/موضوع عمومی نیازمند تعریف خروجی</x:v>
      </x:c>
      <x:c r="F3182" s="34" t="str">
        <x:v>P3/CLARIFY</x:v>
      </x:c>
      <x:c r="G3182" s="34" t="str">
        <x:v>مهارت/یادگیری</x:v>
      </x:c>
      <x:c r="H3182" s="39" t="str">
        <x:v>تبیین آموزشی</x:v>
      </x:c>
      <x:c r="I3182" s="39" t="str">
        <x:v>نیازمند تعریف خروجی یا پارک</x:v>
      </x:c>
      <x:c r="J3182" s="39" t="str">
        <x:v>PMO/کوچ؛ شفاف‌سازی قبل از ورود به WIP</x:v>
      </x:c>
      <x:c r="K3182" s="39" t="str"/>
      <x:c r="L3182" s="39" t="str">
        <x:v>AP:P19</x:v>
      </x:c>
      <x:c r="M3182" s="39" t="str"/>
      <x:c r="N3182" s="39" t="str">
        <x:v>نسخه پایه ۳۱۵۰</x:v>
      </x:c>
    </x:row>
    <x:row r="3183" ht="34" customHeight="1">
      <x:c r="A3183" s="34" t="str">
        <x:v>☐</x:v>
      </x:c>
      <x:c r="B3183" s="34" t="str">
        <x:v>MI-0249</x:v>
      </x:c>
      <x:c r="C3183" s="34" t="str">
        <x:v>M6 — تحلیل‌های خام و ورودی‌های نیازمند پالایش</x:v>
      </x:c>
      <x:c r="D3183" s="34" t="str">
        <x:v>H23</x:v>
      </x:c>
      <x:c r="E3183" s="34" t="str">
        <x:v>عنوان/موضوع عمومی نیازمند تعریف خروجی</x:v>
      </x:c>
      <x:c r="F3183" s="34" t="str">
        <x:v>P3/CLARIFY</x:v>
      </x:c>
      <x:c r="G3183" s="34" t="str">
        <x:v>مهارت/یادگیری</x:v>
      </x:c>
      <x:c r="H3183" s="39" t="str">
        <x:v>راهنمایی های مسایل اموزش</x:v>
      </x:c>
      <x:c r="I3183" s="39" t="str">
        <x:v>نیازمند تعریف خروجی یا پارک</x:v>
      </x:c>
      <x:c r="J3183" s="39" t="str">
        <x:v>PMO/کوچ؛ شفاف‌سازی قبل از ورود به WIP</x:v>
      </x:c>
      <x:c r="K3183" s="39" t="str"/>
      <x:c r="L3183" s="39" t="str">
        <x:v>AP:P20</x:v>
      </x:c>
      <x:c r="M3183" s="39" t="str"/>
      <x:c r="N3183" s="39" t="str">
        <x:v>نسخه پایه ۳۱۵۰</x:v>
      </x:c>
    </x:row>
    <x:row r="3184" ht="34" customHeight="1">
      <x:c r="A3184" s="34" t="str">
        <x:v>☐</x:v>
      </x:c>
      <x:c r="B3184" s="34" t="str">
        <x:v>MI-0250</x:v>
      </x:c>
      <x:c r="C3184" s="34" t="str">
        <x:v>M6 — تحلیل‌های خام و ورودی‌های نیازمند پالایش</x:v>
      </x:c>
      <x:c r="D3184" s="34" t="str">
        <x:v>H23</x:v>
      </x:c>
      <x:c r="E3184" s="34" t="str">
        <x:v>عنوان/موضوع عمومی نیازمند تعریف خروجی</x:v>
      </x:c>
      <x:c r="F3184" s="34" t="str">
        <x:v>P3/CLARIFY</x:v>
      </x:c>
      <x:c r="G3184" s="34" t="str">
        <x:v>مهارت/یادگیری</x:v>
      </x:c>
      <x:c r="H3184" s="39" t="str">
        <x:v>اموزش حذف</x:v>
      </x:c>
      <x:c r="I3184" s="39" t="str">
        <x:v>نیازمند تعریف خروجی یا پارک</x:v>
      </x:c>
      <x:c r="J3184" s="39" t="str">
        <x:v>PMO/کوچ؛ شفاف‌سازی قبل از ورود به WIP</x:v>
      </x:c>
      <x:c r="K3184" s="39" t="str"/>
      <x:c r="L3184" s="39" t="str">
        <x:v>AP:P21</x:v>
      </x:c>
      <x:c r="M3184" s="39" t="str"/>
      <x:c r="N3184" s="39" t="str">
        <x:v>نسخه پایه ۳۱۵۰</x:v>
      </x:c>
    </x:row>
    <x:row r="3185" ht="34" customHeight="1">
      <x:c r="A3185" s="34" t="str">
        <x:v>☐</x:v>
      </x:c>
      <x:c r="B3185" s="34" t="str">
        <x:v>MI-0252</x:v>
      </x:c>
      <x:c r="C3185" s="34" t="str">
        <x:v>M6 — تحلیل‌های خام و ورودی‌های نیازمند پالایش</x:v>
      </x:c>
      <x:c r="D3185" s="34" t="str">
        <x:v>H23</x:v>
      </x:c>
      <x:c r="E3185" s="34" t="str">
        <x:v>عنوان/موضوع عمومی نیازمند تعریف خروجی</x:v>
      </x:c>
      <x:c r="F3185" s="34" t="str">
        <x:v>P3/CLARIFY</x:v>
      </x:c>
      <x:c r="G3185" s="34" t="str">
        <x:v>مهارت/یادگیری</x:v>
      </x:c>
      <x:c r="H3185" s="39" t="str">
        <x:v>حذف اضطراری</x:v>
      </x:c>
      <x:c r="I3185" s="39" t="str">
        <x:v>نیازمند تعریف خروجی یا پارک</x:v>
      </x:c>
      <x:c r="J3185" s="39" t="str">
        <x:v>PMO/کوچ؛ شفاف‌سازی قبل از ورود به WIP</x:v>
      </x:c>
      <x:c r="K3185" s="39" t="str"/>
      <x:c r="L3185" s="39" t="str">
        <x:v>AP:P23</x:v>
      </x:c>
      <x:c r="M3185" s="39" t="str"/>
      <x:c r="N3185" s="39" t="str">
        <x:v>نسخه پایه ۳۱۵۰</x:v>
      </x:c>
    </x:row>
    <x:row r="3186" ht="34" customHeight="1">
      <x:c r="A3186" s="34" t="str">
        <x:v>☐</x:v>
      </x:c>
      <x:c r="B3186" s="34" t="str">
        <x:v>MI-0253</x:v>
      </x:c>
      <x:c r="C3186" s="34" t="str">
        <x:v>M6 — تحلیل‌های خام و ورودی‌های نیازمند پالایش</x:v>
      </x:c>
      <x:c r="D3186" s="34" t="str">
        <x:v>H23</x:v>
      </x:c>
      <x:c r="E3186" s="34" t="str">
        <x:v>عنوان/موضوع عمومی نیازمند تعریف خروجی</x:v>
      </x:c>
      <x:c r="F3186" s="34" t="str">
        <x:v>P3/CLARIFY</x:v>
      </x:c>
      <x:c r="G3186" s="34" t="str">
        <x:v>مهارت/یادگیری</x:v>
      </x:c>
      <x:c r="H3186" s="39" t="str">
        <x:v>حذف صداقت</x:v>
      </x:c>
      <x:c r="I3186" s="39" t="str">
        <x:v>نیازمند تعریف خروجی یا پارک</x:v>
      </x:c>
      <x:c r="J3186" s="39" t="str">
        <x:v>PMO/کوچ؛ شفاف‌سازی قبل از ورود به WIP</x:v>
      </x:c>
      <x:c r="K3186" s="39" t="str"/>
      <x:c r="L3186" s="39" t="str">
        <x:v>AP:P24</x:v>
      </x:c>
      <x:c r="M3186" s="39" t="str"/>
      <x:c r="N3186" s="39" t="str">
        <x:v>نسخه پایه ۳۱۵۰</x:v>
      </x:c>
    </x:row>
    <x:row r="3187" ht="34" customHeight="1">
      <x:c r="A3187" s="34" t="str">
        <x:v>☐</x:v>
      </x:c>
      <x:c r="B3187" s="34" t="str">
        <x:v>MI-0255</x:v>
      </x:c>
      <x:c r="C3187" s="34" t="str">
        <x:v>M6 — تحلیل‌های خام و ورودی‌های نیازمند پالایش</x:v>
      </x:c>
      <x:c r="D3187" s="34" t="str">
        <x:v>H23</x:v>
      </x:c>
      <x:c r="E3187" s="34" t="str">
        <x:v>عنوان/موضوع عمومی نیازمند تعریف خروجی</x:v>
      </x:c>
      <x:c r="F3187" s="34" t="str">
        <x:v>P3/CLARIFY</x:v>
      </x:c>
      <x:c r="G3187" s="34" t="str">
        <x:v>مهارت/یادگیری</x:v>
      </x:c>
      <x:c r="H3187" s="39" t="str">
        <x:v>نحوه ثبت حل تمرین</x:v>
      </x:c>
      <x:c r="I3187" s="39" t="str">
        <x:v>نیازمند تعریف خروجی یا پارک</x:v>
      </x:c>
      <x:c r="J3187" s="39" t="str">
        <x:v>PMO/کوچ؛ شفاف‌سازی قبل از ورود به WIP</x:v>
      </x:c>
      <x:c r="K3187" s="39" t="str"/>
      <x:c r="L3187" s="39" t="str">
        <x:v>AP:P26</x:v>
      </x:c>
      <x:c r="M3187" s="39" t="str"/>
      <x:c r="N3187" s="39" t="str">
        <x:v>نسخه پایه ۳۱۵۰</x:v>
      </x:c>
    </x:row>
    <x:row r="3188" ht="34" customHeight="1">
      <x:c r="A3188" s="34" t="str">
        <x:v>☐</x:v>
      </x:c>
      <x:c r="B3188" s="34" t="str">
        <x:v>MI-0256</x:v>
      </x:c>
      <x:c r="C3188" s="34" t="str">
        <x:v>M6 — تحلیل‌های خام و ورودی‌های نیازمند پالایش</x:v>
      </x:c>
      <x:c r="D3188" s="34" t="str">
        <x:v>H23</x:v>
      </x:c>
      <x:c r="E3188" s="34" t="str">
        <x:v>عنوان/موضوع عمومی نیازمند تعریف خروجی</x:v>
      </x:c>
      <x:c r="F3188" s="34" t="str">
        <x:v>P3/CLARIFY</x:v>
      </x:c>
      <x:c r="G3188" s="34" t="str">
        <x:v>مهارت/یادگیری</x:v>
      </x:c>
      <x:c r="H3188" s="39" t="str">
        <x:v>نحوه انتخاب واحد</x:v>
      </x:c>
      <x:c r="I3188" s="39" t="str">
        <x:v>نیازمند تعریف خروجی یا پارک</x:v>
      </x:c>
      <x:c r="J3188" s="39" t="str">
        <x:v>PMO/کوچ؛ شفاف‌سازی قبل از ورود به WIP</x:v>
      </x:c>
      <x:c r="K3188" s="39" t="str"/>
      <x:c r="L3188" s="39" t="str">
        <x:v>AP:P27</x:v>
      </x:c>
      <x:c r="M3188" s="39" t="str"/>
      <x:c r="N3188" s="39" t="str">
        <x:v>نسخه پایه ۳۱۵۰</x:v>
      </x:c>
    </x:row>
    <x:row r="3189" ht="34" customHeight="1">
      <x:c r="A3189" s="34" t="str">
        <x:v>☐</x:v>
      </x:c>
      <x:c r="B3189" s="34" t="str">
        <x:v>MI-0679</x:v>
      </x:c>
      <x:c r="C3189" s="34" t="str">
        <x:v>M6 — تحلیل‌های خام و ورودی‌های نیازمند پالایش</x:v>
      </x:c>
      <x:c r="D3189" s="34" t="str">
        <x:v>H23</x:v>
      </x:c>
      <x:c r="E3189" s="34" t="str">
        <x:v>عنوان/موضوع عمومی نیازمند تعریف خروجی</x:v>
      </x:c>
      <x:c r="F3189" s="34" t="str">
        <x:v>P3/CLARIFY</x:v>
      </x:c>
      <x:c r="G3189" s="34" t="str">
        <x:v>مهارت/یادگیری</x:v>
      </x:c>
      <x:c r="H3189" s="39" t="str">
        <x:v>آموزش مبتنی با نیاز های</x:v>
      </x:c>
      <x:c r="I3189" s="39" t="str">
        <x:v>نیازمند تعریف خروجی یا پارک</x:v>
      </x:c>
      <x:c r="J3189" s="39" t="str">
        <x:v>PMO/کوچ؛ شفاف‌سازی قبل از ورود به WIP</x:v>
      </x:c>
      <x:c r="K3189" s="39" t="str"/>
      <x:c r="L3189" s="39" t="str">
        <x:v>AP:P468</x:v>
      </x:c>
      <x:c r="M3189" s="39" t="str"/>
      <x:c r="N3189" s="39" t="str">
        <x:v>نسخه پایه ۳۱۵۰</x:v>
      </x:c>
    </x:row>
    <x:row r="3190" ht="34" customHeight="1">
      <x:c r="A3190" s="34" t="str">
        <x:v>☐</x:v>
      </x:c>
      <x:c r="B3190" s="34" t="str">
        <x:v>MI-0003</x:v>
      </x:c>
      <x:c r="C3190" s="34" t="str">
        <x:v>M6 — تحلیل‌های خام و ورودی‌های نیازمند پالایش</x:v>
      </x:c>
      <x:c r="D3190" s="34" t="str">
        <x:v>H23</x:v>
      </x:c>
      <x:c r="E3190" s="34" t="str">
        <x:v>عنوان/موضوع عمومی نیازمند تعریف خروجی</x:v>
      </x:c>
      <x:c r="F3190" s="34" t="str">
        <x:v>P3/CLARIFY</x:v>
      </x:c>
      <x:c r="G3190" s="34" t="str">
        <x:v>هدف/موضوع</x:v>
      </x:c>
      <x:c r="H3190" s="39" t="str">
        <x:v>اصلاح دست خط</x:v>
      </x:c>
      <x:c r="I3190" s="39" t="str">
        <x:v>نیازمند تعریف خروجی یا پارک</x:v>
      </x:c>
      <x:c r="J3190" s="39" t="str">
        <x:v>PMO/کوچ؛ شفاف‌سازی قبل از ورود به WIP</x:v>
      </x:c>
      <x:c r="K3190" s="39" t="str"/>
      <x:c r="L3190" s="39" t="str">
        <x:v>PL:R4</x:v>
      </x:c>
      <x:c r="M3190" s="39" t="str"/>
      <x:c r="N3190" s="39" t="str">
        <x:v>نسخه پایه ۳۱۵۰</x:v>
      </x:c>
    </x:row>
    <x:row r="3191" ht="34" customHeight="1">
      <x:c r="A3191" s="34" t="str">
        <x:v>☐</x:v>
      </x:c>
      <x:c r="B3191" s="34" t="str">
        <x:v>MI-0030</x:v>
      </x:c>
      <x:c r="C3191" s="34" t="str">
        <x:v>M6 — تحلیل‌های خام و ورودی‌های نیازمند پالایش</x:v>
      </x:c>
      <x:c r="D3191" s="34" t="str">
        <x:v>H23</x:v>
      </x:c>
      <x:c r="E3191" s="34" t="str">
        <x:v>عنوان/موضوع عمومی نیازمند تعریف خروجی</x:v>
      </x:c>
      <x:c r="F3191" s="34" t="str">
        <x:v>P3/CLARIFY</x:v>
      </x:c>
      <x:c r="G3191" s="34" t="str">
        <x:v>هدف/موضوع</x:v>
      </x:c>
      <x:c r="H3191" s="39" t="str">
        <x:v>جمع آوری استراتژی های جنگی</x:v>
      </x:c>
      <x:c r="I3191" s="39" t="str">
        <x:v>نیازمند تعریف خروجی یا پارک</x:v>
      </x:c>
      <x:c r="J3191" s="39" t="str">
        <x:v>PMO/کوچ؛ شفاف‌سازی قبل از ورود به WIP</x:v>
      </x:c>
      <x:c r="K3191" s="39" t="str"/>
      <x:c r="L3191" s="39" t="str">
        <x:v>PL:R31</x:v>
      </x:c>
      <x:c r="M3191" s="39" t="str"/>
      <x:c r="N3191" s="39" t="str">
        <x:v>نسخه پایه ۳۱۵۰</x:v>
      </x:c>
    </x:row>
    <x:row r="3192" ht="34" customHeight="1">
      <x:c r="A3192" s="34" t="str">
        <x:v>☐</x:v>
      </x:c>
      <x:c r="B3192" s="34" t="str">
        <x:v>MI-0045</x:v>
      </x:c>
      <x:c r="C3192" s="34" t="str">
        <x:v>M6 — تحلیل‌های خام و ورودی‌های نیازمند پالایش</x:v>
      </x:c>
      <x:c r="D3192" s="34" t="str">
        <x:v>H23</x:v>
      </x:c>
      <x:c r="E3192" s="34" t="str">
        <x:v>عنوان/موضوع عمومی نیازمند تعریف خروجی</x:v>
      </x:c>
      <x:c r="F3192" s="34" t="str">
        <x:v>P3/CLARIFY</x:v>
      </x:c>
      <x:c r="G3192" s="34" t="str">
        <x:v>هدف/موضوع</x:v>
      </x:c>
      <x:c r="H3192" s="39" t="str">
        <x:v>شرکت در سناریو های مناسب رشته و علایقم</x:v>
      </x:c>
      <x:c r="I3192" s="39" t="str">
        <x:v>نیازمند تعریف خروجی یا پارک</x:v>
      </x:c>
      <x:c r="J3192" s="39" t="str">
        <x:v>PMO/کوچ؛ شفاف‌سازی قبل از ورود به WIP</x:v>
      </x:c>
      <x:c r="K3192" s="39" t="str"/>
      <x:c r="L3192" s="39" t="str">
        <x:v>PL:R46</x:v>
      </x:c>
      <x:c r="M3192" s="39" t="str"/>
      <x:c r="N3192" s="39" t="str">
        <x:v>نسخه پایه ۳۱۵۰</x:v>
      </x:c>
    </x:row>
    <x:row r="3193" ht="34" customHeight="1">
      <x:c r="A3193" s="34" t="str">
        <x:v>☐</x:v>
      </x:c>
      <x:c r="B3193" s="34" t="str">
        <x:v>MI-0118</x:v>
      </x:c>
      <x:c r="C3193" s="34" t="str">
        <x:v>M6 — تحلیل‌های خام و ورودی‌های نیازمند پالایش</x:v>
      </x:c>
      <x:c r="D3193" s="34" t="str">
        <x:v>H23</x:v>
      </x:c>
      <x:c r="E3193" s="34" t="str">
        <x:v>عنوان/موضوع عمومی نیازمند تعریف خروجی</x:v>
      </x:c>
      <x:c r="F3193" s="34" t="str">
        <x:v>P3/CLARIFY</x:v>
      </x:c>
      <x:c r="G3193" s="34" t="str">
        <x:v>هدف/موضوع</x:v>
      </x:c>
      <x:c r="H3193" s="39" t="str">
        <x:v>مدیر محصول</x:v>
      </x:c>
      <x:c r="I3193" s="39" t="str">
        <x:v>نیازمند تعریف خروجی یا پارک</x:v>
      </x:c>
      <x:c r="J3193" s="39" t="str">
        <x:v>PMO/کوچ؛ شفاف‌سازی قبل از ورود به WIP</x:v>
      </x:c>
      <x:c r="K3193" s="39" t="str"/>
      <x:c r="L3193" s="39" t="str">
        <x:v>PL:R120</x:v>
      </x:c>
      <x:c r="M3193" s="39" t="str"/>
      <x:c r="N3193" s="39" t="str">
        <x:v>نسخه پایه ۳۱۵۰</x:v>
      </x:c>
    </x:row>
    <x:row r="3194" ht="34" customHeight="1">
      <x:c r="A3194" s="34" t="str">
        <x:v>☐</x:v>
      </x:c>
      <x:c r="B3194" s="34" t="str">
        <x:v>MI-0119</x:v>
      </x:c>
      <x:c r="C3194" s="34" t="str">
        <x:v>M6 — تحلیل‌های خام و ورودی‌های نیازمند پالایش</x:v>
      </x:c>
      <x:c r="D3194" s="34" t="str">
        <x:v>H23</x:v>
      </x:c>
      <x:c r="E3194" s="34" t="str">
        <x:v>عنوان/موضوع عمومی نیازمند تعریف خروجی</x:v>
      </x:c>
      <x:c r="F3194" s="34" t="str">
        <x:v>P3/CLARIFY</x:v>
      </x:c>
      <x:c r="G3194" s="34" t="str">
        <x:v>هدف/موضوع</x:v>
      </x:c>
      <x:c r="H3194" s="39" t="str">
        <x:v>الزامات iso/ts</x:v>
      </x:c>
      <x:c r="I3194" s="39" t="str">
        <x:v>نیازمند تعریف خروجی یا پارک</x:v>
      </x:c>
      <x:c r="J3194" s="39" t="str">
        <x:v>PMO/کوچ؛ شفاف‌سازی قبل از ورود به WIP</x:v>
      </x:c>
      <x:c r="K3194" s="39" t="str"/>
      <x:c r="L3194" s="39" t="str">
        <x:v>PL:R121</x:v>
      </x:c>
      <x:c r="M3194" s="39" t="str"/>
      <x:c r="N3194" s="39" t="str">
        <x:v>نسخه پایه ۳۱۵۰</x:v>
      </x:c>
    </x:row>
    <x:row r="3195" ht="34" customHeight="1">
      <x:c r="A3195" s="34" t="str">
        <x:v>☐</x:v>
      </x:c>
      <x:c r="B3195" s="34" t="str">
        <x:v>MI-0137</x:v>
      </x:c>
      <x:c r="C3195" s="34" t="str">
        <x:v>M6 — تحلیل‌های خام و ورودی‌های نیازمند پالایش</x:v>
      </x:c>
      <x:c r="D3195" s="34" t="str">
        <x:v>H23</x:v>
      </x:c>
      <x:c r="E3195" s="34" t="str">
        <x:v>عنوان/موضوع عمومی نیازمند تعریف خروجی</x:v>
      </x:c>
      <x:c r="F3195" s="34" t="str">
        <x:v>P3/CLARIFY</x:v>
      </x:c>
      <x:c r="G3195" s="34" t="str">
        <x:v>هدف/موضوع</x:v>
      </x:c>
      <x:c r="H3195" s="39" t="str">
        <x:v>MSP</x:v>
      </x:c>
      <x:c r="I3195" s="39" t="str">
        <x:v>نیازمند تعریف خروجی یا پارک</x:v>
      </x:c>
      <x:c r="J3195" s="39" t="str">
        <x:v>PMO/کوچ؛ شفاف‌سازی قبل از ورود به WIP</x:v>
      </x:c>
      <x:c r="K3195" s="39" t="str"/>
      <x:c r="L3195" s="39" t="str">
        <x:v>PL:R139</x:v>
      </x:c>
      <x:c r="M3195" s="39" t="str"/>
      <x:c r="N3195" s="39" t="str">
        <x:v>نسخه پایه ۳۱۵۰</x:v>
      </x:c>
    </x:row>
    <x:row r="3196" ht="34" customHeight="1">
      <x:c r="A3196" s="34" t="str">
        <x:v>☐</x:v>
      </x:c>
      <x:c r="B3196" s="34" t="str">
        <x:v>MI-0149</x:v>
      </x:c>
      <x:c r="C3196" s="34" t="str">
        <x:v>M6 — تحلیل‌های خام و ورودی‌های نیازمند پالایش</x:v>
      </x:c>
      <x:c r="D3196" s="34" t="str">
        <x:v>H23</x:v>
      </x:c>
      <x:c r="E3196" s="34" t="str">
        <x:v>عنوان/موضوع عمومی نیازمند تعریف خروجی</x:v>
      </x:c>
      <x:c r="F3196" s="34" t="str">
        <x:v>P3/CLARIFY</x:v>
      </x:c>
      <x:c r="G3196" s="34" t="str">
        <x:v>هدف/موضوع</x:v>
      </x:c>
      <x:c r="H3196" s="39" t="str">
        <x:v>گزارش نویسی</x:v>
      </x:c>
      <x:c r="I3196" s="39" t="str">
        <x:v>نیازمند تعریف خروجی یا پارک</x:v>
      </x:c>
      <x:c r="J3196" s="39" t="str">
        <x:v>PMO/کوچ؛ شفاف‌سازی قبل از ورود به WIP</x:v>
      </x:c>
      <x:c r="K3196" s="39" t="str"/>
      <x:c r="L3196" s="39" t="str">
        <x:v>PL:R153</x:v>
      </x:c>
      <x:c r="M3196" s="39" t="str"/>
      <x:c r="N3196" s="39" t="str">
        <x:v>نسخه پایه ۳۱۵۰</x:v>
      </x:c>
    </x:row>
    <x:row r="3197" ht="34" customHeight="1">
      <x:c r="A3197" s="34" t="str">
        <x:v>☐</x:v>
      </x:c>
      <x:c r="B3197" s="34" t="str">
        <x:v>MI-0153</x:v>
      </x:c>
      <x:c r="C3197" s="34" t="str">
        <x:v>M6 — تحلیل‌های خام و ورودی‌های نیازمند پالایش</x:v>
      </x:c>
      <x:c r="D3197" s="34" t="str">
        <x:v>H23</x:v>
      </x:c>
      <x:c r="E3197" s="34" t="str">
        <x:v>عنوان/موضوع عمومی نیازمند تعریف خروجی</x:v>
      </x:c>
      <x:c r="F3197" s="34" t="str">
        <x:v>P3/CLARIFY</x:v>
      </x:c>
      <x:c r="G3197" s="34" t="str">
        <x:v>هدف/موضوع</x:v>
      </x:c>
      <x:c r="H3197" s="39" t="str">
        <x:v>SWAP</x:v>
      </x:c>
      <x:c r="I3197" s="39" t="str">
        <x:v>نیازمند تعریف خروجی یا پارک</x:v>
      </x:c>
      <x:c r="J3197" s="39" t="str">
        <x:v>PMO/کوچ؛ شفاف‌سازی قبل از ورود به WIP</x:v>
      </x:c>
      <x:c r="K3197" s="39" t="str"/>
      <x:c r="L3197" s="39" t="str">
        <x:v>PL:R157</x:v>
      </x:c>
      <x:c r="M3197" s="39" t="str"/>
      <x:c r="N3197" s="39" t="str">
        <x:v>نسخه پایه ۳۱۵۰</x:v>
      </x:c>
    </x:row>
    <x:row r="3198" ht="34" customHeight="1">
      <x:c r="A3198" s="34" t="str">
        <x:v>☐</x:v>
      </x:c>
      <x:c r="B3198" s="34" t="str">
        <x:v>MI-0154</x:v>
      </x:c>
      <x:c r="C3198" s="34" t="str">
        <x:v>M6 — تحلیل‌های خام و ورودی‌های نیازمند پالایش</x:v>
      </x:c>
      <x:c r="D3198" s="34" t="str">
        <x:v>H23</x:v>
      </x:c>
      <x:c r="E3198" s="34" t="str">
        <x:v>عنوان/موضوع عمومی نیازمند تعریف خروجی</x:v>
      </x:c>
      <x:c r="F3198" s="34" t="str">
        <x:v>P3/CLARIFY</x:v>
      </x:c>
      <x:c r="G3198" s="34" t="str">
        <x:v>هدف/موضوع</x:v>
      </x:c>
      <x:c r="H3198" s="39" t="str">
        <x:v>PWSIM</x:v>
      </x:c>
      <x:c r="I3198" s="39" t="str">
        <x:v>نیازمند تعریف خروجی یا پارک</x:v>
      </x:c>
      <x:c r="J3198" s="39" t="str">
        <x:v>PMO/کوچ؛ شفاف‌سازی قبل از ورود به WIP</x:v>
      </x:c>
      <x:c r="K3198" s="39" t="str"/>
      <x:c r="L3198" s="39" t="str">
        <x:v>PL:R158</x:v>
      </x:c>
      <x:c r="M3198" s="39" t="str"/>
      <x:c r="N3198" s="39" t="str">
        <x:v>نسخه پایه ۳۱۵۰</x:v>
      </x:c>
    </x:row>
    <x:row r="3199" ht="34" customHeight="1">
      <x:c r="A3199" s="34" t="str">
        <x:v>☐</x:v>
      </x:c>
      <x:c r="B3199" s="34" t="str">
        <x:v>MI-0161</x:v>
      </x:c>
      <x:c r="C3199" s="34" t="str">
        <x:v>M6 — تحلیل‌های خام و ورودی‌های نیازمند پالایش</x:v>
      </x:c>
      <x:c r="D3199" s="34" t="str">
        <x:v>H23</x:v>
      </x:c>
      <x:c r="E3199" s="34" t="str">
        <x:v>عنوان/موضوع عمومی نیازمند تعریف خروجی</x:v>
      </x:c>
      <x:c r="F3199" s="34" t="str">
        <x:v>P3/CLARIFY</x:v>
      </x:c>
      <x:c r="G3199" s="34" t="str">
        <x:v>هدف/موضوع</x:v>
      </x:c>
      <x:c r="H3199" s="39" t="str">
        <x:v>N&amp;N</x:v>
      </x:c>
      <x:c r="I3199" s="39" t="str">
        <x:v>نیازمند تعریف خروجی یا پارک</x:v>
      </x:c>
      <x:c r="J3199" s="39" t="str">
        <x:v>PMO/کوچ؛ شفاف‌سازی قبل از ورود به WIP</x:v>
      </x:c>
      <x:c r="K3199" s="39" t="str"/>
      <x:c r="L3199" s="39" t="str">
        <x:v>PL:R165</x:v>
      </x:c>
      <x:c r="M3199" s="39" t="str"/>
      <x:c r="N3199" s="39" t="str">
        <x:v>نسخه پایه ۳۱۵۰</x:v>
      </x:c>
    </x:row>
    <x:row r="3200" ht="34" customHeight="1">
      <x:c r="A3200" s="34" t="str">
        <x:v>☐</x:v>
      </x:c>
      <x:c r="B3200" s="34" t="str">
        <x:v>MI-0174</x:v>
      </x:c>
      <x:c r="C3200" s="34" t="str">
        <x:v>M6 — تحلیل‌های خام و ورودی‌های نیازمند پالایش</x:v>
      </x:c>
      <x:c r="D3200" s="34" t="str">
        <x:v>H23</x:v>
      </x:c>
      <x:c r="E3200" s="34" t="str">
        <x:v>عنوان/موضوع عمومی نیازمند تعریف خروجی</x:v>
      </x:c>
      <x:c r="F3200" s="34" t="str">
        <x:v>P3/CLARIFY</x:v>
      </x:c>
      <x:c r="G3200" s="34" t="str">
        <x:v>هدف/موضوع</x:v>
      </x:c>
      <x:c r="H3200" s="39" t="str">
        <x:v>توسعه و بهبود محصولات صنایع</x:v>
      </x:c>
      <x:c r="I3200" s="39" t="str">
        <x:v>نیازمند تعریف خروجی یا پارک</x:v>
      </x:c>
      <x:c r="J3200" s="39" t="str">
        <x:v>PMO/کوچ؛ شفاف‌سازی قبل از ورود به WIP</x:v>
      </x:c>
      <x:c r="K3200" s="39" t="str"/>
      <x:c r="L3200" s="39" t="str">
        <x:v>PL:R179</x:v>
      </x:c>
      <x:c r="M3200" s="39" t="str"/>
      <x:c r="N3200" s="39" t="str">
        <x:v>نسخه پایه ۳۱۵۰</x:v>
      </x:c>
    </x:row>
    <x:row r="3201" ht="34" customHeight="1">
      <x:c r="A3201" s="34" t="str">
        <x:v>☐</x:v>
      </x:c>
      <x:c r="B3201" s="34" t="str">
        <x:v>MI-0182</x:v>
      </x:c>
      <x:c r="C3201" s="34" t="str">
        <x:v>M6 — تحلیل‌های خام و ورودی‌های نیازمند پالایش</x:v>
      </x:c>
      <x:c r="D3201" s="34" t="str">
        <x:v>H23</x:v>
      </x:c>
      <x:c r="E3201" s="34" t="str">
        <x:v>عنوان/موضوع عمومی نیازمند تعریف خروجی</x:v>
      </x:c>
      <x:c r="F3201" s="34" t="str">
        <x:v>P3/CLARIFY</x:v>
      </x:c>
      <x:c r="G3201" s="34" t="str">
        <x:v>هدف/موضوع</x:v>
      </x:c>
      <x:c r="H3201" s="39" t="str">
        <x:v>POS</x:v>
      </x:c>
      <x:c r="I3201" s="39" t="str">
        <x:v>نیازمند تعریف خروجی یا پارک</x:v>
      </x:c>
      <x:c r="J3201" s="39" t="str">
        <x:v>PMO/کوچ؛ شفاف‌سازی قبل از ورود به WIP</x:v>
      </x:c>
      <x:c r="K3201" s="39" t="str"/>
      <x:c r="L3201" s="39" t="str">
        <x:v>PL:R187</x:v>
      </x:c>
      <x:c r="M3201" s="39" t="str"/>
      <x:c r="N3201" s="39" t="str">
        <x:v>نسخه پایه ۳۱۵۰</x:v>
      </x:c>
    </x:row>
    <x:row r="3202" ht="34" customHeight="1">
      <x:c r="A3202" s="34" t="str">
        <x:v>☐</x:v>
      </x:c>
      <x:c r="B3202" s="34" t="str">
        <x:v>MI-0192</x:v>
      </x:c>
      <x:c r="C3202" s="34" t="str">
        <x:v>M6 — تحلیل‌های خام و ورودی‌های نیازمند پالایش</x:v>
      </x:c>
      <x:c r="D3202" s="34" t="str">
        <x:v>H23</x:v>
      </x:c>
      <x:c r="E3202" s="34" t="str">
        <x:v>عنوان/موضوع عمومی نیازمند تعریف خروجی</x:v>
      </x:c>
      <x:c r="F3202" s="34" t="str">
        <x:v>P3/CLARIFY</x:v>
      </x:c>
      <x:c r="G3202" s="34" t="str">
        <x:v>هدف/موضوع</x:v>
      </x:c>
      <x:c r="H3202" s="39" t="str">
        <x:v>مدیریت رفتاری</x:v>
      </x:c>
      <x:c r="I3202" s="39" t="str">
        <x:v>نیازمند تعریف خروجی یا پارک</x:v>
      </x:c>
      <x:c r="J3202" s="39" t="str">
        <x:v>PMO/کوچ؛ شفاف‌سازی قبل از ورود به WIP</x:v>
      </x:c>
      <x:c r="K3202" s="39" t="str"/>
      <x:c r="L3202" s="39" t="str">
        <x:v>PL:R197</x:v>
      </x:c>
      <x:c r="M3202" s="39" t="str"/>
      <x:c r="N3202" s="39" t="str">
        <x:v>نسخه پایه ۳۱۵۰</x:v>
      </x:c>
    </x:row>
    <x:row r="3203" ht="34" customHeight="1">
      <x:c r="A3203" s="34" t="str">
        <x:v>☐</x:v>
      </x:c>
      <x:c r="B3203" s="34" t="str">
        <x:v>MI-0206</x:v>
      </x:c>
      <x:c r="C3203" s="34" t="str">
        <x:v>M6 — تحلیل‌های خام و ورودی‌های نیازمند پالایش</x:v>
      </x:c>
      <x:c r="D3203" s="34" t="str">
        <x:v>H23</x:v>
      </x:c>
      <x:c r="E3203" s="34" t="str">
        <x:v>عنوان/موضوع عمومی نیازمند تعریف خروجی</x:v>
      </x:c>
      <x:c r="F3203" s="34" t="str">
        <x:v>P3/CLARIFY</x:v>
      </x:c>
      <x:c r="G3203" s="34" t="str">
        <x:v>هدف/موضوع</x:v>
      </x:c>
      <x:c r="H3203" s="39" t="str">
        <x:v>اطلاعات عمومی و خرید هوشمندانه</x:v>
      </x:c>
      <x:c r="I3203" s="39" t="str">
        <x:v>نیازمند تعریف خروجی یا پارک</x:v>
      </x:c>
      <x:c r="J3203" s="39" t="str">
        <x:v>PMO/کوچ؛ شفاف‌سازی قبل از ورود به WIP</x:v>
      </x:c>
      <x:c r="K3203" s="39" t="str"/>
      <x:c r="L3203" s="39" t="str">
        <x:v>PL:R267</x:v>
      </x:c>
      <x:c r="M3203" s="39" t="str"/>
      <x:c r="N3203" s="39" t="str">
        <x:v>نسخه پایه ۳۱۵۰</x:v>
      </x:c>
    </x:row>
    <x:row r="3204" ht="34" customHeight="1">
      <x:c r="A3204" s="34" t="str">
        <x:v>☐</x:v>
      </x:c>
      <x:c r="B3204" s="34" t="str">
        <x:v>MI-0215</x:v>
      </x:c>
      <x:c r="C3204" s="34" t="str">
        <x:v>M6 — تحلیل‌های خام و ورودی‌های نیازمند پالایش</x:v>
      </x:c>
      <x:c r="D3204" s="34" t="str">
        <x:v>H23</x:v>
      </x:c>
      <x:c r="E3204" s="34" t="str">
        <x:v>عنوان/موضوع عمومی نیازمند تعریف خروجی</x:v>
      </x:c>
      <x:c r="F3204" s="34" t="str">
        <x:v>P3/CLARIFY</x:v>
      </x:c>
      <x:c r="G3204" s="34" t="str">
        <x:v>هدف/موضوع</x:v>
      </x:c>
      <x:c r="H3204" s="39" t="str">
        <x:v>رسانه و اطلاعرسانی</x:v>
      </x:c>
      <x:c r="I3204" s="39" t="str">
        <x:v>نیازمند تعریف خروجی یا پارک</x:v>
      </x:c>
      <x:c r="J3204" s="39" t="str">
        <x:v>PMO/کوچ؛ شفاف‌سازی قبل از ورود به WIP</x:v>
      </x:c>
      <x:c r="K3204" s="39" t="str"/>
      <x:c r="L3204" s="39" t="str">
        <x:v>PL:R300</x:v>
      </x:c>
      <x:c r="M3204" s="39" t="str"/>
      <x:c r="N3204" s="39" t="str">
        <x:v>نسخه پایه ۳۱۵۰</x:v>
      </x:c>
    </x:row>
    <x:row r="3205" ht="34" customHeight="1">
      <x:c r="A3205" s="34" t="str">
        <x:v>☐</x:v>
      </x:c>
      <x:c r="B3205" s="34" t="str">
        <x:v>MI-0239</x:v>
      </x:c>
      <x:c r="C3205" s="34" t="str">
        <x:v>M6 — تحلیل‌های خام و ورودی‌های نیازمند پالایش</x:v>
      </x:c>
      <x:c r="D3205" s="34" t="str">
        <x:v>H23</x:v>
      </x:c>
      <x:c r="E3205" s="34" t="str">
        <x:v>عنوان/موضوع عمومی نیازمند تعریف خروجی</x:v>
      </x:c>
      <x:c r="F3205" s="34" t="str">
        <x:v>P3/CLARIFY</x:v>
      </x:c>
      <x:c r="G3205" s="34" t="str">
        <x:v>هدف/موضوع</x:v>
      </x:c>
      <x:c r="H3205" s="39" t="str">
        <x:v>اتاق فکر</x:v>
      </x:c>
      <x:c r="I3205" s="39" t="str">
        <x:v>نیازمند تعریف خروجی یا پارک</x:v>
      </x:c>
      <x:c r="J3205" s="39" t="str">
        <x:v>PMO/کوچ؛ شفاف‌سازی قبل از ورود به WIP</x:v>
      </x:c>
      <x:c r="K3205" s="39" t="str"/>
      <x:c r="L3205" s="39" t="str">
        <x:v>AP:P10</x:v>
      </x:c>
      <x:c r="M3205" s="39" t="str"/>
      <x:c r="N3205" s="39" t="str">
        <x:v>نسخه پایه ۳۱۵۰</x:v>
      </x:c>
    </x:row>
    <x:row r="3206" ht="34" customHeight="1">
      <x:c r="A3206" s="34" t="str">
        <x:v>☐</x:v>
      </x:c>
      <x:c r="B3206" s="34" t="str">
        <x:v>MI-0244</x:v>
      </x:c>
      <x:c r="C3206" s="34" t="str">
        <x:v>M6 — تحلیل‌های خام و ورودی‌های نیازمند پالایش</x:v>
      </x:c>
      <x:c r="D3206" s="34" t="str">
        <x:v>H23</x:v>
      </x:c>
      <x:c r="E3206" s="34" t="str">
        <x:v>عنوان/موضوع عمومی نیازمند تعریف خروجی</x:v>
      </x:c>
      <x:c r="F3206" s="34" t="str">
        <x:v>P3/CLARIFY</x:v>
      </x:c>
      <x:c r="G3206" s="34" t="str">
        <x:v>هدف/موضوع</x:v>
      </x:c>
      <x:c r="H3206" s="39" t="str">
        <x:v>اقصادی</x:v>
      </x:c>
      <x:c r="I3206" s="39" t="str">
        <x:v>نیازمند تعریف خروجی یا پارک</x:v>
      </x:c>
      <x:c r="J3206" s="39" t="str">
        <x:v>PMO/کوچ؛ شفاف‌سازی قبل از ورود به WIP</x:v>
      </x:c>
      <x:c r="K3206" s="39" t="str"/>
      <x:c r="L3206" s="39" t="str">
        <x:v>AP:P15</x:v>
      </x:c>
      <x:c r="M3206" s="39" t="str"/>
      <x:c r="N3206" s="39" t="str">
        <x:v>نسخه پایه ۳۱۵۰</x:v>
      </x:c>
    </x:row>
    <x:row r="3207" ht="34" customHeight="1">
      <x:c r="A3207" s="34" t="str">
        <x:v>☐</x:v>
      </x:c>
      <x:c r="B3207" s="34" t="str">
        <x:v>MI-0245</x:v>
      </x:c>
      <x:c r="C3207" s="34" t="str">
        <x:v>M6 — تحلیل‌های خام و ورودی‌های نیازمند پالایش</x:v>
      </x:c>
      <x:c r="D3207" s="34" t="str">
        <x:v>H23</x:v>
      </x:c>
      <x:c r="E3207" s="34" t="str">
        <x:v>عنوان/موضوع عمومی نیازمند تعریف خروجی</x:v>
      </x:c>
      <x:c r="F3207" s="34" t="str">
        <x:v>P3/CLARIFY</x:v>
      </x:c>
      <x:c r="G3207" s="34" t="str">
        <x:v>هدف/موضوع</x:v>
      </x:c>
      <x:c r="H3207" s="39" t="str">
        <x:v>تبیینی</x:v>
      </x:c>
      <x:c r="I3207" s="39" t="str">
        <x:v>نیازمند تعریف خروجی یا پارک</x:v>
      </x:c>
      <x:c r="J3207" s="39" t="str">
        <x:v>PMO/کوچ؛ شفاف‌سازی قبل از ورود به WIP</x:v>
      </x:c>
      <x:c r="K3207" s="39" t="str"/>
      <x:c r="L3207" s="39" t="str">
        <x:v>AP:P16</x:v>
      </x:c>
      <x:c r="M3207" s="39" t="str"/>
      <x:c r="N3207" s="39" t="str">
        <x:v>نسخه پایه ۳۱۵۰</x:v>
      </x:c>
    </x:row>
    <x:row r="3208" ht="34" customHeight="1">
      <x:c r="A3208" s="34" t="str">
        <x:v>☐</x:v>
      </x:c>
      <x:c r="B3208" s="34" t="str">
        <x:v>MI-0281</x:v>
      </x:c>
      <x:c r="C3208" s="34" t="str">
        <x:v>M6 — تحلیل‌های خام و ورودی‌های نیازمند پالایش</x:v>
      </x:c>
      <x:c r="D3208" s="34" t="str">
        <x:v>H23</x:v>
      </x:c>
      <x:c r="E3208" s="34" t="str">
        <x:v>عنوان/موضوع عمومی نیازمند تعریف خروجی</x:v>
      </x:c>
      <x:c r="F3208" s="34" t="str">
        <x:v>P3/CLARIFY</x:v>
      </x:c>
      <x:c r="G3208" s="34" t="str">
        <x:v>هدف/موضوع</x:v>
      </x:c>
      <x:c r="H3208" s="39" t="str">
        <x:v>تحلیلگر</x:v>
      </x:c>
      <x:c r="I3208" s="39" t="str">
        <x:v>نیازمند تعریف خروجی یا پارک</x:v>
      </x:c>
      <x:c r="J3208" s="39" t="str">
        <x:v>PMO/کوچ؛ شفاف‌سازی قبل از ورود به WIP</x:v>
      </x:c>
      <x:c r="K3208" s="39" t="str"/>
      <x:c r="L3208" s="39" t="str">
        <x:v>AP:P52</x:v>
      </x:c>
      <x:c r="M3208" s="39" t="str"/>
      <x:c r="N3208" s="39" t="str">
        <x:v>نسخه پایه ۳۱۵۰</x:v>
      </x:c>
    </x:row>
    <x:row r="3209" ht="34" customHeight="1">
      <x:c r="A3209" s="34" t="str">
        <x:v>☐</x:v>
      </x:c>
      <x:c r="B3209" s="34" t="str">
        <x:v>MI-0299</x:v>
      </x:c>
      <x:c r="C3209" s="34" t="str">
        <x:v>M6 — تحلیل‌های خام و ورودی‌های نیازمند پالایش</x:v>
      </x:c>
      <x:c r="D3209" s="34" t="str">
        <x:v>H23</x:v>
      </x:c>
      <x:c r="E3209" s="34" t="str">
        <x:v>عنوان/موضوع عمومی نیازمند تعریف خروجی</x:v>
      </x:c>
      <x:c r="F3209" s="34" t="str">
        <x:v>P3/CLARIFY</x:v>
      </x:c>
      <x:c r="G3209" s="34" t="str">
        <x:v>هدف/موضوع</x:v>
      </x:c>
      <x:c r="H3209" s="39" t="str">
        <x:v>جارو برقی و نظافت مسجد و سرمایش و گرمایش و .... بماند</x:v>
      </x:c>
      <x:c r="I3209" s="39" t="str">
        <x:v>نیازمند تعریف خروجی یا پارک</x:v>
      </x:c>
      <x:c r="J3209" s="39" t="str">
        <x:v>PMO/کوچ؛ شفاف‌سازی قبل از ورود به WIP</x:v>
      </x:c>
      <x:c r="K3209" s="39" t="str"/>
      <x:c r="L3209" s="39" t="str">
        <x:v>AP:P71</x:v>
      </x:c>
      <x:c r="M3209" s="39" t="str"/>
      <x:c r="N3209" s="39" t="str">
        <x:v>نسخه پایه ۳۱۵۰</x:v>
      </x:c>
    </x:row>
    <x:row r="3210" ht="34" customHeight="1">
      <x:c r="A3210" s="34" t="str">
        <x:v>☐</x:v>
      </x:c>
      <x:c r="B3210" s="34" t="str">
        <x:v>MI-0304</x:v>
      </x:c>
      <x:c r="C3210" s="34" t="str">
        <x:v>M6 — تحلیل‌های خام و ورودی‌های نیازمند پالایش</x:v>
      </x:c>
      <x:c r="D3210" s="34" t="str">
        <x:v>H23</x:v>
      </x:c>
      <x:c r="E3210" s="34" t="str">
        <x:v>عنوان/موضوع عمومی نیازمند تعریف خروجی</x:v>
      </x:c>
      <x:c r="F3210" s="34" t="str">
        <x:v>P3/CLARIFY</x:v>
      </x:c>
      <x:c r="G3210" s="34" t="str">
        <x:v>هدف/موضوع</x:v>
      </x:c>
      <x:c r="H3210" s="39" t="str">
        <x:v>بلندگو ها مشکل دارن ، قدیمی هستن، پیگیربشین</x:v>
      </x:c>
      <x:c r="I3210" s="39" t="str">
        <x:v>نیازمند تعریف خروجی یا پارک</x:v>
      </x:c>
      <x:c r="J3210" s="39" t="str">
        <x:v>PMO/کوچ؛ شفاف‌سازی قبل از ورود به WIP</x:v>
      </x:c>
      <x:c r="K3210" s="39" t="str"/>
      <x:c r="L3210" s="39" t="str">
        <x:v>AP:P76</x:v>
      </x:c>
      <x:c r="M3210" s="39" t="str"/>
      <x:c r="N3210" s="39" t="str">
        <x:v>نسخه پایه ۳۱۵۰</x:v>
      </x:c>
    </x:row>
    <x:row r="3211" ht="34" customHeight="1">
      <x:c r="A3211" s="34" t="str">
        <x:v>☐</x:v>
      </x:c>
      <x:c r="B3211" s="34" t="str">
        <x:v>MI-0306</x:v>
      </x:c>
      <x:c r="C3211" s="34" t="str">
        <x:v>M6 — تحلیل‌های خام و ورودی‌های نیازمند پالایش</x:v>
      </x:c>
      <x:c r="D3211" s="34" t="str">
        <x:v>H23</x:v>
      </x:c>
      <x:c r="E3211" s="34" t="str">
        <x:v>عنوان/موضوع عمومی نیازمند تعریف خروجی</x:v>
      </x:c>
      <x:c r="F3211" s="34" t="str">
        <x:v>P3/CLARIFY</x:v>
      </x:c>
      <x:c r="G3211" s="34" t="str">
        <x:v>هدف/موضوع</x:v>
      </x:c>
      <x:c r="H3211" s="39" t="str">
        <x:v>عکس خدمت شما فرستادیم</x:v>
      </x:c>
      <x:c r="I3211" s="39" t="str">
        <x:v>نیازمند تعریف خروجی یا پارک</x:v>
      </x:c>
      <x:c r="J3211" s="39" t="str">
        <x:v>PMO/کوچ؛ شفاف‌سازی قبل از ورود به WIP</x:v>
      </x:c>
      <x:c r="K3211" s="39" t="str"/>
      <x:c r="L3211" s="39" t="str">
        <x:v>AP:P78</x:v>
      </x:c>
      <x:c r="M3211" s="39" t="str"/>
      <x:c r="N3211" s="39" t="str">
        <x:v>نسخه پایه ۳۱۵۰</x:v>
      </x:c>
    </x:row>
    <x:row r="3212" ht="34" customHeight="1">
      <x:c r="A3212" s="34" t="str">
        <x:v>☐</x:v>
      </x:c>
      <x:c r="B3212" s="34" t="str">
        <x:v>MI-0312</x:v>
      </x:c>
      <x:c r="C3212" s="34" t="str">
        <x:v>M6 — تحلیل‌های خام و ورودی‌های نیازمند پالایش</x:v>
      </x:c>
      <x:c r="D3212" s="34" t="str">
        <x:v>H23</x:v>
      </x:c>
      <x:c r="E3212" s="34" t="str">
        <x:v>عنوان/موضوع عمومی نیازمند تعریف خروجی</x:v>
      </x:c>
      <x:c r="F3212" s="34" t="str">
        <x:v>P3/CLARIFY</x:v>
      </x:c>
      <x:c r="G3212" s="34" t="str">
        <x:v>هدف/موضوع</x:v>
      </x:c>
      <x:c r="H3212" s="39" t="str">
        <x:v>خواهران غرفه داشتن ، همه چی خوب پیشرفت،؟؟؟؟</x:v>
      </x:c>
      <x:c r="I3212" s="39" t="str">
        <x:v>نیازمند تعریف خروجی یا پارک</x:v>
      </x:c>
      <x:c r="J3212" s="39" t="str">
        <x:v>PMO/کوچ؛ شفاف‌سازی قبل از ورود به WIP</x:v>
      </x:c>
      <x:c r="K3212" s="39" t="str"/>
      <x:c r="L3212" s="39" t="str">
        <x:v>AP:P84</x:v>
      </x:c>
      <x:c r="M3212" s="39" t="str"/>
      <x:c r="N3212" s="39" t="str">
        <x:v>نسخه پایه ۳۱۵۰</x:v>
      </x:c>
    </x:row>
    <x:row r="3213" ht="34" customHeight="1">
      <x:c r="A3213" s="34" t="str">
        <x:v>☐</x:v>
      </x:c>
      <x:c r="B3213" s="34" t="str">
        <x:v>MI-0313</x:v>
      </x:c>
      <x:c r="C3213" s="34" t="str">
        <x:v>M6 — تحلیل‌های خام و ورودی‌های نیازمند پالایش</x:v>
      </x:c>
      <x:c r="D3213" s="34" t="str">
        <x:v>H23</x:v>
      </x:c>
      <x:c r="E3213" s="34" t="str">
        <x:v>عنوان/موضوع عمومی نیازمند تعریف خروجی</x:v>
      </x:c>
      <x:c r="F3213" s="34" t="str">
        <x:v>P3/CLARIFY</x:v>
      </x:c>
      <x:c r="G3213" s="34" t="str">
        <x:v>هدف/موضوع</x:v>
      </x:c>
      <x:c r="H3213" s="39" t="str">
        <x:v>بقیه اهمیت نداشته باشن</x:v>
      </x:c>
      <x:c r="I3213" s="39" t="str">
        <x:v>نیازمند تعریف خروجی یا پارک</x:v>
      </x:c>
      <x:c r="J3213" s="39" t="str">
        <x:v>PMO/کوچ؛ شفاف‌سازی قبل از ورود به WIP</x:v>
      </x:c>
      <x:c r="K3213" s="39" t="str"/>
      <x:c r="L3213" s="39" t="str">
        <x:v>AP:P85</x:v>
      </x:c>
      <x:c r="M3213" s="39" t="str"/>
      <x:c r="N3213" s="39" t="str">
        <x:v>نسخه پایه ۳۱۵۰</x:v>
      </x:c>
    </x:row>
    <x:row r="3214" ht="34" customHeight="1">
      <x:c r="A3214" s="34" t="str">
        <x:v>☐</x:v>
      </x:c>
      <x:c r="B3214" s="34" t="str">
        <x:v>MI-0314</x:v>
      </x:c>
      <x:c r="C3214" s="34" t="str">
        <x:v>M6 — تحلیل‌های خام و ورودی‌های نیازمند پالایش</x:v>
      </x:c>
      <x:c r="D3214" s="34" t="str">
        <x:v>H23</x:v>
      </x:c>
      <x:c r="E3214" s="34" t="str">
        <x:v>عنوان/موضوع عمومی نیازمند تعریف خروجی</x:v>
      </x:c>
      <x:c r="F3214" s="34" t="str">
        <x:v>P3/CLARIFY</x:v>
      </x:c>
      <x:c r="G3214" s="34" t="str">
        <x:v>هدف/موضوع</x:v>
      </x:c>
      <x:c r="H3214" s="39" t="str">
        <x:v>حالا ما سرگرم. بودیم ، خواهران که از قبلش اطلاع داشتن چرا به ما نگفتین</x:v>
      </x:c>
      <x:c r="I3214" s="39" t="str">
        <x:v>نیازمند تعریف خروجی یا پارک</x:v>
      </x:c>
      <x:c r="J3214" s="39" t="str">
        <x:v>PMO/کوچ؛ شفاف‌سازی قبل از ورود به WIP</x:v>
      </x:c>
      <x:c r="K3214" s="39" t="str"/>
      <x:c r="L3214" s="39" t="str">
        <x:v>AP:P86</x:v>
      </x:c>
      <x:c r="M3214" s="39" t="str"/>
      <x:c r="N3214" s="39" t="str">
        <x:v>نسخه پایه ۳۱۵۰</x:v>
      </x:c>
    </x:row>
    <x:row r="3215" ht="34" customHeight="1">
      <x:c r="A3215" s="34" t="str">
        <x:v>☐</x:v>
      </x:c>
      <x:c r="B3215" s="34" t="str">
        <x:v>MI-0315</x:v>
      </x:c>
      <x:c r="C3215" s="34" t="str">
        <x:v>M6 — تحلیل‌های خام و ورودی‌های نیازمند پالایش</x:v>
      </x:c>
      <x:c r="D3215" s="34" t="str">
        <x:v>H23</x:v>
      </x:c>
      <x:c r="E3215" s="34" t="str">
        <x:v>عنوان/موضوع عمومی نیازمند تعریف خروجی</x:v>
      </x:c>
      <x:c r="F3215" s="34" t="str">
        <x:v>P3/CLARIFY</x:v>
      </x:c>
      <x:c r="G3215" s="34" t="str">
        <x:v>هدف/موضوع</x:v>
      </x:c>
      <x:c r="H3215" s="39" t="str">
        <x:v>دلسوز مجموعه باشیم نه صرفا تک بریم جلو</x:v>
      </x:c>
      <x:c r="I3215" s="39" t="str">
        <x:v>نیازمند تعریف خروجی یا پارک</x:v>
      </x:c>
      <x:c r="J3215" s="39" t="str">
        <x:v>PMO/کوچ؛ شفاف‌سازی قبل از ورود به WIP</x:v>
      </x:c>
      <x:c r="K3215" s="39" t="str"/>
      <x:c r="L3215" s="39" t="str">
        <x:v>AP:P87</x:v>
      </x:c>
      <x:c r="M3215" s="39" t="str"/>
      <x:c r="N3215" s="39" t="str">
        <x:v>نسخه پایه ۳۱۵۰</x:v>
      </x:c>
    </x:row>
    <x:row r="3216" ht="34" customHeight="1">
      <x:c r="A3216" s="34" t="str">
        <x:v>☐</x:v>
      </x:c>
      <x:c r="B3216" s="34" t="str">
        <x:v>MI-0626</x:v>
      </x:c>
      <x:c r="C3216" s="34" t="str">
        <x:v>M6 — تحلیل‌های خام و ورودی‌های نیازمند پالایش</x:v>
      </x:c>
      <x:c r="D3216" s="34" t="str">
        <x:v>H23</x:v>
      </x:c>
      <x:c r="E3216" s="34" t="str">
        <x:v>عنوان/موضوع عمومی نیازمند تعریف خروجی</x:v>
      </x:c>
      <x:c r="F3216" s="34" t="str">
        <x:v>P3/CLARIFY</x:v>
      </x:c>
      <x:c r="G3216" s="34" t="str">
        <x:v>هدف/موضوع</x:v>
      </x:c>
      <x:c r="H3216" s="39" t="str">
        <x:v>ستاد یا کمیته مدیریت بحران</x:v>
      </x:c>
      <x:c r="I3216" s="39" t="str">
        <x:v>نیازمند تعریف خروجی یا پارک</x:v>
      </x:c>
      <x:c r="J3216" s="39" t="str">
        <x:v>PMO/کوچ؛ شفاف‌سازی قبل از ورود به WIP</x:v>
      </x:c>
      <x:c r="K3216" s="39" t="str"/>
      <x:c r="L3216" s="39" t="str">
        <x:v>AP:P413</x:v>
      </x:c>
      <x:c r="M3216" s="39" t="str"/>
      <x:c r="N3216" s="39" t="str">
        <x:v>نسخه پایه ۳۱۵۰</x:v>
      </x:c>
    </x:row>
    <x:row r="3217" ht="34" customHeight="1">
      <x:c r="A3217" s="34" t="str">
        <x:v>☐</x:v>
      </x:c>
      <x:c r="B3217" s="34" t="str">
        <x:v>MI-0627</x:v>
      </x:c>
      <x:c r="C3217" s="34" t="str">
        <x:v>M6 — تحلیل‌های خام و ورودی‌های نیازمند پالایش</x:v>
      </x:c>
      <x:c r="D3217" s="34" t="str">
        <x:v>H23</x:v>
      </x:c>
      <x:c r="E3217" s="34" t="str">
        <x:v>عنوان/موضوع عمومی نیازمند تعریف خروجی</x:v>
      </x:c>
      <x:c r="F3217" s="34" t="str">
        <x:v>P3/CLARIFY</x:v>
      </x:c>
      <x:c r="G3217" s="34" t="str">
        <x:v>هدف/موضوع</x:v>
      </x:c>
      <x:c r="H3217" s="39" t="str">
        <x:v>ایا ستاد بحران داریم یا خیر؟</x:v>
      </x:c>
      <x:c r="I3217" s="39" t="str">
        <x:v>نیازمند تعریف خروجی یا پارک</x:v>
      </x:c>
      <x:c r="J3217" s="39" t="str">
        <x:v>PMO/کوچ؛ شفاف‌سازی قبل از ورود به WIP</x:v>
      </x:c>
      <x:c r="K3217" s="39" t="str"/>
      <x:c r="L3217" s="39" t="str">
        <x:v>AP:P414</x:v>
      </x:c>
      <x:c r="M3217" s="39" t="str"/>
      <x:c r="N3217" s="39" t="str">
        <x:v>نسخه پایه ۳۱۵۰</x:v>
      </x:c>
    </x:row>
    <x:row r="3218" ht="34" customHeight="1">
      <x:c r="A3218" s="34" t="str">
        <x:v>☐</x:v>
      </x:c>
      <x:c r="B3218" s="34" t="str">
        <x:v>MI-0677</x:v>
      </x:c>
      <x:c r="C3218" s="34" t="str">
        <x:v>M6 — تحلیل‌های خام و ورودی‌های نیازمند پالایش</x:v>
      </x:c>
      <x:c r="D3218" s="34" t="str">
        <x:v>H23</x:v>
      </x:c>
      <x:c r="E3218" s="34" t="str">
        <x:v>عنوان/موضوع عمومی نیازمند تعریف خروجی</x:v>
      </x:c>
      <x:c r="F3218" s="34" t="str">
        <x:v>P3/CLARIFY</x:v>
      </x:c>
      <x:c r="G3218" s="34" t="str">
        <x:v>هدف/موضوع</x:v>
      </x:c>
      <x:c r="H3218" s="39" t="str">
        <x:v>تارگت ها</x:v>
      </x:c>
      <x:c r="I3218" s="39" t="str">
        <x:v>نیازمند تعریف خروجی یا پارک</x:v>
      </x:c>
      <x:c r="J3218" s="39" t="str">
        <x:v>PMO/کوچ؛ شفاف‌سازی قبل از ورود به WIP</x:v>
      </x:c>
      <x:c r="K3218" s="39" t="str"/>
      <x:c r="L3218" s="39" t="str">
        <x:v>AP:P466</x:v>
      </x:c>
      <x:c r="M3218" s="39" t="str"/>
      <x:c r="N3218" s="39" t="str">
        <x:v>نسخه پایه ۳۱۵۰</x:v>
      </x:c>
    </x:row>
    <x:row r="3219" ht="34" customHeight="1">
      <x:c r="A3219" s="34" t="str">
        <x:v>☐</x:v>
      </x:c>
      <x:c r="B3219" s="34" t="str">
        <x:v>MI-0681</x:v>
      </x:c>
      <x:c r="C3219" s="34" t="str">
        <x:v>M6 — تحلیل‌های خام و ورودی‌های نیازمند پالایش</x:v>
      </x:c>
      <x:c r="D3219" s="34" t="str">
        <x:v>H23</x:v>
      </x:c>
      <x:c r="E3219" s="34" t="str">
        <x:v>عنوان/موضوع عمومی نیازمند تعریف خروجی</x:v>
      </x:c>
      <x:c r="F3219" s="34" t="str">
        <x:v>P3/CLARIFY</x:v>
      </x:c>
      <x:c r="G3219" s="34" t="str">
        <x:v>هدف/موضوع</x:v>
      </x:c>
      <x:c r="H3219" s="39" t="str">
        <x:v>مسابقه میدانی و عملی</x:v>
      </x:c>
      <x:c r="I3219" s="39" t="str">
        <x:v>نیازمند تعریف خروجی یا پارک</x:v>
      </x:c>
      <x:c r="J3219" s="39" t="str">
        <x:v>PMO/کوچ؛ شفاف‌سازی قبل از ورود به WIP</x:v>
      </x:c>
      <x:c r="K3219" s="39" t="str"/>
      <x:c r="L3219" s="39" t="str">
        <x:v>AP:P470</x:v>
      </x:c>
      <x:c r="M3219" s="39" t="str"/>
      <x:c r="N3219" s="39" t="str">
        <x:v>نسخه پایه ۳۱۵۰</x:v>
      </x:c>
    </x:row>
    <x:row r="3220" ht="34" customHeight="1">
      <x:c r="A3220" s="34" t="str">
        <x:v>☐</x:v>
      </x:c>
      <x:c r="B3220" s="34" t="str">
        <x:v>MI-0683</x:v>
      </x:c>
      <x:c r="C3220" s="34" t="str">
        <x:v>M6 — تحلیل‌های خام و ورودی‌های نیازمند پالایش</x:v>
      </x:c>
      <x:c r="D3220" s="34" t="str">
        <x:v>H23</x:v>
      </x:c>
      <x:c r="E3220" s="34" t="str">
        <x:v>عنوان/موضوع عمومی نیازمند تعریف خروجی</x:v>
      </x:c>
      <x:c r="F3220" s="34" t="str">
        <x:v>P3/CLARIFY</x:v>
      </x:c>
      <x:c r="G3220" s="34" t="str">
        <x:v>هدف/موضوع</x:v>
      </x:c>
      <x:c r="H3220" s="39" t="str">
        <x:v>دانشساز</x:v>
      </x:c>
      <x:c r="I3220" s="39" t="str">
        <x:v>نیازمند تعریف خروجی یا پارک</x:v>
      </x:c>
      <x:c r="J3220" s="39" t="str">
        <x:v>PMO/کوچ؛ شفاف‌سازی قبل از ورود به WIP</x:v>
      </x:c>
      <x:c r="K3220" s="39" t="str"/>
      <x:c r="L3220" s="39" t="str">
        <x:v>AP:P472</x:v>
      </x:c>
      <x:c r="M3220" s="39" t="str"/>
      <x:c r="N3220" s="39" t="str">
        <x:v>نسخه پایه ۳۱۵۰</x:v>
      </x:c>
    </x:row>
    <x:row r="3221" ht="34" customHeight="1">
      <x:c r="A3221" s="34" t="str">
        <x:v>☐</x:v>
      </x:c>
      <x:c r="B3221" s="34" t="str">
        <x:v>MI-1099</x:v>
      </x:c>
      <x:c r="C3221" s="34" t="str">
        <x:v>M6 — تحلیل‌های خام و ورودی‌های نیازمند پالایش</x:v>
      </x:c>
      <x:c r="D3221" s="34" t="str">
        <x:v>H23</x:v>
      </x:c>
      <x:c r="E3221" s="34" t="str">
        <x:v>عنوان/موضوع عمومی نیازمند تعریف خروجی</x:v>
      </x:c>
      <x:c r="F3221" s="34" t="str">
        <x:v>P3/CLARIFY</x:v>
      </x:c>
      <x:c r="G3221" s="34" t="str">
        <x:v>هدف/موضوع</x:v>
      </x:c>
      <x:c r="H3221" s="39" t="str">
        <x:v>نهاد</x:v>
      </x:c>
      <x:c r="I3221" s="39" t="str">
        <x:v>نیازمند تعریف خروجی یا پارک</x:v>
      </x:c>
      <x:c r="J3221" s="39" t="str">
        <x:v>PMO/کوچ؛ شفاف‌سازی قبل از ورود به WIP</x:v>
      </x:c>
      <x:c r="K3221" s="39" t="str"/>
      <x:c r="L3221" s="39" t="str">
        <x:v>AP:P946؛ AP:P947؛ AP:P977</x:v>
      </x:c>
      <x:c r="M3221" s="39" t="str"/>
      <x:c r="N3221" s="39" t="str">
        <x:v>نسخه پایه ۳۱۵۰</x:v>
      </x:c>
    </x:row>
    <x:row r="3222" ht="34" customHeight="1">
      <x:c r="A3222" s="34" t="str">
        <x:v>☐</x:v>
      </x:c>
      <x:c r="B3222" s="34" t="str">
        <x:v>MI-1101</x:v>
      </x:c>
      <x:c r="C3222" s="34" t="str">
        <x:v>M6 — تحلیل‌های خام و ورودی‌های نیازمند پالایش</x:v>
      </x:c>
      <x:c r="D3222" s="34" t="str">
        <x:v>H23</x:v>
      </x:c>
      <x:c r="E3222" s="34" t="str">
        <x:v>عنوان/موضوع عمومی نیازمند تعریف خروجی</x:v>
      </x:c>
      <x:c r="F3222" s="34" t="str">
        <x:v>P3/CLARIFY</x:v>
      </x:c>
      <x:c r="G3222" s="34" t="str">
        <x:v>هدف/موضوع</x:v>
      </x:c>
      <x:c r="H3222" s="39" t="str">
        <x:v>اقا سید ما چند بار خدمت شما گفتیم آقا تشریفبیارین با اون بنده خدا سیستم صوت ما رو چک کنن.</x:v>
      </x:c>
      <x:c r="I3222" s="39" t="str">
        <x:v>نیازمند تعریف خروجی یا پارک</x:v>
      </x:c>
      <x:c r="J3222" s="39" t="str">
        <x:v>PMO/کوچ؛ شفاف‌سازی قبل از ورود به WIP</x:v>
      </x:c>
      <x:c r="K3222" s="39" t="str"/>
      <x:c r="L3222" s="39" t="str">
        <x:v>AP:P949</x:v>
      </x:c>
      <x:c r="M3222" s="39" t="str"/>
      <x:c r="N3222" s="39" t="str">
        <x:v>نسخه پایه ۳۱۵۰</x:v>
      </x:c>
    </x:row>
    <x:row r="3223" ht="34" customHeight="1">
      <x:c r="A3223" s="34" t="str">
        <x:v>☐</x:v>
      </x:c>
      <x:c r="B3223" s="34" t="str">
        <x:v>MI-1102</x:v>
      </x:c>
      <x:c r="C3223" s="34" t="str">
        <x:v>M6 — تحلیل‌های خام و ورودی‌های نیازمند پالایش</x:v>
      </x:c>
      <x:c r="D3223" s="34" t="str">
        <x:v>H23</x:v>
      </x:c>
      <x:c r="E3223" s="34" t="str">
        <x:v>عنوان/موضوع عمومی نیازمند تعریف خروجی</x:v>
      </x:c>
      <x:c r="F3223" s="34" t="str">
        <x:v>P3/CLARIFY</x:v>
      </x:c>
      <x:c r="G3223" s="34" t="str">
        <x:v>هدف/موضوع</x:v>
      </x:c>
      <x:c r="H3223" s="39" t="str">
        <x:v>از برادران هم خب میتونیم انتقاد کنیم</x:v>
      </x:c>
      <x:c r="I3223" s="39" t="str">
        <x:v>نیازمند تعریف خروجی یا پارک</x:v>
      </x:c>
      <x:c r="J3223" s="39" t="str">
        <x:v>PMO/کوچ؛ شفاف‌سازی قبل از ورود به WIP</x:v>
      </x:c>
      <x:c r="K3223" s="39" t="str"/>
      <x:c r="L3223" s="39" t="str">
        <x:v>AP:P950</x:v>
      </x:c>
      <x:c r="M3223" s="39" t="str"/>
      <x:c r="N3223" s="39" t="str">
        <x:v>نسخه پایه ۳۱۵۰</x:v>
      </x:c>
    </x:row>
    <x:row r="3224" ht="34" customHeight="1">
      <x:c r="A3224" s="34" t="str">
        <x:v>☐</x:v>
      </x:c>
      <x:c r="B3224" s="34" t="str">
        <x:v>MI-1104</x:v>
      </x:c>
      <x:c r="C3224" s="34" t="str">
        <x:v>M6 — تحلیل‌های خام و ورودی‌های نیازمند پالایش</x:v>
      </x:c>
      <x:c r="D3224" s="34" t="str">
        <x:v>H23</x:v>
      </x:c>
      <x:c r="E3224" s="34" t="str">
        <x:v>عنوان/موضوع عمومی نیازمند تعریف خروجی</x:v>
      </x:c>
      <x:c r="F3224" s="34" t="str">
        <x:v>P3/CLARIFY</x:v>
      </x:c>
      <x:c r="G3224" s="34" t="str">
        <x:v>هدف/موضوع</x:v>
      </x:c>
      <x:c r="H3224" s="39" t="str">
        <x:v>چرا هنوزم باید گیر و لنگ، زدن پوستر خوب و</x:v>
      </x:c>
      <x:c r="I3224" s="39" t="str">
        <x:v>نیازمند تعریف خروجی یا پارک</x:v>
      </x:c>
      <x:c r="J3224" s="39" t="str">
        <x:v>PMO/کوچ؛ شفاف‌سازی قبل از ورود به WIP</x:v>
      </x:c>
      <x:c r="K3224" s="39" t="str"/>
      <x:c r="L3224" s="39" t="str">
        <x:v>AP:P952</x:v>
      </x:c>
      <x:c r="M3224" s="39" t="str"/>
      <x:c r="N3224" s="39" t="str">
        <x:v>نسخه پایه ۳۱۵۰</x:v>
      </x:c>
    </x:row>
    <x:row r="3225" ht="34" customHeight="1">
      <x:c r="A3225" s="34" t="str">
        <x:v>☐</x:v>
      </x:c>
      <x:c r="B3225" s="34" t="str">
        <x:v>MI-1106</x:v>
      </x:c>
      <x:c r="C3225" s="34" t="str">
        <x:v>M6 — تحلیل‌های خام و ورودی‌های نیازمند پالایش</x:v>
      </x:c>
      <x:c r="D3225" s="34" t="str">
        <x:v>H23</x:v>
      </x:c>
      <x:c r="E3225" s="34" t="str">
        <x:v>عنوان/موضوع عمومی نیازمند تعریف خروجی</x:v>
      </x:c>
      <x:c r="F3225" s="34" t="str">
        <x:v>P3/CLARIFY</x:v>
      </x:c>
      <x:c r="G3225" s="34" t="str">
        <x:v>هدف/موضوع</x:v>
      </x:c>
      <x:c r="H3225" s="39" t="str">
        <x:v>پست های مناسبتی در کانال ها ....</x:v>
      </x:c>
      <x:c r="I3225" s="39" t="str">
        <x:v>نیازمند تعریف خروجی یا پارک</x:v>
      </x:c>
      <x:c r="J3225" s="39" t="str">
        <x:v>PMO/کوچ؛ شفاف‌سازی قبل از ورود به WIP</x:v>
      </x:c>
      <x:c r="K3225" s="39" t="str"/>
      <x:c r="L3225" s="39" t="str">
        <x:v>AP:P954</x:v>
      </x:c>
      <x:c r="M3225" s="39" t="str"/>
      <x:c r="N3225" s="39" t="str">
        <x:v>نسخه پایه ۳۱۵۰</x:v>
      </x:c>
    </x:row>
    <x:row r="3226" ht="34" customHeight="1">
      <x:c r="A3226" s="34" t="str">
        <x:v>☐</x:v>
      </x:c>
      <x:c r="B3226" s="34" t="str">
        <x:v>MI-1107</x:v>
      </x:c>
      <x:c r="C3226" s="34" t="str">
        <x:v>M6 — تحلیل‌های خام و ورودی‌های نیازمند پالایش</x:v>
      </x:c>
      <x:c r="D3226" s="34" t="str">
        <x:v>H23</x:v>
      </x:c>
      <x:c r="E3226" s="34" t="str">
        <x:v>عنوان/موضوع عمومی نیازمند تعریف خروجی</x:v>
      </x:c>
      <x:c r="F3226" s="34" t="str">
        <x:v>P3/CLARIFY</x:v>
      </x:c>
      <x:c r="G3226" s="34" t="str">
        <x:v>هدف/موضوع</x:v>
      </x:c>
      <x:c r="H3226" s="39" t="str">
        <x:v>دیدار با خانواده شهدا نداریم</x:v>
      </x:c>
      <x:c r="I3226" s="39" t="str">
        <x:v>نیازمند تعریف خروجی یا پارک</x:v>
      </x:c>
      <x:c r="J3226" s="39" t="str">
        <x:v>PMO/کوچ؛ شفاف‌سازی قبل از ورود به WIP</x:v>
      </x:c>
      <x:c r="K3226" s="39" t="str"/>
      <x:c r="L3226" s="39" t="str">
        <x:v>AP:P955</x:v>
      </x:c>
      <x:c r="M3226" s="39" t="str"/>
      <x:c r="N3226" s="39" t="str">
        <x:v>نسخه پایه ۳۱۵۰</x:v>
      </x:c>
    </x:row>
    <x:row r="3227" ht="34" customHeight="1">
      <x:c r="A3227" s="34" t="str">
        <x:v>☐</x:v>
      </x:c>
      <x:c r="B3227" s="34" t="str">
        <x:v>MI-1110</x:v>
      </x:c>
      <x:c r="C3227" s="34" t="str">
        <x:v>M6 — تحلیل‌های خام و ورودی‌های نیازمند پالایش</x:v>
      </x:c>
      <x:c r="D3227" s="34" t="str">
        <x:v>H23</x:v>
      </x:c>
      <x:c r="E3227" s="34" t="str">
        <x:v>عنوان/موضوع عمومی نیازمند تعریف خروجی</x:v>
      </x:c>
      <x:c r="F3227" s="34" t="str">
        <x:v>P3/CLARIFY</x:v>
      </x:c>
      <x:c r="G3227" s="34" t="str">
        <x:v>هدف/موضوع</x:v>
      </x:c>
      <x:c r="H3227" s="39" t="str">
        <x:v>برادران چه کردن؟؟</x:v>
      </x:c>
      <x:c r="I3227" s="39" t="str">
        <x:v>نیازمند تعریف خروجی یا پارک</x:v>
      </x:c>
      <x:c r="J3227" s="39" t="str">
        <x:v>PMO/کوچ؛ شفاف‌سازی قبل از ورود به WIP</x:v>
      </x:c>
      <x:c r="K3227" s="39" t="str"/>
      <x:c r="L3227" s="39" t="str">
        <x:v>AP:P958</x:v>
      </x:c>
      <x:c r="M3227" s="39" t="str"/>
      <x:c r="N3227" s="39" t="str">
        <x:v>نسخه پایه ۳۱۵۰</x:v>
      </x:c>
    </x:row>
    <x:row r="3228" ht="34" customHeight="1">
      <x:c r="A3228" s="34" t="str">
        <x:v>☐</x:v>
      </x:c>
      <x:c r="B3228" s="34" t="str">
        <x:v>MI-1111</x:v>
      </x:c>
      <x:c r="C3228" s="34" t="str">
        <x:v>M6 — تحلیل‌های خام و ورودی‌های نیازمند پالایش</x:v>
      </x:c>
      <x:c r="D3228" s="34" t="str">
        <x:v>H23</x:v>
      </x:c>
      <x:c r="E3228" s="34" t="str">
        <x:v>عنوان/موضوع عمومی نیازمند تعریف خروجی</x:v>
      </x:c>
      <x:c r="F3228" s="34" t="str">
        <x:v>P3/CLARIFY</x:v>
      </x:c>
      <x:c r="G3228" s="34" t="str">
        <x:v>هدف/موضوع</x:v>
      </x:c>
      <x:c r="H3228" s="39" t="str">
        <x:v>خواهران در بحث جذب چه کردن؟</x:v>
      </x:c>
      <x:c r="I3228" s="39" t="str">
        <x:v>نیازمند تعریف خروجی یا پارک</x:v>
      </x:c>
      <x:c r="J3228" s="39" t="str">
        <x:v>PMO/کوچ؛ شفاف‌سازی قبل از ورود به WIP</x:v>
      </x:c>
      <x:c r="K3228" s="39" t="str"/>
      <x:c r="L3228" s="39" t="str">
        <x:v>AP:P959</x:v>
      </x:c>
      <x:c r="M3228" s="39" t="str"/>
      <x:c r="N3228" s="39" t="str">
        <x:v>نسخه پایه ۳۱۵۰</x:v>
      </x:c>
    </x:row>
    <x:row r="3229" ht="34" customHeight="1">
      <x:c r="A3229" s="34" t="str">
        <x:v>☐</x:v>
      </x:c>
      <x:c r="B3229" s="34" t="str">
        <x:v>MI-1112</x:v>
      </x:c>
      <x:c r="C3229" s="34" t="str">
        <x:v>M6 — تحلیل‌های خام و ورودی‌های نیازمند پالایش</x:v>
      </x:c>
      <x:c r="D3229" s="34" t="str">
        <x:v>H23</x:v>
      </x:c>
      <x:c r="E3229" s="34" t="str">
        <x:v>عنوان/موضوع عمومی نیازمند تعریف خروجی</x:v>
      </x:c>
      <x:c r="F3229" s="34" t="str">
        <x:v>P3/CLARIFY</x:v>
      </x:c>
      <x:c r="G3229" s="34" t="str">
        <x:v>هدف/موضوع</x:v>
      </x:c>
      <x:c r="H3229" s="39" t="str">
        <x:v>سوال از جمع : ما برای جذب چه کردیم :</x:v>
      </x:c>
      <x:c r="I3229" s="39" t="str">
        <x:v>نیازمند تعریف خروجی یا پارک</x:v>
      </x:c>
      <x:c r="J3229" s="39" t="str">
        <x:v>PMO/کوچ؛ شفاف‌سازی قبل از ورود به WIP</x:v>
      </x:c>
      <x:c r="K3229" s="39" t="str"/>
      <x:c r="L3229" s="39" t="str">
        <x:v>AP:P960</x:v>
      </x:c>
      <x:c r="M3229" s="39" t="str"/>
      <x:c r="N3229" s="39" t="str">
        <x:v>نسخه پایه ۳۱۵۰</x:v>
      </x:c>
    </x:row>
    <x:row r="3230" ht="34" customHeight="1">
      <x:c r="A3230" s="34" t="str">
        <x:v>☐</x:v>
      </x:c>
      <x:c r="B3230" s="34" t="str">
        <x:v>MI-1130</x:v>
      </x:c>
      <x:c r="C3230" s="34" t="str">
        <x:v>M6 — تحلیل‌های خام و ورودی‌های نیازمند پالایش</x:v>
      </x:c>
      <x:c r="D3230" s="34" t="str">
        <x:v>H23</x:v>
      </x:c>
      <x:c r="E3230" s="34" t="str">
        <x:v>عنوان/موضوع عمومی نیازمند تعریف خروجی</x:v>
      </x:c>
      <x:c r="F3230" s="34" t="str">
        <x:v>P3/CLARIFY</x:v>
      </x:c>
      <x:c r="G3230" s="34" t="str">
        <x:v>هدف/موضوع</x:v>
      </x:c>
      <x:c r="H3230" s="39" t="str">
        <x:v>دلسوز باشید پای کار بیایید والله نیت خالص</x:v>
      </x:c>
      <x:c r="I3230" s="39" t="str">
        <x:v>نیازمند تعریف خروجی یا پارک</x:v>
      </x:c>
      <x:c r="J3230" s="39" t="str">
        <x:v>PMO/کوچ؛ شفاف‌سازی قبل از ورود به WIP</x:v>
      </x:c>
      <x:c r="K3230" s="39" t="str"/>
      <x:c r="L3230" s="39" t="str">
        <x:v>AP:P979</x:v>
      </x:c>
      <x:c r="M3230" s="39" t="str"/>
      <x:c r="N3230" s="39" t="str">
        <x:v>نسخه پایه ۳۱۵۰</x:v>
      </x:c>
    </x:row>
    <x:row r="3231" ht="34" customHeight="1">
      <x:c r="A3231" s="34" t="str">
        <x:v>☐</x:v>
      </x:c>
      <x:c r="B3231" s="34" t="str">
        <x:v>MI-1131</x:v>
      </x:c>
      <x:c r="C3231" s="34" t="str">
        <x:v>M6 — تحلیل‌های خام و ورودی‌های نیازمند پالایش</x:v>
      </x:c>
      <x:c r="D3231" s="34" t="str">
        <x:v>H23</x:v>
      </x:c>
      <x:c r="E3231" s="34" t="str">
        <x:v>عنوان/موضوع عمومی نیازمند تعریف خروجی</x:v>
      </x:c>
      <x:c r="F3231" s="34" t="str">
        <x:v>P3/CLARIFY</x:v>
      </x:c>
      <x:c r="G3231" s="34" t="str">
        <x:v>هدف/موضوع</x:v>
      </x:c>
      <x:c r="H3231" s="39" t="str">
        <x:v>همپوشانی داشته باشید و باشیم. خواهش میکنم</x:v>
      </x:c>
      <x:c r="I3231" s="39" t="str">
        <x:v>نیازمند تعریف خروجی یا پارک</x:v>
      </x:c>
      <x:c r="J3231" s="39" t="str">
        <x:v>PMO/کوچ؛ شفاف‌سازی قبل از ورود به WIP</x:v>
      </x:c>
      <x:c r="K3231" s="39" t="str"/>
      <x:c r="L3231" s="39" t="str">
        <x:v>AP:P980</x:v>
      </x:c>
      <x:c r="M3231" s="39" t="str"/>
      <x:c r="N3231" s="39" t="str">
        <x:v>نسخه پایه ۳۱۵۰</x:v>
      </x:c>
    </x:row>
    <x:row r="3232" ht="34" customHeight="1">
      <x:c r="A3232" s="34" t="str">
        <x:v>☐</x:v>
      </x:c>
      <x:c r="B3232" s="34" t="str">
        <x:v>MI-1136</x:v>
      </x:c>
      <x:c r="C3232" s="34" t="str">
        <x:v>M6 — تحلیل‌های خام و ورودی‌های نیازمند پالایش</x:v>
      </x:c>
      <x:c r="D3232" s="34" t="str">
        <x:v>H23</x:v>
      </x:c>
      <x:c r="E3232" s="34" t="str">
        <x:v>عنوان/موضوع عمومی نیازمند تعریف خروجی</x:v>
      </x:c>
      <x:c r="F3232" s="34" t="str">
        <x:v>P3/CLARIFY</x:v>
      </x:c>
      <x:c r="G3232" s="34" t="str">
        <x:v>هدف/موضوع</x:v>
      </x:c>
      <x:c r="H3232" s="39" t="str">
        <x:v>هماهنگی برای استقبال از پرچم</x:v>
      </x:c>
      <x:c r="I3232" s="39" t="str">
        <x:v>نیازمند تعریف خروجی یا پارک</x:v>
      </x:c>
      <x:c r="J3232" s="39" t="str">
        <x:v>PMO/کوچ؛ شفاف‌سازی قبل از ورود به WIP</x:v>
      </x:c>
      <x:c r="K3232" s="39" t="str"/>
      <x:c r="L3232" s="39" t="str">
        <x:v>AP:P985</x:v>
      </x:c>
      <x:c r="M3232" s="39" t="str"/>
      <x:c r="N3232" s="39" t="str">
        <x:v>نسخه پایه ۳۱۵۰</x:v>
      </x:c>
    </x:row>
    <x:row r="3233" ht="34" customHeight="1">
      <x:c r="A3233" s="34" t="str">
        <x:v>☐</x:v>
      </x:c>
      <x:c r="B3233" s="34" t="str">
        <x:v>MI-1137</x:v>
      </x:c>
      <x:c r="C3233" s="34" t="str">
        <x:v>M6 — تحلیل‌های خام و ورودی‌های نیازمند پالایش</x:v>
      </x:c>
      <x:c r="D3233" s="34" t="str">
        <x:v>H23</x:v>
      </x:c>
      <x:c r="E3233" s="34" t="str">
        <x:v>عنوان/موضوع عمومی نیازمند تعریف خروجی</x:v>
      </x:c>
      <x:c r="F3233" s="34" t="str">
        <x:v>P3/CLARIFY</x:v>
      </x:c>
      <x:c r="G3233" s="34" t="str">
        <x:v>هدف/موضوع</x:v>
      </x:c>
      <x:c r="H3233" s="39" t="str">
        <x:v>پرچم حضرت رضا:</x:v>
      </x:c>
      <x:c r="I3233" s="39" t="str">
        <x:v>نیازمند تعریف خروجی یا پارک</x:v>
      </x:c>
      <x:c r="J3233" s="39" t="str">
        <x:v>PMO/کوچ؛ شفاف‌سازی قبل از ورود به WIP</x:v>
      </x:c>
      <x:c r="K3233" s="39" t="str"/>
      <x:c r="L3233" s="39" t="str">
        <x:v>AP:P986</x:v>
      </x:c>
      <x:c r="M3233" s="39" t="str"/>
      <x:c r="N3233" s="39" t="str">
        <x:v>نسخه پایه ۳۱۵۰</x:v>
      </x:c>
    </x:row>
    <x:row r="3234" ht="34" customHeight="1">
      <x:c r="A3234" s="34" t="str">
        <x:v>☐</x:v>
      </x:c>
      <x:c r="B3234" s="34" t="str">
        <x:v>MI-1140</x:v>
      </x:c>
      <x:c r="C3234" s="34" t="str">
        <x:v>M6 — تحلیل‌های خام و ورودی‌های نیازمند پالایش</x:v>
      </x:c>
      <x:c r="D3234" s="34" t="str">
        <x:v>H23</x:v>
      </x:c>
      <x:c r="E3234" s="34" t="str">
        <x:v>عنوان/موضوع عمومی نیازمند تعریف خروجی</x:v>
      </x:c>
      <x:c r="F3234" s="34" t="str">
        <x:v>P3/CLARIFY</x:v>
      </x:c>
      <x:c r="G3234" s="34" t="str">
        <x:v>هدف/موضوع</x:v>
      </x:c>
      <x:c r="H3234" s="39" t="str">
        <x:v>تجهیز مقبره شهدا</x:v>
      </x:c>
      <x:c r="I3234" s="39" t="str">
        <x:v>نیازمند تعریف خروجی یا پارک</x:v>
      </x:c>
      <x:c r="J3234" s="39" t="str">
        <x:v>PMO/کوچ؛ شفاف‌سازی قبل از ورود به WIP</x:v>
      </x:c>
      <x:c r="K3234" s="39" t="str"/>
      <x:c r="L3234" s="39" t="str">
        <x:v>AP:P989</x:v>
      </x:c>
      <x:c r="M3234" s="39" t="str"/>
      <x:c r="N3234" s="39" t="str">
        <x:v>نسخه پایه ۳۱۵۰</x:v>
      </x:c>
    </x:row>
    <x:row r="3235" ht="34" customHeight="1">
      <x:c r="A3235" s="34" t="str">
        <x:v>☐</x:v>
      </x:c>
      <x:c r="B3235" s="34" t="str">
        <x:v>MI-1143</x:v>
      </x:c>
      <x:c r="C3235" s="34" t="str">
        <x:v>M6 — تحلیل‌های خام و ورودی‌های نیازمند پالایش</x:v>
      </x:c>
      <x:c r="D3235" s="34" t="str">
        <x:v>H23</x:v>
      </x:c>
      <x:c r="E3235" s="34" t="str">
        <x:v>عنوان/موضوع عمومی نیازمند تعریف خروجی</x:v>
      </x:c>
      <x:c r="F3235" s="34" t="str">
        <x:v>P3/CLARIFY</x:v>
      </x:c>
      <x:c r="G3235" s="34" t="str">
        <x:v>هدف/موضوع</x:v>
      </x:c>
      <x:c r="H3235" s="39" t="str">
        <x:v>اعتکاف</x:v>
      </x:c>
      <x:c r="I3235" s="39" t="str">
        <x:v>نیازمند تعریف خروجی یا پارک</x:v>
      </x:c>
      <x:c r="J3235" s="39" t="str">
        <x:v>PMO/کوچ؛ شفاف‌سازی قبل از ورود به WIP</x:v>
      </x:c>
      <x:c r="K3235" s="39" t="str"/>
      <x:c r="L3235" s="39" t="str">
        <x:v>AP:P993</x:v>
      </x:c>
      <x:c r="M3235" s="39" t="str"/>
      <x:c r="N3235" s="39" t="str">
        <x:v>نسخه پایه ۳۱۵۰</x:v>
      </x:c>
    </x:row>
    <x:row r="3236" ht="34" customHeight="1">
      <x:c r="A3236" s="34" t="str">
        <x:v>☐</x:v>
      </x:c>
      <x:c r="B3236" s="34" t="str">
        <x:v>MI-1145</x:v>
      </x:c>
      <x:c r="C3236" s="34" t="str">
        <x:v>M6 — تحلیل‌های خام و ورودی‌های نیازمند پالایش</x:v>
      </x:c>
      <x:c r="D3236" s="34" t="str">
        <x:v>H23</x:v>
      </x:c>
      <x:c r="E3236" s="34" t="str">
        <x:v>عنوان/موضوع عمومی نیازمند تعریف خروجی</x:v>
      </x:c>
      <x:c r="F3236" s="34" t="str">
        <x:v>P3/CLARIFY</x:v>
      </x:c>
      <x:c r="G3236" s="34" t="str">
        <x:v>هدف/موضوع</x:v>
      </x:c>
      <x:c r="H3236" s="39" t="str">
        <x:v>نیمه شعبان</x:v>
      </x:c>
      <x:c r="I3236" s="39" t="str">
        <x:v>نیازمند تعریف خروجی یا پارک</x:v>
      </x:c>
      <x:c r="J3236" s="39" t="str">
        <x:v>PMO/کوچ؛ شفاف‌سازی قبل از ورود به WIP</x:v>
      </x:c>
      <x:c r="K3236" s="39" t="str"/>
      <x:c r="L3236" s="39" t="str">
        <x:v>AP:P995</x:v>
      </x:c>
      <x:c r="M3236" s="39" t="str"/>
      <x:c r="N3236" s="39" t="str">
        <x:v>نسخه پایه ۳۱۵۰</x:v>
      </x:c>
    </x:row>
    <x:row r="3237" ht="34" customHeight="1">
      <x:c r="A3237" s="34" t="str">
        <x:v>☐</x:v>
      </x:c>
      <x:c r="B3237" s="34" t="str">
        <x:v>MI-1146</x:v>
      </x:c>
      <x:c r="C3237" s="34" t="str">
        <x:v>M6 — تحلیل‌های خام و ورودی‌های نیازمند پالایش</x:v>
      </x:c>
      <x:c r="D3237" s="34" t="str">
        <x:v>H23</x:v>
      </x:c>
      <x:c r="E3237" s="34" t="str">
        <x:v>عنوان/موضوع عمومی نیازمند تعریف خروجی</x:v>
      </x:c>
      <x:c r="F3237" s="34" t="str">
        <x:v>P3/CLARIFY</x:v>
      </x:c>
      <x:c r="G3237" s="34" t="str">
        <x:v>هدف/موضوع</x:v>
      </x:c>
      <x:c r="H3237" s="39" t="str">
        <x:v>نهاد به شدت نیازمند گرافیست</x:v>
      </x:c>
      <x:c r="I3237" s="39" t="str">
        <x:v>نیازمند تعریف خروجی یا پارک</x:v>
      </x:c>
      <x:c r="J3237" s="39" t="str">
        <x:v>PMO/کوچ؛ شفاف‌سازی قبل از ورود به WIP</x:v>
      </x:c>
      <x:c r="K3237" s="39" t="str"/>
      <x:c r="L3237" s="39" t="str">
        <x:v>AP:P996</x:v>
      </x:c>
      <x:c r="M3237" s="39" t="str"/>
      <x:c r="N3237" s="39" t="str">
        <x:v>نسخه پایه ۳۱۵۰</x:v>
      </x:c>
    </x:row>
    <x:row r="3238" ht="34" customHeight="1">
      <x:c r="A3238" s="34" t="str">
        <x:v>☐</x:v>
      </x:c>
      <x:c r="B3238" s="34" t="str">
        <x:v>MI-1539</x:v>
      </x:c>
      <x:c r="C3238" s="34" t="str">
        <x:v>M6 — تحلیل‌های خام و ورودی‌های نیازمند پالایش</x:v>
      </x:c>
      <x:c r="D3238" s="34" t="str">
        <x:v>H23</x:v>
      </x:c>
      <x:c r="E3238" s="34" t="str">
        <x:v>عنوان/موضوع عمومی نیازمند تعریف خروجی</x:v>
      </x:c>
      <x:c r="F3238" s="34" t="str">
        <x:v>P3/CLARIFY</x:v>
      </x:c>
      <x:c r="G3238" s="34" t="str">
        <x:v>هدف/موضوع</x:v>
      </x:c>
      <x:c r="H3238" s="39" t="str">
        <x:v>جهادی</x:v>
      </x:c>
      <x:c r="I3238" s="39" t="str">
        <x:v>نیازمند تعریف خروجی یا پارک</x:v>
      </x:c>
      <x:c r="J3238" s="39" t="str">
        <x:v>PMO/کوچ؛ شفاف‌سازی قبل از ورود به WIP</x:v>
      </x:c>
      <x:c r="K3238" s="39" t="str"/>
      <x:c r="L3238" s="39" t="str">
        <x:v>AP:P1521</x:v>
      </x:c>
      <x:c r="M3238" s="39" t="str"/>
      <x:c r="N3238" s="39" t="str">
        <x:v>نسخه پایه ۳۱۵۰</x:v>
      </x:c>
    </x:row>
    <x:row r="3239" ht="34" customHeight="1">
      <x:c r="A3239" s="34" t="str">
        <x:v>☐</x:v>
      </x:c>
      <x:c r="B3239" s="34" t="str">
        <x:v>MI-1540</x:v>
      </x:c>
      <x:c r="C3239" s="34" t="str">
        <x:v>M6 — تحلیل‌های خام و ورودی‌های نیازمند پالایش</x:v>
      </x:c>
      <x:c r="D3239" s="34" t="str">
        <x:v>H23</x:v>
      </x:c>
      <x:c r="E3239" s="34" t="str">
        <x:v>عنوان/موضوع عمومی نیازمند تعریف خروجی</x:v>
      </x:c>
      <x:c r="F3239" s="34" t="str">
        <x:v>P3/CLARIFY</x:v>
      </x:c>
      <x:c r="G3239" s="34" t="str">
        <x:v>هدف/موضوع</x:v>
      </x:c>
      <x:c r="H3239" s="39" t="str">
        <x:v>جهادی میثاق</x:v>
      </x:c>
      <x:c r="I3239" s="39" t="str">
        <x:v>نیازمند تعریف خروجی یا پارک</x:v>
      </x:c>
      <x:c r="J3239" s="39" t="str">
        <x:v>PMO/کوچ؛ شفاف‌سازی قبل از ورود به WIP</x:v>
      </x:c>
      <x:c r="K3239" s="39" t="str"/>
      <x:c r="L3239" s="39" t="str">
        <x:v>AP:P1523</x:v>
      </x:c>
      <x:c r="M3239" s="39" t="str"/>
      <x:c r="N3239" s="39" t="str">
        <x:v>نسخه پایه ۳۱۵۰</x:v>
      </x:c>
    </x:row>
    <x:row r="3240" ht="34" customHeight="1">
      <x:c r="A3240" s="34" t="str">
        <x:v>☐</x:v>
      </x:c>
      <x:c r="B3240" s="34" t="str">
        <x:v>MI-1541</x:v>
      </x:c>
      <x:c r="C3240" s="34" t="str">
        <x:v>M6 — تحلیل‌های خام و ورودی‌های نیازمند پالایش</x:v>
      </x:c>
      <x:c r="D3240" s="34" t="str">
        <x:v>H23</x:v>
      </x:c>
      <x:c r="E3240" s="34" t="str">
        <x:v>عنوان/موضوع عمومی نیازمند تعریف خروجی</x:v>
      </x:c>
      <x:c r="F3240" s="34" t="str">
        <x:v>P3/CLARIFY</x:v>
      </x:c>
      <x:c r="G3240" s="34" t="str">
        <x:v>هدف/موضوع</x:v>
      </x:c>
      <x:c r="H3240" s="39" t="str">
        <x:v>سیستم پذیرش و نوبت دهبی</x:v>
      </x:c>
      <x:c r="I3240" s="39" t="str">
        <x:v>نیازمند تعریف خروجی یا پارک</x:v>
      </x:c>
      <x:c r="J3240" s="39" t="str">
        <x:v>PMO/کوچ؛ شفاف‌سازی قبل از ورود به WIP</x:v>
      </x:c>
      <x:c r="K3240" s="39" t="str"/>
      <x:c r="L3240" s="39" t="str">
        <x:v>AP:P1524</x:v>
      </x:c>
      <x:c r="M3240" s="39" t="str"/>
      <x:c r="N3240" s="39" t="str">
        <x:v>نسخه پایه ۳۱۵۰</x:v>
      </x:c>
    </x:row>
    <x:row r="3241" ht="34" customHeight="1">
      <x:c r="A3241" s="34" t="str">
        <x:v>☐</x:v>
      </x:c>
      <x:c r="B3241" s="34" t="str">
        <x:v>MI-1542</x:v>
      </x:c>
      <x:c r="C3241" s="34" t="str">
        <x:v>M6 — تحلیل‌های خام و ورودی‌های نیازمند پالایش</x:v>
      </x:c>
      <x:c r="D3241" s="34" t="str">
        <x:v>H23</x:v>
      </x:c>
      <x:c r="E3241" s="34" t="str">
        <x:v>عنوان/موضوع عمومی نیازمند تعریف خروجی</x:v>
      </x:c>
      <x:c r="F3241" s="34" t="str">
        <x:v>P3/CLARIFY</x:v>
      </x:c>
      <x:c r="G3241" s="34" t="str">
        <x:v>هدف/موضوع</x:v>
      </x:c>
      <x:c r="H3241" s="39" t="str">
        <x:v>سیستم تریاژ</x:v>
      </x:c>
      <x:c r="I3241" s="39" t="str">
        <x:v>نیازمند تعریف خروجی یا پارک</x:v>
      </x:c>
      <x:c r="J3241" s="39" t="str">
        <x:v>PMO/کوچ؛ شفاف‌سازی قبل از ورود به WIP</x:v>
      </x:c>
      <x:c r="K3241" s="39" t="str"/>
      <x:c r="L3241" s="39" t="str">
        <x:v>AP:P1525</x:v>
      </x:c>
      <x:c r="M3241" s="39" t="str"/>
      <x:c r="N3241" s="39" t="str">
        <x:v>نسخه پایه ۳۱۵۰</x:v>
      </x:c>
    </x:row>
    <x:row r="3242" ht="34" customHeight="1">
      <x:c r="A3242" s="34" t="str">
        <x:v>☐</x:v>
      </x:c>
      <x:c r="B3242" s="34" t="str">
        <x:v>MI-1543</x:v>
      </x:c>
      <x:c r="C3242" s="34" t="str">
        <x:v>M6 — تحلیل‌های خام و ورودی‌های نیازمند پالایش</x:v>
      </x:c>
      <x:c r="D3242" s="34" t="str">
        <x:v>H23</x:v>
      </x:c>
      <x:c r="E3242" s="34" t="str">
        <x:v>عنوان/موضوع عمومی نیازمند تعریف خروجی</x:v>
      </x:c>
      <x:c r="F3242" s="34" t="str">
        <x:v>P3/CLARIFY</x:v>
      </x:c>
      <x:c r="G3242" s="34" t="str">
        <x:v>هدف/موضوع</x:v>
      </x:c>
      <x:c r="H3242" s="39" t="str">
        <x:v>سیستم انبار داری</x:v>
      </x:c>
      <x:c r="I3242" s="39" t="str">
        <x:v>نیازمند تعریف خروجی یا پارک</x:v>
      </x:c>
      <x:c r="J3242" s="39" t="str">
        <x:v>PMO/کوچ؛ شفاف‌سازی قبل از ورود به WIP</x:v>
      </x:c>
      <x:c r="K3242" s="39" t="str"/>
      <x:c r="L3242" s="39" t="str">
        <x:v>AP:P1526</x:v>
      </x:c>
      <x:c r="M3242" s="39" t="str"/>
      <x:c r="N3242" s="39" t="str">
        <x:v>نسخه پایه ۳۱۵۰</x:v>
      </x:c>
    </x:row>
    <x:row r="3243" ht="34" customHeight="1">
      <x:c r="A3243" s="34" t="str">
        <x:v>☐</x:v>
      </x:c>
      <x:c r="B3243" s="34" t="str">
        <x:v>MI-1545</x:v>
      </x:c>
      <x:c r="C3243" s="34" t="str">
        <x:v>M6 — تحلیل‌های خام و ورودی‌های نیازمند پالایش</x:v>
      </x:c>
      <x:c r="D3243" s="34" t="str">
        <x:v>H23</x:v>
      </x:c>
      <x:c r="E3243" s="34" t="str">
        <x:v>عنوان/موضوع عمومی نیازمند تعریف خروجی</x:v>
      </x:c>
      <x:c r="F3243" s="34" t="str">
        <x:v>P3/CLARIFY</x:v>
      </x:c>
      <x:c r="G3243" s="34" t="str">
        <x:v>هدف/موضوع</x:v>
      </x:c>
      <x:c r="H3243" s="39" t="str">
        <x:v>سیستم شیفت بندی</x:v>
      </x:c>
      <x:c r="I3243" s="39" t="str">
        <x:v>نیازمند تعریف خروجی یا پارک</x:v>
      </x:c>
      <x:c r="J3243" s="39" t="str">
        <x:v>PMO/کوچ؛ شفاف‌سازی قبل از ورود به WIP</x:v>
      </x:c>
      <x:c r="K3243" s="39" t="str"/>
      <x:c r="L3243" s="39" t="str">
        <x:v>AP:P1528</x:v>
      </x:c>
      <x:c r="M3243" s="39" t="str"/>
      <x:c r="N3243" s="39" t="str">
        <x:v>نسخه پایه ۳۱۵۰</x:v>
      </x:c>
    </x:row>
    <x:row r="3244" ht="34" customHeight="1">
      <x:c r="A3244" s="34" t="str">
        <x:v>☐</x:v>
      </x:c>
      <x:c r="B3244" s="34" t="str">
        <x:v>MI-1546</x:v>
      </x:c>
      <x:c r="C3244" s="34" t="str">
        <x:v>M6 — تحلیل‌های خام و ورودی‌های نیازمند پالایش</x:v>
      </x:c>
      <x:c r="D3244" s="34" t="str">
        <x:v>H23</x:v>
      </x:c>
      <x:c r="E3244" s="34" t="str">
        <x:v>عنوان/موضوع عمومی نیازمند تعریف خروجی</x:v>
      </x:c>
      <x:c r="F3244" s="34" t="str">
        <x:v>P3/CLARIFY</x:v>
      </x:c>
      <x:c r="G3244" s="34" t="str">
        <x:v>هدف/موضوع</x:v>
      </x:c>
      <x:c r="H3244" s="39" t="str">
        <x:v>جهادی تحکیم وحدت</x:v>
      </x:c>
      <x:c r="I3244" s="39" t="str">
        <x:v>نیازمند تعریف خروجی یا پارک</x:v>
      </x:c>
      <x:c r="J3244" s="39" t="str">
        <x:v>PMO/کوچ؛ شفاف‌سازی قبل از ورود به WIP</x:v>
      </x:c>
      <x:c r="K3244" s="39" t="str"/>
      <x:c r="L3244" s="39" t="str">
        <x:v>AP:P1530</x:v>
      </x:c>
      <x:c r="M3244" s="39" t="str"/>
      <x:c r="N3244" s="39" t="str">
        <x:v>نسخه پایه ۳۱۵۰</x:v>
      </x:c>
    </x:row>
    <x:row r="3245" ht="34" customHeight="1">
      <x:c r="A3245" s="34" t="str">
        <x:v>☐</x:v>
      </x:c>
      <x:c r="B3245" s="34" t="str">
        <x:v>MI-1555</x:v>
      </x:c>
      <x:c r="C3245" s="34" t="str">
        <x:v>M6 — تحلیل‌های خام و ورودی‌های نیازمند پالایش</x:v>
      </x:c>
      <x:c r="D3245" s="34" t="str">
        <x:v>H23</x:v>
      </x:c>
      <x:c r="E3245" s="34" t="str">
        <x:v>عنوان/موضوع عمومی نیازمند تعریف خروجی</x:v>
      </x:c>
      <x:c r="F3245" s="34" t="str">
        <x:v>P3/CLARIFY</x:v>
      </x:c>
      <x:c r="G3245" s="34" t="str">
        <x:v>هدف/موضوع</x:v>
      </x:c>
      <x:c r="H3245" s="39" t="str">
        <x:v>ابعاد جهادی</x:v>
      </x:c>
      <x:c r="I3245" s="39" t="str">
        <x:v>نیازمند تعریف خروجی یا پارک</x:v>
      </x:c>
      <x:c r="J3245" s="39" t="str">
        <x:v>PMO/کوچ؛ شفاف‌سازی قبل از ورود به WIP</x:v>
      </x:c>
      <x:c r="K3245" s="39" t="str"/>
      <x:c r="L3245" s="39" t="str">
        <x:v>AP:P1542</x:v>
      </x:c>
      <x:c r="M3245" s="39" t="str"/>
      <x:c r="N3245" s="39" t="str">
        <x:v>نسخه پایه ۳۱۵۰</x:v>
      </x:c>
    </x:row>
    <x:row r="3246" ht="34" customHeight="1">
      <x:c r="A3246" s="34" t="str">
        <x:v>☐</x:v>
      </x:c>
      <x:c r="B3246" s="34" t="str">
        <x:v>MI-1556</x:v>
      </x:c>
      <x:c r="C3246" s="34" t="str">
        <x:v>M6 — تحلیل‌های خام و ورودی‌های نیازمند پالایش</x:v>
      </x:c>
      <x:c r="D3246" s="34" t="str">
        <x:v>H23</x:v>
      </x:c>
      <x:c r="E3246" s="34" t="str">
        <x:v>عنوان/موضوع عمومی نیازمند تعریف خروجی</x:v>
      </x:c>
      <x:c r="F3246" s="34" t="str">
        <x:v>P3/CLARIFY</x:v>
      </x:c>
      <x:c r="G3246" s="34" t="str">
        <x:v>هدف/موضوع</x:v>
      </x:c>
      <x:c r="H3246" s="39" t="str">
        <x:v>جهاد نظامی</x:v>
      </x:c>
      <x:c r="I3246" s="39" t="str">
        <x:v>نیازمند تعریف خروجی یا پارک</x:v>
      </x:c>
      <x:c r="J3246" s="39" t="str">
        <x:v>PMO/کوچ؛ شفاف‌سازی قبل از ورود به WIP</x:v>
      </x:c>
      <x:c r="K3246" s="39" t="str"/>
      <x:c r="L3246" s="39" t="str">
        <x:v>AP:P1543</x:v>
      </x:c>
      <x:c r="M3246" s="39" t="str"/>
      <x:c r="N3246" s="39" t="str">
        <x:v>نسخه پایه ۳۱۵۰</x:v>
      </x:c>
    </x:row>
    <x:row r="3247" ht="34" customHeight="1">
      <x:c r="A3247" s="34" t="str">
        <x:v>☐</x:v>
      </x:c>
      <x:c r="B3247" s="34" t="str">
        <x:v>MI-1559</x:v>
      </x:c>
      <x:c r="C3247" s="34" t="str">
        <x:v>M6 — تحلیل‌های خام و ورودی‌های نیازمند پالایش</x:v>
      </x:c>
      <x:c r="D3247" s="34" t="str">
        <x:v>H23</x:v>
      </x:c>
      <x:c r="E3247" s="34" t="str">
        <x:v>عنوان/موضوع عمومی نیازمند تعریف خروجی</x:v>
      </x:c>
      <x:c r="F3247" s="34" t="str">
        <x:v>P3/CLARIFY</x:v>
      </x:c>
      <x:c r="G3247" s="34" t="str">
        <x:v>هدف/موضوع</x:v>
      </x:c>
      <x:c r="H3247" s="39" t="str">
        <x:v>جهاد اخلاقی ( جهاد با نفس)</x:v>
      </x:c>
      <x:c r="I3247" s="39" t="str">
        <x:v>نیازمند تعریف خروجی یا پارک</x:v>
      </x:c>
      <x:c r="J3247" s="39" t="str">
        <x:v>PMO/کوچ؛ شفاف‌سازی قبل از ورود به WIP</x:v>
      </x:c>
      <x:c r="K3247" s="39" t="str"/>
      <x:c r="L3247" s="39" t="str">
        <x:v>AP:P1547</x:v>
      </x:c>
      <x:c r="M3247" s="39" t="str"/>
      <x:c r="N3247" s="39" t="str">
        <x:v>نسخه پایه ۳۱۵۰</x:v>
      </x:c>
    </x:row>
    <x:row r="3248" ht="34" customHeight="1">
      <x:c r="A3248" s="34" t="str">
        <x:v>☐</x:v>
      </x:c>
      <x:c r="B3248" s="34" t="str">
        <x:v>MI-1560</x:v>
      </x:c>
      <x:c r="C3248" s="34" t="str">
        <x:v>M6 — تحلیل‌های خام و ورودی‌های نیازمند پالایش</x:v>
      </x:c>
      <x:c r="D3248" s="34" t="str">
        <x:v>H23</x:v>
      </x:c>
      <x:c r="E3248" s="34" t="str">
        <x:v>عنوان/موضوع عمومی نیازمند تعریف خروجی</x:v>
      </x:c>
      <x:c r="F3248" s="34" t="str">
        <x:v>P3/CLARIFY</x:v>
      </x:c>
      <x:c r="G3248" s="34" t="str">
        <x:v>هدف/موضوع</x:v>
      </x:c>
      <x:c r="H3248" s="39" t="str">
        <x:v>جهاد فکری</x:v>
      </x:c>
      <x:c r="I3248" s="39" t="str">
        <x:v>نیازمند تعریف خروجی یا پارک</x:v>
      </x:c>
      <x:c r="J3248" s="39" t="str">
        <x:v>PMO/کوچ؛ شفاف‌سازی قبل از ورود به WIP</x:v>
      </x:c>
      <x:c r="K3248" s="39" t="str"/>
      <x:c r="L3248" s="39" t="str">
        <x:v>AP:P1548</x:v>
      </x:c>
      <x:c r="M3248" s="39" t="str"/>
      <x:c r="N3248" s="39" t="str">
        <x:v>نسخه پایه ۳۱۵۰</x:v>
      </x:c>
    </x:row>
    <x:row r="3249" ht="34" customHeight="1">
      <x:c r="A3249" s="34" t="str">
        <x:v>☐</x:v>
      </x:c>
      <x:c r="B3249" s="34" t="str">
        <x:v>MI-1562</x:v>
      </x:c>
      <x:c r="C3249" s="34" t="str">
        <x:v>M6 — تحلیل‌های خام و ورودی‌های نیازمند پالایش</x:v>
      </x:c>
      <x:c r="D3249" s="34" t="str">
        <x:v>H23</x:v>
      </x:c>
      <x:c r="E3249" s="34" t="str">
        <x:v>عنوان/موضوع عمومی نیازمند تعریف خروجی</x:v>
      </x:c>
      <x:c r="F3249" s="34" t="str">
        <x:v>P3/CLARIFY</x:v>
      </x:c>
      <x:c r="G3249" s="34" t="str">
        <x:v>هدف/موضوع</x:v>
      </x:c>
      <x:c r="H3249" s="39" t="str">
        <x:v>جهاد هنری</x:v>
      </x:c>
      <x:c r="I3249" s="39" t="str">
        <x:v>نیازمند تعریف خروجی یا پارک</x:v>
      </x:c>
      <x:c r="J3249" s="39" t="str">
        <x:v>PMO/کوچ؛ شفاف‌سازی قبل از ورود به WIP</x:v>
      </x:c>
      <x:c r="K3249" s="39" t="str"/>
      <x:c r="L3249" s="39" t="str">
        <x:v>AP:P1550</x:v>
      </x:c>
      <x:c r="M3249" s="39" t="str"/>
      <x:c r="N3249" s="39" t="str">
        <x:v>نسخه پایه ۳۱۵۰</x:v>
      </x:c>
    </x:row>
    <x:row r="3250" ht="34" customHeight="1">
      <x:c r="A3250" s="34" t="str">
        <x:v>☐</x:v>
      </x:c>
      <x:c r="B3250" s="34" t="str">
        <x:v>MI-1564</x:v>
      </x:c>
      <x:c r="C3250" s="34" t="str">
        <x:v>M6 — تحلیل‌های خام و ورودی‌های نیازمند پالایش</x:v>
      </x:c>
      <x:c r="D3250" s="34" t="str">
        <x:v>H23</x:v>
      </x:c>
      <x:c r="E3250" s="34" t="str">
        <x:v>عنوان/موضوع عمومی نیازمند تعریف خروجی</x:v>
      </x:c>
      <x:c r="F3250" s="34" t="str">
        <x:v>P3/CLARIFY</x:v>
      </x:c>
      <x:c r="G3250" s="34" t="str">
        <x:v>هدف/موضوع</x:v>
      </x:c>
      <x:c r="H3250" s="39" t="str">
        <x:v>جهاد اجتماعی</x:v>
      </x:c>
      <x:c r="I3250" s="39" t="str">
        <x:v>نیازمند تعریف خروجی یا پارک</x:v>
      </x:c>
      <x:c r="J3250" s="39" t="str">
        <x:v>PMO/کوچ؛ شفاف‌سازی قبل از ورود به WIP</x:v>
      </x:c>
      <x:c r="K3250" s="39" t="str"/>
      <x:c r="L3250" s="39" t="str">
        <x:v>AP:P1552</x:v>
      </x:c>
      <x:c r="M3250" s="39" t="str"/>
      <x:c r="N3250" s="39" t="str">
        <x:v>نسخه پایه ۳۱۵۰</x:v>
      </x:c>
    </x:row>
    <x:row r="3251" ht="34" customHeight="1">
      <x:c r="A3251" s="34" t="str">
        <x:v>☐</x:v>
      </x:c>
      <x:c r="B3251" s="34" t="str">
        <x:v>MI-1565</x:v>
      </x:c>
      <x:c r="C3251" s="34" t="str">
        <x:v>M6 — تحلیل‌های خام و ورودی‌های نیازمند پالایش</x:v>
      </x:c>
      <x:c r="D3251" s="34" t="str">
        <x:v>H23</x:v>
      </x:c>
      <x:c r="E3251" s="34" t="str">
        <x:v>عنوان/موضوع عمومی نیازمند تعریف خروجی</x:v>
      </x:c>
      <x:c r="F3251" s="34" t="str">
        <x:v>P3/CLARIFY</x:v>
      </x:c>
      <x:c r="G3251" s="34" t="str">
        <x:v>هدف/موضوع</x:v>
      </x:c>
      <x:c r="H3251" s="39" t="str">
        <x:v>جهاد خانوادگی</x:v>
      </x:c>
      <x:c r="I3251" s="39" t="str">
        <x:v>نیازمند تعریف خروجی یا پارک</x:v>
      </x:c>
      <x:c r="J3251" s="39" t="str">
        <x:v>PMO/کوچ؛ شفاف‌سازی قبل از ورود به WIP</x:v>
      </x:c>
      <x:c r="K3251" s="39" t="str"/>
      <x:c r="L3251" s="39" t="str">
        <x:v>AP:P1553</x:v>
      </x:c>
      <x:c r="M3251" s="39" t="str"/>
      <x:c r="N3251" s="39" t="str">
        <x:v>نسخه پایه ۳۱۵۰</x:v>
      </x:c>
    </x:row>
  </x:sheetData>
  <x:mergeCells>
    <x:mergeCell ref="A1:N1"/>
    <x:mergeCell ref="A2:N2"/>
  </x:mergeCells>
  <x:conditionalFormatting sqref="A4:N3251">
    <x:cfRule type="expression" dxfId="0" priority="1">
      <x:formula>$A4="☑"</x:formula>
    </x:cfRule>
  </x:conditionalFormatting>
  <x:dataValidations count="1">
    <x:dataValidation type="list" sqref="A4:A3251">
      <x:formula1>"☐,☑"</x:formula1>
    </x:dataValidation>
  </x:dataValidations>
  <x:pageMargins left="0.7" right="0.7" top="0.75" bottom="0.75" header="0.3" footer="0.3"/>
  <x:tableParts count="1">
    <x:tablePart xmlns:r="http://schemas.openxmlformats.org/officeDocument/2006/relationships" r:id="Rbf93daab8d5e457f"/>
  </x:tableParts>
</x:worksheet>
</file>

<file path=xl/worksheets/sheet3.xml><?xml version="1.0" encoding="utf-8"?>
<x:worksheet xmlns:x="http://schemas.openxmlformats.org/spreadsheetml/2006/main">
  <x:sheetFormatPr defaultRowHeight="15"/>
  <x:cols>
    <x:col min="1" max="1" width="8" hidden="0" customWidth="1"/>
    <x:col min="2" max="2" width="13" hidden="0" customWidth="1"/>
    <x:col min="3" max="3" width="14" hidden="0" customWidth="1"/>
    <x:col min="4" max="4" width="34" hidden="0" customWidth="1"/>
    <x:col min="5" max="5" width="8" hidden="0" customWidth="1"/>
    <x:col min="6" max="6" width="26" hidden="0" customWidth="1"/>
    <x:col min="7" max="7" width="55" hidden="0" customWidth="1"/>
    <x:col min="8" max="8" width="34" hidden="0" customWidth="1"/>
    <x:col min="9" max="9" width="30" hidden="0" customWidth="1"/>
    <x:col min="10" max="10" width="12" hidden="0" customWidth="1"/>
  </x:cols>
  <x:sheetData>
    <x:row r="1">
      <x:c r="A1" s="6" t="str">
        <x:v>تمرکز اجرایی — فقط P0 / P0-P1 / P1</x:v>
      </x:c>
      <x:c r="B1" s="6"/>
      <x:c r="C1" s="6"/>
      <x:c r="D1" s="6"/>
      <x:c r="E1" s="6"/>
      <x:c r="F1" s="6"/>
      <x:c r="G1" s="6"/>
      <x:c r="H1" s="6"/>
      <x:c r="I1" s="6"/>
      <x:c r="J1" s="6"/>
    </x:row>
    <x:row r="2">
      <x:c r="A2" s="46" t="str">
        <x:v>این شیت برای مشاهده سریع اولویت‌های فعال است؛ تیک‌زدن و یادداشت‌نویسی در «01-همه آیتم‌ها» انجام می‌شود.</x:v>
      </x:c>
      <x:c r="B2" s="46"/>
      <x:c r="C2" s="46"/>
      <x:c r="D2" s="46"/>
      <x:c r="E2" s="46"/>
      <x:c r="F2" s="46"/>
      <x:c r="G2" s="46"/>
      <x:c r="H2" s="46"/>
      <x:c r="I2" s="46"/>
      <x:c r="J2" s="46"/>
    </x:row>
    <x:row r="4">
      <x:c r="A4" s="53" t="str">
        <x:v>کل آیتم‌های تمرکز</x:v>
      </x:c>
      <x:c r="B4" s="58" t="n">
        <x:v>219</x:v>
      </x:c>
      <x:c r="C4" s="53" t="str">
        <x:v>تکمیل</x:v>
      </x:c>
      <x:c r="D4" s="58" t="n">
        <x:f>COUNTIF($A$7:$A$225,"☑")</x:f>
        <x:v>0</x:v>
      </x:c>
      <x:c r="E4" s="53" t="str">
        <x:v>باقی</x:v>
      </x:c>
      <x:c r="F4" s="58" t="n">
        <x:f>B4-D4</x:f>
        <x:v>219</x:v>
      </x:c>
      <x:c r="G4" s="53" t="str">
        <x:v>پیشرفت</x:v>
      </x:c>
      <x:c r="H4" s="62" t="n">
        <x:f>IF(B4=0,0,D4/B4)</x:f>
        <x:v>0</x:v>
      </x:c>
    </x:row>
    <x:row r="6">
      <x:c r="A6" s="26" t="str">
        <x:v>وضعیت</x:v>
      </x:c>
      <x:c r="B6" s="26" t="str">
        <x:v>ID</x:v>
      </x:c>
      <x:c r="C6" s="26" t="str">
        <x:v>اولویت</x:v>
      </x:c>
      <x:c r="D6" s="26" t="str">
        <x:v>حوزه مادر</x:v>
      </x:c>
      <x:c r="E6" s="26" t="str">
        <x:v>H</x:v>
      </x:c>
      <x:c r="F6" s="26" t="str">
        <x:v>عنوان دسته</x:v>
      </x:c>
      <x:c r="G6" s="26" t="str">
        <x:v>آیتم</x:v>
      </x:c>
      <x:c r="H6" s="26" t="str">
        <x:v>تصمیم تیم</x:v>
      </x:c>
      <x:c r="I6" s="26" t="str">
        <x:v>یادداشت</x:v>
      </x:c>
      <x:c r="J6" s="26" t="str">
        <x:v>باز کردن</x:v>
      </x:c>
    </x:row>
    <x:row r="7">
      <x:c r="A7" s="34" t="str">
        <x:f>'01-همه آیتم‌ها'!$A$74</x:f>
        <x:v>☐</x:v>
      </x:c>
      <x:c r="B7" s="34" t="str">
        <x:v>MI-0001</x:v>
      </x:c>
      <x:c r="C7" s="34" t="str">
        <x:v>P0</x:v>
      </x:c>
      <x:c r="D7" s="34" t="str">
        <x:v>M1 — فرد، پایه‌های عملکرد و خودشناسی</x:v>
      </x:c>
      <x:c r="E7" s="34" t="str">
        <x:v>H1</x:v>
      </x:c>
      <x:c r="F7" s="34" t="str">
        <x:v>پایه‌های زندگی و خودمدیریتی</x:v>
      </x:c>
      <x:c r="G7" s="39" t="str">
        <x:v>روانشناسی کنترل خشم و استرس و تحمل و صبر</x:v>
      </x:c>
      <x:c r="H7" s="39" t="str">
        <x:v>اکنون؛ پایه عملکرد</x:v>
      </x:c>
      <x:c r="I7" s="39" t="n">
        <x:f>'01-همه آیتم‌ها'!$M$74</x:f>
        <x:v>0</x:v>
      </x:c>
      <x:c r="J7" s="39" t="e">
        <x:f>HYPERLINK("#'01-همه آیتم‌ها'!A74","باز کردن")</x:f>
        <x:v>HYPERLINK is not implemented. linkLocation=#'01-همه آیتم‌ها'!A74, friendlyName=باز کردن</x:v>
      </x:c>
    </x:row>
    <x:row r="8">
      <x:c r="A8" s="34" t="str">
        <x:f>'01-همه آیتم‌ها'!$A$13</x:f>
        <x:v>☐</x:v>
      </x:c>
      <x:c r="B8" s="34" t="str">
        <x:v>MI-0005</x:v>
      </x:c>
      <x:c r="C8" s="34" t="str">
        <x:v>P0</x:v>
      </x:c>
      <x:c r="D8" s="34" t="str">
        <x:v>M1 — فرد، پایه‌های عملکرد و خودشناسی</x:v>
      </x:c>
      <x:c r="E8" s="34" t="str">
        <x:v>H1</x:v>
      </x:c>
      <x:c r="F8" s="34" t="str">
        <x:v>پایه‌های زندگی و خودمدیریتی</x:v>
      </x:c>
      <x:c r="G8" s="39" t="str">
        <x:v>افزایش دایره لغات انگلیسی</x:v>
      </x:c>
      <x:c r="H8" s="39" t="str">
        <x:v>اکنون؛ پایه عملکرد</x:v>
      </x:c>
      <x:c r="I8" s="39" t="n">
        <x:f>'01-همه آیتم‌ها'!$M$13</x:f>
        <x:v>0</x:v>
      </x:c>
      <x:c r="J8" s="39" t="e">
        <x:f>HYPERLINK("#'01-همه آیتم‌ها'!A13","باز کردن")</x:f>
        <x:v>HYPERLINK is not implemented. linkLocation=#'01-همه آیتم‌ها'!A13, friendlyName=باز کردن</x:v>
      </x:c>
    </x:row>
    <x:row r="9">
      <x:c r="A9" s="34" t="str">
        <x:f>'01-همه آیتم‌ها'!$A$14</x:f>
        <x:v>☐</x:v>
      </x:c>
      <x:c r="B9" s="34" t="str">
        <x:v>MI-0019</x:v>
      </x:c>
      <x:c r="C9" s="34" t="str">
        <x:v>P0</x:v>
      </x:c>
      <x:c r="D9" s="34" t="str">
        <x:v>M1 — فرد، پایه‌های عملکرد و خودشناسی</x:v>
      </x:c>
      <x:c r="E9" s="34" t="str">
        <x:v>H1</x:v>
      </x:c>
      <x:c r="F9" s="34" t="str">
        <x:v>پایه‌های زندگی و خودمدیریتی</x:v>
      </x:c>
      <x:c r="G9" s="39" t="str">
        <x:v>آشنایی با نرم افزار املاک</x:v>
      </x:c>
      <x:c r="H9" s="39" t="str">
        <x:v>اکنون؛ پایه عملکرد</x:v>
      </x:c>
      <x:c r="I9" s="39" t="n">
        <x:f>'01-همه آیتم‌ها'!$M$14</x:f>
        <x:v>0</x:v>
      </x:c>
      <x:c r="J9" s="39" t="e">
        <x:f>HYPERLINK("#'01-همه آیتم‌ها'!A14","باز کردن")</x:f>
        <x:v>HYPERLINK is not implemented. linkLocation=#'01-همه آیتم‌ها'!A14, friendlyName=باز کردن</x:v>
      </x:c>
    </x:row>
    <x:row r="10">
      <x:c r="A10" s="34" t="str">
        <x:f>'01-همه آیتم‌ها'!$A$15</x:f>
        <x:v>☐</x:v>
      </x:c>
      <x:c r="B10" s="34" t="str">
        <x:v>MI-0021</x:v>
      </x:c>
      <x:c r="C10" s="34" t="str">
        <x:v>P0</x:v>
      </x:c>
      <x:c r="D10" s="34" t="str">
        <x:v>M1 — فرد، پایه‌های عملکرد و خودشناسی</x:v>
      </x:c>
      <x:c r="E10" s="34" t="str">
        <x:v>H1</x:v>
      </x:c>
      <x:c r="F10" s="34" t="str">
        <x:v>پایه‌های زندگی و خودمدیریتی</x:v>
      </x:c>
      <x:c r="G10" s="39" t="str">
        <x:v>برنامه ریزی بسیار جدی تر برای دروس دانشگاه نوشیروانی بابل</x:v>
      </x:c>
      <x:c r="H10" s="39" t="str">
        <x:v>اکنون؛ پایه عملکرد</x:v>
      </x:c>
      <x:c r="I10" s="39" t="n">
        <x:f>'01-همه آیتم‌ها'!$M$15</x:f>
        <x:v>0</x:v>
      </x:c>
      <x:c r="J10" s="39" t="e">
        <x:f>HYPERLINK("#'01-همه آیتم‌ها'!A15","باز کردن")</x:f>
        <x:v>HYPERLINK is not implemented. linkLocation=#'01-همه آیتم‌ها'!A15, friendlyName=باز کردن</x:v>
      </x:c>
    </x:row>
    <x:row r="11">
      <x:c r="A11" s="34" t="str">
        <x:f>'01-همه آیتم‌ها'!$A$16</x:f>
        <x:v>☐</x:v>
      </x:c>
      <x:c r="B11" s="34" t="str">
        <x:v>MI-0022</x:v>
      </x:c>
      <x:c r="C11" s="34" t="str">
        <x:v>P0</x:v>
      </x:c>
      <x:c r="D11" s="34" t="str">
        <x:v>M1 — فرد، پایه‌های عملکرد و خودشناسی</x:v>
      </x:c>
      <x:c r="E11" s="34" t="str">
        <x:v>H1</x:v>
      </x:c>
      <x:c r="F11" s="34" t="str">
        <x:v>پایه‌های زندگی و خودمدیریتی</x:v>
      </x:c>
      <x:c r="G11" s="39" t="str">
        <x:v>برنامه ریزی جدی برای دروس دانشگاه پیام نور</x:v>
      </x:c>
      <x:c r="H11" s="39" t="str">
        <x:v>اکنون؛ پایه عملکرد</x:v>
      </x:c>
      <x:c r="I11" s="39" t="n">
        <x:f>'01-همه آیتم‌ها'!$M$16</x:f>
        <x:v>0</x:v>
      </x:c>
      <x:c r="J11" s="39" t="e">
        <x:f>HYPERLINK("#'01-همه آیتم‌ها'!A16","باز کردن")</x:f>
        <x:v>HYPERLINK is not implemented. linkLocation=#'01-همه آیتم‌ها'!A16, friendlyName=باز کردن</x:v>
      </x:c>
    </x:row>
    <x:row r="12">
      <x:c r="A12" s="34" t="str">
        <x:f>'01-همه آیتم‌ها'!$A$17</x:f>
        <x:v>☐</x:v>
      </x:c>
      <x:c r="B12" s="34" t="str">
        <x:v>MI-0023</x:v>
      </x:c>
      <x:c r="C12" s="34" t="str">
        <x:v>P0</x:v>
      </x:c>
      <x:c r="D12" s="34" t="str">
        <x:v>M1 — فرد، پایه‌های عملکرد و خودشناسی</x:v>
      </x:c>
      <x:c r="E12" s="34" t="str">
        <x:v>H1</x:v>
      </x:c>
      <x:c r="F12" s="34" t="str">
        <x:v>پایه‌های زندگی و خودمدیریتی</x:v>
      </x:c>
      <x:c r="G12" s="39" t="str">
        <x:v>برنامه ریزی دقیق و علمگرا هییت دانشگاه</x:v>
      </x:c>
      <x:c r="H12" s="39" t="str">
        <x:v>اکنون؛ پایه عملکرد</x:v>
      </x:c>
      <x:c r="I12" s="39" t="n">
        <x:f>'01-همه آیتم‌ها'!$M$17</x:f>
        <x:v>0</x:v>
      </x:c>
      <x:c r="J12" s="39" t="e">
        <x:f>HYPERLINK("#'01-همه آیتم‌ها'!A17","باز کردن")</x:f>
        <x:v>HYPERLINK is not implemented. linkLocation=#'01-همه آیتم‌ها'!A17, friendlyName=باز کردن</x:v>
      </x:c>
    </x:row>
    <x:row r="13">
      <x:c r="A13" s="34" t="str">
        <x:f>'01-همه آیتم‌ها'!$A$18</x:f>
        <x:v>☐</x:v>
      </x:c>
      <x:c r="B13" s="34" t="str">
        <x:v>MI-0029</x:v>
      </x:c>
      <x:c r="C13" s="34" t="str">
        <x:v>P0</x:v>
      </x:c>
      <x:c r="D13" s="34" t="str">
        <x:v>M1 — فرد، پایه‌های عملکرد و خودشناسی</x:v>
      </x:c>
      <x:c r="E13" s="34" t="str">
        <x:v>H1</x:v>
      </x:c>
      <x:c r="F13" s="34" t="str">
        <x:v>پایه‌های زندگی و خودمدیریتی</x:v>
      </x:c>
      <x:c r="G13" s="39" t="str">
        <x:v>تدریس ریاضی و فیزیک</x:v>
      </x:c>
      <x:c r="H13" s="39" t="str">
        <x:v>اکنون؛ پایه عملکرد</x:v>
      </x:c>
      <x:c r="I13" s="39" t="n">
        <x:f>'01-همه آیتم‌ها'!$M$18</x:f>
        <x:v>0</x:v>
      </x:c>
      <x:c r="J13" s="39" t="e">
        <x:f>HYPERLINK("#'01-همه آیتم‌ها'!A18","باز کردن")</x:f>
        <x:v>HYPERLINK is not implemented. linkLocation=#'01-همه آیتم‌ها'!A18, friendlyName=باز کردن</x:v>
      </x:c>
    </x:row>
    <x:row r="14">
      <x:c r="A14" s="34" t="str">
        <x:f>'01-همه آیتم‌ها'!$A$75</x:f>
        <x:v>☐</x:v>
      </x:c>
      <x:c r="B14" s="34" t="str">
        <x:v>MI-0040</x:v>
      </x:c>
      <x:c r="C14" s="34" t="str">
        <x:v>P0</x:v>
      </x:c>
      <x:c r="D14" s="34" t="str">
        <x:v>M1 — فرد، پایه‌های عملکرد و خودشناسی</x:v>
      </x:c>
      <x:c r="E14" s="34" t="str">
        <x:v>H1</x:v>
      </x:c>
      <x:c r="F14" s="34" t="str">
        <x:v>پایه‌های زندگی و خودمدیریتی</x:v>
      </x:c>
      <x:c r="G14" s="39" t="str">
        <x:v>روانشناسی تاریک در مذاکره</x:v>
      </x:c>
      <x:c r="H14" s="39" t="str">
        <x:v>اکنون؛ پایه عملکرد</x:v>
      </x:c>
      <x:c r="I14" s="39" t="n">
        <x:f>'01-همه آیتم‌ها'!$M$75</x:f>
        <x:v>0</x:v>
      </x:c>
      <x:c r="J14" s="39" t="e">
        <x:f>HYPERLINK("#'01-همه آیتم‌ها'!A75","باز کردن")</x:f>
        <x:v>HYPERLINK is not implemented. linkLocation=#'01-همه آیتم‌ها'!A75, friendlyName=باز کردن</x:v>
      </x:c>
    </x:row>
    <x:row r="15">
      <x:c r="A15" s="34" t="str">
        <x:f>'01-همه آیتم‌ها'!$A$4</x:f>
        <x:v>☐</x:v>
      </x:c>
      <x:c r="B15" s="34" t="str">
        <x:v>MI-0049</x:v>
      </x:c>
      <x:c r="C15" s="34" t="str">
        <x:v>P0</x:v>
      </x:c>
      <x:c r="D15" s="34" t="str">
        <x:v>M1 — فرد، پایه‌های عملکرد و خودشناسی</x:v>
      </x:c>
      <x:c r="E15" s="34" t="str">
        <x:v>H1</x:v>
      </x:c>
      <x:c r="F15" s="34" t="str">
        <x:v>پایه‌های زندگی و خودمدیریتی</x:v>
      </x:c>
      <x:c r="G15" s="39" t="str">
        <x:v>گذاشتن قرار دوستانه دبیرستانی</x:v>
      </x:c>
      <x:c r="H15" s="39" t="str">
        <x:v>اکنون؛ پایه عملکرد</x:v>
      </x:c>
      <x:c r="I15" s="39" t="n">
        <x:f>'01-همه آیتم‌ها'!$M$4</x:f>
        <x:v>0</x:v>
      </x:c>
      <x:c r="J15" s="39" t="e">
        <x:f>HYPERLINK("#'01-همه آیتم‌ها'!A4","باز کردن")</x:f>
        <x:v>HYPERLINK is not implemented. linkLocation=#'01-همه آیتم‌ها'!A4, friendlyName=باز کردن</x:v>
      </x:c>
    </x:row>
    <x:row r="16">
      <x:c r="A16" s="34" t="str">
        <x:f>'01-همه آیتم‌ها'!$A$19</x:f>
        <x:v>☐</x:v>
      </x:c>
      <x:c r="B16" s="34" t="str">
        <x:v>MI-0050</x:v>
      </x:c>
      <x:c r="C16" s="34" t="str">
        <x:v>P0</x:v>
      </x:c>
      <x:c r="D16" s="34" t="str">
        <x:v>M1 — فرد، پایه‌های عملکرد و خودشناسی</x:v>
      </x:c>
      <x:c r="E16" s="34" t="str">
        <x:v>H1</x:v>
      </x:c>
      <x:c r="F16" s="34" t="str">
        <x:v>پایه‌های زندگی و خودمدیریتی</x:v>
      </x:c>
      <x:c r="G16" s="39" t="str">
        <x:v>گرفتن گواهینامه پایه 1</x:v>
      </x:c>
      <x:c r="H16" s="39" t="str">
        <x:v>اکنون؛ پایه عملکرد</x:v>
      </x:c>
      <x:c r="I16" s="39" t="n">
        <x:f>'01-همه آیتم‌ها'!$M$19</x:f>
        <x:v>0</x:v>
      </x:c>
      <x:c r="J16" s="39" t="e">
        <x:f>HYPERLINK("#'01-همه آیتم‌ها'!A19","باز کردن")</x:f>
        <x:v>HYPERLINK is not implemented. linkLocation=#'01-همه آیتم‌ها'!A19, friendlyName=باز کردن</x:v>
      </x:c>
    </x:row>
    <x:row r="17">
      <x:c r="A17" s="34" t="str">
        <x:f>'01-همه آیتم‌ها'!$A$20</x:f>
        <x:v>☐</x:v>
      </x:c>
      <x:c r="B17" s="34" t="str">
        <x:v>MI-0051</x:v>
      </x:c>
      <x:c r="C17" s="34" t="str">
        <x:v>P0</x:v>
      </x:c>
      <x:c r="D17" s="34" t="str">
        <x:v>M1 — فرد، پایه‌های عملکرد و خودشناسی</x:v>
      </x:c>
      <x:c r="E17" s="34" t="str">
        <x:v>H1</x:v>
      </x:c>
      <x:c r="F17" s="34" t="str">
        <x:v>پایه‌های زندگی و خودمدیریتی</x:v>
      </x:c>
      <x:c r="G17" s="39" t="str">
        <x:v>گرفتن مدرک cnc</x:v>
      </x:c>
      <x:c r="H17" s="39" t="str">
        <x:v>اکنون؛ پایه عملکرد</x:v>
      </x:c>
      <x:c r="I17" s="39" t="n">
        <x:f>'01-همه آیتم‌ها'!$M$20</x:f>
        <x:v>0</x:v>
      </x:c>
      <x:c r="J17" s="39" t="e">
        <x:f>HYPERLINK("#'01-همه آیتم‌ها'!A20","باز کردن")</x:f>
        <x:v>HYPERLINK is not implemented. linkLocation=#'01-همه آیتم‌ها'!A20, friendlyName=باز کردن</x:v>
      </x:c>
    </x:row>
    <x:row r="18">
      <x:c r="A18" s="34" t="str">
        <x:f>'01-همه آیتم‌ها'!$A$21</x:f>
        <x:v>☐</x:v>
      </x:c>
      <x:c r="B18" s="34" t="str">
        <x:v>MI-0053</x:v>
      </x:c>
      <x:c r="C18" s="34" t="str">
        <x:v>P0</x:v>
      </x:c>
      <x:c r="D18" s="34" t="str">
        <x:v>M1 — فرد، پایه‌های عملکرد و خودشناسی</x:v>
      </x:c>
      <x:c r="E18" s="34" t="str">
        <x:v>H1</x:v>
      </x:c>
      <x:c r="F18" s="34" t="str">
        <x:v>پایه‌های زندگی و خودمدیریتی</x:v>
      </x:c>
      <x:c r="G18" s="39" t="str">
        <x:v>گرفتن مدرک آیلتس</x:v>
      </x:c>
      <x:c r="H18" s="39" t="str">
        <x:v>اکنون؛ پایه عملکرد</x:v>
      </x:c>
      <x:c r="I18" s="39" t="n">
        <x:f>'01-همه آیتم‌ها'!$M$21</x:f>
        <x:v>0</x:v>
      </x:c>
      <x:c r="J18" s="39" t="e">
        <x:f>HYPERLINK("#'01-همه آیتم‌ها'!A21","باز کردن")</x:f>
        <x:v>HYPERLINK is not implemented. linkLocation=#'01-همه آیتم‌ها'!A21, friendlyName=باز کردن</x:v>
      </x:c>
    </x:row>
    <x:row r="19">
      <x:c r="A19" s="34" t="str">
        <x:f>'01-همه آیتم‌ها'!$A$22</x:f>
        <x:v>☐</x:v>
      </x:c>
      <x:c r="B19" s="34" t="str">
        <x:v>MI-0055</x:v>
      </x:c>
      <x:c r="C19" s="34" t="str">
        <x:v>P0</x:v>
      </x:c>
      <x:c r="D19" s="34" t="str">
        <x:v>M1 — فرد، پایه‌های عملکرد و خودشناسی</x:v>
      </x:c>
      <x:c r="E19" s="34" t="str">
        <x:v>H1</x:v>
      </x:c>
      <x:c r="F19" s="34" t="str">
        <x:v>پایه‌های زندگی و خودمدیریتی</x:v>
      </x:c>
      <x:c r="G19" s="39" t="str">
        <x:v>گرفتن مدرک تکنسین داروخانه</x:v>
      </x:c>
      <x:c r="H19" s="39" t="str">
        <x:v>اکنون؛ پایه عملکرد</x:v>
      </x:c>
      <x:c r="I19" s="39" t="n">
        <x:f>'01-همه آیتم‌ها'!$M$22</x:f>
        <x:v>0</x:v>
      </x:c>
      <x:c r="J19" s="39" t="e">
        <x:f>HYPERLINK("#'01-همه آیتم‌ها'!A22","باز کردن")</x:f>
        <x:v>HYPERLINK is not implemented. linkLocation=#'01-همه آیتم‌ها'!A22, friendlyName=باز کردن</x:v>
      </x:c>
    </x:row>
    <x:row r="20">
      <x:c r="A20" s="34" t="str">
        <x:f>'01-همه آیتم‌ها'!$A$23</x:f>
        <x:v>☐</x:v>
      </x:c>
      <x:c r="B20" s="34" t="str">
        <x:v>MI-0059</x:v>
      </x:c>
      <x:c r="C20" s="34" t="str">
        <x:v>P0</x:v>
      </x:c>
      <x:c r="D20" s="34" t="str">
        <x:v>M1 — فرد، پایه‌های عملکرد و خودشناسی</x:v>
      </x:c>
      <x:c r="E20" s="34" t="str">
        <x:v>H1</x:v>
      </x:c>
      <x:c r="F20" s="34" t="str">
        <x:v>پایه‌های زندگی و خودمدیریتی</x:v>
      </x:c>
      <x:c r="G20" s="39" t="str">
        <x:v>یادگیری AutoCAD Mechanical</x:v>
      </x:c>
      <x:c r="H20" s="39" t="str">
        <x:v>اکنون؛ پایه عملکرد</x:v>
      </x:c>
      <x:c r="I20" s="39" t="n">
        <x:f>'01-همه آیتم‌ها'!$M$23</x:f>
        <x:v>0</x:v>
      </x:c>
      <x:c r="J20" s="39" t="e">
        <x:f>HYPERLINK("#'01-همه آیتم‌ها'!A23","باز کردن")</x:f>
        <x:v>HYPERLINK is not implemented. linkLocation=#'01-همه آیتم‌ها'!A23, friendlyName=باز کردن</x:v>
      </x:c>
    </x:row>
    <x:row r="21">
      <x:c r="A21" s="34" t="str">
        <x:f>'01-همه آیتم‌ها'!$A$24</x:f>
        <x:v>☐</x:v>
      </x:c>
      <x:c r="B21" s="34" t="str">
        <x:v>MI-0061</x:v>
      </x:c>
      <x:c r="C21" s="34" t="str">
        <x:v>P0</x:v>
      </x:c>
      <x:c r="D21" s="34" t="str">
        <x:v>M1 — فرد، پایه‌های عملکرد و خودشناسی</x:v>
      </x:c>
      <x:c r="E21" s="34" t="str">
        <x:v>H1</x:v>
      </x:c>
      <x:c r="F21" s="34" t="str">
        <x:v>پایه‌های زندگی و خودمدیریتی</x:v>
      </x:c>
      <x:c r="G21" s="39" t="str">
        <x:v>یادگیری اصول و فنون مذاکره</x:v>
      </x:c>
      <x:c r="H21" s="39" t="str">
        <x:v>اکنون؛ پایه عملکرد</x:v>
      </x:c>
      <x:c r="I21" s="39" t="n">
        <x:f>'01-همه آیتم‌ها'!$M$24</x:f>
        <x:v>0</x:v>
      </x:c>
      <x:c r="J21" s="39" t="e">
        <x:f>HYPERLINK("#'01-همه آیتم‌ها'!A24","باز کردن")</x:f>
        <x:v>HYPERLINK is not implemented. linkLocation=#'01-همه آیتم‌ها'!A24, friendlyName=باز کردن</x:v>
      </x:c>
    </x:row>
    <x:row r="22">
      <x:c r="A22" s="34" t="str">
        <x:f>'01-همه آیتم‌ها'!$A$25</x:f>
        <x:v>☐</x:v>
      </x:c>
      <x:c r="B22" s="34" t="str">
        <x:v>MI-0067</x:v>
      </x:c>
      <x:c r="C22" s="34" t="str">
        <x:v>P0</x:v>
      </x:c>
      <x:c r="D22" s="34" t="str">
        <x:v>M1 — فرد، پایه‌های عملکرد و خودشناسی</x:v>
      </x:c>
      <x:c r="E22" s="34" t="str">
        <x:v>H1</x:v>
      </x:c>
      <x:c r="F22" s="34" t="str">
        <x:v>پایه‌های زندگی و خودمدیریتی</x:v>
      </x:c>
      <x:c r="G22" s="39" t="str">
        <x:v>یادگیری روش تعامل با افراد گوناگون</x:v>
      </x:c>
      <x:c r="H22" s="39" t="str">
        <x:v>اکنون؛ پایه عملکرد</x:v>
      </x:c>
      <x:c r="I22" s="39" t="n">
        <x:f>'01-همه آیتم‌ها'!$M$25</x:f>
        <x:v>0</x:v>
      </x:c>
      <x:c r="J22" s="39" t="e">
        <x:f>HYPERLINK("#'01-همه آیتم‌ها'!A25","باز کردن")</x:f>
        <x:v>HYPERLINK is not implemented. linkLocation=#'01-همه آیتم‌ها'!A25, friendlyName=باز کردن</x:v>
      </x:c>
    </x:row>
    <x:row r="23">
      <x:c r="A23" s="34" t="str">
        <x:f>'01-همه آیتم‌ها'!$A$26</x:f>
        <x:v>☐</x:v>
      </x:c>
      <x:c r="B23" s="34" t="str">
        <x:v>MI-0068</x:v>
      </x:c>
      <x:c r="C23" s="34" t="str">
        <x:v>P0</x:v>
      </x:c>
      <x:c r="D23" s="34" t="str">
        <x:v>M1 — فرد، پایه‌های عملکرد و خودشناسی</x:v>
      </x:c>
      <x:c r="E23" s="34" t="str">
        <x:v>H1</x:v>
      </x:c>
      <x:c r="F23" s="34" t="str">
        <x:v>پایه‌های زندگی و خودمدیریتی</x:v>
      </x:c>
      <x:c r="G23" s="39" t="str">
        <x:v>یادگیری زبان برنامه نویسی اندروید</x:v>
      </x:c>
      <x:c r="H23" s="39" t="str">
        <x:v>اکنون؛ پایه عملکرد</x:v>
      </x:c>
      <x:c r="I23" s="39" t="n">
        <x:f>'01-همه آیتم‌ها'!$M$26</x:f>
        <x:v>0</x:v>
      </x:c>
      <x:c r="J23" s="39" t="e">
        <x:f>HYPERLINK("#'01-همه آیتم‌ها'!A26","باز کردن")</x:f>
        <x:v>HYPERLINK is not implemented. linkLocation=#'01-همه آیتم‌ها'!A26, friendlyName=باز کردن</x:v>
      </x:c>
    </x:row>
    <x:row r="24">
      <x:c r="A24" s="34" t="str">
        <x:f>'01-همه آیتم‌ها'!$A$27</x:f>
        <x:v>☐</x:v>
      </x:c>
      <x:c r="B24" s="34" t="str">
        <x:v>MI-0070</x:v>
      </x:c>
      <x:c r="C24" s="34" t="str">
        <x:v>P0</x:v>
      </x:c>
      <x:c r="D24" s="34" t="str">
        <x:v>M1 — فرد، پایه‌های عملکرد و خودشناسی</x:v>
      </x:c>
      <x:c r="E24" s="34" t="str">
        <x:v>H1</x:v>
      </x:c>
      <x:c r="F24" s="34" t="str">
        <x:v>پایه‌های زندگی و خودمدیریتی</x:v>
      </x:c>
      <x:c r="G24" s="39" t="str">
        <x:v>یادگیری عربی خمسه عراق - دبی</x:v>
      </x:c>
      <x:c r="H24" s="39" t="str">
        <x:v>اکنون؛ پایه عملکرد</x:v>
      </x:c>
      <x:c r="I24" s="39" t="n">
        <x:f>'01-همه آیتم‌ها'!$M$27</x:f>
        <x:v>0</x:v>
      </x:c>
      <x:c r="J24" s="39" t="e">
        <x:f>HYPERLINK("#'01-همه آیتم‌ها'!A27","باز کردن")</x:f>
        <x:v>HYPERLINK is not implemented. linkLocation=#'01-همه آیتم‌ها'!A27, friendlyName=باز کردن</x:v>
      </x:c>
    </x:row>
    <x:row r="25">
      <x:c r="A25" s="34" t="str">
        <x:f>'01-همه آیتم‌ها'!$A$28</x:f>
        <x:v>☐</x:v>
      </x:c>
      <x:c r="B25" s="34" t="str">
        <x:v>MI-0071</x:v>
      </x:c>
      <x:c r="C25" s="34" t="str">
        <x:v>P0</x:v>
      </x:c>
      <x:c r="D25" s="34" t="str">
        <x:v>M1 — فرد، پایه‌های عملکرد و خودشناسی</x:v>
      </x:c>
      <x:c r="E25" s="34" t="str">
        <x:v>H1</x:v>
      </x:c>
      <x:c r="F25" s="34" t="str">
        <x:v>پایه‌های زندگی و خودمدیریتی</x:v>
      </x:c>
      <x:c r="G25" s="39" t="str">
        <x:v>یادگیری فن سخنوری</x:v>
      </x:c>
      <x:c r="H25" s="39" t="str">
        <x:v>اکنون؛ پایه عملکرد</x:v>
      </x:c>
      <x:c r="I25" s="39" t="n">
        <x:f>'01-همه آیتم‌ها'!$M$28</x:f>
        <x:v>0</x:v>
      </x:c>
      <x:c r="J25" s="39" t="e">
        <x:f>HYPERLINK("#'01-همه آیتم‌ها'!A28","باز کردن")</x:f>
        <x:v>HYPERLINK is not implemented. linkLocation=#'01-همه آیتم‌ها'!A28, friendlyName=باز کردن</x:v>
      </x:c>
    </x:row>
    <x:row r="26">
      <x:c r="A26" s="34" t="str">
        <x:f>'01-همه آیتم‌ها'!$A$29</x:f>
        <x:v>☐</x:v>
      </x:c>
      <x:c r="B26" s="34" t="str">
        <x:v>MI-0077</x:v>
      </x:c>
      <x:c r="C26" s="34" t="str">
        <x:v>P0</x:v>
      </x:c>
      <x:c r="D26" s="34" t="str">
        <x:v>M1 — فرد، پایه‌های عملکرد و خودشناسی</x:v>
      </x:c>
      <x:c r="E26" s="34" t="str">
        <x:v>H1</x:v>
      </x:c>
      <x:c r="F26" s="34" t="str">
        <x:v>پایه‌های زندگی و خودمدیریتی</x:v>
      </x:c>
      <x:c r="G26" s="39" t="str">
        <x:v>یادگیری هوش هیجانی و قدرت تصمیم گیری بالا در لحظه</x:v>
      </x:c>
      <x:c r="H26" s="39" t="str">
        <x:v>اکنون؛ پایه عملکرد</x:v>
      </x:c>
      <x:c r="I26" s="39" t="n">
        <x:f>'01-همه آیتم‌ها'!$M$29</x:f>
        <x:v>0</x:v>
      </x:c>
      <x:c r="J26" s="39" t="e">
        <x:f>HYPERLINK("#'01-همه آیتم‌ها'!A29","باز کردن")</x:f>
        <x:v>HYPERLINK is not implemented. linkLocation=#'01-همه آیتم‌ها'!A29, friendlyName=باز کردن</x:v>
      </x:c>
    </x:row>
    <x:row r="27">
      <x:c r="A27" s="34" t="str">
        <x:f>'01-همه آیتم‌ها'!$A$30</x:f>
        <x:v>☐</x:v>
      </x:c>
      <x:c r="B27" s="34" t="str">
        <x:v>MI-0090</x:v>
      </x:c>
      <x:c r="C27" s="34" t="str">
        <x:v>P0</x:v>
      </x:c>
      <x:c r="D27" s="34" t="str">
        <x:v>M1 — فرد، پایه‌های عملکرد و خودشناسی</x:v>
      </x:c>
      <x:c r="E27" s="34" t="str">
        <x:v>H1</x:v>
      </x:c>
      <x:c r="F27" s="34" t="str">
        <x:v>پایه‌های زندگی و خودمدیریتی</x:v>
      </x:c>
      <x:c r="G27" s="39" t="str">
        <x:v>مهارت شبکه سازی</x:v>
      </x:c>
      <x:c r="H27" s="39" t="str">
        <x:v>اکنون؛ پایه عملکرد</x:v>
      </x:c>
      <x:c r="I27" s="39" t="n">
        <x:f>'01-همه آیتم‌ها'!$M$30</x:f>
        <x:v>0</x:v>
      </x:c>
      <x:c r="J27" s="39" t="e">
        <x:f>HYPERLINK("#'01-همه آیتم‌ها'!A30","باز کردن")</x:f>
        <x:v>HYPERLINK is not implemented. linkLocation=#'01-همه آیتم‌ها'!A30, friendlyName=باز کردن</x:v>
      </x:c>
    </x:row>
    <x:row r="28">
      <x:c r="A28" s="34" t="str">
        <x:f>'01-همه آیتم‌ها'!$A$76</x:f>
        <x:v>☐</x:v>
      </x:c>
      <x:c r="B28" s="34" t="str">
        <x:v>MI-0100</x:v>
      </x:c>
      <x:c r="C28" s="34" t="str">
        <x:v>P0</x:v>
      </x:c>
      <x:c r="D28" s="34" t="str">
        <x:v>M1 — فرد، پایه‌های عملکرد و خودشناسی</x:v>
      </x:c>
      <x:c r="E28" s="34" t="str">
        <x:v>H1</x:v>
      </x:c>
      <x:c r="F28" s="34" t="str">
        <x:v>پایه‌های زندگی و خودمدیریتی</x:v>
      </x:c>
      <x:c r="G28" s="39" t="str">
        <x:v>مدیریت راهبردی کسب و کار</x:v>
      </x:c>
      <x:c r="H28" s="39" t="str">
        <x:v>اکنون؛ پایه عملکرد</x:v>
      </x:c>
      <x:c r="I28" s="39" t="n">
        <x:f>'01-همه آیتم‌ها'!$M$76</x:f>
        <x:v>0</x:v>
      </x:c>
      <x:c r="J28" s="39" t="e">
        <x:f>HYPERLINK("#'01-همه آیتم‌ها'!A76","باز کردن")</x:f>
        <x:v>HYPERLINK is not implemented. linkLocation=#'01-همه آیتم‌ها'!A76, friendlyName=باز کردن</x:v>
      </x:c>
    </x:row>
    <x:row r="29">
      <x:c r="A29" s="34" t="str">
        <x:f>'01-همه آیتم‌ها'!$A$77</x:f>
        <x:v>☐</x:v>
      </x:c>
      <x:c r="B29" s="34" t="str">
        <x:v>MI-0101</x:v>
      </x:c>
      <x:c r="C29" s="34" t="str">
        <x:v>P0</x:v>
      </x:c>
      <x:c r="D29" s="34" t="str">
        <x:v>M1 — فرد، پایه‌های عملکرد و خودشناسی</x:v>
      </x:c>
      <x:c r="E29" s="34" t="str">
        <x:v>H1</x:v>
      </x:c>
      <x:c r="F29" s="34" t="str">
        <x:v>پایه‌های زندگی و خودمدیریتی</x:v>
      </x:c>
      <x:c r="G29" s="39" t="str">
        <x:v>مدیریت کسب و کار</x:v>
      </x:c>
      <x:c r="H29" s="39" t="str">
        <x:v>اکنون؛ پایه عملکرد</x:v>
      </x:c>
      <x:c r="I29" s="39" t="n">
        <x:f>'01-همه آیتم‌ها'!$M$77</x:f>
        <x:v>0</x:v>
      </x:c>
      <x:c r="J29" s="39" t="e">
        <x:f>HYPERLINK("#'01-همه آیتم‌ها'!A77","باز کردن")</x:f>
        <x:v>HYPERLINK is not implemented. linkLocation=#'01-همه آیتم‌ها'!A77, friendlyName=باز کردن</x:v>
      </x:c>
    </x:row>
    <x:row r="30">
      <x:c r="A30" s="34" t="str">
        <x:f>'01-همه آیتم‌ها'!$A$78</x:f>
        <x:v>☐</x:v>
      </x:c>
      <x:c r="B30" s="34" t="str">
        <x:v>MI-0104</x:v>
      </x:c>
      <x:c r="C30" s="34" t="str">
        <x:v>P0</x:v>
      </x:c>
      <x:c r="D30" s="34" t="str">
        <x:v>M1 — فرد، پایه‌های عملکرد و خودشناسی</x:v>
      </x:c>
      <x:c r="E30" s="34" t="str">
        <x:v>H1</x:v>
      </x:c>
      <x:c r="F30" s="34" t="str">
        <x:v>پایه‌های زندگی و خودمدیریتی</x:v>
      </x:c>
      <x:c r="G30" s="39" t="str">
        <x:v>مدیریت اجرایی</x:v>
      </x:c>
      <x:c r="H30" s="39" t="str">
        <x:v>اکنون؛ پایه عملکرد</x:v>
      </x:c>
      <x:c r="I30" s="39" t="n">
        <x:f>'01-همه آیتم‌ها'!$M$78</x:f>
        <x:v>0</x:v>
      </x:c>
      <x:c r="J30" s="39" t="e">
        <x:f>HYPERLINK("#'01-همه آیتم‌ها'!A78","باز کردن")</x:f>
        <x:v>HYPERLINK is not implemented. linkLocation=#'01-همه آیتم‌ها'!A78, friendlyName=باز کردن</x:v>
      </x:c>
    </x:row>
    <x:row r="31">
      <x:c r="A31" s="34" t="str">
        <x:f>'01-همه آیتم‌ها'!$A$31</x:f>
        <x:v>☐</x:v>
      </x:c>
      <x:c r="B31" s="34" t="str">
        <x:v>MI-0110</x:v>
      </x:c>
      <x:c r="C31" s="34" t="str">
        <x:v>P0</x:v>
      </x:c>
      <x:c r="D31" s="34" t="str">
        <x:v>M1 — فرد، پایه‌های عملکرد و خودشناسی</x:v>
      </x:c>
      <x:c r="E31" s="34" t="str">
        <x:v>H1</x:v>
      </x:c>
      <x:c r="F31" s="34" t="str">
        <x:v>پایه‌های زندگی و خودمدیریتی</x:v>
      </x:c>
      <x:c r="G31" s="39" t="str">
        <x:v>خلاقیت و ایده پردازی</x:v>
      </x:c>
      <x:c r="H31" s="39" t="str">
        <x:v>اکنون؛ پایه عملکرد</x:v>
      </x:c>
      <x:c r="I31" s="39" t="n">
        <x:f>'01-همه آیتم‌ها'!$M$31</x:f>
        <x:v>0</x:v>
      </x:c>
      <x:c r="J31" s="39" t="e">
        <x:f>HYPERLINK("#'01-همه آیتم‌ها'!A31","باز کردن")</x:f>
        <x:v>HYPERLINK is not implemented. linkLocation=#'01-همه آیتم‌ها'!A31, friendlyName=باز کردن</x:v>
      </x:c>
    </x:row>
    <x:row r="32">
      <x:c r="A32" s="34" t="str">
        <x:f>'01-همه آیتم‌ها'!$A$32</x:f>
        <x:v>☐</x:v>
      </x:c>
      <x:c r="B32" s="34" t="str">
        <x:v>MI-0113</x:v>
      </x:c>
      <x:c r="C32" s="34" t="str">
        <x:v>P0</x:v>
      </x:c>
      <x:c r="D32" s="34" t="str">
        <x:v>M1 — فرد، پایه‌های عملکرد و خودشناسی</x:v>
      </x:c>
      <x:c r="E32" s="34" t="str">
        <x:v>H1</x:v>
      </x:c>
      <x:c r="F32" s="34" t="str">
        <x:v>پایه‌های زندگی و خودمدیریتی</x:v>
      </x:c>
      <x:c r="G32" s="39" t="str">
        <x:v>flask</x:v>
      </x:c>
      <x:c r="H32" s="39" t="str">
        <x:v>اکنون؛ پایه عملکرد</x:v>
      </x:c>
      <x:c r="I32" s="39" t="n">
        <x:f>'01-همه آیتم‌ها'!$M$32</x:f>
        <x:v>0</x:v>
      </x:c>
      <x:c r="J32" s="39" t="e">
        <x:f>HYPERLINK("#'01-همه آیتم‌ها'!A32","باز کردن")</x:f>
        <x:v>HYPERLINK is not implemented. linkLocation=#'01-همه آیتم‌ها'!A32, friendlyName=باز کردن</x:v>
      </x:c>
    </x:row>
    <x:row r="33">
      <x:c r="A33" s="34" t="str">
        <x:f>'01-همه آیتم‌ها'!$A$33</x:f>
        <x:v>☐</x:v>
      </x:c>
      <x:c r="B33" s="34" t="str">
        <x:v>MI-0117</x:v>
      </x:c>
      <x:c r="C33" s="34" t="str">
        <x:v>P0</x:v>
      </x:c>
      <x:c r="D33" s="34" t="str">
        <x:v>M1 — فرد، پایه‌های عملکرد و خودشناسی</x:v>
      </x:c>
      <x:c r="E33" s="34" t="str">
        <x:v>H1</x:v>
      </x:c>
      <x:c r="F33" s="34" t="str">
        <x:v>پایه‌های زندگی و خودمدیریتی</x:v>
      </x:c>
      <x:c r="G33" s="39" t="str">
        <x:v>etap</x:v>
      </x:c>
      <x:c r="H33" s="39" t="str">
        <x:v>اکنون؛ پایه عملکرد</x:v>
      </x:c>
      <x:c r="I33" s="39" t="n">
        <x:f>'01-همه آیتم‌ها'!$M$33</x:f>
        <x:v>0</x:v>
      </x:c>
      <x:c r="J33" s="39" t="e">
        <x:f>HYPERLINK("#'01-همه آیتم‌ها'!A33","باز کردن")</x:f>
        <x:v>HYPERLINK is not implemented. linkLocation=#'01-همه آیتم‌ها'!A33, friendlyName=باز کردن</x:v>
      </x:c>
    </x:row>
    <x:row r="34">
      <x:c r="A34" s="34" t="str">
        <x:f>'01-همه آیتم‌ها'!$A$34</x:f>
        <x:v>☐</x:v>
      </x:c>
      <x:c r="B34" s="34" t="str">
        <x:v>MI-0122</x:v>
      </x:c>
      <x:c r="C34" s="34" t="str">
        <x:v>P0</x:v>
      </x:c>
      <x:c r="D34" s="34" t="str">
        <x:v>M1 — فرد، پایه‌های عملکرد و خودشناسی</x:v>
      </x:c>
      <x:c r="E34" s="34" t="str">
        <x:v>H1</x:v>
      </x:c>
      <x:c r="F34" s="34" t="str">
        <x:v>پایه‌های زندگی و خودمدیریتی</x:v>
      </x:c>
      <x:c r="G34" s="39" t="str">
        <x:v>odoo</x:v>
      </x:c>
      <x:c r="H34" s="39" t="str">
        <x:v>اکنون؛ پایه عملکرد</x:v>
      </x:c>
      <x:c r="I34" s="39" t="n">
        <x:f>'01-همه آیتم‌ها'!$M$34</x:f>
        <x:v>0</x:v>
      </x:c>
      <x:c r="J34" s="39" t="e">
        <x:f>HYPERLINK("#'01-همه آیتم‌ها'!A34","باز کردن")</x:f>
        <x:v>HYPERLINK is not implemented. linkLocation=#'01-همه آیتم‌ها'!A34, friendlyName=باز کردن</x:v>
      </x:c>
    </x:row>
    <x:row r="35">
      <x:c r="A35" s="34" t="str">
        <x:f>'01-همه آیتم‌ها'!$A$35</x:f>
        <x:v>☐</x:v>
      </x:c>
      <x:c r="B35" s="34" t="str">
        <x:v>MI-0123</x:v>
      </x:c>
      <x:c r="C35" s="34" t="str">
        <x:v>P0</x:v>
      </x:c>
      <x:c r="D35" s="34" t="str">
        <x:v>M1 — فرد، پایه‌های عملکرد و خودشناسی</x:v>
      </x:c>
      <x:c r="E35" s="34" t="str">
        <x:v>H1</x:v>
      </x:c>
      <x:c r="F35" s="34" t="str">
        <x:v>پایه‌های زندگی و خودمدیریتی</x:v>
      </x:c>
      <x:c r="G35" s="39" t="str">
        <x:v>crm</x:v>
      </x:c>
      <x:c r="H35" s="39" t="str">
        <x:v>اکنون؛ پایه عملکرد</x:v>
      </x:c>
      <x:c r="I35" s="39" t="n">
        <x:f>'01-همه آیتم‌ها'!$M$35</x:f>
        <x:v>0</x:v>
      </x:c>
      <x:c r="J35" s="39" t="e">
        <x:f>HYPERLINK("#'01-همه آیتم‌ها'!A35","باز کردن")</x:f>
        <x:v>HYPERLINK is not implemented. linkLocation=#'01-همه آیتم‌ها'!A35, friendlyName=باز کردن</x:v>
      </x:c>
    </x:row>
    <x:row r="36">
      <x:c r="A36" s="34" t="str">
        <x:f>'01-همه آیتم‌ها'!$A$36</x:f>
        <x:v>☐</x:v>
      </x:c>
      <x:c r="B36" s="34" t="str">
        <x:v>MI-0162</x:v>
      </x:c>
      <x:c r="C36" s="34" t="str">
        <x:v>P0</x:v>
      </x:c>
      <x:c r="D36" s="34" t="str">
        <x:v>M1 — فرد، پایه‌های عملکرد و خودشناسی</x:v>
      </x:c>
      <x:c r="E36" s="34" t="str">
        <x:v>H1</x:v>
      </x:c>
      <x:c r="F36" s="34" t="str">
        <x:v>پایه‌های زندگی و خودمدیریتی</x:v>
      </x:c>
      <x:c r="G36" s="39" t="str">
        <x:v>SIMULINK</x:v>
      </x:c>
      <x:c r="H36" s="39" t="str">
        <x:v>اکنون؛ پایه عملکرد</x:v>
      </x:c>
      <x:c r="I36" s="39" t="n">
        <x:f>'01-همه آیتم‌ها'!$M$36</x:f>
        <x:v>0</x:v>
      </x:c>
      <x:c r="J36" s="39" t="e">
        <x:f>HYPERLINK("#'01-همه آیتم‌ها'!A36","باز کردن")</x:f>
        <x:v>HYPERLINK is not implemented. linkLocation=#'01-همه آیتم‌ها'!A36, friendlyName=باز کردن</x:v>
      </x:c>
    </x:row>
    <x:row r="37">
      <x:c r="A37" s="34" t="str">
        <x:f>'01-همه آیتم‌ها'!$A$37</x:f>
        <x:v>☐</x:v>
      </x:c>
      <x:c r="B37" s="34" t="str">
        <x:v>MI-0173</x:v>
      </x:c>
      <x:c r="C37" s="34" t="str">
        <x:v>P0</x:v>
      </x:c>
      <x:c r="D37" s="34" t="str">
        <x:v>M1 — فرد، پایه‌های عملکرد و خودشناسی</x:v>
      </x:c>
      <x:c r="E37" s="34" t="str">
        <x:v>H1</x:v>
      </x:c>
      <x:c r="F37" s="34" t="str">
        <x:v>پایه‌های زندگی و خودمدیریتی</x:v>
      </x:c>
      <x:c r="G37" s="39" t="str">
        <x:v>جستجو در منابع سریع</x:v>
      </x:c>
      <x:c r="H37" s="39" t="str">
        <x:v>اکنون؛ پایه عملکرد</x:v>
      </x:c>
      <x:c r="I37" s="39" t="n">
        <x:f>'01-همه آیتم‌ها'!$M$37</x:f>
        <x:v>0</x:v>
      </x:c>
      <x:c r="J37" s="39" t="e">
        <x:f>HYPERLINK("#'01-همه آیتم‌ها'!A37","باز کردن")</x:f>
        <x:v>HYPERLINK is not implemented. linkLocation=#'01-همه آیتم‌ها'!A37, friendlyName=باز کردن</x:v>
      </x:c>
    </x:row>
    <x:row r="38">
      <x:c r="A38" s="34" t="str">
        <x:f>'01-همه آیتم‌ها'!$A$5</x:f>
        <x:v>☐</x:v>
      </x:c>
      <x:c r="B38" s="34" t="str">
        <x:v>MI-0179</x:v>
      </x:c>
      <x:c r="C38" s="34" t="str">
        <x:v>P0</x:v>
      </x:c>
      <x:c r="D38" s="34" t="str">
        <x:v>M1 — فرد، پایه‌های عملکرد و خودشناسی</x:v>
      </x:c>
      <x:c r="E38" s="34" t="str">
        <x:v>H1</x:v>
      </x:c>
      <x:c r="F38" s="34" t="str">
        <x:v>پایه‌های زندگی و خودمدیریتی</x:v>
      </x:c>
      <x:c r="G38" s="39" t="str">
        <x:v>برنامه ریزی شهری</x:v>
      </x:c>
      <x:c r="H38" s="39" t="str">
        <x:v>اکنون؛ پایه عملکرد</x:v>
      </x:c>
      <x:c r="I38" s="39" t="n">
        <x:f>'01-همه آیتم‌ها'!$M$5</x:f>
        <x:v>0</x:v>
      </x:c>
      <x:c r="J38" s="39" t="e">
        <x:f>HYPERLINK("#'01-همه آیتم‌ها'!A5","باز کردن")</x:f>
        <x:v>HYPERLINK is not implemented. linkLocation=#'01-همه آیتم‌ها'!A5, friendlyName=باز کردن</x:v>
      </x:c>
    </x:row>
    <x:row r="39">
      <x:c r="A39" s="34" t="str">
        <x:f>'01-همه آیتم‌ها'!$A$38</x:f>
        <x:v>☐</x:v>
      </x:c>
      <x:c r="B39" s="34" t="str">
        <x:v>MI-0186</x:v>
      </x:c>
      <x:c r="C39" s="34" t="str">
        <x:v>P0</x:v>
      </x:c>
      <x:c r="D39" s="34" t="str">
        <x:v>M1 — فرد، پایه‌های عملکرد و خودشناسی</x:v>
      </x:c>
      <x:c r="E39" s="34" t="str">
        <x:v>H1</x:v>
      </x:c>
      <x:c r="F39" s="34" t="str">
        <x:v>پایه‌های زندگی و خودمدیریتی</x:v>
      </x:c>
      <x:c r="G39" s="39" t="str">
        <x:v>فن بیان</x:v>
      </x:c>
      <x:c r="H39" s="39" t="str">
        <x:v>اکنون؛ پایه عملکرد</x:v>
      </x:c>
      <x:c r="I39" s="39" t="n">
        <x:f>'01-همه آیتم‌ها'!$M$38</x:f>
        <x:v>0</x:v>
      </x:c>
      <x:c r="J39" s="39" t="e">
        <x:f>HYPERLINK("#'01-همه آیتم‌ها'!A38","باز کردن")</x:f>
        <x:v>HYPERLINK is not implemented. linkLocation=#'01-همه آیتم‌ها'!A38, friendlyName=باز کردن</x:v>
      </x:c>
    </x:row>
    <x:row r="40">
      <x:c r="A40" s="34" t="str">
        <x:f>'01-همه آیتم‌ها'!$A$79</x:f>
        <x:v>☐</x:v>
      </x:c>
      <x:c r="B40" s="34" t="str">
        <x:v>MI-0190</x:v>
      </x:c>
      <x:c r="C40" s="34" t="str">
        <x:v>P0</x:v>
      </x:c>
      <x:c r="D40" s="34" t="str">
        <x:v>M1 — فرد، پایه‌های عملکرد و خودشناسی</x:v>
      </x:c>
      <x:c r="E40" s="34" t="str">
        <x:v>H1</x:v>
      </x:c>
      <x:c r="F40" s="34" t="str">
        <x:v>پایه‌های زندگی و خودمدیریتی</x:v>
      </x:c>
      <x:c r="G40" s="39" t="str">
        <x:v>مدیریت دولتی</x:v>
      </x:c>
      <x:c r="H40" s="39" t="str">
        <x:v>اکنون؛ پایه عملکرد</x:v>
      </x:c>
      <x:c r="I40" s="39" t="n">
        <x:f>'01-همه آیتم‌ها'!$M$79</x:f>
        <x:v>0</x:v>
      </x:c>
      <x:c r="J40" s="39" t="e">
        <x:f>HYPERLINK("#'01-همه آیتم‌ها'!A79","باز کردن")</x:f>
        <x:v>HYPERLINK is not implemented. linkLocation=#'01-همه آیتم‌ها'!A79, friendlyName=باز کردن</x:v>
      </x:c>
    </x:row>
    <x:row r="41">
      <x:c r="A41" s="34" t="str">
        <x:f>'01-همه آیتم‌ها'!$A$80</x:f>
        <x:v>☐</x:v>
      </x:c>
      <x:c r="B41" s="34" t="str">
        <x:v>MI-0191</x:v>
      </x:c>
      <x:c r="C41" s="34" t="str">
        <x:v>P0</x:v>
      </x:c>
      <x:c r="D41" s="34" t="str">
        <x:v>M1 — فرد، پایه‌های عملکرد و خودشناسی</x:v>
      </x:c>
      <x:c r="E41" s="34" t="str">
        <x:v>H1</x:v>
      </x:c>
      <x:c r="F41" s="34" t="str">
        <x:v>پایه‌های زندگی و خودمدیریتی</x:v>
      </x:c>
      <x:c r="G41" s="39" t="str">
        <x:v>تصمیم گیری و خط مشی گذاری</x:v>
      </x:c>
      <x:c r="H41" s="39" t="str">
        <x:v>اکنون؛ پایه عملکرد</x:v>
      </x:c>
      <x:c r="I41" s="39" t="n">
        <x:f>'01-همه آیتم‌ها'!$M$80</x:f>
        <x:v>0</x:v>
      </x:c>
      <x:c r="J41" s="39" t="e">
        <x:f>HYPERLINK("#'01-همه آیتم‌ها'!A80","باز کردن")</x:f>
        <x:v>HYPERLINK is not implemented. linkLocation=#'01-همه آیتم‌ها'!A80, friendlyName=باز کردن</x:v>
      </x:c>
    </x:row>
    <x:row r="42">
      <x:c r="A42" s="34" t="str">
        <x:f>'01-همه آیتم‌ها'!$A$81</x:f>
        <x:v>☐</x:v>
      </x:c>
      <x:c r="B42" s="34" t="str">
        <x:v>MI-0208</x:v>
      </x:c>
      <x:c r="C42" s="34" t="str">
        <x:v>P0</x:v>
      </x:c>
      <x:c r="D42" s="34" t="str">
        <x:v>M1 — فرد، پایه‌های عملکرد و خودشناسی</x:v>
      </x:c>
      <x:c r="E42" s="34" t="str">
        <x:v>H1</x:v>
      </x:c>
      <x:c r="F42" s="34" t="str">
        <x:v>پایه‌های زندگی و خودمدیریتی</x:v>
      </x:c>
      <x:c r="G42" s="39" t="str">
        <x:v>توسعه فردی و رهبری تیم</x:v>
      </x:c>
      <x:c r="H42" s="39" t="str">
        <x:v>اکنون؛ پایه عملکرد</x:v>
      </x:c>
      <x:c r="I42" s="39" t="n">
        <x:f>'01-همه آیتم‌ها'!$M$81</x:f>
        <x:v>0</x:v>
      </x:c>
      <x:c r="J42" s="39" t="e">
        <x:f>HYPERLINK("#'01-همه آیتم‌ها'!A81","باز کردن")</x:f>
        <x:v>HYPERLINK is not implemented. linkLocation=#'01-همه آیتم‌ها'!A81, friendlyName=باز کردن</x:v>
      </x:c>
    </x:row>
    <x:row r="43">
      <x:c r="A43" s="34" t="str">
        <x:f>'01-همه آیتم‌ها'!$A$82</x:f>
        <x:v>☐</x:v>
      </x:c>
      <x:c r="B43" s="34" t="str">
        <x:v>MI-1434</x:v>
      </x:c>
      <x:c r="C43" s="34" t="str">
        <x:v>P0</x:v>
      </x:c>
      <x:c r="D43" s="34" t="str">
        <x:v>M1 — فرد، پایه‌های عملکرد و خودشناسی</x:v>
      </x:c>
      <x:c r="E43" s="34" t="str">
        <x:v>H1</x:v>
      </x:c>
      <x:c r="F43" s="34" t="str">
        <x:v>پایه‌های زندگی و خودمدیریتی</x:v>
      </x:c>
      <x:c r="G43" s="39" t="str">
        <x:v>مدیریت معنوی</x:v>
      </x:c>
      <x:c r="H43" s="39" t="str">
        <x:v>اکنون؛ پایه عملکرد</x:v>
      </x:c>
      <x:c r="I43" s="39" t="n">
        <x:f>'01-همه آیتم‌ها'!$M$82</x:f>
        <x:v>0</x:v>
      </x:c>
      <x:c r="J43" s="39" t="e">
        <x:f>HYPERLINK("#'01-همه آیتم‌ها'!A82","باز کردن")</x:f>
        <x:v>HYPERLINK is not implemented. linkLocation=#'01-همه آیتم‌ها'!A82, friendlyName=باز کردن</x:v>
      </x:c>
    </x:row>
    <x:row r="44">
      <x:c r="A44" s="34" t="str">
        <x:f>'01-همه آیتم‌ها'!$A$39</x:f>
        <x:v>☐</x:v>
      </x:c>
      <x:c r="B44" s="34" t="str">
        <x:v>MI-1435</x:v>
      </x:c>
      <x:c r="C44" s="34" t="str">
        <x:v>P0</x:v>
      </x:c>
      <x:c r="D44" s="34" t="str">
        <x:v>M1 — فرد، پایه‌های عملکرد و خودشناسی</x:v>
      </x:c>
      <x:c r="E44" s="34" t="str">
        <x:v>H1</x:v>
      </x:c>
      <x:c r="F44" s="34" t="str">
        <x:v>پایه‌های زندگی و خودمدیریتی</x:v>
      </x:c>
      <x:c r="G44" s="39" t="str">
        <x:v>دوره ترک گناه</x:v>
      </x:c>
      <x:c r="H44" s="39" t="str">
        <x:v>اکنون؛ پایه عملکرد</x:v>
      </x:c>
      <x:c r="I44" s="39" t="n">
        <x:f>'01-همه آیتم‌ها'!$M$39</x:f>
        <x:v>0</x:v>
      </x:c>
      <x:c r="J44" s="39" t="e">
        <x:f>HYPERLINK("#'01-همه آیتم‌ها'!A39","باز کردن")</x:f>
        <x:v>HYPERLINK is not implemented. linkLocation=#'01-همه آیتم‌ها'!A39, friendlyName=باز کردن</x:v>
      </x:c>
    </x:row>
    <x:row r="45">
      <x:c r="A45" s="34" t="str">
        <x:f>'01-همه آیتم‌ها'!$A$83</x:f>
        <x:v>☐</x:v>
      </x:c>
      <x:c r="B45" s="34" t="str">
        <x:v>MI-1438</x:v>
      </x:c>
      <x:c r="C45" s="34" t="str">
        <x:v>P0</x:v>
      </x:c>
      <x:c r="D45" s="34" t="str">
        <x:v>M1 — فرد، پایه‌های عملکرد و خودشناسی</x:v>
      </x:c>
      <x:c r="E45" s="34" t="str">
        <x:v>H1</x:v>
      </x:c>
      <x:c r="F45" s="34" t="str">
        <x:v>پایه‌های زندگی و خودمدیریتی</x:v>
      </x:c>
      <x:c r="G45" s="39" t="str">
        <x:v>معنویات</x:v>
      </x:c>
      <x:c r="H45" s="39" t="str">
        <x:v>اکنون؛ پایه عملکرد</x:v>
      </x:c>
      <x:c r="I45" s="39" t="n">
        <x:f>'01-همه آیتم‌ها'!$M$83</x:f>
        <x:v>0</x:v>
      </x:c>
      <x:c r="J45" s="39" t="e">
        <x:f>HYPERLINK("#'01-همه آیتم‌ها'!A83","باز کردن")</x:f>
        <x:v>HYPERLINK is not implemented. linkLocation=#'01-همه آیتم‌ها'!A83, friendlyName=باز کردن</x:v>
      </x:c>
    </x:row>
    <x:row r="46">
      <x:c r="A46" s="34" t="str">
        <x:f>'01-همه آیتم‌ها'!$A$84</x:f>
        <x:v>☐</x:v>
      </x:c>
      <x:c r="B46" s="34" t="str">
        <x:v>MI-1439</x:v>
      </x:c>
      <x:c r="C46" s="34" t="str">
        <x:v>P0</x:v>
      </x:c>
      <x:c r="D46" s="34" t="str">
        <x:v>M1 — فرد، پایه‌های عملکرد و خودشناسی</x:v>
      </x:c>
      <x:c r="E46" s="34" t="str">
        <x:v>H1</x:v>
      </x:c>
      <x:c r="F46" s="34" t="str">
        <x:v>پایه‌های زندگی و خودمدیریتی</x:v>
      </x:c>
      <x:c r="G46" s="39" t="str">
        <x:v>دعای هفتم و دعای 22 صحیفه سجادیه</x:v>
      </x:c>
      <x:c r="H46" s="39" t="str">
        <x:v>اکنون؛ پایه عملکرد</x:v>
      </x:c>
      <x:c r="I46" s="39" t="n">
        <x:f>'01-همه آیتم‌ها'!$M$84</x:f>
        <x:v>0</x:v>
      </x:c>
      <x:c r="J46" s="39" t="e">
        <x:f>HYPERLINK("#'01-همه آیتم‌ها'!A84","باز کردن")</x:f>
        <x:v>HYPERLINK is not implemented. linkLocation=#'01-همه آیتم‌ها'!A84, friendlyName=باز کردن</x:v>
      </x:c>
    </x:row>
    <x:row r="47">
      <x:c r="A47" s="34" t="str">
        <x:f>'01-همه آیتم‌ها'!$A$85</x:f>
        <x:v>☐</x:v>
      </x:c>
      <x:c r="B47" s="34" t="str">
        <x:v>MI-1440</x:v>
      </x:c>
      <x:c r="C47" s="34" t="str">
        <x:v>P0</x:v>
      </x:c>
      <x:c r="D47" s="34" t="str">
        <x:v>M1 — فرد، پایه‌های عملکرد و خودشناسی</x:v>
      </x:c>
      <x:c r="E47" s="34" t="str">
        <x:v>H1</x:v>
      </x:c>
      <x:c r="F47" s="34" t="str">
        <x:v>پایه‌های زندگی و خودمدیریتی</x:v>
      </x:c>
      <x:c r="G47" s="39" t="str">
        <x:v>مسایل شرعی</x:v>
      </x:c>
      <x:c r="H47" s="39" t="str">
        <x:v>اکنون؛ پایه عملکرد</x:v>
      </x:c>
      <x:c r="I47" s="39" t="n">
        <x:f>'01-همه آیتم‌ها'!$M$85</x:f>
        <x:v>0</x:v>
      </x:c>
      <x:c r="J47" s="39" t="e">
        <x:f>HYPERLINK("#'01-همه آیتم‌ها'!A85","باز کردن")</x:f>
        <x:v>HYPERLINK is not implemented. linkLocation=#'01-همه آیتم‌ها'!A85, friendlyName=باز کردن</x:v>
      </x:c>
    </x:row>
    <x:row r="48">
      <x:c r="A48" s="34" t="str">
        <x:f>'01-همه آیتم‌ها'!$A$86</x:f>
        <x:v>☐</x:v>
      </x:c>
      <x:c r="B48" s="34" t="str">
        <x:v>MI-1441</x:v>
      </x:c>
      <x:c r="C48" s="34" t="str">
        <x:v>P0</x:v>
      </x:c>
      <x:c r="D48" s="34" t="str">
        <x:v>M1 — فرد، پایه‌های عملکرد و خودشناسی</x:v>
      </x:c>
      <x:c r="E48" s="34" t="str">
        <x:v>H1</x:v>
      </x:c>
      <x:c r="F48" s="34" t="str">
        <x:v>پایه‌های زندگی و خودمدیریتی</x:v>
      </x:c>
      <x:c r="G48" s="39" t="str">
        <x:v>خدایا 20 هزار صلولت نذر میکنم که اگه بزارن کنکور</x:v>
      </x:c>
      <x:c r="H48" s="39" t="str">
        <x:v>اکنون؛ پایه عملکرد</x:v>
      </x:c>
      <x:c r="I48" s="39" t="n">
        <x:f>'01-همه آیتم‌ها'!$M$86</x:f>
        <x:v>0</x:v>
      </x:c>
      <x:c r="J48" s="39" t="e">
        <x:f>HYPERLINK("#'01-همه آیتم‌ها'!A86","باز کردن")</x:f>
        <x:v>HYPERLINK is not implemented. linkLocation=#'01-همه آیتم‌ها'!A86, friendlyName=باز کردن</x:v>
      </x:c>
    </x:row>
    <x:row r="49">
      <x:c r="A49" s="34" t="str">
        <x:f>'01-همه آیتم‌ها'!$A$87</x:f>
        <x:v>☐</x:v>
      </x:c>
      <x:c r="B49" s="34" t="str">
        <x:v>MI-1442</x:v>
      </x:c>
      <x:c r="C49" s="34" t="str">
        <x:v>P0</x:v>
      </x:c>
      <x:c r="D49" s="34" t="str">
        <x:v>M1 — فرد، پایه‌های عملکرد و خودشناسی</x:v>
      </x:c>
      <x:c r="E49" s="34" t="str">
        <x:v>H1</x:v>
      </x:c>
      <x:c r="F49" s="34" t="str">
        <x:v>پایه‌های زندگی و خودمدیریتی</x:v>
      </x:c>
      <x:c r="G49" s="39" t="str">
        <x:v>این نیت کردم نمیدونم انجام شده یا نه چه کنم</x:v>
      </x:c>
      <x:c r="H49" s="39" t="str">
        <x:v>اکنون؛ پایه عملکرد</x:v>
      </x:c>
      <x:c r="I49" s="39" t="n">
        <x:f>'01-همه آیتم‌ها'!$M$87</x:f>
        <x:v>0</x:v>
      </x:c>
      <x:c r="J49" s="39" t="e">
        <x:f>HYPERLINK("#'01-همه آیتم‌ها'!A87","باز کردن")</x:f>
        <x:v>HYPERLINK is not implemented. linkLocation=#'01-همه آیتم‌ها'!A87, friendlyName=باز کردن</x:v>
      </x:c>
    </x:row>
    <x:row r="50">
      <x:c r="A50" s="34" t="str">
        <x:f>'01-همه آیتم‌ها'!$A$88</x:f>
        <x:v>☐</x:v>
      </x:c>
      <x:c r="B50" s="34" t="str">
        <x:v>MI-1443</x:v>
      </x:c>
      <x:c r="C50" s="34" t="str">
        <x:v>P0</x:v>
      </x:c>
      <x:c r="D50" s="34" t="str">
        <x:v>M1 — فرد، پایه‌های عملکرد و خودشناسی</x:v>
      </x:c>
      <x:c r="E50" s="34" t="str">
        <x:v>H1</x:v>
      </x:c>
      <x:c r="F50" s="34" t="str">
        <x:v>پایه‌های زندگی و خودمدیریتی</x:v>
      </x:c>
      <x:c r="G50" s="39" t="str">
        <x:v>مدیونی ها</x:v>
      </x:c>
      <x:c r="H50" s="39" t="str">
        <x:v>اکنون؛ پایه عملکرد</x:v>
      </x:c>
      <x:c r="I50" s="39" t="n">
        <x:f>'01-همه آیتم‌ها'!$M$88</x:f>
        <x:v>0</x:v>
      </x:c>
      <x:c r="J50" s="39" t="e">
        <x:f>HYPERLINK("#'01-همه آیتم‌ها'!A88","باز کردن")</x:f>
        <x:v>HYPERLINK is not implemented. linkLocation=#'01-همه آیتم‌ها'!A88, friendlyName=باز کردن</x:v>
      </x:c>
    </x:row>
    <x:row r="51">
      <x:c r="A51" s="34" t="str">
        <x:f>'01-همه آیتم‌ها'!$A$89</x:f>
        <x:v>☐</x:v>
      </x:c>
      <x:c r="B51" s="34" t="str">
        <x:v>MI-1444</x:v>
      </x:c>
      <x:c r="C51" s="34" t="str">
        <x:v>P0</x:v>
      </x:c>
      <x:c r="D51" s="34" t="str">
        <x:v>M1 — فرد، پایه‌های عملکرد و خودشناسی</x:v>
      </x:c>
      <x:c r="E51" s="34" t="str">
        <x:v>H1</x:v>
      </x:c>
      <x:c r="F51" s="34" t="str">
        <x:v>پایه‌های زندگی و خودمدیریتی</x:v>
      </x:c>
      <x:c r="G51" s="39" t="str">
        <x:v>اسپیس های مصلی</x:v>
      </x:c>
      <x:c r="H51" s="39" t="str">
        <x:v>اکنون؛ پایه عملکرد</x:v>
      </x:c>
      <x:c r="I51" s="39" t="n">
        <x:f>'01-همه آیتم‌ها'!$M$89</x:f>
        <x:v>0</x:v>
      </x:c>
      <x:c r="J51" s="39" t="e">
        <x:f>HYPERLINK("#'01-همه آیتم‌ها'!A89","باز کردن")</x:f>
        <x:v>HYPERLINK is not implemented. linkLocation=#'01-همه آیتم‌ها'!A89, friendlyName=باز کردن</x:v>
      </x:c>
    </x:row>
    <x:row r="52">
      <x:c r="A52" s="34" t="str">
        <x:f>'01-همه آیتم‌ها'!$A$90</x:f>
        <x:v>☐</x:v>
      </x:c>
      <x:c r="B52" s="34" t="str">
        <x:v>MI-1445</x:v>
      </x:c>
      <x:c r="C52" s="34" t="str">
        <x:v>P0</x:v>
      </x:c>
      <x:c r="D52" s="34" t="str">
        <x:v>M1 — فرد، پایه‌های عملکرد و خودشناسی</x:v>
      </x:c>
      <x:c r="E52" s="34" t="str">
        <x:v>H1</x:v>
      </x:c>
      <x:c r="F52" s="34" t="str">
        <x:v>پایه‌های زندگی و خودمدیریتی</x:v>
      </x:c>
      <x:c r="G52" s="39" t="str">
        <x:v>بنری که بالا نرفت برای بسیج</x:v>
      </x:c>
      <x:c r="H52" s="39" t="str">
        <x:v>اکنون؛ پایه عملکرد</x:v>
      </x:c>
      <x:c r="I52" s="39" t="n">
        <x:f>'01-همه آیتم‌ها'!$M$90</x:f>
        <x:v>0</x:v>
      </x:c>
      <x:c r="J52" s="39" t="e">
        <x:f>HYPERLINK("#'01-همه آیتم‌ها'!A90","باز کردن")</x:f>
        <x:v>HYPERLINK is not implemented. linkLocation=#'01-همه آیتم‌ها'!A90, friendlyName=باز کردن</x:v>
      </x:c>
    </x:row>
    <x:row r="53">
      <x:c r="A53" s="34" t="str">
        <x:f>'01-همه آیتم‌ها'!$A$91</x:f>
        <x:v>☐</x:v>
      </x:c>
      <x:c r="B53" s="34" t="str">
        <x:v>MI-1446</x:v>
      </x:c>
      <x:c r="C53" s="34" t="str">
        <x:v>P0</x:v>
      </x:c>
      <x:c r="D53" s="34" t="str">
        <x:v>M1 — فرد، پایه‌های عملکرد و خودشناسی</x:v>
      </x:c>
      <x:c r="E53" s="34" t="str">
        <x:v>H1</x:v>
      </x:c>
      <x:c r="F53" s="34" t="str">
        <x:v>پایه‌های زندگی و خودمدیریتی</x:v>
      </x:c>
      <x:c r="G53" s="39" t="str">
        <x:v>صدقه 10 تومن</x:v>
      </x:c>
      <x:c r="H53" s="39" t="str">
        <x:v>اکنون؛ پایه عملکرد</x:v>
      </x:c>
      <x:c r="I53" s="39" t="n">
        <x:f>'01-همه آیتم‌ها'!$M$91</x:f>
        <x:v>0</x:v>
      </x:c>
      <x:c r="J53" s="39" t="e">
        <x:f>HYPERLINK("#'01-همه آیتم‌ها'!A91","باز کردن")</x:f>
        <x:v>HYPERLINK is not implemented. linkLocation=#'01-همه آیتم‌ها'!A91, friendlyName=باز کردن</x:v>
      </x:c>
    </x:row>
    <x:row r="54">
      <x:c r="A54" s="34" t="str">
        <x:f>'01-همه آیتم‌ها'!$A$92</x:f>
        <x:v>☐</x:v>
      </x:c>
      <x:c r="B54" s="34" t="str">
        <x:v>MI-1447</x:v>
      </x:c>
      <x:c r="C54" s="34" t="str">
        <x:v>P0</x:v>
      </x:c>
      <x:c r="D54" s="34" t="str">
        <x:v>M1 — فرد، پایه‌های عملکرد و خودشناسی</x:v>
      </x:c>
      <x:c r="E54" s="34" t="str">
        <x:v>H1</x:v>
      </x:c>
      <x:c r="F54" s="34" t="str">
        <x:v>پایه‌های زندگی و خودمدیریتی</x:v>
      </x:c>
      <x:c r="G54" s="39" t="str">
        <x:v>صدقه 12 ت</x:v>
      </x:c>
      <x:c r="H54" s="39" t="str">
        <x:v>اکنون؛ پایه عملکرد</x:v>
      </x:c>
      <x:c r="I54" s="39" t="n">
        <x:f>'01-همه آیتم‌ها'!$M$92</x:f>
        <x:v>0</x:v>
      </x:c>
      <x:c r="J54" s="39" t="e">
        <x:f>HYPERLINK("#'01-همه آیتم‌ها'!A92","باز کردن")</x:f>
        <x:v>HYPERLINK is not implemented. linkLocation=#'01-همه آیتم‌ها'!A92, friendlyName=باز کردن</x:v>
      </x:c>
    </x:row>
    <x:row r="55">
      <x:c r="A55" s="34" t="str">
        <x:f>'01-همه آیتم‌ها'!$A$93</x:f>
        <x:v>☐</x:v>
      </x:c>
      <x:c r="B55" s="34" t="str">
        <x:v>MI-1448</x:v>
      </x:c>
      <x:c r="C55" s="34" t="str">
        <x:v>P0</x:v>
      </x:c>
      <x:c r="D55" s="34" t="str">
        <x:v>M1 — فرد، پایه‌های عملکرد و خودشناسی</x:v>
      </x:c>
      <x:c r="E55" s="34" t="str">
        <x:v>H1</x:v>
      </x:c>
      <x:c r="F55" s="34" t="str">
        <x:v>پایه‌های زندگی و خودمدیریتی</x:v>
      </x:c>
      <x:c r="G55" s="39" t="str">
        <x:v>پول هییت قبلا چوقدر هست دست من؟؟؟ قبلا 4,290 بوده . چقدر به سید دادم.</x:v>
      </x:c>
      <x:c r="H55" s="39" t="str">
        <x:v>اکنون؛ پایه عملکرد</x:v>
      </x:c>
      <x:c r="I55" s="39" t="n">
        <x:f>'01-همه آیتم‌ها'!$M$93</x:f>
        <x:v>0</x:v>
      </x:c>
      <x:c r="J55" s="39" t="e">
        <x:f>HYPERLINK("#'01-همه آیتم‌ها'!A93","باز کردن")</x:f>
        <x:v>HYPERLINK is not implemented. linkLocation=#'01-همه آیتم‌ها'!A93, friendlyName=باز کردن</x:v>
      </x:c>
    </x:row>
    <x:row r="56">
      <x:c r="A56" s="34" t="str">
        <x:f>'01-همه آیتم‌ها'!$A$94</x:f>
        <x:v>☐</x:v>
      </x:c>
      <x:c r="B56" s="34" t="str">
        <x:v>MI-1449</x:v>
      </x:c>
      <x:c r="C56" s="34" t="str">
        <x:v>P0</x:v>
      </x:c>
      <x:c r="D56" s="34" t="str">
        <x:v>M1 — فرد، پایه‌های عملکرد و خودشناسی</x:v>
      </x:c>
      <x:c r="E56" s="34" t="str">
        <x:v>H1</x:v>
      </x:c>
      <x:c r="F56" s="34" t="str">
        <x:v>پایه‌های زندگی و خودمدیریتی</x:v>
      </x:c>
      <x:c r="G56" s="39" t="str">
        <x:v>سلامت و سبک زندگی</x:v>
      </x:c>
      <x:c r="H56" s="39" t="str">
        <x:v>اکنون؛ پایه عملکرد</x:v>
      </x:c>
      <x:c r="I56" s="39" t="n">
        <x:f>'01-همه آیتم‌ها'!$M$94</x:f>
        <x:v>0</x:v>
      </x:c>
      <x:c r="J56" s="39" t="e">
        <x:f>HYPERLINK("#'01-همه آیتم‌ها'!A94","باز کردن")</x:f>
        <x:v>HYPERLINK is not implemented. linkLocation=#'01-همه آیتم‌ها'!A94, friendlyName=باز کردن</x:v>
      </x:c>
    </x:row>
    <x:row r="57">
      <x:c r="A57" s="34" t="str">
        <x:f>'01-همه آیتم‌ها'!$A$95</x:f>
        <x:v>☐</x:v>
      </x:c>
      <x:c r="B57" s="34" t="str">
        <x:v>MI-1450</x:v>
      </x:c>
      <x:c r="C57" s="34" t="str">
        <x:v>P0</x:v>
      </x:c>
      <x:c r="D57" s="34" t="str">
        <x:v>M1 — فرد، پایه‌های عملکرد و خودشناسی</x:v>
      </x:c>
      <x:c r="E57" s="34" t="str">
        <x:v>H1</x:v>
      </x:c>
      <x:c r="F57" s="34" t="str">
        <x:v>پایه‌های زندگی و خودمدیریتی</x:v>
      </x:c>
      <x:c r="G57" s="39" t="str">
        <x:v>سبک زندگی:</x:v>
      </x:c>
      <x:c r="H57" s="39" t="str">
        <x:v>اکنون؛ پایه عملکرد</x:v>
      </x:c>
      <x:c r="I57" s="39" t="n">
        <x:f>'01-همه آیتم‌ها'!$M$95</x:f>
        <x:v>0</x:v>
      </x:c>
      <x:c r="J57" s="39" t="e">
        <x:f>HYPERLINK("#'01-همه آیتم‌ها'!A95","باز کردن")</x:f>
        <x:v>HYPERLINK is not implemented. linkLocation=#'01-همه آیتم‌ها'!A95, friendlyName=باز کردن</x:v>
      </x:c>
    </x:row>
    <x:row r="58">
      <x:c r="A58" s="34" t="str">
        <x:f>'01-همه آیتم‌ها'!$A$6</x:f>
        <x:v>☐</x:v>
      </x:c>
      <x:c r="B58" s="34" t="str">
        <x:v>MI-1451</x:v>
      </x:c>
      <x:c r="C58" s="34" t="str">
        <x:v>P0</x:v>
      </x:c>
      <x:c r="D58" s="34" t="str">
        <x:v>M1 — فرد، پایه‌های عملکرد و خودشناسی</x:v>
      </x:c>
      <x:c r="E58" s="34" t="str">
        <x:v>H1</x:v>
      </x:c>
      <x:c r="F58" s="34" t="str">
        <x:v>پایه‌های زندگی و خودمدیریتی</x:v>
      </x:c>
      <x:c r="G58" s="39" t="str">
        <x:v>تهیه بهترین ایرپاد</x:v>
      </x:c>
      <x:c r="H58" s="39" t="str">
        <x:v>اکنون؛ پایه عملکرد</x:v>
      </x:c>
      <x:c r="I58" s="39" t="n">
        <x:f>'01-همه آیتم‌ها'!$M$6</x:f>
        <x:v>0</x:v>
      </x:c>
      <x:c r="J58" s="39" t="e">
        <x:f>HYPERLINK("#'01-همه آیتم‌ها'!A6","باز کردن")</x:f>
        <x:v>HYPERLINK is not implemented. linkLocation=#'01-همه آیتم‌ها'!A6, friendlyName=باز کردن</x:v>
      </x:c>
    </x:row>
    <x:row r="59">
      <x:c r="A59" s="34" t="str">
        <x:f>'01-همه آیتم‌ها'!$A$96</x:f>
        <x:v>☐</x:v>
      </x:c>
      <x:c r="B59" s="34" t="str">
        <x:v>MI-1453</x:v>
      </x:c>
      <x:c r="C59" s="34" t="str">
        <x:v>P0</x:v>
      </x:c>
      <x:c r="D59" s="34" t="str">
        <x:v>M1 — فرد، پایه‌های عملکرد و خودشناسی</x:v>
      </x:c>
      <x:c r="E59" s="34" t="str">
        <x:v>H1</x:v>
      </x:c>
      <x:c r="F59" s="34" t="str">
        <x:v>پایه‌های زندگی و خودمدیریتی</x:v>
      </x:c>
      <x:c r="G59" s="39" t="str">
        <x:v>سلامت روان: مدیریت استرس، کاهش اضطراب، بهبود خلق و خو، درمان اختلالات روانی.</x:v>
      </x:c>
      <x:c r="H59" s="39" t="str">
        <x:v>اکنون؛ پایه عملکرد</x:v>
      </x:c>
      <x:c r="I59" s="39" t="n">
        <x:f>'01-همه آیتم‌ها'!$M$96</x:f>
        <x:v>0</x:v>
      </x:c>
      <x:c r="J59" s="39" t="e">
        <x:f>HYPERLINK("#'01-همه آیتم‌ها'!A96","باز کردن")</x:f>
        <x:v>HYPERLINK is not implemented. linkLocation=#'01-همه آیتم‌ها'!A96, friendlyName=باز کردن</x:v>
      </x:c>
    </x:row>
    <x:row r="60">
      <x:c r="A60" s="34" t="str">
        <x:f>'01-همه آیتم‌ها'!$A$97</x:f>
        <x:v>☐</x:v>
      </x:c>
      <x:c r="B60" s="34" t="str">
        <x:v>MI-1454</x:v>
      </x:c>
      <x:c r="C60" s="34" t="str">
        <x:v>P0</x:v>
      </x:c>
      <x:c r="D60" s="34" t="str">
        <x:v>M1 — فرد، پایه‌های عملکرد و خودشناسی</x:v>
      </x:c>
      <x:c r="E60" s="34" t="str">
        <x:v>H1</x:v>
      </x:c>
      <x:c r="F60" s="34" t="str">
        <x:v>پایه‌های زندگی و خودمدیریتی</x:v>
      </x:c>
      <x:c r="G60" s="39" t="str">
        <x:v>مدیریت استرس و خشم</x:v>
      </x:c>
      <x:c r="H60" s="39" t="str">
        <x:v>اکنون؛ پایه عملکرد</x:v>
      </x:c>
      <x:c r="I60" s="39" t="n">
        <x:f>'01-همه آیتم‌ها'!$M$97</x:f>
        <x:v>0</x:v>
      </x:c>
      <x:c r="J60" s="39" t="e">
        <x:f>HYPERLINK("#'01-همه آیتم‌ها'!A97","باز کردن")</x:f>
        <x:v>HYPERLINK is not implemented. linkLocation=#'01-همه آیتم‌ها'!A97, friendlyName=باز کردن</x:v>
      </x:c>
    </x:row>
    <x:row r="61">
      <x:c r="A61" s="34" t="str">
        <x:f>'01-همه آیتم‌ها'!$A$98</x:f>
        <x:v>☐</x:v>
      </x:c>
      <x:c r="B61" s="34" t="str">
        <x:v>MI-1455</x:v>
      </x:c>
      <x:c r="C61" s="34" t="str">
        <x:v>P0</x:v>
      </x:c>
      <x:c r="D61" s="34" t="str">
        <x:v>M1 — فرد، پایه‌های عملکرد و خودشناسی</x:v>
      </x:c>
      <x:c r="E61" s="34" t="str">
        <x:v>H1</x:v>
      </x:c>
      <x:c r="F61" s="34" t="str">
        <x:v>پایه‌های زندگی و خودمدیریتی</x:v>
      </x:c>
      <x:c r="G61" s="39" t="str">
        <x:v>افزایش صبر و تحمل</x:v>
      </x:c>
      <x:c r="H61" s="39" t="str">
        <x:v>اکنون؛ پایه عملکرد</x:v>
      </x:c>
      <x:c r="I61" s="39" t="n">
        <x:f>'01-همه آیتم‌ها'!$M$98</x:f>
        <x:v>0</x:v>
      </x:c>
      <x:c r="J61" s="39" t="e">
        <x:f>HYPERLINK("#'01-همه آیتم‌ها'!A98","باز کردن")</x:f>
        <x:v>HYPERLINK is not implemented. linkLocation=#'01-همه آیتم‌ها'!A98, friendlyName=باز کردن</x:v>
      </x:c>
    </x:row>
    <x:row r="62">
      <x:c r="A62" s="34" t="str">
        <x:f>'01-همه آیتم‌ها'!$A$99</x:f>
        <x:v>☐</x:v>
      </x:c>
      <x:c r="B62" s="34" t="str">
        <x:v>MI-1457</x:v>
      </x:c>
      <x:c r="C62" s="34" t="str">
        <x:v>P0</x:v>
      </x:c>
      <x:c r="D62" s="34" t="str">
        <x:v>M1 — فرد، پایه‌های عملکرد و خودشناسی</x:v>
      </x:c>
      <x:c r="E62" s="34" t="str">
        <x:v>H1</x:v>
      </x:c>
      <x:c r="F62" s="34" t="str">
        <x:v>پایه‌های زندگی و خودمدیریتی</x:v>
      </x:c>
      <x:c r="G62" s="39" t="str">
        <x:v>سلامت جسمانی: تغذیه سالم، ورزش منظم، خواب کافی، پیشگیری از بیماری ها.</x:v>
      </x:c>
      <x:c r="H62" s="39" t="str">
        <x:v>اکنون؛ پایه عملکرد</x:v>
      </x:c>
      <x:c r="I62" s="39" t="n">
        <x:f>'01-همه آیتم‌ها'!$M$99</x:f>
        <x:v>0</x:v>
      </x:c>
      <x:c r="J62" s="39" t="e">
        <x:f>HYPERLINK("#'01-همه آیتم‌ها'!A99","باز کردن")</x:f>
        <x:v>HYPERLINK is not implemented. linkLocation=#'01-همه آیتم‌ها'!A99, friendlyName=باز کردن</x:v>
      </x:c>
    </x:row>
    <x:row r="63">
      <x:c r="A63" s="34" t="str">
        <x:f>'01-همه آیتم‌ها'!$A$100</x:f>
        <x:v>☐</x:v>
      </x:c>
      <x:c r="B63" s="34" t="str">
        <x:v>MI-1458</x:v>
      </x:c>
      <x:c r="C63" s="34" t="str">
        <x:v>P0</x:v>
      </x:c>
      <x:c r="D63" s="34" t="str">
        <x:v>M1 — فرد، پایه‌های عملکرد و خودشناسی</x:v>
      </x:c>
      <x:c r="E63" s="34" t="str">
        <x:v>H1</x:v>
      </x:c>
      <x:c r="F63" s="34" t="str">
        <x:v>پایه‌های زندگی و خودمدیریتی</x:v>
      </x:c>
      <x:c r="G63" s="39" t="str">
        <x:v>توسعه فردی و روانشناسی</x:v>
      </x:c>
      <x:c r="H63" s="39" t="str">
        <x:v>اکنون؛ پایه عملکرد</x:v>
      </x:c>
      <x:c r="I63" s="39" t="n">
        <x:f>'01-همه آیتم‌ها'!$M$100</x:f>
        <x:v>0</x:v>
      </x:c>
      <x:c r="J63" s="39" t="e">
        <x:f>HYPERLINK("#'01-همه آیتم‌ها'!A100","باز کردن")</x:f>
        <x:v>HYPERLINK is not implemented. linkLocation=#'01-همه آیتم‌ها'!A100, friendlyName=باز کردن</x:v>
      </x:c>
    </x:row>
    <x:row r="64">
      <x:c r="A64" s="34" t="str">
        <x:f>'01-همه آیتم‌ها'!$A$101</x:f>
        <x:v>☐</x:v>
      </x:c>
      <x:c r="B64" s="34" t="str">
        <x:v>MI-1459</x:v>
      </x:c>
      <x:c r="C64" s="34" t="str">
        <x:v>P0</x:v>
      </x:c>
      <x:c r="D64" s="34" t="str">
        <x:v>M1 — فرد، پایه‌های عملکرد و خودشناسی</x:v>
      </x:c>
      <x:c r="E64" s="34" t="str">
        <x:v>H1</x:v>
      </x:c>
      <x:c r="F64" s="34" t="str">
        <x:v>پایه‌های زندگی و خودمدیریتی</x:v>
      </x:c>
      <x:c r="G64" s="39" t="str">
        <x:v>روانشناسی کنترل خشم و استرس</x:v>
      </x:c>
      <x:c r="H64" s="39" t="str">
        <x:v>اکنون؛ پایه عملکرد</x:v>
      </x:c>
      <x:c r="I64" s="39" t="n">
        <x:f>'01-همه آیتم‌ها'!$M$101</x:f>
        <x:v>0</x:v>
      </x:c>
      <x:c r="J64" s="39" t="e">
        <x:f>HYPERLINK("#'01-همه آیتم‌ها'!A101","باز کردن")</x:f>
        <x:v>HYPERLINK is not implemented. linkLocation=#'01-همه آیتم‌ها'!A101, friendlyName=باز کردن</x:v>
      </x:c>
    </x:row>
    <x:row r="65">
      <x:c r="A65" s="34" t="str">
        <x:f>'01-همه آیتم‌ها'!$A$102</x:f>
        <x:v>☐</x:v>
      </x:c>
      <x:c r="B65" s="34" t="str">
        <x:v>MI-1460</x:v>
      </x:c>
      <x:c r="C65" s="34" t="str">
        <x:v>P0</x:v>
      </x:c>
      <x:c r="D65" s="34" t="str">
        <x:v>M1 — فرد، پایه‌های عملکرد و خودشناسی</x:v>
      </x:c>
      <x:c r="E65" s="34" t="str">
        <x:v>H1</x:v>
      </x:c>
      <x:c r="F65" s="34" t="str">
        <x:v>پایه‌های زندگی و خودمدیریتی</x:v>
      </x:c>
      <x:c r="G65" s="39" t="str">
        <x:v>تحمل و صبر</x:v>
      </x:c>
      <x:c r="H65" s="39" t="str">
        <x:v>اکنون؛ پایه عملکرد</x:v>
      </x:c>
      <x:c r="I65" s="39" t="n">
        <x:f>'01-همه آیتم‌ها'!$M$102</x:f>
        <x:v>0</x:v>
      </x:c>
      <x:c r="J65" s="39" t="e">
        <x:f>HYPERLINK("#'01-همه آیتم‌ها'!A102","باز کردن")</x:f>
        <x:v>HYPERLINK is not implemented. linkLocation=#'01-همه آیتم‌ها'!A102, friendlyName=باز کردن</x:v>
      </x:c>
    </x:row>
    <x:row r="66">
      <x:c r="A66" s="34" t="str">
        <x:f>'01-همه آیتم‌ها'!$A$40</x:f>
        <x:v>☐</x:v>
      </x:c>
      <x:c r="B66" s="34" t="str">
        <x:v>MI-1461</x:v>
      </x:c>
      <x:c r="C66" s="34" t="str">
        <x:v>P0</x:v>
      </x:c>
      <x:c r="D66" s="34" t="str">
        <x:v>M1 — فرد، پایه‌های عملکرد و خودشناسی</x:v>
      </x:c>
      <x:c r="E66" s="34" t="str">
        <x:v>H1</x:v>
      </x:c>
      <x:c r="F66" s="34" t="str">
        <x:v>پایه‌های زندگی و خودمدیریتی</x:v>
      </x:c>
      <x:c r="G66" s="39" t="str">
        <x:v>مهارت های ارتباطی و بین فردی</x:v>
      </x:c>
      <x:c r="H66" s="39" t="str">
        <x:v>اکنون؛ پایه عملکرد</x:v>
      </x:c>
      <x:c r="I66" s="39" t="n">
        <x:f>'01-همه آیتم‌ها'!$M$40</x:f>
        <x:v>0</x:v>
      </x:c>
      <x:c r="J66" s="39" t="e">
        <x:f>HYPERLINK("#'01-همه آیتم‌ها'!A40","باز کردن")</x:f>
        <x:v>HYPERLINK is not implemented. linkLocation=#'01-همه آیتم‌ها'!A40, friendlyName=باز کردن</x:v>
      </x:c>
    </x:row>
    <x:row r="67">
      <x:c r="A67" s="34" t="str">
        <x:f>'01-همه آیتم‌ها'!$A$103</x:f>
        <x:v>☐</x:v>
      </x:c>
      <x:c r="B67" s="34" t="str">
        <x:v>MI-1462</x:v>
      </x:c>
      <x:c r="C67" s="34" t="str">
        <x:v>P0</x:v>
      </x:c>
      <x:c r="D67" s="34" t="str">
        <x:v>M1 — فرد، پایه‌های عملکرد و خودشناسی</x:v>
      </x:c>
      <x:c r="E67" s="34" t="str">
        <x:v>H1</x:v>
      </x:c>
      <x:c r="F67" s="34" t="str">
        <x:v>پایه‌های زندگی و خودمدیریتی</x:v>
      </x:c>
      <x:c r="G67" s="39" t="str">
        <x:v>مهندسی اجتماعی</x:v>
      </x:c>
      <x:c r="H67" s="39" t="str">
        <x:v>اکنون؛ پایه عملکرد</x:v>
      </x:c>
      <x:c r="I67" s="39" t="n">
        <x:f>'01-همه آیتم‌ها'!$M$103</x:f>
        <x:v>0</x:v>
      </x:c>
      <x:c r="J67" s="39" t="e">
        <x:f>HYPERLINK("#'01-همه آیتم‌ها'!A103","باز کردن")</x:f>
        <x:v>HYPERLINK is not implemented. linkLocation=#'01-همه آیتم‌ها'!A103, friendlyName=باز کردن</x:v>
      </x:c>
    </x:row>
    <x:row r="68">
      <x:c r="A68" s="34" t="str">
        <x:f>'01-همه آیتم‌ها'!$A$41</x:f>
        <x:v>☐</x:v>
      </x:c>
      <x:c r="B68" s="34" t="str">
        <x:v>MI-1464</x:v>
      </x:c>
      <x:c r="C68" s="34" t="str">
        <x:v>P0</x:v>
      </x:c>
      <x:c r="D68" s="34" t="str">
        <x:v>M1 — فرد، پایه‌های عملکرد و خودشناسی</x:v>
      </x:c>
      <x:c r="E68" s="34" t="str">
        <x:v>H1</x:v>
      </x:c>
      <x:c r="F68" s="34" t="str">
        <x:v>پایه‌های زندگی و خودمدیریتی</x:v>
      </x:c>
      <x:c r="G68" s="39" t="str">
        <x:v>تحصیلات و یادگیری</x:v>
      </x:c>
      <x:c r="H68" s="39" t="str">
        <x:v>اکنون؛ پایه عملکرد</x:v>
      </x:c>
      <x:c r="I68" s="39" t="n">
        <x:f>'01-همه آیتم‌ها'!$M$41</x:f>
        <x:v>0</x:v>
      </x:c>
      <x:c r="J68" s="39" t="e">
        <x:f>HYPERLINK("#'01-همه آیتم‌ها'!A41","باز کردن")</x:f>
        <x:v>HYPERLINK is not implemented. linkLocation=#'01-همه آیتم‌ها'!A41, friendlyName=باز کردن</x:v>
      </x:c>
    </x:row>
    <x:row r="69">
      <x:c r="A69" s="34" t="str">
        <x:f>'01-همه آیتم‌ها'!$A$42</x:f>
        <x:v>☐</x:v>
      </x:c>
      <x:c r="B69" s="34" t="str">
        <x:v>MI-1465</x:v>
      </x:c>
      <x:c r="C69" s="34" t="str">
        <x:v>P0</x:v>
      </x:c>
      <x:c r="D69" s="34" t="str">
        <x:v>M1 — فرد، پایه‌های عملکرد و خودشناسی</x:v>
      </x:c>
      <x:c r="E69" s="34" t="str">
        <x:v>H1</x:v>
      </x:c>
      <x:c r="F69" s="34" t="str">
        <x:v>پایه‌های زندگی و خودمدیریتی</x:v>
      </x:c>
      <x:c r="G69" s="39" t="str">
        <x:v>برنامه ریزی تحصیلی:</x:v>
      </x:c>
      <x:c r="H69" s="39" t="str">
        <x:v>اکنون؛ پایه عملکرد</x:v>
      </x:c>
      <x:c r="I69" s="39" t="n">
        <x:f>'01-همه آیتم‌ها'!$M$42</x:f>
        <x:v>0</x:v>
      </x:c>
      <x:c r="J69" s="39" t="e">
        <x:f>HYPERLINK("#'01-همه آیتم‌ها'!A42","باز کردن")</x:f>
        <x:v>HYPERLINK is not implemented. linkLocation=#'01-همه آیتم‌ها'!A42, friendlyName=باز کردن</x:v>
      </x:c>
    </x:row>
    <x:row r="70">
      <x:c r="A70" s="34" t="str">
        <x:f>'01-همه آیتم‌ها'!$A$43</x:f>
        <x:v>☐</x:v>
      </x:c>
      <x:c r="B70" s="34" t="str">
        <x:v>MI-1466</x:v>
      </x:c>
      <x:c r="C70" s="34" t="str">
        <x:v>P0</x:v>
      </x:c>
      <x:c r="D70" s="34" t="str">
        <x:v>M1 — فرد، پایه‌های عملکرد و خودشناسی</x:v>
      </x:c>
      <x:c r="E70" s="34" t="str">
        <x:v>H1</x:v>
      </x:c>
      <x:c r="F70" s="34" t="str">
        <x:v>پایه‌های زندگی و خودمدیریتی</x:v>
      </x:c>
      <x:c r="G70" s="39" t="str">
        <x:v>تحصیلات دانشگاهی:</x:v>
      </x:c>
      <x:c r="H70" s="39" t="str">
        <x:v>اکنون؛ پایه عملکرد</x:v>
      </x:c>
      <x:c r="I70" s="39" t="n">
        <x:f>'01-همه آیتم‌ها'!$M$43</x:f>
        <x:v>0</x:v>
      </x:c>
      <x:c r="J70" s="39" t="e">
        <x:f>HYPERLINK("#'01-همه آیتم‌ها'!A43","باز کردن")</x:f>
        <x:v>HYPERLINK is not implemented. linkLocation=#'01-همه آیتم‌ها'!A43, friendlyName=باز کردن</x:v>
      </x:c>
    </x:row>
    <x:row r="71">
      <x:c r="A71" s="34" t="str">
        <x:f>'01-همه آیتم‌ها'!$A$44</x:f>
        <x:v>☐</x:v>
      </x:c>
      <x:c r="B71" s="34" t="str">
        <x:v>MI-1468</x:v>
      </x:c>
      <x:c r="C71" s="34" t="str">
        <x:v>P0</x:v>
      </x:c>
      <x:c r="D71" s="34" t="str">
        <x:v>M1 — فرد، پایه‌های عملکرد و خودشناسی</x:v>
      </x:c>
      <x:c r="E71" s="34" t="str">
        <x:v>H1</x:v>
      </x:c>
      <x:c r="F71" s="34" t="str">
        <x:v>پایه‌های زندگی و خودمدیریتی</x:v>
      </x:c>
      <x:c r="G71" s="39" t="str">
        <x:v>یادگیری زبان:</x:v>
      </x:c>
      <x:c r="H71" s="39" t="str">
        <x:v>اکنون؛ پایه عملکرد</x:v>
      </x:c>
      <x:c r="I71" s="39" t="n">
        <x:f>'01-همه آیتم‌ها'!$M$44</x:f>
        <x:v>0</x:v>
      </x:c>
      <x:c r="J71" s="39" t="e">
        <x:f>HYPERLINK("#'01-همه آیتم‌ها'!A44","باز کردن")</x:f>
        <x:v>HYPERLINK is not implemented. linkLocation=#'01-همه آیتم‌ها'!A44, friendlyName=باز کردن</x:v>
      </x:c>
    </x:row>
    <x:row r="72">
      <x:c r="A72" s="34" t="str">
        <x:f>'01-همه آیتم‌ها'!$A$45</x:f>
        <x:v>☐</x:v>
      </x:c>
      <x:c r="B72" s="34" t="str">
        <x:v>MI-1469</x:v>
      </x:c>
      <x:c r="C72" s="34" t="str">
        <x:v>P0</x:v>
      </x:c>
      <x:c r="D72" s="34" t="str">
        <x:v>M1 — فرد، پایه‌های عملکرد و خودشناسی</x:v>
      </x:c>
      <x:c r="E72" s="34" t="str">
        <x:v>H1</x:v>
      </x:c>
      <x:c r="F72" s="34" t="str">
        <x:v>پایه‌های زندگی و خودمدیریتی</x:v>
      </x:c>
      <x:c r="G72" s="39" t="str">
        <x:v>مهارت های درآمدزایی:</x:v>
      </x:c>
      <x:c r="H72" s="39" t="str">
        <x:v>اکنون؛ پایه عملکرد</x:v>
      </x:c>
      <x:c r="I72" s="39" t="n">
        <x:f>'01-همه آیتم‌ها'!$M$45</x:f>
        <x:v>0</x:v>
      </x:c>
      <x:c r="J72" s="39" t="e">
        <x:f>HYPERLINK("#'01-همه آیتم‌ها'!A45","باز کردن")</x:f>
        <x:v>HYPERLINK is not implemented. linkLocation=#'01-همه آیتم‌ها'!A45, friendlyName=باز کردن</x:v>
      </x:c>
    </x:row>
    <x:row r="73">
      <x:c r="A73" s="34" t="str">
        <x:f>'01-همه آیتم‌ها'!$A$46</x:f>
        <x:v>☐</x:v>
      </x:c>
      <x:c r="B73" s="34" t="str">
        <x:v>MI-1470</x:v>
      </x:c>
      <x:c r="C73" s="34" t="str">
        <x:v>P0</x:v>
      </x:c>
      <x:c r="D73" s="34" t="str">
        <x:v>M1 — فرد، پایه‌های عملکرد و خودشناسی</x:v>
      </x:c>
      <x:c r="E73" s="34" t="str">
        <x:v>H1</x:v>
      </x:c>
      <x:c r="F73" s="34" t="str">
        <x:v>پایه‌های زندگی و خودمدیریتی</x:v>
      </x:c>
      <x:c r="G73" s="39" t="str">
        <x:v>مهارت های نرم:</x:v>
      </x:c>
      <x:c r="H73" s="39" t="str">
        <x:v>اکنون؛ پایه عملکرد</x:v>
      </x:c>
      <x:c r="I73" s="39" t="n">
        <x:f>'01-همه آیتم‌ها'!$M$46</x:f>
        <x:v>0</x:v>
      </x:c>
      <x:c r="J73" s="39" t="e">
        <x:f>HYPERLINK("#'01-همه آیتم‌ها'!A46","باز کردن")</x:f>
        <x:v>HYPERLINK is not implemented. linkLocation=#'01-همه آیتم‌ها'!A46, friendlyName=باز کردن</x:v>
      </x:c>
    </x:row>
    <x:row r="74">
      <x:c r="A74" s="34" t="str">
        <x:f>'01-همه آیتم‌ها'!$A$47</x:f>
        <x:v>☐</x:v>
      </x:c>
      <x:c r="B74" s="34" t="str">
        <x:v>MI-1472</x:v>
      </x:c>
      <x:c r="C74" s="34" t="str">
        <x:v>P0</x:v>
      </x:c>
      <x:c r="D74" s="34" t="str">
        <x:v>M1 — فرد، پایه‌های عملکرد و خودشناسی</x:v>
      </x:c>
      <x:c r="E74" s="34" t="str">
        <x:v>H1</x:v>
      </x:c>
      <x:c r="F74" s="34" t="str">
        <x:v>پایه‌های زندگی و خودمدیریتی</x:v>
      </x:c>
      <x:c r="G74" s="39" t="str">
        <x:v>حل مشکلات</x:v>
      </x:c>
      <x:c r="H74" s="39" t="str">
        <x:v>اکنون؛ پایه عملکرد</x:v>
      </x:c>
      <x:c r="I74" s="39" t="n">
        <x:f>'01-همه آیتم‌ها'!$M$47</x:f>
        <x:v>0</x:v>
      </x:c>
      <x:c r="J74" s="39" t="e">
        <x:f>HYPERLINK("#'01-همه آیتم‌ها'!A47","باز کردن")</x:f>
        <x:v>HYPERLINK is not implemented. linkLocation=#'01-همه آیتم‌ها'!A47, friendlyName=باز کردن</x:v>
      </x:c>
    </x:row>
    <x:row r="75">
      <x:c r="A75" s="34" t="str">
        <x:f>'01-همه آیتم‌ها'!$A$48</x:f>
        <x:v>☐</x:v>
      </x:c>
      <x:c r="B75" s="34" t="str">
        <x:v>MI-1473</x:v>
      </x:c>
      <x:c r="C75" s="34" t="str">
        <x:v>P0</x:v>
      </x:c>
      <x:c r="D75" s="34" t="str">
        <x:v>M1 — فرد، پایه‌های عملکرد و خودشناسی</x:v>
      </x:c>
      <x:c r="E75" s="34" t="str">
        <x:v>H1</x:v>
      </x:c>
      <x:c r="F75" s="34" t="str">
        <x:v>پایه‌های زندگی و خودمدیریتی</x:v>
      </x:c>
      <x:c r="G75" s="39" t="str">
        <x:v>مهارت های فنی و دیجیتال</x:v>
      </x:c>
      <x:c r="H75" s="39" t="str">
        <x:v>اکنون؛ پایه عملکرد</x:v>
      </x:c>
      <x:c r="I75" s="39" t="n">
        <x:f>'01-همه آیتم‌ها'!$M$48</x:f>
        <x:v>0</x:v>
      </x:c>
      <x:c r="J75" s="39" t="e">
        <x:f>HYPERLINK("#'01-همه آیتم‌ها'!A48","باز کردن")</x:f>
        <x:v>HYPERLINK is not implemented. linkLocation=#'01-همه آیتم‌ها'!A48, friendlyName=باز کردن</x:v>
      </x:c>
    </x:row>
    <x:row r="76">
      <x:c r="A76" s="34" t="str">
        <x:f>'01-همه آیتم‌ها'!$A$49</x:f>
        <x:v>☐</x:v>
      </x:c>
      <x:c r="B76" s="34" t="str">
        <x:v>MI-1474</x:v>
      </x:c>
      <x:c r="C76" s="34" t="str">
        <x:v>P0</x:v>
      </x:c>
      <x:c r="D76" s="34" t="str">
        <x:v>M1 — فرد، پایه‌های عملکرد و خودشناسی</x:v>
      </x:c>
      <x:c r="E76" s="34" t="str">
        <x:v>H1</x:v>
      </x:c>
      <x:c r="F76" s="34" t="str">
        <x:v>پایه‌های زندگی و خودمدیریتی</x:v>
      </x:c>
      <x:c r="G76" s="39" t="str">
        <x:v>نرم افزارها:</x:v>
      </x:c>
      <x:c r="H76" s="39" t="str">
        <x:v>اکنون؛ پایه عملکرد</x:v>
      </x:c>
      <x:c r="I76" s="39" t="n">
        <x:f>'01-همه آیتم‌ها'!$M$49</x:f>
        <x:v>0</x:v>
      </x:c>
      <x:c r="J76" s="39" t="e">
        <x:f>HYPERLINK("#'01-همه آیتم‌ها'!A49","باز کردن")</x:f>
        <x:v>HYPERLINK is not implemented. linkLocation=#'01-همه آیتم‌ها'!A49, friendlyName=باز کردن</x:v>
      </x:c>
    </x:row>
    <x:row r="77">
      <x:c r="A77" s="34" t="str">
        <x:f>'01-همه آیتم‌ها'!$A$50</x:f>
        <x:v>☐</x:v>
      </x:c>
      <x:c r="B77" s="34" t="str">
        <x:v>MI-1475</x:v>
      </x:c>
      <x:c r="C77" s="34" t="str">
        <x:v>P0</x:v>
      </x:c>
      <x:c r="D77" s="34" t="str">
        <x:v>M1 — فرد، پایه‌های عملکرد و خودشناسی</x:v>
      </x:c>
      <x:c r="E77" s="34" t="str">
        <x:v>H1</x:v>
      </x:c>
      <x:c r="F77" s="34" t="str">
        <x:v>پایه‌های زندگی و خودمدیریتی</x:v>
      </x:c>
      <x:c r="G77" s="39" t="str">
        <x:v>Wordpress</x:v>
      </x:c>
      <x:c r="H77" s="39" t="str">
        <x:v>اکنون؛ پایه عملکرد</x:v>
      </x:c>
      <x:c r="I77" s="39" t="n">
        <x:f>'01-همه آیتم‌ها'!$M$50</x:f>
        <x:v>0</x:v>
      </x:c>
      <x:c r="J77" s="39" t="e">
        <x:f>HYPERLINK("#'01-همه آیتم‌ها'!A50","باز کردن")</x:f>
        <x:v>HYPERLINK is not implemented. linkLocation=#'01-همه آیتم‌ها'!A50, friendlyName=باز کردن</x:v>
      </x:c>
    </x:row>
    <x:row r="78">
      <x:c r="A78" s="34" t="str">
        <x:f>'01-همه آیتم‌ها'!$A$51</x:f>
        <x:v>☐</x:v>
      </x:c>
      <x:c r="B78" s="34" t="str">
        <x:v>MI-1476</x:v>
      </x:c>
      <x:c r="C78" s="34" t="str">
        <x:v>P0</x:v>
      </x:c>
      <x:c r="D78" s="34" t="str">
        <x:v>M1 — فرد، پایه‌های عملکرد و خودشناسی</x:v>
      </x:c>
      <x:c r="E78" s="34" t="str">
        <x:v>H1</x:v>
      </x:c>
      <x:c r="F78" s="34" t="str">
        <x:v>پایه‌های زندگی و خودمدیریتی</x:v>
      </x:c>
      <x:c r="G78" s="39" t="str">
        <x:v>Elementor Pro</x:v>
      </x:c>
      <x:c r="H78" s="39" t="str">
        <x:v>اکنون؛ پایه عملکرد</x:v>
      </x:c>
      <x:c r="I78" s="39" t="n">
        <x:f>'01-همه آیتم‌ها'!$M$51</x:f>
        <x:v>0</x:v>
      </x:c>
      <x:c r="J78" s="39" t="e">
        <x:f>HYPERLINK("#'01-همه آیتم‌ها'!A51","باز کردن")</x:f>
        <x:v>HYPERLINK is not implemented. linkLocation=#'01-همه آیتم‌ها'!A51, friendlyName=باز کردن</x:v>
      </x:c>
    </x:row>
    <x:row r="79">
      <x:c r="A79" s="34" t="str">
        <x:f>'01-همه آیتم‌ها'!$A$52</x:f>
        <x:v>☐</x:v>
      </x:c>
      <x:c r="B79" s="34" t="str">
        <x:v>MI-1477</x:v>
      </x:c>
      <x:c r="C79" s="34" t="str">
        <x:v>P0</x:v>
      </x:c>
      <x:c r="D79" s="34" t="str">
        <x:v>M1 — فرد، پایه‌های عملکرد و خودشناسی</x:v>
      </x:c>
      <x:c r="E79" s="34" t="str">
        <x:v>H1</x:v>
      </x:c>
      <x:c r="F79" s="34" t="str">
        <x:v>پایه‌های زندگی و خودمدیریتی</x:v>
      </x:c>
      <x:c r="G79" s="39" t="str">
        <x:v>SolidWorks</x:v>
      </x:c>
      <x:c r="H79" s="39" t="str">
        <x:v>اکنون؛ پایه عملکرد</x:v>
      </x:c>
      <x:c r="I79" s="39" t="n">
        <x:f>'01-همه آیتم‌ها'!$M$52</x:f>
        <x:v>0</x:v>
      </x:c>
      <x:c r="J79" s="39" t="e">
        <x:f>HYPERLINK("#'01-همه آیتم‌ها'!A52","باز کردن")</x:f>
        <x:v>HYPERLINK is not implemented. linkLocation=#'01-همه آیتم‌ها'!A52, friendlyName=باز کردن</x:v>
      </x:c>
    </x:row>
    <x:row r="80">
      <x:c r="A80" s="34" t="str">
        <x:f>'01-همه آیتم‌ها'!$A$53</x:f>
        <x:v>☐</x:v>
      </x:c>
      <x:c r="B80" s="34" t="str">
        <x:v>MI-1478</x:v>
      </x:c>
      <x:c r="C80" s="34" t="str">
        <x:v>P0</x:v>
      </x:c>
      <x:c r="D80" s="34" t="str">
        <x:v>M1 — فرد، پایه‌های عملکرد و خودشناسی</x:v>
      </x:c>
      <x:c r="E80" s="34" t="str">
        <x:v>H1</x:v>
      </x:c>
      <x:c r="F80" s="34" t="str">
        <x:v>پایه‌های زندگی و خودمدیریتی</x:v>
      </x:c>
      <x:c r="G80" s="39" t="str">
        <x:v>Zexam</x:v>
      </x:c>
      <x:c r="H80" s="39" t="str">
        <x:v>اکنون؛ پایه عملکرد</x:v>
      </x:c>
      <x:c r="I80" s="39" t="n">
        <x:f>'01-همه آیتم‌ها'!$M$53</x:f>
        <x:v>0</x:v>
      </x:c>
      <x:c r="J80" s="39" t="e">
        <x:f>HYPERLINK("#'01-همه آیتم‌ها'!A53","باز کردن")</x:f>
        <x:v>HYPERLINK is not implemented. linkLocation=#'01-همه آیتم‌ها'!A53, friendlyName=باز کردن</x:v>
      </x:c>
    </x:row>
    <x:row r="81">
      <x:c r="A81" s="34" t="str">
        <x:f>'01-همه آیتم‌ها'!$A$54</x:f>
        <x:v>☐</x:v>
      </x:c>
      <x:c r="B81" s="34" t="str">
        <x:v>MI-1479</x:v>
      </x:c>
      <x:c r="C81" s="34" t="str">
        <x:v>P0</x:v>
      </x:c>
      <x:c r="D81" s="34" t="str">
        <x:v>M1 — فرد، پایه‌های عملکرد و خودشناسی</x:v>
      </x:c>
      <x:c r="E81" s="34" t="str">
        <x:v>H1</x:v>
      </x:c>
      <x:c r="F81" s="34" t="str">
        <x:v>پایه‌های زندگی و خودمدیریتی</x:v>
      </x:c>
      <x:c r="G81" s="39" t="str">
        <x:v>ANSYS</x:v>
      </x:c>
      <x:c r="H81" s="39" t="str">
        <x:v>اکنون؛ پایه عملکرد</x:v>
      </x:c>
      <x:c r="I81" s="39" t="n">
        <x:f>'01-همه آیتم‌ها'!$M$54</x:f>
        <x:v>0</x:v>
      </x:c>
      <x:c r="J81" s="39" t="e">
        <x:f>HYPERLINK("#'01-همه آیتم‌ها'!A54","باز کردن")</x:f>
        <x:v>HYPERLINK is not implemented. linkLocation=#'01-همه آیتم‌ها'!A54, friendlyName=باز کردن</x:v>
      </x:c>
    </x:row>
    <x:row r="82">
      <x:c r="A82" s="34" t="str">
        <x:f>'01-همه آیتم‌ها'!$A$55</x:f>
        <x:v>☐</x:v>
      </x:c>
      <x:c r="B82" s="34" t="str">
        <x:v>MI-1480</x:v>
      </x:c>
      <x:c r="C82" s="34" t="str">
        <x:v>P0</x:v>
      </x:c>
      <x:c r="D82" s="34" t="str">
        <x:v>M1 — فرد، پایه‌های عملکرد و خودشناسی</x:v>
      </x:c>
      <x:c r="E82" s="34" t="str">
        <x:v>H1</x:v>
      </x:c>
      <x:c r="F82" s="34" t="str">
        <x:v>پایه‌های زندگی و خودمدیریتی</x:v>
      </x:c>
      <x:c r="G82" s="39" t="str">
        <x:v>Corel Video Studio</x:v>
      </x:c>
      <x:c r="H82" s="39" t="str">
        <x:v>اکنون؛ پایه عملکرد</x:v>
      </x:c>
      <x:c r="I82" s="39" t="n">
        <x:f>'01-همه آیتم‌ها'!$M$55</x:f>
        <x:v>0</x:v>
      </x:c>
      <x:c r="J82" s="39" t="e">
        <x:f>HYPERLINK("#'01-همه آیتم‌ها'!A55","باز کردن")</x:f>
        <x:v>HYPERLINK is not implemented. linkLocation=#'01-همه آیتم‌ها'!A55, friendlyName=باز کردن</x:v>
      </x:c>
    </x:row>
    <x:row r="83">
      <x:c r="A83" s="34" t="str">
        <x:f>'01-همه آیتم‌ها'!$A$56</x:f>
        <x:v>☐</x:v>
      </x:c>
      <x:c r="B83" s="34" t="str">
        <x:v>MI-1482</x:v>
      </x:c>
      <x:c r="C83" s="34" t="str">
        <x:v>P0</x:v>
      </x:c>
      <x:c r="D83" s="34" t="str">
        <x:v>M1 — فرد، پایه‌های عملکرد و خودشناسی</x:v>
      </x:c>
      <x:c r="E83" s="34" t="str">
        <x:v>H1</x:v>
      </x:c>
      <x:c r="F83" s="34" t="str">
        <x:v>پایه‌های زندگی و خودمدیریتی</x:v>
      </x:c>
      <x:c r="G83" s="39" t="str">
        <x:v>برنامه نویسی:</x:v>
      </x:c>
      <x:c r="H83" s="39" t="str">
        <x:v>اکنون؛ پایه عملکرد</x:v>
      </x:c>
      <x:c r="I83" s="39" t="n">
        <x:f>'01-همه آیتم‌ها'!$M$56</x:f>
        <x:v>0</x:v>
      </x:c>
      <x:c r="J83" s="39" t="e">
        <x:f>HYPERLINK("#'01-همه آیتم‌ها'!A56","باز کردن")</x:f>
        <x:v>HYPERLINK is not implemented. linkLocation=#'01-همه آیتم‌ها'!A56, friendlyName=باز کردن</x:v>
      </x:c>
    </x:row>
    <x:row r="84">
      <x:c r="A84" s="34" t="str">
        <x:f>'01-همه آیتم‌ها'!$A$57</x:f>
        <x:v>☐</x:v>
      </x:c>
      <x:c r="B84" s="34" t="str">
        <x:v>MI-1484</x:v>
      </x:c>
      <x:c r="C84" s="34" t="str">
        <x:v>P0</x:v>
      </x:c>
      <x:c r="D84" s="34" t="str">
        <x:v>M1 — فرد، پایه‌های عملکرد و خودشناسی</x:v>
      </x:c>
      <x:c r="E84" s="34" t="str">
        <x:v>H1</x:v>
      </x:c>
      <x:c r="F84" s="34" t="str">
        <x:v>پایه‌های زندگی و خودمدیریتی</x:v>
      </x:c>
      <x:c r="G84" s="39" t="str">
        <x:v>Verilog</x:v>
      </x:c>
      <x:c r="H84" s="39" t="str">
        <x:v>اکنون؛ پایه عملکرد</x:v>
      </x:c>
      <x:c r="I84" s="39" t="n">
        <x:f>'01-همه آیتم‌ها'!$M$57</x:f>
        <x:v>0</x:v>
      </x:c>
      <x:c r="J84" s="39" t="e">
        <x:f>HYPERLINK("#'01-همه آیتم‌ها'!A57","باز کردن")</x:f>
        <x:v>HYPERLINK is not implemented. linkLocation=#'01-همه آیتم‌ها'!A57, friendlyName=باز کردن</x:v>
      </x:c>
    </x:row>
    <x:row r="85">
      <x:c r="A85" s="34" t="str">
        <x:f>'01-همه آیتم‌ها'!$A$58</x:f>
        <x:v>☐</x:v>
      </x:c>
      <x:c r="B85" s="34" t="str">
        <x:v>MI-1490</x:v>
      </x:c>
      <x:c r="C85" s="34" t="str">
        <x:v>P0</x:v>
      </x:c>
      <x:c r="D85" s="34" t="str">
        <x:v>M1 — فرد، پایه‌های عملکرد و خودشناسی</x:v>
      </x:c>
      <x:c r="E85" s="34" t="str">
        <x:v>H1</x:v>
      </x:c>
      <x:c r="F85" s="34" t="str">
        <x:v>پایه‌های زندگی و خودمدیریتی</x:v>
      </x:c>
      <x:c r="G85" s="39" t="str">
        <x:v>سایر مهارت های فنی:</x:v>
      </x:c>
      <x:c r="H85" s="39" t="str">
        <x:v>اکنون؛ پایه عملکرد</x:v>
      </x:c>
      <x:c r="I85" s="39" t="n">
        <x:f>'01-همه آیتم‌ها'!$M$58</x:f>
        <x:v>0</x:v>
      </x:c>
      <x:c r="J85" s="39" t="e">
        <x:f>HYPERLINK("#'01-همه آیتم‌ها'!A58","باز کردن")</x:f>
        <x:v>HYPERLINK is not implemented. linkLocation=#'01-همه آیتم‌ها'!A58, friendlyName=باز کردن</x:v>
      </x:c>
    </x:row>
    <x:row r="86">
      <x:c r="A86" s="34" t="str">
        <x:f>'01-همه آیتم‌ها'!$A$59</x:f>
        <x:v>☐</x:v>
      </x:c>
      <x:c r="B86" s="34" t="str">
        <x:v>MI-1491</x:v>
      </x:c>
      <x:c r="C86" s="34" t="str">
        <x:v>P0</x:v>
      </x:c>
      <x:c r="D86" s="34" t="str">
        <x:v>M1 — فرد، پایه‌های عملکرد و خودشناسی</x:v>
      </x:c>
      <x:c r="E86" s="34" t="str">
        <x:v>H1</x:v>
      </x:c>
      <x:c r="F86" s="34" t="str">
        <x:v>پایه‌های زندگی و خودمدیریتی</x:v>
      </x:c>
      <x:c r="G86" s="39" t="str">
        <x:v>تایپ ده انگشتی</x:v>
      </x:c>
      <x:c r="H86" s="39" t="str">
        <x:v>اکنون؛ پایه عملکرد</x:v>
      </x:c>
      <x:c r="I86" s="39" t="n">
        <x:f>'01-همه آیتم‌ها'!$M$59</x:f>
        <x:v>0</x:v>
      </x:c>
      <x:c r="J86" s="39" t="e">
        <x:f>HYPERLINK("#'01-همه آیتم‌ها'!A59","باز کردن")</x:f>
        <x:v>HYPERLINK is not implemented. linkLocation=#'01-همه آیتم‌ها'!A59, friendlyName=باز کردن</x:v>
      </x:c>
    </x:row>
    <x:row r="87">
      <x:c r="A87" s="34" t="str">
        <x:f>'01-همه آیتم‌ها'!$A$60</x:f>
        <x:v>☐</x:v>
      </x:c>
      <x:c r="B87" s="34" t="str">
        <x:v>MI-1492</x:v>
      </x:c>
      <x:c r="C87" s="34" t="str">
        <x:v>P0</x:v>
      </x:c>
      <x:c r="D87" s="34" t="str">
        <x:v>M1 — فرد، پایه‌های عملکرد و خودشناسی</x:v>
      </x:c>
      <x:c r="E87" s="34" t="str">
        <x:v>H1</x:v>
      </x:c>
      <x:c r="F87" s="34" t="str">
        <x:v>پایه‌های زندگی و خودمدیریتی</x:v>
      </x:c>
      <x:c r="G87" s="39" t="str">
        <x:v>گواهی نامه</x:v>
      </x:c>
      <x:c r="H87" s="39" t="str">
        <x:v>اکنون؛ پایه عملکرد</x:v>
      </x:c>
      <x:c r="I87" s="39" t="n">
        <x:f>'01-همه آیتم‌ها'!$M$60</x:f>
        <x:v>0</x:v>
      </x:c>
      <x:c r="J87" s="39" t="e">
        <x:f>HYPERLINK("#'01-همه آیتم‌ها'!A60","باز کردن")</x:f>
        <x:v>HYPERLINK is not implemented. linkLocation=#'01-همه آیتم‌ها'!A60, friendlyName=باز کردن</x:v>
      </x:c>
    </x:row>
    <x:row r="88">
      <x:c r="A88" s="34" t="str">
        <x:f>'01-همه آیتم‌ها'!$A$61</x:f>
        <x:v>☐</x:v>
      </x:c>
      <x:c r="B88" s="34" t="str">
        <x:v>MI-1493</x:v>
      </x:c>
      <x:c r="C88" s="34" t="str">
        <x:v>P0</x:v>
      </x:c>
      <x:c r="D88" s="34" t="str">
        <x:v>M1 — فرد، پایه‌های عملکرد و خودشناسی</x:v>
      </x:c>
      <x:c r="E88" s="34" t="str">
        <x:v>H1</x:v>
      </x:c>
      <x:c r="F88" s="34" t="str">
        <x:v>پایه‌های زندگی و خودمدیریتی</x:v>
      </x:c>
      <x:c r="G88" s="39" t="str">
        <x:v>گرفتن مدرک تزریق</x:v>
      </x:c>
      <x:c r="H88" s="39" t="str">
        <x:v>اکنون؛ پایه عملکرد</x:v>
      </x:c>
      <x:c r="I88" s="39" t="n">
        <x:f>'01-همه آیتم‌ها'!$M$61</x:f>
        <x:v>0</x:v>
      </x:c>
      <x:c r="J88" s="39" t="e">
        <x:f>HYPERLINK("#'01-همه آیتم‌ها'!A61","باز کردن")</x:f>
        <x:v>HYPERLINK is not implemented. linkLocation=#'01-همه آیتم‌ها'!A61, friendlyName=باز کردن</x:v>
      </x:c>
    </x:row>
    <x:row r="89">
      <x:c r="A89" s="34" t="str">
        <x:f>'01-همه آیتم‌ها'!$A$104</x:f>
        <x:v>☐</x:v>
      </x:c>
      <x:c r="B89" s="34" t="str">
        <x:v>MI-1494</x:v>
      </x:c>
      <x:c r="C89" s="34" t="str">
        <x:v>P0</x:v>
      </x:c>
      <x:c r="D89" s="34" t="str">
        <x:v>M1 — فرد، پایه‌های عملکرد و خودشناسی</x:v>
      </x:c>
      <x:c r="E89" s="34" t="str">
        <x:v>H1</x:v>
      </x:c>
      <x:c r="F89" s="34" t="str">
        <x:v>پایه‌های زندگی و خودمدیریتی</x:v>
      </x:c>
      <x:c r="G89" s="39" t="str">
        <x:v>مدیریت و رهبری:</x:v>
      </x:c>
      <x:c r="H89" s="39" t="str">
        <x:v>اکنون؛ پایه عملکرد</x:v>
      </x:c>
      <x:c r="I89" s="39" t="n">
        <x:f>'01-همه آیتم‌ها'!$M$104</x:f>
        <x:v>0</x:v>
      </x:c>
      <x:c r="J89" s="39" t="e">
        <x:f>HYPERLINK("#'01-همه آیتم‌ها'!A104","باز کردن")</x:f>
        <x:v>HYPERLINK is not implemented. linkLocation=#'01-همه آیتم‌ها'!A104, friendlyName=باز کردن</x:v>
      </x:c>
    </x:row>
    <x:row r="90">
      <x:c r="A90" s="34" t="str">
        <x:f>'01-همه آیتم‌ها'!$A$105</x:f>
        <x:v>☐</x:v>
      </x:c>
      <x:c r="B90" s="34" t="str">
        <x:v>MI-1496</x:v>
      </x:c>
      <x:c r="C90" s="34" t="str">
        <x:v>P0</x:v>
      </x:c>
      <x:c r="D90" s="34" t="str">
        <x:v>M1 — فرد، پایه‌های عملکرد و خودشناسی</x:v>
      </x:c>
      <x:c r="E90" s="34" t="str">
        <x:v>H1</x:v>
      </x:c>
      <x:c r="F90" s="34" t="str">
        <x:v>پایه‌های زندگی و خودمدیریتی</x:v>
      </x:c>
      <x:c r="G90" s="39" t="str">
        <x:v>مدیریت اجرایی: اجرای استراتژی ها، تصمیم گیری، حل مسیله.</x:v>
      </x:c>
      <x:c r="H90" s="39" t="str">
        <x:v>اکنون؛ پایه عملکرد</x:v>
      </x:c>
      <x:c r="I90" s="39" t="n">
        <x:f>'01-همه آیتم‌ها'!$M$105</x:f>
        <x:v>0</x:v>
      </x:c>
      <x:c r="J90" s="39" t="e">
        <x:f>HYPERLINK("#'01-همه آیتم‌ها'!A105","باز کردن")</x:f>
        <x:v>HYPERLINK is not implemented. linkLocation=#'01-همه آیتم‌ها'!A105, friendlyName=باز کردن</x:v>
      </x:c>
    </x:row>
    <x:row r="91">
      <x:c r="A91" s="34" t="str">
        <x:f>'01-همه آیتم‌ها'!$A$62</x:f>
        <x:v>☐</x:v>
      </x:c>
      <x:c r="B91" s="34" t="str">
        <x:v>MI-1499</x:v>
      </x:c>
      <x:c r="C91" s="34" t="str">
        <x:v>P0</x:v>
      </x:c>
      <x:c r="D91" s="34" t="str">
        <x:v>M1 — فرد، پایه‌های عملکرد و خودشناسی</x:v>
      </x:c>
      <x:c r="E91" s="34" t="str">
        <x:v>H1</x:v>
      </x:c>
      <x:c r="F91" s="34" t="str">
        <x:v>پایه‌های زندگی و خودمدیریتی</x:v>
      </x:c>
      <x:c r="G91" s="39" t="str">
        <x:v>مدیریت منابع انسانی: استخدام، آموزش، ارزیابی، انگیزش کارکنان.</x:v>
      </x:c>
      <x:c r="H91" s="39" t="str">
        <x:v>اکنون؛ پایه عملکرد</x:v>
      </x:c>
      <x:c r="I91" s="39" t="n">
        <x:f>'01-همه آیتم‌ها'!$M$62</x:f>
        <x:v>0</x:v>
      </x:c>
      <x:c r="J91" s="39" t="e">
        <x:f>HYPERLINK("#'01-همه آیتم‌ها'!A62","باز کردن")</x:f>
        <x:v>HYPERLINK is not implemented. linkLocation=#'01-همه آیتم‌ها'!A62, friendlyName=باز کردن</x:v>
      </x:c>
    </x:row>
    <x:row r="92">
      <x:c r="A92" s="34" t="str">
        <x:f>'01-همه آیتم‌ها'!$A$106</x:f>
        <x:v>☐</x:v>
      </x:c>
      <x:c r="B92" s="34" t="str">
        <x:v>MI-1500</x:v>
      </x:c>
      <x:c r="C92" s="34" t="str">
        <x:v>P0</x:v>
      </x:c>
      <x:c r="D92" s="34" t="str">
        <x:v>M1 — فرد، پایه‌های عملکرد و خودشناسی</x:v>
      </x:c>
      <x:c r="E92" s="34" t="str">
        <x:v>H1</x:v>
      </x:c>
      <x:c r="F92" s="34" t="str">
        <x:v>پایه‌های زندگی و خودمدیریتی</x:v>
      </x:c>
      <x:c r="G92" s="39" t="str">
        <x:v>مدیریت مالی: تخصیص منابع، کنترل هزینه ها، گزارش دهی مالی.</x:v>
      </x:c>
      <x:c r="H92" s="39" t="str">
        <x:v>اکنون؛ پایه عملکرد</x:v>
      </x:c>
      <x:c r="I92" s="39" t="n">
        <x:f>'01-همه آیتم‌ها'!$M$106</x:f>
        <x:v>0</x:v>
      </x:c>
      <x:c r="J92" s="39" t="e">
        <x:f>HYPERLINK("#'01-همه آیتم‌ها'!A106","باز کردن")</x:f>
        <x:v>HYPERLINK is not implemented. linkLocation=#'01-همه آیتم‌ها'!A106, friendlyName=باز کردن</x:v>
      </x:c>
    </x:row>
    <x:row r="93">
      <x:c r="A93" s="34" t="str">
        <x:f>'01-همه آیتم‌ها'!$A$7</x:f>
        <x:v>☐</x:v>
      </x:c>
      <x:c r="B93" s="34" t="str">
        <x:v>MI-1501</x:v>
      </x:c>
      <x:c r="C93" s="34" t="str">
        <x:v>P0</x:v>
      </x:c>
      <x:c r="D93" s="34" t="str">
        <x:v>M1 — فرد، پایه‌های عملکرد و خودشناسی</x:v>
      </x:c>
      <x:c r="E93" s="34" t="str">
        <x:v>H1</x:v>
      </x:c>
      <x:c r="F93" s="34" t="str">
        <x:v>پایه‌های زندگی و خودمدیریتی</x:v>
      </x:c>
      <x:c r="G93" s="39" t="str">
        <x:v>مدیریت ریسک: شناسایی ریسک ها، ارزیابی اثرات، تدوین برنامه های مقابله با ریسک ها.</x:v>
      </x:c>
      <x:c r="H93" s="39" t="str">
        <x:v>اکنون؛ پایه عملکرد</x:v>
      </x:c>
      <x:c r="I93" s="39" t="n">
        <x:f>'01-همه آیتم‌ها'!$M$7</x:f>
        <x:v>0</x:v>
      </x:c>
      <x:c r="J93" s="39" t="e">
        <x:f>HYPERLINK("#'01-همه آیتم‌ها'!A7","باز کردن")</x:f>
        <x:v>HYPERLINK is not implemented. linkLocation=#'01-همه آیتم‌ها'!A7, friendlyName=باز کردن</x:v>
      </x:c>
    </x:row>
    <x:row r="94">
      <x:c r="A94" s="34" t="str">
        <x:f>'01-همه آیتم‌ها'!$A$107</x:f>
        <x:v>☐</x:v>
      </x:c>
      <x:c r="B94" s="34" t="str">
        <x:v>MI-1502</x:v>
      </x:c>
      <x:c r="C94" s="34" t="str">
        <x:v>P0</x:v>
      </x:c>
      <x:c r="D94" s="34" t="str">
        <x:v>M1 — فرد، پایه‌های عملکرد و خودشناسی</x:v>
      </x:c>
      <x:c r="E94" s="34" t="str">
        <x:v>H1</x:v>
      </x:c>
      <x:c r="F94" s="34" t="str">
        <x:v>پایه‌های زندگی و خودمدیریتی</x:v>
      </x:c>
      <x:c r="G94" s="39" t="str">
        <x:v>رهبری: مدیریت تیم، انگیزش، تصمیم گیری، حل مسیله.</x:v>
      </x:c>
      <x:c r="H94" s="39" t="str">
        <x:v>اکنون؛ پایه عملکرد</x:v>
      </x:c>
      <x:c r="I94" s="39" t="n">
        <x:f>'01-همه آیتم‌ها'!$M$107</x:f>
        <x:v>0</x:v>
      </x:c>
      <x:c r="J94" s="39" t="e">
        <x:f>HYPERLINK("#'01-همه آیتم‌ها'!A107","باز کردن")</x:f>
        <x:v>HYPERLINK is not implemented. linkLocation=#'01-همه آیتم‌ها'!A107, friendlyName=باز کردن</x:v>
      </x:c>
    </x:row>
    <x:row r="95">
      <x:c r="A95" s="34" t="str">
        <x:f>'01-همه آیتم‌ها'!$A$8</x:f>
        <x:v>☐</x:v>
      </x:c>
      <x:c r="B95" s="34" t="str">
        <x:v>MI-1503</x:v>
      </x:c>
      <x:c r="C95" s="34" t="str">
        <x:v>P0</x:v>
      </x:c>
      <x:c r="D95" s="34" t="str">
        <x:v>M1 — فرد، پایه‌های عملکرد و خودشناسی</x:v>
      </x:c>
      <x:c r="E95" s="34" t="str">
        <x:v>H1</x:v>
      </x:c>
      <x:c r="F95" s="34" t="str">
        <x:v>پایه‌های زندگی و خودمدیریتی</x:v>
      </x:c>
      <x:c r="G95" s="39" t="str">
        <x:v>مدیریت زمان: اولویت بندی، برنامه ریزی، تمرکز.</x:v>
      </x:c>
      <x:c r="H95" s="39" t="str">
        <x:v>اکنون؛ پایه عملکرد</x:v>
      </x:c>
      <x:c r="I95" s="39" t="n">
        <x:f>'01-همه آیتم‌ها'!$M$8</x:f>
        <x:v>0</x:v>
      </x:c>
      <x:c r="J95" s="39" t="e">
        <x:f>HYPERLINK("#'01-همه آیتم‌ها'!A8","باز کردن")</x:f>
        <x:v>HYPERLINK is not implemented. linkLocation=#'01-همه آیتم‌ها'!A8, friendlyName=باز کردن</x:v>
      </x:c>
    </x:row>
    <x:row r="96">
      <x:c r="A96" s="34" t="str">
        <x:f>'01-همه آیتم‌ها'!$A$63</x:f>
        <x:v>☐</x:v>
      </x:c>
      <x:c r="B96" s="34" t="str">
        <x:v>MI-1504</x:v>
      </x:c>
      <x:c r="C96" s="34" t="str">
        <x:v>P0</x:v>
      </x:c>
      <x:c r="D96" s="34" t="str">
        <x:v>M1 — فرد، پایه‌های عملکرد و خودشناسی</x:v>
      </x:c>
      <x:c r="E96" s="34" t="str">
        <x:v>H1</x:v>
      </x:c>
      <x:c r="F96" s="34" t="str">
        <x:v>پایه‌های زندگی و خودمدیریتی</x:v>
      </x:c>
      <x:c r="G96" s="39" t="str">
        <x:v>مهارت های نرم (Soft Skills):</x:v>
      </x:c>
      <x:c r="H96" s="39" t="str">
        <x:v>اکنون؛ پایه عملکرد</x:v>
      </x:c>
      <x:c r="I96" s="39" t="n">
        <x:f>'01-همه آیتم‌ها'!$M$63</x:f>
        <x:v>0</x:v>
      </x:c>
      <x:c r="J96" s="39" t="e">
        <x:f>HYPERLINK("#'01-همه آیتم‌ها'!A63","باز کردن")</x:f>
        <x:v>HYPERLINK is not implemented. linkLocation=#'01-همه آیتم‌ها'!A63, friendlyName=باز کردن</x:v>
      </x:c>
    </x:row>
    <x:row r="97">
      <x:c r="A97" s="34" t="str">
        <x:f>'01-همه آیتم‌ها'!$A$108</x:f>
        <x:v>☐</x:v>
      </x:c>
      <x:c r="B97" s="34" t="str">
        <x:v>MI-1506</x:v>
      </x:c>
      <x:c r="C97" s="34" t="str">
        <x:v>P0</x:v>
      </x:c>
      <x:c r="D97" s="34" t="str">
        <x:v>M1 — فرد، پایه‌های عملکرد و خودشناسی</x:v>
      </x:c>
      <x:c r="E97" s="34" t="str">
        <x:v>H1</x:v>
      </x:c>
      <x:c r="F97" s="34" t="str">
        <x:v>پایه‌های زندگی و خودمدیریتی</x:v>
      </x:c>
      <x:c r="G97" s="39" t="str">
        <x:v>خلاقیت و نوآوری: تفکر خارج از چارچوب، تولید ایده های جدید.</x:v>
      </x:c>
      <x:c r="H97" s="39" t="str">
        <x:v>اکنون؛ پایه عملکرد</x:v>
      </x:c>
      <x:c r="I97" s="39" t="n">
        <x:f>'01-همه آیتم‌ها'!$M$108</x:f>
        <x:v>0</x:v>
      </x:c>
      <x:c r="J97" s="39" t="e">
        <x:f>HYPERLINK("#'01-همه آیتم‌ها'!A108","باز کردن")</x:f>
        <x:v>HYPERLINK is not implemented. linkLocation=#'01-همه آیتم‌ها'!A108, friendlyName=باز کردن</x:v>
      </x:c>
    </x:row>
    <x:row r="98">
      <x:c r="A98" s="34" t="str">
        <x:f>'01-همه آیتم‌ها'!$A$64</x:f>
        <x:v>☐</x:v>
      </x:c>
      <x:c r="B98" s="34" t="str">
        <x:v>MI-1507</x:v>
      </x:c>
      <x:c r="C98" s="34" t="str">
        <x:v>P0</x:v>
      </x:c>
      <x:c r="D98" s="34" t="str">
        <x:v>M1 — فرد، پایه‌های عملکرد و خودشناسی</x:v>
      </x:c>
      <x:c r="E98" s="34" t="str">
        <x:v>H1</x:v>
      </x:c>
      <x:c r="F98" s="34" t="str">
        <x:v>پایه‌های زندگی و خودمدیریتی</x:v>
      </x:c>
      <x:c r="G98" s="39" t="str">
        <x:v>انعطاف پذیری: تطبیق با شرایط جدید، یادگیری سریع.</x:v>
      </x:c>
      <x:c r="H98" s="39" t="str">
        <x:v>اکنون؛ پایه عملکرد</x:v>
      </x:c>
      <x:c r="I98" s="39" t="n">
        <x:f>'01-همه آیتم‌ها'!$M$64</x:f>
        <x:v>0</x:v>
      </x:c>
      <x:c r="J98" s="39" t="e">
        <x:f>HYPERLINK("#'01-همه آیتم‌ها'!A64","باز کردن")</x:f>
        <x:v>HYPERLINK is not implemented. linkLocation=#'01-همه آیتم‌ها'!A64, friendlyName=باز کردن</x:v>
      </x:c>
    </x:row>
    <x:row r="99">
      <x:c r="A99" s="34" t="str">
        <x:f>'01-همه آیتم‌ها'!$A$65</x:f>
        <x:v>☐</x:v>
      </x:c>
      <x:c r="B99" s="34" t="str">
        <x:v>MI-1508</x:v>
      </x:c>
      <x:c r="C99" s="34" t="str">
        <x:v>P0</x:v>
      </x:c>
      <x:c r="D99" s="34" t="str">
        <x:v>M1 — فرد، پایه‌های عملکرد و خودشناسی</x:v>
      </x:c>
      <x:c r="E99" s="34" t="str">
        <x:v>H1</x:v>
      </x:c>
      <x:c r="F99" s="34" t="str">
        <x:v>پایه‌های زندگی و خودمدیریتی</x:v>
      </x:c>
      <x:c r="G99" s="39" t="str">
        <x:v>مهارت های فنی: تسلط بر نرم افزارهای تخصصی، ابزارهای مهندسی، تکنولوژی های جدید.</x:v>
      </x:c>
      <x:c r="H99" s="39" t="str">
        <x:v>اکنون؛ پایه عملکرد</x:v>
      </x:c>
      <x:c r="I99" s="39" t="n">
        <x:f>'01-همه آیتم‌ها'!$M$65</x:f>
        <x:v>0</x:v>
      </x:c>
      <x:c r="J99" s="39" t="e">
        <x:f>HYPERLINK("#'01-همه آیتم‌ها'!A65","باز کردن")</x:f>
        <x:v>HYPERLINK is not implemented. linkLocation=#'01-همه آیتم‌ها'!A65, friendlyName=باز کردن</x:v>
      </x:c>
    </x:row>
    <x:row r="100">
      <x:c r="A100" s="34" t="str">
        <x:f>'01-همه آیتم‌ها'!$A$109</x:f>
        <x:v>☐</x:v>
      </x:c>
      <x:c r="B100" s="34" t="str">
        <x:v>MI-1509</x:v>
      </x:c>
      <x:c r="C100" s="34" t="str">
        <x:v>P0</x:v>
      </x:c>
      <x:c r="D100" s="34" t="str">
        <x:v>M1 — فرد، پایه‌های عملکرد و خودشناسی</x:v>
      </x:c>
      <x:c r="E100" s="34" t="str">
        <x:v>H1</x:v>
      </x:c>
      <x:c r="F100" s="34" t="str">
        <x:v>پایه‌های زندگی و خودمدیریتی</x:v>
      </x:c>
      <x:c r="G100" s="39" t="str">
        <x:v>سرمایه گذاری و اقتصاد:</x:v>
      </x:c>
      <x:c r="H100" s="39" t="str">
        <x:v>اکنون؛ پایه عملکرد</x:v>
      </x:c>
      <x:c r="I100" s="39" t="n">
        <x:f>'01-همه آیتم‌ها'!$M$109</x:f>
        <x:v>0</x:v>
      </x:c>
      <x:c r="J100" s="39" t="e">
        <x:f>HYPERLINK("#'01-همه آیتم‌ها'!A109","باز کردن")</x:f>
        <x:v>HYPERLINK is not implemented. linkLocation=#'01-همه آیتم‌ها'!A109, friendlyName=باز کردن</x:v>
      </x:c>
    </x:row>
    <x:row r="101">
      <x:c r="A101" s="34" t="str">
        <x:f>'01-همه آیتم‌ها'!$A$66</x:f>
        <x:v>☐</x:v>
      </x:c>
      <x:c r="B101" s="34" t="str">
        <x:v>MI-1510</x:v>
      </x:c>
      <x:c r="C101" s="34" t="str">
        <x:v>P0</x:v>
      </x:c>
      <x:c r="D101" s="34" t="str">
        <x:v>M1 — فرد، پایه‌های عملکرد و خودشناسی</x:v>
      </x:c>
      <x:c r="E101" s="34" t="str">
        <x:v>H1</x:v>
      </x:c>
      <x:c r="F101" s="34" t="str">
        <x:v>پایه‌های زندگی و خودمدیریتی</x:v>
      </x:c>
      <x:c r="G101" s="39" t="str">
        <x:v>دانش مالی: درک مفاهیم مالی، آشنایی با انواع سرمایه گذاری ها.</x:v>
      </x:c>
      <x:c r="H101" s="39" t="str">
        <x:v>اکنون؛ پایه عملکرد</x:v>
      </x:c>
      <x:c r="I101" s="39" t="n">
        <x:f>'01-همه آیتم‌ها'!$M$66</x:f>
        <x:v>0</x:v>
      </x:c>
      <x:c r="J101" s="39" t="e">
        <x:f>HYPERLINK("#'01-همه آیتم‌ها'!A66","باز کردن")</x:f>
        <x:v>HYPERLINK is not implemented. linkLocation=#'01-همه آیتم‌ها'!A66, friendlyName=باز کردن</x:v>
      </x:c>
    </x:row>
    <x:row r="102">
      <x:c r="A102" s="34" t="str">
        <x:f>'01-همه آیتم‌ها'!$A$110</x:f>
        <x:v>☐</x:v>
      </x:c>
      <x:c r="B102" s="34" t="str">
        <x:v>MI-1511</x:v>
      </x:c>
      <x:c r="C102" s="34" t="str">
        <x:v>P0</x:v>
      </x:c>
      <x:c r="D102" s="34" t="str">
        <x:v>M1 — فرد، پایه‌های عملکرد و خودشناسی</x:v>
      </x:c>
      <x:c r="E102" s="34" t="str">
        <x:v>H1</x:v>
      </x:c>
      <x:c r="F102" s="34" t="str">
        <x:v>پایه‌های زندگی و خودمدیریتی</x:v>
      </x:c>
      <x:c r="G102" s="39" t="str">
        <x:v>مدیریت سرمایه: تخصیص سرمایه، ارزیابی ریسک و بازده.</x:v>
      </x:c>
      <x:c r="H102" s="39" t="str">
        <x:v>اکنون؛ پایه عملکرد</x:v>
      </x:c>
      <x:c r="I102" s="39" t="n">
        <x:f>'01-همه آیتم‌ها'!$M$110</x:f>
        <x:v>0</x:v>
      </x:c>
      <x:c r="J102" s="39" t="e">
        <x:f>HYPERLINK("#'01-همه آیتم‌ها'!A110","باز کردن")</x:f>
        <x:v>HYPERLINK is not implemented. linkLocation=#'01-همه آیتم‌ها'!A110, friendlyName=باز کردن</x:v>
      </x:c>
    </x:row>
    <x:row r="103">
      <x:c r="A103" s="34" t="str">
        <x:f>'01-همه آیتم‌ها'!$A$67</x:f>
        <x:v>☐</x:v>
      </x:c>
      <x:c r="B103" s="34" t="str">
        <x:v>MI-1512</x:v>
      </x:c>
      <x:c r="C103" s="34" t="str">
        <x:v>P0</x:v>
      </x:c>
      <x:c r="D103" s="34" t="str">
        <x:v>M1 — فرد، پایه‌های عملکرد و خودشناسی</x:v>
      </x:c>
      <x:c r="E103" s="34" t="str">
        <x:v>H1</x:v>
      </x:c>
      <x:c r="F103" s="34" t="str">
        <x:v>پایه‌های زندگی و خودمدیریتی</x:v>
      </x:c>
      <x:c r="G103" s="39" t="str">
        <x:v>بازار سرمایه: آشنایی با بازار سهام، اوراق قرضه، و سایر ابزارهای مالی.</x:v>
      </x:c>
      <x:c r="H103" s="39" t="str">
        <x:v>اکنون؛ پایه عملکرد</x:v>
      </x:c>
      <x:c r="I103" s="39" t="n">
        <x:f>'01-همه آیتم‌ها'!$M$67</x:f>
        <x:v>0</x:v>
      </x:c>
      <x:c r="J103" s="39" t="e">
        <x:f>HYPERLINK("#'01-همه آیتم‌ها'!A67","باز کردن")</x:f>
        <x:v>HYPERLINK is not implemented. linkLocation=#'01-همه آیتم‌ها'!A67, friendlyName=باز کردن</x:v>
      </x:c>
    </x:row>
    <x:row r="104">
      <x:c r="A104" s="34" t="str">
        <x:f>'01-همه آیتم‌ها'!$A$9</x:f>
        <x:v>☐</x:v>
      </x:c>
      <x:c r="B104" s="34" t="str">
        <x:v>MI-1513</x:v>
      </x:c>
      <x:c r="C104" s="34" t="str">
        <x:v>P0</x:v>
      </x:c>
      <x:c r="D104" s="34" t="str">
        <x:v>M1 — فرد، پایه‌های عملکرد و خودشناسی</x:v>
      </x:c>
      <x:c r="E104" s="34" t="str">
        <x:v>H1</x:v>
      </x:c>
      <x:c r="F104" s="34" t="str">
        <x:v>پایه‌های زندگی و خودمدیریتی</x:v>
      </x:c>
      <x:c r="G104" s="39" t="str">
        <x:v>تولید و کارآفرینی: توانایی تولید محصول و خدمات و ایجاد شغل.</x:v>
      </x:c>
      <x:c r="H104" s="39" t="str">
        <x:v>اکنون؛ پایه عملکرد</x:v>
      </x:c>
      <x:c r="I104" s="39" t="n">
        <x:f>'01-همه آیتم‌ها'!$M$9</x:f>
        <x:v>0</x:v>
      </x:c>
      <x:c r="J104" s="39" t="e">
        <x:f>HYPERLINK("#'01-همه آیتم‌ها'!A9","باز کردن")</x:f>
        <x:v>HYPERLINK is not implemented. linkLocation=#'01-همه آیتم‌ها'!A9, friendlyName=باز کردن</x:v>
      </x:c>
    </x:row>
    <x:row r="105">
      <x:c r="A105" s="34" t="str">
        <x:f>'01-همه آیتم‌ها'!$A$68</x:f>
        <x:v>☐</x:v>
      </x:c>
      <x:c r="B105" s="34" t="str">
        <x:v>MI-1516</x:v>
      </x:c>
      <x:c r="C105" s="34" t="str">
        <x:v>P0</x:v>
      </x:c>
      <x:c r="D105" s="34" t="str">
        <x:v>M1 — فرد، پایه‌های عملکرد و خودشناسی</x:v>
      </x:c>
      <x:c r="E105" s="34" t="str">
        <x:v>H1</x:v>
      </x:c>
      <x:c r="F105" s="34" t="str">
        <x:v>پایه‌های زندگی و خودمدیریتی</x:v>
      </x:c>
      <x:c r="G105" s="39" t="str">
        <x:v>مهارت های مالی و تجاری:</x:v>
      </x:c>
      <x:c r="H105" s="39" t="str">
        <x:v>اکنون؛ پایه عملکرد</x:v>
      </x:c>
      <x:c r="I105" s="39" t="n">
        <x:f>'01-همه آیتم‌ها'!$M$68</x:f>
        <x:v>0</x:v>
      </x:c>
      <x:c r="J105" s="39" t="e">
        <x:f>HYPERLINK("#'01-همه آیتم‌ها'!A68","باز کردن")</x:f>
        <x:v>HYPERLINK is not implemented. linkLocation=#'01-همه آیتم‌ها'!A68, friendlyName=باز کردن</x:v>
      </x:c>
    </x:row>
    <x:row r="106">
      <x:c r="A106" s="34" t="str">
        <x:f>'01-همه آیتم‌ها'!$A$111</x:f>
        <x:v>☐</x:v>
      </x:c>
      <x:c r="B106" s="34" t="str">
        <x:v>MI-1524</x:v>
      </x:c>
      <x:c r="C106" s="34" t="str">
        <x:v>P0</x:v>
      </x:c>
      <x:c r="D106" s="34" t="str">
        <x:v>M1 — فرد، پایه‌های عملکرد و خودشناسی</x:v>
      </x:c>
      <x:c r="E106" s="34" t="str">
        <x:v>H1</x:v>
      </x:c>
      <x:c r="F106" s="34" t="str">
        <x:v>پایه‌های زندگی و خودمدیریتی</x:v>
      </x:c>
      <x:c r="G106" s="39" t="str">
        <x:v>حقوقی و مدنی:</x:v>
      </x:c>
      <x:c r="H106" s="39" t="str">
        <x:v>اکنون؛ پایه عملکرد</x:v>
      </x:c>
      <x:c r="I106" s="39" t="n">
        <x:f>'01-همه آیتم‌ها'!$M$111</x:f>
        <x:v>0</x:v>
      </x:c>
      <x:c r="J106" s="39" t="e">
        <x:f>HYPERLINK("#'01-همه آیتم‌ها'!A111","باز کردن")</x:f>
        <x:v>HYPERLINK is not implemented. linkLocation=#'01-همه آیتم‌ها'!A111, friendlyName=باز کردن</x:v>
      </x:c>
    </x:row>
    <x:row r="107">
      <x:c r="A107" s="34" t="str">
        <x:f>'01-همه آیتم‌ها'!$A$69</x:f>
        <x:v>☐</x:v>
      </x:c>
      <x:c r="B107" s="34" t="str">
        <x:v>MI-1525</x:v>
      </x:c>
      <x:c r="C107" s="34" t="str">
        <x:v>P0</x:v>
      </x:c>
      <x:c r="D107" s="34" t="str">
        <x:v>M1 — فرد، پایه‌های عملکرد و خودشناسی</x:v>
      </x:c>
      <x:c r="E107" s="34" t="str">
        <x:v>H1</x:v>
      </x:c>
      <x:c r="F107" s="34" t="str">
        <x:v>پایه‌های زندگی و خودمدیریتی</x:v>
      </x:c>
      <x:c r="G107" s="39" t="str">
        <x:v>آشنایی با قوانین و مقررات: قوانین مدنی، کیفری، تجاری، کار، مالیاتی.</x:v>
      </x:c>
      <x:c r="H107" s="39" t="str">
        <x:v>اکنون؛ پایه عملکرد</x:v>
      </x:c>
      <x:c r="I107" s="39" t="n">
        <x:f>'01-همه آیتم‌ها'!$M$69</x:f>
        <x:v>0</x:v>
      </x:c>
      <x:c r="J107" s="39" t="e">
        <x:f>HYPERLINK("#'01-همه آیتم‌ها'!A69","باز کردن")</x:f>
        <x:v>HYPERLINK is not implemented. linkLocation=#'01-همه آیتم‌ها'!A69, friendlyName=باز کردن</x:v>
      </x:c>
    </x:row>
    <x:row r="108">
      <x:c r="A108" s="34" t="str">
        <x:f>'01-همه آیتم‌ها'!$A$112</x:f>
        <x:v>☐</x:v>
      </x:c>
      <x:c r="B108" s="34" t="str">
        <x:v>MI-1526</x:v>
      </x:c>
      <x:c r="C108" s="34" t="str">
        <x:v>P0</x:v>
      </x:c>
      <x:c r="D108" s="34" t="str">
        <x:v>M1 — فرد، پایه‌های عملکرد و خودشناسی</x:v>
      </x:c>
      <x:c r="E108" s="34" t="str">
        <x:v>H1</x:v>
      </x:c>
      <x:c r="F108" s="34" t="str">
        <x:v>پایه‌های زندگی و خودمدیریتی</x:v>
      </x:c>
      <x:c r="G108" s="39" t="str">
        <x:v>حقوق شهروندی: حقوق و وظایف شهروندان.</x:v>
      </x:c>
      <x:c r="H108" s="39" t="str">
        <x:v>اکنون؛ پایه عملکرد</x:v>
      </x:c>
      <x:c r="I108" s="39" t="n">
        <x:f>'01-همه آیتم‌ها'!$M$112</x:f>
        <x:v>0</x:v>
      </x:c>
      <x:c r="J108" s="39" t="e">
        <x:f>HYPERLINK("#'01-همه آیتم‌ها'!A112","باز کردن")</x:f>
        <x:v>HYPERLINK is not implemented. linkLocation=#'01-همه آیتم‌ها'!A112, friendlyName=باز کردن</x:v>
      </x:c>
    </x:row>
    <x:row r="109">
      <x:c r="A109" s="34" t="str">
        <x:f>'01-همه آیتم‌ها'!$A$113</x:f>
        <x:v>☐</x:v>
      </x:c>
      <x:c r="B109" s="34" t="str">
        <x:v>MI-1527</x:v>
      </x:c>
      <x:c r="C109" s="34" t="str">
        <x:v>P0</x:v>
      </x:c>
      <x:c r="D109" s="34" t="str">
        <x:v>M1 — فرد، پایه‌های عملکرد و خودشناسی</x:v>
      </x:c>
      <x:c r="E109" s="34" t="str">
        <x:v>H1</x:v>
      </x:c>
      <x:c r="F109" s="34" t="str">
        <x:v>پایه‌های زندگی و خودمدیریتی</x:v>
      </x:c>
      <x:c r="G109" s="39" t="str">
        <x:v>حقوق مالکیت معنوی: حق اختراع، حق نشر، علایم تجاری.</x:v>
      </x:c>
      <x:c r="H109" s="39" t="str">
        <x:v>اکنون؛ پایه عملکرد</x:v>
      </x:c>
      <x:c r="I109" s="39" t="n">
        <x:f>'01-همه آیتم‌ها'!$M$113</x:f>
        <x:v>0</x:v>
      </x:c>
      <x:c r="J109" s="39" t="e">
        <x:f>HYPERLINK("#'01-همه آیتم‌ها'!A113","باز کردن")</x:f>
        <x:v>HYPERLINK is not implemented. linkLocation=#'01-همه آیتم‌ها'!A113, friendlyName=باز کردن</x:v>
      </x:c>
    </x:row>
    <x:row r="110">
      <x:c r="A110" s="34" t="str">
        <x:f>'01-همه آیتم‌ها'!$A$114</x:f>
        <x:v>☐</x:v>
      </x:c>
      <x:c r="B110" s="34" t="str">
        <x:v>MI-1528</x:v>
      </x:c>
      <x:c r="C110" s="34" t="str">
        <x:v>P0</x:v>
      </x:c>
      <x:c r="D110" s="34" t="str">
        <x:v>M1 — فرد، پایه‌های عملکرد و خودشناسی</x:v>
      </x:c>
      <x:c r="E110" s="34" t="str">
        <x:v>H1</x:v>
      </x:c>
      <x:c r="F110" s="34" t="str">
        <x:v>پایه‌های زندگی و خودمدیریتی</x:v>
      </x:c>
      <x:c r="G110" s="39" t="str">
        <x:v>فعالیت های اجتماعی و فرهنگی</x:v>
      </x:c>
      <x:c r="H110" s="39" t="str">
        <x:v>اکنون؛ پایه عملکرد</x:v>
      </x:c>
      <x:c r="I110" s="39" t="n">
        <x:f>'01-همه آیتم‌ها'!$M$114</x:f>
        <x:v>0</x:v>
      </x:c>
      <x:c r="J110" s="39" t="e">
        <x:f>HYPERLINK("#'01-همه آیتم‌ها'!A114","باز کردن")</x:f>
        <x:v>HYPERLINK is not implemented. linkLocation=#'01-همه آیتم‌ها'!A114, friendlyName=باز کردن</x:v>
      </x:c>
    </x:row>
    <x:row r="111">
      <x:c r="A111" s="34" t="str">
        <x:f>'01-همه آیتم‌ها'!$A$10</x:f>
        <x:v>☐</x:v>
      </x:c>
      <x:c r="B111" s="34" t="str">
        <x:v>MI-1530</x:v>
      </x:c>
      <x:c r="C111" s="34" t="str">
        <x:v>P0</x:v>
      </x:c>
      <x:c r="D111" s="34" t="str">
        <x:v>M1 — فرد، پایه‌های عملکرد و خودشناسی</x:v>
      </x:c>
      <x:c r="E111" s="34" t="str">
        <x:v>H1</x:v>
      </x:c>
      <x:c r="F111" s="34" t="str">
        <x:v>پایه‌های زندگی و خودمدیریتی</x:v>
      </x:c>
      <x:c r="G111" s="39" t="str">
        <x:v>ایجاد ستاد تحول بسیج</x:v>
      </x:c>
      <x:c r="H111" s="39" t="str">
        <x:v>اکنون؛ پایه عملکرد</x:v>
      </x:c>
      <x:c r="I111" s="39" t="n">
        <x:f>'01-همه آیتم‌ها'!$M$10</x:f>
        <x:v>0</x:v>
      </x:c>
      <x:c r="J111" s="39" t="e">
        <x:f>HYPERLINK("#'01-همه آیتم‌ها'!A10","باز کردن")</x:f>
        <x:v>HYPERLINK is not implemented. linkLocation=#'01-همه آیتم‌ها'!A10, friendlyName=باز کردن</x:v>
      </x:c>
    </x:row>
    <x:row r="112">
      <x:c r="A112" s="34" t="str">
        <x:f>'01-همه آیتم‌ها'!$A$115</x:f>
        <x:v>☐</x:v>
      </x:c>
      <x:c r="B112" s="34" t="str">
        <x:v>MI-1531</x:v>
      </x:c>
      <x:c r="C112" s="34" t="str">
        <x:v>P0</x:v>
      </x:c>
      <x:c r="D112" s="34" t="str">
        <x:v>M1 — فرد، پایه‌های عملکرد و خودشناسی</x:v>
      </x:c>
      <x:c r="E112" s="34" t="str">
        <x:v>H1</x:v>
      </x:c>
      <x:c r="F112" s="34" t="str">
        <x:v>پایه‌های زندگی و خودمدیریتی</x:v>
      </x:c>
      <x:c r="G112" s="39" t="str">
        <x:v>باز کردن دفتر بسیج خوابگاه</x:v>
      </x:c>
      <x:c r="H112" s="39" t="str">
        <x:v>اکنون؛ پایه عملکرد</x:v>
      </x:c>
      <x:c r="I112" s="39" t="n">
        <x:f>'01-همه آیتم‌ها'!$M$115</x:f>
        <x:v>0</x:v>
      </x:c>
      <x:c r="J112" s="39" t="e">
        <x:f>HYPERLINK("#'01-همه آیتم‌ها'!A115","باز کردن")</x:f>
        <x:v>HYPERLINK is not implemented. linkLocation=#'01-همه آیتم‌ها'!A115, friendlyName=باز کردن</x:v>
      </x:c>
    </x:row>
    <x:row r="113">
      <x:c r="A113" s="34" t="str">
        <x:f>'01-همه آیتم‌ها'!$A$116</x:f>
        <x:v>☐</x:v>
      </x:c>
      <x:c r="B113" s="34" t="str">
        <x:v>MI-1533</x:v>
      </x:c>
      <x:c r="C113" s="34" t="str">
        <x:v>P0</x:v>
      </x:c>
      <x:c r="D113" s="34" t="str">
        <x:v>M1 — فرد، پایه‌های عملکرد و خودشناسی</x:v>
      </x:c>
      <x:c r="E113" s="34" t="str">
        <x:v>H1</x:v>
      </x:c>
      <x:c r="F113" s="34" t="str">
        <x:v>پایه‌های زندگی و خودمدیریتی</x:v>
      </x:c>
      <x:c r="G113" s="39" t="str">
        <x:v>فعالیت های فرهنگی:</x:v>
      </x:c>
      <x:c r="H113" s="39" t="str">
        <x:v>اکنون؛ پایه عملکرد</x:v>
      </x:c>
      <x:c r="I113" s="39" t="n">
        <x:f>'01-همه آیتم‌ها'!$M$116</x:f>
        <x:v>0</x:v>
      </x:c>
      <x:c r="J113" s="39" t="e">
        <x:f>HYPERLINK("#'01-همه آیتم‌ها'!A116","باز کردن")</x:f>
        <x:v>HYPERLINK is not implemented. linkLocation=#'01-همه آیتم‌ها'!A116, friendlyName=باز کردن</x:v>
      </x:c>
    </x:row>
    <x:row r="114">
      <x:c r="A114" s="34" t="str">
        <x:f>'01-همه آیتم‌ها'!$A$117</x:f>
        <x:v>☐</x:v>
      </x:c>
      <x:c r="B114" s="34" t="str">
        <x:v>MI-1537</x:v>
      </x:c>
      <x:c r="C114" s="34" t="str">
        <x:v>P0</x:v>
      </x:c>
      <x:c r="D114" s="34" t="str">
        <x:v>M1 — فرد، پایه‌های عملکرد و خودشناسی</x:v>
      </x:c>
      <x:c r="E114" s="34" t="str">
        <x:v>H1</x:v>
      </x:c>
      <x:c r="F114" s="34" t="str">
        <x:v>پایه‌های زندگی و خودمدیریتی</x:v>
      </x:c>
      <x:c r="G114" s="39" t="str">
        <x:v>سایر فعالیت های اجتماعی:</x:v>
      </x:c>
      <x:c r="H114" s="39" t="str">
        <x:v>اکنون؛ پایه عملکرد</x:v>
      </x:c>
      <x:c r="I114" s="39" t="n">
        <x:f>'01-همه آیتم‌ها'!$M$117</x:f>
        <x:v>0</x:v>
      </x:c>
      <x:c r="J114" s="39" t="e">
        <x:f>HYPERLINK("#'01-همه آیتم‌ها'!A117","باز کردن")</x:f>
        <x:v>HYPERLINK is not implemented. linkLocation=#'01-همه آیتم‌ها'!A117, friendlyName=باز کردن</x:v>
      </x:c>
    </x:row>
    <x:row r="115">
      <x:c r="A115" s="34" t="str">
        <x:f>'01-همه آیتم‌ها'!$A$118</x:f>
        <x:v>☐</x:v>
      </x:c>
      <x:c r="B115" s="34" t="str">
        <x:v>MI-1538</x:v>
      </x:c>
      <x:c r="C115" s="34" t="str">
        <x:v>P0</x:v>
      </x:c>
      <x:c r="D115" s="34" t="str">
        <x:v>M1 — فرد، پایه‌های عملکرد و خودشناسی</x:v>
      </x:c>
      <x:c r="E115" s="34" t="str">
        <x:v>H1</x:v>
      </x:c>
      <x:c r="F115" s="34" t="str">
        <x:v>پایه‌های زندگی و خودمدیریتی</x:v>
      </x:c>
      <x:c r="G115" s="39" t="str">
        <x:v>فعالیت های فرهنگی: شرکت در فعالیت های هنری، موسیقی، تیاتر، سینما، نگارش، خوشنویسی.</x:v>
      </x:c>
      <x:c r="H115" s="39" t="str">
        <x:v>اکنون؛ پایه عملکرد</x:v>
      </x:c>
      <x:c r="I115" s="39" t="n">
        <x:f>'01-همه آیتم‌ها'!$M$118</x:f>
        <x:v>0</x:v>
      </x:c>
      <x:c r="J115" s="39" t="e">
        <x:f>HYPERLINK("#'01-همه آیتم‌ها'!A118","باز کردن")</x:f>
        <x:v>HYPERLINK is not implemented. linkLocation=#'01-همه آیتم‌ها'!A118, friendlyName=باز کردن</x:v>
      </x:c>
    </x:row>
    <x:row r="116">
      <x:c r="A116" s="34" t="str">
        <x:f>'01-همه آیتم‌ها'!$A$119</x:f>
        <x:v>☐</x:v>
      </x:c>
      <x:c r="B116" s="34" t="str">
        <x:v>MI-2265</x:v>
      </x:c>
      <x:c r="C116" s="34" t="str">
        <x:v>P0</x:v>
      </x:c>
      <x:c r="D116" s="34" t="str">
        <x:v>M1 — فرد، پایه‌های عملکرد و خودشناسی</x:v>
      </x:c>
      <x:c r="E116" s="34" t="str">
        <x:v>H1</x:v>
      </x:c>
      <x:c r="F116" s="34" t="str">
        <x:v>پایه‌های زندگی و خودمدیریتی</x:v>
      </x:c>
      <x:c r="G116" s="39" t="str">
        <x:v>تمرکز روی:</x:v>
      </x:c>
      <x:c r="H116" s="39" t="str">
        <x:v>اکنون؛ پایه عملکرد</x:v>
      </x:c>
      <x:c r="I116" s="39" t="n">
        <x:f>'01-همه آیتم‌ها'!$M$119</x:f>
        <x:v>0</x:v>
      </x:c>
      <x:c r="J116" s="39" t="e">
        <x:f>HYPERLINK("#'01-همه آیتم‌ها'!A119","باز کردن")</x:f>
        <x:v>HYPERLINK is not implemented. linkLocation=#'01-همه آیتم‌ها'!A119, friendlyName=باز کردن</x:v>
      </x:c>
    </x:row>
    <x:row r="117">
      <x:c r="A117" s="34" t="str">
        <x:f>'01-همه آیتم‌ها'!$A$120</x:f>
        <x:v>☐</x:v>
      </x:c>
      <x:c r="B117" s="34" t="str">
        <x:v>MI-2399</x:v>
      </x:c>
      <x:c r="C117" s="34" t="str">
        <x:v>P0</x:v>
      </x:c>
      <x:c r="D117" s="34" t="str">
        <x:v>M1 — فرد، پایه‌های عملکرد و خودشناسی</x:v>
      </x:c>
      <x:c r="E117" s="34" t="str">
        <x:v>H1</x:v>
      </x:c>
      <x:c r="F117" s="34" t="str">
        <x:v>پایه‌های زندگی و خودمدیریتی</x:v>
      </x:c>
      <x:c r="G117" s="39" t="str">
        <x:v>1. صنایع اصلی که باید روی آن ها تمرکز شود</x:v>
      </x:c>
      <x:c r="H117" s="39" t="str">
        <x:v>اکنون؛ پایه عملکرد</x:v>
      </x:c>
      <x:c r="I117" s="39" t="n">
        <x:f>'01-همه آیتم‌ها'!$M$120</x:f>
        <x:v>0</x:v>
      </x:c>
      <x:c r="J117" s="39" t="e">
        <x:f>HYPERLINK("#'01-همه آیتم‌ها'!A120","باز کردن")</x:f>
        <x:v>HYPERLINK is not implemented. linkLocation=#'01-همه آیتم‌ها'!A120, friendlyName=باز کردن</x:v>
      </x:c>
    </x:row>
    <x:row r="118">
      <x:c r="A118" s="34" t="str">
        <x:f>'01-همه آیتم‌ها'!$A$121</x:f>
        <x:v>☐</x:v>
      </x:c>
      <x:c r="B118" s="34" t="str">
        <x:v>MI-2411</x:v>
      </x:c>
      <x:c r="C118" s="34" t="str">
        <x:v>P0</x:v>
      </x:c>
      <x:c r="D118" s="34" t="str">
        <x:v>M1 — فرد، پایه‌های عملکرد و خودشناسی</x:v>
      </x:c>
      <x:c r="E118" s="34" t="str">
        <x:v>H1</x:v>
      </x:c>
      <x:c r="F118" s="34" t="str">
        <x:v>پایه‌های زندگی و خودمدیریتی</x:v>
      </x:c>
      <x:c r="G118" s="39" t="str">
        <x:v>تمرکز: حل مسیله واقعی استان</x:v>
      </x:c>
      <x:c r="H118" s="39" t="str">
        <x:v>اکنون؛ پایه عملکرد</x:v>
      </x:c>
      <x:c r="I118" s="39" t="n">
        <x:f>'01-همه آیتم‌ها'!$M$121</x:f>
        <x:v>0</x:v>
      </x:c>
      <x:c r="J118" s="39" t="e">
        <x:f>HYPERLINK("#'01-همه آیتم‌ها'!A121","باز کردن")</x:f>
        <x:v>HYPERLINK is not implemented. linkLocation=#'01-همه آیتم‌ها'!A121, friendlyName=باز کردن</x:v>
      </x:c>
    </x:row>
    <x:row r="119">
      <x:c r="A119" s="34" t="str">
        <x:f>'01-همه آیتم‌ها'!$A$122</x:f>
        <x:v>☐</x:v>
      </x:c>
      <x:c r="B119" s="34" t="str">
        <x:v>MI-2446</x:v>
      </x:c>
      <x:c r="C119" s="34" t="str">
        <x:v>P0</x:v>
      </x:c>
      <x:c r="D119" s="34" t="str">
        <x:v>M1 — فرد، پایه‌های عملکرد و خودشناسی</x:v>
      </x:c>
      <x:c r="E119" s="34" t="str">
        <x:v>H1</x:v>
      </x:c>
      <x:c r="F119" s="34" t="str">
        <x:v>پایه‌های زندگی و خودمدیریتی</x:v>
      </x:c>
      <x:c r="G119" s="39" t="str">
        <x:v>تمرکز جغرافیایی:</x:v>
      </x:c>
      <x:c r="H119" s="39" t="str">
        <x:v>اکنون؛ پایه عملکرد</x:v>
      </x:c>
      <x:c r="I119" s="39" t="n">
        <x:f>'01-همه آیتم‌ها'!$M$122</x:f>
        <x:v>0</x:v>
      </x:c>
      <x:c r="J119" s="39" t="e">
        <x:f>HYPERLINK("#'01-همه آیتم‌ها'!A122","باز کردن")</x:f>
        <x:v>HYPERLINK is not implemented. linkLocation=#'01-همه آیتم‌ها'!A122, friendlyName=باز کردن</x:v>
      </x:c>
    </x:row>
    <x:row r="120">
      <x:c r="A120" s="34" t="str">
        <x:f>'01-همه آیتم‌ها'!$A$70</x:f>
        <x:v>☐</x:v>
      </x:c>
      <x:c r="B120" s="34" t="str">
        <x:v>MI-2505</x:v>
      </x:c>
      <x:c r="C120" s="34" t="str">
        <x:v>P0</x:v>
      </x:c>
      <x:c r="D120" s="34" t="str">
        <x:v>M1 — فرد، پایه‌های عملکرد و خودشناسی</x:v>
      </x:c>
      <x:c r="E120" s="34" t="str">
        <x:v>H1</x:v>
      </x:c>
      <x:c r="F120" s="34" t="str">
        <x:v>پایه‌های زندگی و خودمدیریتی</x:v>
      </x:c>
      <x:c r="G120" s="39" t="str">
        <x:v>تمرکز روی مهارت هایی که بازار نیاز دارد.</x:v>
      </x:c>
      <x:c r="H120" s="39" t="str">
        <x:v>اکنون؛ پایه عملکرد</x:v>
      </x:c>
      <x:c r="I120" s="39" t="n">
        <x:f>'01-همه آیتم‌ها'!$M$70</x:f>
        <x:v>0</x:v>
      </x:c>
      <x:c r="J120" s="39" t="e">
        <x:f>HYPERLINK("#'01-همه آیتم‌ها'!A70","باز کردن")</x:f>
        <x:v>HYPERLINK is not implemented. linkLocation=#'01-همه آیتم‌ها'!A70, friendlyName=باز کردن</x:v>
      </x:c>
    </x:row>
    <x:row r="121">
      <x:c r="A121" s="34" t="str">
        <x:f>'01-همه آیتم‌ها'!$A$123</x:f>
        <x:v>☐</x:v>
      </x:c>
      <x:c r="B121" s="34" t="str">
        <x:v>MI-2857</x:v>
      </x:c>
      <x:c r="C121" s="34" t="str">
        <x:v>P0</x:v>
      </x:c>
      <x:c r="D121" s="34" t="str">
        <x:v>M1 — فرد، پایه‌های عملکرد و خودشناسی</x:v>
      </x:c>
      <x:c r="E121" s="34" t="str">
        <x:v>H1</x:v>
      </x:c>
      <x:c r="F121" s="34" t="str">
        <x:v>پایه‌های زندگی و خودمدیریتی</x:v>
      </x:c>
      <x:c r="G121" s="39" t="str">
        <x:v>تمرکز روی صنایع مزیت دار استان:</x:v>
      </x:c>
      <x:c r="H121" s="39" t="str">
        <x:v>اکنون؛ پایه عملکرد</x:v>
      </x:c>
      <x:c r="I121" s="39" t="n">
        <x:f>'01-همه آیتم‌ها'!$M$123</x:f>
        <x:v>0</x:v>
      </x:c>
      <x:c r="J121" s="39" t="e">
        <x:f>HYPERLINK("#'01-همه آیتم‌ها'!A123","باز کردن")</x:f>
        <x:v>HYPERLINK is not implemented. linkLocation=#'01-همه آیتم‌ها'!A123, friendlyName=باز کردن</x:v>
      </x:c>
    </x:row>
    <x:row r="122">
      <x:c r="A122" s="34" t="str">
        <x:f>'01-همه آیتم‌ها'!$A$11</x:f>
        <x:v>☐</x:v>
      </x:c>
      <x:c r="B122" s="34" t="str">
        <x:v>MI-2921</x:v>
      </x:c>
      <x:c r="C122" s="34" t="str">
        <x:v>P0</x:v>
      </x:c>
      <x:c r="D122" s="34" t="str">
        <x:v>M1 — فرد، پایه‌های عملکرد و خودشناسی</x:v>
      </x:c>
      <x:c r="E122" s="34" t="str">
        <x:v>H1</x:v>
      </x:c>
      <x:c r="F122" s="34" t="str">
        <x:v>پایه‌های زندگی و خودمدیریتی</x:v>
      </x:c>
      <x:c r="G122" s="39" t="str">
        <x:v>ساختار تصمیم گیری چگونه باید باشد</x:v>
      </x:c>
      <x:c r="H122" s="39" t="str">
        <x:v>اکنون؛ پایه عملکرد</x:v>
      </x:c>
      <x:c r="I122" s="39" t="n">
        <x:f>'01-همه آیتم‌ها'!$M$11</x:f>
        <x:v>0</x:v>
      </x:c>
      <x:c r="J122" s="39" t="e">
        <x:f>HYPERLINK("#'01-همه آیتم‌ها'!A11","باز کردن")</x:f>
        <x:v>HYPERLINK is not implemented. linkLocation=#'01-همه آیتم‌ها'!A11, friendlyName=باز کردن</x:v>
      </x:c>
    </x:row>
    <x:row r="123">
      <x:c r="A123" s="34" t="str">
        <x:f>'01-همه آیتم‌ها'!$A$124</x:f>
        <x:v>☐</x:v>
      </x:c>
      <x:c r="B123" s="34" t="str">
        <x:v>MI-2943</x:v>
      </x:c>
      <x:c r="C123" s="34" t="str">
        <x:v>P0</x:v>
      </x:c>
      <x:c r="D123" s="34" t="str">
        <x:v>M1 — فرد، پایه‌های عملکرد و خودشناسی</x:v>
      </x:c>
      <x:c r="E123" s="34" t="str">
        <x:v>H1</x:v>
      </x:c>
      <x:c r="F123" s="34" t="str">
        <x:v>پایه‌های زندگی و خودمدیریتی</x:v>
      </x:c>
      <x:c r="G123" s="39" t="str">
        <x:v>این تیم در واقع مغز تصمیم گیری اکوسیستم است.</x:v>
      </x:c>
      <x:c r="H123" s="39" t="str">
        <x:v>اکنون؛ پایه عملکرد</x:v>
      </x:c>
      <x:c r="I123" s="39" t="n">
        <x:f>'01-همه آیتم‌ها'!$M$124</x:f>
        <x:v>0</x:v>
      </x:c>
      <x:c r="J123" s="39" t="e">
        <x:f>HYPERLINK("#'01-همه آیتم‌ها'!A124","باز کردن")</x:f>
        <x:v>HYPERLINK is not implemented. linkLocation=#'01-همه آیتم‌ها'!A124, friendlyName=باز کردن</x:v>
      </x:c>
    </x:row>
    <x:row r="124">
      <x:c r="A124" s="34" t="str">
        <x:f>'01-همه آیتم‌ها'!$A$12</x:f>
        <x:v>☐</x:v>
      </x:c>
      <x:c r="B124" s="34" t="str">
        <x:v>MI-3034</x:v>
      </x:c>
      <x:c r="C124" s="34" t="str">
        <x:v>P0</x:v>
      </x:c>
      <x:c r="D124" s="34" t="str">
        <x:v>M1 — فرد، پایه‌های عملکرد و خودشناسی</x:v>
      </x:c>
      <x:c r="E124" s="34" t="str">
        <x:v>H1</x:v>
      </x:c>
      <x:c r="F124" s="34" t="str">
        <x:v>پایه‌های زندگی و خودمدیریتی</x:v>
      </x:c>
      <x:c r="G124" s="39" t="str">
        <x:v>7. ساختار تصمیم گیری</x:v>
      </x:c>
      <x:c r="H124" s="39" t="str">
        <x:v>اکنون؛ پایه عملکرد</x:v>
      </x:c>
      <x:c r="I124" s="39" t="n">
        <x:f>'01-همه آیتم‌ها'!$M$12</x:f>
        <x:v>0</x:v>
      </x:c>
      <x:c r="J124" s="39" t="e">
        <x:f>HYPERLINK("#'01-همه آیتم‌ها'!A12","باز کردن")</x:f>
        <x:v>HYPERLINK is not implemented. linkLocation=#'01-همه آیتم‌ها'!A12, friendlyName=باز کردن</x:v>
      </x:c>
    </x:row>
    <x:row r="125">
      <x:c r="A125" s="34" t="str">
        <x:f>'01-همه آیتم‌ها'!$A$125</x:f>
        <x:v>☐</x:v>
      </x:c>
      <x:c r="B125" s="34" t="str">
        <x:v>MI-3035</x:v>
      </x:c>
      <x:c r="C125" s="34" t="str">
        <x:v>P0</x:v>
      </x:c>
      <x:c r="D125" s="34" t="str">
        <x:v>M1 — فرد، پایه‌های عملکرد و خودشناسی</x:v>
      </x:c>
      <x:c r="E125" s="34" t="str">
        <x:v>H1</x:v>
      </x:c>
      <x:c r="F125" s="34" t="str">
        <x:v>پایه‌های زندگی و خودمدیریتی</x:v>
      </x:c>
      <x:c r="G125" s="39" t="str">
        <x:v>سه سطح تصمیم گیری نیاز است.</x:v>
      </x:c>
      <x:c r="H125" s="39" t="str">
        <x:v>اکنون؛ پایه عملکرد</x:v>
      </x:c>
      <x:c r="I125" s="39" t="n">
        <x:f>'01-همه آیتم‌ها'!$M$125</x:f>
        <x:v>0</x:v>
      </x:c>
      <x:c r="J125" s="39" t="e">
        <x:f>HYPERLINK("#'01-همه آیتم‌ها'!A125","باز کردن")</x:f>
        <x:v>HYPERLINK is not implemented. linkLocation=#'01-همه آیتم‌ها'!A125, friendlyName=باز کردن</x:v>
      </x:c>
    </x:row>
    <x:row r="126">
      <x:c r="A126" s="34" t="str">
        <x:f>'01-همه آیتم‌ها'!$A$71</x:f>
        <x:v>☐</x:v>
      </x:c>
      <x:c r="B126" s="34" t="str">
        <x:v>MI-3061</x:v>
      </x:c>
      <x:c r="C126" s="34" t="str">
        <x:v>P0</x:v>
      </x:c>
      <x:c r="D126" s="34" t="str">
        <x:v>M1 — فرد، پایه‌های عملکرد و خودشناسی</x:v>
      </x:c>
      <x:c r="E126" s="34" t="str">
        <x:v>H1</x:v>
      </x:c>
      <x:c r="F126" s="34" t="str">
        <x:v>پایه‌های زندگی و خودمدیریتی</x:v>
      </x:c>
      <x:c r="G126"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H126" s="39" t="str">
        <x:v>اکنون؛ پایه عملکرد</x:v>
      </x:c>
      <x:c r="I126" s="39" t="n">
        <x:f>'01-همه آیتم‌ها'!$M$71</x:f>
        <x:v>0</x:v>
      </x:c>
      <x:c r="J126" s="39" t="e">
        <x:f>HYPERLINK("#'01-همه آیتم‌ها'!A71","باز کردن")</x:f>
        <x:v>HYPERLINK is not implemented. linkLocation=#'01-همه آیتم‌ها'!A71, friendlyName=باز کردن</x:v>
      </x:c>
    </x:row>
    <x:row r="127">
      <x:c r="A127" s="34" t="str">
        <x:f>'01-همه آیتم‌ها'!$A$72</x:f>
        <x:v>☐</x:v>
      </x:c>
      <x:c r="B127" s="34" t="str">
        <x:v>MI-3063</x:v>
      </x:c>
      <x:c r="C127" s="34" t="str">
        <x:v>P0</x:v>
      </x:c>
      <x:c r="D127" s="34" t="str">
        <x:v>M1 — فرد، پایه‌های عملکرد و خودشناسی</x:v>
      </x:c>
      <x:c r="E127" s="34" t="str">
        <x:v>H1</x:v>
      </x:c>
      <x:c r="F127" s="34" t="str">
        <x:v>پایه‌های زندگی و خودمدیریتی</x:v>
      </x:c>
      <x:c r="G127"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127" s="39" t="str">
        <x:v>اکنون؛ پایه عملکرد</x:v>
      </x:c>
      <x:c r="I127" s="39" t="n">
        <x:f>'01-همه آیتم‌ها'!$M$72</x:f>
        <x:v>0</x:v>
      </x:c>
      <x:c r="J127" s="39" t="e">
        <x:f>HYPERLINK("#'01-همه آیتم‌ها'!A72","باز کردن")</x:f>
        <x:v>HYPERLINK is not implemented. linkLocation=#'01-همه آیتم‌ها'!A72, friendlyName=باز کردن</x:v>
      </x:c>
    </x:row>
    <x:row r="128">
      <x:c r="A128" s="34" t="str">
        <x:f>'01-همه آیتم‌ها'!$A$126</x:f>
        <x:v>☐</x:v>
      </x:c>
      <x:c r="B128" s="34" t="str">
        <x:v>MI-3098</x:v>
      </x:c>
      <x:c r="C128" s="34" t="str">
        <x:v>P0</x:v>
      </x:c>
      <x:c r="D128" s="34" t="str">
        <x:v>M1 — فرد، پایه‌های عملکرد و خودشناسی</x:v>
      </x:c>
      <x:c r="E128" s="34" t="str">
        <x:v>H1</x:v>
      </x:c>
      <x:c r="F128" s="34" t="str">
        <x:v>پایه‌های زندگی و خودمدیریتی</x:v>
      </x:c>
      <x:c r="G128" s="39" t="str">
        <x:v>حتی وقتی خسته هستید یا استرس دارید، باز هم دوست دارید چه کاری رو انجام دهید؟</x:v>
      </x:c>
      <x:c r="H128" s="39" t="str">
        <x:v>اکنون؛ پایه عملکرد</x:v>
      </x:c>
      <x:c r="I128" s="39" t="n">
        <x:f>'01-همه آیتم‌ها'!$M$126</x:f>
        <x:v>0</x:v>
      </x:c>
      <x:c r="J128" s="39" t="e">
        <x:f>HYPERLINK("#'01-همه آیتم‌ها'!A126","باز کردن")</x:f>
        <x:v>HYPERLINK is not implemented. linkLocation=#'01-همه آیتم‌ها'!A126, friendlyName=باز کردن</x:v>
      </x:c>
    </x:row>
    <x:row r="129">
      <x:c r="A129" s="34" t="str">
        <x:f>'01-همه آیتم‌ها'!$A$127</x:f>
        <x:v>☐</x:v>
      </x:c>
      <x:c r="B129" s="34" t="str">
        <x:v>MI-3113</x:v>
      </x:c>
      <x:c r="C129" s="34" t="str">
        <x:v>P0</x:v>
      </x:c>
      <x:c r="D129" s="34" t="str">
        <x:v>M1 — فرد، پایه‌های عملکرد و خودشناسی</x:v>
      </x:c>
      <x:c r="E129" s="34" t="str">
        <x:v>H1</x:v>
      </x:c>
      <x:c r="F129" s="34" t="str">
        <x:v>پایه‌های زندگی و خودمدیریتی</x:v>
      </x:c>
      <x:c r="G129"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129" s="39" t="str">
        <x:v>اکنون؛ پایه عملکرد</x:v>
      </x:c>
      <x:c r="I129" s="39" t="n">
        <x:f>'01-همه آیتم‌ها'!$M$127</x:f>
        <x:v>0</x:v>
      </x:c>
      <x:c r="J129" s="39" t="e">
        <x:f>HYPERLINK("#'01-همه آیتم‌ها'!A127","باز کردن")</x:f>
        <x:v>HYPERLINK is not implemented. linkLocation=#'01-همه آیتم‌ها'!A127, friendlyName=باز کردن</x:v>
      </x:c>
    </x:row>
    <x:row r="130">
      <x:c r="A130" s="34" t="str">
        <x:f>'01-همه آیتم‌ها'!$A$73</x:f>
        <x:v>☐</x:v>
      </x:c>
      <x:c r="B130" s="34" t="str">
        <x:v>MI-3147</x:v>
      </x:c>
      <x:c r="C130" s="34" t="str">
        <x:v>P0</x:v>
      </x:c>
      <x:c r="D130" s="34" t="str">
        <x:v>M1 — فرد، پایه‌های عملکرد و خودشناسی</x:v>
      </x:c>
      <x:c r="E130" s="34" t="str">
        <x:v>H1</x:v>
      </x:c>
      <x:c r="F130" s="34" t="str">
        <x:v>پایه‌های زندگی و خودمدیریتی</x:v>
      </x:c>
      <x:c r="G130" s="39" t="str">
        <x:v>ارزش 7: مهارت و توسعه فردی</x:v>
      </x:c>
      <x:c r="H130" s="39" t="str">
        <x:v>اکنون؛ پایه عملکرد</x:v>
      </x:c>
      <x:c r="I130" s="39" t="n">
        <x:f>'01-همه آیتم‌ها'!$M$73</x:f>
        <x:v>0</x:v>
      </x:c>
      <x:c r="J130" s="39" t="e">
        <x:f>HYPERLINK("#'01-همه آیتم‌ها'!A73","باز کردن")</x:f>
        <x:v>HYPERLINK is not implemented. linkLocation=#'01-همه آیتم‌ها'!A73, friendlyName=باز کردن</x:v>
      </x:c>
    </x:row>
    <x:row r="131">
      <x:c r="A131" s="34" t="str">
        <x:f>'01-همه آیتم‌ها'!$A$150</x:f>
        <x:v>☐</x:v>
      </x:c>
      <x:c r="B131" s="34" t="str">
        <x:v>MI-0272</x:v>
      </x:c>
      <x:c r="C131" s="34" t="str">
        <x:v>P0/P1</x:v>
      </x:c>
      <x:c r="D131" s="34" t="str">
        <x:v>M2 — تحصیل، مسیر شغلی و توانمندی حرفه‌ای</x:v>
      </x:c>
      <x:c r="E131" s="34" t="str">
        <x:v>H3</x:v>
      </x:c>
      <x:c r="F131" s="34" t="str">
        <x:v>مسیر شغلی، رزومه و تجربه حرفه‌ای</x:v>
      </x:c>
      <x:c r="G131" s="39" t="str">
        <x:v>بررسی تمامی شاخه های تحصیلی و کارگاه ها و نرم افزار و سخت افزار های جامع و بررسی فرصت های شغلی با بیشترین اشتراکات حرفه ها و گواهی ها و رزومه ها</x:v>
      </x:c>
      <x:c r="H131" s="39" t="str">
        <x:v>فعال؛ خروجی شغلی/درآمدی</x:v>
      </x:c>
      <x:c r="I131" s="39" t="n">
        <x:f>'01-همه آیتم‌ها'!$M$150</x:f>
        <x:v>0</x:v>
      </x:c>
      <x:c r="J131" s="39" t="e">
        <x:f>HYPERLINK("#'01-همه آیتم‌ها'!A150","باز کردن")</x:f>
        <x:v>HYPERLINK is not implemented. linkLocation=#'01-همه آیتم‌ها'!A150, friendlyName=باز کردن</x:v>
      </x:c>
    </x:row>
    <x:row r="132">
      <x:c r="A132" s="34" t="str">
        <x:f>'01-همه آیتم‌ها'!$A$149</x:f>
        <x:v>☐</x:v>
      </x:c>
      <x:c r="B132" s="34" t="str">
        <x:v>MI-0670</x:v>
      </x:c>
      <x:c r="C132" s="34" t="str">
        <x:v>P0/P1</x:v>
      </x:c>
      <x:c r="D132" s="34" t="str">
        <x:v>M2 — تحصیل، مسیر شغلی و توانمندی حرفه‌ای</x:v>
      </x:c>
      <x:c r="E132" s="34" t="str">
        <x:v>H3</x:v>
      </x:c>
      <x:c r="F132" s="34" t="str">
        <x:v>مسیر شغلی، رزومه و تجربه حرفه‌ای</x:v>
      </x:c>
      <x:c r="G132" s="39" t="str">
        <x:v>پادکست رشته ها و توضیح آن برای ورودی ها ، بازار کار، درآمد ، کار ها ، درس ها</x:v>
      </x:c>
      <x:c r="H132" s="39" t="str">
        <x:v>فعال؛ خروجی شغلی/درآمدی</x:v>
      </x:c>
      <x:c r="I132" s="39" t="n">
        <x:f>'01-همه آیتم‌ها'!$M$149</x:f>
        <x:v>0</x:v>
      </x:c>
      <x:c r="J132" s="39" t="e">
        <x:f>HYPERLINK("#'01-همه آیتم‌ها'!A149","باز کردن")</x:f>
        <x:v>HYPERLINK is not implemented. linkLocation=#'01-همه آیتم‌ها'!A149, friendlyName=باز کردن</x:v>
      </x:c>
    </x:row>
    <x:row r="133">
      <x:c r="A133" s="34" t="str">
        <x:f>'01-همه آیتم‌ها'!$A$152</x:f>
        <x:v>☐</x:v>
      </x:c>
      <x:c r="B133" s="34" t="str">
        <x:v>MI-0676</x:v>
      </x:c>
      <x:c r="C133" s="34" t="str">
        <x:v>P0/P1</x:v>
      </x:c>
      <x:c r="D133" s="34" t="str">
        <x:v>M2 — تحصیل، مسیر شغلی و توانمندی حرفه‌ای</x:v>
      </x:c>
      <x:c r="E133" s="34" t="str">
        <x:v>H3</x:v>
      </x:c>
      <x:c r="F133" s="34" t="str">
        <x:v>مسیر شغلی، رزومه و تجربه حرفه‌ای</x:v>
      </x:c>
      <x:c r="G133" s="39" t="str">
        <x:v>پرکردن رزومه افراد متناسب با نیاز های شغلی</x:v>
      </x:c>
      <x:c r="H133" s="39" t="str">
        <x:v>فعال؛ خروجی شغلی/درآمدی</x:v>
      </x:c>
      <x:c r="I133" s="39" t="n">
        <x:f>'01-همه آیتم‌ها'!$M$152</x:f>
        <x:v>0</x:v>
      </x:c>
      <x:c r="J133" s="39" t="e">
        <x:f>HYPERLINK("#'01-همه آیتم‌ها'!A152","باز کردن")</x:f>
        <x:v>HYPERLINK is not implemented. linkLocation=#'01-همه آیتم‌ها'!A152, friendlyName=باز کردن</x:v>
      </x:c>
    </x:row>
    <x:row r="134">
      <x:c r="A134" s="34" t="str">
        <x:f>'01-همه آیتم‌ها'!$A$151</x:f>
        <x:v>☐</x:v>
      </x:c>
      <x:c r="B134" s="34" t="str">
        <x:v>MI-1574</x:v>
      </x:c>
      <x:c r="C134" s="34" t="str">
        <x:v>P0/P1</x:v>
      </x:c>
      <x:c r="D134" s="34" t="str">
        <x:v>M2 — تحصیل، مسیر شغلی و توانمندی حرفه‌ای</x:v>
      </x:c>
      <x:c r="E134" s="34" t="str">
        <x:v>H3</x:v>
      </x:c>
      <x:c r="F134" s="34" t="str">
        <x:v>مسیر شغلی، رزومه و تجربه حرفه‌ای</x:v>
      </x:c>
      <x:c r="G134" s="39" t="str">
        <x:v>در این میان باید یه اکادمی مهارت های نرم هم ایجاد بشه که بشه روی مهارت های تیم سازی و مهارت های نرم مورد نیاز جامعه اشتغال کار کنه و افراد بتونن علاوه بر رزومه سازی بتونن از فرصت های شغلی سربلند بیرون بیان در بحص پروژ] گرفتن یا استخدام شدن یا همکاری یا .....</x:v>
      </x:c>
      <x:c r="H134" s="39" t="str">
        <x:v>فعال؛ خروجی شغلی/درآمدی</x:v>
      </x:c>
      <x:c r="I134" s="39" t="n">
        <x:f>'01-همه آیتم‌ها'!$M$151</x:f>
        <x:v>0</x:v>
      </x:c>
      <x:c r="J134" s="39" t="e">
        <x:f>HYPERLINK("#'01-همه آیتم‌ها'!A151","باز کردن")</x:f>
        <x:v>HYPERLINK is not implemented. linkLocation=#'01-همه آیتم‌ها'!A151, friendlyName=باز کردن</x:v>
      </x:c>
    </x:row>
    <x:row r="135">
      <x:c r="A135" s="34" t="str">
        <x:f>'01-همه آیتم‌ها'!$A$153</x:f>
        <x:v>☐</x:v>
      </x:c>
      <x:c r="B135" s="34" t="str">
        <x:v>MI-2491</x:v>
      </x:c>
      <x:c r="C135" s="34" t="str">
        <x:v>P0/P1</x:v>
      </x:c>
      <x:c r="D135" s="34" t="str">
        <x:v>M2 — تحصیل، مسیر شغلی و توانمندی حرفه‌ای</x:v>
      </x:c>
      <x:c r="E135" s="34" t="str">
        <x:v>H3</x:v>
      </x:c>
      <x:c r="F135" s="34" t="str">
        <x:v>مسیر شغلی، رزومه و تجربه حرفه‌ای</x:v>
      </x:c>
      <x:c r="G135" s="39" t="str">
        <x:v>پیشنهاد فرصت شغلی</x:v>
      </x:c>
      <x:c r="H135" s="39" t="str">
        <x:v>فعال؛ خروجی شغلی/درآمدی</x:v>
      </x:c>
      <x:c r="I135" s="39" t="n">
        <x:f>'01-همه آیتم‌ها'!$M$153</x:f>
        <x:v>0</x:v>
      </x:c>
      <x:c r="J135" s="39" t="e">
        <x:f>HYPERLINK("#'01-همه آیتم‌ها'!A153","باز کردن")</x:f>
        <x:v>HYPERLINK is not implemented. linkLocation=#'01-همه آیتم‌ها'!A153, friendlyName=باز کردن</x:v>
      </x:c>
    </x:row>
    <x:row r="136">
      <x:c r="A136" s="34" t="str">
        <x:f>'01-همه آیتم‌ها'!$A$190</x:f>
        <x:v>☐</x:v>
      </x:c>
      <x:c r="B136" s="34" t="str">
        <x:v>MI-0004</x:v>
      </x:c>
      <x:c r="C136" s="34" t="str">
        <x:v>P1</x:v>
      </x:c>
      <x:c r="D136" s="34" t="str">
        <x:v>M1 — فرد، پایه‌های عملکرد و خودشناسی</x:v>
      </x:c>
      <x:c r="E136" s="34" t="str">
        <x:v>H4</x:v>
      </x:c>
      <x:c r="F136" s="34" t="str">
        <x:v>رهبری، ارتباطات و مهارت‌های نرم</x:v>
      </x:c>
      <x:c r="G136" s="39" t="str">
        <x:v>اصول تیم سازی تخصصی</x:v>
      </x:c>
      <x:c r="H136" s="39" t="str">
        <x:v>سه‌ماهه اول؛ فقط متصل به پروژه واقعی</x:v>
      </x:c>
      <x:c r="I136" s="39" t="n">
        <x:f>'01-همه آیتم‌ها'!$M$190</x:f>
        <x:v>0</x:v>
      </x:c>
      <x:c r="J136" s="39" t="e">
        <x:f>HYPERLINK("#'01-همه آیتم‌ها'!A190","باز کردن")</x:f>
        <x:v>HYPERLINK is not implemented. linkLocation=#'01-همه آیتم‌ها'!A190, friendlyName=باز کردن</x:v>
      </x:c>
    </x:row>
    <x:row r="137">
      <x:c r="A137" s="34" t="str">
        <x:f>'01-همه آیتم‌ها'!$A$180</x:f>
        <x:v>☐</x:v>
      </x:c>
      <x:c r="B137" s="34" t="str">
        <x:v>MI-0064</x:v>
      </x:c>
      <x:c r="C137" s="34" t="str">
        <x:v>P1</x:v>
      </x:c>
      <x:c r="D137" s="34" t="str">
        <x:v>M1 — فرد، پایه‌های عملکرد و خودشناسی</x:v>
      </x:c>
      <x:c r="E137" s="34" t="str">
        <x:v>H4</x:v>
      </x:c>
      <x:c r="F137" s="34" t="str">
        <x:v>رهبری، ارتباطات و مهارت‌های نرم</x:v>
      </x:c>
      <x:c r="G137" s="39" t="str">
        <x:v>یادگیری تکنیک های مذاکره، زبان بدن، و پیشبرد فروش</x:v>
      </x:c>
      <x:c r="H137" s="39" t="str">
        <x:v>سه‌ماهه اول؛ فقط متصل به پروژه واقعی</x:v>
      </x:c>
      <x:c r="I137" s="39" t="n">
        <x:f>'01-همه آیتم‌ها'!$M$180</x:f>
        <x:v>0</x:v>
      </x:c>
      <x:c r="J137" s="39" t="e">
        <x:f>HYPERLINK("#'01-همه آیتم‌ها'!A180","باز کردن")</x:f>
        <x:v>HYPERLINK is not implemented. linkLocation=#'01-همه آیتم‌ها'!A180, friendlyName=باز کردن</x:v>
      </x:c>
    </x:row>
    <x:row r="138">
      <x:c r="A138" s="34" t="str">
        <x:f>'01-همه آیتم‌ها'!$A$181</x:f>
        <x:v>☐</x:v>
      </x:c>
      <x:c r="B138" s="34" t="str">
        <x:v>MI-0072</x:v>
      </x:c>
      <x:c r="C138" s="34" t="str">
        <x:v>P1</x:v>
      </x:c>
      <x:c r="D138" s="34" t="str">
        <x:v>M1 — فرد، پایه‌های عملکرد و خودشناسی</x:v>
      </x:c>
      <x:c r="E138" s="34" t="str">
        <x:v>H4</x:v>
      </x:c>
      <x:c r="F138" s="34" t="str">
        <x:v>رهبری، ارتباطات و مهارت‌های نرم</x:v>
      </x:c>
      <x:c r="G138" s="39" t="str">
        <x:v>یادگیری گویندگی و اجرا</x:v>
      </x:c>
      <x:c r="H138" s="39" t="str">
        <x:v>سه‌ماهه اول؛ فقط متصل به پروژه واقعی</x:v>
      </x:c>
      <x:c r="I138" s="39" t="n">
        <x:f>'01-همه آیتم‌ها'!$M$181</x:f>
        <x:v>0</x:v>
      </x:c>
      <x:c r="J138" s="39" t="e">
        <x:f>HYPERLINK("#'01-همه آیتم‌ها'!A181","باز کردن")</x:f>
        <x:v>HYPERLINK is not implemented. linkLocation=#'01-همه آیتم‌ها'!A181, friendlyName=باز کردن</x:v>
      </x:c>
    </x:row>
    <x:row r="139">
      <x:c r="A139" s="34" t="str">
        <x:f>'01-همه آیتم‌ها'!$A$182</x:f>
        <x:v>☐</x:v>
      </x:c>
      <x:c r="B139" s="34" t="str">
        <x:v>MI-0075</x:v>
      </x:c>
      <x:c r="C139" s="34" t="str">
        <x:v>P1</x:v>
      </x:c>
      <x:c r="D139" s="34" t="str">
        <x:v>M1 — فرد، پایه‌های عملکرد و خودشناسی</x:v>
      </x:c>
      <x:c r="E139" s="34" t="str">
        <x:v>H4</x:v>
      </x:c>
      <x:c r="F139" s="34" t="str">
        <x:v>رهبری، ارتباطات و مهارت‌های نرم</x:v>
      </x:c>
      <x:c r="G139" s="39" t="str">
        <x:v>یادگیری و اجرای برنامه گفت و گو محور</x:v>
      </x:c>
      <x:c r="H139" s="39" t="str">
        <x:v>سه‌ماهه اول؛ فقط متصل به پروژه واقعی</x:v>
      </x:c>
      <x:c r="I139" s="39" t="n">
        <x:f>'01-همه آیتم‌ها'!$M$182</x:f>
        <x:v>0</x:v>
      </x:c>
      <x:c r="J139" s="39" t="e">
        <x:f>HYPERLINK("#'01-همه آیتم‌ها'!A182","باز کردن")</x:f>
        <x:v>HYPERLINK is not implemented. linkLocation=#'01-همه آیتم‌ها'!A182, friendlyName=باز کردن</x:v>
      </x:c>
    </x:row>
    <x:row r="140">
      <x:c r="A140" s="34" t="str">
        <x:f>'01-همه آیتم‌ها'!$A$183</x:f>
        <x:v>☐</x:v>
      </x:c>
      <x:c r="B140" s="34" t="str">
        <x:v>MI-0111</x:v>
      </x:c>
      <x:c r="C140" s="34" t="str">
        <x:v>P1</x:v>
      </x:c>
      <x:c r="D140" s="34" t="str">
        <x:v>M1 — فرد، پایه‌های عملکرد و خودشناسی</x:v>
      </x:c>
      <x:c r="E140" s="34" t="str">
        <x:v>H4</x:v>
      </x:c>
      <x:c r="F140" s="34" t="str">
        <x:v>رهبری، ارتباطات و مهارت‌های نرم</x:v>
      </x:c>
      <x:c r="G140" s="39" t="str">
        <x:v>مهارت مذاکره</x:v>
      </x:c>
      <x:c r="H140" s="39" t="str">
        <x:v>سه‌ماهه اول؛ فقط متصل به پروژه واقعی</x:v>
      </x:c>
      <x:c r="I140" s="39" t="n">
        <x:f>'01-همه آیتم‌ها'!$M$183</x:f>
        <x:v>0</x:v>
      </x:c>
      <x:c r="J140" s="39" t="e">
        <x:f>HYPERLINK("#'01-همه آیتم‌ها'!A183","باز کردن")</x:f>
        <x:v>HYPERLINK is not implemented. linkLocation=#'01-همه آیتم‌ها'!A183, friendlyName=باز کردن</x:v>
      </x:c>
    </x:row>
    <x:row r="141">
      <x:c r="A141" s="34" t="str">
        <x:f>'01-همه آیتم‌ها'!$A$184</x:f>
        <x:v>☐</x:v>
      </x:c>
      <x:c r="B141" s="34" t="str">
        <x:v>MI-0112</x:v>
      </x:c>
      <x:c r="C141" s="34" t="str">
        <x:v>P1</x:v>
      </x:c>
      <x:c r="D141" s="34" t="str">
        <x:v>M1 — فرد، پایه‌های عملکرد و خودشناسی</x:v>
      </x:c>
      <x:c r="E141" s="34" t="str">
        <x:v>H4</x:v>
      </x:c>
      <x:c r="F141" s="34" t="str">
        <x:v>رهبری، ارتباطات و مهارت‌های نرم</x:v>
      </x:c>
      <x:c r="G141" s="39" t="str">
        <x:v>مهارت تیم سازی</x:v>
      </x:c>
      <x:c r="H141" s="39" t="str">
        <x:v>سه‌ماهه اول؛ فقط متصل به پروژه واقعی</x:v>
      </x:c>
      <x:c r="I141" s="39" t="n">
        <x:f>'01-همه آیتم‌ها'!$M$184</x:f>
        <x:v>0</x:v>
      </x:c>
      <x:c r="J141" s="39" t="e">
        <x:f>HYPERLINK("#'01-همه آیتم‌ها'!A184","باز کردن")</x:f>
        <x:v>HYPERLINK is not implemented. linkLocation=#'01-همه آیتم‌ها'!A184, friendlyName=باز کردن</x:v>
      </x:c>
    </x:row>
    <x:row r="142">
      <x:c r="A142" s="34" t="str">
        <x:f>'01-همه آیتم‌ها'!$A$191</x:f>
        <x:v>☐</x:v>
      </x:c>
      <x:c r="B142" s="34" t="str">
        <x:v>MI-0139</x:v>
      </x:c>
      <x:c r="C142" s="34" t="str">
        <x:v>P1</x:v>
      </x:c>
      <x:c r="D142" s="34" t="str">
        <x:v>M1 — فرد، پایه‌های عملکرد و خودشناسی</x:v>
      </x:c>
      <x:c r="E142" s="34" t="str">
        <x:v>H4</x:v>
      </x:c>
      <x:c r="F142" s="34" t="str">
        <x:v>رهبری، ارتباطات و مهارت‌های نرم</x:v>
      </x:c>
      <x:c r="G142" s="39" t="str">
        <x:v>گویندگی</x:v>
      </x:c>
      <x:c r="H142" s="39" t="str">
        <x:v>سه‌ماهه اول؛ فقط متصل به پروژه واقعی</x:v>
      </x:c>
      <x:c r="I142" s="39" t="n">
        <x:f>'01-همه آیتم‌ها'!$M$191</x:f>
        <x:v>0</x:v>
      </x:c>
      <x:c r="J142" s="39" t="e">
        <x:f>HYPERLINK("#'01-همه آیتم‌ها'!A191","باز کردن")</x:f>
        <x:v>HYPERLINK is not implemented. linkLocation=#'01-همه آیتم‌ها'!A191, friendlyName=باز کردن</x:v>
      </x:c>
    </x:row>
    <x:row r="143">
      <x:c r="A143" s="34" t="str">
        <x:f>'01-همه آیتم‌ها'!$A$185</x:f>
        <x:v>☐</x:v>
      </x:c>
      <x:c r="B143" s="34" t="str">
        <x:v>MI-0152</x:v>
      </x:c>
      <x:c r="C143" s="34" t="str">
        <x:v>P1</x:v>
      </x:c>
      <x:c r="D143" s="34" t="str">
        <x:v>M1 — فرد، پایه‌های عملکرد و خودشناسی</x:v>
      </x:c>
      <x:c r="E143" s="34" t="str">
        <x:v>H4</x:v>
      </x:c>
      <x:c r="F143" s="34" t="str">
        <x:v>رهبری، ارتباطات و مهارت‌های نرم</x:v>
      </x:c>
      <x:c r="G143" s="39" t="str">
        <x:v>OWASP TOPLO</x:v>
      </x:c>
      <x:c r="H143" s="39" t="str">
        <x:v>سه‌ماهه اول؛ فقط متصل به پروژه واقعی</x:v>
      </x:c>
      <x:c r="I143" s="39" t="n">
        <x:f>'01-همه آیتم‌ها'!$M$185</x:f>
        <x:v>0</x:v>
      </x:c>
      <x:c r="J143" s="39" t="e">
        <x:f>HYPERLINK("#'01-همه آیتم‌ها'!A185","باز کردن")</x:f>
        <x:v>HYPERLINK is not implemented. linkLocation=#'01-همه آیتم‌ها'!A185, friendlyName=باز کردن</x:v>
      </x:c>
    </x:row>
    <x:row r="144">
      <x:c r="A144" s="34" t="str">
        <x:f>'01-همه آیتم‌ها'!$A$192</x:f>
        <x:v>☐</x:v>
      </x:c>
      <x:c r="B144" s="34" t="str">
        <x:v>MI-0185</x:v>
      </x:c>
      <x:c r="C144" s="34" t="str">
        <x:v>P1</x:v>
      </x:c>
      <x:c r="D144" s="34" t="str">
        <x:v>M1 — فرد، پایه‌های عملکرد و خودشناسی</x:v>
      </x:c>
      <x:c r="E144" s="34" t="str">
        <x:v>H4</x:v>
      </x:c>
      <x:c r="F144" s="34" t="str">
        <x:v>رهبری، ارتباطات و مهارت‌های نرم</x:v>
      </x:c>
      <x:c r="G144" s="39" t="str">
        <x:v>اصول مذاکره</x:v>
      </x:c>
      <x:c r="H144" s="39" t="str">
        <x:v>سه‌ماهه اول؛ فقط متصل به پروژه واقعی</x:v>
      </x:c>
      <x:c r="I144" s="39" t="n">
        <x:f>'01-همه آیتم‌ها'!$M$192</x:f>
        <x:v>0</x:v>
      </x:c>
      <x:c r="J144" s="39" t="e">
        <x:f>HYPERLINK("#'01-همه آیتم‌ها'!A192","باز کردن")</x:f>
        <x:v>HYPERLINK is not implemented. linkLocation=#'01-همه آیتم‌ها'!A192, friendlyName=باز کردن</x:v>
      </x:c>
    </x:row>
    <x:row r="145">
      <x:c r="A145" s="34" t="str">
        <x:f>'01-همه آیتم‌ها'!$A$193</x:f>
        <x:v>☐</x:v>
      </x:c>
      <x:c r="B145" s="34" t="str">
        <x:v>MI-0222</x:v>
      </x:c>
      <x:c r="C145" s="34" t="str">
        <x:v>P1</x:v>
      </x:c>
      <x:c r="D145" s="34" t="str">
        <x:v>M1 — فرد، پایه‌های عملکرد و خودشناسی</x:v>
      </x:c>
      <x:c r="E145" s="34" t="str">
        <x:v>H4</x:v>
      </x:c>
      <x:c r="F145" s="34" t="str">
        <x:v>رهبری، ارتباطات و مهارت‌های نرم</x:v>
      </x:c>
      <x:c r="G145" s="39" t="str">
        <x:v>فعالیتهای اجتماعی و ارتباطی</x:v>
      </x:c>
      <x:c r="H145" s="39" t="str">
        <x:v>سه‌ماهه اول؛ فقط متصل به پروژه واقعی</x:v>
      </x:c>
      <x:c r="I145" s="39" t="n">
        <x:f>'01-همه آیتم‌ها'!$M$193</x:f>
        <x:v>0</x:v>
      </x:c>
      <x:c r="J145" s="39" t="e">
        <x:f>HYPERLINK("#'01-همه آیتم‌ها'!A193","باز کردن")</x:f>
        <x:v>HYPERLINK is not implemented. linkLocation=#'01-همه آیتم‌ها'!A193, friendlyName=باز کردن</x:v>
      </x:c>
    </x:row>
    <x:row r="146">
      <x:c r="A146" s="34" t="str">
        <x:f>'01-همه آیتم‌ها'!$A$194</x:f>
        <x:v>☐</x:v>
      </x:c>
      <x:c r="B146" s="34" t="str">
        <x:v>MI-0242</x:v>
      </x:c>
      <x:c r="C146" s="34" t="str">
        <x:v>P1</x:v>
      </x:c>
      <x:c r="D146" s="34" t="str">
        <x:v>M1 — فرد، پایه‌های عملکرد و خودشناسی</x:v>
      </x:c>
      <x:c r="E146" s="34" t="str">
        <x:v>H4</x:v>
      </x:c>
      <x:c r="F146" s="34" t="str">
        <x:v>رهبری، ارتباطات و مهارت‌های نرم</x:v>
      </x:c>
      <x:c r="G146" s="39" t="str">
        <x:v>چالش های تربیت و ارایه راهکار</x:v>
      </x:c>
      <x:c r="H146" s="39" t="str">
        <x:v>سه‌ماهه اول؛ فقط متصل به پروژه واقعی</x:v>
      </x:c>
      <x:c r="I146" s="39" t="n">
        <x:f>'01-همه آیتم‌ها'!$M$194</x:f>
        <x:v>0</x:v>
      </x:c>
      <x:c r="J146" s="39" t="e">
        <x:f>HYPERLINK("#'01-همه آیتم‌ها'!A194","باز کردن")</x:f>
        <x:v>HYPERLINK is not implemented. linkLocation=#'01-همه آیتم‌ها'!A194, friendlyName=باز کردن</x:v>
      </x:c>
    </x:row>
    <x:row r="147">
      <x:c r="A147" s="34" t="str">
        <x:f>'01-همه آیتم‌ها'!$A$195</x:f>
        <x:v>☐</x:v>
      </x:c>
      <x:c r="B147" s="34" t="str">
        <x:v>MI-0243</x:v>
      </x:c>
      <x:c r="C147" s="34" t="str">
        <x:v>P1</x:v>
      </x:c>
      <x:c r="D147" s="34" t="str">
        <x:v>M1 — فرد، پایه‌های عملکرد و خودشناسی</x:v>
      </x:c>
      <x:c r="E147" s="34" t="str">
        <x:v>H4</x:v>
      </x:c>
      <x:c r="F147" s="34" t="str">
        <x:v>رهبری، ارتباطات و مهارت‌های نرم</x:v>
      </x:c>
      <x:c r="G147" s="39" t="str">
        <x:v>چالش های مساجد و ارایه راهکار</x:v>
      </x:c>
      <x:c r="H147" s="39" t="str">
        <x:v>سه‌ماهه اول؛ فقط متصل به پروژه واقعی</x:v>
      </x:c>
      <x:c r="I147" s="39" t="n">
        <x:f>'01-همه آیتم‌ها'!$M$195</x:f>
        <x:v>0</x:v>
      </x:c>
      <x:c r="J147" s="39" t="e">
        <x:f>HYPERLINK("#'01-همه آیتم‌ها'!A195","باز کردن")</x:f>
        <x:v>HYPERLINK is not implemented. linkLocation=#'01-همه آیتم‌ها'!A195, friendlyName=باز کردن</x:v>
      </x:c>
    </x:row>
    <x:row r="148">
      <x:c r="A148" s="34" t="str">
        <x:f>'01-همه آیتم‌ها'!$A$196</x:f>
        <x:v>☐</x:v>
      </x:c>
      <x:c r="B148" s="34" t="str">
        <x:v>MI-0610</x:v>
      </x:c>
      <x:c r="C148" s="34" t="str">
        <x:v>P1</x:v>
      </x:c>
      <x:c r="D148" s="34" t="str">
        <x:v>M1 — فرد، پایه‌های عملکرد و خودشناسی</x:v>
      </x:c>
      <x:c r="E148" s="34" t="str">
        <x:v>H4</x:v>
      </x:c>
      <x:c r="F148" s="34" t="str">
        <x:v>رهبری، ارتباطات و مهارت‌های نرم</x:v>
      </x:c>
      <x:c r="G148" s="39" t="str">
        <x:v>روابط عمومی دانشگاه</x:v>
      </x:c>
      <x:c r="H148" s="39" t="str">
        <x:v>سه‌ماهه اول؛ فقط متصل به پروژه واقعی</x:v>
      </x:c>
      <x:c r="I148" s="39" t="n">
        <x:f>'01-همه آیتم‌ها'!$M$196</x:f>
        <x:v>0</x:v>
      </x:c>
      <x:c r="J148" s="39" t="e">
        <x:f>HYPERLINK("#'01-همه آیتم‌ها'!A196","باز کردن")</x:f>
        <x:v>HYPERLINK is not implemented. linkLocation=#'01-همه آیتم‌ها'!A196, friendlyName=باز کردن</x:v>
      </x:c>
    </x:row>
    <x:row r="149">
      <x:c r="A149" s="34" t="str">
        <x:f>'01-همه آیتم‌ها'!$A$186</x:f>
        <x:v>☐</x:v>
      </x:c>
      <x:c r="B149" s="34" t="str">
        <x:v>MI-0611</x:v>
      </x:c>
      <x:c r="C149" s="34" t="str">
        <x:v>P1</x:v>
      </x:c>
      <x:c r="D149" s="34" t="str">
        <x:v>M1 — فرد، پایه‌های عملکرد و خودشناسی</x:v>
      </x:c>
      <x:c r="E149" s="34" t="str">
        <x:v>H4</x:v>
      </x:c>
      <x:c r="F149" s="34" t="str">
        <x:v>رهبری، ارتباطات و مهارت‌های نرم</x:v>
      </x:c>
      <x:c r="G149" s="39" t="str">
        <x:v>صحبت برای پخش یک مصاحبه از زبان معاونت آموزشی یا رییس دانشگاه از شبکه استانی در باب خبر امتحانات دانشگاهی</x:v>
      </x:c>
      <x:c r="H149" s="39" t="str">
        <x:v>سه‌ماهه اول؛ فقط متصل به پروژه واقعی</x:v>
      </x:c>
      <x:c r="I149" s="39" t="n">
        <x:f>'01-همه آیتم‌ها'!$M$186</x:f>
        <x:v>0</x:v>
      </x:c>
      <x:c r="J149" s="39" t="e">
        <x:f>HYPERLINK("#'01-همه آیتم‌ها'!A186","باز کردن")</x:f>
        <x:v>HYPERLINK is not implemented. linkLocation=#'01-همه آیتم‌ها'!A186, friendlyName=باز کردن</x:v>
      </x:c>
    </x:row>
    <x:row r="150">
      <x:c r="A150" s="34" t="str">
        <x:f>'01-همه آیتم‌ها'!$A$197</x:f>
        <x:v>☐</x:v>
      </x:c>
      <x:c r="B150" s="34" t="str">
        <x:v>MI-0613</x:v>
      </x:c>
      <x:c r="C150" s="34" t="str">
        <x:v>P1</x:v>
      </x:c>
      <x:c r="D150" s="34" t="str">
        <x:v>M1 — فرد، پایه‌های عملکرد و خودشناسی</x:v>
      </x:c>
      <x:c r="E150" s="34" t="str">
        <x:v>H4</x:v>
      </x:c>
      <x:c r="F150" s="34" t="str">
        <x:v>رهبری، ارتباطات و مهارت‌های نرم</x:v>
      </x:c>
      <x:c r="G150" s="39" t="str">
        <x:v>نحوه اطلاع رسانی در شرایط بحرانی</x:v>
      </x:c>
      <x:c r="H150" s="39" t="str">
        <x:v>سه‌ماهه اول؛ فقط متصل به پروژه واقعی</x:v>
      </x:c>
      <x:c r="I150" s="39" t="n">
        <x:f>'01-همه آیتم‌ها'!$M$197</x:f>
        <x:v>0</x:v>
      </x:c>
      <x:c r="J150" s="39" t="e">
        <x:f>HYPERLINK("#'01-همه آیتم‌ها'!A197","باز کردن")</x:f>
        <x:v>HYPERLINK is not implemented. linkLocation=#'01-همه آیتم‌ها'!A197, friendlyName=باز کردن</x:v>
      </x:c>
    </x:row>
    <x:row r="151">
      <x:c r="A151" s="34" t="str">
        <x:f>'01-همه آیتم‌ها'!$A$198</x:f>
        <x:v>☐</x:v>
      </x:c>
      <x:c r="B151" s="34" t="str">
        <x:v>MI-0615</x:v>
      </x:c>
      <x:c r="C151" s="34" t="str">
        <x:v>P1</x:v>
      </x:c>
      <x:c r="D151" s="34" t="str">
        <x:v>M1 — فرد، پایه‌های عملکرد و خودشناسی</x:v>
      </x:c>
      <x:c r="E151" s="34" t="str">
        <x:v>H4</x:v>
      </x:c>
      <x:c r="F151" s="34" t="str">
        <x:v>رهبری، ارتباطات و مهارت‌های نرم</x:v>
      </x:c>
      <x:c r="G151" s="39" t="str">
        <x:v>ضبط و پخش کلیپ مصاحبه و گزارش از وضعیت دانشگاه و پخش در شبکه استانی یا زیرنویس کردن در شبکه استانی</x:v>
      </x:c>
      <x:c r="H151" s="39" t="str">
        <x:v>سه‌ماهه اول؛ فقط متصل به پروژه واقعی</x:v>
      </x:c>
      <x:c r="I151" s="39" t="n">
        <x:f>'01-همه آیتم‌ها'!$M$198</x:f>
        <x:v>0</x:v>
      </x:c>
      <x:c r="J151" s="39" t="e">
        <x:f>HYPERLINK("#'01-همه آیتم‌ها'!A198","باز کردن")</x:f>
        <x:v>HYPERLINK is not implemented. linkLocation=#'01-همه آیتم‌ها'!A198, friendlyName=باز کردن</x:v>
      </x:c>
    </x:row>
    <x:row r="152">
      <x:c r="A152" s="34" t="str">
        <x:f>'01-همه آیتم‌ها'!$A$179</x:f>
        <x:v>☐</x:v>
      </x:c>
      <x:c r="B152" s="34" t="str">
        <x:v>MI-0616</x:v>
      </x:c>
      <x:c r="C152" s="34" t="str">
        <x:v>P1</x:v>
      </x:c>
      <x:c r="D152" s="34" t="str">
        <x:v>M1 — فرد، پایه‌های عملکرد و خودشناسی</x:v>
      </x:c>
      <x:c r="E152" s="34" t="str">
        <x:v>H4</x:v>
      </x:c>
      <x:c r="F152" s="34" t="str">
        <x:v>رهبری، ارتباطات و مهارت‌های نرم</x:v>
      </x:c>
      <x:c r="G152" s="39" t="str">
        <x:v>تهیه اتاق گالری برای آرشیو عکس ها</x:v>
      </x:c>
      <x:c r="H152" s="39" t="str">
        <x:v>سه‌ماهه اول؛ فقط متصل به پروژه واقعی</x:v>
      </x:c>
      <x:c r="I152" s="39" t="n">
        <x:f>'01-همه آیتم‌ها'!$M$179</x:f>
        <x:v>0</x:v>
      </x:c>
      <x:c r="J152" s="39" t="e">
        <x:f>HYPERLINK("#'01-همه آیتم‌ها'!A179","باز کردن")</x:f>
        <x:v>HYPERLINK is not implemented. linkLocation=#'01-همه آیتم‌ها'!A179, friendlyName=باز کردن</x:v>
      </x:c>
    </x:row>
    <x:row r="153">
      <x:c r="A153" s="34" t="str">
        <x:f>'01-همه آیتم‌ها'!$A$199</x:f>
        <x:v>☐</x:v>
      </x:c>
      <x:c r="B153" s="34" t="str">
        <x:v>MI-0617</x:v>
      </x:c>
      <x:c r="C153" s="34" t="str">
        <x:v>P1</x:v>
      </x:c>
      <x:c r="D153" s="34" t="str">
        <x:v>M1 — فرد، پایه‌های عملکرد و خودشناسی</x:v>
      </x:c>
      <x:c r="E153" s="34" t="str">
        <x:v>H4</x:v>
      </x:c>
      <x:c r="F153" s="34" t="str">
        <x:v>رهبری، ارتباطات و مهارت‌های نرم</x:v>
      </x:c>
      <x:c r="G153" s="39" t="str">
        <x:v>تجهیز اتاق استودیو برای ضبط</x:v>
      </x:c>
      <x:c r="H153" s="39" t="str">
        <x:v>سه‌ماهه اول؛ فقط متصل به پروژه واقعی</x:v>
      </x:c>
      <x:c r="I153" s="39" t="n">
        <x:f>'01-همه آیتم‌ها'!$M$199</x:f>
        <x:v>0</x:v>
      </x:c>
      <x:c r="J153" s="39" t="e">
        <x:f>HYPERLINK("#'01-همه آیتم‌ها'!A199","باز کردن")</x:f>
        <x:v>HYPERLINK is not implemented. linkLocation=#'01-همه آیتم‌ها'!A199, friendlyName=باز کردن</x:v>
      </x:c>
    </x:row>
    <x:row r="154">
      <x:c r="A154" s="34" t="str">
        <x:f>'01-همه آیتم‌ها'!$A$200</x:f>
        <x:v>☐</x:v>
      </x:c>
      <x:c r="B154" s="34" t="str">
        <x:v>MI-0620</x:v>
      </x:c>
      <x:c r="C154" s="34" t="str">
        <x:v>P1</x:v>
      </x:c>
      <x:c r="D154" s="34" t="str">
        <x:v>M1 — فرد، پایه‌های عملکرد و خودشناسی</x:v>
      </x:c>
      <x:c r="E154" s="34" t="str">
        <x:v>H4</x:v>
      </x:c>
      <x:c r="F154" s="34" t="str">
        <x:v>رهبری، ارتباطات و مهارت‌های نرم</x:v>
      </x:c>
      <x:c r="G154" s="39" t="str">
        <x:v>بیمه تجهیزات الکترونیکی مثل لپ تاپ</x:v>
      </x:c>
      <x:c r="H154" s="39" t="str">
        <x:v>سه‌ماهه اول؛ فقط متصل به پروژه واقعی</x:v>
      </x:c>
      <x:c r="I154" s="39" t="n">
        <x:f>'01-همه آیتم‌ها'!$M$200</x:f>
        <x:v>0</x:v>
      </x:c>
      <x:c r="J154" s="39" t="e">
        <x:f>HYPERLINK("#'01-همه آیتم‌ها'!A200","باز کردن")</x:f>
        <x:v>HYPERLINK is not implemented. linkLocation=#'01-همه آیتم‌ها'!A200, friendlyName=باز کردن</x:v>
      </x:c>
    </x:row>
    <x:row r="155">
      <x:c r="A155" s="34" t="str">
        <x:f>'01-همه آیتم‌ها'!$A$201</x:f>
        <x:v>☐</x:v>
      </x:c>
      <x:c r="B155" s="34" t="str">
        <x:v>MI-0637</x:v>
      </x:c>
      <x:c r="C155" s="34" t="str">
        <x:v>P1</x:v>
      </x:c>
      <x:c r="D155" s="34" t="str">
        <x:v>M1 — فرد، پایه‌های عملکرد و خودشناسی</x:v>
      </x:c>
      <x:c r="E155" s="34" t="str">
        <x:v>H4</x:v>
      </x:c>
      <x:c r="F155" s="34" t="str">
        <x:v>رهبری، ارتباطات و مهارت‌های نرم</x:v>
      </x:c>
      <x:c r="G155" s="39" t="str">
        <x:v>روابط عمومی و رسانه</x:v>
      </x:c>
      <x:c r="H155" s="39" t="str">
        <x:v>سه‌ماهه اول؛ فقط متصل به پروژه واقعی</x:v>
      </x:c>
      <x:c r="I155" s="39" t="n">
        <x:f>'01-همه آیتم‌ها'!$M$201</x:f>
        <x:v>0</x:v>
      </x:c>
      <x:c r="J155" s="39" t="e">
        <x:f>HYPERLINK("#'01-همه آیتم‌ها'!A201","باز کردن")</x:f>
        <x:v>HYPERLINK is not implemented. linkLocation=#'01-همه آیتم‌ها'!A201, friendlyName=باز کردن</x:v>
      </x:c>
    </x:row>
    <x:row r="156">
      <x:c r="A156" s="34" t="str">
        <x:f>'01-همه آیتم‌ها'!$A$202</x:f>
        <x:v>☐</x:v>
      </x:c>
      <x:c r="B156" s="34" t="str">
        <x:v>MI-0638</x:v>
      </x:c>
      <x:c r="C156" s="34" t="str">
        <x:v>P1</x:v>
      </x:c>
      <x:c r="D156" s="34" t="str">
        <x:v>M1 — فرد، پایه‌های عملکرد و خودشناسی</x:v>
      </x:c>
      <x:c r="E156" s="34" t="str">
        <x:v>H4</x:v>
      </x:c>
      <x:c r="F156" s="34" t="str">
        <x:v>رهبری، ارتباطات و مهارت‌های نرم</x:v>
      </x:c>
      <x:c r="G156" s="39" t="str">
        <x:v>تولید فیلم و کلیپ از بازدید و ...</x:v>
      </x:c>
      <x:c r="H156" s="39" t="str">
        <x:v>سه‌ماهه اول؛ فقط متصل به پروژه واقعی</x:v>
      </x:c>
      <x:c r="I156" s="39" t="n">
        <x:f>'01-همه آیتم‌ها'!$M$202</x:f>
        <x:v>0</x:v>
      </x:c>
      <x:c r="J156" s="39" t="e">
        <x:f>HYPERLINK("#'01-همه آیتم‌ها'!A202","باز کردن")</x:f>
        <x:v>HYPERLINK is not implemented. linkLocation=#'01-همه آیتم‌ها'!A202, friendlyName=باز کردن</x:v>
      </x:c>
    </x:row>
    <x:row r="157">
      <x:c r="A157" s="34" t="str">
        <x:f>'01-همه آیتم‌ها'!$A$203</x:f>
        <x:v>☐</x:v>
      </x:c>
      <x:c r="B157" s="34" t="str">
        <x:v>MI-0640</x:v>
      </x:c>
      <x:c r="C157" s="34" t="str">
        <x:v>P1</x:v>
      </x:c>
      <x:c r="D157" s="34" t="str">
        <x:v>M1 — فرد، پایه‌های عملکرد و خودشناسی</x:v>
      </x:c>
      <x:c r="E157" s="34" t="str">
        <x:v>H4</x:v>
      </x:c>
      <x:c r="F157" s="34" t="str">
        <x:v>رهبری، ارتباطات و مهارت‌های نرم</x:v>
      </x:c>
      <x:c r="G157" s="39" t="str">
        <x:v>پوستر</x:v>
      </x:c>
      <x:c r="H157" s="39" t="str">
        <x:v>سه‌ماهه اول؛ فقط متصل به پروژه واقعی</x:v>
      </x:c>
      <x:c r="I157" s="39" t="n">
        <x:f>'01-همه آیتم‌ها'!$M$203</x:f>
        <x:v>0</x:v>
      </x:c>
      <x:c r="J157" s="39" t="e">
        <x:f>HYPERLINK("#'01-همه آیتم‌ها'!A203","باز کردن")</x:f>
        <x:v>HYPERLINK is not implemented. linkLocation=#'01-همه آیتم‌ها'!A203, friendlyName=باز کردن</x:v>
      </x:c>
    </x:row>
    <x:row r="158">
      <x:c r="A158" s="34" t="str">
        <x:f>'01-همه آیتم‌ها'!$A$204</x:f>
        <x:v>☐</x:v>
      </x:c>
      <x:c r="B158" s="34" t="str">
        <x:v>MI-1119</x:v>
      </x:c>
      <x:c r="C158" s="34" t="str">
        <x:v>P1</x:v>
      </x:c>
      <x:c r="D158" s="34" t="str">
        <x:v>M1 — فرد، پایه‌های عملکرد و خودشناسی</x:v>
      </x:c>
      <x:c r="E158" s="34" t="str">
        <x:v>H4</x:v>
      </x:c>
      <x:c r="F158" s="34" t="str">
        <x:v>رهبری، ارتباطات و مهارت‌های نرم</x:v>
      </x:c>
      <x:c r="G158" s="39" t="str">
        <x:v>شبکه سازی بزرگ جهت هماهنگی با مادحین و سخنرانان، سخنوران</x:v>
      </x:c>
      <x:c r="H158" s="39" t="str">
        <x:v>سه‌ماهه اول؛ فقط متصل به پروژه واقعی</x:v>
      </x:c>
      <x:c r="I158" s="39" t="n">
        <x:f>'01-همه آیتم‌ها'!$M$204</x:f>
        <x:v>0</x:v>
      </x:c>
      <x:c r="J158" s="39" t="e">
        <x:f>HYPERLINK("#'01-همه آیتم‌ها'!A204","باز کردن")</x:f>
        <x:v>HYPERLINK is not implemented. linkLocation=#'01-همه آیتم‌ها'!A204, friendlyName=باز کردن</x:v>
      </x:c>
    </x:row>
    <x:row r="159">
      <x:c r="A159" s="34" t="str">
        <x:f>'01-همه آیتم‌ها'!$A$187</x:f>
        <x:v>☐</x:v>
      </x:c>
      <x:c r="B159" s="34" t="str">
        <x:v>MI-1463</x:v>
      </x:c>
      <x:c r="C159" s="34" t="str">
        <x:v>P1</x:v>
      </x:c>
      <x:c r="D159" s="34" t="str">
        <x:v>M1 — فرد، پایه‌های عملکرد و خودشناسی</x:v>
      </x:c>
      <x:c r="E159" s="34" t="str">
        <x:v>H4</x:v>
      </x:c>
      <x:c r="F159" s="34" t="str">
        <x:v>رهبری، ارتباطات و مهارت‌های نرم</x:v>
      </x:c>
      <x:c r="G159" s="39" t="str">
        <x:v>ارتباطات: فن بیان، ارایه مطلب، مذاکره، گوش دادن فعال.</x:v>
      </x:c>
      <x:c r="H159" s="39" t="str">
        <x:v>سه‌ماهه اول؛ فقط متصل به پروژه واقعی</x:v>
      </x:c>
      <x:c r="I159" s="39" t="n">
        <x:f>'01-همه آیتم‌ها'!$M$187</x:f>
        <x:v>0</x:v>
      </x:c>
      <x:c r="J159" s="39" t="e">
        <x:f>HYPERLINK("#'01-همه آیتم‌ها'!A187","باز کردن")</x:f>
        <x:v>HYPERLINK is not implemented. linkLocation=#'01-همه آیتم‌ها'!A187, friendlyName=باز کردن</x:v>
      </x:c>
    </x:row>
    <x:row r="160">
      <x:c r="A160" s="34" t="str">
        <x:f>'01-همه آیتم‌ها'!$A$188</x:f>
        <x:v>☐</x:v>
      </x:c>
      <x:c r="B160" s="34" t="str">
        <x:v>MI-1485</x:v>
      </x:c>
      <x:c r="C160" s="34" t="str">
        <x:v>P1</x:v>
      </x:c>
      <x:c r="D160" s="34" t="str">
        <x:v>M1 — فرد، پایه‌های عملکرد و خودشناسی</x:v>
      </x:c>
      <x:c r="E160" s="34" t="str">
        <x:v>H4</x:v>
      </x:c>
      <x:c r="F160" s="34" t="str">
        <x:v>رهبری، ارتباطات و مهارت‌های نرم</x:v>
      </x:c>
      <x:c r="G160" s="39" t="str">
        <x:v>شبکه سازی و امنیت:</x:v>
      </x:c>
      <x:c r="H160" s="39" t="str">
        <x:v>سه‌ماهه اول؛ فقط متصل به پروژه واقعی</x:v>
      </x:c>
      <x:c r="I160" s="39" t="n">
        <x:f>'01-همه آیتم‌ها'!$M$188</x:f>
        <x:v>0</x:v>
      </x:c>
      <x:c r="J160" s="39" t="e">
        <x:f>HYPERLINK("#'01-همه آیتم‌ها'!A188","باز کردن")</x:f>
        <x:v>HYPERLINK is not implemented. linkLocation=#'01-همه آیتم‌ها'!A188, friendlyName=باز کردن</x:v>
      </x:c>
    </x:row>
    <x:row r="161">
      <x:c r="A161" s="34" t="str">
        <x:f>'01-همه آیتم‌ها'!$A$205</x:f>
        <x:v>☐</x:v>
      </x:c>
      <x:c r="B161" s="34" t="str">
        <x:v>MI-1505</x:v>
      </x:c>
      <x:c r="C161" s="34" t="str">
        <x:v>P1</x:v>
      </x:c>
      <x:c r="D161" s="34" t="str">
        <x:v>M1 — فرد، پایه‌های عملکرد و خودشناسی</x:v>
      </x:c>
      <x:c r="E161" s="34" t="str">
        <x:v>H4</x:v>
      </x:c>
      <x:c r="F161" s="34" t="str">
        <x:v>رهبری، ارتباطات و مهارت‌های نرم</x:v>
      </x:c>
      <x:c r="G161" s="39" t="str">
        <x:v>کار تیمی: همکاری، همبستگی، تعامل سازنده.</x:v>
      </x:c>
      <x:c r="H161" s="39" t="str">
        <x:v>سه‌ماهه اول؛ فقط متصل به پروژه واقعی</x:v>
      </x:c>
      <x:c r="I161" s="39" t="n">
        <x:f>'01-همه آیتم‌ها'!$M$205</x:f>
        <x:v>0</x:v>
      </x:c>
      <x:c r="J161" s="39" t="e">
        <x:f>HYPERLINK("#'01-همه آیتم‌ها'!A205","باز کردن")</x:f>
        <x:v>HYPERLINK is not implemented. linkLocation=#'01-همه آیتم‌ها'!A205, friendlyName=باز کردن</x:v>
      </x:c>
    </x:row>
    <x:row r="162">
      <x:c r="A162" s="34" t="str">
        <x:f>'01-همه آیتم‌ها'!$A$222</x:f>
        <x:v>☐</x:v>
      </x:c>
      <x:c r="B162" s="34" t="str">
        <x:v>MI-1577</x:v>
      </x:c>
      <x:c r="C162" s="34" t="str">
        <x:v>P1</x:v>
      </x:c>
      <x:c r="D162" s="34" t="str">
        <x:v>M1 — فرد، پایه‌های عملکرد و خودشناسی</x:v>
      </x:c>
      <x:c r="E162" s="34" t="str">
        <x:v>H4</x:v>
      </x:c>
      <x:c r="F162" s="34" t="str">
        <x:v>رهبری، ارتباطات و مهارت‌های نرم</x:v>
      </x:c>
      <x:c r="G162" s="39" t="str">
        <x:v>یه سری لینک هستند یا پل های ارتباطی مثل سمن های حوزه اشتغال زایی جوانان زیر نظر وزارت ورزش و جوانان که میشه از بدنه جوانان بالا بیاد و اهرم قدرت ما برای بعضی موارد باشه که در سطح سیاست گذاری میخواد پیش بره یا در سطح حقوقی خودش و یا یه شبکه سازی خوب از جوانان در بحص پایش و کنترل هوشمند و جهت دهی شغلی اونها</x:v>
      </x:c>
      <x:c r="H162" s="39" t="str">
        <x:v>سه‌ماهه اول؛ فقط متصل به پروژه واقعی</x:v>
      </x:c>
      <x:c r="I162" s="39" t="n">
        <x:f>'01-همه آیتم‌ها'!$M$222</x:f>
        <x:v>0</x:v>
      </x:c>
      <x:c r="J162" s="39" t="e">
        <x:f>HYPERLINK("#'01-همه آیتم‌ها'!A222","باز کردن")</x:f>
        <x:v>HYPERLINK is not implemented. linkLocation=#'01-همه آیتم‌ها'!A222, friendlyName=باز کردن</x:v>
      </x:c>
    </x:row>
    <x:row r="163">
      <x:c r="A163" s="34" t="str">
        <x:f>'01-همه آیتم‌ها'!$A$206</x:f>
        <x:v>☐</x:v>
      </x:c>
      <x:c r="B163" s="34" t="str">
        <x:v>MI-1593</x:v>
      </x:c>
      <x:c r="C163" s="34" t="str">
        <x:v>P1</x:v>
      </x:c>
      <x:c r="D163" s="34" t="str">
        <x:v>M1 — فرد، پایه‌های عملکرد و خودشناسی</x:v>
      </x:c>
      <x:c r="E163" s="34" t="str">
        <x:v>H4</x:v>
      </x:c>
      <x:c r="F163" s="34" t="str">
        <x:v>رهبری، ارتباطات و مهارت‌های نرم</x:v>
      </x:c>
      <x:c r="G163" s="39" t="str">
        <x:v>یا خروجی های قوی یه همایش یا رویداد کارافرینین و جذب سرمایه شده که میشه معرفی بشه برای سرمایه گذاری یا تیم سازی و اجداث شرکت و پیشروی</x:v>
      </x:c>
      <x:c r="H163" s="39" t="str">
        <x:v>سه‌ماهه اول؛ فقط متصل به پروژه واقعی</x:v>
      </x:c>
      <x:c r="I163" s="39" t="n">
        <x:f>'01-همه آیتم‌ها'!$M$206</x:f>
        <x:v>0</x:v>
      </x:c>
      <x:c r="J163" s="39" t="e">
        <x:f>HYPERLINK("#'01-همه آیتم‌ها'!A206","باز کردن")</x:f>
        <x:v>HYPERLINK is not implemented. linkLocation=#'01-همه آیتم‌ها'!A206, friendlyName=باز کردن</x:v>
      </x:c>
    </x:row>
    <x:row r="164">
      <x:c r="A164" s="34" t="str">
        <x:f>'01-همه آیتم‌ها'!$A$207</x:f>
        <x:v>☐</x:v>
      </x:c>
      <x:c r="B164" s="34" t="str">
        <x:v>MI-1741</x:v>
      </x:c>
      <x:c r="C164" s="34" t="str">
        <x:v>P1</x:v>
      </x:c>
      <x:c r="D164" s="34" t="str">
        <x:v>M1 — فرد، پایه‌های عملکرد و خودشناسی</x:v>
      </x:c>
      <x:c r="E164" s="34" t="str">
        <x:v>H4</x:v>
      </x:c>
      <x:c r="F164" s="34" t="str">
        <x:v>رهبری، ارتباطات و مهارت‌های نرم</x:v>
      </x:c>
      <x:c r="G164" s="39" t="str">
        <x:v>شبکه سازی</x:v>
      </x:c>
      <x:c r="H164" s="39" t="str">
        <x:v>سه‌ماهه اول؛ فقط متصل به پروژه واقعی</x:v>
      </x:c>
      <x:c r="I164" s="39" t="n">
        <x:f>'01-همه آیتم‌ها'!$M$207</x:f>
        <x:v>0</x:v>
      </x:c>
      <x:c r="J164" s="39" t="e">
        <x:f>HYPERLINK("#'01-همه آیتم‌ها'!A207","باز کردن")</x:f>
        <x:v>HYPERLINK is not implemented. linkLocation=#'01-همه آیتم‌ها'!A207, friendlyName=باز کردن</x:v>
      </x:c>
    </x:row>
    <x:row r="165">
      <x:c r="A165" s="34" t="str">
        <x:f>'01-همه آیتم‌ها'!$A$208</x:f>
        <x:v>☐</x:v>
      </x:c>
      <x:c r="B165" s="34" t="str">
        <x:v>MI-1944</x:v>
      </x:c>
      <x:c r="C165" s="34" t="str">
        <x:v>P1</x:v>
      </x:c>
      <x:c r="D165" s="34" t="str">
        <x:v>M1 — فرد، پایه‌های عملکرد و خودشناسی</x:v>
      </x:c>
      <x:c r="E165" s="34" t="str">
        <x:v>H4</x:v>
      </x:c>
      <x:c r="F165" s="34" t="str">
        <x:v>رهبری، ارتباطات و مهارت‌های نرم</x:v>
      </x:c>
      <x:c r="G165" s="39" t="str">
        <x:v>این ها بستر گردش ارتباطات هستند.</x:v>
      </x:c>
      <x:c r="H165" s="39" t="str">
        <x:v>سه‌ماهه اول؛ فقط متصل به پروژه واقعی</x:v>
      </x:c>
      <x:c r="I165" s="39" t="n">
        <x:f>'01-همه آیتم‌ها'!$M$208</x:f>
        <x:v>0</x:v>
      </x:c>
      <x:c r="J165" s="39" t="e">
        <x:f>HYPERLINK("#'01-همه آیتم‌ها'!A208","باز کردن")</x:f>
        <x:v>HYPERLINK is not implemented. linkLocation=#'01-همه آیتم‌ها'!A208, friendlyName=باز کردن</x:v>
      </x:c>
    </x:row>
    <x:row r="166">
      <x:c r="A166" s="34" t="str">
        <x:f>'01-همه آیتم‌ها'!$A$209</x:f>
        <x:v>☐</x:v>
      </x:c>
      <x:c r="B166" s="34" t="str">
        <x:v>MI-2286</x:v>
      </x:c>
      <x:c r="C166" s="34" t="str">
        <x:v>P1</x:v>
      </x:c>
      <x:c r="D166" s="34" t="str">
        <x:v>M1 — فرد، پایه‌های عملکرد و خودشناسی</x:v>
      </x:c>
      <x:c r="E166" s="34" t="str">
        <x:v>H4</x:v>
      </x:c>
      <x:c r="F166" s="34" t="str">
        <x:v>رهبری، ارتباطات و مهارت‌های نرم</x:v>
      </x:c>
      <x:c r="G166" s="39" t="str">
        <x:v>دقیقاً با چه کسانی باید ارتباط بگیری</x:v>
      </x:c>
      <x:c r="H166" s="39" t="str">
        <x:v>سه‌ماهه اول؛ فقط متصل به پروژه واقعی</x:v>
      </x:c>
      <x:c r="I166" s="39" t="n">
        <x:f>'01-همه آیتم‌ها'!$M$209</x:f>
        <x:v>0</x:v>
      </x:c>
      <x:c r="J166" s="39" t="e">
        <x:f>HYPERLINK("#'01-همه آیتم‌ها'!A209","باز کردن")</x:f>
        <x:v>HYPERLINK is not implemented. linkLocation=#'01-همه آیتم‌ها'!A209, friendlyName=باز کردن</x:v>
      </x:c>
    </x:row>
    <x:row r="167">
      <x:c r="A167" s="34" t="str">
        <x:f>'01-همه آیتم‌ها'!$A$210</x:f>
        <x:v>☐</x:v>
      </x:c>
      <x:c r="B167" s="34" t="str">
        <x:v>MI-2496</x:v>
      </x:c>
      <x:c r="C167" s="34" t="str">
        <x:v>P1</x:v>
      </x:c>
      <x:c r="D167" s="34" t="str">
        <x:v>M1 — فرد، پایه‌های عملکرد و خودشناسی</x:v>
      </x:c>
      <x:c r="E167" s="34" t="str">
        <x:v>H4</x:v>
      </x:c>
      <x:c r="F167" s="34" t="str">
        <x:v>رهبری، ارتباطات و مهارت‌های نرم</x:v>
      </x:c>
      <x:c r="G167" s="39" t="str">
        <x:v>تیم سازی</x:v>
      </x:c>
      <x:c r="H167" s="39" t="str">
        <x:v>سه‌ماهه اول؛ فقط متصل به پروژه واقعی</x:v>
      </x:c>
      <x:c r="I167" s="39" t="n">
        <x:f>'01-همه آیتم‌ها'!$M$210</x:f>
        <x:v>0</x:v>
      </x:c>
      <x:c r="J167" s="39" t="e">
        <x:f>HYPERLINK("#'01-همه آیتم‌ها'!A210","باز کردن")</x:f>
        <x:v>HYPERLINK is not implemented. linkLocation=#'01-همه آیتم‌ها'!A210, friendlyName=باز کردن</x:v>
      </x:c>
    </x:row>
    <x:row r="168">
      <x:c r="A168" s="34" t="str">
        <x:f>'01-همه آیتم‌ها'!$A$211</x:f>
        <x:v>☐</x:v>
      </x:c>
      <x:c r="B168" s="34" t="str">
        <x:v>MI-2498</x:v>
      </x:c>
      <x:c r="C168" s="34" t="str">
        <x:v>P1</x:v>
      </x:c>
      <x:c r="D168" s="34" t="str">
        <x:v>M1 — فرد، پایه‌های عملکرد و خودشناسی</x:v>
      </x:c>
      <x:c r="E168" s="34" t="str">
        <x:v>H4</x:v>
      </x:c>
      <x:c r="F168" s="34" t="str">
        <x:v>رهبری، ارتباطات و مهارت‌های نرم</x:v>
      </x:c>
      <x:c r="G168" s="39" t="str">
        <x:v>ارتباطات</x:v>
      </x:c>
      <x:c r="H168" s="39" t="str">
        <x:v>سه‌ماهه اول؛ فقط متصل به پروژه واقعی</x:v>
      </x:c>
      <x:c r="I168" s="39" t="n">
        <x:f>'01-همه آیتم‌ها'!$M$211</x:f>
        <x:v>0</x:v>
      </x:c>
      <x:c r="J168" s="39" t="e">
        <x:f>HYPERLINK("#'01-همه آیتم‌ها'!A211","باز کردن")</x:f>
        <x:v>HYPERLINK is not implemented. linkLocation=#'01-همه آیتم‌ها'!A211, friendlyName=باز کردن</x:v>
      </x:c>
    </x:row>
    <x:row r="169">
      <x:c r="A169" s="34" t="str">
        <x:f>'01-همه آیتم‌ها'!$A$212</x:f>
        <x:v>☐</x:v>
      </x:c>
      <x:c r="B169" s="34" t="str">
        <x:v>MI-2500</x:v>
      </x:c>
      <x:c r="C169" s="34" t="str">
        <x:v>P1</x:v>
      </x:c>
      <x:c r="D169" s="34" t="str">
        <x:v>M1 — فرد، پایه‌های عملکرد و خودشناسی</x:v>
      </x:c>
      <x:c r="E169" s="34" t="str">
        <x:v>H4</x:v>
      </x:c>
      <x:c r="F169" s="34" t="str">
        <x:v>رهبری، ارتباطات و مهارت‌های نرم</x:v>
      </x:c>
      <x:c r="G169" s="39" t="str">
        <x:v>مذاکره</x:v>
      </x:c>
      <x:c r="H169" s="39" t="str">
        <x:v>سه‌ماهه اول؛ فقط متصل به پروژه واقعی</x:v>
      </x:c>
      <x:c r="I169" s="39" t="n">
        <x:f>'01-همه آیتم‌ها'!$M$212</x:f>
        <x:v>0</x:v>
      </x:c>
      <x:c r="J169" s="39" t="e">
        <x:f>HYPERLINK("#'01-همه آیتم‌ها'!A212","باز کردن")</x:f>
        <x:v>HYPERLINK is not implemented. linkLocation=#'01-همه آیتم‌ها'!A212, friendlyName=باز کردن</x:v>
      </x:c>
    </x:row>
    <x:row r="170">
      <x:c r="A170" s="34" t="str">
        <x:f>'01-همه آیتم‌ها'!$A$213</x:f>
        <x:v>☐</x:v>
      </x:c>
      <x:c r="B170" s="34" t="str">
        <x:v>MI-2512</x:v>
      </x:c>
      <x:c r="C170" s="34" t="str">
        <x:v>P1</x:v>
      </x:c>
      <x:c r="D170" s="34" t="str">
        <x:v>M1 — فرد، پایه‌های عملکرد و خودشناسی</x:v>
      </x:c>
      <x:c r="E170" s="34" t="str">
        <x:v>H4</x:v>
      </x:c>
      <x:c r="F170" s="34" t="str">
        <x:v>رهبری، ارتباطات و مهارت‌های نرم</x:v>
      </x:c>
      <x:c r="G170" s="39" t="str">
        <x:v>4. مراکز نوآوری و تیم سازی</x:v>
      </x:c>
      <x:c r="H170" s="39" t="str">
        <x:v>سه‌ماهه اول؛ فقط متصل به پروژه واقعی</x:v>
      </x:c>
      <x:c r="I170" s="39" t="n">
        <x:f>'01-همه آیتم‌ها'!$M$213</x:f>
        <x:v>0</x:v>
      </x:c>
      <x:c r="J170" s="39" t="e">
        <x:f>HYPERLINK("#'01-همه آیتم‌ها'!A213","باز کردن")</x:f>
        <x:v>HYPERLINK is not implemented. linkLocation=#'01-همه آیتم‌ها'!A213, friendlyName=باز کردن</x:v>
      </x:c>
    </x:row>
    <x:row r="171">
      <x:c r="A171" s="34" t="str">
        <x:f>'01-همه آیتم‌ها'!$A$214</x:f>
        <x:v>☐</x:v>
      </x:c>
      <x:c r="B171" s="34" t="str">
        <x:v>MI-2643</x:v>
      </x:c>
      <x:c r="C171" s="34" t="str">
        <x:v>P1</x:v>
      </x:c>
      <x:c r="D171" s="34" t="str">
        <x:v>M1 — فرد، پایه‌های عملکرد و خودشناسی</x:v>
      </x:c>
      <x:c r="E171" s="34" t="str">
        <x:v>H4</x:v>
      </x:c>
      <x:c r="F171" s="34" t="str">
        <x:v>رهبری، ارتباطات و مهارت‌های نرم</x:v>
      </x:c>
      <x:c r="G171" s="39" t="str">
        <x:v>ارتباطات حرفه ای</x:v>
      </x:c>
      <x:c r="H171" s="39" t="str">
        <x:v>سه‌ماهه اول؛ فقط متصل به پروژه واقعی</x:v>
      </x:c>
      <x:c r="I171" s="39" t="n">
        <x:f>'01-همه آیتم‌ها'!$M$214</x:f>
        <x:v>0</x:v>
      </x:c>
      <x:c r="J171" s="39" t="e">
        <x:f>HYPERLINK("#'01-همه آیتم‌ها'!A214","باز کردن")</x:f>
        <x:v>HYPERLINK is not implemented. linkLocation=#'01-همه آیتم‌ها'!A214, friendlyName=باز کردن</x:v>
      </x:c>
    </x:row>
    <x:row r="172">
      <x:c r="A172" s="34" t="str">
        <x:f>'01-همه آیتم‌ها'!$A$215</x:f>
        <x:v>☐</x:v>
      </x:c>
      <x:c r="B172" s="34" t="str">
        <x:v>MI-2685</x:v>
      </x:c>
      <x:c r="C172" s="34" t="str">
        <x:v>P1</x:v>
      </x:c>
      <x:c r="D172" s="34" t="str">
        <x:v>M1 — فرد، پایه‌های عملکرد و خودشناسی</x:v>
      </x:c>
      <x:c r="E172" s="34" t="str">
        <x:v>H4</x:v>
      </x:c>
      <x:c r="F172" s="34" t="str">
        <x:v>رهبری، ارتباطات و مهارت‌های نرم</x:v>
      </x:c>
      <x:c r="G172" s="39" t="str">
        <x:v>شبکه سازی گسترده</x:v>
      </x:c>
      <x:c r="H172" s="39" t="str">
        <x:v>سه‌ماهه اول؛ فقط متصل به پروژه واقعی</x:v>
      </x:c>
      <x:c r="I172" s="39" t="n">
        <x:f>'01-همه آیتم‌ها'!$M$215</x:f>
        <x:v>0</x:v>
      </x:c>
      <x:c r="J172" s="39" t="e">
        <x:f>HYPERLINK("#'01-همه آیتم‌ها'!A215","باز کردن")</x:f>
        <x:v>HYPERLINK is not implemented. linkLocation=#'01-همه آیتم‌ها'!A215, friendlyName=باز کردن</x:v>
      </x:c>
    </x:row>
    <x:row r="173">
      <x:c r="A173" s="34" t="str">
        <x:f>'01-همه آیتم‌ها'!$A$216</x:f>
        <x:v>☐</x:v>
      </x:c>
      <x:c r="B173" s="34" t="str">
        <x:v>MI-2713</x:v>
      </x:c>
      <x:c r="C173" s="34" t="str">
        <x:v>P1</x:v>
      </x:c>
      <x:c r="D173" s="34" t="str">
        <x:v>M1 — فرد، پایه‌های عملکرد و خودشناسی</x:v>
      </x:c>
      <x:c r="E173" s="34" t="str">
        <x:v>H4</x:v>
      </x:c>
      <x:c r="F173" s="34" t="str">
        <x:v>رهبری، ارتباطات و مهارت‌های نرم</x:v>
      </x:c>
      <x:c r="G173" s="39" t="str">
        <x:v>تعامل</x:v>
      </x:c>
      <x:c r="H173" s="39" t="str">
        <x:v>سه‌ماهه اول؛ فقط متصل به پروژه واقعی</x:v>
      </x:c>
      <x:c r="I173" s="39" t="n">
        <x:f>'01-همه آیتم‌ها'!$M$216</x:f>
        <x:v>0</x:v>
      </x:c>
      <x:c r="J173" s="39" t="e">
        <x:f>HYPERLINK("#'01-همه آیتم‌ها'!A216","باز کردن")</x:f>
        <x:v>HYPERLINK is not implemented. linkLocation=#'01-همه آیتم‌ها'!A216, friendlyName=باز کردن</x:v>
      </x:c>
    </x:row>
    <x:row r="174">
      <x:c r="A174" s="34" t="str">
        <x:f>'01-همه آیتم‌ها'!$A$217</x:f>
        <x:v>☐</x:v>
      </x:c>
      <x:c r="B174" s="34" t="str">
        <x:v>MI-2821</x:v>
      </x:c>
      <x:c r="C174" s="34" t="str">
        <x:v>P1</x:v>
      </x:c>
      <x:c r="D174" s="34" t="str">
        <x:v>M1 — فرد، پایه‌های عملکرد و خودشناسی</x:v>
      </x:c>
      <x:c r="E174" s="34" t="str">
        <x:v>H4</x:v>
      </x:c>
      <x:c r="F174" s="34" t="str">
        <x:v>رهبری، ارتباطات و مهارت‌های نرم</x:v>
      </x:c>
      <x:c r="G174" s="39" t="str">
        <x:v>لایه 4 — تیم سازی و نوآوری</x:v>
      </x:c>
      <x:c r="H174" s="39" t="str">
        <x:v>سه‌ماهه اول؛ فقط متصل به پروژه واقعی</x:v>
      </x:c>
      <x:c r="I174" s="39" t="n">
        <x:f>'01-همه آیتم‌ها'!$M$217</x:f>
        <x:v>0</x:v>
      </x:c>
      <x:c r="J174" s="39" t="e">
        <x:f>HYPERLINK("#'01-همه آیتم‌ها'!A217","باز کردن")</x:f>
        <x:v>HYPERLINK is not implemented. linkLocation=#'01-همه آیتم‌ها'!A217, friendlyName=باز کردن</x:v>
      </x:c>
    </x:row>
    <x:row r="175">
      <x:c r="A175" s="34" t="str">
        <x:f>'01-همه آیتم‌ها'!$A$218</x:f>
        <x:v>☐</x:v>
      </x:c>
      <x:c r="B175" s="34" t="str">
        <x:v>MI-2904</x:v>
      </x:c>
      <x:c r="C175" s="34" t="str">
        <x:v>P1</x:v>
      </x:c>
      <x:c r="D175" s="34" t="str">
        <x:v>M1 — فرد، پایه‌های عملکرد و خودشناسی</x:v>
      </x:c>
      <x:c r="E175" s="34" t="str">
        <x:v>H4</x:v>
      </x:c>
      <x:c r="F175" s="34" t="str">
        <x:v>رهبری، ارتباطات و مهارت‌های نرم</x:v>
      </x:c>
      <x:c r="G175" s="39" t="str">
        <x:v>ارتباط بین این بخش ها را مشخص کنی.</x:v>
      </x:c>
      <x:c r="H175" s="39" t="str">
        <x:v>سه‌ماهه اول؛ فقط متصل به پروژه واقعی</x:v>
      </x:c>
      <x:c r="I175" s="39" t="n">
        <x:f>'01-همه آیتم‌ها'!$M$218</x:f>
        <x:v>0</x:v>
      </x:c>
      <x:c r="J175" s="39" t="e">
        <x:f>HYPERLINK("#'01-همه آیتم‌ها'!A218","باز کردن")</x:f>
        <x:v>HYPERLINK is not implemented. linkLocation=#'01-همه آیتم‌ها'!A218, friendlyName=باز کردن</x:v>
      </x:c>
    </x:row>
    <x:row r="176">
      <x:c r="A176" s="34" t="str">
        <x:f>'01-همه آیتم‌ها'!$A$219</x:f>
        <x:v>☐</x:v>
      </x:c>
      <x:c r="B176" s="34" t="str">
        <x:v>MI-2911</x:v>
      </x:c>
      <x:c r="C176" s="34" t="str">
        <x:v>P1</x:v>
      </x:c>
      <x:c r="D176" s="34" t="str">
        <x:v>M1 — فرد، پایه‌های عملکرد و خودشناسی</x:v>
      </x:c>
      <x:c r="E176" s="34" t="str">
        <x:v>H4</x:v>
      </x:c>
      <x:c r="F176" s="34" t="str">
        <x:v>رهبری، ارتباطات و مهارت‌های نرم</x:v>
      </x:c>
      <x:c r="G176" s="39" t="str">
        <x:v>واحد تیم سازی و نوآوری</x:v>
      </x:c>
      <x:c r="H176" s="39" t="str">
        <x:v>سه‌ماهه اول؛ فقط متصل به پروژه واقعی</x:v>
      </x:c>
      <x:c r="I176" s="39" t="n">
        <x:f>'01-همه آیتم‌ها'!$M$219</x:f>
        <x:v>0</x:v>
      </x:c>
      <x:c r="J176" s="39" t="e">
        <x:f>HYPERLINK("#'01-همه آیتم‌ها'!A219","باز کردن")</x:f>
        <x:v>HYPERLINK is not implemented. linkLocation=#'01-همه آیتم‌ها'!A219, friendlyName=باز کردن</x:v>
      </x:c>
    </x:row>
    <x:row r="177">
      <x:c r="A177" s="34" t="str">
        <x:f>'01-همه آیتم‌ها'!$A$220</x:f>
        <x:v>☐</x:v>
      </x:c>
      <x:c r="B177" s="34" t="str">
        <x:v>MI-2914</x:v>
      </x:c>
      <x:c r="C177" s="34" t="str">
        <x:v>P1</x:v>
      </x:c>
      <x:c r="D177" s="34" t="str">
        <x:v>M1 — فرد، پایه‌های عملکرد و خودشناسی</x:v>
      </x:c>
      <x:c r="E177" s="34" t="str">
        <x:v>H4</x:v>
      </x:c>
      <x:c r="F177" s="34" t="str">
        <x:v>رهبری، ارتباطات و مهارت‌های نرم</x:v>
      </x:c>
      <x:c r="G177" s="39" t="str">
        <x:v>واحد شبکه سازی و رویدادها</x:v>
      </x:c>
      <x:c r="H177" s="39" t="str">
        <x:v>سه‌ماهه اول؛ فقط متصل به پروژه واقعی</x:v>
      </x:c>
      <x:c r="I177" s="39" t="n">
        <x:f>'01-همه آیتم‌ها'!$M$220</x:f>
        <x:v>0</x:v>
      </x:c>
      <x:c r="J177" s="39" t="e">
        <x:f>HYPERLINK("#'01-همه آیتم‌ها'!A220","باز کردن")</x:f>
        <x:v>HYPERLINK is not implemented. linkLocation=#'01-همه آیتم‌ها'!A220, friendlyName=باز کردن</x:v>
      </x:c>
    </x:row>
    <x:row r="178">
      <x:c r="A178" s="34" t="str">
        <x:f>'01-همه آیتم‌ها'!$A$221</x:f>
        <x:v>☐</x:v>
      </x:c>
      <x:c r="B178" s="34" t="str">
        <x:v>MI-2967</x:v>
      </x:c>
      <x:c r="C178" s="34" t="str">
        <x:v>P1</x:v>
      </x:c>
      <x:c r="D178" s="34" t="str">
        <x:v>M1 — فرد، پایه‌های عملکرد و خودشناسی</x:v>
      </x:c>
      <x:c r="E178" s="34" t="str">
        <x:v>H4</x:v>
      </x:c>
      <x:c r="F178" s="34" t="str">
        <x:v>رهبری، ارتباطات و مهارت‌های نرم</x:v>
      </x:c>
      <x:c r="G178" s="39" t="str">
        <x:v>واحد 3 — سیستم تیم سازی و نوآوری</x:v>
      </x:c>
      <x:c r="H178" s="39" t="str">
        <x:v>سه‌ماهه اول؛ فقط متصل به پروژه واقعی</x:v>
      </x:c>
      <x:c r="I178" s="39" t="n">
        <x:f>'01-همه آیتم‌ها'!$M$221</x:f>
        <x:v>0</x:v>
      </x:c>
      <x:c r="J178" s="39" t="e">
        <x:f>HYPERLINK("#'01-همه آیتم‌ها'!A221","باز کردن")</x:f>
        <x:v>HYPERLINK is not implemented. linkLocation=#'01-همه آیتم‌ها'!A221, friendlyName=باز کردن</x:v>
      </x:c>
    </x:row>
    <x:row r="179">
      <x:c r="A179" s="34" t="str">
        <x:f>'01-همه آیتم‌ها'!$A$189</x:f>
        <x:v>☐</x:v>
      </x:c>
      <x:c r="B179" s="34" t="str">
        <x:v>MI-3086</x:v>
      </x:c>
      <x:c r="C179" s="34" t="str">
        <x:v>P1</x:v>
      </x:c>
      <x:c r="D179" s="34" t="str">
        <x:v>M1 — فرد، پایه‌های عملکرد و خودشناسی</x:v>
      </x:c>
      <x:c r="E179" s="34" t="str">
        <x:v>H4</x:v>
      </x:c>
      <x:c r="F179" s="34" t="str">
        <x:v>رهبری، ارتباطات و مهارت‌های نرم</x:v>
      </x:c>
      <x:c r="G179" s="39" t="str">
        <x:v>به دوره کاشف در رابطه با عارضه یابی و تحقیقات بازار و اقتصادی رفتم و شرکت کردم به دوره فن بیان رفتم</x:v>
      </x:c>
      <x:c r="H179" s="39" t="str">
        <x:v>سه‌ماهه اول؛ فقط متصل به پروژه واقعی</x:v>
      </x:c>
      <x:c r="I179" s="39" t="n">
        <x:f>'01-همه آیتم‌ها'!$M$189</x:f>
        <x:v>0</x:v>
      </x:c>
      <x:c r="J179" s="39" t="e">
        <x:f>HYPERLINK("#'01-همه آیتم‌ها'!A189","باز کردن")</x:f>
        <x:v>HYPERLINK is not implemented. linkLocation=#'01-همه آیتم‌ها'!A189, friendlyName=باز کردن</x:v>
      </x:c>
    </x:row>
    <x:row r="180">
      <x:c r="A180" s="34" t="str">
        <x:f>'01-همه آیتم‌ها'!$A$228</x:f>
        <x:v>☐</x:v>
      </x:c>
      <x:c r="B180" s="34" t="str">
        <x:v>MI-0028</x:v>
      </x:c>
      <x:c r="C180" s="34" t="str">
        <x:v>P1</x:v>
      </x:c>
      <x:c r="D180" s="34" t="str">
        <x:v>M1 — فرد، پایه‌های عملکرد و خودشناسی</x:v>
      </x:c>
      <x:c r="E180" s="34" t="str">
        <x:v>H5</x:v>
      </x:c>
      <x:c r="F180" s="34" t="str">
        <x:v>زبان‌ها و ارتباط بین‌الملل</x:v>
      </x:c>
      <x:c r="G180" s="39" t="str">
        <x:v>تایپ ده انگشتی انگلیسی</x:v>
      </x:c>
      <x:c r="H180" s="39" t="str">
        <x:v>سه‌ماهه اول؛ فقط متصل به پروژه واقعی</x:v>
      </x:c>
      <x:c r="I180" s="39" t="n">
        <x:f>'01-همه آیتم‌ها'!$M$228</x:f>
        <x:v>0</x:v>
      </x:c>
      <x:c r="J180" s="39" t="e">
        <x:f>HYPERLINK("#'01-همه آیتم‌ها'!A228","باز کردن")</x:f>
        <x:v>HYPERLINK is not implemented. linkLocation=#'01-همه آیتم‌ها'!A228, friendlyName=باز کردن</x:v>
      </x:c>
    </x:row>
    <x:row r="181">
      <x:c r="A181" s="34" t="str">
        <x:f>'01-همه آیتم‌ها'!$A$226</x:f>
        <x:v>☐</x:v>
      </x:c>
      <x:c r="B181" s="34" t="str">
        <x:v>MI-0063</x:v>
      </x:c>
      <x:c r="C181" s="34" t="str">
        <x:v>P1</x:v>
      </x:c>
      <x:c r="D181" s="34" t="str">
        <x:v>M1 — فرد، پایه‌های عملکرد و خودشناسی</x:v>
      </x:c>
      <x:c r="E181" s="34" t="str">
        <x:v>H5</x:v>
      </x:c>
      <x:c r="F181" s="34" t="str">
        <x:v>زبان‌ها و ارتباط بین‌الملل</x:v>
      </x:c>
      <x:c r="G181" s="39" t="str">
        <x:v>یادگیری ترکی استانبولی</x:v>
      </x:c>
      <x:c r="H181" s="39" t="str">
        <x:v>سه‌ماهه اول؛ فقط متصل به پروژه واقعی</x:v>
      </x:c>
      <x:c r="I181" s="39" t="n">
        <x:f>'01-همه آیتم‌ها'!$M$226</x:f>
        <x:v>0</x:v>
      </x:c>
      <x:c r="J181" s="39" t="e">
        <x:f>HYPERLINK("#'01-همه آیتم‌ها'!A226","باز کردن")</x:f>
        <x:v>HYPERLINK is not implemented. linkLocation=#'01-همه آیتم‌ها'!A226, friendlyName=باز کردن</x:v>
      </x:c>
    </x:row>
    <x:row r="182">
      <x:c r="A182" s="34" t="str">
        <x:f>'01-همه آیتم‌ها'!$A$227</x:f>
        <x:v>☐</x:v>
      </x:c>
      <x:c r="B182" s="34" t="str">
        <x:v>MI-0204</x:v>
      </x:c>
      <x:c r="C182" s="34" t="str">
        <x:v>P1</x:v>
      </x:c>
      <x:c r="D182" s="34" t="str">
        <x:v>M1 — فرد، پایه‌های عملکرد و خودشناسی</x:v>
      </x:c>
      <x:c r="E182" s="34" t="str">
        <x:v>H5</x:v>
      </x:c>
      <x:c r="F182" s="34" t="str">
        <x:v>زبان‌ها و ارتباط بین‌الملل</x:v>
      </x:c>
      <x:c r="G182" s="39" t="str">
        <x:v>آموزش زبان انگلیسی</x:v>
      </x:c>
      <x:c r="H182" s="39" t="str">
        <x:v>سه‌ماهه اول؛ فقط متصل به پروژه واقعی</x:v>
      </x:c>
      <x:c r="I182" s="39" t="n">
        <x:f>'01-همه آیتم‌ها'!$M$227</x:f>
        <x:v>0</x:v>
      </x:c>
      <x:c r="J182" s="39" t="e">
        <x:f>HYPERLINK("#'01-همه آیتم‌ها'!A227","باز کردن")</x:f>
        <x:v>HYPERLINK is not implemented. linkLocation=#'01-همه آیتم‌ها'!A227, friendlyName=باز کردن</x:v>
      </x:c>
    </x:row>
    <x:row r="183">
      <x:c r="A183" s="34" t="str">
        <x:f>'01-همه آیتم‌ها'!$A$225</x:f>
        <x:v>☐</x:v>
      </x:c>
      <x:c r="B183" s="34" t="str">
        <x:v>MI-1225</x:v>
      </x:c>
      <x:c r="C183" s="34" t="str">
        <x:v>P1</x:v>
      </x:c>
      <x:c r="D183" s="34" t="str">
        <x:v>M1 — فرد، پایه‌های عملکرد و خودشناسی</x:v>
      </x:c>
      <x:c r="E183" s="34" t="str">
        <x:v>H5</x:v>
      </x:c>
      <x:c r="F183" s="34" t="str">
        <x:v>زبان‌ها و ارتباط بین‌الملل</x:v>
      </x:c>
      <x:c r="G183" s="39" t="str">
        <x:v>طراحی برنامه گفتگوی فارسی و عربی عراقی</x:v>
      </x:c>
      <x:c r="H183" s="39" t="str">
        <x:v>سه‌ماهه اول؛ فقط متصل به پروژه واقعی</x:v>
      </x:c>
      <x:c r="I183" s="39" t="n">
        <x:f>'01-همه آیتم‌ها'!$M$225</x:f>
        <x:v>0</x:v>
      </x:c>
      <x:c r="J183" s="39" t="e">
        <x:f>HYPERLINK("#'01-همه آیتم‌ها'!A225","باز کردن")</x:f>
        <x:v>HYPERLINK is not implemented. linkLocation=#'01-همه آیتم‌ها'!A225, friendlyName=باز کردن</x:v>
      </x:c>
    </x:row>
    <x:row r="184">
      <x:c r="A184" s="34" t="str">
        <x:f>'01-همه آیتم‌ها'!$A$229</x:f>
        <x:v>☐</x:v>
      </x:c>
      <x:c r="B184" s="34" t="str">
        <x:v>MI-3082</x:v>
      </x:c>
      <x:c r="C184" s="34" t="str">
        <x:v>P1</x:v>
      </x:c>
      <x:c r="D184" s="34" t="str">
        <x:v>M1 — فرد، پایه‌های عملکرد و خودشناسی</x:v>
      </x:c>
      <x:c r="E184" s="34" t="str">
        <x:v>H5</x:v>
      </x:c>
      <x:c r="F184" s="34" t="str">
        <x:v>زبان‌ها و ارتباط بین‌الملل</x:v>
      </x:c>
      <x:c r="G184" s="39" t="str">
        <x:v>به زبان انگلیسی در حد معمولی به زبان لری متوسط (: به عربی هم خیییلی دست و پا شکسته</x:v>
      </x:c>
      <x:c r="H184" s="39" t="str">
        <x:v>سه‌ماهه اول؛ فقط متصل به پروژه واقعی</x:v>
      </x:c>
      <x:c r="I184" s="39" t="n">
        <x:f>'01-همه آیتم‌ها'!$M$229</x:f>
        <x:v>0</x:v>
      </x:c>
      <x:c r="J184" s="39" t="e">
        <x:f>HYPERLINK("#'01-همه آیتم‌ها'!A229","باز کردن")</x:f>
        <x:v>HYPERLINK is not implemented. linkLocation=#'01-همه آیتم‌ها'!A229, friendlyName=باز کردن</x:v>
      </x:c>
    </x:row>
    <x:row r="185">
      <x:c r="A185" s="34" t="str">
        <x:f>'01-همه آیتم‌ها'!$A$230</x:f>
        <x:v>☐</x:v>
      </x:c>
      <x:c r="B185" s="34" t="str">
        <x:v>N115-0052</x:v>
      </x:c>
      <x:c r="C185" s="34" t="str">
        <x:v>P1</x:v>
      </x:c>
      <x:c r="D185" s="34" t="str">
        <x:v>M2 — تحصیل، مسیر شغلی و توانمندی حرفه‌ای</x:v>
      </x:c>
      <x:c r="E185" s="34" t="str">
        <x:v>H6</x:v>
      </x:c>
      <x:c r="F185" s="34" t="str">
        <x:v>مهندسی مکانیک، صنایع و مهارت‌های فنی</x:v>
      </x:c>
      <x:c r="G185" s="39" t="str">
        <x:v>CATIA</x:v>
      </x:c>
      <x:c r="H185" s="39" t="str">
        <x:v>فقط در صورت انتخاب عمق طراحی مکانیکی/پروژه واقعی</x:v>
      </x:c>
      <x:c r="I185" s="39" t="n">
        <x:f>'01-همه آیتم‌ها'!$M$230</x:f>
        <x:v>0</x:v>
      </x:c>
      <x:c r="J185" s="39" t="e">
        <x:f>HYPERLINK("#'01-همه آیتم‌ها'!A230","باز کردن")</x:f>
        <x:v>HYPERLINK is not implemented. linkLocation=#'01-همه آیتم‌ها'!A230, friendlyName=باز کردن</x:v>
      </x:c>
    </x:row>
    <x:row r="186">
      <x:c r="A186" s="34" t="str">
        <x:f>'01-همه آیتم‌ها'!$A$297</x:f>
        <x:v>☐</x:v>
      </x:c>
      <x:c r="B186" s="34" t="str">
        <x:v>MI-0008</x:v>
      </x:c>
      <x:c r="C186" s="34" t="str">
        <x:v>P1</x:v>
      </x:c>
      <x:c r="D186" s="34" t="str">
        <x:v>M2 — تحصیل، مسیر شغلی و توانمندی حرفه‌ای</x:v>
      </x:c>
      <x:c r="E186" s="34" t="str">
        <x:v>H7</x:v>
      </x:c>
      <x:c r="F186" s="34" t="str">
        <x:v>داده، هوش مصنوعی، نرم‌افزار و اتوماسیون</x:v>
      </x:c>
      <x:c r="G186" s="39" t="str">
        <x:v>آشنایی با پاور بی ای</x:v>
      </x:c>
      <x:c r="H186" s="39" t="str">
        <x:v>سه‌ماهه اول؛ فقط متصل به پروژه واقعی</x:v>
      </x:c>
      <x:c r="I186" s="39" t="n">
        <x:f>'01-همه آیتم‌ها'!$M$297</x:f>
        <x:v>0</x:v>
      </x:c>
      <x:c r="J186" s="39" t="e">
        <x:f>HYPERLINK("#'01-همه آیتم‌ها'!A297","باز کردن")</x:f>
        <x:v>HYPERLINK is not implemented. linkLocation=#'01-همه آیتم‌ها'!A297, friendlyName=باز کردن</x:v>
      </x:c>
    </x:row>
    <x:row r="187">
      <x:c r="A187" s="34" t="str">
        <x:f>'01-همه آیتم‌ها'!$A$295</x:f>
        <x:v>☐</x:v>
      </x:c>
      <x:c r="B187" s="34" t="str">
        <x:v>MI-0042</x:v>
      </x:c>
      <x:c r="C187" s="34" t="str">
        <x:v>P1</x:v>
      </x:c>
      <x:c r="D187" s="34" t="str">
        <x:v>M2 — تحصیل، مسیر شغلی و توانمندی حرفه‌ای</x:v>
      </x:c>
      <x:c r="E187" s="34" t="str">
        <x:v>H7</x:v>
      </x:c>
      <x:c r="F187" s="34" t="str">
        <x:v>داده، هوش مصنوعی، نرم‌افزار و اتوماسیون</x:v>
      </x:c>
      <x:c r="G187" s="39" t="str">
        <x:v>ساخت دستیار صوتی به زبان فارسی</x:v>
      </x:c>
      <x:c r="H187" s="39" t="str">
        <x:v>سه‌ماهه اول؛ فقط متصل به پروژه واقعی</x:v>
      </x:c>
      <x:c r="I187" s="39" t="n">
        <x:f>'01-همه آیتم‌ها'!$M$295</x:f>
        <x:v>0</x:v>
      </x:c>
      <x:c r="J187" s="39" t="e">
        <x:f>HYPERLINK("#'01-همه آیتم‌ها'!A295","باز کردن")</x:f>
        <x:v>HYPERLINK is not implemented. linkLocation=#'01-همه آیتم‌ها'!A295, friendlyName=باز کردن</x:v>
      </x:c>
    </x:row>
    <x:row r="188">
      <x:c r="A188" s="34" t="str">
        <x:f>'01-همه آیتم‌ها'!$A$298</x:f>
        <x:v>☐</x:v>
      </x:c>
      <x:c r="B188" s="34" t="str">
        <x:v>MI-0060</x:v>
      </x:c>
      <x:c r="C188" s="34" t="str">
        <x:v>P1</x:v>
      </x:c>
      <x:c r="D188" s="34" t="str">
        <x:v>M2 — تحصیل، مسیر شغلی و توانمندی حرفه‌ای</x:v>
      </x:c>
      <x:c r="E188" s="34" t="str">
        <x:v>H7</x:v>
      </x:c>
      <x:c r="F188" s="34" t="str">
        <x:v>داده، هوش مصنوعی، نرم‌افزار و اتوماسیون</x:v>
      </x:c>
      <x:c r="G188" s="39" t="str">
        <x:v>یادگیری icdl</x:v>
      </x:c>
      <x:c r="H188" s="39" t="str">
        <x:v>سه‌ماهه اول؛ فقط متصل به پروژه واقعی</x:v>
      </x:c>
      <x:c r="I188" s="39" t="n">
        <x:f>'01-همه آیتم‌ها'!$M$298</x:f>
        <x:v>0</x:v>
      </x:c>
      <x:c r="J188" s="39" t="e">
        <x:f>HYPERLINK("#'01-همه آیتم‌ها'!A298","باز کردن")</x:f>
        <x:v>HYPERLINK is not implemented. linkLocation=#'01-همه آیتم‌ها'!A298, friendlyName=باز کردن</x:v>
      </x:c>
    </x:row>
    <x:row r="189">
      <x:c r="A189" s="34" t="str">
        <x:f>'01-همه آیتم‌ها'!$A$299</x:f>
        <x:v>☐</x:v>
      </x:c>
      <x:c r="B189" s="34" t="str">
        <x:v>MI-0076</x:v>
      </x:c>
      <x:c r="C189" s="34" t="str">
        <x:v>P1</x:v>
      </x:c>
      <x:c r="D189" s="34" t="str">
        <x:v>M2 — تحصیل، مسیر شغلی و توانمندی حرفه‌ای</x:v>
      </x:c>
      <x:c r="E189" s="34" t="str">
        <x:v>H7</x:v>
      </x:c>
      <x:c r="F189" s="34" t="str">
        <x:v>داده، هوش مصنوعی، نرم‌افزار و اتوماسیون</x:v>
      </x:c>
      <x:c r="G189" s="39" t="str">
        <x:v>یادگیری وردپرس</x:v>
      </x:c>
      <x:c r="H189" s="39" t="str">
        <x:v>سه‌ماهه اول؛ فقط متصل به پروژه واقعی</x:v>
      </x:c>
      <x:c r="I189" s="39" t="n">
        <x:f>'01-همه آیتم‌ها'!$M$299</x:f>
        <x:v>0</x:v>
      </x:c>
      <x:c r="J189" s="39" t="e">
        <x:f>HYPERLINK("#'01-همه آیتم‌ها'!A299","باز کردن")</x:f>
        <x:v>HYPERLINK is not implemented. linkLocation=#'01-همه آیتم‌ها'!A299, friendlyName=باز کردن</x:v>
      </x:c>
    </x:row>
    <x:row r="190">
      <x:c r="A190" s="34" t="str">
        <x:f>'01-همه آیتم‌ها'!$A$300</x:f>
        <x:v>☐</x:v>
      </x:c>
      <x:c r="B190" s="34" t="str">
        <x:v>MI-0091</x:v>
      </x:c>
      <x:c r="C190" s="34" t="str">
        <x:v>P1</x:v>
      </x:c>
      <x:c r="D190" s="34" t="str">
        <x:v>M2 — تحصیل، مسیر شغلی و توانمندی حرفه‌ای</x:v>
      </x:c>
      <x:c r="E190" s="34" t="str">
        <x:v>H7</x:v>
      </x:c>
      <x:c r="F190" s="34" t="str">
        <x:v>داده، هوش مصنوعی، نرم‌افزار و اتوماسیون</x:v>
      </x:c>
      <x:c r="G190" s="39" t="str">
        <x:v>click house</x:v>
      </x:c>
      <x:c r="H190" s="39" t="str">
        <x:v>سه‌ماهه اول؛ فقط متصل به پروژه واقعی</x:v>
      </x:c>
      <x:c r="I190" s="39" t="n">
        <x:f>'01-همه آیتم‌ها'!$M$300</x:f>
        <x:v>0</x:v>
      </x:c>
      <x:c r="J190" s="39" t="e">
        <x:f>HYPERLINK("#'01-همه آیتم‌ها'!A300","باز کردن")</x:f>
        <x:v>HYPERLINK is not implemented. linkLocation=#'01-همه آیتم‌ها'!A300, friendlyName=باز کردن</x:v>
      </x:c>
    </x:row>
    <x:row r="191">
      <x:c r="A191" s="34" t="str">
        <x:f>'01-همه آیتم‌ها'!$A$309</x:f>
        <x:v>☐</x:v>
      </x:c>
      <x:c r="B191" s="34" t="str">
        <x:v>MI-0092</x:v>
      </x:c>
      <x:c r="C191" s="34" t="str">
        <x:v>P1</x:v>
      </x:c>
      <x:c r="D191" s="34" t="str">
        <x:v>M2 — تحصیل، مسیر شغلی و توانمندی حرفه‌ای</x:v>
      </x:c>
      <x:c r="E191" s="34" t="str">
        <x:v>H7</x:v>
      </x:c>
      <x:c r="F191" s="34" t="str">
        <x:v>داده، هوش مصنوعی، نرم‌افزار و اتوماسیون</x:v>
      </x:c>
      <x:c r="G191" s="39" t="str">
        <x:v>fritzing</x:v>
      </x:c>
      <x:c r="H191" s="39" t="str">
        <x:v>سه‌ماهه اول؛ فقط متصل به پروژه واقعی</x:v>
      </x:c>
      <x:c r="I191" s="39" t="n">
        <x:f>'01-همه آیتم‌ها'!$M$309</x:f>
        <x:v>0</x:v>
      </x:c>
      <x:c r="J191" s="39" t="e">
        <x:f>HYPERLINK("#'01-همه آیتم‌ها'!A309","باز کردن")</x:f>
        <x:v>HYPERLINK is not implemented. linkLocation=#'01-همه آیتم‌ها'!A309, friendlyName=باز کردن</x:v>
      </x:c>
    </x:row>
    <x:row r="192">
      <x:c r="A192" s="34" t="str">
        <x:f>'01-همه آیتم‌ها'!$A$310</x:f>
        <x:v>☐</x:v>
      </x:c>
      <x:c r="B192" s="34" t="str">
        <x:v>MI-0094</x:v>
      </x:c>
      <x:c r="C192" s="34" t="str">
        <x:v>P1</x:v>
      </x:c>
      <x:c r="D192" s="34" t="str">
        <x:v>M2 — تحصیل، مسیر شغلی و توانمندی حرفه‌ای</x:v>
      </x:c>
      <x:c r="E192" s="34" t="str">
        <x:v>H7</x:v>
      </x:c>
      <x:c r="F192" s="34" t="str">
        <x:v>داده، هوش مصنوعی، نرم‌افزار و اتوماسیون</x:v>
      </x:c>
      <x:c r="G192" s="39" t="str">
        <x:v>زبان verilog</x:v>
      </x:c>
      <x:c r="H192" s="39" t="str">
        <x:v>سه‌ماهه اول؛ فقط متصل به پروژه واقعی</x:v>
      </x:c>
      <x:c r="I192" s="39" t="n">
        <x:f>'01-همه آیتم‌ها'!$M$310</x:f>
        <x:v>0</x:v>
      </x:c>
      <x:c r="J192" s="39" t="e">
        <x:f>HYPERLINK("#'01-همه آیتم‌ها'!A310","باز کردن")</x:f>
        <x:v>HYPERLINK is not implemented. linkLocation=#'01-همه آیتم‌ها'!A310, friendlyName=باز کردن</x:v>
      </x:c>
    </x:row>
    <x:row r="193">
      <x:c r="A193" s="34" t="str">
        <x:f>'01-همه آیتم‌ها'!$A$296</x:f>
        <x:v>☐</x:v>
      </x:c>
      <x:c r="B193" s="34" t="str">
        <x:v>MI-0095</x:v>
      </x:c>
      <x:c r="C193" s="34" t="str">
        <x:v>P1</x:v>
      </x:c>
      <x:c r="D193" s="34" t="str">
        <x:v>M2 — تحصیل، مسیر شغلی و توانمندی حرفه‌ای</x:v>
      </x:c>
      <x:c r="E193" s="34" t="str">
        <x:v>H7</x:v>
      </x:c>
      <x:c r="F193" s="34" t="str">
        <x:v>داده، هوش مصنوعی، نرم‌افزار و اتوماسیون</x:v>
      </x:c>
      <x:c r="G193" s="39" t="str">
        <x:v>ساخت ریزپرنده</x:v>
      </x:c>
      <x:c r="H193" s="39" t="str">
        <x:v>سه‌ماهه اول؛ فقط متصل به پروژه واقعی</x:v>
      </x:c>
      <x:c r="I193" s="39" t="n">
        <x:f>'01-همه آیتم‌ها'!$M$296</x:f>
        <x:v>0</x:v>
      </x:c>
      <x:c r="J193" s="39" t="e">
        <x:f>HYPERLINK("#'01-همه آیتم‌ها'!A296","باز کردن")</x:f>
        <x:v>HYPERLINK is not implemented. linkLocation=#'01-همه آیتم‌ها'!A296, friendlyName=باز کردن</x:v>
      </x:c>
    </x:row>
    <x:row r="194">
      <x:c r="A194" s="34" t="str">
        <x:f>'01-همه آیتم‌ها'!$A$311</x:f>
        <x:v>☐</x:v>
      </x:c>
      <x:c r="B194" s="34" t="str">
        <x:v>MI-0096</x:v>
      </x:c>
      <x:c r="C194" s="34" t="str">
        <x:v>P1</x:v>
      </x:c>
      <x:c r="D194" s="34" t="str">
        <x:v>M2 — تحصیل، مسیر شغلی و توانمندی حرفه‌ای</x:v>
      </x:c>
      <x:c r="E194" s="34" t="str">
        <x:v>H7</x:v>
      </x:c>
      <x:c r="F194" s="34" t="str">
        <x:v>داده، هوش مصنوعی، نرم‌افزار و اتوماسیون</x:v>
      </x:c>
      <x:c r="G194" s="39" t="str">
        <x:v>هوش مصنوعی و رباتیک</x:v>
      </x:c>
      <x:c r="H194" s="39" t="str">
        <x:v>سه‌ماهه اول؛ فقط متصل به پروژه واقعی</x:v>
      </x:c>
      <x:c r="I194" s="39" t="n">
        <x:f>'01-همه آیتم‌ها'!$M$311</x:f>
        <x:v>0</x:v>
      </x:c>
      <x:c r="J194" s="39" t="e">
        <x:f>HYPERLINK("#'01-همه آیتم‌ها'!A311","باز کردن")</x:f>
        <x:v>HYPERLINK is not implemented. linkLocation=#'01-همه آیتم‌ها'!A311, friendlyName=باز کردن</x:v>
      </x:c>
    </x:row>
    <x:row r="195">
      <x:c r="A195" s="34" t="str">
        <x:f>'01-همه آیتم‌ها'!$A$312</x:f>
        <x:v>☐</x:v>
      </x:c>
      <x:c r="B195" s="34" t="str">
        <x:v>MI-0097</x:v>
      </x:c>
      <x:c r="C195" s="34" t="str">
        <x:v>P1</x:v>
      </x:c>
      <x:c r="D195" s="34" t="str">
        <x:v>M2 — تحصیل، مسیر شغلی و توانمندی حرفه‌ای</x:v>
      </x:c>
      <x:c r="E195" s="34" t="str">
        <x:v>H7</x:v>
      </x:c>
      <x:c r="F195" s="34" t="str">
        <x:v>داده، هوش مصنوعی، نرم‌افزار و اتوماسیون</x:v>
      </x:c>
      <x:c r="G195" s="39" t="str">
        <x:v>هوش مصنوعی و دوبله با زبان خودش</x:v>
      </x:c>
      <x:c r="H195" s="39" t="str">
        <x:v>سه‌ماهه اول؛ فقط متصل به پروژه واقعی</x:v>
      </x:c>
      <x:c r="I195" s="39" t="n">
        <x:f>'01-همه آیتم‌ها'!$M$312</x:f>
        <x:v>0</x:v>
      </x:c>
      <x:c r="J195" s="39" t="e">
        <x:f>HYPERLINK("#'01-همه آیتم‌ها'!A312","باز کردن")</x:f>
        <x:v>HYPERLINK is not implemented. linkLocation=#'01-همه آیتم‌ها'!A312, friendlyName=باز کردن</x:v>
      </x:c>
    </x:row>
    <x:row r="196">
      <x:c r="A196" s="34" t="str">
        <x:f>'01-همه آیتم‌ها'!$A$313</x:f>
        <x:v>☐</x:v>
      </x:c>
      <x:c r="B196" s="34" t="str">
        <x:v>MI-0116</x:v>
      </x:c>
      <x:c r="C196" s="34" t="str">
        <x:v>P1</x:v>
      </x:c>
      <x:c r="D196" s="34" t="str">
        <x:v>M2 — تحصیل، مسیر شغلی و توانمندی حرفه‌ای</x:v>
      </x:c>
      <x:c r="E196" s="34" t="str">
        <x:v>H7</x:v>
      </x:c>
      <x:c r="F196" s="34" t="str">
        <x:v>داده، هوش مصنوعی، نرم‌افزار و اتوماسیون</x:v>
      </x:c>
      <x:c r="G196" s="39" t="str">
        <x:v>کنترل سیستم های هوشمند</x:v>
      </x:c>
      <x:c r="H196" s="39" t="str">
        <x:v>سه‌ماهه اول؛ فقط متصل به پروژه واقعی</x:v>
      </x:c>
      <x:c r="I196" s="39" t="n">
        <x:f>'01-همه آیتم‌ها'!$M$313</x:f>
        <x:v>0</x:v>
      </x:c>
      <x:c r="J196" s="39" t="e">
        <x:f>HYPERLINK("#'01-همه آیتم‌ها'!A313","باز کردن")</x:f>
        <x:v>HYPERLINK is not implemented. linkLocation=#'01-همه آیتم‌ها'!A313, friendlyName=باز کردن</x:v>
      </x:c>
    </x:row>
    <x:row r="197">
      <x:c r="A197" s="34" t="str">
        <x:f>'01-همه آیتم‌ها'!$A$314</x:f>
        <x:v>☐</x:v>
      </x:c>
      <x:c r="B197" s="34" t="str">
        <x:v>MI-0124</x:v>
      </x:c>
      <x:c r="C197" s="34" t="str">
        <x:v>P1</x:v>
      </x:c>
      <x:c r="D197" s="34" t="str">
        <x:v>M2 — تحصیل، مسیر شغلی و توانمندی حرفه‌ای</x:v>
      </x:c>
      <x:c r="E197" s="34" t="str">
        <x:v>H7</x:v>
      </x:c>
      <x:c r="F197" s="34" t="str">
        <x:v>داده، هوش مصنوعی، نرم‌افزار و اتوماسیون</x:v>
      </x:c>
      <x:c r="G197" s="39" t="str">
        <x:v>coreal video studio</x:v>
      </x:c>
      <x:c r="H197" s="39" t="str">
        <x:v>سه‌ماهه اول؛ فقط متصل به پروژه واقعی</x:v>
      </x:c>
      <x:c r="I197" s="39" t="n">
        <x:f>'01-همه آیتم‌ها'!$M$314</x:f>
        <x:v>0</x:v>
      </x:c>
      <x:c r="J197" s="39" t="e">
        <x:f>HYPERLINK("#'01-همه آیتم‌ها'!A314","باز کردن")</x:f>
        <x:v>HYPERLINK is not implemented. linkLocation=#'01-همه آیتم‌ها'!A314, friendlyName=باز کردن</x:v>
      </x:c>
    </x:row>
    <x:row r="198">
      <x:c r="A198" s="34" t="str">
        <x:f>'01-همه آیتم‌ها'!$A$315</x:f>
        <x:v>☐</x:v>
      </x:c>
      <x:c r="B198" s="34" t="str">
        <x:v>MI-0125</x:v>
      </x:c>
      <x:c r="C198" s="34" t="str">
        <x:v>P1</x:v>
      </x:c>
      <x:c r="D198" s="34" t="str">
        <x:v>M2 — تحصیل، مسیر شغلی و توانمندی حرفه‌ای</x:v>
      </x:c>
      <x:c r="E198" s="34" t="str">
        <x:v>H7</x:v>
      </x:c>
      <x:c r="F198" s="34" t="str">
        <x:v>داده، هوش مصنوعی، نرم‌افزار و اتوماسیون</x:v>
      </x:c>
      <x:c r="G198" s="39" t="str">
        <x:v>after effect</x:v>
      </x:c>
      <x:c r="H198" s="39" t="str">
        <x:v>سه‌ماهه اول؛ فقط متصل به پروژه واقعی</x:v>
      </x:c>
      <x:c r="I198" s="39" t="n">
        <x:f>'01-همه آیتم‌ها'!$M$315</x:f>
        <x:v>0</x:v>
      </x:c>
      <x:c r="J198" s="39" t="e">
        <x:f>HYPERLINK("#'01-همه آیتم‌ها'!A315","باز کردن")</x:f>
        <x:v>HYPERLINK is not implemented. linkLocation=#'01-همه آیتم‌ها'!A315, friendlyName=باز کردن</x:v>
      </x:c>
    </x:row>
    <x:row r="199">
      <x:c r="A199" s="34" t="str">
        <x:f>'01-همه آیتم‌ها'!$A$316</x:f>
        <x:v>☐</x:v>
      </x:c>
      <x:c r="B199" s="34" t="str">
        <x:v>MI-0128</x:v>
      </x:c>
      <x:c r="C199" s="34" t="str">
        <x:v>P1</x:v>
      </x:c>
      <x:c r="D199" s="34" t="str">
        <x:v>M2 — تحصیل، مسیر شغلی و توانمندی حرفه‌ای</x:v>
      </x:c>
      <x:c r="E199" s="34" t="str">
        <x:v>H7</x:v>
      </x:c>
      <x:c r="F199" s="34" t="str">
        <x:v>داده، هوش مصنوعی، نرم‌افزار و اتوماسیون</x:v>
      </x:c>
      <x:c r="G199" s="39" t="str">
        <x:v>yolo</x:v>
      </x:c>
      <x:c r="H199" s="39" t="str">
        <x:v>سه‌ماهه اول؛ فقط متصل به پروژه واقعی</x:v>
      </x:c>
      <x:c r="I199" s="39" t="n">
        <x:f>'01-همه آیتم‌ها'!$M$316</x:f>
        <x:v>0</x:v>
      </x:c>
      <x:c r="J199" s="39" t="e">
        <x:f>HYPERLINK("#'01-همه آیتم‌ها'!A316","باز کردن")</x:f>
        <x:v>HYPERLINK is not implemented. linkLocation=#'01-همه آیتم‌ها'!A316, friendlyName=باز کردن</x:v>
      </x:c>
    </x:row>
    <x:row r="200">
      <x:c r="A200" s="34" t="str">
        <x:f>'01-همه آیتم‌ها'!$A$317</x:f>
        <x:v>☐</x:v>
      </x:c>
      <x:c r="B200" s="34" t="str">
        <x:v>MI-0132</x:v>
      </x:c>
      <x:c r="C200" s="34" t="str">
        <x:v>P1</x:v>
      </x:c>
      <x:c r="D200" s="34" t="str">
        <x:v>M2 — تحصیل، مسیر شغلی و توانمندی حرفه‌ای</x:v>
      </x:c>
      <x:c r="E200" s="34" t="str">
        <x:v>H7</x:v>
      </x:c>
      <x:c r="F200" s="34" t="str">
        <x:v>داده، هوش مصنوعی، نرم‌افزار و اتوماسیون</x:v>
      </x:c>
      <x:c r="G200" s="39" t="str">
        <x:v>cvat</x:v>
      </x:c>
      <x:c r="H200" s="39" t="str">
        <x:v>سه‌ماهه اول؛ فقط متصل به پروژه واقعی</x:v>
      </x:c>
      <x:c r="I200" s="39" t="n">
        <x:f>'01-همه آیتم‌ها'!$M$317</x:f>
        <x:v>0</x:v>
      </x:c>
      <x:c r="J200" s="39" t="e">
        <x:f>HYPERLINK("#'01-همه آیتم‌ها'!A317","باز کردن")</x:f>
        <x:v>HYPERLINK is not implemented. linkLocation=#'01-همه آیتم‌ها'!A317, friendlyName=باز کردن</x:v>
      </x:c>
    </x:row>
    <x:row r="201">
      <x:c r="A201" s="34" t="str">
        <x:f>'01-همه آیتم‌ها'!$A$318</x:f>
        <x:v>☐</x:v>
      </x:c>
      <x:c r="B201" s="34" t="str">
        <x:v>MI-0133</x:v>
      </x:c>
      <x:c r="C201" s="34" t="str">
        <x:v>P1</x:v>
      </x:c>
      <x:c r="D201" s="34" t="str">
        <x:v>M2 — تحصیل، مسیر شغلی و توانمندی حرفه‌ای</x:v>
      </x:c>
      <x:c r="E201" s="34" t="str">
        <x:v>H7</x:v>
      </x:c>
      <x:c r="F201" s="34" t="str">
        <x:v>داده، هوش مصنوعی، نرم‌افزار و اتوماسیون</x:v>
      </x:c>
      <x:c r="G201" s="39" t="str">
        <x:v>jupyterlab</x:v>
      </x:c>
      <x:c r="H201" s="39" t="str">
        <x:v>سه‌ماهه اول؛ فقط متصل به پروژه واقعی</x:v>
      </x:c>
      <x:c r="I201" s="39" t="n">
        <x:f>'01-همه آیتم‌ها'!$M$318</x:f>
        <x:v>0</x:v>
      </x:c>
      <x:c r="J201" s="39" t="e">
        <x:f>HYPERLINK("#'01-همه آیتم‌ها'!A318","باز کردن")</x:f>
        <x:v>HYPERLINK is not implemented. linkLocation=#'01-همه آیتم‌ها'!A318, friendlyName=باز کردن</x:v>
      </x:c>
    </x:row>
    <x:row r="202">
      <x:c r="A202" s="34" t="str">
        <x:f>'01-همه آیتم‌ها'!$A$319</x:f>
        <x:v>☐</x:v>
      </x:c>
      <x:c r="B202" s="34" t="str">
        <x:v>MI-0140</x:v>
      </x:c>
      <x:c r="C202" s="34" t="str">
        <x:v>P1</x:v>
      </x:c>
      <x:c r="D202" s="34" t="str">
        <x:v>M2 — تحصیل، مسیر شغلی و توانمندی حرفه‌ای</x:v>
      </x:c>
      <x:c r="E202" s="34" t="str">
        <x:v>H7</x:v>
      </x:c>
      <x:c r="F202" s="34" t="str">
        <x:v>داده، هوش مصنوعی، نرم‌افزار و اتوماسیون</x:v>
      </x:c>
      <x:c r="G202" s="39" t="str">
        <x:v>انریل انجین</x:v>
      </x:c>
      <x:c r="H202" s="39" t="str">
        <x:v>سه‌ماهه اول؛ فقط متصل به پروژه واقعی</x:v>
      </x:c>
      <x:c r="I202" s="39" t="n">
        <x:f>'01-همه آیتم‌ها'!$M$319</x:f>
        <x:v>0</x:v>
      </x:c>
      <x:c r="J202" s="39" t="e">
        <x:f>HYPERLINK("#'01-همه آیتم‌ها'!A319","باز کردن")</x:f>
        <x:v>HYPERLINK is not implemented. linkLocation=#'01-همه آیتم‌ها'!A319, friendlyName=باز کردن</x:v>
      </x:c>
    </x:row>
    <x:row r="203">
      <x:c r="A203" s="34" t="str">
        <x:f>'01-همه آیتم‌ها'!$A$320</x:f>
        <x:v>☐</x:v>
      </x:c>
      <x:c r="B203" s="34" t="str">
        <x:v>MI-0144</x:v>
      </x:c>
      <x:c r="C203" s="34" t="str">
        <x:v>P1</x:v>
      </x:c>
      <x:c r="D203" s="34" t="str">
        <x:v>M2 — تحصیل، مسیر شغلی و توانمندی حرفه‌ای</x:v>
      </x:c>
      <x:c r="E203" s="34" t="str">
        <x:v>H7</x:v>
      </x:c>
      <x:c r="F203" s="34" t="str">
        <x:v>داده، هوش مصنوعی، نرم‌افزار و اتوماسیون</x:v>
      </x:c>
      <x:c r="G203" s="39" t="str">
        <x:v>gambit</x:v>
      </x:c>
      <x:c r="H203" s="39" t="str">
        <x:v>سه‌ماهه اول؛ فقط متصل به پروژه واقعی</x:v>
      </x:c>
      <x:c r="I203" s="39" t="n">
        <x:f>'01-همه آیتم‌ها'!$M$320</x:f>
        <x:v>0</x:v>
      </x:c>
      <x:c r="J203" s="39" t="e">
        <x:f>HYPERLINK("#'01-همه آیتم‌ها'!A320","باز کردن")</x:f>
        <x:v>HYPERLINK is not implemented. linkLocation=#'01-همه آیتم‌ها'!A320, friendlyName=باز کردن</x:v>
      </x:c>
    </x:row>
    <x:row r="204">
      <x:c r="A204" s="34" t="str">
        <x:f>'01-همه آیتم‌ها'!$A$321</x:f>
        <x:v>☐</x:v>
      </x:c>
      <x:c r="B204" s="34" t="str">
        <x:v>MI-0147</x:v>
      </x:c>
      <x:c r="C204" s="34" t="str">
        <x:v>P1</x:v>
      </x:c>
      <x:c r="D204" s="34" t="str">
        <x:v>M2 — تحصیل، مسیر شغلی و توانمندی حرفه‌ای</x:v>
      </x:c>
      <x:c r="E204" s="34" t="str">
        <x:v>H7</x:v>
      </x:c>
      <x:c r="F204" s="34" t="str">
        <x:v>داده، هوش مصنوعی، نرم‌افزار و اتوماسیون</x:v>
      </x:c>
      <x:c r="G204" s="39" t="str">
        <x:v>CNN</x:v>
      </x:c>
      <x:c r="H204" s="39" t="str">
        <x:v>سه‌ماهه اول؛ فقط متصل به پروژه واقعی</x:v>
      </x:c>
      <x:c r="I204" s="39" t="n">
        <x:f>'01-همه آیتم‌ها'!$M$321</x:f>
        <x:v>0</x:v>
      </x:c>
      <x:c r="J204" s="39" t="e">
        <x:f>HYPERLINK("#'01-همه آیتم‌ها'!A321","باز کردن")</x:f>
        <x:v>HYPERLINK is not implemented. linkLocation=#'01-همه آیتم‌ها'!A321, friendlyName=باز کردن</x:v>
      </x:c>
    </x:row>
    <x:row r="205">
      <x:c r="A205" s="34" t="str">
        <x:f>'01-همه آیتم‌ها'!$A$322</x:f>
        <x:v>☐</x:v>
      </x:c>
      <x:c r="B205" s="34" t="str">
        <x:v>MI-0158</x:v>
      </x:c>
      <x:c r="C205" s="34" t="str">
        <x:v>P1</x:v>
      </x:c>
      <x:c r="D205" s="34" t="str">
        <x:v>M2 — تحصیل، مسیر شغلی و توانمندی حرفه‌ای</x:v>
      </x:c>
      <x:c r="E205" s="34" t="str">
        <x:v>H7</x:v>
      </x:c>
      <x:c r="F205" s="34" t="str">
        <x:v>داده، هوش مصنوعی، نرم‌افزار و اتوماسیون</x:v>
      </x:c>
      <x:c r="G205" s="39" t="str">
        <x:v>GWT</x:v>
      </x:c>
      <x:c r="H205" s="39" t="str">
        <x:v>سه‌ماهه اول؛ فقط متصل به پروژه واقعی</x:v>
      </x:c>
      <x:c r="I205" s="39" t="n">
        <x:f>'01-همه آیتم‌ها'!$M$322</x:f>
        <x:v>0</x:v>
      </x:c>
      <x:c r="J205" s="39" t="e">
        <x:f>HYPERLINK("#'01-همه آیتم‌ها'!A322","باز کردن")</x:f>
        <x:v>HYPERLINK is not implemented. linkLocation=#'01-همه آیتم‌ها'!A322, friendlyName=باز کردن</x:v>
      </x:c>
    </x:row>
    <x:row r="206">
      <x:c r="A206" s="34" t="str">
        <x:f>'01-همه آیتم‌ها'!$A$323</x:f>
        <x:v>☐</x:v>
      </x:c>
      <x:c r="B206" s="34" t="str">
        <x:v>MI-0159</x:v>
      </x:c>
      <x:c r="C206" s="34" t="str">
        <x:v>P1</x:v>
      </x:c>
      <x:c r="D206" s="34" t="str">
        <x:v>M2 — تحصیل، مسیر شغلی و توانمندی حرفه‌ای</x:v>
      </x:c>
      <x:c r="E206" s="34" t="str">
        <x:v>H7</x:v>
      </x:c>
      <x:c r="F206" s="34" t="str">
        <x:v>داده، هوش مصنوعی، نرم‌افزار و اتوماسیون</x:v>
      </x:c>
      <x:c r="G206" s="39" t="str">
        <x:v>MVC</x:v>
      </x:c>
      <x:c r="H206" s="39" t="str">
        <x:v>سه‌ماهه اول؛ فقط متصل به پروژه واقعی</x:v>
      </x:c>
      <x:c r="I206" s="39" t="n">
        <x:f>'01-همه آیتم‌ها'!$M$323</x:f>
        <x:v>0</x:v>
      </x:c>
      <x:c r="J206" s="39" t="e">
        <x:f>HYPERLINK("#'01-همه آیتم‌ها'!A323","باز کردن")</x:f>
        <x:v>HYPERLINK is not implemented. linkLocation=#'01-همه آیتم‌ها'!A323, friendlyName=باز کردن</x:v>
      </x:c>
    </x:row>
    <x:row r="207">
      <x:c r="A207" s="34" t="str">
        <x:f>'01-همه آیتم‌ها'!$A$324</x:f>
        <x:v>☐</x:v>
      </x:c>
      <x:c r="B207" s="34" t="str">
        <x:v>MI-0160</x:v>
      </x:c>
      <x:c r="C207" s="34" t="str">
        <x:v>P1</x:v>
      </x:c>
      <x:c r="D207" s="34" t="str">
        <x:v>M2 — تحصیل، مسیر شغلی و توانمندی حرفه‌ای</x:v>
      </x:c>
      <x:c r="E207" s="34" t="str">
        <x:v>H7</x:v>
      </x:c>
      <x:c r="F207" s="34" t="str">
        <x:v>داده، هوش مصنوعی، نرم‌افزار و اتوماسیون</x:v>
      </x:c>
      <x:c r="G207" s="39" t="str">
        <x:v>ASP LIFE CYCLE</x:v>
      </x:c>
      <x:c r="H207" s="39" t="str">
        <x:v>سه‌ماهه اول؛ فقط متصل به پروژه واقعی</x:v>
      </x:c>
      <x:c r="I207" s="39" t="n">
        <x:f>'01-همه آیتم‌ها'!$M$324</x:f>
        <x:v>0</x:v>
      </x:c>
      <x:c r="J207" s="39" t="e">
        <x:f>HYPERLINK("#'01-همه آیتم‌ها'!A324","باز کردن")</x:f>
        <x:v>HYPERLINK is not implemented. linkLocation=#'01-همه آیتم‌ها'!A324, friendlyName=باز کردن</x:v>
      </x:c>
    </x:row>
    <x:row r="208">
      <x:c r="A208" s="34" t="str">
        <x:f>'01-همه آیتم‌ها'!$A$325</x:f>
        <x:v>☐</x:v>
      </x:c>
      <x:c r="B208" s="34" t="str">
        <x:v>MI-0169</x:v>
      </x:c>
      <x:c r="C208" s="34" t="str">
        <x:v>P1</x:v>
      </x:c>
      <x:c r="D208" s="34" t="str">
        <x:v>M2 — تحصیل، مسیر شغلی و توانمندی حرفه‌ای</x:v>
      </x:c>
      <x:c r="E208" s="34" t="str">
        <x:v>H7</x:v>
      </x:c>
      <x:c r="F208" s="34" t="str">
        <x:v>داده، هوش مصنوعی، نرم‌افزار و اتوماسیون</x:v>
      </x:c>
      <x:c r="G208" s="39" t="str">
        <x:v>ARDUINU</x:v>
      </x:c>
      <x:c r="H208" s="39" t="str">
        <x:v>سه‌ماهه اول؛ فقط متصل به پروژه واقعی</x:v>
      </x:c>
      <x:c r="I208" s="39" t="n">
        <x:f>'01-همه آیتم‌ها'!$M$325</x:f>
        <x:v>0</x:v>
      </x:c>
      <x:c r="J208" s="39" t="e">
        <x:f>HYPERLINK("#'01-همه آیتم‌ها'!A325","باز کردن")</x:f>
        <x:v>HYPERLINK is not implemented. linkLocation=#'01-همه آیتم‌ها'!A325, friendlyName=باز کردن</x:v>
      </x:c>
    </x:row>
    <x:row r="209">
      <x:c r="A209" s="34" t="str">
        <x:f>'01-همه آیتم‌ها'!$A$326</x:f>
        <x:v>☐</x:v>
      </x:c>
      <x:c r="B209" s="34" t="str">
        <x:v>MI-0170</x:v>
      </x:c>
      <x:c r="C209" s="34" t="str">
        <x:v>P1</x:v>
      </x:c>
      <x:c r="D209" s="34" t="str">
        <x:v>M2 — تحصیل، مسیر شغلی و توانمندی حرفه‌ای</x:v>
      </x:c>
      <x:c r="E209" s="34" t="str">
        <x:v>H7</x:v>
      </x:c>
      <x:c r="F209" s="34" t="str">
        <x:v>داده، هوش مصنوعی، نرم‌افزار و اتوماسیون</x:v>
      </x:c>
      <x:c r="G209" s="39" t="str">
        <x:v>PROTEUS</x:v>
      </x:c>
      <x:c r="H209" s="39" t="str">
        <x:v>سه‌ماهه اول؛ فقط متصل به پروژه واقعی</x:v>
      </x:c>
      <x:c r="I209" s="39" t="n">
        <x:f>'01-همه آیتم‌ها'!$M$326</x:f>
        <x:v>0</x:v>
      </x:c>
      <x:c r="J209" s="39" t="e">
        <x:f>HYPERLINK("#'01-همه آیتم‌ها'!A326","باز کردن")</x:f>
        <x:v>HYPERLINK is not implemented. linkLocation=#'01-همه آیتم‌ها'!A326, friendlyName=باز کردن</x:v>
      </x:c>
    </x:row>
    <x:row r="210">
      <x:c r="A210" s="34" t="str">
        <x:f>'01-همه آیتم‌ها'!$A$301</x:f>
        <x:v>☐</x:v>
      </x:c>
      <x:c r="B210" s="34" t="str">
        <x:v>MI-0172</x:v>
      </x:c>
      <x:c r="C210" s="34" t="str">
        <x:v>P1</x:v>
      </x:c>
      <x:c r="D210" s="34" t="str">
        <x:v>M2 — تحصیل، مسیر شغلی و توانمندی حرفه‌ای</x:v>
      </x:c>
      <x:c r="E210" s="34" t="str">
        <x:v>H7</x:v>
      </x:c>
      <x:c r="F210" s="34" t="str">
        <x:v>داده، هوش مصنوعی، نرم‌افزار و اتوماسیون</x:v>
      </x:c>
      <x:c r="G210" s="39" t="str">
        <x:v>تایپ سریع</x:v>
      </x:c>
      <x:c r="H210" s="39" t="str">
        <x:v>سه‌ماهه اول؛ فقط متصل به پروژه واقعی</x:v>
      </x:c>
      <x:c r="I210" s="39" t="n">
        <x:f>'01-همه آیتم‌ها'!$M$301</x:f>
        <x:v>0</x:v>
      </x:c>
      <x:c r="J210" s="39" t="e">
        <x:f>HYPERLINK("#'01-همه آیتم‌ها'!A301","باز کردن")</x:f>
        <x:v>HYPERLINK is not implemented. linkLocation=#'01-همه آیتم‌ها'!A301, friendlyName=باز کردن</x:v>
      </x:c>
    </x:row>
    <x:row r="211">
      <x:c r="A211" s="34" t="str">
        <x:f>'01-همه آیتم‌ها'!$A$327</x:f>
        <x:v>☐</x:v>
      </x:c>
      <x:c r="B211" s="34" t="str">
        <x:v>MI-0181</x:v>
      </x:c>
      <x:c r="C211" s="34" t="str">
        <x:v>P1</x:v>
      </x:c>
      <x:c r="D211" s="34" t="str">
        <x:v>M2 — تحصیل، مسیر شغلی و توانمندی حرفه‌ای</x:v>
      </x:c>
      <x:c r="E211" s="34" t="str">
        <x:v>H7</x:v>
      </x:c>
      <x:c r="F211" s="34" t="str">
        <x:v>داده، هوش مصنوعی، نرم‌افزار و اتوماسیون</x:v>
      </x:c>
      <x:c r="G211" s="39" t="str">
        <x:v>SLAM</x:v>
      </x:c>
      <x:c r="H211" s="39" t="str">
        <x:v>سه‌ماهه اول؛ فقط متصل به پروژه واقعی</x:v>
      </x:c>
      <x:c r="I211" s="39" t="n">
        <x:f>'01-همه آیتم‌ها'!$M$327</x:f>
        <x:v>0</x:v>
      </x:c>
      <x:c r="J211" s="39" t="e">
        <x:f>HYPERLINK("#'01-همه آیتم‌ها'!A327","باز کردن")</x:f>
        <x:v>HYPERLINK is not implemented. linkLocation=#'01-همه آیتم‌ها'!A327, friendlyName=باز کردن</x:v>
      </x:c>
    </x:row>
    <x:row r="212">
      <x:c r="A212" s="34" t="str">
        <x:f>'01-همه آیتم‌ها'!$A$302</x:f>
        <x:v>☐</x:v>
      </x:c>
      <x:c r="B212" s="34" t="str">
        <x:v>MI-0189</x:v>
      </x:c>
      <x:c r="C212" s="34" t="str">
        <x:v>P1</x:v>
      </x:c>
      <x:c r="D212" s="34" t="str">
        <x:v>M2 — تحصیل، مسیر شغلی و توانمندی حرفه‌ای</x:v>
      </x:c>
      <x:c r="E212" s="34" t="str">
        <x:v>H7</x:v>
      </x:c>
      <x:c r="F212" s="34" t="str">
        <x:v>داده، هوش مصنوعی، نرم‌افزار و اتوماسیون</x:v>
      </x:c>
      <x:c r="G212" s="39" t="str">
        <x:v>POWER BI</x:v>
      </x:c>
      <x:c r="H212" s="39" t="str">
        <x:v>سه‌ماهه اول؛ فقط متصل به پروژه واقعی</x:v>
      </x:c>
      <x:c r="I212" s="39" t="n">
        <x:f>'01-همه آیتم‌ها'!$M$302</x:f>
        <x:v>0</x:v>
      </x:c>
      <x:c r="J212" s="39" t="e">
        <x:f>HYPERLINK("#'01-همه آیتم‌ها'!A302","باز کردن")</x:f>
        <x:v>HYPERLINK is not implemented. linkLocation=#'01-همه آیتم‌ها'!A302, friendlyName=باز کردن</x:v>
      </x:c>
    </x:row>
    <x:row r="213">
      <x:c r="A213" s="34" t="str">
        <x:f>'01-همه آیتم‌ها'!$A$328</x:f>
        <x:v>☐</x:v>
      </x:c>
      <x:c r="B213" s="34" t="str">
        <x:v>MI-0207</x:v>
      </x:c>
      <x:c r="C213" s="34" t="str">
        <x:v>P1</x:v>
      </x:c>
      <x:c r="D213" s="34" t="str">
        <x:v>M2 — تحصیل، مسیر شغلی و توانمندی حرفه‌ای</x:v>
      </x:c>
      <x:c r="E213" s="34" t="str">
        <x:v>H7</x:v>
      </x:c>
      <x:c r="F213" s="34" t="str">
        <x:v>داده، هوش مصنوعی، نرم‌افزار و اتوماسیون</x:v>
      </x:c>
      <x:c r="G213" s="39" t="str">
        <x:v>تحلیل داده و BI</x:v>
      </x:c>
      <x:c r="H213" s="39" t="str">
        <x:v>سه‌ماهه اول؛ فقط متصل به پروژه واقعی</x:v>
      </x:c>
      <x:c r="I213" s="39" t="n">
        <x:f>'01-همه آیتم‌ها'!$M$328</x:f>
        <x:v>0</x:v>
      </x:c>
      <x:c r="J213" s="39" t="e">
        <x:f>HYPERLINK("#'01-همه آیتم‌ها'!A328","باز کردن")</x:f>
        <x:v>HYPERLINK is not implemented. linkLocation=#'01-همه آیتم‌ها'!A328, friendlyName=باز کردن</x:v>
      </x:c>
    </x:row>
    <x:row r="214">
      <x:c r="A214" s="34" t="str">
        <x:f>'01-همه آیتم‌ها'!$A$329</x:f>
        <x:v>☐</x:v>
      </x:c>
      <x:c r="B214" s="34" t="str">
        <x:v>MI-0218</x:v>
      </x:c>
      <x:c r="C214" s="34" t="str">
        <x:v>P1</x:v>
      </x:c>
      <x:c r="D214" s="34" t="str">
        <x:v>M2 — تحصیل، مسیر شغلی و توانمندی حرفه‌ای</x:v>
      </x:c>
      <x:c r="E214" s="34" t="str">
        <x:v>H7</x:v>
      </x:c>
      <x:c r="F214" s="34" t="str">
        <x:v>داده، هوش مصنوعی، نرم‌افزار و اتوماسیون</x:v>
      </x:c>
      <x:c r="G214" s="39" t="str">
        <x:v>طراحی وب و وردپرس</x:v>
      </x:c>
      <x:c r="H214" s="39" t="str">
        <x:v>سه‌ماهه اول؛ فقط متصل به پروژه واقعی</x:v>
      </x:c>
      <x:c r="I214" s="39" t="n">
        <x:f>'01-همه آیتم‌ها'!$M$329</x:f>
        <x:v>0</x:v>
      </x:c>
      <x:c r="J214" s="39" t="e">
        <x:f>HYPERLINK("#'01-همه آیتم‌ها'!A329","باز کردن")</x:f>
        <x:v>HYPERLINK is not implemented. linkLocation=#'01-همه آیتم‌ها'!A329, friendlyName=باز کردن</x:v>
      </x:c>
    </x:row>
    <x:row r="215">
      <x:c r="A215" s="34" t="str">
        <x:f>'01-همه آیتم‌ها'!$A$330</x:f>
        <x:v>☐</x:v>
      </x:c>
      <x:c r="B215" s="34" t="str">
        <x:v>MI-0608</x:v>
      </x:c>
      <x:c r="C215" s="34" t="str">
        <x:v>P1</x:v>
      </x:c>
      <x:c r="D215" s="34" t="str">
        <x:v>M2 — تحصیل، مسیر شغلی و توانمندی حرفه‌ای</x:v>
      </x:c>
      <x:c r="E215" s="34" t="str">
        <x:v>H7</x:v>
      </x:c>
      <x:c r="F215" s="34" t="str">
        <x:v>داده، هوش مصنوعی، نرم‌افزار و اتوماسیون</x:v>
      </x:c>
      <x:c r="G215" s="39" t="str">
        <x:v>رباتیک</x:v>
      </x:c>
      <x:c r="H215" s="39" t="str">
        <x:v>سه‌ماهه اول؛ فقط متصل به پروژه واقعی</x:v>
      </x:c>
      <x:c r="I215" s="39" t="n">
        <x:f>'01-همه آیتم‌ها'!$M$330</x:f>
        <x:v>0</x:v>
      </x:c>
      <x:c r="J215" s="39" t="e">
        <x:f>HYPERLINK("#'01-همه آیتم‌ها'!A330","باز کردن")</x:f>
        <x:v>HYPERLINK is not implemented. linkLocation=#'01-همه آیتم‌ها'!A330, friendlyName=باز کردن</x:v>
      </x:c>
    </x:row>
    <x:row r="216">
      <x:c r="A216" s="34" t="str">
        <x:f>'01-همه آیتم‌ها'!$A$303</x:f>
        <x:v>☐</x:v>
      </x:c>
      <x:c r="B216" s="34" t="str">
        <x:v>MI-1481</x:v>
      </x:c>
      <x:c r="C216" s="34" t="str">
        <x:v>P1</x:v>
      </x:c>
      <x:c r="D216" s="34" t="str">
        <x:v>M2 — تحصیل، مسیر شغلی و توانمندی حرفه‌ای</x:v>
      </x:c>
      <x:c r="E216" s="34" t="str">
        <x:v>H7</x:v>
      </x:c>
      <x:c r="F216" s="34" t="str">
        <x:v>داده، هوش مصنوعی، نرم‌افزار و اتوماسیون</x:v>
      </x:c>
      <x:c r="G216" s="39" t="str">
        <x:v>After Effects</x:v>
      </x:c>
      <x:c r="H216" s="39" t="str">
        <x:v>سه‌ماهه اول؛ فقط متصل به پروژه واقعی</x:v>
      </x:c>
      <x:c r="I216" s="39" t="n">
        <x:f>'01-همه آیتم‌ها'!$M$303</x:f>
        <x:v>0</x:v>
      </x:c>
      <x:c r="J216" s="39" t="e">
        <x:f>HYPERLINK("#'01-همه آیتم‌ها'!A303","باز کردن")</x:f>
        <x:v>HYPERLINK is not implemented. linkLocation=#'01-همه آیتم‌ها'!A303, friendlyName=باز کردن</x:v>
      </x:c>
    </x:row>
    <x:row r="217">
      <x:c r="A217" s="34" t="str">
        <x:f>'01-همه آیتم‌ها'!$A$304</x:f>
        <x:v>☐</x:v>
      </x:c>
      <x:c r="B217" s="34" t="str">
        <x:v>MI-1483</x:v>
      </x:c>
      <x:c r="C217" s="34" t="str">
        <x:v>P1</x:v>
      </x:c>
      <x:c r="D217" s="34" t="str">
        <x:v>M2 — تحصیل، مسیر شغلی و توانمندی حرفه‌ای</x:v>
      </x:c>
      <x:c r="E217" s="34" t="str">
        <x:v>H7</x:v>
      </x:c>
      <x:c r="F217" s="34" t="str">
        <x:v>داده، هوش مصنوعی، نرم‌افزار و اتوماسیون</x:v>
      </x:c>
      <x:c r="G217" s="39" t="str">
        <x:v>Python (NLP)</x:v>
      </x:c>
      <x:c r="H217" s="39" t="str">
        <x:v>سه‌ماهه اول؛ فقط متصل به پروژه واقعی</x:v>
      </x:c>
      <x:c r="I217" s="39" t="n">
        <x:f>'01-همه آیتم‌ها'!$M$304</x:f>
        <x:v>0</x:v>
      </x:c>
      <x:c r="J217" s="39" t="e">
        <x:f>HYPERLINK("#'01-همه آیتم‌ها'!A304","باز کردن")</x:f>
        <x:v>HYPERLINK is not implemented. linkLocation=#'01-همه آیتم‌ها'!A304, friendlyName=باز کردن</x:v>
      </x:c>
    </x:row>
    <x:row r="218">
      <x:c r="A218" s="34" t="str">
        <x:f>'01-همه آیتم‌ها'!$A$305</x:f>
        <x:v>☐</x:v>
      </x:c>
      <x:c r="B218" s="34" t="str">
        <x:v>MI-1486</x:v>
      </x:c>
      <x:c r="C218" s="34" t="str">
        <x:v>P1</x:v>
      </x:c>
      <x:c r="D218" s="34" t="str">
        <x:v>M2 — تحصیل، مسیر شغلی و توانمندی حرفه‌ای</x:v>
      </x:c>
      <x:c r="E218" s="34" t="str">
        <x:v>H7</x:v>
      </x:c>
      <x:c r="F218" s="34" t="str">
        <x:v>داده، هوش مصنوعی، نرم‌افزار و اتوماسیون</x:v>
      </x:c>
      <x:c r="G218" s="39" t="str">
        <x:v>تحلیل داده:</x:v>
      </x:c>
      <x:c r="H218" s="39" t="str">
        <x:v>سه‌ماهه اول؛ فقط متصل به پروژه واقعی</x:v>
      </x:c>
      <x:c r="I218" s="39" t="n">
        <x:f>'01-همه آیتم‌ها'!$M$305</x:f>
        <x:v>0</x:v>
      </x:c>
      <x:c r="J218" s="39" t="e">
        <x:f>HYPERLINK("#'01-همه آیتم‌ها'!A305","باز کردن")</x:f>
        <x:v>HYPERLINK is not implemented. linkLocation=#'01-همه آیتم‌ها'!A305, friendlyName=باز کردن</x:v>
      </x:c>
    </x:row>
    <x:row r="219">
      <x:c r="A219" s="34" t="str">
        <x:f>'01-همه آیتم‌ها'!$A$306</x:f>
        <x:v>☐</x:v>
      </x:c>
      <x:c r="B219" s="34" t="str">
        <x:v>MI-1487</x:v>
      </x:c>
      <x:c r="C219" s="34" t="str">
        <x:v>P1</x:v>
      </x:c>
      <x:c r="D219" s="34" t="str">
        <x:v>M2 — تحصیل، مسیر شغلی و توانمندی حرفه‌ای</x:v>
      </x:c>
      <x:c r="E219" s="34" t="str">
        <x:v>H7</x:v>
      </x:c>
      <x:c r="F219" s="34" t="str">
        <x:v>داده، هوش مصنوعی، نرم‌افزار و اتوماسیون</x:v>
      </x:c>
      <x:c r="G219" s="39" t="str">
        <x:v>Google Trends</x:v>
      </x:c>
      <x:c r="H219" s="39" t="str">
        <x:v>سه‌ماهه اول؛ فقط متصل به پروژه واقعی</x:v>
      </x:c>
      <x:c r="I219" s="39" t="n">
        <x:f>'01-همه آیتم‌ها'!$M$306</x:f>
        <x:v>0</x:v>
      </x:c>
      <x:c r="J219" s="39" t="e">
        <x:f>HYPERLINK("#'01-همه آیتم‌ها'!A306","باز کردن")</x:f>
        <x:v>HYPERLINK is not implemented. linkLocation=#'01-همه آیتم‌ها'!A306, friendlyName=باز کردن</x:v>
      </x:c>
    </x:row>
    <x:row r="220">
      <x:c r="A220" s="34" t="str">
        <x:f>'01-همه آیتم‌ها'!$A$307</x:f>
        <x:v>☐</x:v>
      </x:c>
      <x:c r="B220" s="34" t="str">
        <x:v>MI-1488</x:v>
      </x:c>
      <x:c r="C220" s="34" t="str">
        <x:v>P1</x:v>
      </x:c>
      <x:c r="D220" s="34" t="str">
        <x:v>M2 — تحصیل، مسیر شغلی و توانمندی حرفه‌ای</x:v>
      </x:c>
      <x:c r="E220" s="34" t="str">
        <x:v>H7</x:v>
      </x:c>
      <x:c r="F220" s="34" t="str">
        <x:v>داده، هوش مصنوعی، نرم‌افزار و اتوماسیون</x:v>
      </x:c>
      <x:c r="G220" s="39" t="str">
        <x:v>Google Search Console</x:v>
      </x:c>
      <x:c r="H220" s="39" t="str">
        <x:v>سه‌ماهه اول؛ فقط متصل به پروژه واقعی</x:v>
      </x:c>
      <x:c r="I220" s="39" t="n">
        <x:f>'01-همه آیتم‌ها'!$M$307</x:f>
        <x:v>0</x:v>
      </x:c>
      <x:c r="J220" s="39" t="e">
        <x:f>HYPERLINK("#'01-همه آیتم‌ها'!A307","باز کردن")</x:f>
        <x:v>HYPERLINK is not implemented. linkLocation=#'01-همه آیتم‌ها'!A307, friendlyName=باز کردن</x:v>
      </x:c>
    </x:row>
    <x:row r="221">
      <x:c r="A221" s="34" t="str">
        <x:f>'01-همه آیتم‌ها'!$A$308</x:f>
        <x:v>☐</x:v>
      </x:c>
      <x:c r="B221" s="34" t="str">
        <x:v>MI-1489</x:v>
      </x:c>
      <x:c r="C221" s="34" t="str">
        <x:v>P1</x:v>
      </x:c>
      <x:c r="D221" s="34" t="str">
        <x:v>M2 — تحصیل، مسیر شغلی و توانمندی حرفه‌ای</x:v>
      </x:c>
      <x:c r="E221" s="34" t="str">
        <x:v>H7</x:v>
      </x:c>
      <x:c r="F221" s="34" t="str">
        <x:v>داده، هوش مصنوعی، نرم‌افزار و اتوماسیون</x:v>
      </x:c>
      <x:c r="G221" s="39" t="str">
        <x:v>Google Analytics</x:v>
      </x:c>
      <x:c r="H221" s="39" t="str">
        <x:v>سه‌ماهه اول؛ فقط متصل به پروژه واقعی</x:v>
      </x:c>
      <x:c r="I221" s="39" t="n">
        <x:f>'01-همه آیتم‌ها'!$M$308</x:f>
        <x:v>0</x:v>
      </x:c>
      <x:c r="J221" s="39" t="e">
        <x:f>HYPERLINK("#'01-همه آیتم‌ها'!A308","باز کردن")</x:f>
        <x:v>HYPERLINK is not implemented. linkLocation=#'01-همه آیتم‌ها'!A308, friendlyName=باز کردن</x:v>
      </x:c>
    </x:row>
    <x:row r="222">
      <x:c r="A222" s="34" t="str">
        <x:f>'01-همه آیتم‌ها'!$A$331</x:f>
        <x:v>☐</x:v>
      </x:c>
      <x:c r="B222" s="34" t="str">
        <x:v>MI-2116</x:v>
      </x:c>
      <x:c r="C222" s="34" t="str">
        <x:v>P1</x:v>
      </x:c>
      <x:c r="D222" s="34" t="str">
        <x:v>M2 — تحصیل، مسیر شغلی و توانمندی حرفه‌ای</x:v>
      </x:c>
      <x:c r="E222" s="34" t="str">
        <x:v>H7</x:v>
      </x:c>
      <x:c r="F222" s="34" t="str">
        <x:v>داده، هوش مصنوعی، نرم‌افزار و اتوماسیون</x:v>
      </x:c>
      <x:c r="G222" s="39" t="str">
        <x:v>جامعه AI</x:v>
      </x:c>
      <x:c r="H222" s="39" t="str">
        <x:v>سه‌ماهه اول؛ فقط متصل به پروژه واقعی</x:v>
      </x:c>
      <x:c r="I222" s="39" t="n">
        <x:f>'01-همه آیتم‌ها'!$M$331</x:f>
        <x:v>0</x:v>
      </x:c>
      <x:c r="J222" s="39" t="e">
        <x:f>HYPERLINK("#'01-همه آیتم‌ها'!A331","باز کردن")</x:f>
        <x:v>HYPERLINK is not implemented. linkLocation=#'01-همه آیتم‌ها'!A331, friendlyName=باز کردن</x:v>
      </x:c>
    </x:row>
    <x:row r="223">
      <x:c r="A223" s="34" t="str">
        <x:f>'01-همه آیتم‌ها'!$A$332</x:f>
        <x:v>☐</x:v>
      </x:c>
      <x:c r="B223" s="34" t="str">
        <x:v>MI-2263</x:v>
      </x:c>
      <x:c r="C223" s="34" t="str">
        <x:v>P1</x:v>
      </x:c>
      <x:c r="D223" s="34" t="str">
        <x:v>M2 — تحصیل، مسیر شغلی و توانمندی حرفه‌ای</x:v>
      </x:c>
      <x:c r="E223" s="34" t="str">
        <x:v>H7</x:v>
      </x:c>
      <x:c r="F223" s="34" t="str">
        <x:v>داده، هوش مصنوعی، نرم‌افزار و اتوماسیون</x:v>
      </x:c>
      <x:c r="G223" s="39" t="str">
        <x:v>AI</x:v>
      </x:c>
      <x:c r="H223" s="39" t="str">
        <x:v>سه‌ماهه اول؛ فقط متصل به پروژه واقعی</x:v>
      </x:c>
      <x:c r="I223" s="39" t="n">
        <x:f>'01-همه آیتم‌ها'!$M$332</x:f>
        <x:v>0</x:v>
      </x:c>
      <x:c r="J223" s="39" t="e">
        <x:f>HYPERLINK("#'01-همه آیتم‌ها'!A332","باز کردن")</x:f>
        <x:v>HYPERLINK is not implemented. linkLocation=#'01-همه آیتم‌ها'!A332, friendlyName=باز کردن</x:v>
      </x:c>
    </x:row>
    <x:row r="224">
      <x:c r="A224" s="34" t="str">
        <x:f>'01-همه آیتم‌ها'!$A$333</x:f>
        <x:v>☐</x:v>
      </x:c>
      <x:c r="B224" s="34" t="str">
        <x:v>MI-2652</x:v>
      </x:c>
      <x:c r="C224" s="34" t="str">
        <x:v>P1</x:v>
      </x:c>
      <x:c r="D224" s="34" t="str">
        <x:v>M2 — تحصیل، مسیر شغلی و توانمندی حرفه‌ای</x:v>
      </x:c>
      <x:c r="E224" s="34" t="str">
        <x:v>H7</x:v>
      </x:c>
      <x:c r="F224" s="34" t="str">
        <x:v>داده، هوش مصنوعی، نرم‌افزار و اتوماسیون</x:v>
      </x:c>
      <x:c r="G224" s="39" t="str">
        <x:v>هوش مصنوعی</x:v>
      </x:c>
      <x:c r="H224" s="39" t="str">
        <x:v>سه‌ماهه اول؛ فقط متصل به پروژه واقعی</x:v>
      </x:c>
      <x:c r="I224" s="39" t="n">
        <x:f>'01-همه آیتم‌ها'!$M$333</x:f>
        <x:v>0</x:v>
      </x:c>
      <x:c r="J224" s="39" t="e">
        <x:f>HYPERLINK("#'01-همه آیتم‌ها'!A333","باز کردن")</x:f>
        <x:v>HYPERLINK is not implemented. linkLocation=#'01-همه آیتم‌ها'!A333, friendlyName=باز کردن</x:v>
      </x:c>
    </x:row>
    <x:row r="225">
      <x:c r="A225" s="34" t="str">
        <x:f>'01-همه آیتم‌ها'!$A$334</x:f>
        <x:v>☐</x:v>
      </x:c>
      <x:c r="B225" s="34" t="str">
        <x:v>MI-3009</x:v>
      </x:c>
      <x:c r="C225" s="34" t="str">
        <x:v>P1</x:v>
      </x:c>
      <x:c r="D225" s="34" t="str">
        <x:v>M2 — تحصیل، مسیر شغلی و توانمندی حرفه‌ای</x:v>
      </x:c>
      <x:c r="E225" s="34" t="str">
        <x:v>H7</x:v>
      </x:c>
      <x:c r="F225" s="34" t="str">
        <x:v>داده، هوش مصنوعی، نرم‌افزار و اتوماسیون</x:v>
      </x:c>
      <x:c r="G225" s="39" t="str">
        <x:v>Training Programs</x:v>
      </x:c>
      <x:c r="H225" s="39" t="str">
        <x:v>سه‌ماهه اول؛ فقط متصل به پروژه واقعی</x:v>
      </x:c>
      <x:c r="I225" s="39" t="n">
        <x:f>'01-همه آیتم‌ها'!$M$334</x:f>
        <x:v>0</x:v>
      </x:c>
      <x:c r="J225" s="39" t="e">
        <x:f>HYPERLINK("#'01-همه آیتم‌ها'!A334","باز کردن")</x:f>
        <x:v>HYPERLINK is not implemented. linkLocation=#'01-همه آیتم‌ها'!A334, friendlyName=باز کردن</x:v>
      </x:c>
    </x:row>
  </x:sheetData>
  <x:mergeCells>
    <x:mergeCell ref="A1:J1"/>
    <x:mergeCell ref="A2:J2"/>
  </x:mergeCells>
  <x:conditionalFormatting sqref="H4:H4">
    <x:cfRule type="colorScale" priority="1">
      <x:colorScale>
        <x:cfvo type="min"/>
        <x:cfvo type="percentile" val="50"/>
        <x:cfvo type="max"/>
        <x:color rgb="FFFDECEC"/>
        <x:color rgb="FFFFF2CC"/>
        <x:color rgb="FFC6EFCE"/>
      </x:colorScale>
    </x:cfRule>
  </x:conditionalFormatting>
  <x:conditionalFormatting sqref="A7:J225">
    <x:cfRule type="expression" dxfId="1" priority="2">
      <x:formula>$A7="☑"</x:formula>
    </x:cfRule>
  </x:conditionalFormatting>
  <x:pageMargins left="0.7" right="0.7" top="0.75" bottom="0.75" header="0.3" footer="0.3"/>
  <x:tableParts count="1">
    <x:tablePart xmlns:r="http://schemas.openxmlformats.org/officeDocument/2006/relationships" r:id="R6f3c1601ef284ccf"/>
  </x:tableParts>
</x:worksheet>
</file>

<file path=xl/worksheets/sheet4.xml><?xml version="1.0" encoding="utf-8"?>
<x:worksheet xmlns:x="http://schemas.openxmlformats.org/spreadsheetml/2006/main">
  <x:sheetFormatPr defaultRowHeight="15"/>
  <x:cols>
    <x:col min="1" max="1" width="20" hidden="0" customWidth="1"/>
    <x:col min="2" max="2" width="45" hidden="0" customWidth="1"/>
    <x:col min="3" max="3" width="12" hidden="0" customWidth="1"/>
    <x:col min="4" max="4" width="18" hidden="0" customWidth="1"/>
    <x:col min="5" max="5" width="20" hidden="0" customWidth="1"/>
    <x:col min="6" max="6" width="50" hidden="0" customWidth="1"/>
    <x:col min="7" max="7" width="12" hidden="0" customWidth="1"/>
    <x:col min="8" max="8" width="12" hidden="0" customWidth="1"/>
  </x:cols>
  <x:sheetData>
    <x:row r="1">
      <x:c r="A1" s="6" t="str">
        <x:v>جستجو و دسترسی سریع</x:v>
      </x:c>
      <x:c r="B1" s="6"/>
      <x:c r="C1" s="6"/>
      <x:c r="D1" s="6"/>
      <x:c r="E1" s="6"/>
      <x:c r="F1" s="6"/>
      <x:c r="G1" s="6"/>
      <x:c r="H1" s="6"/>
    </x:row>
    <x:row r="3">
      <x:c r="A3" s="26" t="str">
        <x:v>جستجوی مستقیم با ID</x:v>
      </x:c>
      <x:c r="B3" s="26" t="str"/>
      <x:c r="C3" s="26" t="str"/>
      <x:c r="E3" s="26" t="str">
        <x:v>جستجوی متنی سریع — اولین نتیجه</x:v>
      </x:c>
      <x:c r="F3" s="26" t="str"/>
      <x:c r="G3" s="26" t="str"/>
      <x:c r="H3" s="26" t="str"/>
    </x:row>
    <x:row r="4">
      <x:c r="A4" s="46" t="str">
        <x:v>ID آیتم</x:v>
      </x:c>
      <x:c r="B4" s="39"/>
      <x:c r="E4" s="46" t="str">
        <x:v>عبارت جستجو</x:v>
      </x:c>
      <x:c r="F4" s="39"/>
    </x:row>
    <x:row r="5">
      <x:c r="A5" s="46" t="str">
        <x:v>عنوان</x:v>
      </x:c>
      <x:c r="B5" s="39" t="str">
        <x:f>IF(B4="","",VLOOKUP(B4,'01-همه آیتم‌ها'!$B$4:$N$3251,7,FALSE))</x:f>
      </x:c>
      <x:c r="E5" s="46" t="str">
        <x:v>ردیف پیدا شده</x:v>
      </x:c>
      <x:c r="F5" s="39" t="str">
        <x:f>IF(F4="","",IFERROR(MATCH("*"&amp;F4&amp;"*",'01-همه آیتم‌ها'!$H$4:$H$3251,0)+3,""))</x:f>
      </x:c>
    </x:row>
    <x:row r="6">
      <x:c r="A6" s="46" t="str">
        <x:v>دسته</x:v>
      </x:c>
      <x:c r="B6" s="39" t="str">
        <x:f>IF(B4="","",VLOOKUP(B4,'01-همه آیتم‌ها'!$B$4:$N$3251,3,FALSE)&amp;" — "&amp;VLOOKUP(B4,'01-همه آیتم‌ها'!$B$4:$N$3251,4,FALSE))</x:f>
      </x:c>
      <x:c r="E6" s="46" t="str">
        <x:v>ID</x:v>
      </x:c>
      <x:c r="F6" s="39" t="str">
        <x:f>IF(F5="","",INDEX('01-همه آیتم‌ها'!$B:$B,F5))</x:f>
      </x:c>
    </x:row>
    <x:row r="7">
      <x:c r="A7" s="46" t="str">
        <x:v>اولویت</x:v>
      </x:c>
      <x:c r="B7" s="39" t="str">
        <x:f>IF(B4="","",VLOOKUP(B4,'01-همه آیتم‌ها'!$B$4:$N$3251,5,FALSE))</x:f>
      </x:c>
      <x:c r="E7" s="46" t="str">
        <x:v>عنوان</x:v>
      </x:c>
      <x:c r="F7" s="39" t="str">
        <x:f>IF(F5="","",INDEX('01-همه آیتم‌ها'!$H:$H,F5))</x:f>
      </x:c>
    </x:row>
    <x:row r="8">
      <x:c r="A8" s="46" t="str">
        <x:v>نوع</x:v>
      </x:c>
      <x:c r="B8" s="39" t="str">
        <x:f>IF(B4="","",VLOOKUP(B4,'01-همه آیتم‌ها'!$B$4:$N$3251,6,FALSE))</x:f>
      </x:c>
      <x:c r="E8" s="46" t="str">
        <x:v>باز کردن</x:v>
      </x:c>
      <x:c r="F8" s="39" t="str">
        <x:f>IF(F5="","",HYPERLINK("#'01-همه آیتم‌ها'!A"&amp;F5,"باز کردن"))</x:f>
      </x:c>
    </x:row>
    <x:row r="9">
      <x:c r="A9" s="46" t="str">
        <x:v>تصمیم تیم</x:v>
      </x:c>
      <x:c r="B9" s="39" t="str">
        <x:f>IF(B4="","",VLOOKUP(B4,'01-همه آیتم‌ها'!$B$4:$N$3251,8,FALSE))</x:f>
      </x:c>
    </x:row>
    <x:row r="10">
      <x:c r="A10" s="46" t="str">
        <x:v>یادداشت</x:v>
      </x:c>
      <x:c r="B10" s="39" t="str">
        <x:f>IF(B4="","",VLOOKUP(B4,'01-همه آیتم‌ها'!$B$4:$N$3251,12,FALSE))</x:f>
      </x:c>
    </x:row>
    <x:row r="11">
      <x:c r="A11" s="46" t="str">
        <x:v>رفتن به ردیف</x:v>
      </x:c>
      <x:c r="B11" s="39" t="str">
        <x:f>IF(B4="","",HYPERLINK("#'01-همه آیتم‌ها'!A"&amp; (MATCH(B4,'01-همه آیتم‌ها'!$B$4:$B$3251,0)+3),"باز کردن آیتم"))</x:f>
      </x:c>
    </x:row>
    <x:row r="14">
      <x:c r="A14" s="26" t="str">
        <x:v>فیلتر سریع</x:v>
      </x:c>
      <x:c r="B14" s="26" t="str"/>
      <x:c r="C14" s="26" t="str"/>
      <x:c r="D14" s="26" t="str"/>
      <x:c r="E14" s="26" t="str"/>
      <x:c r="F14" s="26" t="str"/>
      <x:c r="G14" s="26" t="str"/>
      <x:c r="H14" s="26" t="str"/>
    </x:row>
    <x:row r="15">
      <x:c r="A15" s="46" t="str">
        <x:v>دسته H</x:v>
      </x:c>
      <x:c r="D15" s="72" t="str">
        <x:v>برای دیدن همه نتایج یک دسته/اولویت یا جستجوی چندنتیجه‌ای، به شیت «01-همه آیتم‌ها» بروید و از فیلتر جدول استفاده کنید. این شیت برای دسترسی سریع و پیدا کردن اولین نتیجه طراحی شده است.</x:v>
      </x:c>
      <x:c r="E15" s="72"/>
      <x:c r="F15" s="72"/>
      <x:c r="G15" s="72"/>
      <x:c r="H15" s="72"/>
    </x:row>
    <x:row r="16">
      <x:c r="A16" s="46" t="str">
        <x:v>اولویت</x:v>
      </x:c>
      <x:c r="D16" s="72"/>
      <x:c r="E16" s="72"/>
      <x:c r="F16" s="72"/>
      <x:c r="G16" s="72"/>
      <x:c r="H16" s="72"/>
    </x:row>
    <x:row r="17">
      <x:c r="A17" s="46" t="str">
        <x:v>تعداد مطابق</x:v>
      </x:c>
      <x:c r="B17" t="n">
        <x:f>IF(AND(B15="",B16=""),0,IF(B15="",COUNTIF('01-همه آیتم‌ها'!$F$4:$F$3251,B16),IF(B16="",COUNTIF('01-همه آیتم‌ها'!$D$4:$D$3251,B15),COUNTIFS('01-همه آیتم‌ها'!$D$4:$D$3251,B15,'01-همه آیتم‌ها'!$F$4:$F$3251,B16))))</x:f>
        <x:v>0</x:v>
      </x:c>
      <x:c r="D17" s="72"/>
      <x:c r="E17" s="72"/>
      <x:c r="F17" s="72"/>
      <x:c r="G17" s="72"/>
      <x:c r="H17" s="72"/>
    </x:row>
    <x:row r="18">
      <x:c r="A18" s="46" t="str">
        <x:v>پیشرفت مطابق</x:v>
      </x:c>
      <x:c r="B18" s="66" t="n">
        <x:f>IF(B17=0,0,IF(B15="",COUNTIFS('01-همه آیتم‌ها'!$F$4:$F$3251,B16,'01-همه آیتم‌ها'!$A$4:$A$3251,"☑")/B17,IF(B16="",COUNTIFS('01-همه آیتم‌ها'!$D$4:$D$3251,B15,'01-همه آیتم‌ها'!$A$4:$A$3251,"☑")/B17,COUNTIFS('01-همه آیتم‌ها'!$D$4:$D$3251,B15,'01-همه آیتم‌ها'!$F$4:$F$3251,B16,'01-همه آیتم‌ها'!$A$4:$A$3251,"☑")/B17)))</x:f>
        <x:v>0</x:v>
      </x:c>
      <x:c r="D18" s="72"/>
      <x:c r="E18" s="72"/>
      <x:c r="F18" s="72"/>
      <x:c r="G18" s="72"/>
      <x:c r="H18" s="72"/>
    </x:row>
  </x:sheetData>
  <x:mergeCells>
    <x:mergeCell ref="A1:H1"/>
    <x:mergeCell ref="D15:H18"/>
  </x:mergeCells>
  <x:conditionalFormatting sqref="B18:B18">
    <x:cfRule type="colorScale" priority="1">
      <x:colorScale>
        <x:cfvo type="min"/>
        <x:cfvo type="percentile" val="50"/>
        <x:cfvo type="max"/>
        <x:color rgb="FFFDECEC"/>
        <x:color rgb="FFFFF2CC"/>
        <x:color rgb="FFC6EFCE"/>
      </x:colorScale>
    </x:cfRule>
  </x:conditionalFormatting>
  <x:dataValidations count="3">
    <x:dataValidation type="list" sqref="B4">
      <x:formula1>'01-همه آیتم‌ها'!$B$4:$B$3251</x:formula1>
    </x:dataValidation>
    <x:dataValidation type="list" sqref="B15">
      <x:formula1>"H1,H2,H3,H4,H5,H6,H7,H8,H9,H10,H11,H12,H13,H14,H15,H16,H17,H18,H19,H20,H21,H22,H23"</x:formula1>
    </x:dataValidation>
    <x:dataValidation type="list" sqref="B16">
      <x:formula1>"P0,P0/P1,P1,P2,DELEGATE/P2,BANK,P3,P3/CLARIFY,REFERENCE"</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26" hidden="0" customWidth="1"/>
    <x:col min="3" max="3" width="55" hidden="0" customWidth="1"/>
    <x:col min="4" max="4" width="42" hidden="0" customWidth="1"/>
    <x:col min="5" max="5" width="3" hidden="0" customWidth="1"/>
    <x:col min="6" max="6" width="13" hidden="0" customWidth="1"/>
    <x:col min="7" max="7" width="34" hidden="0" customWidth="1"/>
    <x:col min="8" max="8" width="58" hidden="0" customWidth="1"/>
    <x:col min="9" max="9" width="28" hidden="0" customWidth="1"/>
    <x:col min="10" max="10" width="12" hidden="0" customWidth="1"/>
    <x:col min="11" max="11" width="12" hidden="0" customWidth="1"/>
  </x:cols>
  <x:sheetData>
    <x:row r="1">
      <x:c r="A1" s="6" t="str">
        <x:v>ساختارهای ویژه — همه در یک شیت</x:v>
      </x:c>
      <x:c r="B1" s="6"/>
      <x:c r="C1" s="6"/>
      <x:c r="D1" s="6"/>
      <x:c r="E1" s="6"/>
      <x:c r="F1" s="6"/>
      <x:c r="G1" s="6"/>
      <x:c r="H1" s="6"/>
      <x:c r="I1" s="6"/>
      <x:c r="J1" s="6"/>
      <x:c r="K1" s="6"/>
    </x:row>
    <x:row r="2">
      <x:c r="A2" s="46" t="str">
        <x:v>این شیت فقط برای مرجع و معماری است؛ وضعیت اجرای آیتم‌ها در «01-همه آیتم‌ها» مدیریت می‌شود.</x:v>
      </x:c>
      <x:c r="B2" s="46"/>
      <x:c r="C2" s="46"/>
      <x:c r="D2" s="46"/>
      <x:c r="E2" s="46"/>
      <x:c r="F2" s="46"/>
      <x:c r="G2" s="46"/>
      <x:c r="H2" s="46"/>
      <x:c r="I2" s="46"/>
      <x:c r="J2" s="46"/>
      <x:c r="K2" s="46"/>
    </x:row>
    <x:row r="4">
      <x:c r="A4" s="26" t="str">
        <x:v>ساختار ۱۳گانه امور دانشگاهی</x:v>
      </x:c>
      <x:c r="B4" s="26"/>
      <x:c r="C4" s="26"/>
      <x:c r="D4" s="26"/>
      <x:c r="F4" s="26" t="str">
        <x:v>ماتریس ۲۰ حوزه تخصصی</x:v>
      </x:c>
      <x:c r="G4" s="26"/>
      <x:c r="H4" s="26"/>
    </x:row>
    <x:row r="5">
      <x:c r="A5" s="26" t="str">
        <x:v>کد</x:v>
      </x:c>
      <x:c r="B5" s="26" t="str">
        <x:v>حوزه</x:v>
      </x:c>
      <x:c r="C5" s="26" t="str">
        <x:v>زیرشاخه‌ها</x:v>
      </x:c>
      <x:c r="D5" s="26" t="str">
        <x:v>سؤال محوری</x:v>
      </x:c>
      <x:c r="F5" s="26" t="str">
        <x:v>کد</x:v>
      </x:c>
      <x:c r="G5" s="26" t="str">
        <x:v>حوزه تخصصی</x:v>
      </x:c>
      <x:c r="H5" s="26" t="str">
        <x:v>تمرکز</x:v>
      </x:c>
    </x:row>
    <x:row r="6">
      <x:c r="A6" s="34" t="str">
        <x:v>U01</x:v>
      </x:c>
      <x:c r="B6" s="39" t="str">
        <x:v>فرهنگ و هویت دانشگاه</x:v>
      </x:c>
      <x:c r="C6" s="39" t="str">
        <x:v>آیین‌ها و مناسک دینی؛ مسجد و فضاهای عبادی؛ یادمان‌ها و حافظه تاریخی؛ هویت فرهنگی؛ تعامل نهادی فرهنگی</x:v>
      </x:c>
      <x:c r="D6" s="39" t="str">
        <x:v>روح، معنا و حافظه دانشگاه چیست؟</x:v>
      </x:c>
      <x:c r="F6" s="34" t="str">
        <x:v>G01</x:v>
      </x:c>
      <x:c r="G6" s="39" t="str">
        <x:v>ژئواستراتژی و معماری قدرت</x:v>
      </x:c>
      <x:c r="H6" s="39" t="str">
        <x:v>هارتلند/ریملند؛ نظم‌های نو؛ کریدورها؛ نهادها؛ سناریوها</x:v>
      </x:c>
    </x:row>
    <x:row r="7">
      <x:c r="A7" s="34" t="str">
        <x:v>U02</x:v>
      </x:c>
      <x:c r="B7" s="39" t="str">
        <x:v>جریان‌سازی فکری و تبیینی</x:v>
      </x:c>
      <x:c r="C7" s="39" t="str">
        <x:v>اتاق فکر دانشگاهی؛ جهاد تبیین؛ گفتمان‌سازی و جریان‌شناسی؛ مبانی نظری؛ تولید چارچوب فکری</x:v>
      </x:c>
      <x:c r="D7" s="39" t="str">
        <x:v>دانشگاه قرار است چه فکری را بسازد و گسترش دهد؟</x:v>
      </x:c>
      <x:c r="F7" s="34" t="str">
        <x:v>G02</x:v>
      </x:c>
      <x:c r="G7" s="39" t="str">
        <x:v>امنیت، جنگ و اطلاعات</x:v>
      </x:c>
      <x:c r="H7" s="39" t="str">
        <x:v>دکترین؛ پدافند؛ اطلاعات و نفوذ؛ حفاظت</x:v>
      </x:c>
    </x:row>
    <x:row r="8">
      <x:c r="A8" s="34" t="str">
        <x:v>U03</x:v>
      </x:c>
      <x:c r="B8" s="39" t="str">
        <x:v>رسانه و روایت دانشگاه</x:v>
      </x:c>
      <x:c r="C8" s="39" t="str">
        <x:v>روایت فعالیت‌ها و تصمیمات؛ نشریه/کلیپ/بیانیه/گزارش؛ نظرسنجی و کارزار؛ مستندسازی؛ لحن روایت</x:v>
      </x:c>
      <x:c r="D8" s="39" t="str">
        <x:v>این فکر و عمل چگونه دیده و فهمیده می‌شود؟</x:v>
      </x:c>
      <x:c r="F8" s="34" t="str">
        <x:v>G03</x:v>
      </x:c>
      <x:c r="G8" s="39" t="str">
        <x:v>ژئواکونومی و مدیریت مالی</x:v>
      </x:c>
      <x:c r="H8" s="39" t="str">
        <x:v>اقتصاد سیاسی؛ تحریم و ارز؛ تجارت؛ فین‌تک</x:v>
      </x:c>
    </x:row>
    <x:row r="9">
      <x:c r="A9" s="34" t="str">
        <x:v>U04</x:v>
      </x:c>
      <x:c r="B9" s="39" t="str">
        <x:v>تشکل‌ها و شبکه‌های دانشجویی</x:v>
      </x:c>
      <x:c r="C9" s="39" t="str">
        <x:v>بسیج؛ گروه‌های جهادی؛ انجمن‌های علمی و کانون‌ها؛ حافظه تشکیلاتی؛ همکاری و تقسیم کار</x:v>
      </x:c>
      <x:c r="D9" s="39" t="str">
        <x:v>چه بازیگرانی داریم و چطور به هم وصل‌اند؟</x:v>
      </x:c>
      <x:c r="F9" s="34" t="str">
        <x:v>G04</x:v>
      </x:c>
      <x:c r="G9" s="39" t="str">
        <x:v>حقوق و دیپلماسی تجاری</x:v>
      </x:c>
      <x:c r="H9" s="39" t="str">
        <x:v>جنگ حقوقی؛ قرارداد؛ حقوق سایبری؛ صادرات/واردات</x:v>
      </x:c>
    </x:row>
    <x:row r="10">
      <x:c r="A10" s="34" t="str">
        <x:v>U05</x:v>
      </x:c>
      <x:c r="B10" s="39" t="str">
        <x:v>آموزش و تجربه یادگیری</x:v>
      </x:c>
      <x:c r="C10" s="39" t="str">
        <x:v>فرآیند آموزشی رسمی؛ راهنمایی و پشتیبانی؛ مرکز آموزشی دانشجومحور؛ هدایت تحصیلی</x:v>
      </x:c>
      <x:c r="D10" s="39" t="str">
        <x:v>دانشجو چطور یاد می‌گیرد؟</x:v>
      </x:c>
      <x:c r="F10" s="34" t="str">
        <x:v>G05</x:v>
      </x:c>
      <x:c r="G10" s="39" t="str">
        <x:v>جنگ شناختی، رسانه و هنر</x:v>
      </x:c>
      <x:c r="H10" s="39" t="str">
        <x:v>تأثیرگذاری؛ رسانه پیشرفته؛ تولید محتوا؛ بلاغت</x:v>
      </x:c>
    </x:row>
    <x:row r="11">
      <x:c r="A11" s="34" t="str">
        <x:v>U06</x:v>
      </x:c>
      <x:c r="B11" s="39" t="str">
        <x:v>مهارت، اشتغال و آینده</x:v>
      </x:c>
      <x:c r="C11" s="39" t="str">
        <x:v>بوتکمپ؛ تحلیل بازار کار؛ ارتباط با استاد و انجمن؛ رزومه/گواهی؛ نوآوری و پروژه میدانی</x:v>
      </x:c>
      <x:c r="D11" s="39" t="str">
        <x:v>دانشجو بعد از دانشگاه چه می‌شود؟</x:v>
      </x:c>
      <x:c r="F11" s="34" t="str">
        <x:v>G06</x:v>
      </x:c>
      <x:c r="G11" s="39" t="str">
        <x:v>الهیات سیاسی و مطالعات فرهنگی</x:v>
      </x:c>
      <x:c r="H11" s="39" t="str">
        <x:v>مبانی نظری؛ تاریخ/دین؛ خانواده؛ عملیات فرهنگی</x:v>
      </x:c>
    </x:row>
    <x:row r="12">
      <x:c r="A12" s="34" t="str">
        <x:v>U07</x:v>
      </x:c>
      <x:c r="B12" s="39" t="str">
        <x:v>تحلیل، داده و نیازسنجی</x:v>
      </x:c>
      <x:c r="C12" s="39" t="str">
        <x:v>نیازسنجی چندبعدی؛ تحلیل جریان‌ها؛ تریبون آزاد؛ پایش دانشگاه؛ داده برای حکمرانی</x:v>
      </x:c>
      <x:c r="D12" s="39" t="str">
        <x:v>تصمیم‌ها بر چه داده‌ای سوارند؟</x:v>
      </x:c>
      <x:c r="F12" s="34" t="str">
        <x:v>G07</x:v>
      </x:c>
      <x:c r="G12" s="39" t="str">
        <x:v>تاریخ و حافظه جمعی</x:v>
      </x:c>
      <x:c r="H12" s="39" t="str">
        <x:v>رویدادها؛ مدیریت روایت؛ بازسازی تاریخی</x:v>
      </x:c>
    </x:row>
    <x:row r="13">
      <x:c r="A13" s="34" t="str">
        <x:v>U08</x:v>
      </x:c>
      <x:c r="B13" s="39" t="str">
        <x:v>صنفی و حقوق دانشجویی</x:v>
      </x:c>
      <x:c r="C13" s="39" t="str">
        <x:v>شوراهای صنفی؛ قرارداد و آیین‌نامه؛ مطالبه‌گری؛ ارتباط با مسئولین؛ حقوق آموزشی/رفاهی/انضباطی</x:v>
      </x:c>
      <x:c r="D13" s="39" t="str">
        <x:v>حق دانشجو چیست و چگونه پیگیری می‌شود؟</x:v>
      </x:c>
      <x:c r="F13" s="34" t="str">
        <x:v>G08</x:v>
      </x:c>
      <x:c r="G13" s="39" t="str">
        <x:v>علم، فناوری و هوش مصنوعی</x:v>
      </x:c>
      <x:c r="H13" s="39" t="str">
        <x:v>NBIC؛ AI/Data؛ وب/برنامه‌نویسی؛ شبیه‌سازی علمی</x:v>
      </x:c>
    </x:row>
    <x:row r="14">
      <x:c r="A14" s="34" t="str">
        <x:v>U09</x:v>
      </x:c>
      <x:c r="B14" s="39" t="str">
        <x:v>زیست، رفاه و خدمات دانشجویی</x:v>
      </x:c>
      <x:c r="C14" s="39" t="str">
        <x:v>تغذیه و سلف؛ خوابگاه؛ خدمات روزمره؛ رفاه‌کارت و تسهیلات؛ تجربه زیست دانشجو</x:v>
      </x:c>
      <x:c r="D14" s="39" t="str">
        <x:v>دانشجو چطور زندگی می‌کند؟</x:v>
      </x:c>
      <x:c r="F14" s="34" t="str">
        <x:v>G09</x:v>
      </x:c>
      <x:c r="G14" s="39" t="str">
        <x:v>توسعه فردی و هنر عملیاتی</x:v>
      </x:c>
      <x:c r="H14" s="39" t="str">
        <x:v>خودکنترلی؛ سبک زندگی؛ مدیریت بحران و سیستم پیچیده</x:v>
      </x:c>
    </x:row>
    <x:row r="15">
      <x:c r="A15" s="34" t="str">
        <x:v>U10</x:v>
      </x:c>
      <x:c r="B15" s="39" t="str">
        <x:v>زیرساخت، فضا و عمران نرم</x:v>
      </x:c>
      <x:c r="C15" s="39" t="str">
        <x:v>پروژه عمرانی؛ تغییر کاربری؛ فضاهای ورزشی/مطالعه/تفریح؛ تجهیزات و تأسیسات؛ زیرساخت دیجیتال</x:v>
      </x:c>
      <x:c r="D15" s="39" t="str">
        <x:v>دانشگاه چه فضایی برای زیست و یادگیری می‌سازد؟</x:v>
      </x:c>
      <x:c r="F15" s="34" t="str">
        <x:v>G10</x:v>
      </x:c>
      <x:c r="G15" s="39" t="str">
        <x:v>فرادانش و آموزش آکادمیک</x:v>
      </x:c>
      <x:c r="H15" s="39" t="str">
        <x:v>منابع علمی؛ برنامه تحصیلی؛ تدریس و پژوهش</x:v>
      </x:c>
    </x:row>
    <x:row r="16">
      <x:c r="A16" s="34" t="str">
        <x:v>U11</x:v>
      </x:c>
      <x:c r="B16" s="39" t="str">
        <x:v>ارتباط دانشگاه با جامعه</x:v>
      </x:c>
      <x:c r="C16" s="39" t="str">
        <x:v>فعالیت خیریه؛ مناسبت‌های برون‌دانشگاهی؛ ارتباط با مسجد/خیر/نهاد؛ پروژه اجتماعی</x:v>
      </x:c>
      <x:c r="D16" s="39" t="str">
        <x:v>دانشگاه کجا به بیرون وصل می‌شود؟</x:v>
      </x:c>
      <x:c r="F16" s="34" t="str">
        <x:v>G11</x:v>
      </x:c>
      <x:c r="G16" s="39" t="str">
        <x:v>دیپلماسی عمومی و زبان‌ها</x:v>
      </x:c>
      <x:c r="H16" s="39" t="str">
        <x:v>زبان‌ها؛ دیپلماسی علمی؛ قدرت نرم</x:v>
      </x:c>
    </x:row>
    <x:row r="17">
      <x:c r="A17" s="34" t="str">
        <x:v>U12</x:v>
      </x:c>
      <x:c r="B17" s="39" t="str">
        <x:v>مشارکت، سرمایه اجتماعی و داوطلبی</x:v>
      </x:c>
      <x:c r="C17" s="39" t="str">
        <x:v>جذب فعالان؛ نگهداشت و انگیزه؛ توزیع مسئولیت؛ اعتماد و کار جمعی؛ مشارکت گروه‌ها</x:v>
      </x:c>
      <x:c r="D17" s="39" t="str">
        <x:v>چه کسانی پای کارند و چرا می‌مانند؟</x:v>
      </x:c>
      <x:c r="F17" s="34" t="str">
        <x:v>G12</x:v>
      </x:c>
      <x:c r="G17" s="39" t="str">
        <x:v>اکولوژی و کشاورزی</x:v>
      </x:c>
      <x:c r="H17" s="39" t="str">
        <x:v>امنیت غذایی؛ آب/خاک؛ کشاورزی و بازیافت</x:v>
      </x:c>
    </x:row>
    <x:row r="18">
      <x:c r="A18" s="34" t="str">
        <x:v>U13</x:v>
      </x:c>
      <x:c r="B18" s="39" t="str">
        <x:v>ارزیابی، یادگیری و بهبود مستمر</x:v>
      </x:c>
      <x:c r="C18" s="39" t="str">
        <x:v>ارزیابی عملکرد؛ مقایسه با گذشته و دانشگاه‌های دیگر؛ گزارش؛ نظرسنجی؛ اصلاح سیاست</x:v>
      </x:c>
      <x:c r="D18" s="39" t="str">
        <x:v>آیا بهتر شدیم یا فقط شلوغ بودیم؟</x:v>
      </x:c>
      <x:c r="F18" s="34" t="str">
        <x:v>G13</x:v>
      </x:c>
      <x:c r="G18" s="39" t="str">
        <x:v>سرمایه اجتماعی و شبکه‌سازی</x:v>
      </x:c>
      <x:c r="H18" s="39" t="str">
        <x:v>ارتباطات؛ تشکیلات؛ شبکه افراد و نقش‌ها</x:v>
      </x:c>
    </x:row>
    <x:row r="19">
      <x:c r="F19" s="34" t="str">
        <x:v>G14</x:v>
      </x:c>
      <x:c r="G19" s="39" t="str">
        <x:v>فضای سایبر و الکترونیک</x:v>
      </x:c>
      <x:c r="H19" s="39" t="str">
        <x:v>امنیت سایبری؛ الکترونیک/کنترل؛ حاکمیت داده</x:v>
      </x:c>
    </x:row>
    <x:row r="20">
      <x:c r="F20" s="34" t="str">
        <x:v>G15</x:v>
      </x:c>
      <x:c r="G20" s="39" t="str">
        <x:v>روانشناسی اجتماعی و سیاسی</x:v>
      </x:c>
      <x:c r="H20" s="39" t="str">
        <x:v>رفتار جمعی؛ گروه‌زدگی؛ اتاق پژواک؛ رفتار سازمانی</x:v>
      </x:c>
    </x:row>
    <x:row r="21">
      <x:c r="F21" s="34" t="str">
        <x:v>G16</x:v>
      </x:c>
      <x:c r="G21" s="39" t="str">
        <x:v>حکمرانی و مدیریت کسب‌وکار</x:v>
      </x:c>
      <x:c r="H21" s="39" t="str">
        <x:v>استراتژی؛ بازاریابی و فروش؛ آسیب‌شناسی سازمان</x:v>
      </x:c>
    </x:row>
    <x:row r="22">
      <x:c r="F22" s="34" t="str">
        <x:v>G17</x:v>
      </x:c>
      <x:c r="G22" s="39" t="str">
        <x:v>مهندسی مکانیک و طراحی صنعتی</x:v>
      </x:c>
      <x:c r="H22" s="39" t="str">
        <x:v>CAD/CAM؛ ساخت؛ CAE؛ تأسیسات</x:v>
      </x:c>
    </x:row>
    <x:row r="23">
      <x:c r="F23" s="34" t="str">
        <x:v>G18</x:v>
      </x:c>
      <x:c r="G23" s="39" t="str">
        <x:v>مهندسی صنایع و سیستم‌ها</x:v>
      </x:c>
      <x:c r="H23" s="39" t="str">
        <x:v>SCM؛ کیفیت؛ بهینه‌سازی؛ استاندارد و توسعه</x:v>
      </x:c>
    </x:row>
    <x:row r="24">
      <x:c r="F24" s="34" t="str">
        <x:v>G19</x:v>
      </x:c>
      <x:c r="G24" s="39" t="str">
        <x:v>استارتاپ‌ها و پلتفرم‌ها</x:v>
      </x:c>
      <x:c r="H24" s="39" t="str">
        <x:v>سامانه‌های دیجیتال؛ محصول؛ پروپوزال و پروژه اجرایی</x:v>
      </x:c>
    </x:row>
    <x:row r="25">
      <x:c r="F25" s="34" t="str">
        <x:v>G20</x:v>
      </x:c>
      <x:c r="G25" s="39" t="str">
        <x:v>لجستیک شخصی و عمومی</x:v>
      </x:c>
      <x:c r="H25" s="39" t="str">
        <x:v>مدارک؛ خدمات پشتیبان؛ سفر و امور اجرایی</x:v>
      </x:c>
    </x:row>
    <x:row r="28">
      <x:c r="A28" s="26" t="str">
        <x:v>معماری TalentOS / CRM</x:v>
      </x:c>
      <x:c r="B28" s="26"/>
      <x:c r="C28" s="26"/>
      <x:c r="D28" s="26"/>
      <x:c r="E28" s="26"/>
      <x:c r="F28" s="26"/>
    </x:row>
    <x:row r="29">
      <x:c r="A29" s="26" t="str">
        <x:v>ID</x:v>
      </x:c>
      <x:c r="B29" s="26" t="str">
        <x:v>ماژول</x:v>
      </x:c>
      <x:c r="C29" s="26" t="str">
        <x:v>قابلیت</x:v>
      </x:c>
      <x:c r="D29" s="26" t="str">
        <x:v>اولویت</x:v>
      </x:c>
      <x:c r="E29" s="26" t="str">
        <x:v>تصمیم تیم</x:v>
      </x:c>
      <x:c r="F29" s="26" t="str">
        <x:v>منبع</x:v>
      </x:c>
    </x:row>
    <x:row r="30">
      <x:c r="A30" s="34" t="str">
        <x:v>N115-0053</x:v>
      </x:c>
      <x:c r="B30" s="34" t="str">
        <x:v>پرونده 360 درجه</x:v>
      </x:c>
      <x:c r="C30" s="39" t="str">
        <x:v>ثبت رزومه، یادداشت مصاحبه، تاریخچه تعامل و سوابق نقش در پرونده هر فرد</x:v>
      </x:c>
      <x:c r="D30" s="39" t="str">
        <x:v>P2</x:v>
      </x:c>
      <x:c r="E30" s="39" t="str">
        <x:v>طراحی در معماری زیست‌بوم؛ اجرا مرحله‌ای</x:v>
      </x:c>
      <x:c r="F30" s="39" t="str">
        <x:v>115:P7750-8046</x:v>
      </x:c>
    </x:row>
    <x:row r="31">
      <x:c r="A31" s="34" t="str">
        <x:v>N115-0054</x:v>
      </x:c>
      <x:c r="B31" s="34" t="str">
        <x:v>پروفایل استعداد</x:v>
      </x:c>
      <x:c r="C31" s="39" t="str">
        <x:v>ثبت شاخص‌های استعداد، اخلاق، توانایی‌ها و وضعیت شغلی در پروفایل</x:v>
      </x:c>
      <x:c r="D31" s="39" t="str">
        <x:v>P2</x:v>
      </x:c>
      <x:c r="E31" s="39" t="str">
        <x:v>طراحی در معماری زیست‌بوم؛ اجرا مرحله‌ای</x:v>
      </x:c>
      <x:c r="F31" s="39" t="str">
        <x:v>115:P7750-8046</x:v>
      </x:c>
    </x:row>
    <x:row r="32">
      <x:c r="A32" s="34" t="str">
        <x:v>N115-0055</x:v>
      </x:c>
      <x:c r="B32" s="34" t="str">
        <x:v>توسعه فردی</x:v>
      </x:c>
      <x:c r="C32" s="39" t="str">
        <x:v>ثبت شکاف مهارتی، آموزش لازم و مسیر توسعه فردی IDP</x:v>
      </x:c>
      <x:c r="D32" s="39" t="str">
        <x:v>P2</x:v>
      </x:c>
      <x:c r="E32" s="39" t="str">
        <x:v>طراحی در معماری زیست‌بوم؛ اجرا مرحله‌ای</x:v>
      </x:c>
      <x:c r="F32" s="39" t="str">
        <x:v>115:P7750-8046</x:v>
      </x:c>
    </x:row>
    <x:row r="33">
      <x:c r="A33" s="34" t="str">
        <x:v>N115-0056</x:v>
      </x:c>
      <x:c r="B33" s="34" t="str">
        <x:v>تحلیل قابلیت</x:v>
      </x:c>
      <x:c r="C33" s="39" t="str">
        <x:v>نمایش سطح توانمندی و آمادگی هر عضو/تیم</x:v>
      </x:c>
      <x:c r="D33" s="39" t="str">
        <x:v>P2</x:v>
      </x:c>
      <x:c r="E33" s="39" t="str">
        <x:v>طراحی در معماری زیست‌بوم؛ اجرا مرحله‌ای</x:v>
      </x:c>
      <x:c r="F33" s="39" t="str">
        <x:v>115:P7750-8046</x:v>
      </x:c>
    </x:row>
    <x:row r="34">
      <x:c r="A34" s="34" t="str">
        <x:v>N115-0057</x:v>
      </x:c>
      <x:c r="B34" s="34" t="str">
        <x:v>هوش بازار کار</x:v>
      </x:c>
      <x:c r="C34" s="39" t="str">
        <x:v>پایش روزانه فرصت‌های شغلی و استخراج مهارت‌های موردتقاضای بازار</x:v>
      </x:c>
      <x:c r="D34" s="39" t="str">
        <x:v>P2</x:v>
      </x:c>
      <x:c r="E34" s="39" t="str">
        <x:v>طراحی در معماری زیست‌بوم؛ اجرا مرحله‌ای</x:v>
      </x:c>
      <x:c r="F34" s="39" t="str">
        <x:v>115:P7750-8046</x:v>
      </x:c>
    </x:row>
    <x:row r="35">
      <x:c r="A35" s="34" t="str">
        <x:v>N115-0058</x:v>
      </x:c>
      <x:c r="B35" s="34" t="str">
        <x:v>موتور تطبیق</x:v>
      </x:c>
      <x:c r="C35" s="39" t="str">
        <x:v>تطبیق خودکار فرد با شغل، پروژه، منتور و دوره آموزشی</x:v>
      </x:c>
      <x:c r="D35" s="39" t="str">
        <x:v>P2</x:v>
      </x:c>
      <x:c r="E35" s="39" t="str">
        <x:v>طراحی در معماری زیست‌بوم؛ اجرا مرحله‌ای</x:v>
      </x:c>
      <x:c r="F35" s="39" t="str">
        <x:v>115:P7750-8046</x:v>
      </x:c>
    </x:row>
    <x:row r="36">
      <x:c r="A36" s="34" t="str">
        <x:v>N115-0059</x:v>
      </x:c>
      <x:c r="B36" s="34" t="str">
        <x:v>بخش‌بندی</x:v>
      </x:c>
      <x:c r="C36" s="39" t="str">
        <x:v>تعریف مدل تِیر/لایه برای بخش‌بندی افراد براساس ارزش و نیاز پیگیری</x:v>
      </x:c>
      <x:c r="D36" s="39" t="str">
        <x:v>P2</x:v>
      </x:c>
      <x:c r="E36" s="39" t="str">
        <x:v>طراحی در معماری زیست‌بوم؛ اجرا مرحله‌ای</x:v>
      </x:c>
      <x:c r="F36" s="39" t="str">
        <x:v>115:P7750-8046</x:v>
      </x:c>
    </x:row>
    <x:row r="37">
      <x:c r="A37" s="34" t="str">
        <x:v>N115-0060</x:v>
      </x:c>
      <x:c r="B37" s="34" t="str">
        <x:v>امتیازدهی</x:v>
      </x:c>
      <x:c r="C37" s="39" t="str">
        <x:v>امتیازدهی وزن‌دار فعالیت، استعداد، وفاداری و ریسک</x:v>
      </x:c>
      <x:c r="D37" s="39" t="str">
        <x:v>P2</x:v>
      </x:c>
      <x:c r="E37" s="39" t="str">
        <x:v>طراحی در معماری زیست‌بوم؛ اجرا مرحله‌ای</x:v>
      </x:c>
      <x:c r="F37" s="39" t="str">
        <x:v>115:P7750-8046</x:v>
      </x:c>
    </x:row>
    <x:row r="38">
      <x:c r="A38" s="34" t="str">
        <x:v>N115-0061</x:v>
      </x:c>
      <x:c r="B38" s="34" t="str">
        <x:v>امتیازدهی</x:v>
      </x:c>
      <x:c r="C38" s="39" t="str">
        <x:v>قابل‌تنظیم بودن وزن‌های مدل امتیازدهی با تغییر اولویت‌های سازمان</x:v>
      </x:c>
      <x:c r="D38" s="39" t="str">
        <x:v>P2</x:v>
      </x:c>
      <x:c r="E38" s="39" t="str">
        <x:v>طراحی در معماری زیست‌بوم؛ اجرا مرحله‌ای</x:v>
      </x:c>
      <x:c r="F38" s="39" t="str">
        <x:v>115:P7750-8046</x:v>
      </x:c>
    </x:row>
    <x:row r="39">
      <x:c r="A39" s="34" t="str">
        <x:v>N115-0062</x:v>
      </x:c>
      <x:c r="B39" s="34" t="str">
        <x:v>ارزیابی تیم</x:v>
      </x:c>
      <x:c r="C39" s="39" t="str">
        <x:v>ارزیابی تیم به‌عنوان واحد: پیشرفت، رکود یا نیاز به تقویت</x:v>
      </x:c>
      <x:c r="D39" s="39" t="str">
        <x:v>P2</x:v>
      </x:c>
      <x:c r="E39" s="39" t="str">
        <x:v>طراحی در معماری زیست‌بوم؛ اجرا مرحله‌ای</x:v>
      </x:c>
      <x:c r="F39" s="39" t="str">
        <x:v>115:P7750-8046</x:v>
      </x:c>
    </x:row>
    <x:row r="40">
      <x:c r="A40" s="34" t="str">
        <x:v>N115-0063</x:v>
      </x:c>
      <x:c r="B40" s="34" t="str">
        <x:v>پیگیری</x:v>
      </x:c>
      <x:c r="C40" s="39" t="str">
        <x:v>علامت‌گذاری خودکار اقدامات ناتمام مثل رزومه ارسال‌نشده یا پیگیری بی‌پاسخ</x:v>
      </x:c>
      <x:c r="D40" s="39" t="str">
        <x:v>P2</x:v>
      </x:c>
      <x:c r="E40" s="39" t="str">
        <x:v>طراحی در معماری زیست‌بوم؛ اجرا مرحله‌ای</x:v>
      </x:c>
      <x:c r="F40" s="39" t="str">
        <x:v>115:P7750-8046</x:v>
      </x:c>
    </x:row>
    <x:row r="41">
      <x:c r="A41" s="34" t="str">
        <x:v>N115-0064</x:v>
      </x:c>
      <x:c r="B41" s="34" t="str">
        <x:v>فعال‌سازی</x:v>
      </x:c>
      <x:c r="C41" s="39" t="str">
        <x:v>دعوت هدفمند به رویداد، مصاحبه و مسابقه براساس تگ و تناسب نقش</x:v>
      </x:c>
      <x:c r="D41" s="39" t="str">
        <x:v>P2</x:v>
      </x:c>
      <x:c r="E41" s="39" t="str">
        <x:v>طراحی در معماری زیست‌بوم؛ اجرا مرحله‌ای</x:v>
      </x:c>
      <x:c r="F41" s="39" t="str">
        <x:v>115:P7750-8046</x:v>
      </x:c>
    </x:row>
    <x:row r="42">
      <x:c r="A42" s="34" t="str">
        <x:v>N115-0065</x:v>
      </x:c>
      <x:c r="B42" s="34" t="str">
        <x:v>نگهداشت</x:v>
      </x:c>
      <x:c r="C42" s="39" t="str">
        <x:v>یادآوری خودکار تولد، سالگرد ازدواج و رویدادهای مهم خانوادگی</x:v>
      </x:c>
      <x:c r="D42" s="39" t="str">
        <x:v>P2</x:v>
      </x:c>
      <x:c r="E42" s="39" t="str">
        <x:v>طراحی در معماری زیست‌بوم؛ اجرا مرحله‌ای</x:v>
      </x:c>
      <x:c r="F42" s="39" t="str">
        <x:v>115:P7750-8046</x:v>
      </x:c>
    </x:row>
    <x:row r="43">
      <x:c r="A43" s="34" t="str">
        <x:v>N115-0066</x:v>
      </x:c>
      <x:c r="B43" s="34" t="str">
        <x:v>نگهداشت</x:v>
      </x:c>
      <x:c r="C43" s="39" t="str">
        <x:v>تعریف سطوح خدمت متفاوت: پیام، هدیه، کیک، کدتخفیف یا حمایت ویژه</x:v>
      </x:c>
      <x:c r="D43" s="39" t="str">
        <x:v>P2</x:v>
      </x:c>
      <x:c r="E43" s="39" t="str">
        <x:v>طراحی در معماری زیست‌بوم؛ اجرا مرحله‌ای</x:v>
      </x:c>
      <x:c r="F43" s="39" t="str">
        <x:v>115:P7750-8046</x:v>
      </x:c>
    </x:row>
    <x:row r="44">
      <x:c r="A44" s="34" t="str">
        <x:v>N115-0067</x:v>
      </x:c>
      <x:c r="B44" s="34" t="str">
        <x:v>جامعه‌سازی</x:v>
      </x:c>
      <x:c r="C44" s="39" t="str">
        <x:v>راه‌اندازی باشگاه جامعه/هواداران برای محتوای هدفمند و خدمات ویژه</x:v>
      </x:c>
      <x:c r="D44" s="39" t="str">
        <x:v>P2</x:v>
      </x:c>
      <x:c r="E44" s="39" t="str">
        <x:v>طراحی در معماری زیست‌بوم؛ اجرا مرحله‌ای</x:v>
      </x:c>
      <x:c r="F44" s="39" t="str">
        <x:v>115:P7750-8046</x:v>
      </x:c>
    </x:row>
    <x:row r="45">
      <x:c r="A45" s="34" t="str">
        <x:v>N115-0068</x:v>
      </x:c>
      <x:c r="B45" s="34" t="str">
        <x:v>جامعه‌سازی</x:v>
      </x:c>
      <x:c r="C45" s="39" t="str">
        <x:v>برگزاری دورهمی و رویدادهای کوچک با منتور برای انسجام تیم</x:v>
      </x:c>
      <x:c r="D45" s="39" t="str">
        <x:v>P2</x:v>
      </x:c>
      <x:c r="E45" s="39" t="str">
        <x:v>طراحی در معماری زیست‌بوم؛ اجرا مرحله‌ای</x:v>
      </x:c>
      <x:c r="F45" s="39" t="str">
        <x:v>115:P7750-8046</x:v>
      </x:c>
    </x:row>
    <x:row r="46">
      <x:c r="A46" s="34" t="str">
        <x:v>N115-0069</x:v>
      </x:c>
      <x:c r="B46" s="34" t="str">
        <x:v>رفاه</x:v>
      </x:c>
      <x:c r="C46" s="39" t="str">
        <x:v>حمایت اولویت‌دار در رویدادهای زندگی مثل ازدواج، بیماری و زایمان</x:v>
      </x:c>
      <x:c r="D46" s="39" t="str">
        <x:v>P2</x:v>
      </x:c>
      <x:c r="E46" s="39" t="str">
        <x:v>طراحی در معماری زیست‌بوم؛ اجرا مرحله‌ای</x:v>
      </x:c>
      <x:c r="F46" s="39" t="str">
        <x:v>115:P7750-8046</x:v>
      </x:c>
    </x:row>
    <x:row r="47">
      <x:c r="A47" s="34" t="str">
        <x:v>N115-0070</x:v>
      </x:c>
      <x:c r="B47" s="34" t="str">
        <x:v>رفاه</x:v>
      </x:c>
      <x:c r="C47" s="39" t="str">
        <x:v>الگوریتم اولویت‌بندی عادلانه برای تخصیص وام و مزایای محدود</x:v>
      </x:c>
      <x:c r="D47" s="39" t="str">
        <x:v>P2</x:v>
      </x:c>
      <x:c r="E47" s="39" t="str">
        <x:v>طراحی در معماری زیست‌بوم؛ اجرا مرحله‌ای</x:v>
      </x:c>
      <x:c r="F47" s="39" t="str">
        <x:v>115:P7750-8046</x:v>
      </x:c>
    </x:row>
    <x:row r="48">
      <x:c r="A48" s="34" t="str">
        <x:v>N115-0071</x:v>
      </x:c>
      <x:c r="B48" s="34" t="str">
        <x:v>تعاونی</x:v>
      </x:c>
      <x:c r="C48" s="39" t="str">
        <x:v>طراحی صندوق تعاونی به‌عنوان موتور خلق ارزش و نه صرفاً خیریه</x:v>
      </x:c>
      <x:c r="D48" s="39" t="str">
        <x:v>P2</x:v>
      </x:c>
      <x:c r="E48" s="39" t="str">
        <x:v>طراحی در معماری زیست‌بوم؛ اجرا مرحله‌ای</x:v>
      </x:c>
      <x:c r="F48" s="39" t="str">
        <x:v>115:P7750-8046</x:v>
      </x:c>
    </x:row>
    <x:row r="49">
      <x:c r="A49" s="34" t="str">
        <x:v>N115-0072</x:v>
      </x:c>
      <x:c r="B49" s="34" t="str">
        <x:v>مدل درآمد</x:v>
      </x:c>
      <x:c r="C49" s="39" t="str">
        <x:v>مدل اشتراک ماهانه کوچک برای فعال نگه‌داشتن پروفایل و خدمات</x:v>
      </x:c>
      <x:c r="D49" s="39" t="str">
        <x:v>P2</x:v>
      </x:c>
      <x:c r="E49" s="39" t="str">
        <x:v>طراحی در معماری زیست‌بوم؛ اجرا مرحله‌ای</x:v>
      </x:c>
      <x:c r="F49" s="39" t="str">
        <x:v>115:P7750-8046</x:v>
      </x:c>
    </x:row>
    <x:row r="50">
      <x:c r="A50" s="34" t="str">
        <x:v>N115-0073</x:v>
      </x:c>
      <x:c r="B50" s="34" t="str">
        <x:v>مدل درآمد</x:v>
      </x:c>
      <x:c r="C50" s="39" t="str">
        <x:v>درآمد از خدمات جذب نیرو و کارمزد ارجاع کاندیدای فیلترشده</x:v>
      </x:c>
      <x:c r="D50" s="39" t="str">
        <x:v>P2</x:v>
      </x:c>
      <x:c r="E50" s="39" t="str">
        <x:v>طراحی در معماری زیست‌بوم؛ اجرا مرحله‌ای</x:v>
      </x:c>
      <x:c r="F50" s="39" t="str">
        <x:v>115:P7750-8046</x:v>
      </x:c>
    </x:row>
    <x:row r="51">
      <x:c r="A51" s="34" t="str">
        <x:v>N115-0074</x:v>
      </x:c>
      <x:c r="B51" s="34" t="str">
        <x:v>مدل درآمد</x:v>
      </x:c>
      <x:c r="C51" s="39" t="str">
        <x:v>درآمد از کارگاه‌های مهارتی و توسعه حرفه‌ای</x:v>
      </x:c>
      <x:c r="D51" s="39" t="str">
        <x:v>P2</x:v>
      </x:c>
      <x:c r="E51" s="39" t="str">
        <x:v>طراحی در معماری زیست‌بوم؛ اجرا مرحله‌ای</x:v>
      </x:c>
      <x:c r="F51" s="39" t="str">
        <x:v>115:P7750-8046</x:v>
      </x:c>
    </x:row>
    <x:row r="52">
      <x:c r="A52" s="34" t="str">
        <x:v>N115-0075</x:v>
      </x:c>
      <x:c r="B52" s="34" t="str">
        <x:v>مدل درآمد</x:v>
      </x:c>
      <x:c r="C52" s="39" t="str">
        <x:v>اسپانسرشیپ، بارتر و همکاری B2B برای تأمین منابع شبکه</x:v>
      </x:c>
      <x:c r="D52" s="39" t="str">
        <x:v>P2</x:v>
      </x:c>
      <x:c r="E52" s="39" t="str">
        <x:v>طراحی در معماری زیست‌بوم؛ اجرا مرحله‌ای</x:v>
      </x:c>
      <x:c r="F52" s="39" t="str">
        <x:v>115:P7750-8046</x:v>
      </x:c>
    </x:row>
    <x:row r="53">
      <x:c r="A53" s="34" t="str">
        <x:v>N115-0076</x:v>
      </x:c>
      <x:c r="B53" s="34" t="str">
        <x:v>بانک شریک</x:v>
      </x:c>
      <x:c r="C53" s="39" t="str">
        <x:v>بانک اسپانسرها، NGOها، کسب‌وکارها، تخفیف‌ها و شرکای اکوسیستم</x:v>
      </x:c>
      <x:c r="D53" s="39" t="str">
        <x:v>P2</x:v>
      </x:c>
      <x:c r="E53" s="39" t="str">
        <x:v>طراحی در معماری زیست‌بوم؛ اجرا مرحله‌ای</x:v>
      </x:c>
      <x:c r="F53" s="39" t="str">
        <x:v>115:P7750-8046</x:v>
      </x:c>
    </x:row>
    <x:row r="54">
      <x:c r="A54" s="34" t="str">
        <x:v>N115-0077</x:v>
      </x:c>
      <x:c r="B54" s="34" t="str">
        <x:v>معماری داده</x:v>
      </x:c>
      <x:c r="C54" s="39" t="str">
        <x:v>اتصال بانک پروفایل، مهارت/شغل، فرصت و شریک در CRM واحد</x:v>
      </x:c>
      <x:c r="D54" s="39" t="str">
        <x:v>P2</x:v>
      </x:c>
      <x:c r="E54" s="39" t="str">
        <x:v>طراحی در معماری زیست‌بوم؛ اجرا مرحله‌ای</x:v>
      </x:c>
      <x:c r="F54" s="39" t="str">
        <x:v>115:P7750-8046</x:v>
      </x:c>
    </x:row>
    <x:row r="55">
      <x:c r="A55" s="34" t="str">
        <x:v>N115-0078</x:v>
      </x:c>
      <x:c r="B55" s="34" t="str">
        <x:v>معماری داده</x:v>
      </x:c>
      <x:c r="C55" s="39" t="str">
        <x:v>جمع‌آوری غیرفعال داده از API، سوابق داخلی، پروژه‌ها و پروفایل‌های خارجی</x:v>
      </x:c>
      <x:c r="D55" s="39" t="str">
        <x:v>P2</x:v>
      </x:c>
      <x:c r="E55" s="39" t="str">
        <x:v>طراحی در معماری زیست‌بوم؛ اجرا مرحله‌ای</x:v>
      </x:c>
      <x:c r="F55" s="39" t="str">
        <x:v>115:P7750-8046</x:v>
      </x:c>
    </x:row>
    <x:row r="56">
      <x:c r="A56" s="34" t="str">
        <x:v>N115-0079</x:v>
      </x:c>
      <x:c r="B56" s="34" t="str">
        <x:v>Gamification</x:v>
      </x:c>
      <x:c r="C56" s="39" t="str">
        <x:v>بازی‌وارسازی مسیر شغلی با امتیاز، سطح، توکن و شرط ارتقا</x:v>
      </x:c>
      <x:c r="D56" s="39" t="str">
        <x:v>P2</x:v>
      </x:c>
      <x:c r="E56" s="39" t="str">
        <x:v>طراحی در معماری زیست‌بوم؛ اجرا مرحله‌ای</x:v>
      </x:c>
      <x:c r="F56" s="39" t="str">
        <x:v>115:P7750-8046</x:v>
      </x:c>
    </x:row>
    <x:row r="57">
      <x:c r="A57" s="34" t="str">
        <x:v>N115-0080</x:v>
      </x:c>
      <x:c r="B57" s="34" t="str">
        <x:v>تحلیل پیش‌بین</x:v>
      </x:c>
      <x:c r="C57" s="39" t="str">
        <x:v>پیش‌بینی بی‌تعهدی و ریسک خروج براساس سیگنال‌های رفتاری</x:v>
      </x:c>
      <x:c r="D57" s="39" t="str">
        <x:v>P2</x:v>
      </x:c>
      <x:c r="E57" s="39" t="str">
        <x:v>طراحی در معماری زیست‌بوم؛ اجرا مرحله‌ای</x:v>
      </x:c>
      <x:c r="F57" s="39" t="str">
        <x:v>115:P7750-8046</x:v>
      </x:c>
    </x:row>
    <x:row r="58">
      <x:c r="A58" s="34" t="str">
        <x:v>N115-0081</x:v>
      </x:c>
      <x:c r="B58" s="34" t="str">
        <x:v>تحلیل پیش‌بین</x:v>
      </x:c>
      <x:c r="C58" s="39" t="str">
        <x:v>تولید پیشنهاد مداخله زودهنگام مثل منتورینگ، ارتقا یا حمایت هدفمند</x:v>
      </x:c>
      <x:c r="D58" s="39" t="str">
        <x:v>P2</x:v>
      </x:c>
      <x:c r="E58" s="39" t="str">
        <x:v>طراحی در معماری زیست‌بوم؛ اجرا مرحله‌ای</x:v>
      </x:c>
      <x:c r="F58" s="39" t="str">
        <x:v>115:P7750-8046</x:v>
      </x:c>
    </x:row>
    <x:row r="59">
      <x:c r="A59" s="34" t="str">
        <x:v>N115-0082</x:v>
      </x:c>
      <x:c r="B59" s="34" t="str">
        <x:v>اقتصاد استعداد</x:v>
      </x:c>
      <x:c r="C59" s="39" t="str">
        <x:v>ساخت گراف مهارت برای جابه‌جایی داخلی و اقتصاد باز استعداد</x:v>
      </x:c>
      <x:c r="D59" s="39" t="str">
        <x:v>P2</x:v>
      </x:c>
      <x:c r="E59" s="39" t="str">
        <x:v>طراحی در معماری زیست‌بوم؛ اجرا مرحله‌ای</x:v>
      </x:c>
      <x:c r="F59" s="39" t="str">
        <x:v>115:P7750-8046</x:v>
      </x:c>
    </x:row>
    <x:row r="60">
      <x:c r="A60" s="34" t="str">
        <x:v>N115-0083</x:v>
      </x:c>
      <x:c r="B60" s="34" t="str">
        <x:v>نقشه راه</x:v>
      </x:c>
      <x:c r="C60" s="39" t="str">
        <x:v>MVP صد نفر اول با پروفایل پایه، دسته‌بندی مهارت و پیامک مناسبت‌ها</x:v>
      </x:c>
      <x:c r="D60" s="39" t="str">
        <x:v>P2</x:v>
      </x:c>
      <x:c r="E60" s="39" t="str">
        <x:v>طراحی در معماری زیست‌بوم؛ اجرا مرحله‌ای</x:v>
      </x:c>
      <x:c r="F60" s="39" t="str">
        <x:v>115:P7750-8046</x:v>
      </x:c>
    </x:row>
    <x:row r="61">
      <x:c r="A61" s="34" t="str">
        <x:v>N115-0084</x:v>
      </x:c>
      <x:c r="B61" s="34" t="str">
        <x:v>نقشه راه</x:v>
      </x:c>
      <x:c r="C61" s="39" t="str">
        <x:v>فاز دوم: اتصال پایگاه‌ها، صندوق تعاونی و خودکارسازی جریان‌های کاری</x:v>
      </x:c>
      <x:c r="D61" s="39" t="str">
        <x:v>P2</x:v>
      </x:c>
      <x:c r="E61" s="39" t="str">
        <x:v>طراحی در معماری زیست‌بوم؛ اجرا مرحله‌ای</x:v>
      </x:c>
      <x:c r="F61" s="39" t="str">
        <x:v>115:P7750-8046</x:v>
      </x:c>
    </x:row>
    <x:row r="62">
      <x:c r="A62" s="34" t="str">
        <x:v>N115-0085</x:v>
      </x:c>
      <x:c r="B62" s="34" t="str">
        <x:v>نقشه راه</x:v>
      </x:c>
      <x:c r="C62" s="39" t="str">
        <x:v>فاز سوم: تحلیل‌های AI، پیشنهاد شغلی هوشمند و درآمدزایی ارجاع نیرو</x:v>
      </x:c>
      <x:c r="D62" s="39" t="str">
        <x:v>P2</x:v>
      </x:c>
      <x:c r="E62" s="39" t="str">
        <x:v>طراحی در معماری زیست‌بوم؛ اجرا مرحله‌ای</x:v>
      </x:c>
      <x:c r="F62" s="39" t="str">
        <x:v>115:P7750-8046</x:v>
      </x:c>
    </x:row>
    <x:row r="63">
      <x:c r="A63" s="34" t="str">
        <x:v>N115-0086</x:v>
      </x:c>
      <x:c r="B63" s="34" t="str">
        <x:v>بازخورد</x:v>
      </x:c>
      <x:c r="C63" s="39" t="str">
        <x:v>جمع‌آوری بازخورد علت غیبت از رویداد، دوره یا مسابقه</x:v>
      </x:c>
      <x:c r="D63" s="39" t="str">
        <x:v>P2</x:v>
      </x:c>
      <x:c r="E63" s="39" t="str">
        <x:v>طراحی در معماری زیست‌بوم؛ اجرا مرحله‌ای</x:v>
      </x:c>
      <x:c r="F63" s="39" t="str">
        <x:v>115:P7750-8046</x:v>
      </x:c>
    </x:row>
    <x:row r="64">
      <x:c r="A64" s="34" t="str">
        <x:v>N115-0087</x:v>
      </x:c>
      <x:c r="B64" s="34" t="str">
        <x:v>توانمندسازی</x:v>
      </x:c>
      <x:c r="C64" s="39" t="str">
        <x:v>کارگاه‌های CV، LinkedIn و توسعه حرفه‌ای مبتنی بر نیاز واقعی</x:v>
      </x:c>
      <x:c r="D64" s="39" t="str">
        <x:v>P2</x:v>
      </x:c>
      <x:c r="E64" s="39" t="str">
        <x:v>طراحی در معماری زیست‌بوم؛ اجرا مرحله‌ای</x:v>
      </x:c>
      <x:c r="F64" s="39" t="str">
        <x:v>115:P7750-8046</x:v>
      </x:c>
    </x:row>
    <x:row r="65">
      <x:c r="A65" s="34" t="str">
        <x:v>N115-0088</x:v>
      </x:c>
      <x:c r="B65" s="34" t="str">
        <x:v>شبکه‌سازی</x:v>
      </x:c>
      <x:c r="C65" s="39" t="str">
        <x:v>اتصال فارغ‌التحصیلان، اساتید، افراد موفق و صاحبان کسب‌وکار به شبکه</x:v>
      </x:c>
      <x:c r="D65" s="39" t="str">
        <x:v>P2</x:v>
      </x:c>
      <x:c r="E65" s="39" t="str">
        <x:v>طراحی در معماری زیست‌بوم؛ اجرا مرحله‌ای</x:v>
      </x:c>
      <x:c r="F65" s="39" t="str">
        <x:v>115:P7750-8046</x:v>
      </x:c>
    </x:row>
    <x:row r="66">
      <x:c r="A66" s="34" t="str">
        <x:v>N115-0089</x:v>
      </x:c>
      <x:c r="B66" s="34" t="str">
        <x:v>پرونده 360 درجه</x:v>
      </x:c>
      <x:c r="C66" s="39" t="str">
        <x:v>تعریف پرونده فردی با وضعیت عضویت تیم، نقش، مرحله تیم، استعداد و رزومه</x:v>
      </x:c>
      <x:c r="D66" s="39" t="str">
        <x:v>P2</x:v>
      </x:c>
      <x:c r="E66" s="39" t="str">
        <x:v>طراحی در معماری زیست‌بوم؛ اجرا مرحله‌ای</x:v>
      </x:c>
      <x:c r="F66" s="39" t="str">
        <x:v>115:P7750-8046</x:v>
      </x:c>
    </x:row>
    <x:row r="67">
      <x:c r="A67" s="34" t="str">
        <x:v>N115-0090</x:v>
      </x:c>
      <x:c r="B67" s="34" t="str">
        <x:v>پیگیری</x:v>
      </x:c>
      <x:c r="C67" s="39" t="str">
        <x:v>تعریف بسامد پیگیری هر فرد (هفتگی/ماهانه/دوره‌ای) براساس لایه اهمیت</x:v>
      </x:c>
      <x:c r="D67" s="39" t="str">
        <x:v>P2</x:v>
      </x:c>
      <x:c r="E67" s="39" t="str">
        <x:v>طراحی در معماری زیست‌بوم؛ اجرا مرحله‌ای</x:v>
      </x:c>
      <x:c r="F67" s="39" t="str">
        <x:v>115:P7750-8046</x:v>
      </x:c>
    </x:row>
    <x:row r="68">
      <x:c r="A68" s="34" t="str">
        <x:v>N115-0091</x:v>
      </x:c>
      <x:c r="B68" s="34" t="str">
        <x:v>ارتباطات</x:v>
      </x:c>
      <x:c r="C68" s="39" t="str">
        <x:v>سامانه پیامکی/کانالی برای اطلاعیه، فرصت، رویداد، وام و دوره</x:v>
      </x:c>
      <x:c r="D68" s="39" t="str">
        <x:v>P2</x:v>
      </x:c>
      <x:c r="E68" s="39" t="str">
        <x:v>طراحی در معماری زیست‌بوم؛ اجرا مرحله‌ای</x:v>
      </x:c>
      <x:c r="F68" s="39" t="str">
        <x:v>115:P7750-8046</x:v>
      </x:c>
    </x:row>
    <x:row r="69">
      <x:c r="A69" s="34" t="str">
        <x:v>N115-0092</x:v>
      </x:c>
      <x:c r="B69" s="34" t="str">
        <x:v>جذب</x:v>
      </x:c>
      <x:c r="C69" s="39" t="str">
        <x:v>مدیریت سریع ورودی‌های انبوه رویداد و دسته‌بندی آن‌ها براساس استعداد و علاقه</x:v>
      </x:c>
      <x:c r="D69" s="39" t="str">
        <x:v>P2</x:v>
      </x:c>
      <x:c r="E69" s="39" t="str">
        <x:v>طراحی در معماری زیست‌بوم؛ اجرا مرحله‌ای</x:v>
      </x:c>
      <x:c r="F69" s="39" t="str">
        <x:v>115:P7750-8046</x:v>
      </x:c>
    </x:row>
    <x:row r="70">
      <x:c r="A70" s="34" t="str">
        <x:v>N115-0093</x:v>
      </x:c>
      <x:c r="B70" s="34" t="str">
        <x:v>عملیات شبکه</x:v>
      </x:c>
      <x:c r="C70" s="39" t="str">
        <x:v>دبیرخانه شبکه برای پیگیری افراد، تیم‌ها و منابع انسانی</x:v>
      </x:c>
      <x:c r="D70" s="39" t="str">
        <x:v>P2</x:v>
      </x:c>
      <x:c r="E70" s="39" t="str">
        <x:v>طراحی در معماری زیست‌بوم؛ اجرا مرحله‌ای</x:v>
      </x:c>
      <x:c r="F70" s="39" t="str">
        <x:v>115:P7750-8046</x:v>
      </x:c>
    </x:row>
    <x:row r="72">
      <x:c r="A72" s="26" t="str">
        <x:v>۹۸ افزوده جدید حاصل ممیزی</x:v>
      </x:c>
      <x:c r="B72" s="26"/>
      <x:c r="C72" s="26"/>
      <x:c r="D72" s="26"/>
      <x:c r="E72" s="26"/>
      <x:c r="F72" s="26"/>
      <x:c r="G72" s="26"/>
      <x:c r="H72" s="26"/>
      <x:c r="I72" s="26"/>
    </x:row>
    <x:row r="73">
      <x:c r="A73" s="26" t="str">
        <x:v>ID</x:v>
      </x:c>
      <x:c r="B73" s="26" t="str">
        <x:v>H</x:v>
      </x:c>
      <x:c r="C73" s="26" t="str">
        <x:v>عنوان دسته</x:v>
      </x:c>
      <x:c r="D73" s="26" t="str">
        <x:v>اولویت</x:v>
      </x:c>
      <x:c r="E73" s="26" t="str">
        <x:v>نوع</x:v>
      </x:c>
      <x:c r="F73" s="26" t="str">
        <x:v>عنوان</x:v>
      </x:c>
      <x:c r="G73" s="26" t="str">
        <x:v>تصمیم تیم</x:v>
      </x:c>
      <x:c r="H73" s="26" t="str">
        <x:v>برچسب</x:v>
      </x:c>
      <x:c r="I73" s="26" t="str">
        <x:v>منبع</x:v>
      </x:c>
    </x:row>
    <x:row r="74">
      <x:c r="A74" s="34" t="str">
        <x:v>N115-0001</x:v>
      </x:c>
      <x:c r="B74" s="34" t="str">
        <x:v>H18</x:v>
      </x:c>
      <x:c r="C74" s="34" t="str">
        <x:v>بانک مطالعه، منابع و موضوعات کنجکاوی</x:v>
      </x:c>
      <x:c r="D74" s="34" t="str">
        <x:v>BANK</x:v>
      </x:c>
      <x:c r="E74" s="34" t="str">
        <x:v>مطالعه/منبع</x:v>
      </x:c>
      <x:c r="F74" s="39" t="str">
        <x:v>هارتلند (Heartland)</x:v>
      </x:c>
      <x:c r="G74" s="39" t="str">
        <x:v>بانک مطالعه؛ بدون تخصیص زمان تا نیاز واقعی</x:v>
      </x:c>
      <x:c r="H74" s="39" t="str">
        <x:v>ژئواستراتژی</x:v>
      </x:c>
      <x:c r="I74" s="39" t="str">
        <x:v>115:P1506</x:v>
      </x:c>
    </x:row>
    <x:row r="75">
      <x:c r="A75" s="34" t="str">
        <x:v>N115-0002</x:v>
      </x:c>
      <x:c r="B75" s="34" t="str">
        <x:v>H18</x:v>
      </x:c>
      <x:c r="C75" s="34" t="str">
        <x:v>بانک مطالعه، منابع و موضوعات کنجکاوی</x:v>
      </x:c>
      <x:c r="D75" s="34" t="str">
        <x:v>BANK</x:v>
      </x:c>
      <x:c r="E75" s="34" t="str">
        <x:v>مطالعه/منبع</x:v>
      </x:c>
      <x:c r="F75" s="39" t="str">
        <x:v>ریملند (Rimland)</x:v>
      </x:c>
      <x:c r="G75" s="39" t="str">
        <x:v>بانک مطالعه؛ بدون تخصیص زمان تا نیاز واقعی</x:v>
      </x:c>
      <x:c r="H75" s="39" t="str">
        <x:v>ژئواستراتژی</x:v>
      </x:c>
      <x:c r="I75" s="39" t="str">
        <x:v>115:P1506</x:v>
      </x:c>
    </x:row>
    <x:row r="76">
      <x:c r="A76" s="34" t="str">
        <x:v>N115-0003</x:v>
      </x:c>
      <x:c r="B76" s="34" t="str">
        <x:v>H18</x:v>
      </x:c>
      <x:c r="C76" s="34" t="str">
        <x:v>بانک مطالعه، منابع و موضوعات کنجکاوی</x:v>
      </x:c>
      <x:c r="D76" s="34" t="str">
        <x:v>BANK</x:v>
      </x:c>
      <x:c r="E76" s="34" t="str">
        <x:v>مطالعه/منبع</x:v>
      </x:c>
      <x:c r="F76" s="39" t="str">
        <x:v>ژئوپلیتیک فضا (Astropolitics)</x:v>
      </x:c>
      <x:c r="G76" s="39" t="str">
        <x:v>بانک مطالعه</x:v>
      </x:c>
      <x:c r="H76" s="39" t="str">
        <x:v>ژئواستراتژی</x:v>
      </x:c>
      <x:c r="I76" s="39" t="str">
        <x:v>115:P1506</x:v>
      </x:c>
    </x:row>
    <x:row r="77">
      <x:c r="A77" s="34" t="str">
        <x:v>N115-0004</x:v>
      </x:c>
      <x:c r="B77" s="34" t="str">
        <x:v>H18</x:v>
      </x:c>
      <x:c r="C77" s="34" t="str">
        <x:v>بانک مطالعه، منابع و موضوعات کنجکاوی</x:v>
      </x:c>
      <x:c r="D77" s="34" t="str">
        <x:v>BANK</x:v>
      </x:c>
      <x:c r="E77" s="34" t="str">
        <x:v>مطالعه/منبع</x:v>
      </x:c>
      <x:c r="F77" s="39" t="str">
        <x:v>نظم پسا-آمریکایی</x:v>
      </x:c>
      <x:c r="G77" s="39" t="str">
        <x:v>بانک مطالعه</x:v>
      </x:c>
      <x:c r="H77" s="39" t="str">
        <x:v>ژئواستراتژی</x:v>
      </x:c>
      <x:c r="I77" s="39" t="str">
        <x:v>115:P1507</x:v>
      </x:c>
    </x:row>
    <x:row r="78">
      <x:c r="A78" s="34" t="str">
        <x:v>N115-0005</x:v>
      </x:c>
      <x:c r="B78" s="34" t="str">
        <x:v>H18</x:v>
      </x:c>
      <x:c r="C78" s="34" t="str">
        <x:v>بانک مطالعه، منابع و موضوعات کنجکاوی</x:v>
      </x:c>
      <x:c r="D78" s="34" t="str">
        <x:v>BANK</x:v>
      </x:c>
      <x:c r="E78" s="34" t="str">
        <x:v>مطالعه/منبع</x:v>
      </x:c>
      <x:c r="F78" s="39" t="str">
        <x:v>جهان جی-صفر (G-Zero)</x:v>
      </x:c>
      <x:c r="G78" s="39" t="str">
        <x:v>بانک مطالعه</x:v>
      </x:c>
      <x:c r="H78" s="39" t="str">
        <x:v>ژئواستراتژی</x:v>
      </x:c>
      <x:c r="I78" s="39" t="str">
        <x:v>115:P1507</x:v>
      </x:c>
    </x:row>
    <x:row r="79">
      <x:c r="A79" s="34" t="str">
        <x:v>N115-0006</x:v>
      </x:c>
      <x:c r="B79" s="34" t="str">
        <x:v>H18</x:v>
      </x:c>
      <x:c r="C79" s="34" t="str">
        <x:v>بانک مطالعه، منابع و موضوعات کنجکاوی</x:v>
      </x:c>
      <x:c r="D79" s="34" t="str">
        <x:v>BANK</x:v>
      </x:c>
      <x:c r="E79" s="34" t="str">
        <x:v>مطالعه/منبع</x:v>
      </x:c>
      <x:c r="F79" s="39" t="str">
        <x:v>چندقطبی شدن نظام بین‌الملل</x:v>
      </x:c>
      <x:c r="G79" s="39" t="str">
        <x:v>بانک مطالعه</x:v>
      </x:c>
      <x:c r="H79" s="39" t="str">
        <x:v>ژئواستراتژی</x:v>
      </x:c>
      <x:c r="I79" s="39" t="str">
        <x:v>115:P1507</x:v>
      </x:c>
    </x:row>
    <x:row r="80">
      <x:c r="A80" s="34" t="str">
        <x:v>N115-0007</x:v>
      </x:c>
      <x:c r="B80" s="34" t="str">
        <x:v>H18</x:v>
      </x:c>
      <x:c r="C80" s="34" t="str">
        <x:v>بانک مطالعه، منابع و موضوعات کنجکاوی</x:v>
      </x:c>
      <x:c r="D80" s="34" t="str">
        <x:v>BANK</x:v>
      </x:c>
      <x:c r="E80" s="34" t="str">
        <x:v>مطالعه/منبع</x:v>
      </x:c>
      <x:c r="F80" s="39" t="str">
        <x:v>بالکانیزه شدن به‌عنوان سناریوی ژئوپلیتیکی</x:v>
      </x:c>
      <x:c r="G80" s="39" t="str">
        <x:v>بانک مطالعه</x:v>
      </x:c>
      <x:c r="H80" s="39" t="str">
        <x:v>ژئواستراتژی</x:v>
      </x:c>
      <x:c r="I80" s="39" t="str">
        <x:v>115:P1508</x:v>
      </x:c>
    </x:row>
    <x:row r="81">
      <x:c r="A81" s="34" t="str">
        <x:v>N115-0008</x:v>
      </x:c>
      <x:c r="B81" s="34" t="str">
        <x:v>H18</x:v>
      </x:c>
      <x:c r="C81" s="34" t="str">
        <x:v>بانک مطالعه، منابع و موضوعات کنجکاوی</x:v>
      </x:c>
      <x:c r="D81" s="34" t="str">
        <x:v>BANK</x:v>
      </x:c>
      <x:c r="E81" s="34" t="str">
        <x:v>مطالعه/منبع</x:v>
      </x:c>
      <x:c r="F81" s="39" t="str">
        <x:v>سناریوی حمله زنبوری تنگه هرمز</x:v>
      </x:c>
      <x:c r="G81" s="39" t="str">
        <x:v>بانک مطالعه</x:v>
      </x:c>
      <x:c r="H81" s="39" t="str">
        <x:v>ژئواستراتژی</x:v>
      </x:c>
      <x:c r="I81" s="39" t="str">
        <x:v>115:P1508</x:v>
      </x:c>
    </x:row>
    <x:row r="82">
      <x:c r="A82" s="34" t="str">
        <x:v>N115-0009</x:v>
      </x:c>
      <x:c r="B82" s="34" t="str">
        <x:v>H18</x:v>
      </x:c>
      <x:c r="C82" s="34" t="str">
        <x:v>بانک مطالعه، منابع و موضوعات کنجکاوی</x:v>
      </x:c>
      <x:c r="D82" s="34" t="str">
        <x:v>BANK</x:v>
      </x:c>
      <x:c r="E82" s="34" t="str">
        <x:v>مطالعه/منبع</x:v>
      </x:c>
      <x:c r="F82" s="39" t="str">
        <x:v>کریدور شمال-جنوب و کمربند-جاده</x:v>
      </x:c>
      <x:c r="G82" s="39" t="str">
        <x:v>بانک مطالعه</x:v>
      </x:c>
      <x:c r="H82" s="39" t="str">
        <x:v>ژئواستراتژی</x:v>
      </x:c>
      <x:c r="I82" s="39" t="str">
        <x:v>115:P1508</x:v>
      </x:c>
    </x:row>
    <x:row r="83">
      <x:c r="A83" s="34" t="str">
        <x:v>N115-0010</x:v>
      </x:c>
      <x:c r="B83" s="34" t="str">
        <x:v>H18</x:v>
      </x:c>
      <x:c r="C83" s="34" t="str">
        <x:v>بانک مطالعه، منابع و موضوعات کنجکاوی</x:v>
      </x:c>
      <x:c r="D83" s="34" t="str">
        <x:v>BANK</x:v>
      </x:c>
      <x:c r="E83" s="34" t="str">
        <x:v>مطالعه/منبع</x:v>
      </x:c>
      <x:c r="F83" s="39" t="str">
        <x:v>بریکس پلاس، سازمان شانگهای و AIIB</x:v>
      </x:c>
      <x:c r="G83" s="39" t="str">
        <x:v>بانک مطالعه</x:v>
      </x:c>
      <x:c r="H83" s="39" t="str">
        <x:v>ژئواستراتژی</x:v>
      </x:c>
      <x:c r="I83" s="39" t="str">
        <x:v>115:P1509</x:v>
      </x:c>
    </x:row>
    <x:row r="84">
      <x:c r="A84" s="34" t="str">
        <x:v>N115-0011</x:v>
      </x:c>
      <x:c r="B84" s="34" t="str">
        <x:v>H18</x:v>
      </x:c>
      <x:c r="C84" s="34" t="str">
        <x:v>بانک مطالعه، منابع و موضوعات کنجکاوی</x:v>
      </x:c>
      <x:c r="D84" s="34" t="str">
        <x:v>BANK</x:v>
      </x:c>
      <x:c r="E84" s="34" t="str">
        <x:v>مطالعه/منبع</x:v>
      </x:c>
      <x:c r="F84" s="39" t="str">
        <x:v>مطالعه برژینسکی</x:v>
      </x:c>
      <x:c r="G84" s="39" t="str">
        <x:v>بانک مطالعه</x:v>
      </x:c>
      <x:c r="H84" s="39" t="str">
        <x:v>ژئواستراتژی</x:v>
      </x:c>
      <x:c r="I84" s="39" t="str">
        <x:v>115:P1510</x:v>
      </x:c>
    </x:row>
    <x:row r="85">
      <x:c r="A85" s="34" t="str">
        <x:v>N115-0012</x:v>
      </x:c>
      <x:c r="B85" s="34" t="str">
        <x:v>H18</x:v>
      </x:c>
      <x:c r="C85" s="34" t="str">
        <x:v>بانک مطالعه، منابع و موضوعات کنجکاوی</x:v>
      </x:c>
      <x:c r="D85" s="34" t="str">
        <x:v>BANK</x:v>
      </x:c>
      <x:c r="E85" s="34" t="str">
        <x:v>مطالعه/منبع</x:v>
      </x:c>
      <x:c r="F85" s="39" t="str">
        <x:v>مطالعه کودتای پینوشه</x:v>
      </x:c>
      <x:c r="G85" s="39" t="str">
        <x:v>بانک مطالعه</x:v>
      </x:c>
      <x:c r="H85" s="39" t="str">
        <x:v>تاریخ/سیاست</x:v>
      </x:c>
      <x:c r="I85" s="39" t="str">
        <x:v>115:P1510</x:v>
      </x:c>
    </x:row>
    <x:row r="86">
      <x:c r="A86" s="34" t="str">
        <x:v>N115-0013</x:v>
      </x:c>
      <x:c r="B86" s="34" t="str">
        <x:v>H18</x:v>
      </x:c>
      <x:c r="C86" s="34" t="str">
        <x:v>بانک مطالعه، منابع و موضوعات کنجکاوی</x:v>
      </x:c>
      <x:c r="D86" s="34" t="str">
        <x:v>BANK</x:v>
      </x:c>
      <x:c r="E86" s="34" t="str">
        <x:v>مطالعه/منبع</x:v>
      </x:c>
      <x:c r="F86" s="39" t="str">
        <x:v>اشغال عراق به‌عنوان مطالعه موردی</x:v>
      </x:c>
      <x:c r="G86" s="39" t="str">
        <x:v>بانک مطالعه</x:v>
      </x:c>
      <x:c r="H86" s="39" t="str">
        <x:v>تاریخ/سیاست</x:v>
      </x:c>
      <x:c r="I86" s="39" t="str">
        <x:v>115:P1511</x:v>
      </x:c>
    </x:row>
    <x:row r="87">
      <x:c r="A87" s="34" t="str">
        <x:v>N115-0014</x:v>
      </x:c>
      <x:c r="B87" s="34" t="str">
        <x:v>H18</x:v>
      </x:c>
      <x:c r="C87" s="34" t="str">
        <x:v>بانک مطالعه، منابع و موضوعات کنجکاوی</x:v>
      </x:c>
      <x:c r="D87" s="34" t="str">
        <x:v>BANK</x:v>
      </x:c>
      <x:c r="E87" s="34" t="str">
        <x:v>مطالعه/منبع</x:v>
      </x:c>
      <x:c r="F87" s="39" t="str">
        <x:v>جنگ نسل ششم</x:v>
      </x:c>
      <x:c r="G87" s="39" t="str">
        <x:v>بانک مطالعه؛ موضوع راهبردی</x:v>
      </x:c>
      <x:c r="H87" s="39" t="str">
        <x:v>امنیت/راهبرد</x:v>
      </x:c>
      <x:c r="I87" s="39" t="str">
        <x:v>115:P1520</x:v>
      </x:c>
    </x:row>
    <x:row r="88">
      <x:c r="A88" s="34" t="str">
        <x:v>N115-0015</x:v>
      </x:c>
      <x:c r="B88" s="34" t="str">
        <x:v>H18</x:v>
      </x:c>
      <x:c r="C88" s="34" t="str">
        <x:v>بانک مطالعه، منابع و موضوعات کنجکاوی</x:v>
      </x:c>
      <x:c r="D88" s="34" t="str">
        <x:v>BANK</x:v>
      </x:c>
      <x:c r="E88" s="34" t="str">
        <x:v>مطالعه/منبع</x:v>
      </x:c>
      <x:c r="F88" s="39" t="str">
        <x:v>جنگ سایبر-فیزیکی</x:v>
      </x:c>
      <x:c r="G88" s="39" t="str">
        <x:v>بانک مطالعه</x:v>
      </x:c>
      <x:c r="H88" s="39" t="str">
        <x:v>امنیت/راهبرد</x:v>
      </x:c>
      <x:c r="I88" s="39" t="str">
        <x:v>115:P1520</x:v>
      </x:c>
    </x:row>
    <x:row r="89">
      <x:c r="A89" s="34" t="str">
        <x:v>N115-0016</x:v>
      </x:c>
      <x:c r="B89" s="34" t="str">
        <x:v>H18</x:v>
      </x:c>
      <x:c r="C89" s="34" t="str">
        <x:v>بانک مطالعه، منابع و موضوعات کنجکاوی</x:v>
      </x:c>
      <x:c r="D89" s="34" t="str">
        <x:v>BANK</x:v>
      </x:c>
      <x:c r="E89" s="34" t="str">
        <x:v>مطالعه/منبع</x:v>
      </x:c>
      <x:c r="F89" s="39" t="str">
        <x:v>جنگ هیبریدی</x:v>
      </x:c>
      <x:c r="G89" s="39" t="str">
        <x:v>بانک مطالعه</x:v>
      </x:c>
      <x:c r="H89" s="39" t="str">
        <x:v>امنیت/راهبرد</x:v>
      </x:c>
      <x:c r="I89" s="39" t="str">
        <x:v>115:P1520</x:v>
      </x:c>
    </x:row>
    <x:row r="90">
      <x:c r="A90" s="34" t="str">
        <x:v>N115-0017</x:v>
      </x:c>
      <x:c r="B90" s="34" t="str">
        <x:v>H18</x:v>
      </x:c>
      <x:c r="C90" s="34" t="str">
        <x:v>بانک مطالعه، منابع و موضوعات کنجکاوی</x:v>
      </x:c>
      <x:c r="D90" s="34" t="str">
        <x:v>BANK</x:v>
      </x:c>
      <x:c r="E90" s="34" t="str">
        <x:v>مطالعه/منبع</x:v>
      </x:c>
      <x:c r="F90" s="39" t="str">
        <x:v>آفند برق‌آسا</x:v>
      </x:c>
      <x:c r="G90" s="39" t="str">
        <x:v>بانک مطالعه</x:v>
      </x:c>
      <x:c r="H90" s="39" t="str">
        <x:v>امنیت/راهبرد</x:v>
      </x:c>
      <x:c r="I90" s="39" t="str">
        <x:v>115:P1520</x:v>
      </x:c>
    </x:row>
    <x:row r="91">
      <x:c r="A91" s="34" t="str">
        <x:v>N115-0018</x:v>
      </x:c>
      <x:c r="B91" s="34" t="str">
        <x:v>H18</x:v>
      </x:c>
      <x:c r="C91" s="34" t="str">
        <x:v>بانک مطالعه، منابع و موضوعات کنجکاوی</x:v>
      </x:c>
      <x:c r="D91" s="34" t="str">
        <x:v>REFERENCE</x:v>
      </x:c>
      <x:c r="E91" s="34" t="str">
        <x:v>مطالعه/منبع</x:v>
      </x:c>
      <x:c r="F91" s="39" t="str">
        <x:v>سامانه پاتریوت</x:v>
      </x:c>
      <x:c r="G91" s="39" t="str">
        <x:v>مرجع مطالعاتی</x:v>
      </x:c>
      <x:c r="H91" s="39" t="str">
        <x:v>سامانه‌های پدافندی</x:v>
      </x:c>
      <x:c r="I91" s="39" t="str">
        <x:v>115:P1521</x:v>
      </x:c>
    </x:row>
    <x:row r="92">
      <x:c r="A92" s="34" t="str">
        <x:v>N115-0019</x:v>
      </x:c>
      <x:c r="B92" s="34" t="str">
        <x:v>H18</x:v>
      </x:c>
      <x:c r="C92" s="34" t="str">
        <x:v>بانک مطالعه، منابع و موضوعات کنجکاوی</x:v>
      </x:c>
      <x:c r="D92" s="34" t="str">
        <x:v>REFERENCE</x:v>
      </x:c>
      <x:c r="E92" s="34" t="str">
        <x:v>مطالعه/منبع</x:v>
      </x:c>
      <x:c r="F92" s="39" t="str">
        <x:v>سامانه تاد (THAAD)</x:v>
      </x:c>
      <x:c r="G92" s="39" t="str">
        <x:v>مرجع مطالعاتی</x:v>
      </x:c>
      <x:c r="H92" s="39" t="str">
        <x:v>سامانه‌های پدافندی</x:v>
      </x:c>
      <x:c r="I92" s="39" t="str">
        <x:v>115:P1521</x:v>
      </x:c>
    </x:row>
    <x:row r="93">
      <x:c r="A93" s="34" t="str">
        <x:v>N115-0020</x:v>
      </x:c>
      <x:c r="B93" s="34" t="str">
        <x:v>H18</x:v>
      </x:c>
      <x:c r="C93" s="34" t="str">
        <x:v>بانک مطالعه، منابع و موضوعات کنجکاوی</x:v>
      </x:c>
      <x:c r="D93" s="34" t="str">
        <x:v>REFERENCE</x:v>
      </x:c>
      <x:c r="E93" s="34" t="str">
        <x:v>مطالعه/منبع</x:v>
      </x:c>
      <x:c r="F93" s="39" t="str">
        <x:v>گنبد آهنین</x:v>
      </x:c>
      <x:c r="G93" s="39" t="str">
        <x:v>مرجع مطالعاتی</x:v>
      </x:c>
      <x:c r="H93" s="39" t="str">
        <x:v>سامانه‌های پدافندی</x:v>
      </x:c>
      <x:c r="I93" s="39" t="str">
        <x:v>115:P1521</x:v>
      </x:c>
    </x:row>
    <x:row r="94">
      <x:c r="A94" s="34" t="str">
        <x:v>N115-0021</x:v>
      </x:c>
      <x:c r="B94" s="34" t="str">
        <x:v>H18</x:v>
      </x:c>
      <x:c r="C94" s="34" t="str">
        <x:v>بانک مطالعه، منابع و موضوعات کنجکاوی</x:v>
      </x:c>
      <x:c r="D94" s="34" t="str">
        <x:v>REFERENCE</x:v>
      </x:c>
      <x:c r="E94" s="34" t="str">
        <x:v>مطالعه/منبع</x:v>
      </x:c>
      <x:c r="F94" s="39" t="str">
        <x:v>باور ۳۷۳</x:v>
      </x:c>
      <x:c r="G94" s="39" t="str">
        <x:v>مرجع مطالعاتی</x:v>
      </x:c>
      <x:c r="H94" s="39" t="str">
        <x:v>سامانه‌های پدافندی</x:v>
      </x:c>
      <x:c r="I94" s="39" t="str">
        <x:v>115:P1521</x:v>
      </x:c>
    </x:row>
    <x:row r="95">
      <x:c r="A95" s="34" t="str">
        <x:v>N115-0022</x:v>
      </x:c>
      <x:c r="B95" s="34" t="str">
        <x:v>H18</x:v>
      </x:c>
      <x:c r="C95" s="34" t="str">
        <x:v>بانک مطالعه، منابع و موضوعات کنجکاوی</x:v>
      </x:c>
      <x:c r="D95" s="34" t="str">
        <x:v>BANK</x:v>
      </x:c>
      <x:c r="E95" s="34" t="str">
        <x:v>مطالعه/منبع</x:v>
      </x:c>
      <x:c r="F95" s="39" t="str">
        <x:v>تسلیحات مبتنی بر هوش مصنوعی</x:v>
      </x:c>
      <x:c r="G95" s="39" t="str">
        <x:v>بانک مطالعه</x:v>
      </x:c>
      <x:c r="H95" s="39" t="str">
        <x:v>امنیت/فناوری</x:v>
      </x:c>
      <x:c r="I95" s="39" t="str">
        <x:v>115:P1521</x:v>
      </x:c>
    </x:row>
    <x:row r="96">
      <x:c r="A96" s="34" t="str">
        <x:v>N115-0023</x:v>
      </x:c>
      <x:c r="B96" s="34" t="str">
        <x:v>H18</x:v>
      </x:c>
      <x:c r="C96" s="34" t="str">
        <x:v>بانک مطالعه، منابع و موضوعات کنجکاوی</x:v>
      </x:c>
      <x:c r="D96" s="34" t="str">
        <x:v>BANK</x:v>
      </x:c>
      <x:c r="E96" s="34" t="str">
        <x:v>مطالعه/منبع</x:v>
      </x:c>
      <x:c r="F96" s="39" t="str">
        <x:v>نفوذ نخبگانی و مدل‌های اطلاعاتی KGB</x:v>
      </x:c>
      <x:c r="G96" s="39" t="str">
        <x:v>بانک مطالعه</x:v>
      </x:c>
      <x:c r="H96" s="39" t="str">
        <x:v>امنیت/اطلاعات</x:v>
      </x:c>
      <x:c r="I96" s="39" t="str">
        <x:v>115:P1522</x:v>
      </x:c>
    </x:row>
    <x:row r="97">
      <x:c r="A97" s="34" t="str">
        <x:v>N115-0024</x:v>
      </x:c>
      <x:c r="B97" s="34" t="str">
        <x:v>H18</x:v>
      </x:c>
      <x:c r="C97" s="34" t="str">
        <x:v>بانک مطالعه، منابع و موضوعات کنجکاوی</x:v>
      </x:c>
      <x:c r="D97" s="34" t="str">
        <x:v>BANK</x:v>
      </x:c>
      <x:c r="E97" s="34" t="str">
        <x:v>مطالعه/منبع</x:v>
      </x:c>
      <x:c r="F97" s="39" t="str">
        <x:v>اقتصاد سایه</x:v>
      </x:c>
      <x:c r="G97" s="39" t="str">
        <x:v>بانک مطالعه</x:v>
      </x:c>
      <x:c r="H97" s="39" t="str">
        <x:v>ژئواکونومی</x:v>
      </x:c>
      <x:c r="I97" s="39" t="str">
        <x:v>115:P1530</x:v>
      </x:c>
    </x:row>
    <x:row r="98">
      <x:c r="A98" s="34" t="str">
        <x:v>N115-0025</x:v>
      </x:c>
      <x:c r="B98" s="34" t="str">
        <x:v>H18</x:v>
      </x:c>
      <x:c r="C98" s="34" t="str">
        <x:v>بانک مطالعه، منابع و موضوعات کنجکاوی</x:v>
      </x:c>
      <x:c r="D98" s="34" t="str">
        <x:v>BANK</x:v>
      </x:c>
      <x:c r="E98" s="34" t="str">
        <x:v>مطالعه/منبع</x:v>
      </x:c>
      <x:c r="F98" s="39" t="str">
        <x:v>بیماری هلندی</x:v>
      </x:c>
      <x:c r="G98" s="39" t="str">
        <x:v>بانک مطالعه</x:v>
      </x:c>
      <x:c r="H98" s="39" t="str">
        <x:v>ژئواکونومی</x:v>
      </x:c>
      <x:c r="I98" s="39" t="str">
        <x:v>115:P1530</x:v>
      </x:c>
    </x:row>
    <x:row r="99">
      <x:c r="A99" s="34" t="str">
        <x:v>N115-0026</x:v>
      </x:c>
      <x:c r="B99" s="34" t="str">
        <x:v>H18</x:v>
      </x:c>
      <x:c r="C99" s="34" t="str">
        <x:v>بانک مطالعه، منابع و موضوعات کنجکاوی</x:v>
      </x:c>
      <x:c r="D99" s="34" t="str">
        <x:v>BANK</x:v>
      </x:c>
      <x:c r="E99" s="34" t="str">
        <x:v>مطالعه/منبع</x:v>
      </x:c>
      <x:c r="F99" s="39" t="str">
        <x:v>زنجیره ارزش جهانی (GVC)</x:v>
      </x:c>
      <x:c r="G99" s="39" t="str">
        <x:v>بانک مطالعه</x:v>
      </x:c>
      <x:c r="H99" s="39" t="str">
        <x:v>ژئواکونومی</x:v>
      </x:c>
      <x:c r="I99" s="39" t="str">
        <x:v>115:P1530</x:v>
      </x:c>
    </x:row>
    <x:row r="100">
      <x:c r="A100" s="34" t="str">
        <x:v>N115-0027</x:v>
      </x:c>
      <x:c r="B100" s="34" t="str">
        <x:v>H18</x:v>
      </x:c>
      <x:c r="C100" s="34" t="str">
        <x:v>بانک مطالعه، منابع و موضوعات کنجکاوی</x:v>
      </x:c>
      <x:c r="D100" s="34" t="str">
        <x:v>BANK</x:v>
      </x:c>
      <x:c r="E100" s="34" t="str">
        <x:v>مطالعه/منبع</x:v>
      </x:c>
      <x:c r="F100" s="39" t="str">
        <x:v>انتقال کشتی به کشتی (STS) در تجارت انرژی</x:v>
      </x:c>
      <x:c r="G100" s="39" t="str">
        <x:v>بانک مطالعه</x:v>
      </x:c>
      <x:c r="H100" s="39" t="str">
        <x:v>ژئواکونومی</x:v>
      </x:c>
      <x:c r="I100" s="39" t="str">
        <x:v>115:P1531</x:v>
      </x:c>
    </x:row>
    <x:row r="101">
      <x:c r="A101" s="34" t="str">
        <x:v>N115-0028</x:v>
      </x:c>
      <x:c r="B101" s="34" t="str">
        <x:v>H18</x:v>
      </x:c>
      <x:c r="C101" s="34" t="str">
        <x:v>بانک مطالعه، منابع و موضوعات کنجکاوی</x:v>
      </x:c>
      <x:c r="D101" s="34" t="str">
        <x:v>BANK</x:v>
      </x:c>
      <x:c r="E101" s="34" t="str">
        <x:v>مطالعه/منبع</x:v>
      </x:c>
      <x:c r="F101" s="39" t="str">
        <x:v>کم‌اظهاری تجاری (Undervoicing)</x:v>
      </x:c>
      <x:c r="G101" s="39" t="str">
        <x:v>بانک مطالعه</x:v>
      </x:c>
      <x:c r="H101" s="39" t="str">
        <x:v>ژئواکونومی</x:v>
      </x:c>
      <x:c r="I101" s="39" t="str">
        <x:v>115:P1531</x:v>
      </x:c>
    </x:row>
    <x:row r="102">
      <x:c r="A102" s="34" t="str">
        <x:v>N115-0029</x:v>
      </x:c>
      <x:c r="B102" s="34" t="str">
        <x:v>H18</x:v>
      </x:c>
      <x:c r="C102" s="34" t="str">
        <x:v>بانک مطالعه، منابع و موضوعات کنجکاوی</x:v>
      </x:c>
      <x:c r="D102" s="34" t="str">
        <x:v>BANK</x:v>
      </x:c>
      <x:c r="E102" s="34" t="str">
        <x:v>مطالعه/منبع</x:v>
      </x:c>
      <x:c r="F102" s="39" t="str">
        <x:v>دلارزدایی</x:v>
      </x:c>
      <x:c r="G102" s="39" t="str">
        <x:v>بانک مطالعه</x:v>
      </x:c>
      <x:c r="H102" s="39" t="str">
        <x:v>ژئواکونومی</x:v>
      </x:c>
      <x:c r="I102" s="39" t="str">
        <x:v>115:P1531</x:v>
      </x:c>
    </x:row>
    <x:row r="103">
      <x:c r="A103" s="34" t="str">
        <x:v>N115-0030</x:v>
      </x:c>
      <x:c r="B103" s="34" t="str">
        <x:v>H18</x:v>
      </x:c>
      <x:c r="C103" s="34" t="str">
        <x:v>بانک مطالعه، منابع و موضوعات کنجکاوی</x:v>
      </x:c>
      <x:c r="D103" s="34" t="str">
        <x:v>BANK</x:v>
      </x:c>
      <x:c r="E103" s="34" t="str">
        <x:v>مطالعه/منبع</x:v>
      </x:c>
      <x:c r="F103" s="39" t="str">
        <x:v>بلاکچین و CBDC</x:v>
      </x:c>
      <x:c r="G103" s="39" t="str">
        <x:v>بانک مطالعه</x:v>
      </x:c>
      <x:c r="H103" s="39" t="str">
        <x:v>فین‌تک</x:v>
      </x:c>
      <x:c r="I103" s="39" t="str">
        <x:v>115:P1536</x:v>
      </x:c>
    </x:row>
    <x:row r="104">
      <x:c r="A104" s="34" t="str">
        <x:v>N115-0031</x:v>
      </x:c>
      <x:c r="B104" s="34" t="str">
        <x:v>H18</x:v>
      </x:c>
      <x:c r="C104" s="34" t="str">
        <x:v>بانک مطالعه، منابع و موضوعات کنجکاوی</x:v>
      </x:c>
      <x:c r="D104" s="34" t="str">
        <x:v>BANK</x:v>
      </x:c>
      <x:c r="E104" s="34" t="str">
        <x:v>مطالعه/منبع</x:v>
      </x:c>
      <x:c r="F104" s="39" t="str">
        <x:v>رمزارز در شرایط تحریم</x:v>
      </x:c>
      <x:c r="G104" s="39" t="str">
        <x:v>بانک مطالعه</x:v>
      </x:c>
      <x:c r="H104" s="39" t="str">
        <x:v>فین‌تک</x:v>
      </x:c>
      <x:c r="I104" s="39" t="str">
        <x:v>115:P1536</x:v>
      </x:c>
    </x:row>
    <x:row r="105">
      <x:c r="A105" s="34" t="str">
        <x:v>N115-0032</x:v>
      </x:c>
      <x:c r="B105" s="34" t="str">
        <x:v>H16</x:v>
      </x:c>
      <x:c r="C105" s="34" t="str">
        <x:v>سیاست، حکمرانی، حقوق و اقتصاد کلان</x:v>
      </x:c>
      <x:c r="D105" s="34" t="str">
        <x:v>BANK</x:v>
      </x:c>
      <x:c r="E105" s="34" t="str">
        <x:v>مطالعه/منبع</x:v>
      </x:c>
      <x:c r="F105" s="39" t="str">
        <x:v>جنگ حقوقی (Lawfare)</x:v>
      </x:c>
      <x:c r="G105" s="39" t="str">
        <x:v>بانک مطالعه حقوقی</x:v>
      </x:c>
      <x:c r="H105" s="39" t="str">
        <x:v>حقوق/حکمرانی</x:v>
      </x:c>
      <x:c r="I105" s="39" t="str">
        <x:v>115:P1539</x:v>
      </x:c>
    </x:row>
    <x:row r="106">
      <x:c r="A106" s="34" t="str">
        <x:v>N115-0033</x:v>
      </x:c>
      <x:c r="B106" s="34" t="str">
        <x:v>H16</x:v>
      </x:c>
      <x:c r="C106" s="34" t="str">
        <x:v>سیاست، حکمرانی، حقوق و اقتصاد کلان</x:v>
      </x:c>
      <x:c r="D106" s="34" t="str">
        <x:v>BANK</x:v>
      </x:c>
      <x:c r="E106" s="34" t="str">
        <x:v>مطالعه/منبع</x:v>
      </x:c>
      <x:c r="F106" s="39" t="str">
        <x:v>FATF و ICC به‌عنوان موضوع مطالعه حقوقی</x:v>
      </x:c>
      <x:c r="G106" s="39" t="str">
        <x:v>بانک مطالعه حقوقی</x:v>
      </x:c>
      <x:c r="H106" s="39" t="str">
        <x:v>حقوق/حکمرانی</x:v>
      </x:c>
      <x:c r="I106" s="39" t="str">
        <x:v>115:P1539</x:v>
      </x:c>
    </x:row>
    <x:row r="107">
      <x:c r="A107" s="34" t="str">
        <x:v>N115-0034</x:v>
      </x:c>
      <x:c r="B107" s="34" t="str">
        <x:v>H16</x:v>
      </x:c>
      <x:c r="C107" s="34" t="str">
        <x:v>سیاست، حکمرانی، حقوق و اقتصاد کلان</x:v>
      </x:c>
      <x:c r="D107" s="34" t="str">
        <x:v>P2</x:v>
      </x:c>
      <x:c r="E107" s="34" t="str">
        <x:v>مهارت/یادگیری</x:v>
      </x:c>
      <x:c r="F107" s="39" t="str">
        <x:v>قراردادهای هوشمند و حقوق سایبری</x:v>
      </x:c>
      <x:c r="G107" s="39" t="str">
        <x:v>یادگیری پروژه‌محور در صورت نیاز شغلی</x:v>
      </x:c>
      <x:c r="H107" s="39" t="str">
        <x:v>حقوق/فناوری</x:v>
      </x:c>
      <x:c r="I107" s="39" t="str">
        <x:v>115:P1540</x:v>
      </x:c>
    </x:row>
    <x:row r="108">
      <x:c r="A108" s="34" t="str">
        <x:v>N115-0035</x:v>
      </x:c>
      <x:c r="B108" s="34" t="str">
        <x:v>H8</x:v>
      </x:c>
      <x:c r="C108" s="34" t="str">
        <x:v>کسب‌وکار، فروش، بازاریابی و مالی</x:v>
      </x:c>
      <x:c r="D108" s="34" t="str">
        <x:v>P2</x:v>
      </x:c>
      <x:c r="E108" s="34" t="str">
        <x:v>مهارت/یادگیری</x:v>
      </x:c>
      <x:c r="F108" s="39" t="str">
        <x:v>قوانین صادرات و واردات</x:v>
      </x:c>
      <x:c r="G108" s="39" t="str">
        <x:v>یادگیری در مسیر تجارت/کارت بازرگانی</x:v>
      </x:c>
      <x:c r="H108" s="39" t="str">
        <x:v>تجارت</x:v>
      </x:c>
      <x:c r="I108" s="39" t="str">
        <x:v>115:P1542</x:v>
      </x:c>
    </x:row>
    <x:row r="109">
      <x:c r="A109" s="34" t="str">
        <x:v>N115-0036</x:v>
      </x:c>
      <x:c r="B109" s="34" t="str">
        <x:v>H8</x:v>
      </x:c>
      <x:c r="C109" s="34" t="str">
        <x:v>کسب‌وکار، فروش، بازاریابی و مالی</x:v>
      </x:c>
      <x:c r="D109" s="34" t="str">
        <x:v>P2</x:v>
      </x:c>
      <x:c r="E109" s="34" t="str">
        <x:v>مهارت/یادگیری</x:v>
      </x:c>
      <x:c r="F109" s="39" t="str">
        <x:v>تنظیم قراردادهای تجاری و پیمانکاری</x:v>
      </x:c>
      <x:c r="G109" s="39" t="str">
        <x:v>یادگیری کاربردی</x:v>
      </x:c>
      <x:c r="H109" s="39" t="str">
        <x:v>تجارت</x:v>
      </x:c>
      <x:c r="I109" s="39" t="str">
        <x:v>115:P1543</x:v>
      </x:c>
    </x:row>
    <x:row r="110">
      <x:c r="A110" s="34" t="str">
        <x:v>N115-0037</x:v>
      </x:c>
      <x:c r="B110" s="34" t="str">
        <x:v>H18</x:v>
      </x:c>
      <x:c r="C110" s="34" t="str">
        <x:v>بانک مطالعه، منابع و موضوعات کنجکاوی</x:v>
      </x:c>
      <x:c r="D110" s="34" t="str">
        <x:v>BANK</x:v>
      </x:c>
      <x:c r="E110" s="34" t="str">
        <x:v>مطالعه/منبع</x:v>
      </x:c>
      <x:c r="F110" s="39" t="str">
        <x:v>مارپیچ سکوت</x:v>
      </x:c>
      <x:c r="G110" s="39" t="str">
        <x:v>بانک مطالعه رسانه</x:v>
      </x:c>
      <x:c r="H110" s="39" t="str">
        <x:v>رسانه/روانشناسی</x:v>
      </x:c>
      <x:c r="I110" s="39" t="str">
        <x:v>115:P1546</x:v>
      </x:c>
    </x:row>
    <x:row r="111">
      <x:c r="A111" s="34" t="str">
        <x:v>N115-0038</x:v>
      </x:c>
      <x:c r="B111" s="34" t="str">
        <x:v>H18</x:v>
      </x:c>
      <x:c r="C111" s="34" t="str">
        <x:v>بانک مطالعه، منابع و موضوعات کنجکاوی</x:v>
      </x:c>
      <x:c r="D111" s="34" t="str">
        <x:v>BANK</x:v>
      </x:c>
      <x:c r="E111" s="34" t="str">
        <x:v>مطالعه/منبع</x:v>
      </x:c>
      <x:c r="F111" s="39" t="str">
        <x:v>استعمار الگوریتمی</x:v>
      </x:c>
      <x:c r="G111" s="39" t="str">
        <x:v>بانک مطالعه رسانه</x:v>
      </x:c>
      <x:c r="H111" s="39" t="str">
        <x:v>رسانه/فناوری</x:v>
      </x:c>
      <x:c r="I111" s="39" t="str">
        <x:v>115:P1546</x:v>
      </x:c>
    </x:row>
    <x:row r="112">
      <x:c r="A112" s="34" t="str">
        <x:v>N115-0039</x:v>
      </x:c>
      <x:c r="B112" s="34" t="str">
        <x:v>H18</x:v>
      </x:c>
      <x:c r="C112" s="34" t="str">
        <x:v>بانک مطالعه، منابع و موضوعات کنجکاوی</x:v>
      </x:c>
      <x:c r="D112" s="34" t="str">
        <x:v>BANK</x:v>
      </x:c>
      <x:c r="E112" s="34" t="str">
        <x:v>مطالعه/منبع</x:v>
      </x:c>
      <x:c r="F112" s="39" t="str">
        <x:v>دیپ‌فیک</x:v>
      </x:c>
      <x:c r="G112" s="39" t="str">
        <x:v>بانک مطالعه فناوری رسانه</x:v>
      </x:c>
      <x:c r="H112" s="39" t="str">
        <x:v>رسانه/فناوری</x:v>
      </x:c>
      <x:c r="I112" s="39" t="str">
        <x:v>115:P1547</x:v>
      </x:c>
    </x:row>
    <x:row r="113">
      <x:c r="A113" s="34" t="str">
        <x:v>N115-0040</x:v>
      </x:c>
      <x:c r="B113" s="34" t="str">
        <x:v>H18</x:v>
      </x:c>
      <x:c r="C113" s="34" t="str">
        <x:v>بانک مطالعه، منابع و موضوعات کنجکاوی</x:v>
      </x:c>
      <x:c r="D113" s="34" t="str">
        <x:v>BANK</x:v>
      </x:c>
      <x:c r="E113" s="34" t="str">
        <x:v>مطالعه/منبع</x:v>
      </x:c>
      <x:c r="F113" s="39" t="str">
        <x:v>بات‌فارم‌ها</x:v>
      </x:c>
      <x:c r="G113" s="39" t="str">
        <x:v>بانک مطالعه رسانه</x:v>
      </x:c>
      <x:c r="H113" s="39" t="str">
        <x:v>رسانه/فناوری</x:v>
      </x:c>
      <x:c r="I113" s="39" t="str">
        <x:v>115:P1547</x:v>
      </x:c>
    </x:row>
    <x:row r="114">
      <x:c r="A114" s="34" t="str">
        <x:v>N115-0041</x:v>
      </x:c>
      <x:c r="B114" s="34" t="str">
        <x:v>H18</x:v>
      </x:c>
      <x:c r="C114" s="34" t="str">
        <x:v>بانک مطالعه، منابع و موضوعات کنجکاوی</x:v>
      </x:c>
      <x:c r="D114" s="34" t="str">
        <x:v>BANK</x:v>
      </x:c>
      <x:c r="E114" s="34" t="str">
        <x:v>مطالعه/منبع</x:v>
      </x:c>
      <x:c r="F114" s="39" t="str">
        <x:v>الهیات سیاسی و فقه حکومتی</x:v>
      </x:c>
      <x:c r="G114" s="39" t="str">
        <x:v>بانک مطالعه</x:v>
      </x:c>
      <x:c r="H114" s="39" t="str">
        <x:v>فرهنگ/حکمرانی</x:v>
      </x:c>
      <x:c r="I114" s="39" t="str">
        <x:v>115:P1568</x:v>
      </x:c>
    </x:row>
    <x:row r="115">
      <x:c r="A115" s="34" t="str">
        <x:v>N115-0042</x:v>
      </x:c>
      <x:c r="B115" s="34" t="str">
        <x:v>H18</x:v>
      </x:c>
      <x:c r="C115" s="34" t="str">
        <x:v>بانک مطالعه، منابع و موضوعات کنجکاوی</x:v>
      </x:c>
      <x:c r="D115" s="34" t="str">
        <x:v>BANK</x:v>
      </x:c>
      <x:c r="E115" s="34" t="str">
        <x:v>مطالعه/منبع</x:v>
      </x:c>
      <x:c r="F115" s="39" t="str">
        <x:v>تروماهای جمعی و بازسازی تاریخی</x:v>
      </x:c>
      <x:c r="G115" s="39" t="str">
        <x:v>بانک مطالعه</x:v>
      </x:c>
      <x:c r="H115" s="39" t="str">
        <x:v>تاریخ/حافظه</x:v>
      </x:c>
      <x:c r="I115" s="39" t="str">
        <x:v>115:P1584</x:v>
      </x:c>
    </x:row>
    <x:row r="116">
      <x:c r="A116" s="34" t="str">
        <x:v>N115-0043</x:v>
      </x:c>
      <x:c r="B116" s="34" t="str">
        <x:v>H7</x:v>
      </x:c>
      <x:c r="C116" s="34" t="str">
        <x:v>داده، هوش مصنوعی، نرم‌افزار و اتوماسیون</x:v>
      </x:c>
      <x:c r="D116" s="34" t="str">
        <x:v>BANK</x:v>
      </x:c>
      <x:c r="E116" s="34" t="str">
        <x:v>مهارت/یادگیری</x:v>
      </x:c>
      <x:c r="F116" s="39" t="str">
        <x:v>فناوری‌های همگرا NBIC (نانو، زیست، اطلاعات، شناختی)</x:v>
      </x:c>
      <x:c r="G116" s="39" t="str">
        <x:v>بانک مهارت/رصد روند</x:v>
      </x:c>
      <x:c r="H116" s="39" t="str">
        <x:v>فناوری</x:v>
      </x:c>
      <x:c r="I116" s="39" t="str">
        <x:v>115:P1597</x:v>
      </x:c>
    </x:row>
    <x:row r="117">
      <x:c r="A117" s="34" t="str">
        <x:v>N115-0044</x:v>
      </x:c>
      <x:c r="B117" s="34" t="str">
        <x:v>H4</x:v>
      </x:c>
      <x:c r="C117" s="34" t="str">
        <x:v>رهبری، ارتباطات و مهارت‌های نرم</x:v>
      </x:c>
      <x:c r="D117" s="34" t="str">
        <x:v>P2</x:v>
      </x:c>
      <x:c r="E117" s="34" t="str">
        <x:v>مهارت/یادگیری</x:v>
      </x:c>
      <x:c r="F117" s="39" t="str">
        <x:v>رهبری در آشوب و مدیریت سیستم‌های پیچیده</x:v>
      </x:c>
      <x:c r="G117" s="39" t="str">
        <x:v>یادگیری پس از تثبیت P0/P1</x:v>
      </x:c>
      <x:c r="H117" s="39" t="str">
        <x:v>رهبری</x:v>
      </x:c>
      <x:c r="I117" s="39" t="str">
        <x:v>115:P1625</x:v>
      </x:c>
    </x:row>
    <x:row r="118">
      <x:c r="A118" s="34" t="str">
        <x:v>N115-0045</x:v>
      </x:c>
      <x:c r="B118" s="34" t="str">
        <x:v>H9</x:v>
      </x:c>
      <x:c r="C118" s="34" t="str">
        <x:v>پژوهش، نوآوری و دانش فنی</x:v>
      </x:c>
      <x:c r="D118" s="34" t="str">
        <x:v>REFERENCE</x:v>
      </x:c>
      <x:c r="E118" s="34" t="str">
        <x:v>مطالعه/منبع</x:v>
      </x:c>
      <x:c r="F118" s="39" t="str">
        <x:v>CPDI به‌عنوان منبع مطالعات بین‌الملل</x:v>
      </x:c>
      <x:c r="G118" s="39" t="str">
        <x:v>مرجع پژوهشی</x:v>
      </x:c>
      <x:c r="H118" s="39" t="str">
        <x:v>پژوهش</x:v>
      </x:c>
      <x:c r="I118" s="39" t="str">
        <x:v>115:P1632</x:v>
      </x:c>
    </x:row>
    <x:row r="119">
      <x:c r="A119" s="34" t="str">
        <x:v>N115-0046</x:v>
      </x:c>
      <x:c r="B119" s="34" t="str">
        <x:v>H18</x:v>
      </x:c>
      <x:c r="C119" s="34" t="str">
        <x:v>بانک مطالعه، منابع و موضوعات کنجکاوی</x:v>
      </x:c>
      <x:c r="D119" s="34" t="str">
        <x:v>BANK</x:v>
      </x:c>
      <x:c r="E119" s="34" t="str">
        <x:v>مطالعه/منبع</x:v>
      </x:c>
      <x:c r="F119" s="39" t="str">
        <x:v>دیپلماسی علمی و قدرت نرم</x:v>
      </x:c>
      <x:c r="G119" s="39" t="str">
        <x:v>بانک مطالعه</x:v>
      </x:c>
      <x:c r="H119" s="39" t="str">
        <x:v>بین‌الملل</x:v>
      </x:c>
      <x:c r="I119" s="39" t="str">
        <x:v>115:P1653</x:v>
      </x:c>
    </x:row>
    <x:row r="120">
      <x:c r="A120" s="34" t="str">
        <x:v>N115-0047</x:v>
      </x:c>
      <x:c r="B120" s="34" t="str">
        <x:v>H18</x:v>
      </x:c>
      <x:c r="C120" s="34" t="str">
        <x:v>بانک مطالعه، منابع و موضوعات کنجکاوی</x:v>
      </x:c>
      <x:c r="D120" s="34" t="str">
        <x:v>BANK</x:v>
      </x:c>
      <x:c r="E120" s="34" t="str">
        <x:v>مطالعه/منبع</x:v>
      </x:c>
      <x:c r="F120" s="39" t="str">
        <x:v>جنگ آب و امنیت خاک</x:v>
      </x:c>
      <x:c r="G120" s="39" t="str">
        <x:v>بانک مطالعه</x:v>
      </x:c>
      <x:c r="H120" s="39" t="str">
        <x:v>محیط‌زیست/ژئوپلیتیک</x:v>
      </x:c>
      <x:c r="I120" s="39" t="str">
        <x:v>115:P1656</x:v>
      </x:c>
    </x:row>
    <x:row r="121">
      <x:c r="A121" s="34" t="str">
        <x:v>N115-0048</x:v>
      </x:c>
      <x:c r="B121" s="34" t="str">
        <x:v>H7</x:v>
      </x:c>
      <x:c r="C121" s="34" t="str">
        <x:v>داده، هوش مصنوعی، نرم‌افزار و اتوماسیون</x:v>
      </x:c>
      <x:c r="D121" s="34" t="str">
        <x:v>BANK</x:v>
      </x:c>
      <x:c r="E121" s="34" t="str">
        <x:v>مطالعه/منبع</x:v>
      </x:c>
      <x:c r="F121" s="39" t="str">
        <x:v>امنیت APT، استاکسنت و SCADA</x:v>
      </x:c>
      <x:c r="G121" s="39" t="str">
        <x:v>بانک مطالعه فنی</x:v>
      </x:c>
      <x:c r="H121" s="39" t="str">
        <x:v>امنیت سایبری</x:v>
      </x:c>
      <x:c r="I121" s="39" t="str">
        <x:v>115:P1688</x:v>
      </x:c>
    </x:row>
    <x:row r="122">
      <x:c r="A122" s="34" t="str">
        <x:v>N115-0049</x:v>
      </x:c>
      <x:c r="B122" s="34" t="str">
        <x:v>H7</x:v>
      </x:c>
      <x:c r="C122" s="34" t="str">
        <x:v>داده، هوش مصنوعی، نرم‌افزار و اتوماسیون</x:v>
      </x:c>
      <x:c r="D122" s="34" t="str">
        <x:v>BANK</x:v>
      </x:c>
      <x:c r="E122" s="34" t="str">
        <x:v>مطالعه/منبع</x:v>
      </x:c>
      <x:c r="F122" s="39" t="str">
        <x:v>اینترانت ملی و حاکمیت داده</x:v>
      </x:c>
      <x:c r="G122" s="39" t="str">
        <x:v>بانک مطالعه</x:v>
      </x:c>
      <x:c r="H122" s="39" t="str">
        <x:v>حکمرانی فناوری</x:v>
      </x:c>
      <x:c r="I122" s="39" t="str">
        <x:v>115:P1694</x:v>
      </x:c>
    </x:row>
    <x:row r="123">
      <x:c r="A123" s="34" t="str">
        <x:v>N115-0050</x:v>
      </x:c>
      <x:c r="B123" s="34" t="str">
        <x:v>H18</x:v>
      </x:c>
      <x:c r="C123" s="34" t="str">
        <x:v>بانک مطالعه، منابع و موضوعات کنجکاوی</x:v>
      </x:c>
      <x:c r="D123" s="34" t="str">
        <x:v>BANK</x:v>
      </x:c>
      <x:c r="E123" s="34" t="str">
        <x:v>مطالعه/منبع</x:v>
      </x:c>
      <x:c r="F123" s="39" t="str">
        <x:v>پوپولیسم، گروه‌زدگی و اتاق پژواک</x:v>
      </x:c>
      <x:c r="G123" s="39" t="str">
        <x:v>بانک مطالعه</x:v>
      </x:c>
      <x:c r="H123" s="39" t="str">
        <x:v>روانشناسی اجتماعی</x:v>
      </x:c>
      <x:c r="I123" s="39" t="str">
        <x:v>115:P1697</x:v>
      </x:c>
    </x:row>
    <x:row r="124">
      <x:c r="A124" s="34" t="str">
        <x:v>N115-0051</x:v>
      </x:c>
      <x:c r="B124" s="34" t="str">
        <x:v>H16</x:v>
      </x:c>
      <x:c r="C124" s="34" t="str">
        <x:v>سیاست، حکمرانی، حقوق و اقتصاد کلان</x:v>
      </x:c>
      <x:c r="D124" s="34" t="str">
        <x:v>BANK</x:v>
      </x:c>
      <x:c r="E124" s="34" t="str">
        <x:v>مطالعه/منبع</x:v>
      </x:c>
      <x:c r="F124" s="39" t="str">
        <x:v>فساد سیستماتیک و شکست هماهنگی سازمانی</x:v>
      </x:c>
      <x:c r="G124" s="39" t="str">
        <x:v>بانک مطالعه</x:v>
      </x:c>
      <x:c r="H124" s="39" t="str">
        <x:v>حکمرانی</x:v>
      </x:c>
      <x:c r="I124" s="39" t="str">
        <x:v>115:P1719</x:v>
      </x:c>
    </x:row>
    <x:row r="125">
      <x:c r="A125" s="34" t="str">
        <x:v>N115-0052</x:v>
      </x:c>
      <x:c r="B125" s="34" t="str">
        <x:v>H6</x:v>
      </x:c>
      <x:c r="C125" s="34" t="str">
        <x:v>مهندسی مکانیک، صنایع و مهارت‌های فنی</x:v>
      </x:c>
      <x:c r="D125" s="34" t="str">
        <x:v>P1</x:v>
      </x:c>
      <x:c r="E125" s="34" t="str">
        <x:v>مهارت/یادگیری</x:v>
      </x:c>
      <x:c r="F125" s="39" t="str">
        <x:v>CATIA</x:v>
      </x:c>
      <x:c r="G125" s="39" t="str">
        <x:v>فقط در صورت انتخاب عمق طراحی مکانیکی/پروژه واقعی</x:v>
      </x:c>
      <x:c r="H125" s="39" t="str">
        <x:v>CAD/CAM</x:v>
      </x:c>
      <x:c r="I125" s="39" t="str">
        <x:v>115:P1723</x:v>
      </x:c>
    </x:row>
    <x:row r="126">
      <x:c r="A126" s="34" t="str">
        <x:v>N115-0053</x:v>
      </x:c>
      <x:c r="B126" s="34" t="str">
        <x:v>H10</x:v>
      </x:c>
      <x:c r="C126" s="34" t="str">
        <x:v>زیست‌بوم نوآوری، استعداد و تیم‌سازی</x:v>
      </x:c>
      <x:c r="D126" s="34" t="str">
        <x:v>P2</x:v>
      </x:c>
      <x:c r="E126" s="34" t="str">
        <x:v>پروژه/طرح</x:v>
      </x:c>
      <x:c r="F126" s="39" t="str">
        <x:v>ثبت رزومه، یادداشت مصاحبه، تاریخچه تعامل و سوابق نقش در پرونده هر فرد</x:v>
      </x:c>
      <x:c r="G126" s="39" t="str">
        <x:v>طراحی در معماری زیست‌بوم؛ اجرا مرحله‌ای</x:v>
      </x:c>
      <x:c r="H126" s="39" t="str">
        <x:v>TalentOS/پرونده 360 درجه</x:v>
      </x:c>
      <x:c r="I126" s="39" t="str">
        <x:v>115:P7750-8046</x:v>
      </x:c>
    </x:row>
    <x:row r="127">
      <x:c r="A127" s="34" t="str">
        <x:v>N115-0054</x:v>
      </x:c>
      <x:c r="B127" s="34" t="str">
        <x:v>H10</x:v>
      </x:c>
      <x:c r="C127" s="34" t="str">
        <x:v>زیست‌بوم نوآوری، استعداد و تیم‌سازی</x:v>
      </x:c>
      <x:c r="D127" s="34" t="str">
        <x:v>P2</x:v>
      </x:c>
      <x:c r="E127" s="34" t="str">
        <x:v>پروژه/طرح</x:v>
      </x:c>
      <x:c r="F127" s="39" t="str">
        <x:v>ثبت شاخص‌های استعداد، اخلاق، توانایی‌ها و وضعیت شغلی در پروفایل</x:v>
      </x:c>
      <x:c r="G127" s="39" t="str">
        <x:v>طراحی در معماری زیست‌بوم؛ اجرا مرحله‌ای</x:v>
      </x:c>
      <x:c r="H127" s="39" t="str">
        <x:v>TalentOS/پروفایل استعداد</x:v>
      </x:c>
      <x:c r="I127" s="39" t="str">
        <x:v>115:P7750-8046</x:v>
      </x:c>
    </x:row>
    <x:row r="128">
      <x:c r="A128" s="34" t="str">
        <x:v>N115-0055</x:v>
      </x:c>
      <x:c r="B128" s="34" t="str">
        <x:v>H10</x:v>
      </x:c>
      <x:c r="C128" s="34" t="str">
        <x:v>زیست‌بوم نوآوری، استعداد و تیم‌سازی</x:v>
      </x:c>
      <x:c r="D128" s="34" t="str">
        <x:v>P2</x:v>
      </x:c>
      <x:c r="E128" s="34" t="str">
        <x:v>پروژه/طرح</x:v>
      </x:c>
      <x:c r="F128" s="39" t="str">
        <x:v>ثبت شکاف مهارتی، آموزش لازم و مسیر توسعه فردی IDP</x:v>
      </x:c>
      <x:c r="G128" s="39" t="str">
        <x:v>طراحی در معماری زیست‌بوم؛ اجرا مرحله‌ای</x:v>
      </x:c>
      <x:c r="H128" s="39" t="str">
        <x:v>TalentOS/توسعه فردی</x:v>
      </x:c>
      <x:c r="I128" s="39" t="str">
        <x:v>115:P7750-8046</x:v>
      </x:c>
    </x:row>
    <x:row r="129">
      <x:c r="A129" s="34" t="str">
        <x:v>N115-0056</x:v>
      </x:c>
      <x:c r="B129" s="34" t="str">
        <x:v>H10</x:v>
      </x:c>
      <x:c r="C129" s="34" t="str">
        <x:v>زیست‌بوم نوآوری، استعداد و تیم‌سازی</x:v>
      </x:c>
      <x:c r="D129" s="34" t="str">
        <x:v>P2</x:v>
      </x:c>
      <x:c r="E129" s="34" t="str">
        <x:v>پروژه/طرح</x:v>
      </x:c>
      <x:c r="F129" s="39" t="str">
        <x:v>نمایش سطح توانمندی و آمادگی هر عضو/تیم</x:v>
      </x:c>
      <x:c r="G129" s="39" t="str">
        <x:v>طراحی در معماری زیست‌بوم؛ اجرا مرحله‌ای</x:v>
      </x:c>
      <x:c r="H129" s="39" t="str">
        <x:v>TalentOS/تحلیل قابلیت</x:v>
      </x:c>
      <x:c r="I129" s="39" t="str">
        <x:v>115:P7750-8046</x:v>
      </x:c>
    </x:row>
    <x:row r="130">
      <x:c r="A130" s="34" t="str">
        <x:v>N115-0057</x:v>
      </x:c>
      <x:c r="B130" s="34" t="str">
        <x:v>H10</x:v>
      </x:c>
      <x:c r="C130" s="34" t="str">
        <x:v>زیست‌بوم نوآوری، استعداد و تیم‌سازی</x:v>
      </x:c>
      <x:c r="D130" s="34" t="str">
        <x:v>P2</x:v>
      </x:c>
      <x:c r="E130" s="34" t="str">
        <x:v>پروژه/طرح</x:v>
      </x:c>
      <x:c r="F130" s="39" t="str">
        <x:v>پایش روزانه فرصت‌های شغلی و استخراج مهارت‌های موردتقاضای بازار</x:v>
      </x:c>
      <x:c r="G130" s="39" t="str">
        <x:v>طراحی در معماری زیست‌بوم؛ اجرا مرحله‌ای</x:v>
      </x:c>
      <x:c r="H130" s="39" t="str">
        <x:v>TalentOS/هوش بازار کار</x:v>
      </x:c>
      <x:c r="I130" s="39" t="str">
        <x:v>115:P7750-8046</x:v>
      </x:c>
    </x:row>
    <x:row r="131">
      <x:c r="A131" s="34" t="str">
        <x:v>N115-0058</x:v>
      </x:c>
      <x:c r="B131" s="34" t="str">
        <x:v>H10</x:v>
      </x:c>
      <x:c r="C131" s="34" t="str">
        <x:v>زیست‌بوم نوآوری، استعداد و تیم‌سازی</x:v>
      </x:c>
      <x:c r="D131" s="34" t="str">
        <x:v>P2</x:v>
      </x:c>
      <x:c r="E131" s="34" t="str">
        <x:v>پروژه/طرح</x:v>
      </x:c>
      <x:c r="F131" s="39" t="str">
        <x:v>تطبیق خودکار فرد با شغل، پروژه، منتور و دوره آموزشی</x:v>
      </x:c>
      <x:c r="G131" s="39" t="str">
        <x:v>طراحی در معماری زیست‌بوم؛ اجرا مرحله‌ای</x:v>
      </x:c>
      <x:c r="H131" s="39" t="str">
        <x:v>TalentOS/موتور تطبیق</x:v>
      </x:c>
      <x:c r="I131" s="39" t="str">
        <x:v>115:P7750-8046</x:v>
      </x:c>
    </x:row>
    <x:row r="132">
      <x:c r="A132" s="34" t="str">
        <x:v>N115-0059</x:v>
      </x:c>
      <x:c r="B132" s="34" t="str">
        <x:v>H10</x:v>
      </x:c>
      <x:c r="C132" s="34" t="str">
        <x:v>زیست‌بوم نوآوری، استعداد و تیم‌سازی</x:v>
      </x:c>
      <x:c r="D132" s="34" t="str">
        <x:v>P2</x:v>
      </x:c>
      <x:c r="E132" s="34" t="str">
        <x:v>پروژه/طرح</x:v>
      </x:c>
      <x:c r="F132" s="39" t="str">
        <x:v>تعریف مدل تِیر/لایه برای بخش‌بندی افراد براساس ارزش و نیاز پیگیری</x:v>
      </x:c>
      <x:c r="G132" s="39" t="str">
        <x:v>طراحی در معماری زیست‌بوم؛ اجرا مرحله‌ای</x:v>
      </x:c>
      <x:c r="H132" s="39" t="str">
        <x:v>TalentOS/بخش‌بندی</x:v>
      </x:c>
      <x:c r="I132" s="39" t="str">
        <x:v>115:P7750-8046</x:v>
      </x:c>
    </x:row>
    <x:row r="133">
      <x:c r="A133" s="34" t="str">
        <x:v>N115-0060</x:v>
      </x:c>
      <x:c r="B133" s="34" t="str">
        <x:v>H10</x:v>
      </x:c>
      <x:c r="C133" s="34" t="str">
        <x:v>زیست‌بوم نوآوری، استعداد و تیم‌سازی</x:v>
      </x:c>
      <x:c r="D133" s="34" t="str">
        <x:v>P2</x:v>
      </x:c>
      <x:c r="E133" s="34" t="str">
        <x:v>پروژه/طرح</x:v>
      </x:c>
      <x:c r="F133" s="39" t="str">
        <x:v>امتیازدهی وزن‌دار فعالیت، استعداد، وفاداری و ریسک</x:v>
      </x:c>
      <x:c r="G133" s="39" t="str">
        <x:v>طراحی در معماری زیست‌بوم؛ اجرا مرحله‌ای</x:v>
      </x:c>
      <x:c r="H133" s="39" t="str">
        <x:v>TalentOS/امتیازدهی</x:v>
      </x:c>
      <x:c r="I133" s="39" t="str">
        <x:v>115:P7750-8046</x:v>
      </x:c>
    </x:row>
    <x:row r="134">
      <x:c r="A134" s="34" t="str">
        <x:v>N115-0061</x:v>
      </x:c>
      <x:c r="B134" s="34" t="str">
        <x:v>H10</x:v>
      </x:c>
      <x:c r="C134" s="34" t="str">
        <x:v>زیست‌بوم نوآوری، استعداد و تیم‌سازی</x:v>
      </x:c>
      <x:c r="D134" s="34" t="str">
        <x:v>P2</x:v>
      </x:c>
      <x:c r="E134" s="34" t="str">
        <x:v>پروژه/طرح</x:v>
      </x:c>
      <x:c r="F134" s="39" t="str">
        <x:v>قابل‌تنظیم بودن وزن‌های مدل امتیازدهی با تغییر اولویت‌های سازمان</x:v>
      </x:c>
      <x:c r="G134" s="39" t="str">
        <x:v>طراحی در معماری زیست‌بوم؛ اجرا مرحله‌ای</x:v>
      </x:c>
      <x:c r="H134" s="39" t="str">
        <x:v>TalentOS/امتیازدهی</x:v>
      </x:c>
      <x:c r="I134" s="39" t="str">
        <x:v>115:P7750-8046</x:v>
      </x:c>
    </x:row>
    <x:row r="135">
      <x:c r="A135" s="34" t="str">
        <x:v>N115-0062</x:v>
      </x:c>
      <x:c r="B135" s="34" t="str">
        <x:v>H10</x:v>
      </x:c>
      <x:c r="C135" s="34" t="str">
        <x:v>زیست‌بوم نوآوری، استعداد و تیم‌سازی</x:v>
      </x:c>
      <x:c r="D135" s="34" t="str">
        <x:v>P2</x:v>
      </x:c>
      <x:c r="E135" s="34" t="str">
        <x:v>پروژه/طرح</x:v>
      </x:c>
      <x:c r="F135" s="39" t="str">
        <x:v>ارزیابی تیم به‌عنوان واحد: پیشرفت، رکود یا نیاز به تقویت</x:v>
      </x:c>
      <x:c r="G135" s="39" t="str">
        <x:v>طراحی در معماری زیست‌بوم؛ اجرا مرحله‌ای</x:v>
      </x:c>
      <x:c r="H135" s="39" t="str">
        <x:v>TalentOS/ارزیابی تیم</x:v>
      </x:c>
      <x:c r="I135" s="39" t="str">
        <x:v>115:P7750-8046</x:v>
      </x:c>
    </x:row>
    <x:row r="136">
      <x:c r="A136" s="34" t="str">
        <x:v>N115-0063</x:v>
      </x:c>
      <x:c r="B136" s="34" t="str">
        <x:v>H10</x:v>
      </x:c>
      <x:c r="C136" s="34" t="str">
        <x:v>زیست‌بوم نوآوری، استعداد و تیم‌سازی</x:v>
      </x:c>
      <x:c r="D136" s="34" t="str">
        <x:v>P2</x:v>
      </x:c>
      <x:c r="E136" s="34" t="str">
        <x:v>پروژه/طرح</x:v>
      </x:c>
      <x:c r="F136" s="39" t="str">
        <x:v>علامت‌گذاری خودکار اقدامات ناتمام مثل رزومه ارسال‌نشده یا پیگیری بی‌پاسخ</x:v>
      </x:c>
      <x:c r="G136" s="39" t="str">
        <x:v>طراحی در معماری زیست‌بوم؛ اجرا مرحله‌ای</x:v>
      </x:c>
      <x:c r="H136" s="39" t="str">
        <x:v>TalentOS/پیگیری</x:v>
      </x:c>
      <x:c r="I136" s="39" t="str">
        <x:v>115:P7750-8046</x:v>
      </x:c>
    </x:row>
    <x:row r="137">
      <x:c r="A137" s="34" t="str">
        <x:v>N115-0064</x:v>
      </x:c>
      <x:c r="B137" s="34" t="str">
        <x:v>H10</x:v>
      </x:c>
      <x:c r="C137" s="34" t="str">
        <x:v>زیست‌بوم نوآوری، استعداد و تیم‌سازی</x:v>
      </x:c>
      <x:c r="D137" s="34" t="str">
        <x:v>P2</x:v>
      </x:c>
      <x:c r="E137" s="34" t="str">
        <x:v>پروژه/طرح</x:v>
      </x:c>
      <x:c r="F137" s="39" t="str">
        <x:v>دعوت هدفمند به رویداد، مصاحبه و مسابقه براساس تگ و تناسب نقش</x:v>
      </x:c>
      <x:c r="G137" s="39" t="str">
        <x:v>طراحی در معماری زیست‌بوم؛ اجرا مرحله‌ای</x:v>
      </x:c>
      <x:c r="H137" s="39" t="str">
        <x:v>TalentOS/فعال‌سازی</x:v>
      </x:c>
      <x:c r="I137" s="39" t="str">
        <x:v>115:P7750-8046</x:v>
      </x:c>
    </x:row>
    <x:row r="138">
      <x:c r="A138" s="34" t="str">
        <x:v>N115-0065</x:v>
      </x:c>
      <x:c r="B138" s="34" t="str">
        <x:v>H10</x:v>
      </x:c>
      <x:c r="C138" s="34" t="str">
        <x:v>زیست‌بوم نوآوری، استعداد و تیم‌سازی</x:v>
      </x:c>
      <x:c r="D138" s="34" t="str">
        <x:v>P2</x:v>
      </x:c>
      <x:c r="E138" s="34" t="str">
        <x:v>پروژه/طرح</x:v>
      </x:c>
      <x:c r="F138" s="39" t="str">
        <x:v>یادآوری خودکار تولد، سالگرد ازدواج و رویدادهای مهم خانوادگی</x:v>
      </x:c>
      <x:c r="G138" s="39" t="str">
        <x:v>طراحی در معماری زیست‌بوم؛ اجرا مرحله‌ای</x:v>
      </x:c>
      <x:c r="H138" s="39" t="str">
        <x:v>TalentOS/نگهداشت</x:v>
      </x:c>
      <x:c r="I138" s="39" t="str">
        <x:v>115:P7750-8046</x:v>
      </x:c>
    </x:row>
    <x:row r="139">
      <x:c r="A139" s="34" t="str">
        <x:v>N115-0066</x:v>
      </x:c>
      <x:c r="B139" s="34" t="str">
        <x:v>H10</x:v>
      </x:c>
      <x:c r="C139" s="34" t="str">
        <x:v>زیست‌بوم نوآوری، استعداد و تیم‌سازی</x:v>
      </x:c>
      <x:c r="D139" s="34" t="str">
        <x:v>P2</x:v>
      </x:c>
      <x:c r="E139" s="34" t="str">
        <x:v>پروژه/طرح</x:v>
      </x:c>
      <x:c r="F139" s="39" t="str">
        <x:v>تعریف سطوح خدمت متفاوت: پیام، هدیه، کیک، کدتخفیف یا حمایت ویژه</x:v>
      </x:c>
      <x:c r="G139" s="39" t="str">
        <x:v>طراحی در معماری زیست‌بوم؛ اجرا مرحله‌ای</x:v>
      </x:c>
      <x:c r="H139" s="39" t="str">
        <x:v>TalentOS/نگهداشت</x:v>
      </x:c>
      <x:c r="I139" s="39" t="str">
        <x:v>115:P7750-8046</x:v>
      </x:c>
    </x:row>
    <x:row r="140">
      <x:c r="A140" s="34" t="str">
        <x:v>N115-0067</x:v>
      </x:c>
      <x:c r="B140" s="34" t="str">
        <x:v>H10</x:v>
      </x:c>
      <x:c r="C140" s="34" t="str">
        <x:v>زیست‌بوم نوآوری، استعداد و تیم‌سازی</x:v>
      </x:c>
      <x:c r="D140" s="34" t="str">
        <x:v>P2</x:v>
      </x:c>
      <x:c r="E140" s="34" t="str">
        <x:v>پروژه/طرح</x:v>
      </x:c>
      <x:c r="F140" s="39" t="str">
        <x:v>راه‌اندازی باشگاه جامعه/هواداران برای محتوای هدفمند و خدمات ویژه</x:v>
      </x:c>
      <x:c r="G140" s="39" t="str">
        <x:v>طراحی در معماری زیست‌بوم؛ اجرا مرحله‌ای</x:v>
      </x:c>
      <x:c r="H140" s="39" t="str">
        <x:v>TalentOS/جامعه‌سازی</x:v>
      </x:c>
      <x:c r="I140" s="39" t="str">
        <x:v>115:P7750-8046</x:v>
      </x:c>
    </x:row>
    <x:row r="141">
      <x:c r="A141" s="34" t="str">
        <x:v>N115-0068</x:v>
      </x:c>
      <x:c r="B141" s="34" t="str">
        <x:v>H10</x:v>
      </x:c>
      <x:c r="C141" s="34" t="str">
        <x:v>زیست‌بوم نوآوری، استعداد و تیم‌سازی</x:v>
      </x:c>
      <x:c r="D141" s="34" t="str">
        <x:v>P2</x:v>
      </x:c>
      <x:c r="E141" s="34" t="str">
        <x:v>پروژه/طرح</x:v>
      </x:c>
      <x:c r="F141" s="39" t="str">
        <x:v>برگزاری دورهمی و رویدادهای کوچک با منتور برای انسجام تیم</x:v>
      </x:c>
      <x:c r="G141" s="39" t="str">
        <x:v>طراحی در معماری زیست‌بوم؛ اجرا مرحله‌ای</x:v>
      </x:c>
      <x:c r="H141" s="39" t="str">
        <x:v>TalentOS/جامعه‌سازی</x:v>
      </x:c>
      <x:c r="I141" s="39" t="str">
        <x:v>115:P7750-8046</x:v>
      </x:c>
    </x:row>
    <x:row r="142">
      <x:c r="A142" s="34" t="str">
        <x:v>N115-0069</x:v>
      </x:c>
      <x:c r="B142" s="34" t="str">
        <x:v>H10</x:v>
      </x:c>
      <x:c r="C142" s="34" t="str">
        <x:v>زیست‌بوم نوآوری، استعداد و تیم‌سازی</x:v>
      </x:c>
      <x:c r="D142" s="34" t="str">
        <x:v>P2</x:v>
      </x:c>
      <x:c r="E142" s="34" t="str">
        <x:v>پروژه/طرح</x:v>
      </x:c>
      <x:c r="F142" s="39" t="str">
        <x:v>حمایت اولویت‌دار در رویدادهای زندگی مثل ازدواج، بیماری و زایمان</x:v>
      </x:c>
      <x:c r="G142" s="39" t="str">
        <x:v>طراحی در معماری زیست‌بوم؛ اجرا مرحله‌ای</x:v>
      </x:c>
      <x:c r="H142" s="39" t="str">
        <x:v>TalentOS/رفاه</x:v>
      </x:c>
      <x:c r="I142" s="39" t="str">
        <x:v>115:P7750-8046</x:v>
      </x:c>
    </x:row>
    <x:row r="143">
      <x:c r="A143" s="34" t="str">
        <x:v>N115-0070</x:v>
      </x:c>
      <x:c r="B143" s="34" t="str">
        <x:v>H10</x:v>
      </x:c>
      <x:c r="C143" s="34" t="str">
        <x:v>زیست‌بوم نوآوری، استعداد و تیم‌سازی</x:v>
      </x:c>
      <x:c r="D143" s="34" t="str">
        <x:v>P2</x:v>
      </x:c>
      <x:c r="E143" s="34" t="str">
        <x:v>پروژه/طرح</x:v>
      </x:c>
      <x:c r="F143" s="39" t="str">
        <x:v>الگوریتم اولویت‌بندی عادلانه برای تخصیص وام و مزایای محدود</x:v>
      </x:c>
      <x:c r="G143" s="39" t="str">
        <x:v>طراحی در معماری زیست‌بوم؛ اجرا مرحله‌ای</x:v>
      </x:c>
      <x:c r="H143" s="39" t="str">
        <x:v>TalentOS/رفاه</x:v>
      </x:c>
      <x:c r="I143" s="39" t="str">
        <x:v>115:P7750-8046</x:v>
      </x:c>
    </x:row>
    <x:row r="144">
      <x:c r="A144" s="34" t="str">
        <x:v>N115-0071</x:v>
      </x:c>
      <x:c r="B144" s="34" t="str">
        <x:v>H10</x:v>
      </x:c>
      <x:c r="C144" s="34" t="str">
        <x:v>زیست‌بوم نوآوری، استعداد و تیم‌سازی</x:v>
      </x:c>
      <x:c r="D144" s="34" t="str">
        <x:v>P2</x:v>
      </x:c>
      <x:c r="E144" s="34" t="str">
        <x:v>پروژه/طرح</x:v>
      </x:c>
      <x:c r="F144" s="39" t="str">
        <x:v>طراحی صندوق تعاونی به‌عنوان موتور خلق ارزش و نه صرفاً خیریه</x:v>
      </x:c>
      <x:c r="G144" s="39" t="str">
        <x:v>طراحی در معماری زیست‌بوم؛ اجرا مرحله‌ای</x:v>
      </x:c>
      <x:c r="H144" s="39" t="str">
        <x:v>TalentOS/تعاونی</x:v>
      </x:c>
      <x:c r="I144" s="39" t="str">
        <x:v>115:P7750-8046</x:v>
      </x:c>
    </x:row>
    <x:row r="145">
      <x:c r="A145" s="34" t="str">
        <x:v>N115-0072</x:v>
      </x:c>
      <x:c r="B145" s="34" t="str">
        <x:v>H10</x:v>
      </x:c>
      <x:c r="C145" s="34" t="str">
        <x:v>زیست‌بوم نوآوری، استعداد و تیم‌سازی</x:v>
      </x:c>
      <x:c r="D145" s="34" t="str">
        <x:v>P2</x:v>
      </x:c>
      <x:c r="E145" s="34" t="str">
        <x:v>پروژه/طرح</x:v>
      </x:c>
      <x:c r="F145" s="39" t="str">
        <x:v>مدل اشتراک ماهانه کوچک برای فعال نگه‌داشتن پروفایل و خدمات</x:v>
      </x:c>
      <x:c r="G145" s="39" t="str">
        <x:v>طراحی در معماری زیست‌بوم؛ اجرا مرحله‌ای</x:v>
      </x:c>
      <x:c r="H145" s="39" t="str">
        <x:v>TalentOS/مدل درآمد</x:v>
      </x:c>
      <x:c r="I145" s="39" t="str">
        <x:v>115:P7750-8046</x:v>
      </x:c>
    </x:row>
    <x:row r="146">
      <x:c r="A146" s="34" t="str">
        <x:v>N115-0073</x:v>
      </x:c>
      <x:c r="B146" s="34" t="str">
        <x:v>H10</x:v>
      </x:c>
      <x:c r="C146" s="34" t="str">
        <x:v>زیست‌بوم نوآوری، استعداد و تیم‌سازی</x:v>
      </x:c>
      <x:c r="D146" s="34" t="str">
        <x:v>P2</x:v>
      </x:c>
      <x:c r="E146" s="34" t="str">
        <x:v>پروژه/طرح</x:v>
      </x:c>
      <x:c r="F146" s="39" t="str">
        <x:v>درآمد از خدمات جذب نیرو و کارمزد ارجاع کاندیدای فیلترشده</x:v>
      </x:c>
      <x:c r="G146" s="39" t="str">
        <x:v>طراحی در معماری زیست‌بوم؛ اجرا مرحله‌ای</x:v>
      </x:c>
      <x:c r="H146" s="39" t="str">
        <x:v>TalentOS/مدل درآمد</x:v>
      </x:c>
      <x:c r="I146" s="39" t="str">
        <x:v>115:P7750-8046</x:v>
      </x:c>
    </x:row>
    <x:row r="147">
      <x:c r="A147" s="34" t="str">
        <x:v>N115-0074</x:v>
      </x:c>
      <x:c r="B147" s="34" t="str">
        <x:v>H10</x:v>
      </x:c>
      <x:c r="C147" s="34" t="str">
        <x:v>زیست‌بوم نوآوری، استعداد و تیم‌سازی</x:v>
      </x:c>
      <x:c r="D147" s="34" t="str">
        <x:v>P2</x:v>
      </x:c>
      <x:c r="E147" s="34" t="str">
        <x:v>پروژه/طرح</x:v>
      </x:c>
      <x:c r="F147" s="39" t="str">
        <x:v>درآمد از کارگاه‌های مهارتی و توسعه حرفه‌ای</x:v>
      </x:c>
      <x:c r="G147" s="39" t="str">
        <x:v>طراحی در معماری زیست‌بوم؛ اجرا مرحله‌ای</x:v>
      </x:c>
      <x:c r="H147" s="39" t="str">
        <x:v>TalentOS/مدل درآمد</x:v>
      </x:c>
      <x:c r="I147" s="39" t="str">
        <x:v>115:P7750-8046</x:v>
      </x:c>
    </x:row>
    <x:row r="148">
      <x:c r="A148" s="34" t="str">
        <x:v>N115-0075</x:v>
      </x:c>
      <x:c r="B148" s="34" t="str">
        <x:v>H10</x:v>
      </x:c>
      <x:c r="C148" s="34" t="str">
        <x:v>زیست‌بوم نوآوری، استعداد و تیم‌سازی</x:v>
      </x:c>
      <x:c r="D148" s="34" t="str">
        <x:v>P2</x:v>
      </x:c>
      <x:c r="E148" s="34" t="str">
        <x:v>پروژه/طرح</x:v>
      </x:c>
      <x:c r="F148" s="39" t="str">
        <x:v>اسپانسرشیپ، بارتر و همکاری B2B برای تأمین منابع شبکه</x:v>
      </x:c>
      <x:c r="G148" s="39" t="str">
        <x:v>طراحی در معماری زیست‌بوم؛ اجرا مرحله‌ای</x:v>
      </x:c>
      <x:c r="H148" s="39" t="str">
        <x:v>TalentOS/مدل درآمد</x:v>
      </x:c>
      <x:c r="I148" s="39" t="str">
        <x:v>115:P7750-8046</x:v>
      </x:c>
    </x:row>
    <x:row r="149">
      <x:c r="A149" s="34" t="str">
        <x:v>N115-0076</x:v>
      </x:c>
      <x:c r="B149" s="34" t="str">
        <x:v>H10</x:v>
      </x:c>
      <x:c r="C149" s="34" t="str">
        <x:v>زیست‌بوم نوآوری، استعداد و تیم‌سازی</x:v>
      </x:c>
      <x:c r="D149" s="34" t="str">
        <x:v>P2</x:v>
      </x:c>
      <x:c r="E149" s="34" t="str">
        <x:v>پروژه/طرح</x:v>
      </x:c>
      <x:c r="F149" s="39" t="str">
        <x:v>بانک اسپانسرها، NGOها، کسب‌وکارها، تخفیف‌ها و شرکای اکوسیستم</x:v>
      </x:c>
      <x:c r="G149" s="39" t="str">
        <x:v>طراحی در معماری زیست‌بوم؛ اجرا مرحله‌ای</x:v>
      </x:c>
      <x:c r="H149" s="39" t="str">
        <x:v>TalentOS/بانک شریک</x:v>
      </x:c>
      <x:c r="I149" s="39" t="str">
        <x:v>115:P7750-8046</x:v>
      </x:c>
    </x:row>
    <x:row r="150">
      <x:c r="A150" s="34" t="str">
        <x:v>N115-0077</x:v>
      </x:c>
      <x:c r="B150" s="34" t="str">
        <x:v>H10</x:v>
      </x:c>
      <x:c r="C150" s="34" t="str">
        <x:v>زیست‌بوم نوآوری، استعداد و تیم‌سازی</x:v>
      </x:c>
      <x:c r="D150" s="34" t="str">
        <x:v>P2</x:v>
      </x:c>
      <x:c r="E150" s="34" t="str">
        <x:v>پروژه/طرح</x:v>
      </x:c>
      <x:c r="F150" s="39" t="str">
        <x:v>اتصال بانک پروفایل، مهارت/شغل، فرصت و شریک در CRM واحد</x:v>
      </x:c>
      <x:c r="G150" s="39" t="str">
        <x:v>طراحی در معماری زیست‌بوم؛ اجرا مرحله‌ای</x:v>
      </x:c>
      <x:c r="H150" s="39" t="str">
        <x:v>TalentOS/معماری داده</x:v>
      </x:c>
      <x:c r="I150" s="39" t="str">
        <x:v>115:P7750-8046</x:v>
      </x:c>
    </x:row>
    <x:row r="151">
      <x:c r="A151" s="34" t="str">
        <x:v>N115-0078</x:v>
      </x:c>
      <x:c r="B151" s="34" t="str">
        <x:v>H10</x:v>
      </x:c>
      <x:c r="C151" s="34" t="str">
        <x:v>زیست‌بوم نوآوری، استعداد و تیم‌سازی</x:v>
      </x:c>
      <x:c r="D151" s="34" t="str">
        <x:v>P2</x:v>
      </x:c>
      <x:c r="E151" s="34" t="str">
        <x:v>پروژه/طرح</x:v>
      </x:c>
      <x:c r="F151" s="39" t="str">
        <x:v>جمع‌آوری غیرفعال داده از API، سوابق داخلی، پروژه‌ها و پروفایل‌های خارجی</x:v>
      </x:c>
      <x:c r="G151" s="39" t="str">
        <x:v>طراحی در معماری زیست‌بوم؛ اجرا مرحله‌ای</x:v>
      </x:c>
      <x:c r="H151" s="39" t="str">
        <x:v>TalentOS/معماری داده</x:v>
      </x:c>
      <x:c r="I151" s="39" t="str">
        <x:v>115:P7750-8046</x:v>
      </x:c>
    </x:row>
    <x:row r="152">
      <x:c r="A152" s="34" t="str">
        <x:v>N115-0079</x:v>
      </x:c>
      <x:c r="B152" s="34" t="str">
        <x:v>H10</x:v>
      </x:c>
      <x:c r="C152" s="34" t="str">
        <x:v>زیست‌بوم نوآوری، استعداد و تیم‌سازی</x:v>
      </x:c>
      <x:c r="D152" s="34" t="str">
        <x:v>P2</x:v>
      </x:c>
      <x:c r="E152" s="34" t="str">
        <x:v>پروژه/طرح</x:v>
      </x:c>
      <x:c r="F152" s="39" t="str">
        <x:v>بازی‌وارسازی مسیر شغلی با امتیاز، سطح، توکن و شرط ارتقا</x:v>
      </x:c>
      <x:c r="G152" s="39" t="str">
        <x:v>طراحی در معماری زیست‌بوم؛ اجرا مرحله‌ای</x:v>
      </x:c>
      <x:c r="H152" s="39" t="str">
        <x:v>TalentOS/Gamification</x:v>
      </x:c>
      <x:c r="I152" s="39" t="str">
        <x:v>115:P7750-8046</x:v>
      </x:c>
    </x:row>
    <x:row r="153">
      <x:c r="A153" s="34" t="str">
        <x:v>N115-0080</x:v>
      </x:c>
      <x:c r="B153" s="34" t="str">
        <x:v>H10</x:v>
      </x:c>
      <x:c r="C153" s="34" t="str">
        <x:v>زیست‌بوم نوآوری، استعداد و تیم‌سازی</x:v>
      </x:c>
      <x:c r="D153" s="34" t="str">
        <x:v>P2</x:v>
      </x:c>
      <x:c r="E153" s="34" t="str">
        <x:v>پروژه/طرح</x:v>
      </x:c>
      <x:c r="F153" s="39" t="str">
        <x:v>پیش‌بینی بی‌تعهدی و ریسک خروج براساس سیگنال‌های رفتاری</x:v>
      </x:c>
      <x:c r="G153" s="39" t="str">
        <x:v>طراحی در معماری زیست‌بوم؛ اجرا مرحله‌ای</x:v>
      </x:c>
      <x:c r="H153" s="39" t="str">
        <x:v>TalentOS/تحلیل پیش‌بین</x:v>
      </x:c>
      <x:c r="I153" s="39" t="str">
        <x:v>115:P7750-8046</x:v>
      </x:c>
    </x:row>
    <x:row r="154">
      <x:c r="A154" s="34" t="str">
        <x:v>N115-0081</x:v>
      </x:c>
      <x:c r="B154" s="34" t="str">
        <x:v>H10</x:v>
      </x:c>
      <x:c r="C154" s="34" t="str">
        <x:v>زیست‌بوم نوآوری، استعداد و تیم‌سازی</x:v>
      </x:c>
      <x:c r="D154" s="34" t="str">
        <x:v>P2</x:v>
      </x:c>
      <x:c r="E154" s="34" t="str">
        <x:v>پروژه/طرح</x:v>
      </x:c>
      <x:c r="F154" s="39" t="str">
        <x:v>تولید پیشنهاد مداخله زودهنگام مثل منتورینگ، ارتقا یا حمایت هدفمند</x:v>
      </x:c>
      <x:c r="G154" s="39" t="str">
        <x:v>طراحی در معماری زیست‌بوم؛ اجرا مرحله‌ای</x:v>
      </x:c>
      <x:c r="H154" s="39" t="str">
        <x:v>TalentOS/تحلیل پیش‌بین</x:v>
      </x:c>
      <x:c r="I154" s="39" t="str">
        <x:v>115:P7750-8046</x:v>
      </x:c>
    </x:row>
    <x:row r="155">
      <x:c r="A155" s="34" t="str">
        <x:v>N115-0082</x:v>
      </x:c>
      <x:c r="B155" s="34" t="str">
        <x:v>H10</x:v>
      </x:c>
      <x:c r="C155" s="34" t="str">
        <x:v>زیست‌بوم نوآوری، استعداد و تیم‌سازی</x:v>
      </x:c>
      <x:c r="D155" s="34" t="str">
        <x:v>P2</x:v>
      </x:c>
      <x:c r="E155" s="34" t="str">
        <x:v>پروژه/طرح</x:v>
      </x:c>
      <x:c r="F155" s="39" t="str">
        <x:v>ساخت گراف مهارت برای جابه‌جایی داخلی و اقتصاد باز استعداد</x:v>
      </x:c>
      <x:c r="G155" s="39" t="str">
        <x:v>طراحی در معماری زیست‌بوم؛ اجرا مرحله‌ای</x:v>
      </x:c>
      <x:c r="H155" s="39" t="str">
        <x:v>TalentOS/اقتصاد استعداد</x:v>
      </x:c>
      <x:c r="I155" s="39" t="str">
        <x:v>115:P7750-8046</x:v>
      </x:c>
    </x:row>
    <x:row r="156">
      <x:c r="A156" s="34" t="str">
        <x:v>N115-0083</x:v>
      </x:c>
      <x:c r="B156" s="34" t="str">
        <x:v>H10</x:v>
      </x:c>
      <x:c r="C156" s="34" t="str">
        <x:v>زیست‌بوم نوآوری، استعداد و تیم‌سازی</x:v>
      </x:c>
      <x:c r="D156" s="34" t="str">
        <x:v>P2</x:v>
      </x:c>
      <x:c r="E156" s="34" t="str">
        <x:v>پروژه/طرح</x:v>
      </x:c>
      <x:c r="F156" s="39" t="str">
        <x:v>MVP صد نفر اول با پروفایل پایه، دسته‌بندی مهارت و پیامک مناسبت‌ها</x:v>
      </x:c>
      <x:c r="G156" s="39" t="str">
        <x:v>طراحی در معماری زیست‌بوم؛ اجرا مرحله‌ای</x:v>
      </x:c>
      <x:c r="H156" s="39" t="str">
        <x:v>TalentOS/نقشه راه</x:v>
      </x:c>
      <x:c r="I156" s="39" t="str">
        <x:v>115:P7750-8046</x:v>
      </x:c>
    </x:row>
    <x:row r="157">
      <x:c r="A157" s="34" t="str">
        <x:v>N115-0084</x:v>
      </x:c>
      <x:c r="B157" s="34" t="str">
        <x:v>H10</x:v>
      </x:c>
      <x:c r="C157" s="34" t="str">
        <x:v>زیست‌بوم نوآوری، استعداد و تیم‌سازی</x:v>
      </x:c>
      <x:c r="D157" s="34" t="str">
        <x:v>P2</x:v>
      </x:c>
      <x:c r="E157" s="34" t="str">
        <x:v>پروژه/طرح</x:v>
      </x:c>
      <x:c r="F157" s="39" t="str">
        <x:v>فاز دوم: اتصال پایگاه‌ها، صندوق تعاونی و خودکارسازی جریان‌های کاری</x:v>
      </x:c>
      <x:c r="G157" s="39" t="str">
        <x:v>طراحی در معماری زیست‌بوم؛ اجرا مرحله‌ای</x:v>
      </x:c>
      <x:c r="H157" s="39" t="str">
        <x:v>TalentOS/نقشه راه</x:v>
      </x:c>
      <x:c r="I157" s="39" t="str">
        <x:v>115:P7750-8046</x:v>
      </x:c>
    </x:row>
    <x:row r="158">
      <x:c r="A158" s="34" t="str">
        <x:v>N115-0085</x:v>
      </x:c>
      <x:c r="B158" s="34" t="str">
        <x:v>H10</x:v>
      </x:c>
      <x:c r="C158" s="34" t="str">
        <x:v>زیست‌بوم نوآوری، استعداد و تیم‌سازی</x:v>
      </x:c>
      <x:c r="D158" s="34" t="str">
        <x:v>P2</x:v>
      </x:c>
      <x:c r="E158" s="34" t="str">
        <x:v>پروژه/طرح</x:v>
      </x:c>
      <x:c r="F158" s="39" t="str">
        <x:v>فاز سوم: تحلیل‌های AI، پیشنهاد شغلی هوشمند و درآمدزایی ارجاع نیرو</x:v>
      </x:c>
      <x:c r="G158" s="39" t="str">
        <x:v>طراحی در معماری زیست‌بوم؛ اجرا مرحله‌ای</x:v>
      </x:c>
      <x:c r="H158" s="39" t="str">
        <x:v>TalentOS/نقشه راه</x:v>
      </x:c>
      <x:c r="I158" s="39" t="str">
        <x:v>115:P7750-8046</x:v>
      </x:c>
    </x:row>
    <x:row r="159">
      <x:c r="A159" s="34" t="str">
        <x:v>N115-0086</x:v>
      </x:c>
      <x:c r="B159" s="34" t="str">
        <x:v>H10</x:v>
      </x:c>
      <x:c r="C159" s="34" t="str">
        <x:v>زیست‌بوم نوآوری، استعداد و تیم‌سازی</x:v>
      </x:c>
      <x:c r="D159" s="34" t="str">
        <x:v>P2</x:v>
      </x:c>
      <x:c r="E159" s="34" t="str">
        <x:v>پروژه/طرح</x:v>
      </x:c>
      <x:c r="F159" s="39" t="str">
        <x:v>جمع‌آوری بازخورد علت غیبت از رویداد، دوره یا مسابقه</x:v>
      </x:c>
      <x:c r="G159" s="39" t="str">
        <x:v>طراحی در معماری زیست‌بوم؛ اجرا مرحله‌ای</x:v>
      </x:c>
      <x:c r="H159" s="39" t="str">
        <x:v>TalentOS/بازخورد</x:v>
      </x:c>
      <x:c r="I159" s="39" t="str">
        <x:v>115:P7750-8046</x:v>
      </x:c>
    </x:row>
    <x:row r="160">
      <x:c r="A160" s="34" t="str">
        <x:v>N115-0087</x:v>
      </x:c>
      <x:c r="B160" s="34" t="str">
        <x:v>H10</x:v>
      </x:c>
      <x:c r="C160" s="34" t="str">
        <x:v>زیست‌بوم نوآوری، استعداد و تیم‌سازی</x:v>
      </x:c>
      <x:c r="D160" s="34" t="str">
        <x:v>P2</x:v>
      </x:c>
      <x:c r="E160" s="34" t="str">
        <x:v>پروژه/طرح</x:v>
      </x:c>
      <x:c r="F160" s="39" t="str">
        <x:v>کارگاه‌های CV، LinkedIn و توسعه حرفه‌ای مبتنی بر نیاز واقعی</x:v>
      </x:c>
      <x:c r="G160" s="39" t="str">
        <x:v>طراحی در معماری زیست‌بوم؛ اجرا مرحله‌ای</x:v>
      </x:c>
      <x:c r="H160" s="39" t="str">
        <x:v>TalentOS/توانمندسازی</x:v>
      </x:c>
      <x:c r="I160" s="39" t="str">
        <x:v>115:P7750-8046</x:v>
      </x:c>
    </x:row>
    <x:row r="161">
      <x:c r="A161" s="34" t="str">
        <x:v>N115-0088</x:v>
      </x:c>
      <x:c r="B161" s="34" t="str">
        <x:v>H10</x:v>
      </x:c>
      <x:c r="C161" s="34" t="str">
        <x:v>زیست‌بوم نوآوری، استعداد و تیم‌سازی</x:v>
      </x:c>
      <x:c r="D161" s="34" t="str">
        <x:v>P2</x:v>
      </x:c>
      <x:c r="E161" s="34" t="str">
        <x:v>پروژه/طرح</x:v>
      </x:c>
      <x:c r="F161" s="39" t="str">
        <x:v>اتصال فارغ‌التحصیلان، اساتید، افراد موفق و صاحبان کسب‌وکار به شبکه</x:v>
      </x:c>
      <x:c r="G161" s="39" t="str">
        <x:v>طراحی در معماری زیست‌بوم؛ اجرا مرحله‌ای</x:v>
      </x:c>
      <x:c r="H161" s="39" t="str">
        <x:v>TalentOS/شبکه‌سازی</x:v>
      </x:c>
      <x:c r="I161" s="39" t="str">
        <x:v>115:P7750-8046</x:v>
      </x:c>
    </x:row>
    <x:row r="162">
      <x:c r="A162" s="34" t="str">
        <x:v>N115-0089</x:v>
      </x:c>
      <x:c r="B162" s="34" t="str">
        <x:v>H10</x:v>
      </x:c>
      <x:c r="C162" s="34" t="str">
        <x:v>زیست‌بوم نوآوری، استعداد و تیم‌سازی</x:v>
      </x:c>
      <x:c r="D162" s="34" t="str">
        <x:v>P2</x:v>
      </x:c>
      <x:c r="E162" s="34" t="str">
        <x:v>پروژه/طرح</x:v>
      </x:c>
      <x:c r="F162" s="39" t="str">
        <x:v>تعریف پرونده فردی با وضعیت عضویت تیم، نقش، مرحله تیم، استعداد و رزومه</x:v>
      </x:c>
      <x:c r="G162" s="39" t="str">
        <x:v>طراحی در معماری زیست‌بوم؛ اجرا مرحله‌ای</x:v>
      </x:c>
      <x:c r="H162" s="39" t="str">
        <x:v>TalentOS/پرونده 360 درجه</x:v>
      </x:c>
      <x:c r="I162" s="39" t="str">
        <x:v>115:P7750-8046</x:v>
      </x:c>
    </x:row>
    <x:row r="163">
      <x:c r="A163" s="34" t="str">
        <x:v>N115-0090</x:v>
      </x:c>
      <x:c r="B163" s="34" t="str">
        <x:v>H10</x:v>
      </x:c>
      <x:c r="C163" s="34" t="str">
        <x:v>زیست‌بوم نوآوری، استعداد و تیم‌سازی</x:v>
      </x:c>
      <x:c r="D163" s="34" t="str">
        <x:v>P2</x:v>
      </x:c>
      <x:c r="E163" s="34" t="str">
        <x:v>پروژه/طرح</x:v>
      </x:c>
      <x:c r="F163" s="39" t="str">
        <x:v>تعریف بسامد پیگیری هر فرد (هفتگی/ماهانه/دوره‌ای) براساس لایه اهمیت</x:v>
      </x:c>
      <x:c r="G163" s="39" t="str">
        <x:v>طراحی در معماری زیست‌بوم؛ اجرا مرحله‌ای</x:v>
      </x:c>
      <x:c r="H163" s="39" t="str">
        <x:v>TalentOS/پیگیری</x:v>
      </x:c>
      <x:c r="I163" s="39" t="str">
        <x:v>115:P7750-8046</x:v>
      </x:c>
    </x:row>
    <x:row r="164">
      <x:c r="A164" s="34" t="str">
        <x:v>N115-0091</x:v>
      </x:c>
      <x:c r="B164" s="34" t="str">
        <x:v>H10</x:v>
      </x:c>
      <x:c r="C164" s="34" t="str">
        <x:v>زیست‌بوم نوآوری، استعداد و تیم‌سازی</x:v>
      </x:c>
      <x:c r="D164" s="34" t="str">
        <x:v>P2</x:v>
      </x:c>
      <x:c r="E164" s="34" t="str">
        <x:v>پروژه/طرح</x:v>
      </x:c>
      <x:c r="F164" s="39" t="str">
        <x:v>سامانه پیامکی/کانالی برای اطلاعیه، فرصت، رویداد، وام و دوره</x:v>
      </x:c>
      <x:c r="G164" s="39" t="str">
        <x:v>طراحی در معماری زیست‌بوم؛ اجرا مرحله‌ای</x:v>
      </x:c>
      <x:c r="H164" s="39" t="str">
        <x:v>TalentOS/ارتباطات</x:v>
      </x:c>
      <x:c r="I164" s="39" t="str">
        <x:v>115:P7750-8046</x:v>
      </x:c>
    </x:row>
    <x:row r="165">
      <x:c r="A165" s="34" t="str">
        <x:v>N115-0092</x:v>
      </x:c>
      <x:c r="B165" s="34" t="str">
        <x:v>H10</x:v>
      </x:c>
      <x:c r="C165" s="34" t="str">
        <x:v>زیست‌بوم نوآوری، استعداد و تیم‌سازی</x:v>
      </x:c>
      <x:c r="D165" s="34" t="str">
        <x:v>P2</x:v>
      </x:c>
      <x:c r="E165" s="34" t="str">
        <x:v>پروژه/طرح</x:v>
      </x:c>
      <x:c r="F165" s="39" t="str">
        <x:v>مدیریت سریع ورودی‌های انبوه رویداد و دسته‌بندی آن‌ها براساس استعداد و علاقه</x:v>
      </x:c>
      <x:c r="G165" s="39" t="str">
        <x:v>طراحی در معماری زیست‌بوم؛ اجرا مرحله‌ای</x:v>
      </x:c>
      <x:c r="H165" s="39" t="str">
        <x:v>TalentOS/جذب</x:v>
      </x:c>
      <x:c r="I165" s="39" t="str">
        <x:v>115:P7750-8046</x:v>
      </x:c>
    </x:row>
    <x:row r="166">
      <x:c r="A166" s="34" t="str">
        <x:v>N115-0093</x:v>
      </x:c>
      <x:c r="B166" s="34" t="str">
        <x:v>H10</x:v>
      </x:c>
      <x:c r="C166" s="34" t="str">
        <x:v>زیست‌بوم نوآوری، استعداد و تیم‌سازی</x:v>
      </x:c>
      <x:c r="D166" s="34" t="str">
        <x:v>P2</x:v>
      </x:c>
      <x:c r="E166" s="34" t="str">
        <x:v>پروژه/طرح</x:v>
      </x:c>
      <x:c r="F166" s="39" t="str">
        <x:v>دبیرخانه شبکه برای پیگیری افراد، تیم‌ها و منابع انسانی</x:v>
      </x:c>
      <x:c r="G166" s="39" t="str">
        <x:v>طراحی در معماری زیست‌بوم؛ اجرا مرحله‌ای</x:v>
      </x:c>
      <x:c r="H166" s="39" t="str">
        <x:v>TalentOS/عملیات شبکه</x:v>
      </x:c>
      <x:c r="I166" s="39" t="str">
        <x:v>115:P7750-8046</x:v>
      </x:c>
    </x:row>
    <x:row r="167">
      <x:c r="A167" s="34" t="str">
        <x:v>N115-0094</x:v>
      </x:c>
      <x:c r="B167" s="34" t="str">
        <x:v>H12</x:v>
      </x:c>
      <x:c r="C167" s="34" t="str">
        <x:v>صنعت، انرژی، محیط‌زیست، کشاورزی و پروژه‌های تولیدی</x:v>
      </x:c>
      <x:c r="D167" s="34" t="str">
        <x:v>BANK</x:v>
      </x:c>
      <x:c r="E167" s="34" t="str">
        <x:v>مطالعه/منبع</x:v>
      </x:c>
      <x:c r="F167" s="39" t="str">
        <x:v>بازیافت ته‌سیگار برای تولید الکترود کربنی نانومتخلخل و کاربرد در سوپرخازن</x:v>
      </x:c>
      <x:c r="G167" s="39" t="str">
        <x:v>بررسی فنی/اقتصادی پیش از پروژه</x:v>
      </x:c>
      <x:c r="H167" s="39" t="str">
        <x:v>بازیافت</x:v>
      </x:c>
      <x:c r="I167" s="39" t="str">
        <x:v>115:بخش بازیافت</x:v>
      </x:c>
    </x:row>
    <x:row r="168">
      <x:c r="A168" s="34" t="str">
        <x:v>N115-0095</x:v>
      </x:c>
      <x:c r="B168" s="34" t="str">
        <x:v>H12</x:v>
      </x:c>
      <x:c r="C168" s="34" t="str">
        <x:v>صنعت، انرژی، محیط‌زیست، کشاورزی و پروژه‌های تولیدی</x:v>
      </x:c>
      <x:c r="D168" s="34" t="str">
        <x:v>BANK</x:v>
      </x:c>
      <x:c r="E168" s="34" t="str">
        <x:v>مطالعه/منبع</x:v>
      </x:c>
      <x:c r="F168" s="39" t="str">
        <x:v>بازیافت تجهیزات و منسوجات ورزشی فرسوده</x:v>
      </x:c>
      <x:c r="G168" s="39" t="str">
        <x:v>بانک ایده بازیافت</x:v>
      </x:c>
      <x:c r="H168" s="39" t="str">
        <x:v>بازیافت</x:v>
      </x:c>
      <x:c r="I168" s="39" t="str">
        <x:v>115:بخش بازیافت</x:v>
      </x:c>
    </x:row>
    <x:row r="169">
      <x:c r="A169" s="34" t="str">
        <x:v>N115-0096</x:v>
      </x:c>
      <x:c r="B169" s="34" t="str">
        <x:v>H12</x:v>
      </x:c>
      <x:c r="C169" s="34" t="str">
        <x:v>صنعت، انرژی، محیط‌زیست، کشاورزی و پروژه‌های تولیدی</x:v>
      </x:c>
      <x:c r="D169" s="34" t="str">
        <x:v>BANK</x:v>
      </x:c>
      <x:c r="E169" s="34" t="str">
        <x:v>مطالعه/منبع</x:v>
      </x:c>
      <x:c r="F169" s="39" t="str">
        <x:v>بازیافت تجهیزات سفر: کوله‌پشتی، کیسه‌خواب و چادر فرسوده</x:v>
      </x:c>
      <x:c r="G169" s="39" t="str">
        <x:v>بانک ایده بازیافت</x:v>
      </x:c>
      <x:c r="H169" s="39" t="str">
        <x:v>بازیافت</x:v>
      </x:c>
      <x:c r="I169" s="39" t="str">
        <x:v>115:بخش بازیافت</x:v>
      </x:c>
    </x:row>
    <x:row r="170">
      <x:c r="A170" s="34" t="str">
        <x:v>N115-0097</x:v>
      </x:c>
      <x:c r="B170" s="34" t="str">
        <x:v>H12</x:v>
      </x:c>
      <x:c r="C170" s="34" t="str">
        <x:v>صنعت، انرژی، محیط‌زیست، کشاورزی و پروژه‌های تولیدی</x:v>
      </x:c>
      <x:c r="D170" s="34" t="str">
        <x:v>P2</x:v>
      </x:c>
      <x:c r="E170" s="34" t="str">
        <x:v>پروژه/طرح</x:v>
      </x:c>
      <x:c r="F170" s="39" t="str">
        <x:v>مدل فرهنگ‌سازی و مشوق خانوار برای تفکیک و تحویل زباله</x:v>
      </x:c>
      <x:c r="G170" s="39" t="str">
        <x:v>پایلوت کوچک و سنجش‌پذیر</x:v>
      </x:c>
      <x:c r="H170" s="39" t="str">
        <x:v>بازیافت/رفتار</x:v>
      </x:c>
      <x:c r="I170" s="39" t="str">
        <x:v>115:بخش بازیافت</x:v>
      </x:c>
    </x:row>
    <x:row r="171">
      <x:c r="A171" s="34" t="str">
        <x:v>N115-0098</x:v>
      </x:c>
      <x:c r="B171" s="34" t="str">
        <x:v>H12</x:v>
      </x:c>
      <x:c r="C171" s="34" t="str">
        <x:v>صنعت، انرژی، محیط‌زیست، کشاورزی و پروژه‌های تولیدی</x:v>
      </x:c>
      <x:c r="D171" s="34" t="str">
        <x:v>P2</x:v>
      </x:c>
      <x:c r="E171" s="34" t="str">
        <x:v>پروژه/طرح</x:v>
      </x:c>
      <x:c r="F171" s="39" t="str">
        <x:v>مدل مشوق اصناف برای بازیافت: مالیات سبک‌تر/تبلیغ/اقدام محیط‌زیستی</x:v>
      </x:c>
      <x:c r="G171" s="39" t="str">
        <x:v>نیازمند بررسی حقوقی و اقتصادی</x:v>
      </x:c>
      <x:c r="H171" s="39" t="str">
        <x:v>بازیافت/سیاست مشوق</x:v>
      </x:c>
      <x:c r="I171" s="39" t="str">
        <x:v>115:بخش بازیافت</x:v>
      </x:c>
    </x:row>
  </x:sheetData>
  <x:mergeCells>
    <x:mergeCell ref="A1:K1"/>
    <x:mergeCell ref="A2:K2"/>
    <x:mergeCell ref="A4:D4"/>
    <x:mergeCell ref="F4:H4"/>
    <x:mergeCell ref="A28:F28"/>
    <x:mergeCell ref="A72:I72"/>
  </x:mergeCell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3" hidden="0" customWidth="1"/>
    <x:col min="3" max="3" width="58" hidden="0" customWidth="1"/>
    <x:col min="4" max="4" width="16" hidden="0" customWidth="1"/>
    <x:col min="5" max="5" width="10" hidden="0" customWidth="1"/>
    <x:col min="6" max="6" width="13" hidden="0" customWidth="1"/>
    <x:col min="7" max="7" width="42" hidden="0" customWidth="1"/>
    <x:col min="8" max="8" width="9" hidden="0" customWidth="1"/>
    <x:col min="9" max="9" width="14" hidden="0" customWidth="1"/>
    <x:col min="10" max="10" width="13" hidden="0" customWidth="1"/>
    <x:col min="11" max="11" width="25" hidden="0" customWidth="1"/>
    <x:col min="12" max="12" width="13" hidden="0" customWidth="1"/>
    <x:col min="13" max="13" width="48" hidden="0" customWidth="1"/>
    <x:col min="14" max="14" width="58" hidden="0" customWidth="1"/>
    <x:col min="15" max="15" width="30" hidden="0" customWidth="1"/>
  </x:cols>
  <x:sheetData>
    <x:row r="1">
      <x:c r="A1" s="6" t="str">
        <x:v>ممیزی و ردیابی — گزارش + ۲٬۷۸۲ استثنا در یک شیت</x:v>
      </x:c>
      <x:c r="B1" s="6"/>
      <x:c r="C1" s="6"/>
      <x:c r="D1" s="6"/>
      <x:c r="E1" s="6"/>
      <x:c r="F1" s="6"/>
      <x:c r="G1" s="6"/>
      <x:c r="H1" s="6"/>
      <x:c r="I1" s="6"/>
      <x:c r="J1" s="6"/>
      <x:c r="K1" s="6"/>
      <x:c r="L1" s="6"/>
      <x:c r="M1" s="6"/>
      <x:c r="N1" s="6"/>
      <x:c r="O1" s="6"/>
    </x:row>
    <x:row r="2">
      <x:c r="A2" s="46" t="str">
        <x:v>این شیت آرشیوی/کنترلی است و برای استفاده روزمره لازم نیست. همه استثناهای ممیزی داخل همین فایل حفظ شده‌اند؛ بنابراین با کم‌شدن تعداد شیت‌ها هیچ داده‌ای حذف نشده است.</x:v>
      </x:c>
      <x:c r="B2" s="46"/>
      <x:c r="C2" s="46"/>
      <x:c r="D2" s="46"/>
      <x:c r="E2" s="46"/>
      <x:c r="F2" s="46"/>
      <x:c r="G2" s="46"/>
      <x:c r="H2" s="46"/>
      <x:c r="I2" s="46"/>
      <x:c r="J2" s="46"/>
      <x:c r="K2" s="46"/>
      <x:c r="L2" s="46"/>
      <x:c r="M2" s="46"/>
      <x:c r="N2" s="46"/>
      <x:c r="O2" s="46"/>
    </x:row>
    <x:row r="3">
      <x:c r="A3" s="46"/>
      <x:c r="B3" s="46"/>
      <x:c r="C3" s="46"/>
      <x:c r="D3" s="46"/>
      <x:c r="E3" s="46"/>
      <x:c r="F3" s="46"/>
      <x:c r="G3" s="46"/>
      <x:c r="H3" s="46"/>
      <x:c r="I3" s="46"/>
      <x:c r="J3" s="46"/>
      <x:c r="K3" s="46"/>
      <x:c r="L3" s="46"/>
      <x:c r="M3" s="46"/>
      <x:c r="N3" s="46"/>
      <x:c r="O3" s="46"/>
    </x:row>
    <x:row r="5">
      <x:c r="A5" s="26" t="str">
        <x:v>گزارش ممیزی</x:v>
      </x:c>
      <x:c r="B5" s="26" t="str"/>
      <x:c r="C5" s="26" t="str"/>
      <x:c r="D5" s="26" t="str"/>
      <x:c r="E5" s="26" t="str"/>
      <x:c r="F5" s="26" t="str"/>
      <x:c r="G5" s="26" t="str"/>
      <x:c r="H5" s="26" t="str"/>
    </x:row>
    <x:row r="6">
      <x:c r="A6" s="39" t="str">
        <x:v>فایل منبع</x:v>
      </x:c>
      <x:c r="B6" s="39" t="str">
        <x:v>بلوک خام</x:v>
      </x:c>
      <x:c r="C6" s="39" t="str">
        <x:v>بلوک یکتا</x:v>
      </x:c>
      <x:c r="D6" s="39" t="str">
        <x:v>تطبیق دقیق</x:v>
      </x:c>
      <x:c r="E6" s="39" t="str">
        <x:v>تطبیق نزدیک</x:v>
      </x:c>
      <x:c r="F6" s="39" t="str">
        <x:v>تطبیق احتمالی</x:v>
      </x:c>
      <x:c r="G6" s="39" t="str">
        <x:v>بدون تطبیق مستقیم</x:v>
      </x:c>
      <x:c r="H6" s="39" t="str">
        <x:v>نویز/خالی</x:v>
      </x:c>
    </x:row>
    <x:row r="7">
      <x:c r="A7" s="39" t="str">
        <x:v>برنامه زندگی.docx</x:v>
      </x:c>
      <x:c r="B7" s="39" t="n">
        <x:v>417</x:v>
      </x:c>
      <x:c r="C7" s="39" t="n">
        <x:v>327</x:v>
      </x:c>
      <x:c r="D7" s="39" t="n">
        <x:v>315</x:v>
      </x:c>
      <x:c r="E7" s="39" t="n">
        <x:v>8</x:v>
      </x:c>
      <x:c r="F7" s="39" t="n">
        <x:v>12</x:v>
      </x:c>
      <x:c r="G7" s="39" t="n">
        <x:v>82</x:v>
      </x:c>
      <x:c r="H7" s="39" t="n">
        <x:v>0</x:v>
      </x:c>
    </x:row>
    <x:row r="8">
      <x:c r="A8" s="39" t="str">
        <x:v>همه برنامه ها.docx</x:v>
      </x:c>
      <x:c r="B8" s="39" t="n">
        <x:v>1535</x:v>
      </x:c>
      <x:c r="C8" s="39" t="n">
        <x:v>1427</x:v>
      </x:c>
      <x:c r="D8" s="39" t="n">
        <x:v>1403</x:v>
      </x:c>
      <x:c r="E8" s="39" t="n">
        <x:v>108</x:v>
      </x:c>
      <x:c r="F8" s="39" t="n">
        <x:v>19</x:v>
      </x:c>
      <x:c r="G8" s="39" t="n">
        <x:v>4</x:v>
      </x:c>
      <x:c r="H8" s="39" t="n">
        <x:v>1</x:v>
      </x:c>
    </x:row>
    <x:row r="9">
      <x:c r="A9" s="39" t="str">
        <x:v>همه برنامه ها.docx2.docx</x:v>
      </x:c>
      <x:c r="B9" s="39" t="n">
        <x:v>1554</x:v>
      </x:c>
      <x:c r="C9" s="39" t="n">
        <x:v>1444</x:v>
      </x:c>
      <x:c r="D9" s="39" t="n">
        <x:v>1403</x:v>
      </x:c>
      <x:c r="E9" s="39" t="n">
        <x:v>100</x:v>
      </x:c>
      <x:c r="F9" s="39" t="n">
        <x:v>46</x:v>
      </x:c>
      <x:c r="G9" s="39" t="n">
        <x:v>4</x:v>
      </x:c>
      <x:c r="H9" s="39" t="n">
        <x:v>1</x:v>
      </x:c>
    </x:row>
    <x:row r="10">
      <x:c r="A10" s="39" t="str">
        <x:v>11211.docx</x:v>
      </x:c>
      <x:c r="B10" s="39" t="n">
        <x:v>2437</x:v>
      </x:c>
      <x:c r="C10" s="39" t="n">
        <x:v>1583</x:v>
      </x:c>
      <x:c r="D10" s="39" t="n">
        <x:v>2156</x:v>
      </x:c>
      <x:c r="E10" s="39" t="n">
        <x:v>151</x:v>
      </x:c>
      <x:c r="F10" s="39" t="n">
        <x:v>64</x:v>
      </x:c>
      <x:c r="G10" s="39" t="n">
        <x:v>21</x:v>
      </x:c>
      <x:c r="H10" s="39" t="n">
        <x:v>45</x:v>
      </x:c>
    </x:row>
    <x:row r="11">
      <x:c r="A11" s="39" t="str">
        <x:v>فرم مورد نیاز کوچ ساکی.docx</x:v>
      </x:c>
      <x:c r="B11" s="39" t="n">
        <x:v>346</x:v>
      </x:c>
      <x:c r="C11" s="39" t="n">
        <x:v>337</x:v>
      </x:c>
      <x:c r="D11" s="39" t="n">
        <x:v>37</x:v>
      </x:c>
      <x:c r="E11" s="39" t="n">
        <x:v>5</x:v>
      </x:c>
      <x:c r="F11" s="39" t="n">
        <x:v>277</x:v>
      </x:c>
      <x:c r="G11" s="39" t="n">
        <x:v>27</x:v>
      </x:c>
      <x:c r="H11" s="39" t="n">
        <x:v>0</x:v>
      </x:c>
    </x:row>
    <x:row r="12">
      <x:c r="A12" s="39" t="str">
        <x:v>فرم مورد نیاز کوچ ساکی (1).docx</x:v>
      </x:c>
      <x:c r="B12" s="39" t="n">
        <x:v>273</x:v>
      </x:c>
      <x:c r="C12" s="39" t="n">
        <x:v>265</x:v>
      </x:c>
      <x:c r="D12" s="39" t="n">
        <x:v>33</x:v>
      </x:c>
      <x:c r="E12" s="39" t="n">
        <x:v>4</x:v>
      </x:c>
      <x:c r="F12" s="39" t="n">
        <x:v>213</x:v>
      </x:c>
      <x:c r="G12" s="39" t="n">
        <x:v>23</x:v>
      </x:c>
      <x:c r="H12" s="39" t="n">
        <x:v>0</x:v>
      </x:c>
    </x:row>
    <x:row r="13">
      <x:c r="A13" s="39" t="str">
        <x:v>فرم_اطلاعات_نتایج_آزمونها_تحصیلی (1).xlsx</x:v>
      </x:c>
      <x:c r="B13" s="39" t="n">
        <x:v>116</x:v>
      </x:c>
      <x:c r="C13" s="39" t="n">
        <x:v>90</x:v>
      </x:c>
      <x:c r="D13" s="39" t="n">
        <x:v>1</x:v>
      </x:c>
      <x:c r="E13" s="39" t="n">
        <x:v>2</x:v>
      </x:c>
      <x:c r="F13" s="39" t="n">
        <x:v>84</x:v>
      </x:c>
      <x:c r="G13" s="39" t="n">
        <x:v>29</x:v>
      </x:c>
      <x:c r="H13" s="39" t="n">
        <x:v>0</x:v>
      </x:c>
    </x:row>
    <x:row r="14">
      <x:c r="A14" s="39" t="str">
        <x:v>1154878548.docx</x:v>
      </x:c>
      <x:c r="B14" s="39" t="n">
        <x:v>8163</x:v>
      </x:c>
      <x:c r="C14" s="39" t="n">
        <x:v>4233</x:v>
      </x:c>
      <x:c r="D14" s="39" t="n">
        <x:v>4255</x:v>
      </x:c>
      <x:c r="E14" s="39" t="n">
        <x:v>784</x:v>
      </x:c>
      <x:c r="F14" s="39" t="n">
        <x:v>2753</x:v>
      </x:c>
      <x:c r="G14" s="39" t="n">
        <x:v>365</x:v>
      </x:c>
      <x:c r="H14" s="39" t="n">
        <x:v>6</x:v>
      </x:c>
    </x:row>
    <x:row r="15">
      <x:c r="A15" s="39" t="str">
        <x:v>شاخص</x:v>
      </x:c>
      <x:c r="B15" s="39" t="str">
        <x:v>مقدار</x:v>
      </x:c>
      <x:c r="C15" s="39" t="str">
        <x:v>توضیح</x:v>
      </x:c>
      <x:c r="D15" s="39" t="str">
        <x:v>نتیجه</x:v>
      </x:c>
      <x:c r="E15" s="39"/>
      <x:c r="F15" s="39"/>
      <x:c r="G15" s="39"/>
      <x:c r="H15" s="39"/>
    </x:row>
    <x:row r="16">
      <x:c r="A16" s="39" t="str">
        <x:v>فهرست پایه</x:v>
      </x:c>
      <x:c r="B16" s="39" t="n">
        <x:v>3150</x:v>
      </x:c>
      <x:c r="C16" s="39" t="str">
        <x:v>آیتم یکتای فایل مبنا</x:v>
      </x:c>
      <x:c r="D16" s="39" t="str">
        <x:v>حفظ شد</x:v>
      </x:c>
      <x:c r="E16" s="39"/>
      <x:c r="F16" s="39"/>
      <x:c r="G16" s="39"/>
      <x:c r="H16" s="39"/>
    </x:row>
    <x:row r="17">
      <x:c r="A17" s="39" t="str">
        <x:v>آیتم جدید</x:v>
      </x:c>
      <x:c r="B17" s="39" t="n">
        <x:v>98</x:v>
      </x:c>
      <x:c r="C17" s="39" t="str">
        <x:v>پس از ممیزی 1154878548</x:v>
      </x:c>
      <x:c r="D17" s="39" t="str">
        <x:v>به Hها و Master اضافه شد</x:v>
      </x:c>
      <x:c r="E17" s="39"/>
      <x:c r="F17" s="39"/>
      <x:c r="G17" s="39"/>
      <x:c r="H17" s="39"/>
    </x:row>
    <x:row r="18">
      <x:c r="A18" s="39" t="str">
        <x:v>فهرست نهایی</x:v>
      </x:c>
      <x:c r="B18" s="39" t="n">
        <x:v>3248</x:v>
      </x:c>
      <x:c r="C18" s="39" t="str">
        <x:v>مرجع اجرایی واحد</x:v>
      </x:c>
      <x:c r="D18" s="39" t="str">
        <x:v>فعال</x:v>
      </x:c>
      <x:c r="E18" s="39"/>
      <x:c r="F18" s="39"/>
      <x:c r="G18" s="39"/>
      <x:c r="H18" s="39"/>
    </x:row>
    <x:row r="19">
      <x:c r="A19" s="39" t="str">
        <x:v>استثناهای یکتا</x:v>
      </x:c>
      <x:c r="B19" s="39" t="n">
        <x:v>2782</x:v>
      </x:c>
      <x:c r="C19" s="39" t="str">
        <x:v>مواردی که تطبیق قطعی نداشتند</x:v>
      </x:c>
      <x:c r="D19" s="39" t="str">
        <x:v>در شیت 06 حفظ شدند</x:v>
      </x:c>
      <x:c r="E19" s="39"/>
      <x:c r="F19" s="39"/>
      <x:c r="G19" s="39"/>
      <x:c r="H19" s="39"/>
    </x:row>
    <x:row r="20">
      <x:c r="A20" s="39" t="str">
        <x:v>ساختار دانشگاهی</x:v>
      </x:c>
      <x:c r="B20" s="39" t="n">
        <x:v>13</x:v>
      </x:c>
      <x:c r="C20" s="39" t="str">
        <x:v>Taxonomy غیرهمپوشان دانشگاه</x:v>
      </x:c>
      <x:c r="D20" s="39" t="str">
        <x:v>شیت 07</x:v>
      </x:c>
      <x:c r="E20" s="39"/>
      <x:c r="F20" s="39"/>
      <x:c r="G20" s="39"/>
      <x:c r="H20" s="39"/>
    </x:row>
    <x:row r="21">
      <x:c r="A21" s="39" t="str">
        <x:v>ماتریس تخصصی</x:v>
      </x:c>
      <x:c r="B21" s="39" t="n">
        <x:v>20</x:v>
      </x:c>
      <x:c r="C21" s="39" t="str">
        <x:v>برچسب موضوعی موازی</x:v>
      </x:c>
      <x:c r="D21" s="39" t="str">
        <x:v>شیت 08</x:v>
      </x:c>
      <x:c r="E21" s="39"/>
      <x:c r="F21" s="39"/>
      <x:c r="G21" s="39"/>
      <x:c r="H21" s="39"/>
    </x:row>
    <x:row r="22">
      <x:c r="A22" s="39" t="str">
        <x:v>TalentOS</x:v>
      </x:c>
      <x:c r="B22" s="39" t="n">
        <x:v>41</x:v>
      </x:c>
      <x:c r="C22" s="39" t="str">
        <x:v>قابلیت جدید CRM/منابع انسانی</x:v>
      </x:c>
      <x:c r="D22" s="39" t="str">
        <x:v>در H10 + شیت 09</x:v>
      </x:c>
      <x:c r="E22" s="39"/>
      <x:c r="F22" s="39"/>
      <x:c r="G22" s="39"/>
      <x:c r="H22" s="39"/>
    </x:row>
    <x:row r="23">
      <x:c r="A23" s="39" t="str">
        <x:v>اصل عدم حذف</x:v>
      </x:c>
      <x:c r="B23" s="39" t="str">
        <x:v>فعال</x:v>
      </x:c>
      <x:c r="C23" s="39" t="str">
        <x:v>هیچ استثنای ممیزی دور ریخته نشده</x:v>
      </x:c>
      <x:c r="D23" s="39" t="str">
        <x:v>ردیابی‌پذیر</x:v>
      </x:c>
      <x:c r="E23" s="39"/>
      <x:c r="F23" s="39"/>
      <x:c r="G23" s="39"/>
      <x:c r="H23" s="39"/>
    </x:row>
    <x:row r="24">
      <x:c r="A24" s="39" t="str">
        <x:v>منطق پوشش: متن‌های دارای تطبیق دقیق/نزدیک در ۳۱۵۰ آیتم پایه پوشش داده شده‌اند. موارد جدید قابل‌استفاده به ۹۸ آیتم مستقل تبدیل شدند. هر موردِ نامطمئن یا بدون تطبیق قطعی در شیت «06-ردیابی استثناها» حفظ شده است تا در پالایش انسانی نیز چیزی حذف نشود.</x:v>
      </x:c>
      <x:c r="B24" s="39"/>
      <x:c r="C24" s="39"/>
      <x:c r="D24" s="39"/>
      <x:c r="E24" s="39"/>
      <x:c r="F24" s="39"/>
      <x:c r="G24" s="39"/>
      <x:c r="H24" s="39"/>
    </x:row>
    <x:row r="25">
      <x:c r="A25" s="39" t="str">
        <x:v>وضعیت یکپارچه‌سازی: دفتر کامل ۲٬۷۸۲ استثنای ممیزی در خود Workbook ادغام شده است. فایل جداگانه CSV دیگر برای استفاده روزمره لازم نیست؛ شیت 06 منبع کامل ردیابی استثناهاست.</x:v>
      </x:c>
      <x:c r="B25" s="39"/>
      <x:c r="C25" s="39"/>
      <x:c r="D25" s="39"/>
      <x:c r="E25" s="39"/>
      <x:c r="F25" s="39"/>
      <x:c r="G25" s="39"/>
      <x:c r="H25" s="39"/>
    </x:row>
    <x:row r="28">
      <x:c r="A28" s="26" t="str">
        <x:v>بازبینی</x:v>
      </x:c>
      <x:c r="B28" s="26" t="str">
        <x:v>شناسه</x:v>
      </x:c>
      <x:c r="C28" s="26" t="str">
        <x:v>متن خام</x:v>
      </x:c>
      <x:c r="D28" s="26" t="str">
        <x:v>وضعیت تطبیق</x:v>
      </x:c>
      <x:c r="E28" s="26" t="str">
        <x:v>شباهت</x:v>
      </x:c>
      <x:c r="F28" s="26" t="str">
        <x:v>ID پایه</x:v>
      </x:c>
      <x:c r="G28" s="26" t="str">
        <x:v>عنوان پایه</x:v>
      </x:c>
      <x:c r="H28" s="26" t="str">
        <x:v>H پایه</x:v>
      </x:c>
      <x:c r="I28" s="26" t="str">
        <x:v>اولویت پایه</x:v>
      </x:c>
      <x:c r="J28" s="26" t="str">
        <x:v>طبقه نهایی</x:v>
      </x:c>
      <x:c r="K28" s="26" t="str">
        <x:v>نوع ثبت</x:v>
      </x:c>
      <x:c r="L28" s="26" t="str">
        <x:v>ID نهایی</x:v>
      </x:c>
      <x:c r="M28" s="26" t="str">
        <x:v>عنوان نهایی</x:v>
      </x:c>
      <x:c r="N28" s="26" t="str">
        <x:v>منابع/موقعیت‌ها</x:v>
      </x:c>
      <x:c r="O28" s="26" t="str">
        <x:v>یادداشت ممیز</x:v>
      </x:c>
    </x:row>
    <x:row r="29">
      <x:c r="A29" s="34" t="str">
        <x:v>☐</x:v>
      </x:c>
      <x:c r="B29" s="34" t="str">
        <x:v>EX-0001</x:v>
      </x:c>
      <x:c r="C29" s="34" t="str">
        <x:v>برنامه زندگی</x:v>
      </x:c>
      <x:c r="D29" s="34" t="str">
        <x:v>POSSIBLE</x:v>
      </x:c>
      <x:c r="E29" s="34" t="str">
        <x:v>90.0</x:v>
      </x:c>
      <x:c r="F29" s="34" t="str">
        <x:v>MI-0596</x:v>
      </x:c>
      <x:c r="G29" s="39" t="str">
        <x:v>زندگی</x:v>
      </x:c>
      <x:c r="H29" s="39" t="str">
        <x:v>H18</x:v>
      </x:c>
      <x:c r="I29" s="39" t="str">
        <x:v>BANK</x:v>
      </x:c>
      <x:c r="J29" s="39" t="str">
        <x:v>H18</x:v>
      </x:c>
      <x:c r="K29" s="39" t="str">
        <x:v>تطبیق احتمالی با پایه</x:v>
      </x:c>
      <x:c r="L29" s="39" t="str">
        <x:v>MI-0596</x:v>
      </x:c>
      <x:c r="M29" s="39" t="str">
        <x:v>زندگی</x:v>
      </x:c>
      <x:c r="N29" s="39" t="str">
        <x:v>برنامه زندگی.docx::T1R1C1.1 | 1154878548.docx::T3R1C1.1</x:v>
      </x:c>
      <x:c r="O29" s="39"/>
    </x:row>
    <x:row r="30">
      <x:c r="A30" s="34" t="str">
        <x:v>☐</x:v>
      </x:c>
      <x:c r="B30" s="34" t="str">
        <x:v>EX-0002</x:v>
      </x:c>
      <x:c r="C30" s="34" t="str">
        <x:v>مدیریت اجرائی</x:v>
      </x:c>
      <x:c r="D30" s="34" t="str">
        <x:v>POSSIBLE</x:v>
      </x:c>
      <x:c r="E30" s="34" t="str">
        <x:v>92.3</x:v>
      </x:c>
      <x:c r="F30" s="34" t="str">
        <x:v>MI-0104</x:v>
      </x:c>
      <x:c r="G30" s="39" t="str">
        <x:v>مدیریت اجرایی</x:v>
      </x:c>
      <x:c r="H30" s="39" t="str">
        <x:v>H1</x:v>
      </x:c>
      <x:c r="I30" s="39" t="str">
        <x:v>P0</x:v>
      </x:c>
      <x:c r="J30" s="39" t="str">
        <x:v>H1</x:v>
      </x:c>
      <x:c r="K30" s="39" t="str">
        <x:v>تطبیق احتمالی با پایه</x:v>
      </x:c>
      <x:c r="L30" s="39" t="str">
        <x:v>MI-0104</x:v>
      </x:c>
      <x:c r="M30" s="39" t="str">
        <x:v>مدیریت اجرایی</x:v>
      </x:c>
      <x:c r="N30" s="39" t="str">
        <x:v>برنامه زندگی.docx::T1R106C1.1 | همه برنامه ها.docx::P:1447:1 | همه برنامه ها.docx2.docx::P1447.1 | _normalized_all_programs.docx::P1447.1 | 1154878548.docx::P3822.1 | 1154878548.docx::P6267.1 | 1154878548.docx::T3R106C1.1</x:v>
      </x:c>
      <x:c r="O30" s="39"/>
    </x:row>
    <x:row r="31">
      <x:c r="A31" s="34" t="str">
        <x:v>☐</x:v>
      </x:c>
      <x:c r="B31" s="34" t="str">
        <x:v>EX-0003</x:v>
      </x:c>
      <x:c r="C31" s="34" t="str">
        <x:v>تاریخ ایران</x:v>
      </x:c>
      <x:c r="D31" s="34" t="str">
        <x:v>POSSIBLE</x:v>
      </x:c>
      <x:c r="E31" s="34" t="str">
        <x:v>90.0</x:v>
      </x:c>
      <x:c r="F31" s="34" t="str">
        <x:v>MI-1236</x:v>
      </x:c>
      <x:c r="G31" s="39" t="str">
        <x:v>ایران</x:v>
      </x:c>
      <x:c r="H31" s="39" t="str">
        <x:v>H12</x:v>
      </x:c>
      <x:c r="I31" s="39" t="str">
        <x:v>P2</x:v>
      </x:c>
      <x:c r="J31" s="39" t="str">
        <x:v>H12</x:v>
      </x:c>
      <x:c r="K31" s="39" t="str">
        <x:v>تطبیق احتمالی با پایه</x:v>
      </x:c>
      <x:c r="L31" s="39" t="str">
        <x:v>MI-1236</x:v>
      </x:c>
      <x:c r="M31" s="39" t="str">
        <x:v>ایران</x:v>
      </x:c>
      <x:c r="N31" s="39" t="str">
        <x:v>برنامه زندگی.docx::T1R148C1.1 | 1154878548.docx::P4415.1 | 1154878548.docx::T3R148C1.1</x:v>
      </x:c>
      <x:c r="O31" s="39"/>
    </x:row>
    <x:row r="32">
      <x:c r="A32" s="34" t="str">
        <x:v>☐</x:v>
      </x:c>
      <x:c r="B32" s="34" t="str">
        <x:v>EX-0004</x:v>
      </x:c>
      <x:c r="C32" s="34" t="str">
        <x:v>ICDL</x:v>
      </x:c>
      <x:c r="D32" s="34" t="str">
        <x:v>POSSIBLE</x:v>
      </x:c>
      <x:c r="E32" s="34" t="str">
        <x:v>90.0</x:v>
      </x:c>
      <x:c r="F32" s="34" t="str">
        <x:v>MI-0060</x:v>
      </x:c>
      <x:c r="G32" s="39" t="str">
        <x:v>یادگیری icdl</x:v>
      </x:c>
      <x:c r="H32" s="39" t="str">
        <x:v>H7</x:v>
      </x:c>
      <x:c r="I32" s="39" t="str">
        <x:v>P1</x:v>
      </x:c>
      <x:c r="J32" s="39" t="str">
        <x:v>H7</x:v>
      </x:c>
      <x:c r="K32" s="39" t="str">
        <x:v>تطبیق احتمالی با پایه</x:v>
      </x:c>
      <x:c r="L32" s="39" t="str">
        <x:v>MI-0060</x:v>
      </x:c>
      <x:c r="M32" s="39" t="str">
        <x:v>یادگیری icdl</x:v>
      </x:c>
      <x:c r="N32" s="39" t="str">
        <x:v>برنامه زندگی.docx::T1R166C1.1 | 1154878548.docx::P4407.1 | 1154878548.docx::T3R166C1.1</x:v>
      </x:c>
      <x:c r="O32" s="39"/>
    </x:row>
    <x:row r="33">
      <x:c r="A33" s="34" t="str">
        <x:v>☐</x:v>
      </x:c>
      <x:c r="B33" s="34" t="str">
        <x:v>EX-0005</x:v>
      </x:c>
      <x:c r="C33" s="34" t="str">
        <x:v>1</x:v>
      </x:c>
      <x:c r="D33" s="34" t="str">
        <x:v>POSSIBLE</x:v>
      </x:c>
      <x:c r="E33" s="34" t="str">
        <x:v>90.0</x:v>
      </x:c>
      <x:c r="F33" s="34" t="str">
        <x:v>MI-2146</x:v>
      </x:c>
      <x:c r="G33" s="39" t="str">
        <x:v>اتصال 1</x:v>
      </x:c>
      <x:c r="H33" s="39" t="str">
        <x:v>H20</x:v>
      </x:c>
      <x:c r="I33" s="39" t="str">
        <x:v>P3/CLARIFY</x:v>
      </x:c>
      <x:c r="J33" s="39" t="str">
        <x:v>H20</x:v>
      </x:c>
      <x:c r="K33" s="39" t="str">
        <x:v>تطبیق احتمالی با پایه</x:v>
      </x:c>
      <x:c r="L33" s="39" t="str">
        <x:v>MI-2146</x:v>
      </x:c>
      <x:c r="M33" s="39" t="str">
        <x:v>اتصال 1</x:v>
      </x:c>
      <x:c r="N33" s="39" t="str">
        <x:v>برنامه زندگی.docx::T1R209C1.1 | فرم مورد نیاز کوچ ساکی.docx::T2R2C1.1 | فرم مورد نیاز کوچ ساکی.docx::T3R2C1.1 | فرم مورد نیاز کوچ ساکی (1).docx::T2R2C1.1 | فرم مورد نیاز کوچ ساکی (1).docx::T3R2C1.1 | 1154878548.docx::T1R2C1.1 | 1154878548.docx::T3R209C1.1 | فرم_اطلاعات_نتایج_آزمونها_تحصیلی (1).xlsx::فرم نتایج تست ها!AC34</x:v>
      </x:c>
      <x:c r="O33" s="39"/>
    </x:row>
    <x:row r="34">
      <x:c r="A34" s="34" t="str">
        <x:v>☐</x:v>
      </x:c>
      <x:c r="B34" s="34" t="str">
        <x:v>EX-0006</x:v>
      </x:c>
      <x:c r="C34" s="34" t="str">
        <x:v>2</x:v>
      </x:c>
      <x:c r="D34" s="34" t="str">
        <x:v>UNMAPPED</x:v>
      </x:c>
      <x:c r="E34" s="34" t="str">
        <x:v>60.0</x:v>
      </x:c>
      <x:c r="F34" s="34" t="str">
        <x:v>MI-1439</x:v>
      </x:c>
      <x:c r="G34" s="39" t="str">
        <x:v>دعای هفتم و دعای 22 صحیفه سجادیه</x:v>
      </x:c>
      <x:c r="H34" s="39" t="str">
        <x:v>H1</x:v>
      </x:c>
      <x:c r="I34" s="39" t="str">
        <x:v>P0</x:v>
      </x:c>
      <x:c r="J34" s="39" t="str">
        <x:v>STRUCT</x:v>
      </x:c>
      <x:c r="K34" s="39" t="str">
        <x:v>ساختار/برچسب</x:v>
      </x:c>
      <x:c r="L34" s="39"/>
      <x:c r="M34" s="39"/>
      <x:c r="N34" s="39" t="str">
        <x:v>برنامه زندگی.docx::T1R211C1.1 | فرم مورد نیاز کوچ ساکی.docx::T2R3C1.1 | فرم مورد نیاز کوچ ساکی.docx::T3R3C1.1 | فرم مورد نیاز کوچ ساکی (1).docx::T2R3C1.1 | فرم مورد نیاز کوچ ساکی (1).docx::T3R3C1.1 | 1154878548.docx::T1R3C1.1 | 1154878548.docx::T3R211C1.1 | فرم_اطلاعات_نتایج_آزمونها_تحصیلی (1).xlsx::فرم نتایج تست ها!Z34</x:v>
      </x:c>
      <x:c r="O34" s="39"/>
    </x:row>
    <x:row r="35">
      <x:c r="A35" s="34" t="str">
        <x:v>☐</x:v>
      </x:c>
      <x:c r="B35" s="34" t="str">
        <x:v>EX-0007</x:v>
      </x:c>
      <x:c r="C35" s="34" t="str">
        <x:v>3</x:v>
      </x:c>
      <x:c r="D35" s="34" t="str">
        <x:v>UNMAPPED</x:v>
      </x:c>
      <x:c r="E35" s="34" t="str">
        <x:v>60.0</x:v>
      </x:c>
      <x:c r="F35" s="34" t="str">
        <x:v>MI-2967</x:v>
      </x:c>
      <x:c r="G35" s="39" t="str">
        <x:v>واحد 3 — سیستم تیم سازی و نوآوری</x:v>
      </x:c>
      <x:c r="H35" s="39" t="str">
        <x:v>H4</x:v>
      </x:c>
      <x:c r="I35" s="39" t="str">
        <x:v>P1</x:v>
      </x:c>
      <x:c r="J35" s="39" t="str">
        <x:v>STRUCT</x:v>
      </x:c>
      <x:c r="K35" s="39" t="str">
        <x:v>ساختار/برچسب</x:v>
      </x:c>
      <x:c r="L35" s="39"/>
      <x:c r="M35" s="39"/>
      <x:c r="N35" s="39" t="str">
        <x:v>برنامه زندگی.docx::T1R214C1.1 | فرم مورد نیاز کوچ ساکی.docx::T2R4C1.1 | فرم مورد نیاز کوچ ساکی.docx::T3R4C1.1 | فرم مورد نیاز کوچ ساکی (1).docx::T2R4C1.1 | فرم مورد نیاز کوچ ساکی (1).docx::T3R4C1.1 | 1154878548.docx::T1R5C1.1 | 1154878548.docx::T3R214C1.1 | فرم_اطلاعات_نتایج_آزمونها_تحصیلی (1).xlsx::فرم نتایج تست ها!W34</x:v>
      </x:c>
      <x:c r="O35" s="39"/>
    </x:row>
    <x:row r="36">
      <x:c r="A36" s="34" t="str">
        <x:v>☐</x:v>
      </x:c>
      <x:c r="B36" s="34" t="str">
        <x:v>EX-0008</x:v>
      </x:c>
      <x:c r="C36" s="34" t="str">
        <x:v>4</x:v>
      </x:c>
      <x:c r="D36" s="34" t="str">
        <x:v>UNMAPPED</x:v>
      </x:c>
      <x:c r="E36" s="34" t="str">
        <x:v>60.0</x:v>
      </x:c>
      <x:c r="F36" s="34" t="str">
        <x:v>MI-1448</x:v>
      </x:c>
      <x:c r="G36" s="39" t="str">
        <x:v>پول هییت قبلا چوقدر هست دست من؟؟؟ قبلا 4,290 بوده . چقدر به سید دادم.</x:v>
      </x:c>
      <x:c r="H36" s="39" t="str">
        <x:v>H1</x:v>
      </x:c>
      <x:c r="I36" s="39" t="str">
        <x:v>P0</x:v>
      </x:c>
      <x:c r="J36" s="39" t="str">
        <x:v>STRUCT</x:v>
      </x:c>
      <x:c r="K36" s="39" t="str">
        <x:v>ساختار/برچسب</x:v>
      </x:c>
      <x:c r="L36" s="39"/>
      <x:c r="M36" s="39"/>
      <x:c r="N36" s="39" t="str">
        <x:v>برنامه زندگی.docx::T1R216C1.1 | 1154878548.docx::T1R6C1.1 | 1154878548.docx::T3R216C1.1 | فرم_اطلاعات_نتایج_آزمونها_تحصیلی (1).xlsx::فرم نتایج تست ها!T34</x:v>
      </x:c>
      <x:c r="O36" s="39"/>
    </x:row>
    <x:row r="37">
      <x:c r="A37" s="34" t="str">
        <x:v>☐</x:v>
      </x:c>
      <x:c r="B37" s="34" t="str">
        <x:v>EX-0009</x:v>
      </x:c>
      <x:c r="C37" s="34" t="str">
        <x:v>5</x:v>
      </x:c>
      <x:c r="D37" s="34" t="str">
        <x:v>UNMAPPED</x:v>
      </x:c>
      <x:c r="E37" s="34" t="str">
        <x:v>60.0</x:v>
      </x:c>
      <x:c r="F37" s="34" t="str">
        <x:v>MI-3109</x:v>
      </x:c>
      <x:c r="G37" s="39" t="str">
        <x:v>در حال حاضر که توی خوابگاه بیشتر وقت خودم رو میگذرونم با این 4 5 سال لیسانس ، یعنی دوست دارم از محیط خونه دور باشم و به فکر اینده . ، بله خانواده خیلی بر این هستن که میخوای چکار کنی، داری چکاری میکنی، بشین فکر کن ، بازیگوشی نکن، میخوای زندگی تشکیل بدی باید پول داشته باشی ، برادرت رو نگاه کن که سروسامون گرفت ، داییت رو نگاه کن ، زحمت کشید و نتیجه اش رو داره میبینه، اون یکی فلانی رو نگاه کن چقد با مشکلات مواجه شده درس نخونده و تلاش نکرده، سر خودت رو شیره مالیدی و الکی خرج کردی و داری این شاخه و اون شاخه میکنی و ..... 6 ساله هیچ مدرک تحصیلی دریافت نکردی ، بریم بگیم مدرکت چیه ، اگه الان لیسانستو گرفته بودی داییت یا داداشت میبردت سر کار و ، اصن بیا پول جور میکنیم داروخونه میزنیم بیا برو بچرخونش، یا اصن تزریقات یادبگیر برو پیش داداشت کار کن ...</x:v>
      </x:c>
      <x:c r="H37" s="39" t="str">
        <x:v>H2</x:v>
      </x:c>
      <x:c r="I37" s="39" t="str">
        <x:v>P3/CLARIFY</x:v>
      </x:c>
      <x:c r="J37" s="39" t="str">
        <x:v>STRUCT</x:v>
      </x:c>
      <x:c r="K37" s="39" t="str">
        <x:v>ساختار/برچسب</x:v>
      </x:c>
      <x:c r="L37" s="39"/>
      <x:c r="M37" s="39"/>
      <x:c r="N37" s="39" t="str">
        <x:v>برنامه زندگی.docx::T1R219C1.1 | 1154878548.docx::T1R8C1.1 | 1154878548.docx::T3R219C1.1 | فرم_اطلاعات_نتایج_آزمونها_تحصیلی (1).xlsx::فرم نتایج تست ها!Q34</x:v>
      </x:c>
      <x:c r="O37" s="39"/>
    </x:row>
    <x:row r="38">
      <x:c r="A38" s="34" t="str">
        <x:v>☐</x:v>
      </x:c>
      <x:c r="B38" s="34" t="str">
        <x:v>EX-0010</x:v>
      </x:c>
      <x:c r="C38" s="34" t="str">
        <x:v>6</x:v>
      </x:c>
      <x:c r="D38" s="34" t="str">
        <x:v>UNMAPPED</x:v>
      </x:c>
      <x:c r="E38" s="34" t="str">
        <x:v>60.0</x:v>
      </x:c>
      <x:c r="F38" s="34" t="str">
        <x:v>MI-3109</x:v>
      </x:c>
      <x:c r="G38" s="39" t="str">
        <x:v>در حال حاضر که توی خوابگاه بیشتر وقت خودم رو میگذرونم با این 4 5 سال لیسانس ، یعنی دوست دارم از محیط خونه دور باشم و به فکر اینده . ، بله خانواده خیلی بر این هستن که میخوای چکار کنی، داری چکاری میکنی، بشین فکر کن ، بازیگوشی نکن، میخوای زندگی تشکیل بدی باید پول داشته باشی ، برادرت رو نگاه کن که سروسامون گرفت ، داییت رو نگاه کن ، زحمت کشید و نتیجه اش رو داره میبینه، اون یکی فلانی رو نگاه کن چقد با مشکلات مواجه شده درس نخونده و تلاش نکرده، سر خودت رو شیره مالیدی و الکی خرج کردی و داری این شاخه و اون شاخه میکنی و ..... 6 ساله هیچ مدرک تحصیلی دریافت نکردی ، بریم بگیم مدرکت چیه ، اگه الان لیسانستو گرفته بودی داییت یا داداشت میبردت سر کار و ، اصن بیا پول جور میکنیم داروخونه میزنیم بیا برو بچرخونش، یا اصن تزریقات یادبگیر برو پیش داداشت کار کن ...</x:v>
      </x:c>
      <x:c r="H38" s="39" t="str">
        <x:v>H2</x:v>
      </x:c>
      <x:c r="I38" s="39" t="str">
        <x:v>P3/CLARIFY</x:v>
      </x:c>
      <x:c r="J38" s="39" t="str">
        <x:v>STRUCT</x:v>
      </x:c>
      <x:c r="K38" s="39" t="str">
        <x:v>ساختار/برچسب</x:v>
      </x:c>
      <x:c r="L38" s="39"/>
      <x:c r="M38" s="39"/>
      <x:c r="N38" s="39" t="str">
        <x:v>برنامه زندگی.docx::T1R221C1.1 | 1154878548.docx::T1R9C1.1 | 1154878548.docx::T3R221C1.1 | فرم_اطلاعات_نتایج_آزمونها_تحصیلی (1).xlsx::فرم نتایج تست ها!N34</x:v>
      </x:c>
      <x:c r="O38" s="39"/>
    </x:row>
    <x:row r="39">
      <x:c r="A39" s="34" t="str">
        <x:v>☐</x:v>
      </x:c>
      <x:c r="B39" s="34" t="str">
        <x:v>EX-0011</x:v>
      </x:c>
      <x:c r="C39" s="34" t="str">
        <x:v>7</x:v>
      </x:c>
      <x:c r="D39" s="34" t="str">
        <x:v>UNMAPPED</x:v>
      </x:c>
      <x:c r="E39" s="34" t="str">
        <x:v>60.0</x:v>
      </x:c>
      <x:c r="F39" s="34" t="str">
        <x:v>MI-3034</x:v>
      </x:c>
      <x:c r="G39" s="39" t="str">
        <x:v>7. ساختار تصمیم گیری</x:v>
      </x:c>
      <x:c r="H39" s="39" t="str">
        <x:v>H1</x:v>
      </x:c>
      <x:c r="I39" s="39" t="str">
        <x:v>P0</x:v>
      </x:c>
      <x:c r="J39" s="39" t="str">
        <x:v>STRUCT</x:v>
      </x:c>
      <x:c r="K39" s="39" t="str">
        <x:v>ساختار/برچسب</x:v>
      </x:c>
      <x:c r="L39" s="39"/>
      <x:c r="M39" s="39"/>
      <x:c r="N39" s="39" t="str">
        <x:v>برنامه زندگی.docx::T1R223C1.1 | 1154878548.docx::T1R10C1.1 | 1154878548.docx::T3R223C1.1 | فرم_اطلاعات_نتایج_آزمونها_تحصیلی (1).xlsx::فرم نتایج تست ها!K34</x:v>
      </x:c>
      <x:c r="O39" s="39"/>
    </x:row>
    <x:row r="40">
      <x:c r="A40" s="34" t="str">
        <x:v>☐</x:v>
      </x:c>
      <x:c r="B40" s="34" t="str">
        <x:v>EX-0012</x:v>
      </x:c>
      <x:c r="C40" s="34" t="str">
        <x:v>8</x:v>
      </x:c>
      <x:c r="D40" s="34" t="str">
        <x:v>UNMAPPED</x:v>
      </x:c>
      <x:c r="E40" s="34" t="str">
        <x:v>60.0</x:v>
      </x:c>
      <x:c r="F40" s="34" t="str">
        <x:v>MI-2844</x:v>
      </x:c>
      <x:c r="G40" s="39" t="str">
        <x:v>لایه 8 — رویدادهای اکوسیستم</x:v>
      </x:c>
      <x:c r="H40" s="39" t="str">
        <x:v>H10</x:v>
      </x:c>
      <x:c r="I40" s="39" t="str">
        <x:v>P2</x:v>
      </x:c>
      <x:c r="J40" s="39" t="str">
        <x:v>STRUCT</x:v>
      </x:c>
      <x:c r="K40" s="39" t="str">
        <x:v>ساختار/برچسب</x:v>
      </x:c>
      <x:c r="L40" s="39"/>
      <x:c r="M40" s="39"/>
      <x:c r="N40" s="39" t="str">
        <x:v>برنامه زندگی.docx::T1R225C1.1 | 1154878548.docx::T1R11C1.1 | 1154878548.docx::T3R225C1.1 | فرم_اطلاعات_نتایج_آزمونها_تحصیلی (1).xlsx::فرم نتایج تست ها!H34</x:v>
      </x:c>
      <x:c r="O40" s="39"/>
    </x:row>
    <x:row r="41">
      <x:c r="A41" s="34" t="str">
        <x:v>☐</x:v>
      </x:c>
      <x:c r="B41" s="34" t="str">
        <x:v>EX-0013</x:v>
      </x:c>
      <x:c r="C41" s="34" t="str">
        <x:v>9</x:v>
      </x:c>
      <x:c r="D41" s="34" t="str">
        <x:v>UNMAPPED</x:v>
      </x:c>
      <x:c r="E41" s="34" t="str">
        <x:v>60.0</x:v>
      </x:c>
      <x:c r="F41" s="34" t="str">
        <x:v>MI-1448</x:v>
      </x:c>
      <x:c r="G41" s="39" t="str">
        <x:v>پول هییت قبلا چوقدر هست دست من؟؟؟ قبلا 4,290 بوده . چقدر به سید دادم.</x:v>
      </x:c>
      <x:c r="H41" s="39" t="str">
        <x:v>H1</x:v>
      </x:c>
      <x:c r="I41" s="39" t="str">
        <x:v>P0</x:v>
      </x:c>
      <x:c r="J41" s="39" t="str">
        <x:v>STRUCT</x:v>
      </x:c>
      <x:c r="K41" s="39" t="str">
        <x:v>ساختار/برچسب</x:v>
      </x:c>
      <x:c r="L41" s="39"/>
      <x:c r="M41" s="39"/>
      <x:c r="N41" s="39" t="str">
        <x:v>برنامه زندگی.docx::T1R227C1.1 | 1154878548.docx::T1R12C1.1 | 1154878548.docx::T3R227C1.1 | فرم_اطلاعات_نتایج_آزمونها_تحصیلی (1).xlsx::فرم نتایج تست ها!E34</x:v>
      </x:c>
      <x:c r="O41" s="39"/>
    </x:row>
    <x:row r="42">
      <x:c r="A42" s="34" t="str">
        <x:v>☐</x:v>
      </x:c>
      <x:c r="B42" s="34" t="str">
        <x:v>EX-0014</x:v>
      </x:c>
      <x:c r="C42" s="34" t="str">
        <x:v>10</x:v>
      </x:c>
      <x:c r="D42" s="34" t="str">
        <x:v>POSSIBLE</x:v>
      </x:c>
      <x:c r="E42" s="34" t="str">
        <x:v>90.0</x:v>
      </x:c>
      <x:c r="F42" s="34" t="str">
        <x:v>MI-1446</x:v>
      </x:c>
      <x:c r="G42" s="39" t="str">
        <x:v>صدقه 10 تومن</x:v>
      </x:c>
      <x:c r="H42" s="39" t="str">
        <x:v>H1</x:v>
      </x:c>
      <x:c r="I42" s="39" t="str">
        <x:v>P0</x:v>
      </x:c>
      <x:c r="J42" s="39" t="str">
        <x:v>H1</x:v>
      </x:c>
      <x:c r="K42" s="39" t="str">
        <x:v>تطبیق احتمالی با پایه</x:v>
      </x:c>
      <x:c r="L42" s="39" t="str">
        <x:v>MI-1446</x:v>
      </x:c>
      <x:c r="M42" s="39" t="str">
        <x:v>صدقه 10 تومن</x:v>
      </x:c>
      <x:c r="N42" s="39" t="str">
        <x:v>برنامه زندگی.docx::T1R229C1.1 | 1154878548.docx::T1R13C1.1 | 1154878548.docx::T3R229C1.1 | فرم_اطلاعات_نتایج_آزمونها_تحصیلی (1).xlsx::فرم نتایج تست ها!B34</x:v>
      </x:c>
      <x:c r="O42" s="39"/>
    </x:row>
    <x:row r="43">
      <x:c r="A43" s="34" t="str">
        <x:v>☐</x:v>
      </x:c>
      <x:c r="B43" s="34" t="str">
        <x:v>EX-0015</x:v>
      </x:c>
      <x:c r="C43" s="34" t="str">
        <x:v>11</x:v>
      </x:c>
      <x:c r="D43" s="34" t="str">
        <x:v>POSSIBLE</x:v>
      </x:c>
      <x:c r="E43" s="34" t="str">
        <x:v>90.0</x:v>
      </x:c>
      <x:c r="F43" s="34" t="str">
        <x:v>MI-0493</x:v>
      </x:c>
      <x:c r="G43" s="39" t="str">
        <x:v>عملکرد مجلس 11</x:v>
      </x:c>
      <x:c r="H43" s="39" t="str">
        <x:v>H18</x:v>
      </x:c>
      <x:c r="I43" s="39" t="str">
        <x:v>BANK</x:v>
      </x:c>
      <x:c r="J43" s="39" t="str">
        <x:v>H18</x:v>
      </x:c>
      <x:c r="K43" s="39" t="str">
        <x:v>تطبیق احتمالی با پایه</x:v>
      </x:c>
      <x:c r="L43" s="39" t="str">
        <x:v>MI-0493</x:v>
      </x:c>
      <x:c r="M43" s="39" t="str">
        <x:v>عملکرد مجلس 11</x:v>
      </x:c>
      <x:c r="N43" s="39" t="str">
        <x:v>برنامه زندگی.docx::T1R231C1.1 | 1154878548.docx::T1R14C1.1 | 1154878548.docx::T3R231C1.1</x:v>
      </x:c>
      <x:c r="O43" s="39"/>
    </x:row>
    <x:row r="44">
      <x:c r="A44" s="34" t="str">
        <x:v>☐</x:v>
      </x:c>
      <x:c r="B44" s="34" t="str">
        <x:v>EX-0016</x:v>
      </x:c>
      <x:c r="C44" s="34" t="str">
        <x:v>12</x:v>
      </x:c>
      <x:c r="D44" s="34" t="str">
        <x:v>POSSIBLE</x:v>
      </x:c>
      <x:c r="E44" s="34" t="str">
        <x:v>90.0</x:v>
      </x:c>
      <x:c r="F44" s="34" t="str">
        <x:v>MI-1447</x:v>
      </x:c>
      <x:c r="G44" s="39" t="str">
        <x:v>صدقه 12 ت</x:v>
      </x:c>
      <x:c r="H44" s="39" t="str">
        <x:v>H1</x:v>
      </x:c>
      <x:c r="I44" s="39" t="str">
        <x:v>P0</x:v>
      </x:c>
      <x:c r="J44" s="39" t="str">
        <x:v>H1</x:v>
      </x:c>
      <x:c r="K44" s="39" t="str">
        <x:v>تطبیق احتمالی با پایه</x:v>
      </x:c>
      <x:c r="L44" s="39" t="str">
        <x:v>MI-1447</x:v>
      </x:c>
      <x:c r="M44" s="39" t="str">
        <x:v>صدقه 12 ت</x:v>
      </x:c>
      <x:c r="N44" s="39" t="str">
        <x:v>برنامه زندگی.docx::T1R233C1.1 | 1154878548.docx::T1R15C1.1 | 1154878548.docx::T3R233C1.1</x:v>
      </x:c>
      <x:c r="O44" s="39"/>
    </x:row>
    <x:row r="45">
      <x:c r="A45" s="34" t="str">
        <x:v>☐</x:v>
      </x:c>
      <x:c r="B45" s="34" t="str">
        <x:v>EX-0017</x:v>
      </x:c>
      <x:c r="C45" s="34" t="str">
        <x:v>13</x:v>
      </x:c>
      <x:c r="D45" s="34" t="str">
        <x:v>UNMAPPED</x:v>
      </x:c>
      <x:c r="E45" s="34" t="str">
        <x:v>60.0</x:v>
      </x:c>
      <x:c r="F45" s="34" t="str">
        <x:v>MI-0145</x:v>
      </x:c>
      <x:c r="G45" s="39" t="str">
        <x:v>3d modeling</x:v>
      </x:c>
      <x:c r="H45" s="39" t="str">
        <x:v>H6</x:v>
      </x:c>
      <x:c r="I45" s="39" t="str">
        <x:v>P3/CLARIFY</x:v>
      </x:c>
      <x:c r="J45" s="39" t="str">
        <x:v>STRUCT</x:v>
      </x:c>
      <x:c r="K45" s="39" t="str">
        <x:v>ساختار/برچسب</x:v>
      </x:c>
      <x:c r="L45" s="39"/>
      <x:c r="M45" s="39"/>
      <x:c r="N45" s="39" t="str">
        <x:v>برنامه زندگی.docx::T1R235C1.1 | 1154878548.docx::T1R16C1.1 | 1154878548.docx::T3R235C1.1</x:v>
      </x:c>
      <x:c r="O45" s="39"/>
    </x:row>
    <x:row r="46">
      <x:c r="A46" s="34" t="str">
        <x:v>☐</x:v>
      </x:c>
      <x:c r="B46" s="34" t="str">
        <x:v>EX-0018</x:v>
      </x:c>
      <x:c r="C46" s="34" t="str">
        <x:v>14</x:v>
      </x:c>
      <x:c r="D46" s="34" t="str">
        <x:v>UNMAPPED</x:v>
      </x:c>
      <x:c r="E46" s="34" t="str">
        <x:v>60.0</x:v>
      </x:c>
      <x:c r="F46" s="34" t="str">
        <x:v>MI-2458</x:v>
      </x:c>
      <x:c r="G46" s="39" t="str">
        <x:v>12. برنامه EiR</x:v>
      </x:c>
      <x:c r="H46" s="39" t="str">
        <x:v>H10</x:v>
      </x:c>
      <x:c r="I46" s="39" t="str">
        <x:v>P2</x:v>
      </x:c>
      <x:c r="J46" s="39" t="str">
        <x:v>STRUCT</x:v>
      </x:c>
      <x:c r="K46" s="39" t="str">
        <x:v>ساختار/برچسب</x:v>
      </x:c>
      <x:c r="L46" s="39"/>
      <x:c r="M46" s="39"/>
      <x:c r="N46" s="39" t="str">
        <x:v>برنامه زندگی.docx::T1R237C1.1 | 1154878548.docx::T1R17C1.1 | 1154878548.docx::T3R237C1.1</x:v>
      </x:c>
      <x:c r="O46" s="39"/>
    </x:row>
    <x:row r="47">
      <x:c r="A47" s="34" t="str">
        <x:v>☐</x:v>
      </x:c>
      <x:c r="B47" s="34" t="str">
        <x:v>EX-0019</x:v>
      </x:c>
      <x:c r="C47" s="34" t="str">
        <x:v>15</x:v>
      </x:c>
      <x:c r="D47" s="34" t="str">
        <x:v>UNMAPPED</x:v>
      </x:c>
      <x:c r="E47" s="34" t="str">
        <x:v>60.0</x:v>
      </x:c>
      <x:c r="F47" s="34" t="str">
        <x:v>MI-2458</x:v>
      </x:c>
      <x:c r="G47" s="39" t="str">
        <x:v>12. برنامه EiR</x:v>
      </x:c>
      <x:c r="H47" s="39" t="str">
        <x:v>H10</x:v>
      </x:c>
      <x:c r="I47" s="39" t="str">
        <x:v>P2</x:v>
      </x:c>
      <x:c r="J47" s="39" t="str">
        <x:v>STRUCT</x:v>
      </x:c>
      <x:c r="K47" s="39" t="str">
        <x:v>ساختار/برچسب</x:v>
      </x:c>
      <x:c r="L47" s="39"/>
      <x:c r="M47" s="39"/>
      <x:c r="N47" s="39" t="str">
        <x:v>برنامه زندگی.docx::T1R239C1.1 | 1154878548.docx::T1R18C1.1 | 1154878548.docx::T3R239C1.1</x:v>
      </x:c>
      <x:c r="O47" s="39"/>
    </x:row>
    <x:row r="48">
      <x:c r="A48" s="34" t="str">
        <x:v>☐</x:v>
      </x:c>
      <x:c r="B48" s="34" t="str">
        <x:v>EX-0020</x:v>
      </x:c>
      <x:c r="C48" s="34" t="str">
        <x:v>16</x:v>
      </x:c>
      <x:c r="D48" s="34" t="str">
        <x:v>UNMAPPED</x:v>
      </x:c>
      <x:c r="E48" s="34" t="str">
        <x:v>60.0</x:v>
      </x:c>
      <x:c r="F48" s="34" t="str">
        <x:v>MI-2458</x:v>
      </x:c>
      <x:c r="G48" s="39" t="str">
        <x:v>12. برنامه EiR</x:v>
      </x:c>
      <x:c r="H48" s="39" t="str">
        <x:v>H10</x:v>
      </x:c>
      <x:c r="I48" s="39" t="str">
        <x:v>P2</x:v>
      </x:c>
      <x:c r="J48" s="39" t="str">
        <x:v>STRUCT</x:v>
      </x:c>
      <x:c r="K48" s="39" t="str">
        <x:v>ساختار/برچسب</x:v>
      </x:c>
      <x:c r="L48" s="39"/>
      <x:c r="M48" s="39"/>
      <x:c r="N48" s="39" t="str">
        <x:v>برنامه زندگی.docx::T1R241C1.1 | 1154878548.docx::T1R19C1.1 | 1154878548.docx::T3R241C1.1</x:v>
      </x:c>
      <x:c r="O48" s="39"/>
    </x:row>
    <x:row r="49">
      <x:c r="A49" s="34" t="str">
        <x:v>☐</x:v>
      </x:c>
      <x:c r="B49" s="34" t="str">
        <x:v>EX-0021</x:v>
      </x:c>
      <x:c r="C49" s="34" t="str">
        <x:v>17</x:v>
      </x:c>
      <x:c r="D49" s="34" t="str">
        <x:v>UNMAPPED</x:v>
      </x:c>
      <x:c r="E49" s="34" t="str">
        <x:v>60.0</x:v>
      </x:c>
      <x:c r="F49" s="34" t="str">
        <x:v>MI-2458</x:v>
      </x:c>
      <x:c r="G49" s="39" t="str">
        <x:v>12. برنامه EiR</x:v>
      </x:c>
      <x:c r="H49" s="39" t="str">
        <x:v>H10</x:v>
      </x:c>
      <x:c r="I49" s="39" t="str">
        <x:v>P2</x:v>
      </x:c>
      <x:c r="J49" s="39" t="str">
        <x:v>STRUCT</x:v>
      </x:c>
      <x:c r="K49" s="39" t="str">
        <x:v>ساختار/برچسب</x:v>
      </x:c>
      <x:c r="L49" s="39"/>
      <x:c r="M49" s="39"/>
      <x:c r="N49" s="39" t="str">
        <x:v>برنامه زندگی.docx::T1R243C1.1 | 1154878548.docx::T1R20C1.1 | 1154878548.docx::T3R243C1.1</x:v>
      </x:c>
      <x:c r="O49" s="39"/>
    </x:row>
    <x:row r="50">
      <x:c r="A50" s="34" t="str">
        <x:v>☐</x:v>
      </x:c>
      <x:c r="B50" s="34" t="str">
        <x:v>EX-0022</x:v>
      </x:c>
      <x:c r="C50" s="34" t="str">
        <x:v>18</x:v>
      </x:c>
      <x:c r="D50" s="34" t="str">
        <x:v>POSSIBLE</x:v>
      </x:c>
      <x:c r="E50" s="34" t="str">
        <x:v>90.0</x:v>
      </x:c>
      <x:c r="F50" s="34" t="str">
        <x:v>MI-2777</x:v>
      </x:c>
      <x:c r="G50" s="39" t="str">
        <x:v>18. هدف نهایی</x:v>
      </x:c>
      <x:c r="H50" s="39" t="str">
        <x:v>H20</x:v>
      </x:c>
      <x:c r="I50" s="39" t="str">
        <x:v>P3/CLARIFY</x:v>
      </x:c>
      <x:c r="J50" s="39" t="str">
        <x:v>H20</x:v>
      </x:c>
      <x:c r="K50" s="39" t="str">
        <x:v>تطبیق احتمالی با پایه</x:v>
      </x:c>
      <x:c r="L50" s="39" t="str">
        <x:v>MI-2777</x:v>
      </x:c>
      <x:c r="M50" s="39" t="str">
        <x:v>18. هدف نهایی</x:v>
      </x:c>
      <x:c r="N50" s="39" t="str">
        <x:v>برنامه زندگی.docx::T1R245C1.1 | 1154878548.docx::T1R21C1.1 | 1154878548.docx::T3R245C1.1</x:v>
      </x:c>
      <x:c r="O50" s="39"/>
    </x:row>
    <x:row r="51">
      <x:c r="A51" s="34" t="str">
        <x:v>☐</x:v>
      </x:c>
      <x:c r="B51" s="34" t="str">
        <x:v>EX-0023</x:v>
      </x:c>
      <x:c r="C51" s="34" t="str">
        <x:v>19</x:v>
      </x:c>
      <x:c r="D51" s="34" t="str">
        <x:v>UNMAPPED</x:v>
      </x:c>
      <x:c r="E51" s="34" t="str">
        <x:v>60.0</x:v>
      </x:c>
      <x:c r="F51" s="34" t="str">
        <x:v>MI-2458</x:v>
      </x:c>
      <x:c r="G51" s="39" t="str">
        <x:v>12. برنامه EiR</x:v>
      </x:c>
      <x:c r="H51" s="39" t="str">
        <x:v>H10</x:v>
      </x:c>
      <x:c r="I51" s="39" t="str">
        <x:v>P2</x:v>
      </x:c>
      <x:c r="J51" s="39" t="str">
        <x:v>STRUCT</x:v>
      </x:c>
      <x:c r="K51" s="39" t="str">
        <x:v>ساختار/برچسب</x:v>
      </x:c>
      <x:c r="L51" s="39"/>
      <x:c r="M51" s="39"/>
      <x:c r="N51" s="39" t="str">
        <x:v>برنامه زندگی.docx::T1R248C1.1 | 1154878548.docx::T1R23C1.1 | 1154878548.docx::T3R248C1.1</x:v>
      </x:c>
      <x:c r="O51" s="39"/>
    </x:row>
    <x:row r="52">
      <x:c r="A52" s="34" t="str">
        <x:v>☐</x:v>
      </x:c>
      <x:c r="B52" s="34" t="str">
        <x:v>EX-0024</x:v>
      </x:c>
      <x:c r="C52" s="34" t="str">
        <x:v>20</x:v>
      </x:c>
      <x:c r="D52" s="34" t="str">
        <x:v>POSSIBLE</x:v>
      </x:c>
      <x:c r="E52" s="34" t="str">
        <x:v>90.0</x:v>
      </x:c>
      <x:c r="F52" s="34" t="str">
        <x:v>MI-0522</x:v>
      </x:c>
      <x:c r="G52" s="39" t="str">
        <x:v>قطعنامه 2030 - 598</x:v>
      </x:c>
      <x:c r="H52" s="39" t="str">
        <x:v>H18</x:v>
      </x:c>
      <x:c r="I52" s="39" t="str">
        <x:v>BANK</x:v>
      </x:c>
      <x:c r="J52" s="39" t="str">
        <x:v>H18</x:v>
      </x:c>
      <x:c r="K52" s="39" t="str">
        <x:v>تطبیق احتمالی با پایه</x:v>
      </x:c>
      <x:c r="L52" s="39" t="str">
        <x:v>MI-0522</x:v>
      </x:c>
      <x:c r="M52" s="39" t="str">
        <x:v>قطعنامه 2030 - 598</x:v>
      </x:c>
      <x:c r="N52" s="39" t="str">
        <x:v>برنامه زندگی.docx::T1R250C1.1 | 1154878548.docx::T1R24C1.1 | 1154878548.docx::T3R250C1.1</x:v>
      </x:c>
      <x:c r="O52" s="39"/>
    </x:row>
    <x:row r="53">
      <x:c r="A53" s="34" t="str">
        <x:v>☐</x:v>
      </x:c>
      <x:c r="B53" s="34" t="str">
        <x:v>EX-0025</x:v>
      </x:c>
      <x:c r="C53" s="34" t="str">
        <x:v>21</x:v>
      </x:c>
      <x:c r="D53" s="34" t="str">
        <x:v>UNMAPPED</x:v>
      </x:c>
      <x:c r="E53" s="34" t="str">
        <x:v>60.0</x:v>
      </x:c>
      <x:c r="F53" s="34" t="str">
        <x:v>MI-2458</x:v>
      </x:c>
      <x:c r="G53" s="39" t="str">
        <x:v>12. برنامه EiR</x:v>
      </x:c>
      <x:c r="H53" s="39" t="str">
        <x:v>H10</x:v>
      </x:c>
      <x:c r="I53" s="39" t="str">
        <x:v>P2</x:v>
      </x:c>
      <x:c r="J53" s="39" t="str">
        <x:v>STRUCT</x:v>
      </x:c>
      <x:c r="K53" s="39" t="str">
        <x:v>ساختار/برچسب</x:v>
      </x:c>
      <x:c r="L53" s="39"/>
      <x:c r="M53" s="39"/>
      <x:c r="N53" s="39" t="str">
        <x:v>برنامه زندگی.docx::T1R252C1.1 | 1154878548.docx::T1R25C1.1 | 1154878548.docx::T3R252C1.1</x:v>
      </x:c>
      <x:c r="O53" s="39"/>
    </x:row>
    <x:row r="54">
      <x:c r="A54" s="34" t="str">
        <x:v>☐</x:v>
      </x:c>
      <x:c r="B54" s="34" t="str">
        <x:v>EX-0026</x:v>
      </x:c>
      <x:c r="C54" s="34" t="str">
        <x:v>22</x:v>
      </x:c>
      <x:c r="D54" s="34" t="str">
        <x:v>UNMAPPED</x:v>
      </x:c>
      <x:c r="E54" s="34" t="str">
        <x:v>60.0</x:v>
      </x:c>
      <x:c r="F54" s="34" t="str">
        <x:v>MI-1604</x:v>
      </x:c>
      <x:c r="G54" s="39" t="str">
        <x:v>2. EiR بین المللی</x:v>
      </x:c>
      <x:c r="H54" s="39" t="str">
        <x:v>H10</x:v>
      </x:c>
      <x:c r="I54" s="39" t="str">
        <x:v>P2</x:v>
      </x:c>
      <x:c r="J54" s="39" t="str">
        <x:v>STRUCT</x:v>
      </x:c>
      <x:c r="K54" s="39" t="str">
        <x:v>ساختار/برچسب</x:v>
      </x:c>
      <x:c r="L54" s="39"/>
      <x:c r="M54" s="39"/>
      <x:c r="N54" s="39" t="str">
        <x:v>برنامه زندگی.docx::T1R255C1.1 | 1154878548.docx::T1R27C1.1 | 1154878548.docx::T3R255C1.1</x:v>
      </x:c>
      <x:c r="O54" s="39"/>
    </x:row>
    <x:row r="55">
      <x:c r="A55" s="34" t="str">
        <x:v>☐</x:v>
      </x:c>
      <x:c r="B55" s="34" t="str">
        <x:v>EX-0027</x:v>
      </x:c>
      <x:c r="C55" s="34" t="str">
        <x:v>23</x:v>
      </x:c>
      <x:c r="D55" s="34" t="str">
        <x:v>UNMAPPED</x:v>
      </x:c>
      <x:c r="E55" s="34" t="str">
        <x:v>60.0</x:v>
      </x:c>
      <x:c r="F55" s="34" t="str">
        <x:v>MI-0145</x:v>
      </x:c>
      <x:c r="G55" s="39" t="str">
        <x:v>3d modeling</x:v>
      </x:c>
      <x:c r="H55" s="39" t="str">
        <x:v>H6</x:v>
      </x:c>
      <x:c r="I55" s="39" t="str">
        <x:v>P3/CLARIFY</x:v>
      </x:c>
      <x:c r="J55" s="39" t="str">
        <x:v>STRUCT</x:v>
      </x:c>
      <x:c r="K55" s="39" t="str">
        <x:v>ساختار/برچسب</x:v>
      </x:c>
      <x:c r="L55" s="39"/>
      <x:c r="M55" s="39"/>
      <x:c r="N55" s="39" t="str">
        <x:v>برنامه زندگی.docx::T1R257C1.1 | 1154878548.docx::T1R28C1.1 | 1154878548.docx::T3R257C1.1</x:v>
      </x:c>
      <x:c r="O55" s="39"/>
    </x:row>
    <x:row r="56">
      <x:c r="A56" s="34" t="str">
        <x:v>☐</x:v>
      </x:c>
      <x:c r="B56" s="34" t="str">
        <x:v>EX-0028</x:v>
      </x:c>
      <x:c r="C56" s="34" t="str">
        <x:v>24</x:v>
      </x:c>
      <x:c r="D56" s="34" t="str">
        <x:v>UNMAPPED</x:v>
      </x:c>
      <x:c r="E56" s="34" t="str">
        <x:v>60.0</x:v>
      </x:c>
      <x:c r="F56" s="34" t="str">
        <x:v>MI-1604</x:v>
      </x:c>
      <x:c r="G56" s="39" t="str">
        <x:v>2. EiR بین المللی</x:v>
      </x:c>
      <x:c r="H56" s="39" t="str">
        <x:v>H10</x:v>
      </x:c>
      <x:c r="I56" s="39" t="str">
        <x:v>P2</x:v>
      </x:c>
      <x:c r="J56" s="39" t="str">
        <x:v>STRUCT</x:v>
      </x:c>
      <x:c r="K56" s="39" t="str">
        <x:v>ساختار/برچسب</x:v>
      </x:c>
      <x:c r="L56" s="39"/>
      <x:c r="M56" s="39"/>
      <x:c r="N56" s="39" t="str">
        <x:v>برنامه زندگی.docx::T1R259C1.1 | 1154878548.docx::T1R29C1.1 | 1154878548.docx::T3R259C1.1</x:v>
      </x:c>
      <x:c r="O56" s="39"/>
    </x:row>
    <x:row r="57">
      <x:c r="A57" s="34" t="str">
        <x:v>☐</x:v>
      </x:c>
      <x:c r="B57" s="34" t="str">
        <x:v>EX-0029</x:v>
      </x:c>
      <x:c r="C57" s="34" t="str">
        <x:v>25</x:v>
      </x:c>
      <x:c r="D57" s="34" t="str">
        <x:v>UNMAPPED</x:v>
      </x:c>
      <x:c r="E57" s="34" t="str">
        <x:v>60.0</x:v>
      </x:c>
      <x:c r="F57" s="34" t="str">
        <x:v>MI-1604</x:v>
      </x:c>
      <x:c r="G57" s="39" t="str">
        <x:v>2. EiR بین المللی</x:v>
      </x:c>
      <x:c r="H57" s="39" t="str">
        <x:v>H10</x:v>
      </x:c>
      <x:c r="I57" s="39" t="str">
        <x:v>P2</x:v>
      </x:c>
      <x:c r="J57" s="39" t="str">
        <x:v>STRUCT</x:v>
      </x:c>
      <x:c r="K57" s="39" t="str">
        <x:v>ساختار/برچسب</x:v>
      </x:c>
      <x:c r="L57" s="39"/>
      <x:c r="M57" s="39"/>
      <x:c r="N57" s="39" t="str">
        <x:v>برنامه زندگی.docx::T1R261C1.1 | 1154878548.docx::T1R30C1.1 | 1154878548.docx::T3R261C1.1 | فرم_اطلاعات_نتایج_آزمونها_تحصیلی (1).xlsx::فرم نتایج تست ها!Y31</x:v>
      </x:c>
      <x:c r="O57" s="39"/>
    </x:row>
    <x:row r="58">
      <x:c r="A58" s="34" t="str">
        <x:v>☐</x:v>
      </x:c>
      <x:c r="B58" s="34" t="str">
        <x:v>EX-0030</x:v>
      </x:c>
      <x:c r="C58" s="34" t="str">
        <x:v>26</x:v>
      </x:c>
      <x:c r="D58" s="34" t="str">
        <x:v>UNMAPPED</x:v>
      </x:c>
      <x:c r="E58" s="34" t="str">
        <x:v>60.0</x:v>
      </x:c>
      <x:c r="F58" s="34" t="str">
        <x:v>MI-1604</x:v>
      </x:c>
      <x:c r="G58" s="39" t="str">
        <x:v>2. EiR بین المللی</x:v>
      </x:c>
      <x:c r="H58" s="39" t="str">
        <x:v>H10</x:v>
      </x:c>
      <x:c r="I58" s="39" t="str">
        <x:v>P2</x:v>
      </x:c>
      <x:c r="J58" s="39" t="str">
        <x:v>STRUCT</x:v>
      </x:c>
      <x:c r="K58" s="39" t="str">
        <x:v>ساختار/برچسب</x:v>
      </x:c>
      <x:c r="L58" s="39"/>
      <x:c r="M58" s="39"/>
      <x:c r="N58" s="39" t="str">
        <x:v>برنامه زندگی.docx::T1R263C1.1 | 1154878548.docx::T1R31C1.1 | 1154878548.docx::T3R263C1.1</x:v>
      </x:c>
      <x:c r="O58" s="39"/>
    </x:row>
    <x:row r="59">
      <x:c r="A59" s="34" t="str">
        <x:v>☐</x:v>
      </x:c>
      <x:c r="B59" s="34" t="str">
        <x:v>EX-0031</x:v>
      </x:c>
      <x:c r="C59" s="34" t="str">
        <x:v>27</x:v>
      </x:c>
      <x:c r="D59" s="34" t="str">
        <x:v>UNMAPPED</x:v>
      </x:c>
      <x:c r="E59" s="34" t="str">
        <x:v>60.0</x:v>
      </x:c>
      <x:c r="F59" s="34" t="str">
        <x:v>MI-1604</x:v>
      </x:c>
      <x:c r="G59" s="39" t="str">
        <x:v>2. EiR بین المللی</x:v>
      </x:c>
      <x:c r="H59" s="39" t="str">
        <x:v>H10</x:v>
      </x:c>
      <x:c r="I59" s="39" t="str">
        <x:v>P2</x:v>
      </x:c>
      <x:c r="J59" s="39" t="str">
        <x:v>STRUCT</x:v>
      </x:c>
      <x:c r="K59" s="39" t="str">
        <x:v>ساختار/برچسب</x:v>
      </x:c>
      <x:c r="L59" s="39"/>
      <x:c r="M59" s="39"/>
      <x:c r="N59" s="39" t="str">
        <x:v>برنامه زندگی.docx::T1R265C1.1 | 1154878548.docx::T1R32C1.1 | 1154878548.docx::T3R265C1.1</x:v>
      </x:c>
      <x:c r="O59" s="39"/>
    </x:row>
    <x:row r="60">
      <x:c r="A60" s="34" t="str">
        <x:v>☐</x:v>
      </x:c>
      <x:c r="B60" s="34" t="str">
        <x:v>EX-0032</x:v>
      </x:c>
      <x:c r="C60" s="34" t="str">
        <x:v>28</x:v>
      </x:c>
      <x:c r="D60" s="34" t="str">
        <x:v>UNMAPPED</x:v>
      </x:c>
      <x:c r="E60" s="34" t="str">
        <x:v>60.0</x:v>
      </x:c>
      <x:c r="F60" s="34" t="str">
        <x:v>MI-1604</x:v>
      </x:c>
      <x:c r="G60" s="39" t="str">
        <x:v>2. EiR بین المللی</x:v>
      </x:c>
      <x:c r="H60" s="39" t="str">
        <x:v>H10</x:v>
      </x:c>
      <x:c r="I60" s="39" t="str">
        <x:v>P2</x:v>
      </x:c>
      <x:c r="J60" s="39" t="str">
        <x:v>STRUCT</x:v>
      </x:c>
      <x:c r="K60" s="39" t="str">
        <x:v>ساختار/برچسب</x:v>
      </x:c>
      <x:c r="L60" s="39"/>
      <x:c r="M60" s="39"/>
      <x:c r="N60" s="39" t="str">
        <x:v>برنامه زندگی.docx::T1R268C1.1 | 1154878548.docx::T1R34C1.1 | 1154878548.docx::T3R268C1.1</x:v>
      </x:c>
      <x:c r="O60" s="39"/>
    </x:row>
    <x:row r="61">
      <x:c r="A61" s="34" t="str">
        <x:v>☐</x:v>
      </x:c>
      <x:c r="B61" s="34" t="str">
        <x:v>EX-0033</x:v>
      </x:c>
      <x:c r="C61" s="34" t="str">
        <x:v>29</x:v>
      </x:c>
      <x:c r="D61" s="34" t="str">
        <x:v>UNMAPPED</x:v>
      </x:c>
      <x:c r="E61" s="34" t="str">
        <x:v>60.0</x:v>
      </x:c>
      <x:c r="F61" s="34" t="str">
        <x:v>MI-1604</x:v>
      </x:c>
      <x:c r="G61" s="39" t="str">
        <x:v>2. EiR بین المللی</x:v>
      </x:c>
      <x:c r="H61" s="39" t="str">
        <x:v>H10</x:v>
      </x:c>
      <x:c r="I61" s="39" t="str">
        <x:v>P2</x:v>
      </x:c>
      <x:c r="J61" s="39" t="str">
        <x:v>STRUCT</x:v>
      </x:c>
      <x:c r="K61" s="39" t="str">
        <x:v>ساختار/برچسب</x:v>
      </x:c>
      <x:c r="L61" s="39"/>
      <x:c r="M61" s="39"/>
      <x:c r="N61" s="39" t="str">
        <x:v>برنامه زندگی.docx::T1R271C1.1 | 1154878548.docx::T1R36C1.1 | 1154878548.docx::T3R271C1.1</x:v>
      </x:c>
      <x:c r="O61" s="39"/>
    </x:row>
    <x:row r="62">
      <x:c r="A62" s="34" t="str">
        <x:v>☐</x:v>
      </x:c>
      <x:c r="B62" s="34" t="str">
        <x:v>EX-0034</x:v>
      </x:c>
      <x:c r="C62" s="34" t="str">
        <x:v>30</x:v>
      </x:c>
      <x:c r="D62" s="34" t="str">
        <x:v>POSSIBLE</x:v>
      </x:c>
      <x:c r="E62" s="34" t="str">
        <x:v>90.0</x:v>
      </x:c>
      <x:c r="F62" s="34" t="str">
        <x:v>MI-0522</x:v>
      </x:c>
      <x:c r="G62" s="39" t="str">
        <x:v>قطعنامه 2030 - 598</x:v>
      </x:c>
      <x:c r="H62" s="39" t="str">
        <x:v>H18</x:v>
      </x:c>
      <x:c r="I62" s="39" t="str">
        <x:v>BANK</x:v>
      </x:c>
      <x:c r="J62" s="39" t="str">
        <x:v>H18</x:v>
      </x:c>
      <x:c r="K62" s="39" t="str">
        <x:v>تطبیق احتمالی با پایه</x:v>
      </x:c>
      <x:c r="L62" s="39" t="str">
        <x:v>MI-0522</x:v>
      </x:c>
      <x:c r="M62" s="39" t="str">
        <x:v>قطعنامه 2030 - 598</x:v>
      </x:c>
      <x:c r="N62" s="39" t="str">
        <x:v>برنامه زندگی.docx::T1R274C1.1 | 1154878548.docx::T1R38C1.1 | 1154878548.docx::T3R274C1.1</x:v>
      </x:c>
      <x:c r="O62" s="39"/>
    </x:row>
    <x:row r="63">
      <x:c r="A63" s="34" t="str">
        <x:v>☐</x:v>
      </x:c>
      <x:c r="B63" s="34" t="str">
        <x:v>EX-0035</x:v>
      </x:c>
      <x:c r="C63" s="34" t="str">
        <x:v>31</x:v>
      </x:c>
      <x:c r="D63" s="34" t="str">
        <x:v>UNMAPPED</x:v>
      </x:c>
      <x:c r="E63" s="34" t="str">
        <x:v>60.0</x:v>
      </x:c>
      <x:c r="F63" s="34" t="str">
        <x:v>MI-0145</x:v>
      </x:c>
      <x:c r="G63" s="39" t="str">
        <x:v>3d modeling</x:v>
      </x:c>
      <x:c r="H63" s="39" t="str">
        <x:v>H6</x:v>
      </x:c>
      <x:c r="I63" s="39" t="str">
        <x:v>P3/CLARIFY</x:v>
      </x:c>
      <x:c r="J63" s="39" t="str">
        <x:v>STRUCT</x:v>
      </x:c>
      <x:c r="K63" s="39" t="str">
        <x:v>ساختار/برچسب</x:v>
      </x:c>
      <x:c r="L63" s="39"/>
      <x:c r="M63" s="39"/>
      <x:c r="N63" s="39" t="str">
        <x:v>برنامه زندگی.docx::T1R277C1.1 | 1154878548.docx::T1R40C1.1 | 1154878548.docx::T3R277C1.1</x:v>
      </x:c>
      <x:c r="O63" s="39"/>
    </x:row>
    <x:row r="64">
      <x:c r="A64" s="34" t="str">
        <x:v>☐</x:v>
      </x:c>
      <x:c r="B64" s="34" t="str">
        <x:v>EX-0036</x:v>
      </x:c>
      <x:c r="C64" s="34" t="str">
        <x:v>32</x:v>
      </x:c>
      <x:c r="D64" s="34" t="str">
        <x:v>UNMAPPED</x:v>
      </x:c>
      <x:c r="E64" s="34" t="str">
        <x:v>60.0</x:v>
      </x:c>
      <x:c r="F64" s="34" t="str">
        <x:v>MI-0145</x:v>
      </x:c>
      <x:c r="G64" s="39" t="str">
        <x:v>3d modeling</x:v>
      </x:c>
      <x:c r="H64" s="39" t="str">
        <x:v>H6</x:v>
      </x:c>
      <x:c r="I64" s="39" t="str">
        <x:v>P3/CLARIFY</x:v>
      </x:c>
      <x:c r="J64" s="39" t="str">
        <x:v>STRUCT</x:v>
      </x:c>
      <x:c r="K64" s="39" t="str">
        <x:v>ساختار/برچسب</x:v>
      </x:c>
      <x:c r="L64" s="39"/>
      <x:c r="M64" s="39"/>
      <x:c r="N64" s="39" t="str">
        <x:v>برنامه زندگی.docx::T1R279C1.1 | 1154878548.docx::T1R41C1.1 | 1154878548.docx::T3R279C1.1</x:v>
      </x:c>
      <x:c r="O64" s="39"/>
    </x:row>
    <x:row r="65">
      <x:c r="A65" s="34" t="str">
        <x:v>☐</x:v>
      </x:c>
      <x:c r="B65" s="34" t="str">
        <x:v>EX-0037</x:v>
      </x:c>
      <x:c r="C65" s="34" t="str">
        <x:v>33</x:v>
      </x:c>
      <x:c r="D65" s="34" t="str">
        <x:v>UNMAPPED</x:v>
      </x:c>
      <x:c r="E65" s="34" t="str">
        <x:v>60.0</x:v>
      </x:c>
      <x:c r="F65" s="34" t="str">
        <x:v>MI-0145</x:v>
      </x:c>
      <x:c r="G65" s="39" t="str">
        <x:v>3d modeling</x:v>
      </x:c>
      <x:c r="H65" s="39" t="str">
        <x:v>H6</x:v>
      </x:c>
      <x:c r="I65" s="39" t="str">
        <x:v>P3/CLARIFY</x:v>
      </x:c>
      <x:c r="J65" s="39" t="str">
        <x:v>STRUCT</x:v>
      </x:c>
      <x:c r="K65" s="39" t="str">
        <x:v>ساختار/برچسب</x:v>
      </x:c>
      <x:c r="L65" s="39"/>
      <x:c r="M65" s="39"/>
      <x:c r="N65" s="39" t="str">
        <x:v>برنامه زندگی.docx::T1R281C1.1 | 1154878548.docx::T1R42C1.1 | 1154878548.docx::T3R281C1.1</x:v>
      </x:c>
      <x:c r="O65" s="39"/>
    </x:row>
    <x:row r="66">
      <x:c r="A66" s="34" t="str">
        <x:v>☐</x:v>
      </x:c>
      <x:c r="B66" s="34" t="str">
        <x:v>EX-0038</x:v>
      </x:c>
      <x:c r="C66" s="34" t="str">
        <x:v>34</x:v>
      </x:c>
      <x:c r="D66" s="34" t="str">
        <x:v>UNMAPPED</x:v>
      </x:c>
      <x:c r="E66" s="34" t="str">
        <x:v>60.0</x:v>
      </x:c>
      <x:c r="F66" s="34" t="str">
        <x:v>MI-0145</x:v>
      </x:c>
      <x:c r="G66" s="39" t="str">
        <x:v>3d modeling</x:v>
      </x:c>
      <x:c r="H66" s="39" t="str">
        <x:v>H6</x:v>
      </x:c>
      <x:c r="I66" s="39" t="str">
        <x:v>P3/CLARIFY</x:v>
      </x:c>
      <x:c r="J66" s="39" t="str">
        <x:v>STRUCT</x:v>
      </x:c>
      <x:c r="K66" s="39" t="str">
        <x:v>ساختار/برچسب</x:v>
      </x:c>
      <x:c r="L66" s="39"/>
      <x:c r="M66" s="39"/>
      <x:c r="N66" s="39" t="str">
        <x:v>برنامه زندگی.docx::T1R284C1.1 | 1154878548.docx::T1R44C1.1 | 1154878548.docx::T3R284C1.1</x:v>
      </x:c>
      <x:c r="O66" s="39"/>
    </x:row>
    <x:row r="67">
      <x:c r="A67" s="34" t="str">
        <x:v>☐</x:v>
      </x:c>
      <x:c r="B67" s="34" t="str">
        <x:v>EX-0039</x:v>
      </x:c>
      <x:c r="C67" s="34" t="str">
        <x:v>35</x:v>
      </x:c>
      <x:c r="D67" s="34" t="str">
        <x:v>UNMAPPED</x:v>
      </x:c>
      <x:c r="E67" s="34" t="str">
        <x:v>60.0</x:v>
      </x:c>
      <x:c r="F67" s="34" t="str">
        <x:v>MI-0145</x:v>
      </x:c>
      <x:c r="G67" s="39" t="str">
        <x:v>3d modeling</x:v>
      </x:c>
      <x:c r="H67" s="39" t="str">
        <x:v>H6</x:v>
      </x:c>
      <x:c r="I67" s="39" t="str">
        <x:v>P3/CLARIFY</x:v>
      </x:c>
      <x:c r="J67" s="39" t="str">
        <x:v>STRUCT</x:v>
      </x:c>
      <x:c r="K67" s="39" t="str">
        <x:v>ساختار/برچسب</x:v>
      </x:c>
      <x:c r="L67" s="39"/>
      <x:c r="M67" s="39"/>
      <x:c r="N67" s="39" t="str">
        <x:v>برنامه زندگی.docx::T1R287C1.1 | 1154878548.docx::T1R46C1.1 | 1154878548.docx::T3R287C1.1</x:v>
      </x:c>
      <x:c r="O67" s="39"/>
    </x:row>
    <x:row r="68">
      <x:c r="A68" s="34" t="str">
        <x:v>☐</x:v>
      </x:c>
      <x:c r="B68" s="34" t="str">
        <x:v>EX-0040</x:v>
      </x:c>
      <x:c r="C68" s="34" t="str">
        <x:v>36</x:v>
      </x:c>
      <x:c r="D68" s="34" t="str">
        <x:v>UNMAPPED</x:v>
      </x:c>
      <x:c r="E68" s="34" t="str">
        <x:v>60.0</x:v>
      </x:c>
      <x:c r="F68" s="34" t="str">
        <x:v>MI-0145</x:v>
      </x:c>
      <x:c r="G68" s="39" t="str">
        <x:v>3d modeling</x:v>
      </x:c>
      <x:c r="H68" s="39" t="str">
        <x:v>H6</x:v>
      </x:c>
      <x:c r="I68" s="39" t="str">
        <x:v>P3/CLARIFY</x:v>
      </x:c>
      <x:c r="J68" s="39" t="str">
        <x:v>STRUCT</x:v>
      </x:c>
      <x:c r="K68" s="39" t="str">
        <x:v>ساختار/برچسب</x:v>
      </x:c>
      <x:c r="L68" s="39"/>
      <x:c r="M68" s="39"/>
      <x:c r="N68" s="39" t="str">
        <x:v>برنامه زندگی.docx::T1R290C1.1 | 1154878548.docx::T1R48C1.1 | 1154878548.docx::T3R290C1.1</x:v>
      </x:c>
      <x:c r="O68" s="39"/>
    </x:row>
    <x:row r="69">
      <x:c r="A69" s="34" t="str">
        <x:v>☐</x:v>
      </x:c>
      <x:c r="B69" s="34" t="str">
        <x:v>EX-0041</x:v>
      </x:c>
      <x:c r="C69" s="34" t="str">
        <x:v>37</x:v>
      </x:c>
      <x:c r="D69" s="34" t="str">
        <x:v>UNMAPPED</x:v>
      </x:c>
      <x:c r="E69" s="34" t="str">
        <x:v>60.0</x:v>
      </x:c>
      <x:c r="F69" s="34" t="str">
        <x:v>MI-0145</x:v>
      </x:c>
      <x:c r="G69" s="39" t="str">
        <x:v>3d modeling</x:v>
      </x:c>
      <x:c r="H69" s="39" t="str">
        <x:v>H6</x:v>
      </x:c>
      <x:c r="I69" s="39" t="str">
        <x:v>P3/CLARIFY</x:v>
      </x:c>
      <x:c r="J69" s="39" t="str">
        <x:v>STRUCT</x:v>
      </x:c>
      <x:c r="K69" s="39" t="str">
        <x:v>ساختار/برچسب</x:v>
      </x:c>
      <x:c r="L69" s="39"/>
      <x:c r="M69" s="39"/>
      <x:c r="N69" s="39" t="str">
        <x:v>برنامه زندگی.docx::T1R292C1.1 | 1154878548.docx::T1R49C1.1 | 1154878548.docx::T3R292C1.1</x:v>
      </x:c>
      <x:c r="O69" s="39"/>
    </x:row>
    <x:row r="70">
      <x:c r="A70" s="34" t="str">
        <x:v>☐</x:v>
      </x:c>
      <x:c r="B70" s="34" t="str">
        <x:v>EX-0042</x:v>
      </x:c>
      <x:c r="C70" s="34" t="str">
        <x:v>38</x:v>
      </x:c>
      <x:c r="D70" s="34" t="str">
        <x:v>UNMAPPED</x:v>
      </x:c>
      <x:c r="E70" s="34" t="str">
        <x:v>60.0</x:v>
      </x:c>
      <x:c r="F70" s="34" t="str">
        <x:v>MI-0145</x:v>
      </x:c>
      <x:c r="G70" s="39" t="str">
        <x:v>3d modeling</x:v>
      </x:c>
      <x:c r="H70" s="39" t="str">
        <x:v>H6</x:v>
      </x:c>
      <x:c r="I70" s="39" t="str">
        <x:v>P3/CLARIFY</x:v>
      </x:c>
      <x:c r="J70" s="39" t="str">
        <x:v>STRUCT</x:v>
      </x:c>
      <x:c r="K70" s="39" t="str">
        <x:v>ساختار/برچسب</x:v>
      </x:c>
      <x:c r="L70" s="39"/>
      <x:c r="M70" s="39"/>
      <x:c r="N70" s="39" t="str">
        <x:v>برنامه زندگی.docx::T1R295C1.1 | 1154878548.docx::T1R51C1.1 | 1154878548.docx::T3R295C1.1</x:v>
      </x:c>
      <x:c r="O70" s="39"/>
    </x:row>
    <x:row r="71">
      <x:c r="A71" s="34" t="str">
        <x:v>☐</x:v>
      </x:c>
      <x:c r="B71" s="34" t="str">
        <x:v>EX-0043</x:v>
      </x:c>
      <x:c r="C71" s="34" t="str">
        <x:v>39</x:v>
      </x:c>
      <x:c r="D71" s="34" t="str">
        <x:v>UNMAPPED</x:v>
      </x:c>
      <x:c r="E71" s="34" t="str">
        <x:v>60.0</x:v>
      </x:c>
      <x:c r="F71" s="34" t="str">
        <x:v>MI-0145</x:v>
      </x:c>
      <x:c r="G71" s="39" t="str">
        <x:v>3d modeling</x:v>
      </x:c>
      <x:c r="H71" s="39" t="str">
        <x:v>H6</x:v>
      </x:c>
      <x:c r="I71" s="39" t="str">
        <x:v>P3/CLARIFY</x:v>
      </x:c>
      <x:c r="J71" s="39" t="str">
        <x:v>STRUCT</x:v>
      </x:c>
      <x:c r="K71" s="39" t="str">
        <x:v>ساختار/برچسب</x:v>
      </x:c>
      <x:c r="L71" s="39"/>
      <x:c r="M71" s="39"/>
      <x:c r="N71" s="39" t="str">
        <x:v>برنامه زندگی.docx::T1R298C1.1 | 1154878548.docx::T1R53C1.1 | 1154878548.docx::T3R298C1.1</x:v>
      </x:c>
      <x:c r="O71" s="39"/>
    </x:row>
    <x:row r="72">
      <x:c r="A72" s="34" t="str">
        <x:v>☐</x:v>
      </x:c>
      <x:c r="B72" s="34" t="str">
        <x:v>EX-0044</x:v>
      </x:c>
      <x:c r="C72" s="34" t="str">
        <x:v>40</x:v>
      </x:c>
      <x:c r="D72" s="34" t="str">
        <x:v>UNMAPPED</x:v>
      </x:c>
      <x:c r="E72" s="34" t="str">
        <x:v>60.0</x:v>
      </x:c>
      <x:c r="F72" s="34" t="str">
        <x:v>MI-2417</x:v>
      </x:c>
      <x:c r="G72" s="39" t="str">
        <x:v>4. نقش زیست بوم</x:v>
      </x:c>
      <x:c r="H72" s="39" t="str">
        <x:v>H19</x:v>
      </x:c>
      <x:c r="I72" s="39" t="str">
        <x:v>P3</x:v>
      </x:c>
      <x:c r="J72" s="39" t="str">
        <x:v>STRUCT</x:v>
      </x:c>
      <x:c r="K72" s="39" t="str">
        <x:v>ساختار/برچسب</x:v>
      </x:c>
      <x:c r="L72" s="39"/>
      <x:c r="M72" s="39"/>
      <x:c r="N72" s="39" t="str">
        <x:v>برنامه زندگی.docx::T1R301C1.1 | 1154878548.docx::T1R55C1.1 | 1154878548.docx::T3R301C1.1</x:v>
      </x:c>
      <x:c r="O72" s="39"/>
    </x:row>
    <x:row r="73">
      <x:c r="A73" s="34" t="str">
        <x:v>☐</x:v>
      </x:c>
      <x:c r="B73" s="34" t="str">
        <x:v>EX-0045</x:v>
      </x:c>
      <x:c r="C73" s="34" t="str">
        <x:v>41</x:v>
      </x:c>
      <x:c r="D73" s="34" t="str">
        <x:v>UNMAPPED</x:v>
      </x:c>
      <x:c r="E73" s="34" t="str">
        <x:v>60.0</x:v>
      </x:c>
      <x:c r="F73" s="34" t="str">
        <x:v>MI-2458</x:v>
      </x:c>
      <x:c r="G73" s="39" t="str">
        <x:v>12. برنامه EiR</x:v>
      </x:c>
      <x:c r="H73" s="39" t="str">
        <x:v>H10</x:v>
      </x:c>
      <x:c r="I73" s="39" t="str">
        <x:v>P2</x:v>
      </x:c>
      <x:c r="J73" s="39" t="str">
        <x:v>STRUCT</x:v>
      </x:c>
      <x:c r="K73" s="39" t="str">
        <x:v>ساختار/برچسب</x:v>
      </x:c>
      <x:c r="L73" s="39"/>
      <x:c r="M73" s="39"/>
      <x:c r="N73" s="39" t="str">
        <x:v>برنامه زندگی.docx::T1R303C1.1 | 1154878548.docx::T1R56C1.1 | 1154878548.docx::T3R303C1.1</x:v>
      </x:c>
      <x:c r="O73" s="39"/>
    </x:row>
    <x:row r="74">
      <x:c r="A74" s="34" t="str">
        <x:v>☐</x:v>
      </x:c>
      <x:c r="B74" s="34" t="str">
        <x:v>EX-0046</x:v>
      </x:c>
      <x:c r="C74" s="34" t="str">
        <x:v>42</x:v>
      </x:c>
      <x:c r="D74" s="34" t="str">
        <x:v>UNMAPPED</x:v>
      </x:c>
      <x:c r="E74" s="34" t="str">
        <x:v>60.0</x:v>
      </x:c>
      <x:c r="F74" s="34" t="str">
        <x:v>MI-1604</x:v>
      </x:c>
      <x:c r="G74" s="39" t="str">
        <x:v>2. EiR بین المللی</x:v>
      </x:c>
      <x:c r="H74" s="39" t="str">
        <x:v>H10</x:v>
      </x:c>
      <x:c r="I74" s="39" t="str">
        <x:v>P2</x:v>
      </x:c>
      <x:c r="J74" s="39" t="str">
        <x:v>STRUCT</x:v>
      </x:c>
      <x:c r="K74" s="39" t="str">
        <x:v>ساختار/برچسب</x:v>
      </x:c>
      <x:c r="L74" s="39"/>
      <x:c r="M74" s="39"/>
      <x:c r="N74" s="39" t="str">
        <x:v>برنامه زندگی.docx::T1R306C1.1 | 1154878548.docx::T1R58C1.1 | 1154878548.docx::T3R306C1.1</x:v>
      </x:c>
      <x:c r="O74" s="39"/>
    </x:row>
    <x:row r="75">
      <x:c r="A75" s="34" t="str">
        <x:v>☐</x:v>
      </x:c>
      <x:c r="B75" s="34" t="str">
        <x:v>EX-0047</x:v>
      </x:c>
      <x:c r="C75" s="34" t="str">
        <x:v>43</x:v>
      </x:c>
      <x:c r="D75" s="34" t="str">
        <x:v>UNMAPPED</x:v>
      </x:c>
      <x:c r="E75" s="34" t="str">
        <x:v>60.0</x:v>
      </x:c>
      <x:c r="F75" s="34" t="str">
        <x:v>MI-0145</x:v>
      </x:c>
      <x:c r="G75" s="39" t="str">
        <x:v>3d modeling</x:v>
      </x:c>
      <x:c r="H75" s="39" t="str">
        <x:v>H6</x:v>
      </x:c>
      <x:c r="I75" s="39" t="str">
        <x:v>P3/CLARIFY</x:v>
      </x:c>
      <x:c r="J75" s="39" t="str">
        <x:v>STRUCT</x:v>
      </x:c>
      <x:c r="K75" s="39" t="str">
        <x:v>ساختار/برچسب</x:v>
      </x:c>
      <x:c r="L75" s="39"/>
      <x:c r="M75" s="39"/>
      <x:c r="N75" s="39" t="str">
        <x:v>برنامه زندگی.docx::T1R308C1.1 | 1154878548.docx::T1R59C1.1 | 1154878548.docx::T3R308C1.1</x:v>
      </x:c>
      <x:c r="O75" s="39"/>
    </x:row>
    <x:row r="76">
      <x:c r="A76" s="34" t="str">
        <x:v>☐</x:v>
      </x:c>
      <x:c r="B76" s="34" t="str">
        <x:v>EX-0048</x:v>
      </x:c>
      <x:c r="C76" s="34" t="str">
        <x:v>44</x:v>
      </x:c>
      <x:c r="D76" s="34" t="str">
        <x:v>UNMAPPED</x:v>
      </x:c>
      <x:c r="E76" s="34" t="str">
        <x:v>60.0</x:v>
      </x:c>
      <x:c r="F76" s="34" t="str">
        <x:v>MI-2417</x:v>
      </x:c>
      <x:c r="G76" s="39" t="str">
        <x:v>4. نقش زیست بوم</x:v>
      </x:c>
      <x:c r="H76" s="39" t="str">
        <x:v>H19</x:v>
      </x:c>
      <x:c r="I76" s="39" t="str">
        <x:v>P3</x:v>
      </x:c>
      <x:c r="J76" s="39" t="str">
        <x:v>STRUCT</x:v>
      </x:c>
      <x:c r="K76" s="39" t="str">
        <x:v>ساختار/برچسب</x:v>
      </x:c>
      <x:c r="L76" s="39"/>
      <x:c r="M76" s="39"/>
      <x:c r="N76" s="39" t="str">
        <x:v>برنامه زندگی.docx::T1R310C1.1 | 1154878548.docx::T1R60C1.1 | 1154878548.docx::T3R310C1.1</x:v>
      </x:c>
      <x:c r="O76" s="39"/>
    </x:row>
    <x:row r="77">
      <x:c r="A77" s="34" t="str">
        <x:v>☐</x:v>
      </x:c>
      <x:c r="B77" s="34" t="str">
        <x:v>EX-0049</x:v>
      </x:c>
      <x:c r="C77" s="34" t="str">
        <x:v>45</x:v>
      </x:c>
      <x:c r="D77" s="34" t="str">
        <x:v>UNMAPPED</x:v>
      </x:c>
      <x:c r="E77" s="34" t="str">
        <x:v>60.0</x:v>
      </x:c>
      <x:c r="F77" s="34" t="str">
        <x:v>MI-0716</x:v>
      </x:c>
      <x:c r="G77" s="39" t="str">
        <x:v>یونیت ps5</x:v>
      </x:c>
      <x:c r="H77" s="39" t="str">
        <x:v>H11</x:v>
      </x:c>
      <x:c r="I77" s="39" t="str">
        <x:v>DELEGATE/P2</x:v>
      </x:c>
      <x:c r="J77" s="39" t="str">
        <x:v>STRUCT</x:v>
      </x:c>
      <x:c r="K77" s="39" t="str">
        <x:v>ساختار/برچسب</x:v>
      </x:c>
      <x:c r="L77" s="39"/>
      <x:c r="M77" s="39"/>
      <x:c r="N77" s="39" t="str">
        <x:v>برنامه زندگی.docx::T1R313C1.1 | 1154878548.docx::T1R62C1.1 | 1154878548.docx::T3R313C1.1</x:v>
      </x:c>
      <x:c r="O77" s="39"/>
    </x:row>
    <x:row r="78">
      <x:c r="A78" s="34" t="str">
        <x:v>☐</x:v>
      </x:c>
      <x:c r="B78" s="34" t="str">
        <x:v>EX-0050</x:v>
      </x:c>
      <x:c r="C78" s="34" t="str">
        <x:v>46</x:v>
      </x:c>
      <x:c r="D78" s="34" t="str">
        <x:v>UNMAPPED</x:v>
      </x:c>
      <x:c r="E78" s="34" t="str">
        <x:v>60.0</x:v>
      </x:c>
      <x:c r="F78" s="34" t="str">
        <x:v>MI-2417</x:v>
      </x:c>
      <x:c r="G78" s="39" t="str">
        <x:v>4. نقش زیست بوم</x:v>
      </x:c>
      <x:c r="H78" s="39" t="str">
        <x:v>H19</x:v>
      </x:c>
      <x:c r="I78" s="39" t="str">
        <x:v>P3</x:v>
      </x:c>
      <x:c r="J78" s="39" t="str">
        <x:v>STRUCT</x:v>
      </x:c>
      <x:c r="K78" s="39" t="str">
        <x:v>ساختار/برچسب</x:v>
      </x:c>
      <x:c r="L78" s="39"/>
      <x:c r="M78" s="39"/>
      <x:c r="N78" s="39" t="str">
        <x:v>برنامه زندگی.docx::T1R316C1.1 | 1154878548.docx::T1R64C1.1 | 1154878548.docx::T3R316C1.1</x:v>
      </x:c>
      <x:c r="O78" s="39"/>
    </x:row>
    <x:row r="79">
      <x:c r="A79" s="34" t="str">
        <x:v>☐</x:v>
      </x:c>
      <x:c r="B79" s="34" t="str">
        <x:v>EX-0051</x:v>
      </x:c>
      <x:c r="C79" s="34" t="str">
        <x:v>47</x:v>
      </x:c>
      <x:c r="D79" s="34" t="str">
        <x:v>UNMAPPED</x:v>
      </x:c>
      <x:c r="E79" s="34" t="str">
        <x:v>60.0</x:v>
      </x:c>
      <x:c r="F79" s="34" t="str">
        <x:v>MI-2417</x:v>
      </x:c>
      <x:c r="G79" s="39" t="str">
        <x:v>4. نقش زیست بوم</x:v>
      </x:c>
      <x:c r="H79" s="39" t="str">
        <x:v>H19</x:v>
      </x:c>
      <x:c r="I79" s="39" t="str">
        <x:v>P3</x:v>
      </x:c>
      <x:c r="J79" s="39" t="str">
        <x:v>STRUCT</x:v>
      </x:c>
      <x:c r="K79" s="39" t="str">
        <x:v>ساختار/برچسب</x:v>
      </x:c>
      <x:c r="L79" s="39"/>
      <x:c r="M79" s="39"/>
      <x:c r="N79" s="39" t="str">
        <x:v>برنامه زندگی.docx::T1R319C1.1 | 1154878548.docx::T1R66C1.1 | 1154878548.docx::T3R319C1.1</x:v>
      </x:c>
      <x:c r="O79" s="39"/>
    </x:row>
    <x:row r="80">
      <x:c r="A80" s="34" t="str">
        <x:v>☐</x:v>
      </x:c>
      <x:c r="B80" s="34" t="str">
        <x:v>EX-0052</x:v>
      </x:c>
      <x:c r="C80" s="34" t="str">
        <x:v>48</x:v>
      </x:c>
      <x:c r="D80" s="34" t="str">
        <x:v>UNMAPPED</x:v>
      </x:c>
      <x:c r="E80" s="34" t="str">
        <x:v>60.0</x:v>
      </x:c>
      <x:c r="F80" s="34" t="str">
        <x:v>MI-0522</x:v>
      </x:c>
      <x:c r="G80" s="39" t="str">
        <x:v>قطعنامه 2030 - 598</x:v>
      </x:c>
      <x:c r="H80" s="39" t="str">
        <x:v>H18</x:v>
      </x:c>
      <x:c r="I80" s="39" t="str">
        <x:v>BANK</x:v>
      </x:c>
      <x:c r="J80" s="39" t="str">
        <x:v>STRUCT</x:v>
      </x:c>
      <x:c r="K80" s="39" t="str">
        <x:v>ساختار/برچسب</x:v>
      </x:c>
      <x:c r="L80" s="39"/>
      <x:c r="M80" s="39"/>
      <x:c r="N80" s="39" t="str">
        <x:v>برنامه زندگی.docx::T1R321C1.1 | 1154878548.docx::T1R67C1.1 | 1154878548.docx::T3R321C1.1</x:v>
      </x:c>
      <x:c r="O80" s="39"/>
    </x:row>
    <x:row r="81">
      <x:c r="A81" s="34" t="str">
        <x:v>☐</x:v>
      </x:c>
      <x:c r="B81" s="34" t="str">
        <x:v>EX-0053</x:v>
      </x:c>
      <x:c r="C81" s="34" t="str">
        <x:v>49</x:v>
      </x:c>
      <x:c r="D81" s="34" t="str">
        <x:v>UNMAPPED</x:v>
      </x:c>
      <x:c r="E81" s="34" t="str">
        <x:v>60.0</x:v>
      </x:c>
      <x:c r="F81" s="34" t="str">
        <x:v>MI-2417</x:v>
      </x:c>
      <x:c r="G81" s="39" t="str">
        <x:v>4. نقش زیست بوم</x:v>
      </x:c>
      <x:c r="H81" s="39" t="str">
        <x:v>H19</x:v>
      </x:c>
      <x:c r="I81" s="39" t="str">
        <x:v>P3</x:v>
      </x:c>
      <x:c r="J81" s="39" t="str">
        <x:v>STRUCT</x:v>
      </x:c>
      <x:c r="K81" s="39" t="str">
        <x:v>ساختار/برچسب</x:v>
      </x:c>
      <x:c r="L81" s="39"/>
      <x:c r="M81" s="39"/>
      <x:c r="N81" s="39" t="str">
        <x:v>برنامه زندگی.docx::T1R323C1.1 | 1154878548.docx::T1R68C1.1 | 1154878548.docx::T3R323C1.1</x:v>
      </x:c>
      <x:c r="O81" s="39"/>
    </x:row>
    <x:row r="82">
      <x:c r="A82" s="34" t="str">
        <x:v>☐</x:v>
      </x:c>
      <x:c r="B82" s="34" t="str">
        <x:v>EX-0054</x:v>
      </x:c>
      <x:c r="C82" s="34" t="str">
        <x:v>50</x:v>
      </x:c>
      <x:c r="D82" s="34" t="str">
        <x:v>UNMAPPED</x:v>
      </x:c>
      <x:c r="E82" s="34" t="str">
        <x:v>60.0</x:v>
      </x:c>
      <x:c r="F82" s="34" t="str">
        <x:v>MI-0716</x:v>
      </x:c>
      <x:c r="G82" s="39" t="str">
        <x:v>یونیت ps5</x:v>
      </x:c>
      <x:c r="H82" s="39" t="str">
        <x:v>H11</x:v>
      </x:c>
      <x:c r="I82" s="39" t="str">
        <x:v>DELEGATE/P2</x:v>
      </x:c>
      <x:c r="J82" s="39" t="str">
        <x:v>STRUCT</x:v>
      </x:c>
      <x:c r="K82" s="39" t="str">
        <x:v>ساختار/برچسب</x:v>
      </x:c>
      <x:c r="L82" s="39"/>
      <x:c r="M82" s="39"/>
      <x:c r="N82" s="39" t="str">
        <x:v>برنامه زندگی.docx::T1R325C1.1 | 1154878548.docx::T1R69C1.1 | 1154878548.docx::T3R325C1.1 | فرم_اطلاعات_نتایج_آزمونها_تحصیلی (1).xlsx::فرم نتایج تست ها!B27 | فرم_اطلاعات_نتایج_آزمونها_تحصیلی (1).xlsx::فرم نتایج تست ها!U31</x:v>
      </x:c>
      <x:c r="O82" s="39"/>
    </x:row>
    <x:row r="83">
      <x:c r="A83" s="34" t="str">
        <x:v>☐</x:v>
      </x:c>
      <x:c r="B83" s="34" t="str">
        <x:v>EX-0055</x:v>
      </x:c>
      <x:c r="C83" s="34" t="str">
        <x:v>51</x:v>
      </x:c>
      <x:c r="D83" s="34" t="str">
        <x:v>UNMAPPED</x:v>
      </x:c>
      <x:c r="E83" s="34" t="str">
        <x:v>60.0</x:v>
      </x:c>
      <x:c r="F83" s="34" t="str">
        <x:v>MI-2458</x:v>
      </x:c>
      <x:c r="G83" s="39" t="str">
        <x:v>12. برنامه EiR</x:v>
      </x:c>
      <x:c r="H83" s="39" t="str">
        <x:v>H10</x:v>
      </x:c>
      <x:c r="I83" s="39" t="str">
        <x:v>P2</x:v>
      </x:c>
      <x:c r="J83" s="39" t="str">
        <x:v>STRUCT</x:v>
      </x:c>
      <x:c r="K83" s="39" t="str">
        <x:v>ساختار/برچسب</x:v>
      </x:c>
      <x:c r="L83" s="39"/>
      <x:c r="M83" s="39"/>
      <x:c r="N83" s="39" t="str">
        <x:v>برنامه زندگی.docx::T1R327C1.1 | 1154878548.docx::T1R70C1.1 | 1154878548.docx::T3R327C1.1</x:v>
      </x:c>
      <x:c r="O83" s="39"/>
    </x:row>
    <x:row r="84">
      <x:c r="A84" s="34" t="str">
        <x:v>☐</x:v>
      </x:c>
      <x:c r="B84" s="34" t="str">
        <x:v>EX-0056</x:v>
      </x:c>
      <x:c r="C84" s="34" t="str">
        <x:v>52</x:v>
      </x:c>
      <x:c r="D84" s="34" t="str">
        <x:v>UNMAPPED</x:v>
      </x:c>
      <x:c r="E84" s="34" t="str">
        <x:v>60.0</x:v>
      </x:c>
      <x:c r="F84" s="34" t="str">
        <x:v>MI-1604</x:v>
      </x:c>
      <x:c r="G84" s="39" t="str">
        <x:v>2. EiR بین المللی</x:v>
      </x:c>
      <x:c r="H84" s="39" t="str">
        <x:v>H10</x:v>
      </x:c>
      <x:c r="I84" s="39" t="str">
        <x:v>P2</x:v>
      </x:c>
      <x:c r="J84" s="39" t="str">
        <x:v>STRUCT</x:v>
      </x:c>
      <x:c r="K84" s="39" t="str">
        <x:v>ساختار/برچسب</x:v>
      </x:c>
      <x:c r="L84" s="39"/>
      <x:c r="M84" s="39"/>
      <x:c r="N84" s="39" t="str">
        <x:v>برنامه زندگی.docx::T1R329C1.1 | 1154878548.docx::T1R71C1.1 | 1154878548.docx::T3R329C1.1</x:v>
      </x:c>
      <x:c r="O84" s="39"/>
    </x:row>
    <x:row r="85">
      <x:c r="A85" s="34" t="str">
        <x:v>☐</x:v>
      </x:c>
      <x:c r="B85" s="34" t="str">
        <x:v>EX-0057</x:v>
      </x:c>
      <x:c r="C85" s="34" t="str">
        <x:v>53</x:v>
      </x:c>
      <x:c r="D85" s="34" t="str">
        <x:v>UNMAPPED</x:v>
      </x:c>
      <x:c r="E85" s="34" t="str">
        <x:v>60.0</x:v>
      </x:c>
      <x:c r="F85" s="34" t="str">
        <x:v>MI-0145</x:v>
      </x:c>
      <x:c r="G85" s="39" t="str">
        <x:v>3d modeling</x:v>
      </x:c>
      <x:c r="H85" s="39" t="str">
        <x:v>H6</x:v>
      </x:c>
      <x:c r="I85" s="39" t="str">
        <x:v>P3/CLARIFY</x:v>
      </x:c>
      <x:c r="J85" s="39" t="str">
        <x:v>STRUCT</x:v>
      </x:c>
      <x:c r="K85" s="39" t="str">
        <x:v>ساختار/برچسب</x:v>
      </x:c>
      <x:c r="L85" s="39"/>
      <x:c r="M85" s="39"/>
      <x:c r="N85" s="39" t="str">
        <x:v>برنامه زندگی.docx::T1R332C1.1 | 1154878548.docx::T1R73C1.1 | 1154878548.docx::T3R332C1.1</x:v>
      </x:c>
      <x:c r="O85" s="39"/>
    </x:row>
    <x:row r="86">
      <x:c r="A86" s="34" t="str">
        <x:v>☐</x:v>
      </x:c>
      <x:c r="B86" s="34" t="str">
        <x:v>EX-0058</x:v>
      </x:c>
      <x:c r="C86" s="34" t="str">
        <x:v>54</x:v>
      </x:c>
      <x:c r="D86" s="34" t="str">
        <x:v>UNMAPPED</x:v>
      </x:c>
      <x:c r="E86" s="34" t="str">
        <x:v>60.0</x:v>
      </x:c>
      <x:c r="F86" s="34" t="str">
        <x:v>MI-0716</x:v>
      </x:c>
      <x:c r="G86" s="39" t="str">
        <x:v>یونیت ps5</x:v>
      </x:c>
      <x:c r="H86" s="39" t="str">
        <x:v>H11</x:v>
      </x:c>
      <x:c r="I86" s="39" t="str">
        <x:v>DELEGATE/P2</x:v>
      </x:c>
      <x:c r="J86" s="39" t="str">
        <x:v>STRUCT</x:v>
      </x:c>
      <x:c r="K86" s="39" t="str">
        <x:v>ساختار/برچسب</x:v>
      </x:c>
      <x:c r="L86" s="39"/>
      <x:c r="M86" s="39"/>
      <x:c r="N86" s="39" t="str">
        <x:v>برنامه زندگی.docx::T1R334C1.1 | 1154878548.docx::T1R74C1.1 | 1154878548.docx::T3R334C1.1</x:v>
      </x:c>
      <x:c r="O86" s="39"/>
    </x:row>
    <x:row r="87">
      <x:c r="A87" s="34" t="str">
        <x:v>☐</x:v>
      </x:c>
      <x:c r="B87" s="34" t="str">
        <x:v>EX-0059</x:v>
      </x:c>
      <x:c r="C87" s="34" t="str">
        <x:v>55</x:v>
      </x:c>
      <x:c r="D87" s="34" t="str">
        <x:v>UNMAPPED</x:v>
      </x:c>
      <x:c r="E87" s="34" t="str">
        <x:v>60.0</x:v>
      </x:c>
      <x:c r="F87" s="34" t="str">
        <x:v>MI-0716</x:v>
      </x:c>
      <x:c r="G87" s="39" t="str">
        <x:v>یونیت ps5</x:v>
      </x:c>
      <x:c r="H87" s="39" t="str">
        <x:v>H11</x:v>
      </x:c>
      <x:c r="I87" s="39" t="str">
        <x:v>DELEGATE/P2</x:v>
      </x:c>
      <x:c r="J87" s="39" t="str">
        <x:v>STRUCT</x:v>
      </x:c>
      <x:c r="K87" s="39" t="str">
        <x:v>ساختار/برچسب</x:v>
      </x:c>
      <x:c r="L87" s="39"/>
      <x:c r="M87" s="39"/>
      <x:c r="N87" s="39" t="str">
        <x:v>برنامه زندگی.docx::T1R336C1.1 | 1154878548.docx::T1R75C1.1 | 1154878548.docx::T3R336C1.1</x:v>
      </x:c>
      <x:c r="O87" s="39"/>
    </x:row>
    <x:row r="88">
      <x:c r="A88" s="34" t="str">
        <x:v>☐</x:v>
      </x:c>
      <x:c r="B88" s="34" t="str">
        <x:v>EX-0060</x:v>
      </x:c>
      <x:c r="C88" s="34" t="str">
        <x:v>56</x:v>
      </x:c>
      <x:c r="D88" s="34" t="str">
        <x:v>UNMAPPED</x:v>
      </x:c>
      <x:c r="E88" s="34" t="str">
        <x:v>60.0</x:v>
      </x:c>
      <x:c r="F88" s="34" t="str">
        <x:v>MI-0716</x:v>
      </x:c>
      <x:c r="G88" s="39" t="str">
        <x:v>یونیت ps5</x:v>
      </x:c>
      <x:c r="H88" s="39" t="str">
        <x:v>H11</x:v>
      </x:c>
      <x:c r="I88" s="39" t="str">
        <x:v>DELEGATE/P2</x:v>
      </x:c>
      <x:c r="J88" s="39" t="str">
        <x:v>STRUCT</x:v>
      </x:c>
      <x:c r="K88" s="39" t="str">
        <x:v>ساختار/برچسب</x:v>
      </x:c>
      <x:c r="L88" s="39"/>
      <x:c r="M88" s="39"/>
      <x:c r="N88" s="39" t="str">
        <x:v>برنامه زندگی.docx::T1R339C1.1 | 1154878548.docx::T1R77C1.1 | 1154878548.docx::T3R339C1.1</x:v>
      </x:c>
      <x:c r="O88" s="39"/>
    </x:row>
    <x:row r="89">
      <x:c r="A89" s="34" t="str">
        <x:v>☐</x:v>
      </x:c>
      <x:c r="B89" s="34" t="str">
        <x:v>EX-0061</x:v>
      </x:c>
      <x:c r="C89" s="34" t="str">
        <x:v>57</x:v>
      </x:c>
      <x:c r="D89" s="34" t="str">
        <x:v>UNMAPPED</x:v>
      </x:c>
      <x:c r="E89" s="34" t="str">
        <x:v>60.0</x:v>
      </x:c>
      <x:c r="F89" s="34" t="str">
        <x:v>MI-0716</x:v>
      </x:c>
      <x:c r="G89" s="39" t="str">
        <x:v>یونیت ps5</x:v>
      </x:c>
      <x:c r="H89" s="39" t="str">
        <x:v>H11</x:v>
      </x:c>
      <x:c r="I89" s="39" t="str">
        <x:v>DELEGATE/P2</x:v>
      </x:c>
      <x:c r="J89" s="39" t="str">
        <x:v>STRUCT</x:v>
      </x:c>
      <x:c r="K89" s="39" t="str">
        <x:v>ساختار/برچسب</x:v>
      </x:c>
      <x:c r="L89" s="39"/>
      <x:c r="M89" s="39"/>
      <x:c r="N89" s="39" t="str">
        <x:v>برنامه زندگی.docx::T1R341C1.1 | 1154878548.docx::T1R78C1.1 | 1154878548.docx::T3R341C1.1</x:v>
      </x:c>
      <x:c r="O89" s="39"/>
    </x:row>
    <x:row r="90">
      <x:c r="A90" s="34" t="str">
        <x:v>☐</x:v>
      </x:c>
      <x:c r="B90" s="34" t="str">
        <x:v>EX-0062</x:v>
      </x:c>
      <x:c r="C90" s="34" t="str">
        <x:v>58</x:v>
      </x:c>
      <x:c r="D90" s="34" t="str">
        <x:v>UNMAPPED</x:v>
      </x:c>
      <x:c r="E90" s="34" t="str">
        <x:v>60.0</x:v>
      </x:c>
      <x:c r="F90" s="34" t="str">
        <x:v>MI-0716</x:v>
      </x:c>
      <x:c r="G90" s="39" t="str">
        <x:v>یونیت ps5</x:v>
      </x:c>
      <x:c r="H90" s="39" t="str">
        <x:v>H11</x:v>
      </x:c>
      <x:c r="I90" s="39" t="str">
        <x:v>DELEGATE/P2</x:v>
      </x:c>
      <x:c r="J90" s="39" t="str">
        <x:v>STRUCT</x:v>
      </x:c>
      <x:c r="K90" s="39" t="str">
        <x:v>ساختار/برچسب</x:v>
      </x:c>
      <x:c r="L90" s="39"/>
      <x:c r="M90" s="39"/>
      <x:c r="N90" s="39" t="str">
        <x:v>برنامه زندگی.docx::T1R343C1.1 | 1154878548.docx::T1R79C1.1 | 1154878548.docx::T3R343C1.1</x:v>
      </x:c>
      <x:c r="O90" s="39"/>
    </x:row>
    <x:row r="91">
      <x:c r="A91" s="34" t="str">
        <x:v>☐</x:v>
      </x:c>
      <x:c r="B91" s="34" t="str">
        <x:v>EX-0063</x:v>
      </x:c>
      <x:c r="C91" s="34" t="str">
        <x:v>59</x:v>
      </x:c>
      <x:c r="D91" s="34" t="str">
        <x:v>POSSIBLE</x:v>
      </x:c>
      <x:c r="E91" s="34" t="str">
        <x:v>90.0</x:v>
      </x:c>
      <x:c r="F91" s="34" t="str">
        <x:v>MI-0522</x:v>
      </x:c>
      <x:c r="G91" s="39" t="str">
        <x:v>قطعنامه 2030 - 598</x:v>
      </x:c>
      <x:c r="H91" s="39" t="str">
        <x:v>H18</x:v>
      </x:c>
      <x:c r="I91" s="39" t="str">
        <x:v>BANK</x:v>
      </x:c>
      <x:c r="J91" s="39" t="str">
        <x:v>H18</x:v>
      </x:c>
      <x:c r="K91" s="39" t="str">
        <x:v>تطبیق احتمالی با پایه</x:v>
      </x:c>
      <x:c r="L91" s="39" t="str">
        <x:v>MI-0522</x:v>
      </x:c>
      <x:c r="M91" s="39" t="str">
        <x:v>قطعنامه 2030 - 598</x:v>
      </x:c>
      <x:c r="N91" s="39" t="str">
        <x:v>برنامه زندگی.docx::T1R345C1.1 | 1154878548.docx::T1R80C1.1 | 1154878548.docx::T3R345C1.1</x:v>
      </x:c>
      <x:c r="O91" s="39"/>
    </x:row>
    <x:row r="92">
      <x:c r="A92" s="34" t="str">
        <x:v>☐</x:v>
      </x:c>
      <x:c r="B92" s="34" t="str">
        <x:v>EX-0064</x:v>
      </x:c>
      <x:c r="C92" s="34" t="str">
        <x:v>60</x:v>
      </x:c>
      <x:c r="D92" s="34" t="str">
        <x:v>UNMAPPED</x:v>
      </x:c>
      <x:c r="E92" s="34" t="str">
        <x:v>60.0</x:v>
      </x:c>
      <x:c r="F92" s="34" t="str">
        <x:v>MI-0846</x:v>
      </x:c>
      <x:c r="G92" s="39" t="str">
        <x:v>ساخت تصویر سه بعدی از قرارگیری کمد ها مثل برنامه نشان برای چرخش 360 درجه سه بعدی</x:v>
      </x:c>
      <x:c r="H92" s="39" t="str">
        <x:v>H18</x:v>
      </x:c>
      <x:c r="I92" s="39" t="str">
        <x:v>BANK</x:v>
      </x:c>
      <x:c r="J92" s="39" t="str">
        <x:v>STRUCT</x:v>
      </x:c>
      <x:c r="K92" s="39" t="str">
        <x:v>ساختار/برچسب</x:v>
      </x:c>
      <x:c r="L92" s="39"/>
      <x:c r="M92" s="39"/>
      <x:c r="N92" s="39" t="str">
        <x:v>برنامه زندگی.docx::T1R347C1.1 | 1154878548.docx::T1R81C1.1 | 1154878548.docx::T3R347C1.1 | فرم_اطلاعات_نتایج_آزمونها_تحصیلی (1).xlsx::فرم نتایج تست ها!Z27</x:v>
      </x:c>
      <x:c r="O92" s="39"/>
    </x:row>
    <x:row r="93">
      <x:c r="A93" s="34" t="str">
        <x:v>☐</x:v>
      </x:c>
      <x:c r="B93" s="34" t="str">
        <x:v>EX-0065</x:v>
      </x:c>
      <x:c r="C93" s="34" t="str">
        <x:v>61</x:v>
      </x:c>
      <x:c r="D93" s="34" t="str">
        <x:v>UNMAPPED</x:v>
      </x:c>
      <x:c r="E93" s="34" t="str">
        <x:v>60.0</x:v>
      </x:c>
      <x:c r="F93" s="34" t="str">
        <x:v>MI-2458</x:v>
      </x:c>
      <x:c r="G93" s="39" t="str">
        <x:v>12. برنامه EiR</x:v>
      </x:c>
      <x:c r="H93" s="39" t="str">
        <x:v>H10</x:v>
      </x:c>
      <x:c r="I93" s="39" t="str">
        <x:v>P2</x:v>
      </x:c>
      <x:c r="J93" s="39" t="str">
        <x:v>STRUCT</x:v>
      </x:c>
      <x:c r="K93" s="39" t="str">
        <x:v>ساختار/برچسب</x:v>
      </x:c>
      <x:c r="L93" s="39"/>
      <x:c r="M93" s="39"/>
      <x:c r="N93" s="39" t="str">
        <x:v>برنامه زندگی.docx::T1R350C1.1 | 1154878548.docx::T1R83C1.1 | 1154878548.docx::T3R350C1.1</x:v>
      </x:c>
      <x:c r="O93" s="39"/>
    </x:row>
    <x:row r="94">
      <x:c r="A94" s="34" t="str">
        <x:v>☐</x:v>
      </x:c>
      <x:c r="B94" s="34" t="str">
        <x:v>EX-0066</x:v>
      </x:c>
      <x:c r="C94" s="34" t="str">
        <x:v>62</x:v>
      </x:c>
      <x:c r="D94" s="34" t="str">
        <x:v>UNMAPPED</x:v>
      </x:c>
      <x:c r="E94" s="34" t="str">
        <x:v>60.0</x:v>
      </x:c>
      <x:c r="F94" s="34" t="str">
        <x:v>MI-1604</x:v>
      </x:c>
      <x:c r="G94" s="39" t="str">
        <x:v>2. EiR بین المللی</x:v>
      </x:c>
      <x:c r="H94" s="39" t="str">
        <x:v>H10</x:v>
      </x:c>
      <x:c r="I94" s="39" t="str">
        <x:v>P2</x:v>
      </x:c>
      <x:c r="J94" s="39" t="str">
        <x:v>STRUCT</x:v>
      </x:c>
      <x:c r="K94" s="39" t="str">
        <x:v>ساختار/برچسب</x:v>
      </x:c>
      <x:c r="L94" s="39"/>
      <x:c r="M94" s="39"/>
      <x:c r="N94" s="39" t="str">
        <x:v>برنامه زندگی.docx::T1R352C1.1 | 1154878548.docx::T1R84C1.1 | 1154878548.docx::T3R352C1.1</x:v>
      </x:c>
      <x:c r="O94" s="39"/>
    </x:row>
    <x:row r="95">
      <x:c r="A95" s="34" t="str">
        <x:v>☐</x:v>
      </x:c>
      <x:c r="B95" s="34" t="str">
        <x:v>EX-0067</x:v>
      </x:c>
      <x:c r="C95" s="34" t="str">
        <x:v>63</x:v>
      </x:c>
      <x:c r="D95" s="34" t="str">
        <x:v>UNMAPPED</x:v>
      </x:c>
      <x:c r="E95" s="34" t="str">
        <x:v>60.0</x:v>
      </x:c>
      <x:c r="F95" s="34" t="str">
        <x:v>MI-0145</x:v>
      </x:c>
      <x:c r="G95" s="39" t="str">
        <x:v>3d modeling</x:v>
      </x:c>
      <x:c r="H95" s="39" t="str">
        <x:v>H6</x:v>
      </x:c>
      <x:c r="I95" s="39" t="str">
        <x:v>P3/CLARIFY</x:v>
      </x:c>
      <x:c r="J95" s="39" t="str">
        <x:v>STRUCT</x:v>
      </x:c>
      <x:c r="K95" s="39" t="str">
        <x:v>ساختار/برچسب</x:v>
      </x:c>
      <x:c r="L95" s="39"/>
      <x:c r="M95" s="39"/>
      <x:c r="N95" s="39" t="str">
        <x:v>برنامه زندگی.docx::T1R355C1.1 | 1154878548.docx::T1R86C1.1 | 1154878548.docx::T3R355C1.1</x:v>
      </x:c>
      <x:c r="O95" s="39"/>
    </x:row>
    <x:row r="96">
      <x:c r="A96" s="34" t="str">
        <x:v>☐</x:v>
      </x:c>
      <x:c r="B96" s="34" t="str">
        <x:v>EX-0068</x:v>
      </x:c>
      <x:c r="C96" s="34" t="str">
        <x:v>64</x:v>
      </x:c>
      <x:c r="D96" s="34" t="str">
        <x:v>UNMAPPED</x:v>
      </x:c>
      <x:c r="E96" s="34" t="str">
        <x:v>60.0</x:v>
      </x:c>
      <x:c r="F96" s="34" t="str">
        <x:v>MI-2417</x:v>
      </x:c>
      <x:c r="G96" s="39" t="str">
        <x:v>4. نقش زیست بوم</x:v>
      </x:c>
      <x:c r="H96" s="39" t="str">
        <x:v>H19</x:v>
      </x:c>
      <x:c r="I96" s="39" t="str">
        <x:v>P3</x:v>
      </x:c>
      <x:c r="J96" s="39" t="str">
        <x:v>STRUCT</x:v>
      </x:c>
      <x:c r="K96" s="39" t="str">
        <x:v>ساختار/برچسب</x:v>
      </x:c>
      <x:c r="L96" s="39"/>
      <x:c r="M96" s="39"/>
      <x:c r="N96" s="39" t="str">
        <x:v>برنامه زندگی.docx::T1R358C1.1 | 1154878548.docx::T1R88C1.1 | 1154878548.docx::T3R358C1.1</x:v>
      </x:c>
      <x:c r="O96" s="39"/>
    </x:row>
    <x:row r="97">
      <x:c r="A97" s="34" t="str">
        <x:v>☐</x:v>
      </x:c>
      <x:c r="B97" s="34" t="str">
        <x:v>EX-0069</x:v>
      </x:c>
      <x:c r="C97" s="34" t="str">
        <x:v>65</x:v>
      </x:c>
      <x:c r="D97" s="34" t="str">
        <x:v>UNMAPPED</x:v>
      </x:c>
      <x:c r="E97" s="34" t="str">
        <x:v>60.0</x:v>
      </x:c>
      <x:c r="F97" s="34" t="str">
        <x:v>MI-0716</x:v>
      </x:c>
      <x:c r="G97" s="39" t="str">
        <x:v>یونیت ps5</x:v>
      </x:c>
      <x:c r="H97" s="39" t="str">
        <x:v>H11</x:v>
      </x:c>
      <x:c r="I97" s="39" t="str">
        <x:v>DELEGATE/P2</x:v>
      </x:c>
      <x:c r="J97" s="39" t="str">
        <x:v>STRUCT</x:v>
      </x:c>
      <x:c r="K97" s="39" t="str">
        <x:v>ساختار/برچسب</x:v>
      </x:c>
      <x:c r="L97" s="39"/>
      <x:c r="M97" s="39"/>
      <x:c r="N97" s="39" t="str">
        <x:v>برنامه زندگی.docx::T1R360C1.1 | 1154878548.docx::T1R89C1.1 | 1154878548.docx::T3R360C1.1</x:v>
      </x:c>
      <x:c r="O97" s="39"/>
    </x:row>
    <x:row r="98">
      <x:c r="A98" s="34" t="str">
        <x:v>☐</x:v>
      </x:c>
      <x:c r="B98" s="34" t="str">
        <x:v>EX-0070</x:v>
      </x:c>
      <x:c r="C98" s="34" t="str">
        <x:v>66</x:v>
      </x:c>
      <x:c r="D98" s="34" t="str">
        <x:v>UNMAPPED</x:v>
      </x:c>
      <x:c r="E98" s="34" t="str">
        <x:v>40.0</x:v>
      </x:c>
      <x:c r="F98" s="34" t="str">
        <x:v>MI-0927</x:v>
      </x:c>
      <x:c r="G98" s="39" t="str">
        <x:v>6. هزینه های خوابگاه ها بدون شفافیت افزایش یافته؛ معیار مشخصی برای «درجه اتاق ها» وجود ندا</x:v>
      </x:c>
      <x:c r="H98" s="39" t="str">
        <x:v>H11</x:v>
      </x:c>
      <x:c r="I98" s="39" t="str">
        <x:v>DELEGATE/P2</x:v>
      </x:c>
      <x:c r="J98" s="39" t="str">
        <x:v>STRUCT</x:v>
      </x:c>
      <x:c r="K98" s="39" t="str">
        <x:v>ساختار/برچسب</x:v>
      </x:c>
      <x:c r="L98" s="39"/>
      <x:c r="M98" s="39"/>
      <x:c r="N98" s="39" t="str">
        <x:v>برنامه زندگی.docx::T1R362C1.1 | 1154878548.docx::T1R90C1.1 | 1154878548.docx::T3R362C1.1</x:v>
      </x:c>
      <x:c r="O98" s="39"/>
    </x:row>
    <x:row r="99">
      <x:c r="A99" s="34" t="str">
        <x:v>☐</x:v>
      </x:c>
      <x:c r="B99" s="34" t="str">
        <x:v>EX-0071</x:v>
      </x:c>
      <x:c r="C99" s="34" t="str">
        <x:v>67</x:v>
      </x:c>
      <x:c r="D99" s="34" t="str">
        <x:v>UNMAPPED</x:v>
      </x:c>
      <x:c r="E99" s="34" t="str">
        <x:v>60.0</x:v>
      </x:c>
      <x:c r="F99" s="34" t="str">
        <x:v>MI-3129</x:v>
      </x:c>
      <x:c r="G99" s="39" t="str">
        <x:v>گاردنر معناگرا: 67.5</x:v>
      </x:c>
      <x:c r="H99" s="39" t="str">
        <x:v>H22</x:v>
      </x:c>
      <x:c r="I99" s="39" t="str">
        <x:v>P3/CLARIFY</x:v>
      </x:c>
      <x:c r="J99" s="39" t="str">
        <x:v>STRUCT</x:v>
      </x:c>
      <x:c r="K99" s="39" t="str">
        <x:v>ساختار/برچسب</x:v>
      </x:c>
      <x:c r="L99" s="39"/>
      <x:c r="M99" s="39"/>
      <x:c r="N99" s="39" t="str">
        <x:v>برنامه زندگی.docx::T1R364C1.1 | 1154878548.docx::T1R91C1.1 | 1154878548.docx::T3R364C1.1</x:v>
      </x:c>
      <x:c r="O99" s="39"/>
    </x:row>
    <x:row r="100">
      <x:c r="A100" s="34" t="str">
        <x:v>☐</x:v>
      </x:c>
      <x:c r="B100" s="34" t="str">
        <x:v>EX-0072</x:v>
      </x:c>
      <x:c r="C100" s="34" t="str">
        <x:v>68</x:v>
      </x:c>
      <x:c r="D100" s="34" t="str">
        <x:v>UNMAPPED</x:v>
      </x:c>
      <x:c r="E100" s="34" t="str">
        <x:v>60.0</x:v>
      </x:c>
      <x:c r="F100" s="34" t="str">
        <x:v>MI-0522</x:v>
      </x:c>
      <x:c r="G100" s="39" t="str">
        <x:v>قطعنامه 2030 - 598</x:v>
      </x:c>
      <x:c r="H100" s="39" t="str">
        <x:v>H18</x:v>
      </x:c>
      <x:c r="I100" s="39" t="str">
        <x:v>BANK</x:v>
      </x:c>
      <x:c r="J100" s="39" t="str">
        <x:v>STRUCT</x:v>
      </x:c>
      <x:c r="K100" s="39" t="str">
        <x:v>ساختار/برچسب</x:v>
      </x:c>
      <x:c r="L100" s="39"/>
      <x:c r="M100" s="39"/>
      <x:c r="N100" s="39" t="str">
        <x:v>برنامه زندگی.docx::T1R366C1.1 | 1154878548.docx::T1R92C1.1 | 1154878548.docx::T3R366C1.1</x:v>
      </x:c>
      <x:c r="O100" s="39"/>
    </x:row>
    <x:row r="101">
      <x:c r="A101" s="34" t="str">
        <x:v>☐</x:v>
      </x:c>
      <x:c r="B101" s="34" t="str">
        <x:v>EX-0073</x:v>
      </x:c>
      <x:c r="C101" s="34" t="str">
        <x:v>69</x:v>
      </x:c>
      <x:c r="D101" s="34" t="str">
        <x:v>UNMAPPED</x:v>
      </x:c>
      <x:c r="E101" s="34" t="str">
        <x:v>57.0</x:v>
      </x:c>
      <x:c r="F101" s="34" t="str">
        <x:v>MI-3149</x:v>
      </x:c>
      <x:c r="G101" s="39" t="str">
        <x:v>ارزش 9: دستاورد</x:v>
      </x:c>
      <x:c r="H101" s="39" t="str">
        <x:v>H22</x:v>
      </x:c>
      <x:c r="I101" s="39" t="str">
        <x:v>P3/CLARIFY</x:v>
      </x:c>
      <x:c r="J101" s="39" t="str">
        <x:v>STRUCT</x:v>
      </x:c>
      <x:c r="K101" s="39" t="str">
        <x:v>ساختار/برچسب</x:v>
      </x:c>
      <x:c r="L101" s="39"/>
      <x:c r="M101" s="39"/>
      <x:c r="N101" s="39" t="str">
        <x:v>برنامه زندگی.docx::T1R369C1.1 | 1154878548.docx::T1R94C1.1 | 1154878548.docx::T3R369C1.1</x:v>
      </x:c>
      <x:c r="O101" s="39"/>
    </x:row>
    <x:row r="102">
      <x:c r="A102" s="34" t="str">
        <x:v>☐</x:v>
      </x:c>
      <x:c r="B102" s="34" t="str">
        <x:v>EX-0074</x:v>
      </x:c>
      <x:c r="C102" s="34" t="str">
        <x:v>70</x:v>
      </x:c>
      <x:c r="D102" s="34" t="str">
        <x:v>UNMAPPED</x:v>
      </x:c>
      <x:c r="E102" s="34" t="str">
        <x:v>60.0</x:v>
      </x:c>
      <x:c r="F102" s="34" t="str">
        <x:v>MI-1336</x:v>
      </x:c>
      <x:c r="G102" s="39" t="str">
        <x:v>گزارشی که چند سال پیش، توسط گروه دوستداران محیط زیست در انگلیس، منتشر شد، تخمین می زند که در صورت دستیابی به هدف بازیافت 70 درصد از زباله ها، تا سال 2025، حداقل 50 هزارشغلجدید در این کشور، ایجاد خواهد شد. از این تعداد، تقریبا 30 هزار شغل جدید، مستقیما در بازیافت و 20 هزار شغل دیگر، در حلقه های بعدی این زنجیره، قرار دارند.</x:v>
      </x:c>
      <x:c r="H102" s="39" t="str">
        <x:v>H12</x:v>
      </x:c>
      <x:c r="I102" s="39" t="str">
        <x:v>P2</x:v>
      </x:c>
      <x:c r="J102" s="39" t="str">
        <x:v>STRUCT</x:v>
      </x:c>
      <x:c r="K102" s="39" t="str">
        <x:v>ساختار/برچسب</x:v>
      </x:c>
      <x:c r="L102" s="39"/>
      <x:c r="M102" s="39"/>
      <x:c r="N102" s="39" t="str">
        <x:v>برنامه زندگی.docx::T1R372C1.1 | 1154878548.docx::T1R96C1.1 | 1154878548.docx::T3R372C1.1</x:v>
      </x:c>
      <x:c r="O102" s="39"/>
    </x:row>
    <x:row r="103">
      <x:c r="A103" s="34" t="str">
        <x:v>☐</x:v>
      </x:c>
      <x:c r="B103" s="34" t="str">
        <x:v>EX-0075</x:v>
      </x:c>
      <x:c r="C103" s="34" t="str">
        <x:v>71</x:v>
      </x:c>
      <x:c r="D103" s="34" t="str">
        <x:v>UNMAPPED</x:v>
      </x:c>
      <x:c r="E103" s="34" t="str">
        <x:v>60.0</x:v>
      </x:c>
      <x:c r="F103" s="34" t="str">
        <x:v>MI-2458</x:v>
      </x:c>
      <x:c r="G103" s="39" t="str">
        <x:v>12. برنامه EiR</x:v>
      </x:c>
      <x:c r="H103" s="39" t="str">
        <x:v>H10</x:v>
      </x:c>
      <x:c r="I103" s="39" t="str">
        <x:v>P2</x:v>
      </x:c>
      <x:c r="J103" s="39" t="str">
        <x:v>STRUCT</x:v>
      </x:c>
      <x:c r="K103" s="39" t="str">
        <x:v>ساختار/برچسب</x:v>
      </x:c>
      <x:c r="L103" s="39"/>
      <x:c r="M103" s="39"/>
      <x:c r="N103" s="39" t="str">
        <x:v>برنامه زندگی.docx::T1R374C1.1 | 1154878548.docx::T1R97C1.1 | 1154878548.docx::T3R374C1.1</x:v>
      </x:c>
      <x:c r="O103" s="39"/>
    </x:row>
    <x:row r="104">
      <x:c r="A104" s="34" t="str">
        <x:v>☐</x:v>
      </x:c>
      <x:c r="B104" s="34" t="str">
        <x:v>EX-0076</x:v>
      </x:c>
      <x:c r="C104" s="34" t="str">
        <x:v>72</x:v>
      </x:c>
      <x:c r="D104" s="34" t="str">
        <x:v>UNMAPPED</x:v>
      </x:c>
      <x:c r="E104" s="34" t="str">
        <x:v>60.0</x:v>
      </x:c>
      <x:c r="F104" s="34" t="str">
        <x:v>MI-1604</x:v>
      </x:c>
      <x:c r="G104" s="39" t="str">
        <x:v>2. EiR بین المللی</x:v>
      </x:c>
      <x:c r="H104" s="39" t="str">
        <x:v>H10</x:v>
      </x:c>
      <x:c r="I104" s="39" t="str">
        <x:v>P2</x:v>
      </x:c>
      <x:c r="J104" s="39" t="str">
        <x:v>STRUCT</x:v>
      </x:c>
      <x:c r="K104" s="39" t="str">
        <x:v>ساختار/برچسب</x:v>
      </x:c>
      <x:c r="L104" s="39"/>
      <x:c r="M104" s="39"/>
      <x:c r="N104" s="39" t="str">
        <x:v>برنامه زندگی.docx::T1R376C1.1 | 1154878548.docx::T1R98C1.1 | 1154878548.docx::T3R376C1.1</x:v>
      </x:c>
      <x:c r="O104" s="39"/>
    </x:row>
    <x:row r="105">
      <x:c r="A105" s="34" t="str">
        <x:v>☐</x:v>
      </x:c>
      <x:c r="B105" s="34" t="str">
        <x:v>EX-0077</x:v>
      </x:c>
      <x:c r="C105" s="34" t="str">
        <x:v>73</x:v>
      </x:c>
      <x:c r="D105" s="34" t="str">
        <x:v>UNMAPPED</x:v>
      </x:c>
      <x:c r="E105" s="34" t="str">
        <x:v>60.0</x:v>
      </x:c>
      <x:c r="F105" s="34" t="str">
        <x:v>MI-0145</x:v>
      </x:c>
      <x:c r="G105" s="39" t="str">
        <x:v>3d modeling</x:v>
      </x:c>
      <x:c r="H105" s="39" t="str">
        <x:v>H6</x:v>
      </x:c>
      <x:c r="I105" s="39" t="str">
        <x:v>P3/CLARIFY</x:v>
      </x:c>
      <x:c r="J105" s="39" t="str">
        <x:v>STRUCT</x:v>
      </x:c>
      <x:c r="K105" s="39" t="str">
        <x:v>ساختار/برچسب</x:v>
      </x:c>
      <x:c r="L105" s="39"/>
      <x:c r="M105" s="39"/>
      <x:c r="N105" s="39" t="str">
        <x:v>برنامه زندگی.docx::T1R378C1.1 | 1154878548.docx::T1R99C1.1 | 1154878548.docx::T3R378C1.1</x:v>
      </x:c>
      <x:c r="O105" s="39"/>
    </x:row>
    <x:row r="106">
      <x:c r="A106" s="34" t="str">
        <x:v>☐</x:v>
      </x:c>
      <x:c r="B106" s="34" t="str">
        <x:v>EX-0078</x:v>
      </x:c>
      <x:c r="C106" s="34" t="str">
        <x:v>74</x:v>
      </x:c>
      <x:c r="D106" s="34" t="str">
        <x:v>UNMAPPED</x:v>
      </x:c>
      <x:c r="E106" s="34" t="str">
        <x:v>60.0</x:v>
      </x:c>
      <x:c r="F106" s="34" t="str">
        <x:v>MI-2417</x:v>
      </x:c>
      <x:c r="G106" s="39" t="str">
        <x:v>4. نقش زیست بوم</x:v>
      </x:c>
      <x:c r="H106" s="39" t="str">
        <x:v>H19</x:v>
      </x:c>
      <x:c r="I106" s="39" t="str">
        <x:v>P3</x:v>
      </x:c>
      <x:c r="J106" s="39" t="str">
        <x:v>STRUCT</x:v>
      </x:c>
      <x:c r="K106" s="39" t="str">
        <x:v>ساختار/برچسب</x:v>
      </x:c>
      <x:c r="L106" s="39"/>
      <x:c r="M106" s="39"/>
      <x:c r="N106" s="39" t="str">
        <x:v>برنامه زندگی.docx::T1R380C1.1 | 1154878548.docx::T1R100C1.1 | 1154878548.docx::T3R380C1.1</x:v>
      </x:c>
      <x:c r="O106" s="39"/>
    </x:row>
    <x:row r="107">
      <x:c r="A107" s="34" t="str">
        <x:v>☐</x:v>
      </x:c>
      <x:c r="B107" s="34" t="str">
        <x:v>EX-0079</x:v>
      </x:c>
      <x:c r="C107" s="34" t="str">
        <x:v>75</x:v>
      </x:c>
      <x:c r="D107" s="34" t="str">
        <x:v>UNMAPPED</x:v>
      </x:c>
      <x:c r="E107" s="34" t="str">
        <x:v>60.0</x:v>
      </x:c>
      <x:c r="F107" s="34" t="str">
        <x:v>MI-0716</x:v>
      </x:c>
      <x:c r="G107" s="39" t="str">
        <x:v>یونیت ps5</x:v>
      </x:c>
      <x:c r="H107" s="39" t="str">
        <x:v>H11</x:v>
      </x:c>
      <x:c r="I107" s="39" t="str">
        <x:v>DELEGATE/P2</x:v>
      </x:c>
      <x:c r="J107" s="39" t="str">
        <x:v>STRUCT</x:v>
      </x:c>
      <x:c r="K107" s="39" t="str">
        <x:v>ساختار/برچسب</x:v>
      </x:c>
      <x:c r="L107" s="39"/>
      <x:c r="M107" s="39"/>
      <x:c r="N107" s="39" t="str">
        <x:v>برنامه زندگی.docx::T1R382C1.1 | 1154878548.docx::T1R101C1.1 | 1154878548.docx::T3R382C1.1 | فرم_اطلاعات_نتایج_آزمونها_تحصیلی (1).xlsx::فرم نتایج تست ها!N27 | فرم_اطلاعات_نتایج_آزمونها_تحصیلی (1).xlsx::فرم نتایج تست ها!B31</x:v>
      </x:c>
      <x:c r="O107" s="39"/>
    </x:row>
    <x:row r="108">
      <x:c r="A108" s="34" t="str">
        <x:v>☐</x:v>
      </x:c>
      <x:c r="B108" s="34" t="str">
        <x:v>EX-0080</x:v>
      </x:c>
      <x:c r="C108" s="34" t="str">
        <x:v>76</x:v>
      </x:c>
      <x:c r="D108" s="34" t="str">
        <x:v>UNMAPPED</x:v>
      </x:c>
      <x:c r="E108" s="34" t="str">
        <x:v>40.0</x:v>
      </x:c>
      <x:c r="F108" s="34" t="str">
        <x:v>MI-3034</x:v>
      </x:c>
      <x:c r="G108" s="39" t="str">
        <x:v>7. ساختار تصمیم گیری</x:v>
      </x:c>
      <x:c r="H108" s="39" t="str">
        <x:v>H1</x:v>
      </x:c>
      <x:c r="I108" s="39" t="str">
        <x:v>P0</x:v>
      </x:c>
      <x:c r="J108" s="39" t="str">
        <x:v>STRUCT</x:v>
      </x:c>
      <x:c r="K108" s="39" t="str">
        <x:v>ساختار/برچسب</x:v>
      </x:c>
      <x:c r="L108" s="39"/>
      <x:c r="M108" s="39"/>
      <x:c r="N108" s="39" t="str">
        <x:v>برنامه زندگی.docx::T1R385C1.1 | 1154878548.docx::T1R103C1.1 | 1154878548.docx::T3R385C1.1</x:v>
      </x:c>
      <x:c r="O108" s="39"/>
    </x:row>
    <x:row r="109">
      <x:c r="A109" s="34" t="str">
        <x:v>☐</x:v>
      </x:c>
      <x:c r="B109" s="34" t="str">
        <x:v>EX-0081</x:v>
      </x:c>
      <x:c r="C109" s="34" t="str">
        <x:v>77</x:v>
      </x:c>
      <x:c r="D109" s="34" t="str">
        <x:v>UNMAPPED</x:v>
      </x:c>
      <x:c r="E109" s="34" t="str">
        <x:v>40.0</x:v>
      </x:c>
      <x:c r="F109" s="34" t="str">
        <x:v>MI-3034</x:v>
      </x:c>
      <x:c r="G109" s="39" t="str">
        <x:v>7. ساختار تصمیم گیری</x:v>
      </x:c>
      <x:c r="H109" s="39" t="str">
        <x:v>H1</x:v>
      </x:c>
      <x:c r="I109" s="39" t="str">
        <x:v>P0</x:v>
      </x:c>
      <x:c r="J109" s="39" t="str">
        <x:v>STRUCT</x:v>
      </x:c>
      <x:c r="K109" s="39" t="str">
        <x:v>ساختار/برچسب</x:v>
      </x:c>
      <x:c r="L109" s="39"/>
      <x:c r="M109" s="39"/>
      <x:c r="N109" s="39" t="str">
        <x:v>برنامه زندگی.docx::T1R388C1.1 | 1154878548.docx::T1R105C1.1 | 1154878548.docx::T3R388C1.1</x:v>
      </x:c>
      <x:c r="O109" s="39"/>
    </x:row>
    <x:row r="110">
      <x:c r="A110" s="34" t="str">
        <x:v>☐</x:v>
      </x:c>
      <x:c r="B110" s="34" t="str">
        <x:v>EX-0082</x:v>
      </x:c>
      <x:c r="C110" s="34" t="str">
        <x:v>78</x:v>
      </x:c>
      <x:c r="D110" s="34" t="str">
        <x:v>UNMAPPED</x:v>
      </x:c>
      <x:c r="E110" s="34" t="str">
        <x:v>60.0</x:v>
      </x:c>
      <x:c r="F110" s="34" t="str">
        <x:v>MI-0522</x:v>
      </x:c>
      <x:c r="G110" s="39" t="str">
        <x:v>قطعنامه 2030 - 598</x:v>
      </x:c>
      <x:c r="H110" s="39" t="str">
        <x:v>H18</x:v>
      </x:c>
      <x:c r="I110" s="39" t="str">
        <x:v>BANK</x:v>
      </x:c>
      <x:c r="J110" s="39" t="str">
        <x:v>STRUCT</x:v>
      </x:c>
      <x:c r="K110" s="39" t="str">
        <x:v>ساختار/برچسب</x:v>
      </x:c>
      <x:c r="L110" s="39"/>
      <x:c r="M110" s="39"/>
      <x:c r="N110" s="39" t="str">
        <x:v>برنامه زندگی.docx::T1R390C1.1 | 1154878548.docx::T1R106C1.1 | 1154878548.docx::T3R390C1.1</x:v>
      </x:c>
      <x:c r="O110" s="39"/>
    </x:row>
    <x:row r="111">
      <x:c r="A111" s="34" t="str">
        <x:v>☐</x:v>
      </x:c>
      <x:c r="B111" s="34" t="str">
        <x:v>EX-0083</x:v>
      </x:c>
      <x:c r="C111" s="34" t="str">
        <x:v>79</x:v>
      </x:c>
      <x:c r="D111" s="34" t="str">
        <x:v>UNMAPPED</x:v>
      </x:c>
      <x:c r="E111" s="34" t="str">
        <x:v>57.0</x:v>
      </x:c>
      <x:c r="F111" s="34" t="str">
        <x:v>MI-3149</x:v>
      </x:c>
      <x:c r="G111" s="39" t="str">
        <x:v>ارزش 9: دستاورد</x:v>
      </x:c>
      <x:c r="H111" s="39" t="str">
        <x:v>H22</x:v>
      </x:c>
      <x:c r="I111" s="39" t="str">
        <x:v>P3/CLARIFY</x:v>
      </x:c>
      <x:c r="J111" s="39" t="str">
        <x:v>STRUCT</x:v>
      </x:c>
      <x:c r="K111" s="39" t="str">
        <x:v>ساختار/برچسب</x:v>
      </x:c>
      <x:c r="L111" s="39"/>
      <x:c r="M111" s="39"/>
      <x:c r="N111" s="39" t="str">
        <x:v>برنامه زندگی.docx::T1R392C1.1 | 1154878548.docx::T1R107C1.1 | 1154878548.docx::T3R392C1.1</x:v>
      </x:c>
      <x:c r="O111" s="39"/>
    </x:row>
    <x:row r="112">
      <x:c r="A112" s="34" t="str">
        <x:v>☐</x:v>
      </x:c>
      <x:c r="B112" s="34" t="str">
        <x:v>EX-0084</x:v>
      </x:c>
      <x:c r="C112" s="34" t="str">
        <x:v>80</x:v>
      </x:c>
      <x:c r="D112" s="34" t="str">
        <x:v>UNMAPPED</x:v>
      </x:c>
      <x:c r="E112" s="34" t="str">
        <x:v>60.0</x:v>
      </x:c>
      <x:c r="F112" s="34" t="str">
        <x:v>MI-0522</x:v>
      </x:c>
      <x:c r="G112" s="39" t="str">
        <x:v>قطعنامه 2030 - 598</x:v>
      </x:c>
      <x:c r="H112" s="39" t="str">
        <x:v>H18</x:v>
      </x:c>
      <x:c r="I112" s="39" t="str">
        <x:v>BANK</x:v>
      </x:c>
      <x:c r="J112" s="39" t="str">
        <x:v>STRUCT</x:v>
      </x:c>
      <x:c r="K112" s="39" t="str">
        <x:v>ساختار/برچسب</x:v>
      </x:c>
      <x:c r="L112" s="39"/>
      <x:c r="M112" s="39"/>
      <x:c r="N112" s="39" t="str">
        <x:v>برنامه زندگی.docx::T1R394C1.1 | 1154878548.docx::T1R108C1.1 | 1154878548.docx::T3R394C1.1</x:v>
      </x:c>
      <x:c r="O112" s="39"/>
    </x:row>
    <x:row r="113">
      <x:c r="A113" s="34" t="str">
        <x:v>☐</x:v>
      </x:c>
      <x:c r="B113" s="34" t="str">
        <x:v>EX-0085</x:v>
      </x:c>
      <x:c r="C113" s="34" t="str">
        <x:v>81</x:v>
      </x:c>
      <x:c r="D113" s="34" t="str">
        <x:v>UNMAPPED</x:v>
      </x:c>
      <x:c r="E113" s="34" t="str">
        <x:v>60.0</x:v>
      </x:c>
      <x:c r="F113" s="34" t="str">
        <x:v>MI-2458</x:v>
      </x:c>
      <x:c r="G113" s="39" t="str">
        <x:v>12. برنامه EiR</x:v>
      </x:c>
      <x:c r="H113" s="39" t="str">
        <x:v>H10</x:v>
      </x:c>
      <x:c r="I113" s="39" t="str">
        <x:v>P2</x:v>
      </x:c>
      <x:c r="J113" s="39" t="str">
        <x:v>STRUCT</x:v>
      </x:c>
      <x:c r="K113" s="39" t="str">
        <x:v>ساختار/برچسب</x:v>
      </x:c>
      <x:c r="L113" s="39"/>
      <x:c r="M113" s="39"/>
      <x:c r="N113" s="39" t="str">
        <x:v>برنامه زندگی.docx::T1R396C1.1 | 1154878548.docx::T1R109C1.1 | 1154878548.docx::T3R396C1.1</x:v>
      </x:c>
      <x:c r="O113" s="39"/>
    </x:row>
    <x:row r="114">
      <x:c r="A114" s="34" t="str">
        <x:v>☐</x:v>
      </x:c>
      <x:c r="B114" s="34" t="str">
        <x:v>EX-0086</x:v>
      </x:c>
      <x:c r="C114" s="34" t="str">
        <x:v>82</x:v>
      </x:c>
      <x:c r="D114" s="34" t="str">
        <x:v>UNMAPPED</x:v>
      </x:c>
      <x:c r="E114" s="34" t="str">
        <x:v>60.0</x:v>
      </x:c>
      <x:c r="F114" s="34" t="str">
        <x:v>MI-1604</x:v>
      </x:c>
      <x:c r="G114" s="39" t="str">
        <x:v>2. EiR بین المللی</x:v>
      </x:c>
      <x:c r="H114" s="39" t="str">
        <x:v>H10</x:v>
      </x:c>
      <x:c r="I114" s="39" t="str">
        <x:v>P2</x:v>
      </x:c>
      <x:c r="J114" s="39" t="str">
        <x:v>STRUCT</x:v>
      </x:c>
      <x:c r="K114" s="39" t="str">
        <x:v>ساختار/برچسب</x:v>
      </x:c>
      <x:c r="L114" s="39"/>
      <x:c r="M114" s="39"/>
      <x:c r="N114" s="39" t="str">
        <x:v>برنامه زندگی.docx::T1R399C1.1 | 1154878548.docx::T1R111C1.1 | 1154878548.docx::T3R399C1.1</x:v>
      </x:c>
      <x:c r="O114" s="39"/>
    </x:row>
    <x:row r="115">
      <x:c r="A115" s="34" t="str">
        <x:v>☐</x:v>
      </x:c>
      <x:c r="B115" s="34" t="str">
        <x:v>EX-0087</x:v>
      </x:c>
      <x:c r="C115" s="34" t="str">
        <x:v>83</x:v>
      </x:c>
      <x:c r="D115" s="34" t="str">
        <x:v>UNMAPPED</x:v>
      </x:c>
      <x:c r="E115" s="34" t="str">
        <x:v>60.0</x:v>
      </x:c>
      <x:c r="F115" s="34" t="str">
        <x:v>MI-0145</x:v>
      </x:c>
      <x:c r="G115" s="39" t="str">
        <x:v>3d modeling</x:v>
      </x:c>
      <x:c r="H115" s="39" t="str">
        <x:v>H6</x:v>
      </x:c>
      <x:c r="I115" s="39" t="str">
        <x:v>P3/CLARIFY</x:v>
      </x:c>
      <x:c r="J115" s="39" t="str">
        <x:v>STRUCT</x:v>
      </x:c>
      <x:c r="K115" s="39" t="str">
        <x:v>ساختار/برچسب</x:v>
      </x:c>
      <x:c r="L115" s="39"/>
      <x:c r="M115" s="39"/>
      <x:c r="N115" s="39" t="str">
        <x:v>برنامه زندگی.docx::T1R402C1.1 | 1154878548.docx::T1R113C1.1 | 1154878548.docx::T3R402C1.1</x:v>
      </x:c>
      <x:c r="O115" s="39"/>
    </x:row>
    <x:row r="116">
      <x:c r="A116" s="34" t="str">
        <x:v>☐</x:v>
      </x:c>
      <x:c r="B116" s="34" t="str">
        <x:v>EX-0088</x:v>
      </x:c>
      <x:c r="C116" s="34" t="str">
        <x:v>84</x:v>
      </x:c>
      <x:c r="D116" s="34" t="str">
        <x:v>UNMAPPED</x:v>
      </x:c>
      <x:c r="E116" s="34" t="str">
        <x:v>60.0</x:v>
      </x:c>
      <x:c r="F116" s="34" t="str">
        <x:v>MI-0522</x:v>
      </x:c>
      <x:c r="G116" s="39" t="str">
        <x:v>قطعنامه 2030 - 598</x:v>
      </x:c>
      <x:c r="H116" s="39" t="str">
        <x:v>H18</x:v>
      </x:c>
      <x:c r="I116" s="39" t="str">
        <x:v>BANK</x:v>
      </x:c>
      <x:c r="J116" s="39" t="str">
        <x:v>STRUCT</x:v>
      </x:c>
      <x:c r="K116" s="39" t="str">
        <x:v>ساختار/برچسب</x:v>
      </x:c>
      <x:c r="L116" s="39"/>
      <x:c r="M116" s="39"/>
      <x:c r="N116" s="39" t="str">
        <x:v>برنامه زندگی.docx::T1R405C1.1 | 1154878548.docx::T1R115C1.1 | 1154878548.docx::T3R405C1.1</x:v>
      </x:c>
      <x:c r="O116" s="39"/>
    </x:row>
    <x:row r="117">
      <x:c r="A117" s="34" t="str">
        <x:v>☐</x:v>
      </x:c>
      <x:c r="B117" s="34" t="str">
        <x:v>EX-0089</x:v>
      </x:c>
      <x:c r="C117" s="34" t="str">
        <x:v>85</x:v>
      </x:c>
      <x:c r="D117" s="34" t="str">
        <x:v>UNMAPPED</x:v>
      </x:c>
      <x:c r="E117" s="34" t="str">
        <x:v>60.0</x:v>
      </x:c>
      <x:c r="F117" s="34" t="str">
        <x:v>MI-0716</x:v>
      </x:c>
      <x:c r="G117" s="39" t="str">
        <x:v>یونیت ps5</x:v>
      </x:c>
      <x:c r="H117" s="39" t="str">
        <x:v>H11</x:v>
      </x:c>
      <x:c r="I117" s="39" t="str">
        <x:v>DELEGATE/P2</x:v>
      </x:c>
      <x:c r="J117" s="39" t="str">
        <x:v>STRUCT</x:v>
      </x:c>
      <x:c r="K117" s="39" t="str">
        <x:v>ساختار/برچسب</x:v>
      </x:c>
      <x:c r="L117" s="39"/>
      <x:c r="M117" s="39"/>
      <x:c r="N117" s="39" t="str">
        <x:v>برنامه زندگی.docx::T1R408C1.1 | 1154878548.docx::T1R117C1.1 | 1154878548.docx::T3R408C1.1</x:v>
      </x:c>
      <x:c r="O117" s="39"/>
    </x:row>
    <x:row r="118">
      <x:c r="A118" s="34" t="str">
        <x:v>☐</x:v>
      </x:c>
      <x:c r="B118" s="34" t="str">
        <x:v>EX-0090</x:v>
      </x:c>
      <x:c r="C118" s="34" t="str">
        <x:v>86</x:v>
      </x:c>
      <x:c r="D118" s="34" t="str">
        <x:v>UNMAPPED</x:v>
      </x:c>
      <x:c r="E118" s="34" t="str">
        <x:v>60.0</x:v>
      </x:c>
      <x:c r="F118" s="34" t="str">
        <x:v>MI-0522</x:v>
      </x:c>
      <x:c r="G118" s="39" t="str">
        <x:v>قطعنامه 2030 - 598</x:v>
      </x:c>
      <x:c r="H118" s="39" t="str">
        <x:v>H18</x:v>
      </x:c>
      <x:c r="I118" s="39" t="str">
        <x:v>BANK</x:v>
      </x:c>
      <x:c r="J118" s="39" t="str">
        <x:v>STRUCT</x:v>
      </x:c>
      <x:c r="K118" s="39" t="str">
        <x:v>ساختار/برچسب</x:v>
      </x:c>
      <x:c r="L118" s="39"/>
      <x:c r="M118" s="39"/>
      <x:c r="N118" s="39" t="str">
        <x:v>برنامه زندگی.docx::T1R410C1.1 | 1154878548.docx::T1R118C1.1 | 1154878548.docx::T3R410C1.1</x:v>
      </x:c>
      <x:c r="O118" s="39"/>
    </x:row>
    <x:row r="119">
      <x:c r="A119" s="34" t="str">
        <x:v>☐</x:v>
      </x:c>
      <x:c r="B119" s="34" t="str">
        <x:v>EX-0091</x:v>
      </x:c>
      <x:c r="C119" s="34" t="str">
        <x:v>87</x:v>
      </x:c>
      <x:c r="D119" s="34" t="str">
        <x:v>UNMAPPED</x:v>
      </x:c>
      <x:c r="E119" s="34" t="str">
        <x:v>60.0</x:v>
      </x:c>
      <x:c r="F119" s="34" t="str">
        <x:v>MI-0522</x:v>
      </x:c>
      <x:c r="G119" s="39" t="str">
        <x:v>قطعنامه 2030 - 598</x:v>
      </x:c>
      <x:c r="H119" s="39" t="str">
        <x:v>H18</x:v>
      </x:c>
      <x:c r="I119" s="39" t="str">
        <x:v>BANK</x:v>
      </x:c>
      <x:c r="J119" s="39" t="str">
        <x:v>STRUCT</x:v>
      </x:c>
      <x:c r="K119" s="39" t="str">
        <x:v>ساختار/برچسب</x:v>
      </x:c>
      <x:c r="L119" s="39"/>
      <x:c r="M119" s="39"/>
      <x:c r="N119" s="39" t="str">
        <x:v>برنامه زندگی.docx::T1R412C1.1 | 1154878548.docx::T1R119C1.1 | 1154878548.docx::T3R412C1.1</x:v>
      </x:c>
      <x:c r="O119" s="39"/>
    </x:row>
    <x:row r="120">
      <x:c r="A120" s="34" t="str">
        <x:v>☐</x:v>
      </x:c>
      <x:c r="B120" s="34" t="str">
        <x:v>EX-0092</x:v>
      </x:c>
      <x:c r="C120" s="34" t="str">
        <x:v>88</x:v>
      </x:c>
      <x:c r="D120" s="34" t="str">
        <x:v>UNMAPPED</x:v>
      </x:c>
      <x:c r="E120" s="34" t="str">
        <x:v>60.0</x:v>
      </x:c>
      <x:c r="F120" s="34" t="str">
        <x:v>MI-0522</x:v>
      </x:c>
      <x:c r="G120" s="39" t="str">
        <x:v>قطعنامه 2030 - 598</x:v>
      </x:c>
      <x:c r="H120" s="39" t="str">
        <x:v>H18</x:v>
      </x:c>
      <x:c r="I120" s="39" t="str">
        <x:v>BANK</x:v>
      </x:c>
      <x:c r="J120" s="39" t="str">
        <x:v>STRUCT</x:v>
      </x:c>
      <x:c r="K120" s="39" t="str">
        <x:v>ساختار/برچسب</x:v>
      </x:c>
      <x:c r="L120" s="39"/>
      <x:c r="M120" s="39"/>
      <x:c r="N120" s="39" t="str">
        <x:v>برنامه زندگی.docx::T1R414C1.1 | 1154878548.docx::T1R120C1.1 | 1154878548.docx::T3R414C1.1</x:v>
      </x:c>
      <x:c r="O120" s="39"/>
    </x:row>
    <x:row r="121">
      <x:c r="A121" s="34" t="str">
        <x:v>☐</x:v>
      </x:c>
      <x:c r="B121" s="34" t="str">
        <x:v>EX-0093</x:v>
      </x:c>
      <x:c r="C121" s="34" t="str">
        <x:v>89</x:v>
      </x:c>
      <x:c r="D121" s="34" t="str">
        <x:v>UNMAPPED</x:v>
      </x:c>
      <x:c r="E121" s="34" t="str">
        <x:v>60.0</x:v>
      </x:c>
      <x:c r="F121" s="34" t="str">
        <x:v>MI-0522</x:v>
      </x:c>
      <x:c r="G121" s="39" t="str">
        <x:v>قطعنامه 2030 - 598</x:v>
      </x:c>
      <x:c r="H121" s="39" t="str">
        <x:v>H18</x:v>
      </x:c>
      <x:c r="I121" s="39" t="str">
        <x:v>BANK</x:v>
      </x:c>
      <x:c r="J121" s="39" t="str">
        <x:v>STRUCT</x:v>
      </x:c>
      <x:c r="K121" s="39" t="str">
        <x:v>ساختار/برچسب</x:v>
      </x:c>
      <x:c r="L121" s="39"/>
      <x:c r="M121" s="39"/>
      <x:c r="N121" s="39" t="str">
        <x:v>برنامه زندگی.docx::T1R416C1.1 | 1154878548.docx::T1R121C1.1 | 1154878548.docx::T3R416C1.1</x:v>
      </x:c>
      <x:c r="O121" s="39"/>
    </x:row>
    <x:row r="122">
      <x:c r="A122" s="34" t="str">
        <x:v>☐</x:v>
      </x:c>
      <x:c r="B122" s="34" t="str">
        <x:v>EX-0094</x:v>
      </x:c>
      <x:c r="C122" s="34" t="str">
        <x:v>90</x:v>
      </x:c>
      <x:c r="D122" s="34" t="str">
        <x:v>UNMAPPED</x:v>
      </x:c>
      <x:c r="E122" s="34" t="str">
        <x:v>60.0</x:v>
      </x:c>
      <x:c r="F122" s="34" t="str">
        <x:v>MI-1448</x:v>
      </x:c>
      <x:c r="G122" s="39" t="str">
        <x:v>پول هییت قبلا چوقدر هست دست من؟؟؟ قبلا 4,290 بوده . چقدر به سید دادم.</x:v>
      </x:c>
      <x:c r="H122" s="39" t="str">
        <x:v>H1</x:v>
      </x:c>
      <x:c r="I122" s="39" t="str">
        <x:v>P0</x:v>
      </x:c>
      <x:c r="J122" s="39" t="str">
        <x:v>STRUCT</x:v>
      </x:c>
      <x:c r="K122" s="39" t="str">
        <x:v>ساختار/برچسب</x:v>
      </x:c>
      <x:c r="L122" s="39"/>
      <x:c r="M122" s="39"/>
      <x:c r="N122" s="39" t="str">
        <x:v>برنامه زندگی.docx::T1R418C1.1 | 1154878548.docx::T1R122C1.1 | 1154878548.docx::T3R418C1.1</x:v>
      </x:c>
      <x:c r="O122" s="39"/>
    </x:row>
    <x:row r="123">
      <x:c r="A123" s="34" t="str">
        <x:v>☐</x:v>
      </x:c>
      <x:c r="B123" s="34" t="str">
        <x:v>EX-0095</x:v>
      </x:c>
      <x:c r="C123" s="34" t="str">
        <x:v>سیاسی</x:v>
      </x:c>
      <x:c r="D123" s="34" t="str">
        <x:v>POSSIBLE</x:v>
      </x:c>
      <x:c r="E123" s="34" t="str">
        <x:v>90.0</x:v>
      </x:c>
      <x:c r="F123" s="34" t="str">
        <x:v>MI-0287</x:v>
      </x:c>
      <x:c r="G123" s="39" t="str">
        <x:v>مطالعه سیاسی</x:v>
      </x:c>
      <x:c r="H123" s="39" t="str">
        <x:v>H15</x:v>
      </x:c>
      <x:c r="I123" s="39" t="str">
        <x:v>BANK</x:v>
      </x:c>
      <x:c r="J123" s="39" t="str">
        <x:v>H15</x:v>
      </x:c>
      <x:c r="K123" s="39" t="str">
        <x:v>تطبیق احتمالی با پایه</x:v>
      </x:c>
      <x:c r="L123" s="39" t="str">
        <x:v>MI-0287</x:v>
      </x:c>
      <x:c r="M123" s="39" t="str">
        <x:v>مطالعه سیاسی</x:v>
      </x:c>
      <x:c r="N123" s="39" t="str">
        <x:v>همه برنامه ها.docx::P:58:1 | همه برنامه ها.docx::P:1310:1 | همه برنامه ها.docx2.docx::P58.1 | همه برنامه ها.docx2.docx::P1310.1 | _normalized_all_programs.docx::P58.1 | _normalized_all_programs.docx::P1310.1 | 1154878548.docx::P56.1 | 1154878548.docx::P713.1 | 1154878548.docx::P2424.1 | 1154878548.docx::P3483.1 | 1154878548.docx::P4711.1 | 1154878548.docx::P4873.1 | 1154878548.docx::P6127.1</x:v>
      </x:c>
      <x:c r="O123" s="39"/>
    </x:row>
    <x:row r="124">
      <x:c r="A124" s="34" t="str">
        <x:v>☐</x:v>
      </x:c>
      <x:c r="B124" s="34" t="str">
        <x:v>EX-0096</x:v>
      </x:c>
      <x:c r="C124" s="34" t="str">
        <x:v>_______________</x:v>
      </x:c>
      <x:c r="D124" s="34" t="str">
        <x:v>UNMAPPED</x:v>
      </x:c>
      <x:c r="E124" s="34" t="str">
        <x:v>12.1</x:v>
      </x:c>
      <x:c r="F124" s="34" t="str">
        <x:v>MI-1624</x:v>
      </x:c>
      <x:c r="G124" s="39" t="str">
        <x:v>thumb_upthumb_down</x:v>
      </x:c>
      <x:c r="H124" s="39" t="str">
        <x:v>H20</x:v>
      </x:c>
      <x:c r="I124" s="39" t="str">
        <x:v>P3/CLARIFY</x:v>
      </x:c>
      <x:c r="J124" s="39" t="str">
        <x:v>H23</x:v>
      </x:c>
      <x:c r="K124" s="39" t="str">
        <x:v>نیازمند پالایش؛ حذف نشده</x:v>
      </x:c>
      <x:c r="L124" s="39"/>
      <x:c r="M124" s="39"/>
      <x:c r="N124" s="39" t="str">
        <x:v>همه برنامه ها.docx::P:70:1 | همه برنامه ها.docx2.docx::P70.1 | _normalized_all_programs.docx::P70.1 | 1154878548.docx::P8.1 | 1154878548.docx::P4885.1</x:v>
      </x:c>
      <x:c r="O124" s="39"/>
    </x:row>
    <x:row r="125">
      <x:c r="A125" s="34" t="str">
        <x:v>☐</x:v>
      </x:c>
      <x:c r="B125" s="34" t="str">
        <x:v>EX-0097</x:v>
      </x:c>
      <x:c r="C125" s="34" t="str">
        <x:v>دفتر هیئت:</x:v>
      </x:c>
      <x:c r="D125" s="34" t="str">
        <x:v>POSSIBLE</x:v>
      </x:c>
      <x:c r="E125" s="34" t="str">
        <x:v>88.9</x:v>
      </x:c>
      <x:c r="F125" s="34" t="str">
        <x:v>MI-0308</x:v>
      </x:c>
      <x:c r="G125" s="39" t="str">
        <x:v>دفتر هییت:</x:v>
      </x:c>
      <x:c r="H125" s="39" t="str">
        <x:v>H15</x:v>
      </x:c>
      <x:c r="I125" s="39" t="str">
        <x:v>P3/CLARIFY</x:v>
      </x:c>
      <x:c r="J125" s="39" t="str">
        <x:v>H15</x:v>
      </x:c>
      <x:c r="K125" s="39" t="str">
        <x:v>تطبیق احتمالی با پایه</x:v>
      </x:c>
      <x:c r="L125" s="39" t="str">
        <x:v>MI-0308</x:v>
      </x:c>
      <x:c r="M125" s="39" t="str">
        <x:v>دفتر هییت:</x:v>
      </x:c>
      <x:c r="N125" s="39" t="str">
        <x:v>همه برنامه ها.docx::P:80:1 | همه برنامه ها.docx2.docx::P80.1 | _normalized_all_programs.docx::P80.1 | 1154878548.docx::P18.1 | 1154878548.docx::P4895.1</x:v>
      </x:c>
      <x:c r="O125" s="39"/>
    </x:row>
    <x:row r="126">
      <x:c r="A126" s="34" t="str">
        <x:v>☐</x:v>
      </x:c>
      <x:c r="B126" s="34" t="str">
        <x:v>EX-0098</x:v>
      </x:c>
      <x:c r="C126" s="34" t="str">
        <x:v>غائله ختم شد</x:v>
      </x:c>
      <x:c r="D126" s="34" t="str">
        <x:v>POSSIBLE</x:v>
      </x:c>
      <x:c r="E126" s="34" t="str">
        <x:v>91.7</x:v>
      </x:c>
      <x:c r="F126" s="34" t="str">
        <x:v>MI-0354</x:v>
      </x:c>
      <x:c r="G126" s="39" t="str">
        <x:v>غایله ختم شد</x:v>
      </x:c>
      <x:c r="H126" s="39" t="str">
        <x:v>H18</x:v>
      </x:c>
      <x:c r="I126" s="39" t="str">
        <x:v>P3/CLARIFY</x:v>
      </x:c>
      <x:c r="J126" s="39" t="str">
        <x:v>H18</x:v>
      </x:c>
      <x:c r="K126" s="39" t="str">
        <x:v>تطبیق احتمالی با پایه</x:v>
      </x:c>
      <x:c r="L126" s="39" t="str">
        <x:v>MI-0354</x:v>
      </x:c>
      <x:c r="M126" s="39" t="str">
        <x:v>غایله ختم شد</x:v>
      </x:c>
      <x:c r="N126" s="39" t="str">
        <x:v>همه برنامه ها.docx::P:133:1 | همه برنامه ها.docx2.docx::P133.1 | _normalized_all_programs.docx::P133.1 | 1154878548.docx::P2235.1 | 1154878548.docx::P4948.1</x:v>
      </x:c>
      <x:c r="O126" s="39"/>
    </x:row>
    <x:row r="127">
      <x:c r="A127" s="34" t="str">
        <x:v>☐</x:v>
      </x:c>
      <x:c r="B127" s="34" t="str">
        <x:v>EX-0099</x:v>
      </x:c>
      <x:c r="C127" s="34" t="str">
        <x:v>بچه های گردان لشکر ۲۵</x:v>
      </x:c>
      <x:c r="D127" s="34" t="str">
        <x:v>POSSIBLE</x:v>
      </x:c>
      <x:c r="E127" s="34" t="str">
        <x:v>90.5</x:v>
      </x:c>
      <x:c r="F127" s="34" t="str">
        <x:v>MI-0435</x:v>
      </x:c>
      <x:c r="G127" s="39" t="str">
        <x:v>بچه های گردان لشکر 25</x:v>
      </x:c>
      <x:c r="H127" s="39" t="str">
        <x:v>H18</x:v>
      </x:c>
      <x:c r="I127" s="39" t="str">
        <x:v>BANK</x:v>
      </x:c>
      <x:c r="J127" s="39" t="str">
        <x:v>H18</x:v>
      </x:c>
      <x:c r="K127" s="39" t="str">
        <x:v>تطبیق احتمالی با پایه</x:v>
      </x:c>
      <x:c r="L127" s="39" t="str">
        <x:v>MI-0435</x:v>
      </x:c>
      <x:c r="M127" s="39" t="str">
        <x:v>بچه های گردان لشکر 25</x:v>
      </x:c>
      <x:c r="N127" s="39" t="str">
        <x:v>همه برنامه ها.docx::P:219:1 | همه برنامه ها.docx2.docx::P219.1 | _normalized_all_programs.docx::P219.1 | 1154878548.docx::P549.1 | 1154878548.docx::P2572.1 | 1154878548.docx::P5034.1</x:v>
      </x:c>
      <x:c r="O127" s="39"/>
    </x:row>
    <x:row r="128">
      <x:c r="A128" s="34" t="str">
        <x:v>☐</x:v>
      </x:c>
      <x:c r="B128" s="34" t="str">
        <x:v>EX-0100</x:v>
      </x:c>
      <x:c r="C128" s="34" t="str">
        <x:v>رشد و حرکت صفائی حائری</x:v>
      </x:c>
      <x:c r="D128" s="34" t="str">
        <x:v>POSSIBLE</x:v>
      </x:c>
      <x:c r="E128" s="34" t="str">
        <x:v>90.9</x:v>
      </x:c>
      <x:c r="F128" s="34" t="str">
        <x:v>MI-0551</x:v>
      </x:c>
      <x:c r="G128" s="39" t="str">
        <x:v>رشد و حرکت صفایی حایری</x:v>
      </x:c>
      <x:c r="H128" s="39" t="str">
        <x:v>H18</x:v>
      </x:c>
      <x:c r="I128" s="39" t="str">
        <x:v>BANK</x:v>
      </x:c>
      <x:c r="J128" s="39" t="str">
        <x:v>H18</x:v>
      </x:c>
      <x:c r="K128" s="39" t="str">
        <x:v>تطبیق احتمالی با پایه</x:v>
      </x:c>
      <x:c r="L128" s="39" t="str">
        <x:v>MI-0551</x:v>
      </x:c>
      <x:c r="M128" s="39" t="str">
        <x:v>رشد و حرکت صفایی حایری</x:v>
      </x:c>
      <x:c r="N128" s="39" t="str">
        <x:v>همه برنامه ها.docx::P:337:1 | همه برنامه ها.docx2.docx::P337.1 | _normalized_all_programs.docx::P337.1 | 1154878548.docx::P762.1 | 1154878548.docx::P1460.1 | 1154878548.docx::P2678.1 | 1154878548.docx::P5152.1</x:v>
      </x:c>
      <x:c r="O128" s="39"/>
    </x:row>
    <x:row r="129">
      <x:c r="A129" s="34" t="str">
        <x:v>☐</x:v>
      </x:c>
      <x:c r="B129" s="34" t="str">
        <x:v>EX-0101</x:v>
      </x:c>
      <x:c r="C129" s="34" t="str">
        <x:v>کف خیابون ۱ و ۲</x:v>
      </x:c>
      <x:c r="D129" s="34" t="str">
        <x:v>POSSIBLE</x:v>
      </x:c>
      <x:c r="E129" s="34" t="str">
        <x:v>86.7</x:v>
      </x:c>
      <x:c r="F129" s="34" t="str">
        <x:v>MI-0564</x:v>
      </x:c>
      <x:c r="G129" s="39" t="str">
        <x:v>کف خیابون 1 و 2</x:v>
      </x:c>
      <x:c r="H129" s="39" t="str">
        <x:v>H18</x:v>
      </x:c>
      <x:c r="I129" s="39" t="str">
        <x:v>BANK</x:v>
      </x:c>
      <x:c r="J129" s="39" t="str">
        <x:v>H18</x:v>
      </x:c>
      <x:c r="K129" s="39" t="str">
        <x:v>تطبیق احتمالی با پایه</x:v>
      </x:c>
      <x:c r="L129" s="39" t="str">
        <x:v>MI-0564</x:v>
      </x:c>
      <x:c r="M129" s="39" t="str">
        <x:v>کف خیابون 1 و 2</x:v>
      </x:c>
      <x:c r="N129" s="39" t="str">
        <x:v>همه برنامه ها.docx::P:350:1 | همه برنامه ها.docx2.docx::P350.1 | _normalized_all_programs.docx::P350.1 | 1154878548.docx::P774.1 | 1154878548.docx::P2691.1 | 1154878548.docx::P5165.1</x:v>
      </x:c>
      <x:c r="O129" s="39"/>
    </x:row>
    <x:row r="130">
      <x:c r="A130" s="34" t="str">
        <x:v>☐</x:v>
      </x:c>
      <x:c r="B130" s="34" t="str">
        <x:v>EX-0102</x:v>
      </x:c>
      <x:c r="C130" s="34" t="str">
        <x:v>مسئول اجرایی</x:v>
      </x:c>
      <x:c r="D130" s="34" t="str">
        <x:v>POSSIBLE</x:v>
      </x:c>
      <x:c r="E130" s="34" t="str">
        <x:v>91.7</x:v>
      </x:c>
      <x:c r="F130" s="34" t="str">
        <x:v>MI-0641</x:v>
      </x:c>
      <x:c r="G130" s="39" t="str">
        <x:v>مسیول اجرایی</x:v>
      </x:c>
      <x:c r="H130" s="39" t="str">
        <x:v>H11</x:v>
      </x:c>
      <x:c r="I130" s="39" t="str">
        <x:v>DELEGATE/P2</x:v>
      </x:c>
      <x:c r="J130" s="39" t="str">
        <x:v>H11</x:v>
      </x:c>
      <x:c r="K130" s="39" t="str">
        <x:v>تطبیق احتمالی با پایه</x:v>
      </x:c>
      <x:c r="L130" s="39" t="str">
        <x:v>MI-0641</x:v>
      </x:c>
      <x:c r="M130" s="39" t="str">
        <x:v>مسیول اجرایی</x:v>
      </x:c>
      <x:c r="N130" s="39" t="str">
        <x:v>همه برنامه ها.docx::P:428:1 | همه برنامه ها.docx2.docx::P428.1 | _normalized_all_programs.docx::P428.1 | 1154878548.docx::P2773.1 | 1154878548.docx::P5243.1</x:v>
      </x:c>
      <x:c r="O130" s="39"/>
    </x:row>
    <x:row r="131">
      <x:c r="A131" s="34" t="str">
        <x:v>☐</x:v>
      </x:c>
      <x:c r="B131" s="34" t="str">
        <x:v>EX-0103</x:v>
      </x:c>
      <x:c r="C131" s="34" t="str">
        <x:v>مسئول دفتر</x:v>
      </x:c>
      <x:c r="D131" s="34" t="str">
        <x:v>POSSIBLE</x:v>
      </x:c>
      <x:c r="E131" s="34" t="str">
        <x:v>90.0</x:v>
      </x:c>
      <x:c r="F131" s="34" t="str">
        <x:v>MI-0642</x:v>
      </x:c>
      <x:c r="G131" s="39" t="str">
        <x:v>مسیول دفتر</x:v>
      </x:c>
      <x:c r="H131" s="39" t="str">
        <x:v>H11</x:v>
      </x:c>
      <x:c r="I131" s="39" t="str">
        <x:v>DELEGATE/P2</x:v>
      </x:c>
      <x:c r="J131" s="39" t="str">
        <x:v>H11</x:v>
      </x:c>
      <x:c r="K131" s="39" t="str">
        <x:v>تطبیق احتمالی با پایه</x:v>
      </x:c>
      <x:c r="L131" s="39" t="str">
        <x:v>MI-0642</x:v>
      </x:c>
      <x:c r="M131" s="39" t="str">
        <x:v>مسیول دفتر</x:v>
      </x:c>
      <x:c r="N131" s="39" t="str">
        <x:v>همه برنامه ها.docx::P:429:1 | همه برنامه ها.docx2.docx::P429.1 | _normalized_all_programs.docx::P429.1 | 1154878548.docx::P2774.1 | 1154878548.docx::P5244.1</x:v>
      </x:c>
      <x:c r="O131" s="39"/>
    </x:row>
    <x:row r="132">
      <x:c r="A132" s="34" t="str">
        <x:v>☐</x:v>
      </x:c>
      <x:c r="B132" s="34" t="str">
        <x:v>EX-0104</x:v>
      </x:c>
      <x:c r="C132" s="34" t="str">
        <x:v>مسئول سراج</x:v>
      </x:c>
      <x:c r="D132" s="34" t="str">
        <x:v>POSSIBLE</x:v>
      </x:c>
      <x:c r="E132" s="34" t="str">
        <x:v>90.0</x:v>
      </x:c>
      <x:c r="F132" s="34" t="str">
        <x:v>MI-0650</x:v>
      </x:c>
      <x:c r="G132" s="39" t="str">
        <x:v>مسیول سراج</x:v>
      </x:c>
      <x:c r="H132" s="39" t="str">
        <x:v>H11</x:v>
      </x:c>
      <x:c r="I132" s="39" t="str">
        <x:v>DELEGATE/P2</x:v>
      </x:c>
      <x:c r="J132" s="39" t="str">
        <x:v>H11</x:v>
      </x:c>
      <x:c r="K132" s="39" t="str">
        <x:v>تطبیق احتمالی با پایه</x:v>
      </x:c>
      <x:c r="L132" s="39" t="str">
        <x:v>MI-0650</x:v>
      </x:c>
      <x:c r="M132" s="39" t="str">
        <x:v>مسیول سراج</x:v>
      </x:c>
      <x:c r="N132" s="39" t="str">
        <x:v>همه برنامه ها.docx::P:437:1 | همه برنامه ها.docx2.docx::P437.1 | _normalized_all_programs.docx::P437.1 | 1154878548.docx::P136.1 | 1154878548.docx::P2782.1 | 1154878548.docx::P5252.1</x:v>
      </x:c>
      <x:c r="O132" s="39"/>
    </x:row>
    <x:row r="133">
      <x:c r="A133" s="34" t="str">
        <x:v>☐</x:v>
      </x:c>
      <x:c r="B133" s="34" t="str">
        <x:v>EX-0105</x:v>
      </x:c>
      <x:c r="C133" s="34" t="str">
        <x:v>آقای غائبی</x:v>
      </x:c>
      <x:c r="D133" s="34" t="str">
        <x:v>POSSIBLE</x:v>
      </x:c>
      <x:c r="E133" s="34" t="str">
        <x:v>90.0</x:v>
      </x:c>
      <x:c r="F133" s="34" t="str">
        <x:v>MI-0741</x:v>
      </x:c>
      <x:c r="G133" s="39" t="str">
        <x:v>آقای غایبی</x:v>
      </x:c>
      <x:c r="H133" s="39" t="str">
        <x:v>H14</x:v>
      </x:c>
      <x:c r="I133" s="39" t="str">
        <x:v>P3</x:v>
      </x:c>
      <x:c r="J133" s="39" t="str">
        <x:v>H14</x:v>
      </x:c>
      <x:c r="K133" s="39" t="str">
        <x:v>تطبیق احتمالی با پایه</x:v>
      </x:c>
      <x:c r="L133" s="39" t="str">
        <x:v>MI-0741</x:v>
      </x:c>
      <x:c r="M133" s="39" t="str">
        <x:v>آقای غایبی</x:v>
      </x:c>
      <x:c r="N133" s="39" t="str">
        <x:v>همه برنامه ها.docx::P:532:1 | همه برنامه ها.docx2.docx::P532.1 | _normalized_all_programs.docx::P532.1 | 1154878548.docx::P174.1 | 1154878548.docx::P2878.1 | 1154878548.docx::P5347.1</x:v>
      </x:c>
      <x:c r="O133" s="39"/>
    </x:row>
    <x:row r="134">
      <x:c r="A134" s="34" t="str">
        <x:v>☐</x:v>
      </x:c>
      <x:c r="B134" s="34" t="str">
        <x:v>EX-0106</x:v>
      </x:c>
      <x:c r="C134" s="34" t="str">
        <x:v>نشست هیئت رئیسه با دانشجویان</x:v>
      </x:c>
      <x:c r="D134" s="34" t="str">
        <x:v>POSSIBLE</x:v>
      </x:c>
      <x:c r="E134" s="34" t="str">
        <x:v>92.9</x:v>
      </x:c>
      <x:c r="F134" s="34" t="str">
        <x:v>MI-0889</x:v>
      </x:c>
      <x:c r="G134" s="39" t="str">
        <x:v>نشست هییت رییسه با دانشجویان</x:v>
      </x:c>
      <x:c r="H134" s="39" t="str">
        <x:v>H11</x:v>
      </x:c>
      <x:c r="I134" s="39" t="str">
        <x:v>DELEGATE/P2</x:v>
      </x:c>
      <x:c r="J134" s="39" t="str">
        <x:v>H11</x:v>
      </x:c>
      <x:c r="K134" s="39" t="str">
        <x:v>تطبیق احتمالی با پایه</x:v>
      </x:c>
      <x:c r="L134" s="39" t="str">
        <x:v>MI-0889</x:v>
      </x:c>
      <x:c r="M134" s="39" t="str">
        <x:v>نشست هییت رییسه با دانشجویان</x:v>
      </x:c>
      <x:c r="N134" s="39" t="str">
        <x:v>همه برنامه ها.docx::P:698:1 | همه برنامه ها.docx2.docx::P698.1 | _normalized_all_programs.docx::P698.1 | 1154878548.docx::P255.1 | 1154878548.docx::P1410.1 | 1154878548.docx::P3046.1 | 1154878548.docx::P5513.1</x:v>
      </x:c>
      <x:c r="O134" s="39"/>
    </x:row>
    <x:row r="135">
      <x:c r="A135" s="34" t="str">
        <x:v>☐</x:v>
      </x:c>
      <x:c r="B135" s="34" t="str">
        <x:v>EX-0107</x:v>
      </x:c>
      <x:c r="C135" s="34" t="str">
        <x:v>هیئت:</x:v>
      </x:c>
      <x:c r="D135" s="34" t="str">
        <x:v>UNMAPPED</x:v>
      </x:c>
      <x:c r="E135" s="34" t="str">
        <x:v>75.0</x:v>
      </x:c>
      <x:c r="F135" s="34" t="str">
        <x:v>MI-1115</x:v>
      </x:c>
      <x:c r="G135" s="39" t="str">
        <x:v>هییت:</x:v>
      </x:c>
      <x:c r="H135" s="39" t="str">
        <x:v>H15</x:v>
      </x:c>
      <x:c r="I135" s="39" t="str">
        <x:v>P3/CLARIFY</x:v>
      </x:c>
      <x:c r="J135" s="39" t="str">
        <x:v>H23</x:v>
      </x:c>
      <x:c r="K135" s="39" t="str">
        <x:v>نیازمند پالایش؛ حذف نشده</x:v>
      </x:c>
      <x:c r="L135" s="39"/>
      <x:c r="M135" s="39"/>
      <x:c r="N135" s="39" t="str">
        <x:v>همه برنامه ها.docx::P:963:1 | همه برنامه ها.docx2.docx::P963.1 | _normalized_all_programs.docx::P963.1 | 1154878548.docx::P604.1 | 1154878548.docx::P970.1 | 1154878548.docx::P3316.1 | 1154878548.docx::P5778.1</x:v>
      </x:c>
      <x:c r="O135" s="39"/>
    </x:row>
    <x:row r="136">
      <x:c r="A136" s="34" t="str">
        <x:v>☐</x:v>
      </x:c>
      <x:c r="B136" s="34" t="str">
        <x:v>EX-0108</x:v>
      </x:c>
      <x:c r="C136" s="34" t="str">
        <x:v>http://eslamenaab.ir</x:v>
      </x:c>
      <x:c r="D136" s="34" t="str">
        <x:v>NOISE</x:v>
      </x:c>
      <x:c r="E136" s="34" t="str">
        <x:v>0</x:v>
      </x:c>
      <x:c r="F136" s="34"/>
      <x:c r="G136" s="39"/>
      <x:c r="H136" s="39"/>
      <x:c r="I136" s="39"/>
      <x:c r="J136" s="39" t="str">
        <x:v>STRUCT</x:v>
      </x:c>
      <x:c r="K136" s="39" t="str">
        <x:v>ساختار/برچسب</x:v>
      </x:c>
      <x:c r="L136" s="39"/>
      <x:c r="M136" s="39"/>
      <x:c r="N136" s="39" t="str">
        <x:v>همه برنامه ها.docx::P:974:1 | همه برنامه ها.docx2.docx::P974.1 | _normalized_all_programs.docx::P974.1 | 1154878548.docx::P615.1 | 1154878548.docx::P3327.1 | 1154878548.docx::P5789.1</x:v>
      </x:c>
      <x:c r="O136" s="39"/>
    </x:row>
    <x:row r="137">
      <x:c r="A137" s="34" t="str">
        <x:v>☐</x:v>
      </x:c>
      <x:c r="B137" s="34" t="str">
        <x:v>EX-0109</x:v>
      </x:c>
      <x:c r="C137" s="34" t="str">
        <x:v>رئیسی</x:v>
      </x:c>
      <x:c r="D137" s="34" t="str">
        <x:v>UNMAPPED</x:v>
      </x:c>
      <x:c r="E137" s="34" t="str">
        <x:v>80.0</x:v>
      </x:c>
      <x:c r="F137" s="34" t="str">
        <x:v>MI-1167</x:v>
      </x:c>
      <x:c r="G137" s="39" t="str">
        <x:v>رییسی</x:v>
      </x:c>
      <x:c r="H137" s="39" t="str">
        <x:v>H13</x:v>
      </x:c>
      <x:c r="I137" s="39" t="str">
        <x:v>P2</x:v>
      </x:c>
      <x:c r="J137" s="39" t="str">
        <x:v>H23</x:v>
      </x:c>
      <x:c r="K137" s="39" t="str">
        <x:v>نیازمند پالایش؛ حذف نشده</x:v>
      </x:c>
      <x:c r="L137" s="39"/>
      <x:c r="M137" s="39"/>
      <x:c r="N137" s="39" t="str">
        <x:v>همه برنامه ها.docx::P:1020:1 | همه برنامه ها.docx2.docx::P1020.1 | _normalized_all_programs.docx::P1020.1 | 1154878548.docx::P657.1 | 1154878548.docx::P3379.1 | 1154878548.docx::P5836.1</x:v>
      </x:c>
      <x:c r="O137" s="39"/>
    </x:row>
    <x:row r="138">
      <x:c r="A138" s="34" t="str">
        <x:v>☐</x:v>
      </x:c>
      <x:c r="B138" s="34" t="str">
        <x:v>EX-0110</x:v>
      </x:c>
      <x:c r="C138" s="34" t="str">
        <x:v>دورچین</x:v>
      </x:c>
      <x:c r="D138" s="34" t="str">
        <x:v>POSSIBLE</x:v>
      </x:c>
      <x:c r="E138" s="34" t="str">
        <x:v>90.0</x:v>
      </x:c>
      <x:c r="F138" s="34" t="str">
        <x:v>MI-0782</x:v>
      </x:c>
      <x:c r="G138" s="39" t="str">
        <x:v>- یادآوری غذای هفته با نمایش دورچین</x:v>
      </x:c>
      <x:c r="H138" s="39" t="str">
        <x:v>H11</x:v>
      </x:c>
      <x:c r="I138" s="39" t="str">
        <x:v>DELEGATE/P2</x:v>
      </x:c>
      <x:c r="J138" s="39" t="str">
        <x:v>H11</x:v>
      </x:c>
      <x:c r="K138" s="39" t="str">
        <x:v>تطبیق احتمالی با پایه</x:v>
      </x:c>
      <x:c r="L138" s="39" t="str">
        <x:v>MI-0782</x:v>
      </x:c>
      <x:c r="M138" s="39" t="str">
        <x:v>- یادآوری غذای هفته با نمایش دورچین</x:v>
      </x:c>
      <x:c r="N138" s="39" t="str">
        <x:v>همه برنامه ها.docx::P:1059:1 | همه برنامه ها.docx2.docx::P1059.1 | _normalized_all_programs.docx::P1059.1 | 1154878548.docx::P699.1 | 1154878548.docx::P3423.1 | 1154878548.docx::P5877.1</x:v>
      </x:c>
      <x:c r="O138" s="39"/>
    </x:row>
    <x:row r="139">
      <x:c r="A139" s="34" t="str">
        <x:v>☐</x:v>
      </x:c>
      <x:c r="B139" s="34" t="str">
        <x:v>EX-0111</x:v>
      </x:c>
      <x:c r="C139" s="34" t="str">
        <x:v>قضائی</x:v>
      </x:c>
      <x:c r="D139" s="34" t="str">
        <x:v>UNMAPPED</x:v>
      </x:c>
      <x:c r="E139" s="34" t="str">
        <x:v>80.0</x:v>
      </x:c>
      <x:c r="F139" s="34" t="str">
        <x:v>MI-1306</x:v>
      </x:c>
      <x:c r="G139" s="39" t="str">
        <x:v>قضایی</x:v>
      </x:c>
      <x:c r="H139" s="39" t="str">
        <x:v>H12</x:v>
      </x:c>
      <x:c r="I139" s="39" t="str">
        <x:v>P2</x:v>
      </x:c>
      <x:c r="J139" s="39" t="str">
        <x:v>H23</x:v>
      </x:c>
      <x:c r="K139" s="39" t="str">
        <x:v>نیازمند پالایش؛ حذف نشده</x:v>
      </x:c>
      <x:c r="L139" s="39"/>
      <x:c r="M139" s="39"/>
      <x:c r="N139" s="39" t="str">
        <x:v>همه برنامه ها.docx::P:1198:1 | همه برنامه ها.docx2.docx::P1198.1 | _normalized_all_programs.docx::P1198.1 | 1154878548.docx::P3599.1 | 1154878548.docx::P6015.1 | 1154878548.docx::P7176.1</x:v>
      </x:c>
      <x:c r="O139" s="39"/>
    </x:row>
    <x:row r="140">
      <x:c r="A140" s="34" t="str">
        <x:v>☐</x:v>
      </x:c>
      <x:c r="B140" s="34" t="str">
        <x:v>EX-0112</x:v>
      </x:c>
      <x:c r="C140" s="34" t="str">
        <x:v>علمی</x:v>
      </x:c>
      <x:c r="D140" s="34" t="str">
        <x:v>POSSIBLE</x:v>
      </x:c>
      <x:c r="E140" s="34" t="str">
        <x:v>90.0</x:v>
      </x:c>
      <x:c r="F140" s="34" t="str">
        <x:v>MI-0219</x:v>
      </x:c>
      <x:c r="G140" s="39" t="str">
        <x:v>طرحها و پروژههای علمی/کاربردی</x:v>
      </x:c>
      <x:c r="H140" s="39" t="str">
        <x:v>H9</x:v>
      </x:c>
      <x:c r="I140" s="39" t="str">
        <x:v>P2</x:v>
      </x:c>
      <x:c r="J140" s="39" t="str">
        <x:v>H9</x:v>
      </x:c>
      <x:c r="K140" s="39" t="str">
        <x:v>تطبیق احتمالی با پایه</x:v>
      </x:c>
      <x:c r="L140" s="39" t="str">
        <x:v>MI-0219</x:v>
      </x:c>
      <x:c r="M140" s="39" t="str">
        <x:v>طرحها و پروژههای علمی/کاربردی</x:v>
      </x:c>
      <x:c r="N140" s="39" t="str">
        <x:v>همه برنامه ها.docx::P:1313:1 | همه برنامه ها.docx2.docx::P1313.1 | _normalized_all_programs.docx::P1313.1 | 1154878548.docx::P716.1 | 1154878548.docx::P2334.1 | 1154878548.docx::P3486.1 | 1154878548.docx::P6130.1</x:v>
      </x:c>
      <x:c r="O140" s="39"/>
    </x:row>
    <x:row r="141">
      <x:c r="A141" s="34" t="str">
        <x:v>☐</x:v>
      </x:c>
      <x:c r="B141" s="34" t="str">
        <x:v>EX-0113</x:v>
      </x:c>
      <x:c r="C141" s="34" t="str">
        <x:v>توسعه فردی</x:v>
      </x:c>
      <x:c r="D141" s="34" t="str">
        <x:v>POSSIBLE</x:v>
      </x:c>
      <x:c r="E141" s="34" t="str">
        <x:v>90.0</x:v>
      </x:c>
      <x:c r="F141" s="34" t="str">
        <x:v>MI-3147</x:v>
      </x:c>
      <x:c r="G141" s="39" t="str">
        <x:v>ارزش 7: مهارت و توسعه فردی</x:v>
      </x:c>
      <x:c r="H141" s="39" t="str">
        <x:v>H1</x:v>
      </x:c>
      <x:c r="I141" s="39" t="str">
        <x:v>P0</x:v>
      </x:c>
      <x:c r="J141" s="39" t="str">
        <x:v>H1</x:v>
      </x:c>
      <x:c r="K141" s="39" t="str">
        <x:v>تطبیق احتمالی با پایه</x:v>
      </x:c>
      <x:c r="L141" s="39" t="str">
        <x:v>MI-3147</x:v>
      </x:c>
      <x:c r="M141" s="39" t="str">
        <x:v>ارزش 7: مهارت و توسعه فردی</x:v>
      </x:c>
      <x:c r="N141" s="39" t="str">
        <x:v>همه برنامه ها.docx::P:1333:1 | همه برنامه ها.docx2.docx::P1333.1 | _normalized_all_programs.docx::P1333.1 | 1154878548.docx::P3703.1 | 1154878548.docx::P4124.1 | 1154878548.docx::P6153.1</x:v>
      </x:c>
      <x:c r="O141" s="39"/>
    </x:row>
    <x:row r="142">
      <x:c r="A142" s="34" t="str">
        <x:v>☐</x:v>
      </x:c>
      <x:c r="B142" s="34" t="str">
        <x:v>EX-0114</x:v>
      </x:c>
      <x:c r="C142" s="34" t="str">
        <x:v>مسائل شرعی</x:v>
      </x:c>
      <x:c r="D142" s="34" t="str">
        <x:v>POSSIBLE</x:v>
      </x:c>
      <x:c r="E142" s="34" t="str">
        <x:v>90.0</x:v>
      </x:c>
      <x:c r="F142" s="34" t="str">
        <x:v>MI-1440</x:v>
      </x:c>
      <x:c r="G142" s="39" t="str">
        <x:v>مسایل شرعی</x:v>
      </x:c>
      <x:c r="H142" s="39" t="str">
        <x:v>H1</x:v>
      </x:c>
      <x:c r="I142" s="39" t="str">
        <x:v>P0</x:v>
      </x:c>
      <x:c r="J142" s="39" t="str">
        <x:v>H1</x:v>
      </x:c>
      <x:c r="K142" s="39" t="str">
        <x:v>تطبیق احتمالی با پایه</x:v>
      </x:c>
      <x:c r="L142" s="39" t="str">
        <x:v>MI-1440</x:v>
      </x:c>
      <x:c r="M142" s="39" t="str">
        <x:v>مسایل شرعی</x:v>
      </x:c>
      <x:c r="N142" s="39" t="str">
        <x:v>همه برنامه ها.docx::P:1340:1 | همه برنامه ها.docx2.docx::P1340.1 | _normalized_all_programs.docx::P1340.1 | 1154878548.docx::P455.1 | 1154878548.docx::P3715.1 | 1154878548.docx::P6160.1</x:v>
      </x:c>
      <x:c r="O142" s="39"/>
    </x:row>
    <x:row r="143">
      <x:c r="A143" s="34" t="str">
        <x:v>☐</x:v>
      </x:c>
      <x:c r="B143" s="34" t="str">
        <x:v>EX-0115</x:v>
      </x:c>
      <x:c r="C143" s="34" t="str">
        <x:v>فن سخنوری</x:v>
      </x:c>
      <x:c r="D143" s="34" t="str">
        <x:v>POSSIBLE</x:v>
      </x:c>
      <x:c r="E143" s="34" t="str">
        <x:v>90.0</x:v>
      </x:c>
      <x:c r="F143" s="34" t="str">
        <x:v>MI-0071</x:v>
      </x:c>
      <x:c r="G143" s="39" t="str">
        <x:v>یادگیری فن سخنوری</x:v>
      </x:c>
      <x:c r="H143" s="39" t="str">
        <x:v>H1</x:v>
      </x:c>
      <x:c r="I143" s="39" t="str">
        <x:v>P0</x:v>
      </x:c>
      <x:c r="J143" s="39" t="str">
        <x:v>H1</x:v>
      </x:c>
      <x:c r="K143" s="39" t="str">
        <x:v>تطبیق احتمالی با پایه</x:v>
      </x:c>
      <x:c r="L143" s="39" t="str">
        <x:v>MI-0071</x:v>
      </x:c>
      <x:c r="M143" s="39" t="str">
        <x:v>یادگیری فن سخنوری</x:v>
      </x:c>
      <x:c r="N143" s="39" t="str">
        <x:v>همه برنامه ها.docx::P:1366:1 | همه برنامه ها.docx2.docx::P1366.1 | _normalized_all_programs.docx::P1366.1 | 1154878548.docx::P3741.1 | 1154878548.docx::P6186.1</x:v>
      </x:c>
      <x:c r="O143" s="39"/>
    </x:row>
    <x:row r="144">
      <x:c r="A144" s="34" t="str">
        <x:v>☐</x:v>
      </x:c>
      <x:c r="B144" s="34" t="str">
        <x:v>EX-0116</x:v>
      </x:c>
      <x:c r="C144" s="34" t="str">
        <x:v>نرم‌افزار املاک</x:v>
      </x:c>
      <x:c r="D144" s="34" t="str">
        <x:v>POSSIBLE</x:v>
      </x:c>
      <x:c r="E144" s="34" t="str">
        <x:v>90.0</x:v>
      </x:c>
      <x:c r="F144" s="34" t="str">
        <x:v>MI-0019</x:v>
      </x:c>
      <x:c r="G144" s="39" t="str">
        <x:v>آشنایی با نرم افزار املاک</x:v>
      </x:c>
      <x:c r="H144" s="39" t="str">
        <x:v>H1</x:v>
      </x:c>
      <x:c r="I144" s="39" t="str">
        <x:v>P0</x:v>
      </x:c>
      <x:c r="J144" s="39" t="str">
        <x:v>H1</x:v>
      </x:c>
      <x:c r="K144" s="39" t="str">
        <x:v>تطبیق احتمالی با پایه</x:v>
      </x:c>
      <x:c r="L144" s="39" t="str">
        <x:v>MI-0019</x:v>
      </x:c>
      <x:c r="M144" s="39" t="str">
        <x:v>آشنایی با نرم افزار املاک</x:v>
      </x:c>
      <x:c r="N144" s="39" t="str">
        <x:v>همه برنامه ها.docx::P:1435:1 | همه برنامه ها.docx2.docx::P1435.1 | _normalized_all_programs.docx::P1435.1</x:v>
      </x:c>
      <x:c r="O144" s="39"/>
    </x:row>
    <x:row r="145">
      <x:c r="A145" s="34" t="str">
        <x:v>☐</x:v>
      </x:c>
      <x:c r="B145" s="34" t="str">
        <x:v>EX-0117</x:v>
      </x:c>
      <x:c r="C145" s="34" t="str">
        <x:v>ایجاد کارگروه رسانه</x:v>
      </x:c>
      <x:c r="D145" s="34" t="str">
        <x:v>POSSIBLE</x:v>
      </x:c>
      <x:c r="E145" s="34" t="str">
        <x:v>90.0</x:v>
      </x:c>
      <x:c r="F145" s="34" t="str">
        <x:v>MI-0816</x:v>
      </x:c>
      <x:c r="G145" s="39" t="str">
        <x:v>ایجاد کارگروه رسانه برای تنظیم نظرسنجی و کارهای رسانه ای</x:v>
      </x:c>
      <x:c r="H145" s="39" t="str">
        <x:v>H11</x:v>
      </x:c>
      <x:c r="I145" s="39" t="str">
        <x:v>DELEGATE/P2</x:v>
      </x:c>
      <x:c r="J145" s="39" t="str">
        <x:v>H11</x:v>
      </x:c>
      <x:c r="K145" s="39" t="str">
        <x:v>تطبیق احتمالی با پایه</x:v>
      </x:c>
      <x:c r="L145" s="39" t="str">
        <x:v>MI-0816</x:v>
      </x:c>
      <x:c r="M145" s="39" t="str">
        <x:v>ایجاد کارگروه رسانه برای تنظیم نظرسنجی و کارهای رسانه ای</x:v>
      </x:c>
      <x:c r="N145" s="39" t="str">
        <x:v>همه برنامه ها.docx2.docx::P608.1 | _normalized_all_programs.docx::P608.1 | 1154878548.docx::P2954.1</x:v>
      </x:c>
      <x:c r="O145" s="39"/>
    </x:row>
    <x:row r="146">
      <x:c r="A146" s="34" t="str">
        <x:v>☐</x:v>
      </x:c>
      <x:c r="B146" s="34" t="str">
        <x:v>EX-0118</x:v>
      </x:c>
      <x:c r="C146" s="34" t="str">
        <x:v>برای تنظیم نظرسنجی و کارهای رسانه ای</x:v>
      </x:c>
      <x:c r="D146" s="34" t="str">
        <x:v>POSSIBLE</x:v>
      </x:c>
      <x:c r="E146" s="34" t="str">
        <x:v>90.0</x:v>
      </x:c>
      <x:c r="F146" s="34" t="str">
        <x:v>MI-0816</x:v>
      </x:c>
      <x:c r="G146" s="39" t="str">
        <x:v>ایجاد کارگروه رسانه برای تنظیم نظرسنجی و کارهای رسانه ای</x:v>
      </x:c>
      <x:c r="H146" s="39" t="str">
        <x:v>H11</x:v>
      </x:c>
      <x:c r="I146" s="39" t="str">
        <x:v>DELEGATE/P2</x:v>
      </x:c>
      <x:c r="J146" s="39" t="str">
        <x:v>H11</x:v>
      </x:c>
      <x:c r="K146" s="39" t="str">
        <x:v>تطبیق احتمالی با پایه</x:v>
      </x:c>
      <x:c r="L146" s="39" t="str">
        <x:v>MI-0816</x:v>
      </x:c>
      <x:c r="M146" s="39" t="str">
        <x:v>ایجاد کارگروه رسانه برای تنظیم نظرسنجی و کارهای رسانه ای</x:v>
      </x:c>
      <x:c r="N146" s="39" t="str">
        <x:v>همه برنامه ها.docx2.docx::P608.2 | _normalized_all_programs.docx::P608.2 | 1154878548.docx::P2954.2</x:v>
      </x:c>
      <x:c r="O146" s="39"/>
    </x:row>
    <x:row r="147">
      <x:c r="A147" s="34" t="str">
        <x:v>☐</x:v>
      </x:c>
      <x:c r="B147" s="34" t="str">
        <x:v>EX-0119</x:v>
      </x:c>
      <x:c r="C147" s="34" t="str">
        <x:v>نظر سنجی غذا در کانال سلف و ارائه</x:v>
      </x:c>
      <x:c r="D147" s="34" t="str">
        <x:v>POSSIBLE</x:v>
      </x:c>
      <x:c r="E147" s="34" t="str">
        <x:v>90.0</x:v>
      </x:c>
      <x:c r="F147" s="34" t="str">
        <x:v>MI-0826</x:v>
      </x:c>
      <x:c r="G147" s="39" t="str">
        <x:v>- نظر سنجی</x:v>
      </x:c>
      <x:c r="H147" s="39" t="str">
        <x:v>H11</x:v>
      </x:c>
      <x:c r="I147" s="39" t="str">
        <x:v>DELEGATE/P2</x:v>
      </x:c>
      <x:c r="J147" s="39" t="str">
        <x:v>H11</x:v>
      </x:c>
      <x:c r="K147" s="39" t="str">
        <x:v>تطبیق احتمالی با پایه</x:v>
      </x:c>
      <x:c r="L147" s="39" t="str">
        <x:v>MI-0826</x:v>
      </x:c>
      <x:c r="M147" s="39" t="str">
        <x:v>- نظر سنجی</x:v>
      </x:c>
      <x:c r="N147" s="39" t="str">
        <x:v>همه برنامه ها.docx2.docx::P689.1 | _normalized_all_programs.docx::P689.1 | 1154878548.docx::P3036.1</x:v>
      </x:c>
      <x:c r="O147" s="39"/>
    </x:row>
    <x:row r="148">
      <x:c r="A148" s="34" t="str">
        <x:v>☐</x:v>
      </x:c>
      <x:c r="B148" s="34" t="str">
        <x:v>EX-0120</x:v>
      </x:c>
      <x:c r="C148" s="34" t="str">
        <x:v>کامنت ها</x:v>
      </x:c>
      <x:c r="D148" s="34" t="str">
        <x:v>POSSIBLE</x:v>
      </x:c>
      <x:c r="E148" s="34" t="str">
        <x:v>90.0</x:v>
      </x:c>
      <x:c r="F148" s="34" t="str">
        <x:v>MI-0754</x:v>
      </x:c>
      <x:c r="G148" s="39" t="str">
        <x:v>لایو اینستا یا هر پلتفرم دیگه ای بالا بیاد برای کامنت ها</x:v>
      </x:c>
      <x:c r="H148" s="39" t="str">
        <x:v>H11</x:v>
      </x:c>
      <x:c r="I148" s="39" t="str">
        <x:v>DELEGATE/P2</x:v>
      </x:c>
      <x:c r="J148" s="39" t="str">
        <x:v>H11</x:v>
      </x:c>
      <x:c r="K148" s="39" t="str">
        <x:v>تطبیق احتمالی با پایه</x:v>
      </x:c>
      <x:c r="L148" s="39" t="str">
        <x:v>MI-0754</x:v>
      </x:c>
      <x:c r="M148" s="39" t="str">
        <x:v>لایو اینستا یا هر پلتفرم دیگه ای بالا بیاد برای کامنت ها</x:v>
      </x:c>
      <x:c r="N148" s="39" t="str">
        <x:v>همه برنامه ها.docx2.docx::P689.2 | _normalized_all_programs.docx::P689.2 | 1154878548.docx::P3037.1</x:v>
      </x:c>
      <x:c r="O148" s="39"/>
    </x:row>
    <x:row r="149">
      <x:c r="A149" s="34" t="str">
        <x:v>☐</x:v>
      </x:c>
      <x:c r="B149" s="34" t="str">
        <x:v>EX-0121</x:v>
      </x:c>
      <x:c r="C149" s="34" t="str">
        <x:v>واریز وجه</x:v>
      </x:c>
      <x:c r="D149" s="34" t="str">
        <x:v>POSSIBLE</x:v>
      </x:c>
      <x:c r="E149" s="34" t="str">
        <x:v>90.0</x:v>
      </x:c>
      <x:c r="F149" s="34" t="str">
        <x:v>MI-0883</x:v>
      </x:c>
      <x:c r="G149" s="39" t="str">
        <x:v>حساب کتاب های طراحی لوگو و سربرگ و واریز وجه</x:v>
      </x:c>
      <x:c r="H149" s="39" t="str">
        <x:v>H11</x:v>
      </x:c>
      <x:c r="I149" s="39" t="str">
        <x:v>BANK</x:v>
      </x:c>
      <x:c r="J149" s="39" t="str">
        <x:v>H11</x:v>
      </x:c>
      <x:c r="K149" s="39" t="str">
        <x:v>تطبیق احتمالی با پایه</x:v>
      </x:c>
      <x:c r="L149" s="39" t="str">
        <x:v>MI-0883</x:v>
      </x:c>
      <x:c r="M149" s="39" t="str">
        <x:v>حساب کتاب های طراحی لوگو و سربرگ و واریز وجه</x:v>
      </x:c>
      <x:c r="N149" s="39" t="str">
        <x:v>همه برنامه ها.docx2.docx::P690.2 | _normalized_all_programs.docx::P690.2 | 1154878548.docx::P3038.2</x:v>
      </x:c>
      <x:c r="O149" s="39"/>
    </x:row>
    <x:row r="150">
      <x:c r="A150" s="34" t="str">
        <x:v>☐</x:v>
      </x:c>
      <x:c r="B150" s="34" t="str">
        <x:v>EX-0122</x:v>
      </x:c>
      <x:c r="C150" s="34" t="str">
        <x:v>برای سایت معرفی</x:v>
      </x:c>
      <x:c r="D150" s="34" t="str">
        <x:v>POSSIBLE</x:v>
      </x:c>
      <x:c r="E150" s="34" t="str">
        <x:v>90.0</x:v>
      </x:c>
      <x:c r="F150" s="34" t="str">
        <x:v>MI-0884</x:v>
      </x:c>
      <x:c r="G150" s="39" t="str">
        <x:v>برای سایت معرفی کارمندان و نحوه ارتباط ، شماره تماس برای خود اعضا جهت ارتباط برای حوادث و اتفاقات</x:v>
      </x:c>
      <x:c r="H150" s="39" t="str">
        <x:v>H11</x:v>
      </x:c>
      <x:c r="I150" s="39" t="str">
        <x:v>BANK</x:v>
      </x:c>
      <x:c r="J150" s="39" t="str">
        <x:v>H11</x:v>
      </x:c>
      <x:c r="K150" s="39" t="str">
        <x:v>تطبیق احتمالی با پایه</x:v>
      </x:c>
      <x:c r="L150" s="39" t="str">
        <x:v>MI-0884</x:v>
      </x:c>
      <x:c r="M150" s="39" t="str">
        <x:v>برای سایت معرفی کارمندان و نحوه ارتباط ، شماره تماس برای خود اعضا جهت ارتباط برای حوادث و اتفاقات</x:v>
      </x:c>
      <x:c r="N150" s="39" t="str">
        <x:v>همه برنامه ها.docx2.docx::P691.1 | _normalized_all_programs.docx::P691.1 | 1154878548.docx::P3039.1</x:v>
      </x:c>
      <x:c r="O150" s="39"/>
    </x:row>
    <x:row r="151">
      <x:c r="A151" s="34" t="str">
        <x:v>☐</x:v>
      </x:c>
      <x:c r="B151" s="34" t="str">
        <x:v>EX-0123</x:v>
      </x:c>
      <x:c r="C151" s="34" t="str">
        <x:v>کارمندان و نحوه ارتباط ، شماره تماس برای</x:v>
      </x:c>
      <x:c r="D151" s="34" t="str">
        <x:v>POSSIBLE</x:v>
      </x:c>
      <x:c r="E151" s="34" t="str">
        <x:v>90.0</x:v>
      </x:c>
      <x:c r="F151" s="34" t="str">
        <x:v>MI-0884</x:v>
      </x:c>
      <x:c r="G151" s="39" t="str">
        <x:v>برای سایت معرفی کارمندان و نحوه ارتباط ، شماره تماس برای خود اعضا جهت ارتباط برای حوادث و اتفاقات</x:v>
      </x:c>
      <x:c r="H151" s="39" t="str">
        <x:v>H11</x:v>
      </x:c>
      <x:c r="I151" s="39" t="str">
        <x:v>BANK</x:v>
      </x:c>
      <x:c r="J151" s="39" t="str">
        <x:v>H11</x:v>
      </x:c>
      <x:c r="K151" s="39" t="str">
        <x:v>تطبیق احتمالی با پایه</x:v>
      </x:c>
      <x:c r="L151" s="39" t="str">
        <x:v>MI-0884</x:v>
      </x:c>
      <x:c r="M151" s="39" t="str">
        <x:v>برای سایت معرفی کارمندان و نحوه ارتباط ، شماره تماس برای خود اعضا جهت ارتباط برای حوادث و اتفاقات</x:v>
      </x:c>
      <x:c r="N151" s="39" t="str">
        <x:v>همه برنامه ها.docx2.docx::P691.2 | _normalized_all_programs.docx::P691.2 | 1154878548.docx::P3039.2</x:v>
      </x:c>
      <x:c r="O151" s="39"/>
    </x:row>
    <x:row r="152">
      <x:c r="A152" s="34" t="str">
        <x:v>☐</x:v>
      </x:c>
      <x:c r="B152" s="34" t="str">
        <x:v>EX-0124</x:v>
      </x:c>
      <x:c r="C152" s="34" t="str">
        <x:v>خود اعضا جهت ارتباط برای حوادث و اتفاقات</x:v>
      </x:c>
      <x:c r="D152" s="34" t="str">
        <x:v>POSSIBLE</x:v>
      </x:c>
      <x:c r="E152" s="34" t="str">
        <x:v>90.0</x:v>
      </x:c>
      <x:c r="F152" s="34" t="str">
        <x:v>MI-0884</x:v>
      </x:c>
      <x:c r="G152" s="39" t="str">
        <x:v>برای سایت معرفی کارمندان و نحوه ارتباط ، شماره تماس برای خود اعضا جهت ارتباط برای حوادث و اتفاقات</x:v>
      </x:c>
      <x:c r="H152" s="39" t="str">
        <x:v>H11</x:v>
      </x:c>
      <x:c r="I152" s="39" t="str">
        <x:v>BANK</x:v>
      </x:c>
      <x:c r="J152" s="39" t="str">
        <x:v>H11</x:v>
      </x:c>
      <x:c r="K152" s="39" t="str">
        <x:v>تطبیق احتمالی با پایه</x:v>
      </x:c>
      <x:c r="L152" s="39" t="str">
        <x:v>MI-0884</x:v>
      </x:c>
      <x:c r="M152" s="39" t="str">
        <x:v>برای سایت معرفی کارمندان و نحوه ارتباط ، شماره تماس برای خود اعضا جهت ارتباط برای حوادث و اتفاقات</x:v>
      </x:c>
      <x:c r="N152" s="39" t="str">
        <x:v>همه برنامه ها.docx2.docx::P691.3 | _normalized_all_programs.docx::P691.3 | 1154878548.docx::P3039.3</x:v>
      </x:c>
      <x:c r="O152" s="39"/>
    </x:row>
    <x:row r="153">
      <x:c r="A153" s="34" t="str">
        <x:v>☐</x:v>
      </x:c>
      <x:c r="B153" s="34" t="str">
        <x:v>EX-0125</x:v>
      </x:c>
      <x:c r="C153" s="34" t="str">
        <x:v>جلسه</x:v>
      </x:c>
      <x:c r="D153" s="34" t="str">
        <x:v>POSSIBLE</x:v>
      </x:c>
      <x:c r="E153" s="34" t="str">
        <x:v>90.0</x:v>
      </x:c>
      <x:c r="F153" s="34" t="str">
        <x:v>MI-0919</x:v>
      </x:c>
      <x:c r="G153" s="39" t="str">
        <x:v>جلسه صنفی منطقه و استان و ....</x:v>
      </x:c>
      <x:c r="H153" s="39" t="str">
        <x:v>H11</x:v>
      </x:c>
      <x:c r="I153" s="39" t="str">
        <x:v>DELEGATE/P2</x:v>
      </x:c>
      <x:c r="J153" s="39" t="str">
        <x:v>H11</x:v>
      </x:c>
      <x:c r="K153" s="39" t="str">
        <x:v>تطبیق احتمالی با پایه</x:v>
      </x:c>
      <x:c r="L153" s="39" t="str">
        <x:v>MI-0919</x:v>
      </x:c>
      <x:c r="M153" s="39" t="str">
        <x:v>جلسه صنفی منطقه و استان و ....</x:v>
      </x:c>
      <x:c r="N153" s="39" t="str">
        <x:v>همه برنامه ها.docx2.docx::P706.1 | _normalized_all_programs.docx::P706.1 | 1154878548.docx::P3054.1</x:v>
      </x:c>
      <x:c r="O153" s="39"/>
    </x:row>
    <x:row r="154">
      <x:c r="A154" s="34" t="str">
        <x:v>☐</x:v>
      </x:c>
      <x:c r="B154" s="34" t="str">
        <x:v>EX-0126</x:v>
      </x:c>
      <x:c r="C154" s="34" t="str">
        <x:v>با مسئول باشگاه و منعمی برای کمبود وسایل</x:v>
      </x:c>
      <x:c r="D154" s="34" t="str">
        <x:v>POSSIBLE</x:v>
      </x:c>
      <x:c r="E154" s="34" t="str">
        <x:v>90.0</x:v>
      </x:c>
      <x:c r="F154" s="34" t="str">
        <x:v>MI-0986</x:v>
      </x:c>
      <x:c r="G154" s="39" t="str">
        <x:v>باشگاه</x:v>
      </x:c>
      <x:c r="H154" s="39" t="str">
        <x:v>H11</x:v>
      </x:c>
      <x:c r="I154" s="39" t="str">
        <x:v>DELEGATE/P2</x:v>
      </x:c>
      <x:c r="J154" s="39" t="str">
        <x:v>H11</x:v>
      </x:c>
      <x:c r="K154" s="39" t="str">
        <x:v>تطبیق احتمالی با پایه</x:v>
      </x:c>
      <x:c r="L154" s="39" t="str">
        <x:v>MI-0986</x:v>
      </x:c>
      <x:c r="M154" s="39" t="str">
        <x:v>باشگاه</x:v>
      </x:c>
      <x:c r="N154" s="39" t="str">
        <x:v>همه برنامه ها.docx2.docx::P706.2 | _normalized_all_programs.docx::P706.2 | 1154878548.docx::P3054.2</x:v>
      </x:c>
      <x:c r="O154" s="39"/>
    </x:row>
    <x:row r="155">
      <x:c r="A155" s="34" t="str">
        <x:v>☐</x:v>
      </x:c>
      <x:c r="B155" s="34" t="str">
        <x:v>EX-0127</x:v>
      </x:c>
      <x:c r="C155" s="34" t="str">
        <x:v>و نظ</x:v>
      </x:c>
      <x:c r="D155" s="34" t="str">
        <x:v>POSSIBLE</x:v>
      </x:c>
      <x:c r="E155" s="34" t="str">
        <x:v>90.0</x:v>
      </x:c>
      <x:c r="F155" s="34" t="str">
        <x:v>MI-0223</x:v>
      </x:c>
      <x:c r="G155" s="39" t="str">
        <x:v>مطالعات راهبردی و نظامی</x:v>
      </x:c>
      <x:c r="H155" s="39" t="str">
        <x:v>H6</x:v>
      </x:c>
      <x:c r="I155" s="39" t="str">
        <x:v>P3/CLARIFY</x:v>
      </x:c>
      <x:c r="J155" s="39" t="str">
        <x:v>H6</x:v>
      </x:c>
      <x:c r="K155" s="39" t="str">
        <x:v>تطبیق احتمالی با پایه</x:v>
      </x:c>
      <x:c r="L155" s="39" t="str">
        <x:v>MI-0223</x:v>
      </x:c>
      <x:c r="M155" s="39" t="str">
        <x:v>مطالعات راهبردی و نظامی</x:v>
      </x:c>
      <x:c r="N155" s="39" t="str">
        <x:v>همه برنامه ها.docx2.docx::P706.3 | _normalized_all_programs.docx::P706.3 | 1154878548.docx::P3055.1</x:v>
      </x:c>
      <x:c r="O155" s="39"/>
    </x:row>
    <x:row r="156">
      <x:c r="A156" s="34" t="str">
        <x:v>☐</x:v>
      </x:c>
      <x:c r="B156" s="34" t="str">
        <x:v>EX-0128</x:v>
      </x:c>
      <x:c r="C156" s="34" t="str">
        <x:v>تعیین اعضای دانشجویی</x:v>
      </x:c>
      <x:c r="D156" s="34" t="str">
        <x:v>POSSIBLE</x:v>
      </x:c>
      <x:c r="E156" s="34" t="str">
        <x:v>90.0</x:v>
      </x:c>
      <x:c r="F156" s="34" t="str">
        <x:v>MI-2622</x:v>
      </x:c>
      <x:c r="G156" s="39" t="str">
        <x:v>دانش</x:v>
      </x:c>
      <x:c r="H156" s="39" t="str">
        <x:v>H20</x:v>
      </x:c>
      <x:c r="I156" s="39" t="str">
        <x:v>P3/CLARIFY</x:v>
      </x:c>
      <x:c r="J156" s="39" t="str">
        <x:v>H20</x:v>
      </x:c>
      <x:c r="K156" s="39" t="str">
        <x:v>تطبیق احتمالی با پایه</x:v>
      </x:c>
      <x:c r="L156" s="39" t="str">
        <x:v>MI-2622</x:v>
      </x:c>
      <x:c r="M156" s="39" t="str">
        <x:v>دانش</x:v>
      </x:c>
      <x:c r="N156" s="39" t="str">
        <x:v>همه برنامه ها.docx2.docx::P707.1 | _normalized_all_programs.docx::P707.1 | 1154878548.docx::P3056.1</x:v>
      </x:c>
      <x:c r="O156" s="39"/>
    </x:row>
    <x:row r="157">
      <x:c r="A157" s="34" t="str">
        <x:v>☐</x:v>
      </x:c>
      <x:c r="B157" s="34" t="str">
        <x:v>EX-0129</x:v>
      </x:c>
      <x:c r="C157" s="34" t="str">
        <x:v>شورای انضباطی دانشجویان دانشگاه با مشور و تائید شورای صنفی با توجه به ماده 7</x:v>
      </x:c>
      <x:c r="D157" s="34" t="str">
        <x:v>POSSIBLE</x:v>
      </x:c>
      <x:c r="E157" s="34" t="str">
        <x:v>88.8</x:v>
      </x:c>
      <x:c r="F157" s="34" t="str">
        <x:v>MI-0896</x:v>
      </x:c>
      <x:c r="G157" s="39"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H157" s="39" t="str">
        <x:v>H11</x:v>
      </x:c>
      <x:c r="I157" s="39" t="str">
        <x:v>DELEGATE/P2</x:v>
      </x:c>
      <x:c r="J157" s="39" t="str">
        <x:v>H11</x:v>
      </x:c>
      <x:c r="K157" s="39" t="str">
        <x:v>تطبیق احتمالی با پایه</x:v>
      </x:c>
      <x:c r="L157" s="39" t="str">
        <x:v>MI-0896</x:v>
      </x:c>
      <x:c r="M157" s="39"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N157" s="39" t="str">
        <x:v>همه برنامه ها.docx2.docx::P707.2 | _normalized_all_programs.docx::P707.2 | 1154878548.docx::P3056.2</x:v>
      </x:c>
      <x:c r="O157" s="39"/>
    </x:row>
    <x:row r="158">
      <x:c r="A158" s="34" t="str">
        <x:v>☐</x:v>
      </x:c>
      <x:c r="B158" s="34" t="str">
        <x:v>EX-0130</x:v>
      </x:c>
      <x:c r="C158" s="34" t="str">
        <x:v>شیوه نامه اجرائی آیین نامه انضباطی دانشجویان که به لزوم شهرت در تقوا ، امانت</x:v>
      </x:c>
      <x:c r="D158" s="34" t="str">
        <x:v>POSSIBLE</x:v>
      </x:c>
      <x:c r="E158" s="34" t="str">
        <x:v>88.8</x:v>
      </x:c>
      <x:c r="F158" s="34" t="str">
        <x:v>MI-0896</x:v>
      </x:c>
      <x:c r="G158" s="39"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H158" s="39" t="str">
        <x:v>H11</x:v>
      </x:c>
      <x:c r="I158" s="39" t="str">
        <x:v>DELEGATE/P2</x:v>
      </x:c>
      <x:c r="J158" s="39" t="str">
        <x:v>H11</x:v>
      </x:c>
      <x:c r="K158" s="39" t="str">
        <x:v>تطبیق احتمالی با پایه</x:v>
      </x:c>
      <x:c r="L158" s="39" t="str">
        <x:v>MI-0896</x:v>
      </x:c>
      <x:c r="M158" s="39"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N158" s="39" t="str">
        <x:v>همه برنامه ها.docx2.docx::P707.3 | _normalized_all_programs.docx::P707.3 | 1154878548.docx::P3056.3</x:v>
      </x:c>
      <x:c r="O158" s="39"/>
    </x:row>
    <x:row r="159">
      <x:c r="A159" s="34" t="str">
        <x:v>☐</x:v>
      </x:c>
      <x:c r="B159" s="34" t="str">
        <x:v>EX-0131</x:v>
      </x:c>
      <x:c r="C159" s="34" t="str">
        <x:v>داری و استقلال نظر آن ها دلالت دارد.</x:v>
      </x:c>
      <x:c r="D159" s="34" t="str">
        <x:v>POSSIBLE</x:v>
      </x:c>
      <x:c r="E159" s="34" t="str">
        <x:v>90.0</x:v>
      </x:c>
      <x:c r="F159" s="34" t="str">
        <x:v>MI-0896</x:v>
      </x:c>
      <x:c r="G159" s="39"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H159" s="39" t="str">
        <x:v>H11</x:v>
      </x:c>
      <x:c r="I159" s="39" t="str">
        <x:v>DELEGATE/P2</x:v>
      </x:c>
      <x:c r="J159" s="39" t="str">
        <x:v>H11</x:v>
      </x:c>
      <x:c r="K159" s="39" t="str">
        <x:v>تطبیق احتمالی با پایه</x:v>
      </x:c>
      <x:c r="L159" s="39" t="str">
        <x:v>MI-0896</x:v>
      </x:c>
      <x:c r="M159" s="39"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N159" s="39" t="str">
        <x:v>همه برنامه ها.docx2.docx::P707.4 | _normalized_all_programs.docx::P707.4 | 1154878548.docx::P3056.4</x:v>
      </x:c>
      <x:c r="O159" s="39"/>
    </x:row>
    <x:row r="160">
      <x:c r="A160" s="34" t="str">
        <x:v>☐</x:v>
      </x:c>
      <x:c r="B160" s="34" t="str">
        <x:v>EX-0132</x:v>
      </x:c>
      <x:c r="C160" s="34" t="str">
        <x:v>به جای کرایه از بوفه دانشگاه و خوابگاه ،</x:v>
      </x:c>
      <x:c r="D160" s="34" t="str">
        <x:v>POSSIBLE</x:v>
      </x:c>
      <x:c r="E160" s="34" t="str">
        <x:v>90.0</x:v>
      </x:c>
      <x:c r="F160" s="34" t="str">
        <x:v>MI-0934</x:v>
      </x:c>
      <x:c r="G160" s="39" t="str">
        <x:v>دانشگاه به جای کرایه از بوفه دانشگاه و خوابگاه ، تخفیف روی اجناس بزاره</x:v>
      </x:c>
      <x:c r="H160" s="39" t="str">
        <x:v>H11</x:v>
      </x:c>
      <x:c r="I160" s="39" t="str">
        <x:v>DELEGATE/P2</x:v>
      </x:c>
      <x:c r="J160" s="39" t="str">
        <x:v>H11</x:v>
      </x:c>
      <x:c r="K160" s="39" t="str">
        <x:v>تطبیق احتمالی با پایه</x:v>
      </x:c>
      <x:c r="L160" s="39" t="str">
        <x:v>MI-0934</x:v>
      </x:c>
      <x:c r="M160" s="39" t="str">
        <x:v>دانشگاه به جای کرایه از بوفه دانشگاه و خوابگاه ، تخفیف روی اجناس بزاره</x:v>
      </x:c>
      <x:c r="N160" s="39" t="str">
        <x:v>همه برنامه ها.docx2.docx::P754.2 | _normalized_all_programs.docx::P754.2 | 1154878548.docx::P3103.2</x:v>
      </x:c>
      <x:c r="O160" s="39"/>
    </x:row>
    <x:row r="161">
      <x:c r="A161" s="34" t="str">
        <x:v>☐</x:v>
      </x:c>
      <x:c r="B161" s="34" t="str">
        <x:v>EX-0133</x:v>
      </x:c>
      <x:c r="C161" s="34" t="str">
        <x:v>تخفیف روی اجناس بزاره</x:v>
      </x:c>
      <x:c r="D161" s="34" t="str">
        <x:v>POSSIBLE</x:v>
      </x:c>
      <x:c r="E161" s="34" t="str">
        <x:v>90.0</x:v>
      </x:c>
      <x:c r="F161" s="34" t="str">
        <x:v>MI-0934</x:v>
      </x:c>
      <x:c r="G161" s="39" t="str">
        <x:v>دانشگاه به جای کرایه از بوفه دانشگاه و خوابگاه ، تخفیف روی اجناس بزاره</x:v>
      </x:c>
      <x:c r="H161" s="39" t="str">
        <x:v>H11</x:v>
      </x:c>
      <x:c r="I161" s="39" t="str">
        <x:v>DELEGATE/P2</x:v>
      </x:c>
      <x:c r="J161" s="39" t="str">
        <x:v>H11</x:v>
      </x:c>
      <x:c r="K161" s="39" t="str">
        <x:v>تطبیق احتمالی با پایه</x:v>
      </x:c>
      <x:c r="L161" s="39" t="str">
        <x:v>MI-0934</x:v>
      </x:c>
      <x:c r="M161" s="39" t="str">
        <x:v>دانشگاه به جای کرایه از بوفه دانشگاه و خوابگاه ، تخفیف روی اجناس بزاره</x:v>
      </x:c>
      <x:c r="N161" s="39" t="str">
        <x:v>همه برنامه ها.docx2.docx::P754.3 | _normalized_all_programs.docx::P754.3 | 1154878548.docx::P3103.3</x:v>
      </x:c>
      <x:c r="O161" s="39"/>
    </x:row>
    <x:row r="162">
      <x:c r="A162" s="34" t="str">
        <x:v>☐</x:v>
      </x:c>
      <x:c r="B162" s="34" t="str">
        <x:v>EX-0134</x:v>
      </x:c>
      <x:c r="C162" s="34" t="str">
        <x:v>چاپ و نصب اطلاعیه</x:v>
      </x:c>
      <x:c r="D162" s="34" t="str">
        <x:v>POSSIBLE</x:v>
      </x:c>
      <x:c r="E162" s="34" t="str">
        <x:v>90.0</x:v>
      </x:c>
      <x:c r="F162" s="34" t="str">
        <x:v>MI-0910</x:v>
      </x:c>
      <x:c r="G162" s="39" t="str">
        <x:v>چاپ و نصب اطلاعیه برای نزاشتن ظروف روی سینک های آشپزخانه جهت سهولت نظافت خدماتی ها و هچنین استفاده از فضا برای دیگر دوستان</x:v>
      </x:c>
      <x:c r="H162" s="39" t="str">
        <x:v>H11</x:v>
      </x:c>
      <x:c r="I162" s="39" t="str">
        <x:v>DELEGATE/P2</x:v>
      </x:c>
      <x:c r="J162" s="39" t="str">
        <x:v>H11</x:v>
      </x:c>
      <x:c r="K162" s="39" t="str">
        <x:v>تطبیق احتمالی با پایه</x:v>
      </x:c>
      <x:c r="L162" s="39" t="str">
        <x:v>MI-0910</x:v>
      </x:c>
      <x:c r="M162" s="39" t="str">
        <x:v>چاپ و نصب اطلاعیه برای نزاشتن ظروف روی سینک های آشپزخانه جهت سهولت نظافت خدماتی ها و هچنین استفاده از فضا برای دیگر دوستان</x:v>
      </x:c>
      <x:c r="N162" s="39" t="str">
        <x:v>همه برنامه ها.docx2.docx::P808.1 | همه برنامه ها.docx2.docx::P812.1 | _normalized_all_programs.docx::P808.1 | _normalized_all_programs.docx::P812.1 | 1154878548.docx::P3157.1 | 1154878548.docx::P3161.1</x:v>
      </x:c>
      <x:c r="O162" s="39"/>
    </x:row>
    <x:row r="163">
      <x:c r="A163" s="34" t="str">
        <x:v>☐</x:v>
      </x:c>
      <x:c r="B163" s="34" t="str">
        <x:v>EX-0135</x:v>
      </x:c>
      <x:c r="C163" s="34" t="str">
        <x:v>برای نزاشتن ظروف روی سینک های آشپزخانه جهت سهولت نظافت خدماتی ها و هچنین</x:v>
      </x:c>
      <x:c r="D163" s="34" t="str">
        <x:v>POSSIBLE</x:v>
      </x:c>
      <x:c r="E163" s="34" t="str">
        <x:v>90.0</x:v>
      </x:c>
      <x:c r="F163" s="34" t="str">
        <x:v>MI-0910</x:v>
      </x:c>
      <x:c r="G163" s="39" t="str">
        <x:v>چاپ و نصب اطلاعیه برای نزاشتن ظروف روی سینک های آشپزخانه جهت سهولت نظافت خدماتی ها و هچنین استفاده از فضا برای دیگر دوستان</x:v>
      </x:c>
      <x:c r="H163" s="39" t="str">
        <x:v>H11</x:v>
      </x:c>
      <x:c r="I163" s="39" t="str">
        <x:v>DELEGATE/P2</x:v>
      </x:c>
      <x:c r="J163" s="39" t="str">
        <x:v>H11</x:v>
      </x:c>
      <x:c r="K163" s="39" t="str">
        <x:v>تطبیق احتمالی با پایه</x:v>
      </x:c>
      <x:c r="L163" s="39" t="str">
        <x:v>MI-0910</x:v>
      </x:c>
      <x:c r="M163" s="39" t="str">
        <x:v>چاپ و نصب اطلاعیه برای نزاشتن ظروف روی سینک های آشپزخانه جهت سهولت نظافت خدماتی ها و هچنین استفاده از فضا برای دیگر دوستان</x:v>
      </x:c>
      <x:c r="N163" s="39" t="str">
        <x:v>همه برنامه ها.docx2.docx::P808.2 | همه برنامه ها.docx2.docx::P812.2 | _normalized_all_programs.docx::P808.2 | _normalized_all_programs.docx::P812.2 | 1154878548.docx::P3157.2 | 1154878548.docx::P3161.2</x:v>
      </x:c>
      <x:c r="O163" s="39"/>
    </x:row>
    <x:row r="164">
      <x:c r="A164" s="34" t="str">
        <x:v>☐</x:v>
      </x:c>
      <x:c r="B164" s="34" t="str">
        <x:v>EX-0136</x:v>
      </x:c>
      <x:c r="C164" s="34" t="str">
        <x:v>استفاده از فضا برای دیگر دوستان</x:v>
      </x:c>
      <x:c r="D164" s="34" t="str">
        <x:v>POSSIBLE</x:v>
      </x:c>
      <x:c r="E164" s="34" t="str">
        <x:v>90.0</x:v>
      </x:c>
      <x:c r="F164" s="34" t="str">
        <x:v>MI-0910</x:v>
      </x:c>
      <x:c r="G164" s="39" t="str">
        <x:v>چاپ و نصب اطلاعیه برای نزاشتن ظروف روی سینک های آشپزخانه جهت سهولت نظافت خدماتی ها و هچنین استفاده از فضا برای دیگر دوستان</x:v>
      </x:c>
      <x:c r="H164" s="39" t="str">
        <x:v>H11</x:v>
      </x:c>
      <x:c r="I164" s="39" t="str">
        <x:v>DELEGATE/P2</x:v>
      </x:c>
      <x:c r="J164" s="39" t="str">
        <x:v>H11</x:v>
      </x:c>
      <x:c r="K164" s="39" t="str">
        <x:v>تطبیق احتمالی با پایه</x:v>
      </x:c>
      <x:c r="L164" s="39" t="str">
        <x:v>MI-0910</x:v>
      </x:c>
      <x:c r="M164" s="39" t="str">
        <x:v>چاپ و نصب اطلاعیه برای نزاشتن ظروف روی سینک های آشپزخانه جهت سهولت نظافت خدماتی ها و هچنین استفاده از فضا برای دیگر دوستان</x:v>
      </x:c>
      <x:c r="N164" s="39" t="str">
        <x:v>همه برنامه ها.docx2.docx::P808.3 | همه برنامه ها.docx2.docx::P812.3 | _normalized_all_programs.docx::P808.3 | _normalized_all_programs.docx::P812.3 | 1154878548.docx::P3157.3 | 1154878548.docx::P3161.3</x:v>
      </x:c>
      <x:c r="O164" s="39"/>
    </x:row>
    <x:row r="165">
      <x:c r="A165" s="34" t="str">
        <x:v>☐</x:v>
      </x:c>
      <x:c r="B165" s="34" t="str">
        <x:v>EX-0137</x:v>
      </x:c>
      <x:c r="C165" s="34" t="str">
        <x:v>روش کانکت شدن</x:v>
      </x:c>
      <x:c r="D165" s="34" t="str">
        <x:v>POSSIBLE</x:v>
      </x:c>
      <x:c r="E165" s="34" t="str">
        <x:v>90.0</x:v>
      </x:c>
      <x:c r="F165" s="34" t="str">
        <x:v>MI-0696</x:v>
      </x:c>
      <x:c r="G165" s="39" t="str">
        <x:v>وای فای برای موبایل اندروید بالای 14 روش کانکت شدن</x:v>
      </x:c>
      <x:c r="H165" s="39" t="str">
        <x:v>H11</x:v>
      </x:c>
      <x:c r="I165" s="39" t="str">
        <x:v>DELEGATE/P2</x:v>
      </x:c>
      <x:c r="J165" s="39" t="str">
        <x:v>H11</x:v>
      </x:c>
      <x:c r="K165" s="39" t="str">
        <x:v>تطبیق احتمالی با پایه</x:v>
      </x:c>
      <x:c r="L165" s="39" t="str">
        <x:v>MI-0696</x:v>
      </x:c>
      <x:c r="M165" s="39" t="str">
        <x:v>وای فای برای موبایل اندروید بالای 14 روش کانکت شدن</x:v>
      </x:c>
      <x:c r="N165" s="39" t="str">
        <x:v>همه برنامه ها.docx2.docx::P826.2 | _normalized_all_programs.docx::P826.2 | 1154878548.docx::P3176.1</x:v>
      </x:c>
      <x:c r="O165" s="39"/>
    </x:row>
    <x:row r="166">
      <x:c r="A166" s="34" t="str">
        <x:v>☐</x:v>
      </x:c>
      <x:c r="B166" s="34" t="str">
        <x:v>EX-0138</x:v>
      </x:c>
      <x:c r="C166" s="34" t="str">
        <x:v>ایجاد راهکارهای</x:v>
      </x:c>
      <x:c r="D166" s="34" t="str">
        <x:v>POSSIBLE</x:v>
      </x:c>
      <x:c r="E166" s="34" t="str">
        <x:v>90.0</x:v>
      </x:c>
      <x:c r="F166" s="34" t="str">
        <x:v>MI-1004</x:v>
      </x:c>
      <x:c r="G166" s="39" t="str">
        <x:v>ایجاد راهکارهای جایگزین برای وی پی ان وای فای</x:v>
      </x:c>
      <x:c r="H166" s="39" t="str">
        <x:v>H11</x:v>
      </x:c>
      <x:c r="I166" s="39" t="str">
        <x:v>DELEGATE/P2</x:v>
      </x:c>
      <x:c r="J166" s="39" t="str">
        <x:v>H11</x:v>
      </x:c>
      <x:c r="K166" s="39" t="str">
        <x:v>تطبیق احتمالی با پایه</x:v>
      </x:c>
      <x:c r="L166" s="39" t="str">
        <x:v>MI-1004</x:v>
      </x:c>
      <x:c r="M166" s="39" t="str">
        <x:v>ایجاد راهکارهای جایگزین برای وی پی ان وای فای</x:v>
      </x:c>
      <x:c r="N166" s="39" t="str">
        <x:v>همه برنامه ها.docx2.docx::P837.1 | _normalized_all_programs.docx::P837.1 | 1154878548.docx::P3187.1</x:v>
      </x:c>
      <x:c r="O166" s="39"/>
    </x:row>
    <x:row r="167">
      <x:c r="A167" s="34" t="str">
        <x:v>☐</x:v>
      </x:c>
      <x:c r="B167" s="34" t="str">
        <x:v>EX-0139</x:v>
      </x:c>
      <x:c r="C167" s="34" t="str">
        <x:v>جایگزین برای وی پی ان وای فای</x:v>
      </x:c>
      <x:c r="D167" s="34" t="str">
        <x:v>POSSIBLE</x:v>
      </x:c>
      <x:c r="E167" s="34" t="str">
        <x:v>90.0</x:v>
      </x:c>
      <x:c r="F167" s="34" t="str">
        <x:v>MI-1004</x:v>
      </x:c>
      <x:c r="G167" s="39" t="str">
        <x:v>ایجاد راهکارهای جایگزین برای وی پی ان وای فای</x:v>
      </x:c>
      <x:c r="H167" s="39" t="str">
        <x:v>H11</x:v>
      </x:c>
      <x:c r="I167" s="39" t="str">
        <x:v>DELEGATE/P2</x:v>
      </x:c>
      <x:c r="J167" s="39" t="str">
        <x:v>H11</x:v>
      </x:c>
      <x:c r="K167" s="39" t="str">
        <x:v>تطبیق احتمالی با پایه</x:v>
      </x:c>
      <x:c r="L167" s="39" t="str">
        <x:v>MI-1004</x:v>
      </x:c>
      <x:c r="M167" s="39" t="str">
        <x:v>ایجاد راهکارهای جایگزین برای وی پی ان وای فای</x:v>
      </x:c>
      <x:c r="N167" s="39" t="str">
        <x:v>همه برنامه ها.docx2.docx::P837.2 | _normalized_all_programs.docx::P837.2 | 1154878548.docx::P3187.2</x:v>
      </x:c>
      <x:c r="O167" s="39"/>
    </x:row>
    <x:row r="168">
      <x:c r="A168" s="34" t="str">
        <x:v>☐</x:v>
      </x:c>
      <x:c r="B168" s="34" t="str">
        <x:v>EX-0140</x:v>
      </x:c>
      <x:c r="C168" s="34" t="str">
        <x:v>ه</x:v>
      </x:c>
      <x:c r="D168" s="34" t="str">
        <x:v>POSSIBLE</x:v>
      </x:c>
      <x:c r="E168" s="34" t="str">
        <x:v>90.0</x:v>
      </x:c>
      <x:c r="F168" s="34" t="str">
        <x:v>MI-2500</x:v>
      </x:c>
      <x:c r="G168" s="39" t="str">
        <x:v>مذاکره</x:v>
      </x:c>
      <x:c r="H168" s="39" t="str">
        <x:v>H4</x:v>
      </x:c>
      <x:c r="I168" s="39" t="str">
        <x:v>P1</x:v>
      </x:c>
      <x:c r="J168" s="39" t="str">
        <x:v>H4</x:v>
      </x:c>
      <x:c r="K168" s="39" t="str">
        <x:v>تطبیق احتمالی با پایه</x:v>
      </x:c>
      <x:c r="L168" s="39" t="str">
        <x:v>MI-2500</x:v>
      </x:c>
      <x:c r="M168" s="39" t="str">
        <x:v>مذاکره</x:v>
      </x:c>
      <x:c r="N168" s="39" t="str">
        <x:v>همه برنامه ها.docx2.docx::P839.2 | _normalized_all_programs.docx::P839.2 | 1154878548.docx::P3190.1</x:v>
      </x:c>
      <x:c r="O168" s="39"/>
    </x:row>
    <x:row r="169">
      <x:c r="A169" s="34" t="str">
        <x:v>☐</x:v>
      </x:c>
      <x:c r="B169" s="34" t="str">
        <x:v>EX-0141</x:v>
      </x:c>
      <x:c r="C169" s="34" t="str">
        <x:v>فرصت</x:v>
      </x:c>
      <x:c r="D169" s="34" t="str">
        <x:v>POSSIBLE</x:v>
      </x:c>
      <x:c r="E169" s="34" t="str">
        <x:v>90.0</x:v>
      </x:c>
      <x:c r="F169" s="34" t="str">
        <x:v>MI-2491</x:v>
      </x:c>
      <x:c r="G169" s="39" t="str">
        <x:v>پیشنهاد فرصت شغلی</x:v>
      </x:c>
      <x:c r="H169" s="39" t="str">
        <x:v>H3</x:v>
      </x:c>
      <x:c r="I169" s="39" t="str">
        <x:v>P0/P1</x:v>
      </x:c>
      <x:c r="J169" s="39" t="str">
        <x:v>H3</x:v>
      </x:c>
      <x:c r="K169" s="39" t="str">
        <x:v>تطبیق احتمالی با پایه</x:v>
      </x:c>
      <x:c r="L169" s="39" t="str">
        <x:v>MI-2491</x:v>
      </x:c>
      <x:c r="M169" s="39" t="str">
        <x:v>پیشنهاد فرصت شغلی</x:v>
      </x:c>
      <x:c r="N169" s="39" t="str">
        <x:v>11211.docx::P211.1</x:v>
      </x:c>
      <x:c r="O169" s="39"/>
    </x:row>
    <x:row r="170">
      <x:c r="A170" s="34" t="str">
        <x:v>☐</x:v>
      </x:c>
      <x:c r="B170" s="34" t="str">
        <x:v>EX-0142</x:v>
      </x:c>
      <x:c r="C170" s="34" t="str">
        <x:v>آیتم‌های جزئی</x:v>
      </x:c>
      <x:c r="D170" s="34" t="str">
        <x:v>POSSIBLE</x:v>
      </x:c>
      <x:c r="E170" s="34" t="str">
        <x:v>92.3</x:v>
      </x:c>
      <x:c r="F170" s="34" t="str">
        <x:v>MI-1764</x:v>
      </x:c>
      <x:c r="G170" s="39" t="str">
        <x:v>آیتم های جزیی</x:v>
      </x:c>
      <x:c r="H170" s="39" t="str">
        <x:v>H20</x:v>
      </x:c>
      <x:c r="I170" s="39" t="str">
        <x:v>P3/CLARIFY</x:v>
      </x:c>
      <x:c r="J170" s="39" t="str">
        <x:v>H20</x:v>
      </x:c>
      <x:c r="K170" s="39" t="str">
        <x:v>تطبیق احتمالی با پایه</x:v>
      </x:c>
      <x:c r="L170" s="39" t="str">
        <x:v>MI-1764</x:v>
      </x:c>
      <x:c r="M170" s="39" t="str">
        <x:v>آیتم های جزیی</x:v>
      </x:c>
      <x:c r="N170" s="39" t="str">
        <x:v>11211.docx::P250.1 | 11211.docx::P276.1 | 11211.docx::P300.1 | 11211.docx::P321.1 | 11211.docx::P342.1 | 11211.docx::P361.1 | 11211.docx::P382.1 | 11211.docx::P403.1 | 11211.docx::P420.1</x:v>
      </x:c>
      <x:c r="O170" s="39"/>
    </x:row>
    <x:row r="171">
      <x:c r="A171" s="34" t="str">
        <x:v>☐</x:v>
      </x:c>
      <x:c r="B171" s="34" t="str">
        <x:v>EX-0143</x:v>
      </x:c>
      <x:c r="C171" s="34" t="str">
        <x:v>انجمن‌های علمی</x:v>
      </x:c>
      <x:c r="D171" s="34" t="str">
        <x:v>POSSIBLE</x:v>
      </x:c>
      <x:c r="E171" s="34" t="str">
        <x:v>91.5</x:v>
      </x:c>
      <x:c r="F171" s="34" t="str">
        <x:v>MI-1169</x:v>
      </x:c>
      <x:c r="G171" s="39" t="str">
        <x:v>انجمن علمی ها</x:v>
      </x:c>
      <x:c r="H171" s="39" t="str">
        <x:v>H15</x:v>
      </x:c>
      <x:c r="I171" s="39" t="str">
        <x:v>P3/CLARIFY</x:v>
      </x:c>
      <x:c r="J171" s="39" t="str">
        <x:v>H15</x:v>
      </x:c>
      <x:c r="K171" s="39" t="str">
        <x:v>تطبیق احتمالی با پایه</x:v>
      </x:c>
      <x:c r="L171" s="39" t="str">
        <x:v>MI-1169</x:v>
      </x:c>
      <x:c r="M171" s="39" t="str">
        <x:v>انجمن علمی ها</x:v>
      </x:c>
      <x:c r="N171" s="39" t="str">
        <x:v>11211.docx::P253.1</x:v>
      </x:c>
      <x:c r="O171" s="39"/>
    </x:row>
    <x:row r="172">
      <x:c r="A172" s="34" t="str">
        <x:v>☐</x:v>
      </x:c>
      <x:c r="B172" s="34" t="str">
        <x:v>EX-0144</x:v>
      </x:c>
      <x:c r="C172" s="34" t="str">
        <x:v>رسانه‌ها</x:v>
      </x:c>
      <x:c r="D172" s="34" t="str">
        <x:v>POSSIBLE</x:v>
      </x:c>
      <x:c r="E172" s="34" t="str">
        <x:v>90.0</x:v>
      </x:c>
      <x:c r="F172" s="34" t="str">
        <x:v>MI-2157</x:v>
      </x:c>
      <x:c r="G172" s="39" t="str">
        <x:v>رسانه ها → اکوسیستم</x:v>
      </x:c>
      <x:c r="H172" s="39" t="str">
        <x:v>H10</x:v>
      </x:c>
      <x:c r="I172" s="39" t="str">
        <x:v>P2</x:v>
      </x:c>
      <x:c r="J172" s="39" t="str">
        <x:v>H10</x:v>
      </x:c>
      <x:c r="K172" s="39" t="str">
        <x:v>تطبیق احتمالی با پایه</x:v>
      </x:c>
      <x:c r="L172" s="39" t="str">
        <x:v>MI-2157</x:v>
      </x:c>
      <x:c r="M172" s="39" t="str">
        <x:v>رسانه ها → اکوسیستم</x:v>
      </x:c>
      <x:c r="N172" s="39" t="str">
        <x:v>11211.docx::P378.1</x:v>
      </x:c>
      <x:c r="O172" s="39"/>
    </x:row>
    <x:row r="173">
      <x:c r="A173" s="34" t="str">
        <x:v>☐</x:v>
      </x:c>
      <x:c r="B173" s="34" t="str">
        <x:v>EX-0145</x:v>
      </x:c>
      <x:c r="C173" s="34" t="str">
        <x:v>اینفلوئنسرها</x:v>
      </x:c>
      <x:c r="D173" s="34" t="str">
        <x:v>POSSIBLE</x:v>
      </x:c>
      <x:c r="E173" s="34" t="str">
        <x:v>91.7</x:v>
      </x:c>
      <x:c r="F173" s="34" t="str">
        <x:v>MI-1835</x:v>
      </x:c>
      <x:c r="G173" s="39" t="str">
        <x:v>اینفلوینسرها</x:v>
      </x:c>
      <x:c r="H173" s="39" t="str">
        <x:v>H20</x:v>
      </x:c>
      <x:c r="I173" s="39" t="str">
        <x:v>P3/CLARIFY</x:v>
      </x:c>
      <x:c r="J173" s="39" t="str">
        <x:v>H20</x:v>
      </x:c>
      <x:c r="K173" s="39" t="str">
        <x:v>تطبیق احتمالی با پایه</x:v>
      </x:c>
      <x:c r="L173" s="39" t="str">
        <x:v>MI-1835</x:v>
      </x:c>
      <x:c r="M173" s="39" t="str">
        <x:v>اینفلوینسرها</x:v>
      </x:c>
      <x:c r="N173" s="39" t="str">
        <x:v>11211.docx::P380.1</x:v>
      </x:c>
      <x:c r="O173" s="39"/>
    </x:row>
    <x:row r="174">
      <x:c r="A174" s="34" t="str">
        <x:v>☐</x:v>
      </x:c>
      <x:c r="B174" s="34" t="str">
        <x:v>EX-0146</x:v>
      </x:c>
      <x:c r="C174" s="34" t="str">
        <x:v>کارگاه‌ها</x:v>
      </x:c>
      <x:c r="D174" s="34" t="str">
        <x:v>POSSIBLE</x:v>
      </x:c>
      <x:c r="E174" s="34" t="str">
        <x:v>90.0</x:v>
      </x:c>
      <x:c r="F174" s="34" t="str">
        <x:v>MI-0659</x:v>
      </x:c>
      <x:c r="G174" s="39" t="str">
        <x:v>تدوین و آموزش فنی و فیلم ها و کارگاه ها متناسب با rfp</x:v>
      </x:c>
      <x:c r="H174" s="39" t="str">
        <x:v>H9</x:v>
      </x:c>
      <x:c r="I174" s="39" t="str">
        <x:v>P2</x:v>
      </x:c>
      <x:c r="J174" s="39" t="str">
        <x:v>H9</x:v>
      </x:c>
      <x:c r="K174" s="39" t="str">
        <x:v>تطبیق احتمالی با پایه</x:v>
      </x:c>
      <x:c r="L174" s="39" t="str">
        <x:v>MI-0659</x:v>
      </x:c>
      <x:c r="M174" s="39" t="str">
        <x:v>تدوین و آموزش فنی و فیلم ها و کارگاه ها متناسب با rfp</x:v>
      </x:c>
      <x:c r="N174" s="39" t="str">
        <x:v>11211.docx::P409.1</x:v>
      </x:c>
      <x:c r="O174" s="39"/>
    </x:row>
    <x:row r="175">
      <x:c r="A175" s="34" t="str">
        <x:v>☐</x:v>
      </x:c>
      <x:c r="B175" s="34" t="str">
        <x:v>EX-0147</x:v>
      </x:c>
      <x:c r="C175" s="34" t="str">
        <x:v>پروژه</x:v>
      </x:c>
      <x:c r="D175" s="34" t="str">
        <x:v>POSSIBLE</x:v>
      </x:c>
      <x:c r="E175" s="34" t="str">
        <x:v>90.0</x:v>
      </x:c>
      <x:c r="F175" s="34" t="str">
        <x:v>MI-0102</x:v>
      </x:c>
      <x:c r="G175" s="39" t="str">
        <x:v>مدیریت پروژه های چندمرحله ای</x:v>
      </x:c>
      <x:c r="H175" s="39" t="str">
        <x:v>H6</x:v>
      </x:c>
      <x:c r="I175" s="39" t="str">
        <x:v>P3/CLARIFY</x:v>
      </x:c>
      <x:c r="J175" s="39" t="str">
        <x:v>H6</x:v>
      </x:c>
      <x:c r="K175" s="39" t="str">
        <x:v>تطبیق احتمالی با پایه</x:v>
      </x:c>
      <x:c r="L175" s="39" t="str">
        <x:v>MI-0102</x:v>
      </x:c>
      <x:c r="M175" s="39" t="str">
        <x:v>مدیریت پروژه های چندمرحله ای</x:v>
      </x:c>
      <x:c r="N175" s="39" t="str">
        <x:v>11211.docx::P449.1 | 11211.docx::P809.1 | 11211.docx::P2220.1 | 11211.docx::P3176.1 | 11211.docx::P3404.1</x:v>
      </x:c>
      <x:c r="O175" s="39"/>
    </x:row>
    <x:row r="176">
      <x:c r="A176" s="34" t="str">
        <x:v>☐</x:v>
      </x:c>
      <x:c r="B176" s="34" t="str">
        <x:v>EX-0148</x:v>
      </x:c>
      <x:c r="C176" s="34" t="str">
        <x:v>آکادمی</x:v>
      </x:c>
      <x:c r="D176" s="34" t="str">
        <x:v>POSSIBLE</x:v>
      </x:c>
      <x:c r="E176" s="34" t="str">
        <x:v>90.0</x:v>
      </x:c>
      <x:c r="F176" s="34" t="str">
        <x:v>MI-2494</x:v>
      </x:c>
      <x:c r="G176" s="39" t="str">
        <x:v>2. آکادمی مهارت های نرم</x:v>
      </x:c>
      <x:c r="H176" s="39" t="str">
        <x:v>H10</x:v>
      </x:c>
      <x:c r="I176" s="39" t="str">
        <x:v>P2</x:v>
      </x:c>
      <x:c r="J176" s="39" t="str">
        <x:v>H10</x:v>
      </x:c>
      <x:c r="K176" s="39" t="str">
        <x:v>تطبیق احتمالی با پایه</x:v>
      </x:c>
      <x:c r="L176" s="39" t="str">
        <x:v>MI-2494</x:v>
      </x:c>
      <x:c r="M176" s="39" t="str">
        <x:v>2. آکادمی مهارت های نرم</x:v>
      </x:c>
      <x:c r="N176" s="39" t="str">
        <x:v>11211.docx::P468.1</x:v>
      </x:c>
      <x:c r="O176" s="39"/>
    </x:row>
    <x:row r="177">
      <x:c r="A177" s="34" t="str">
        <x:v>☐</x:v>
      </x:c>
      <x:c r="B177" s="34" t="str">
        <x:v>EX-0149</x:v>
      </x:c>
      <x:c r="C177" s="34" t="str">
        <x:v>3. شبکه‌های حرفه‌ای و اجتماعی</x:v>
      </x:c>
      <x:c r="D177" s="34" t="str">
        <x:v>POSSIBLE</x:v>
      </x:c>
      <x:c r="E177" s="34" t="str">
        <x:v>91.6</x:v>
      </x:c>
      <x:c r="F177" s="34" t="str">
        <x:v>MI-1776</x:v>
      </x:c>
      <x:c r="G177" s="39" t="str">
        <x:v>2. شبکه های اجتماعی و حرفه ای</x:v>
      </x:c>
      <x:c r="H177" s="39" t="str">
        <x:v>H14</x:v>
      </x:c>
      <x:c r="I177" s="39" t="str">
        <x:v>P3</x:v>
      </x:c>
      <x:c r="J177" s="39" t="str">
        <x:v>H14</x:v>
      </x:c>
      <x:c r="K177" s="39" t="str">
        <x:v>تطبیق احتمالی با پایه</x:v>
      </x:c>
      <x:c r="L177" s="39" t="str">
        <x:v>MI-1776</x:v>
      </x:c>
      <x:c r="M177" s="39" t="str">
        <x:v>2. شبکه های اجتماعی و حرفه ای</x:v>
      </x:c>
      <x:c r="N177" s="39" t="str">
        <x:v>11211.docx::P556.1</x:v>
      </x:c>
      <x:c r="O177" s="39"/>
    </x:row>
    <x:row r="178">
      <x:c r="A178" s="34" t="str">
        <x:v>☐</x:v>
      </x:c>
      <x:c r="B178" s="34" t="str">
        <x:v>EX-0150</x:v>
      </x:c>
      <x:c r="C178" s="34" t="str">
        <x:v>5. بازار کار و صنعت</x:v>
      </x:c>
      <x:c r="D178" s="34" t="str">
        <x:v>POSSIBLE</x:v>
      </x:c>
      <x:c r="E178" s="34" t="str">
        <x:v>90.0</x:v>
      </x:c>
      <x:c r="F178" s="34" t="str">
        <x:v>MI-2602</x:v>
      </x:c>
      <x:c r="G178" s="39" t="str">
        <x:v>صنعت</x:v>
      </x:c>
      <x:c r="H178" s="39" t="str">
        <x:v>H12</x:v>
      </x:c>
      <x:c r="I178" s="39" t="str">
        <x:v>P2</x:v>
      </x:c>
      <x:c r="J178" s="39" t="str">
        <x:v>H12</x:v>
      </x:c>
      <x:c r="K178" s="39" t="str">
        <x:v>تطبیق احتمالی با پایه</x:v>
      </x:c>
      <x:c r="L178" s="39" t="str">
        <x:v>MI-2602</x:v>
      </x:c>
      <x:c r="M178" s="39" t="str">
        <x:v>صنعت</x:v>
      </x:c>
      <x:c r="N178" s="39" t="str">
        <x:v>11211.docx::P598.1</x:v>
      </x:c>
      <x:c r="O178" s="39"/>
    </x:row>
    <x:row r="179">
      <x:c r="A179" s="34" t="str">
        <x:v>☐</x:v>
      </x:c>
      <x:c r="B179" s="34" t="str">
        <x:v>EX-0151</x:v>
      </x:c>
      <x:c r="C179" s="34" t="str">
        <x:v>VC</x:v>
      </x:c>
      <x:c r="D179" s="34" t="str">
        <x:v>POSSIBLE</x:v>
      </x:c>
      <x:c r="E179" s="34" t="str">
        <x:v>90.0</x:v>
      </x:c>
      <x:c r="F179" s="34" t="str">
        <x:v>MI-0159</x:v>
      </x:c>
      <x:c r="G179" s="39" t="str">
        <x:v>MVC</x:v>
      </x:c>
      <x:c r="H179" s="39" t="str">
        <x:v>H7</x:v>
      </x:c>
      <x:c r="I179" s="39" t="str">
        <x:v>P1</x:v>
      </x:c>
      <x:c r="J179" s="39" t="str">
        <x:v>H7</x:v>
      </x:c>
      <x:c r="K179" s="39" t="str">
        <x:v>تطبیق احتمالی با پایه</x:v>
      </x:c>
      <x:c r="L179" s="39" t="str">
        <x:v>MI-0159</x:v>
      </x:c>
      <x:c r="M179" s="39" t="str">
        <x:v>MVC</x:v>
      </x:c>
      <x:c r="N179" s="39" t="str">
        <x:v>11211.docx::P626.1</x:v>
      </x:c>
      <x:c r="O179" s="39"/>
    </x:row>
    <x:row r="180">
      <x:c r="A180" s="34" t="str">
        <x:v>☐</x:v>
      </x:c>
      <x:c r="B180" s="34" t="str">
        <x:v>EX-0152</x:v>
      </x:c>
      <x:c r="C180" s="34" t="str">
        <x:v>2. پارک علم و فناوری</x:v>
      </x:c>
      <x:c r="D180" s="34" t="str">
        <x:v>POSSIBLE</x:v>
      </x:c>
      <x:c r="E180" s="34" t="str">
        <x:v>90.0</x:v>
      </x:c>
      <x:c r="F180" s="34" t="str">
        <x:v>MI-1889</x:v>
      </x:c>
      <x:c r="G180" s="39" t="str">
        <x:v>پارک علم و</x:v>
      </x:c>
      <x:c r="H180" s="39" t="str">
        <x:v>H10</x:v>
      </x:c>
      <x:c r="I180" s="39" t="str">
        <x:v>P2</x:v>
      </x:c>
      <x:c r="J180" s="39" t="str">
        <x:v>H10</x:v>
      </x:c>
      <x:c r="K180" s="39" t="str">
        <x:v>تطبیق احتمالی با پایه</x:v>
      </x:c>
      <x:c r="L180" s="39" t="str">
        <x:v>MI-1889</x:v>
      </x:c>
      <x:c r="M180" s="39" t="str">
        <x:v>پارک علم و</x:v>
      </x:c>
      <x:c r="N180" s="39" t="str">
        <x:v>11211.docx::P782.1</x:v>
      </x:c>
      <x:c r="O180" s="39"/>
    </x:row>
    <x:row r="181">
      <x:c r="A181" s="34" t="str">
        <x:v>☐</x:v>
      </x:c>
      <x:c r="B181" s="34" t="str">
        <x:v>EX-0153</x:v>
      </x:c>
      <x:c r="C181" s="34" t="str">
        <x:v>در هر اکوسیستم ۱۰ تا ۳۰ نفر وجود دارند که:</x:v>
      </x:c>
      <x:c r="D181" s="34" t="str">
        <x:v>POSSIBLE</x:v>
      </x:c>
      <x:c r="E181" s="34" t="str">
        <x:v>90.2</x:v>
      </x:c>
      <x:c r="F181" s="34" t="str">
        <x:v>MI-2091</x:v>
      </x:c>
      <x:c r="G181" s="39" t="str">
        <x:v>در هر اکوسیستم 10 تا 30 نفر وجود دارند که:</x:v>
      </x:c>
      <x:c r="H181" s="39" t="str">
        <x:v>H10</x:v>
      </x:c>
      <x:c r="I181" s="39" t="str">
        <x:v>P2</x:v>
      </x:c>
      <x:c r="J181" s="39" t="str">
        <x:v>H10</x:v>
      </x:c>
      <x:c r="K181" s="39" t="str">
        <x:v>تطبیق احتمالی با پایه</x:v>
      </x:c>
      <x:c r="L181" s="39" t="str">
        <x:v>MI-2091</x:v>
      </x:c>
      <x:c r="M181" s="39" t="str">
        <x:v>در هر اکوسیستم 10 تا 30 نفر وجود دارند که:</x:v>
      </x:c>
      <x:c r="N181" s="39" t="str">
        <x:v>11211.docx::P825.1</x:v>
      </x:c>
      <x:c r="O181" s="39"/>
    </x:row>
    <x:row r="182">
      <x:c r="A182" s="34" t="str">
        <x:v>☐</x:v>
      </x:c>
      <x:c r="B182" s="34" t="str">
        <x:v>EX-0154</x:v>
      </x:c>
      <x:c r="C182" s="34" t="str">
        <x:v>اتصال 2</x:v>
      </x:c>
      <x:c r="D182" s="34" t="str">
        <x:v>POSSIBLE</x:v>
      </x:c>
      <x:c r="E182" s="34" t="str">
        <x:v>85.7</x:v>
      </x:c>
      <x:c r="F182" s="34" t="str">
        <x:v>MI-2146</x:v>
      </x:c>
      <x:c r="G182" s="39" t="str">
        <x:v>اتصال 1</x:v>
      </x:c>
      <x:c r="H182" s="39" t="str">
        <x:v>H20</x:v>
      </x:c>
      <x:c r="I182" s="39" t="str">
        <x:v>P3/CLARIFY</x:v>
      </x:c>
      <x:c r="J182" s="39" t="str">
        <x:v>H20</x:v>
      </x:c>
      <x:c r="K182" s="39" t="str">
        <x:v>تطبیق احتمالی با پایه</x:v>
      </x:c>
      <x:c r="L182" s="39" t="str">
        <x:v>MI-2146</x:v>
      </x:c>
      <x:c r="M182" s="39" t="str">
        <x:v>اتصال 1</x:v>
      </x:c>
      <x:c r="N182" s="39" t="str">
        <x:v>11211.docx::P938.1</x:v>
      </x:c>
      <x:c r="O182" s="39"/>
    </x:row>
    <x:row r="183">
      <x:c r="A183" s="34" t="str">
        <x:v>☐</x:v>
      </x:c>
      <x:c r="B183" s="34" t="str">
        <x:v>EX-0155</x:v>
      </x:c>
      <x:c r="C183" s="34" t="str">
        <x:v>اتصال 3</x:v>
      </x:c>
      <x:c r="D183" s="34" t="str">
        <x:v>POSSIBLE</x:v>
      </x:c>
      <x:c r="E183" s="34" t="str">
        <x:v>85.7</x:v>
      </x:c>
      <x:c r="F183" s="34" t="str">
        <x:v>MI-2146</x:v>
      </x:c>
      <x:c r="G183" s="39" t="str">
        <x:v>اتصال 1</x:v>
      </x:c>
      <x:c r="H183" s="39" t="str">
        <x:v>H20</x:v>
      </x:c>
      <x:c r="I183" s="39" t="str">
        <x:v>P3/CLARIFY</x:v>
      </x:c>
      <x:c r="J183" s="39" t="str">
        <x:v>H20</x:v>
      </x:c>
      <x:c r="K183" s="39" t="str">
        <x:v>تطبیق احتمالی با پایه</x:v>
      </x:c>
      <x:c r="L183" s="39" t="str">
        <x:v>MI-2146</x:v>
      </x:c>
      <x:c r="M183" s="39" t="str">
        <x:v>اتصال 1</x:v>
      </x:c>
      <x:c r="N183" s="39" t="str">
        <x:v>11211.docx::P941.1</x:v>
      </x:c>
      <x:c r="O183" s="39"/>
    </x:row>
    <x:row r="184">
      <x:c r="A184" s="34" t="str">
        <x:v>☐</x:v>
      </x:c>
      <x:c r="B184" s="34" t="str">
        <x:v>EX-0156</x:v>
      </x:c>
      <x:c r="C184" s="34" t="str">
        <x:v>اتصال 4</x:v>
      </x:c>
      <x:c r="D184" s="34" t="str">
        <x:v>POSSIBLE</x:v>
      </x:c>
      <x:c r="E184" s="34" t="str">
        <x:v>85.7</x:v>
      </x:c>
      <x:c r="F184" s="34" t="str">
        <x:v>MI-2146</x:v>
      </x:c>
      <x:c r="G184" s="39" t="str">
        <x:v>اتصال 1</x:v>
      </x:c>
      <x:c r="H184" s="39" t="str">
        <x:v>H20</x:v>
      </x:c>
      <x:c r="I184" s="39" t="str">
        <x:v>P3/CLARIFY</x:v>
      </x:c>
      <x:c r="J184" s="39" t="str">
        <x:v>H20</x:v>
      </x:c>
      <x:c r="K184" s="39" t="str">
        <x:v>تطبیق احتمالی با پایه</x:v>
      </x:c>
      <x:c r="L184" s="39" t="str">
        <x:v>MI-2146</x:v>
      </x:c>
      <x:c r="M184" s="39" t="str">
        <x:v>اتصال 1</x:v>
      </x:c>
      <x:c r="N184" s="39" t="str">
        <x:v>11211.docx::P944.1</x:v>
      </x:c>
      <x:c r="O184" s="39"/>
    </x:row>
    <x:row r="185">
      <x:c r="A185" s="34" t="str">
        <x:v>☐</x:v>
      </x:c>
      <x:c r="B185" s="34" t="str">
        <x:v>EX-0157</x:v>
      </x:c>
      <x:c r="C185" s="34" t="str">
        <x:v>اتصال 5</x:v>
      </x:c>
      <x:c r="D185" s="34" t="str">
        <x:v>POSSIBLE</x:v>
      </x:c>
      <x:c r="E185" s="34" t="str">
        <x:v>85.7</x:v>
      </x:c>
      <x:c r="F185" s="34" t="str">
        <x:v>MI-2146</x:v>
      </x:c>
      <x:c r="G185" s="39" t="str">
        <x:v>اتصال 1</x:v>
      </x:c>
      <x:c r="H185" s="39" t="str">
        <x:v>H20</x:v>
      </x:c>
      <x:c r="I185" s="39" t="str">
        <x:v>P3/CLARIFY</x:v>
      </x:c>
      <x:c r="J185" s="39" t="str">
        <x:v>H20</x:v>
      </x:c>
      <x:c r="K185" s="39" t="str">
        <x:v>تطبیق احتمالی با پایه</x:v>
      </x:c>
      <x:c r="L185" s="39" t="str">
        <x:v>MI-2146</x:v>
      </x:c>
      <x:c r="M185" s="39" t="str">
        <x:v>اتصال 1</x:v>
      </x:c>
      <x:c r="N185" s="39" t="str">
        <x:v>11211.docx::P947.1</x:v>
      </x:c>
      <x:c r="O185" s="39"/>
    </x:row>
    <x:row r="186">
      <x:c r="A186" s="34" t="str">
        <x:v>☐</x:v>
      </x:c>
      <x:c r="B186" s="34" t="str">
        <x:v>EX-0158</x:v>
      </x:c>
      <x:c r="C186" s="34" t="str">
        <x:v>۱۰ گره قدرت واقعی کدام‌اند</x:v>
      </x:c>
      <x:c r="D186" s="34" t="str">
        <x:v>POSSIBLE</x:v>
      </x:c>
      <x:c r="E186" s="34" t="str">
        <x:v>92.3</x:v>
      </x:c>
      <x:c r="F186" s="34" t="str">
        <x:v>MI-2175</x:v>
      </x:c>
      <x:c r="G186" s="39" t="str">
        <x:v>10 گره قدرت واقعی کدام اند</x:v>
      </x:c>
      <x:c r="H186" s="39" t="str">
        <x:v>H20</x:v>
      </x:c>
      <x:c r="I186" s="39" t="str">
        <x:v>P3/CLARIFY</x:v>
      </x:c>
      <x:c r="J186" s="39" t="str">
        <x:v>H20</x:v>
      </x:c>
      <x:c r="K186" s="39" t="str">
        <x:v>تطبیق احتمالی با پایه</x:v>
      </x:c>
      <x:c r="L186" s="39" t="str">
        <x:v>MI-2175</x:v>
      </x:c>
      <x:c r="M186" s="39" t="str">
        <x:v>10 گره قدرت واقعی کدام اند</x:v>
      </x:c>
      <x:c r="N186" s="39" t="str">
        <x:v>11211.docx::P980.1</x:v>
      </x:c>
      <x:c r="O186" s="39"/>
    </x:row>
    <x:row r="187">
      <x:c r="A187" s="34" t="str">
        <x:v>☐</x:v>
      </x:c>
      <x:c r="B187" s="34" t="str">
        <x:v>EX-0159</x:v>
      </x:c>
      <x:c r="C187" s="34" t="str">
        <x:v>۱۵ خلأ بزرگ کجاست</x:v>
      </x:c>
      <x:c r="D187" s="34" t="str">
        <x:v>POSSIBLE</x:v>
      </x:c>
      <x:c r="E187" s="34" t="str">
        <x:v>88.2</x:v>
      </x:c>
      <x:c r="F187" s="34" t="str">
        <x:v>MI-2176</x:v>
      </x:c>
      <x:c r="G187" s="39" t="str">
        <x:v>15 خلا بزرگ کجاست</x:v>
      </x:c>
      <x:c r="H187" s="39" t="str">
        <x:v>H20</x:v>
      </x:c>
      <x:c r="I187" s="39" t="str">
        <x:v>P3/CLARIFY</x:v>
      </x:c>
      <x:c r="J187" s="39" t="str">
        <x:v>H20</x:v>
      </x:c>
      <x:c r="K187" s="39" t="str">
        <x:v>تطبیق احتمالی با پایه</x:v>
      </x:c>
      <x:c r="L187" s="39" t="str">
        <x:v>MI-2176</x:v>
      </x:c>
      <x:c r="M187" s="39" t="str">
        <x:v>15 خلا بزرگ کجاست</x:v>
      </x:c>
      <x:c r="N187" s="39" t="str">
        <x:v>11211.docx::P981.1</x:v>
      </x:c>
      <x:c r="O187" s="39"/>
    </x:row>
    <x:row r="188">
      <x:c r="A188" s="34" t="str">
        <x:v>☐</x:v>
      </x:c>
      <x:c r="B188" s="34" t="str">
        <x:v>EX-0160</x:v>
      </x:c>
      <x:c r="C188" s="34" t="str">
        <x:v>نقش:</x:v>
      </x:c>
      <x:c r="D188" s="34" t="str">
        <x:v>POSSIBLE</x:v>
      </x:c>
      <x:c r="E188" s="34" t="str">
        <x:v>90.0</x:v>
      </x:c>
      <x:c r="F188" s="34" t="str">
        <x:v>MI-2161</x:v>
      </x:c>
      <x:c r="G188" s="39" t="str">
        <x:v>نقشه استعداد استان</x:v>
      </x:c>
      <x:c r="H188" s="39" t="str">
        <x:v>H10</x:v>
      </x:c>
      <x:c r="I188" s="39" t="str">
        <x:v>P2</x:v>
      </x:c>
      <x:c r="J188" s="39" t="str">
        <x:v>H10</x:v>
      </x:c>
      <x:c r="K188" s="39" t="str">
        <x:v>تطبیق احتمالی با پایه</x:v>
      </x:c>
      <x:c r="L188" s="39" t="str">
        <x:v>MI-2161</x:v>
      </x:c>
      <x:c r="M188" s="39" t="str">
        <x:v>نقشه استعداد استان</x:v>
      </x:c>
      <x:c r="N188" s="39" t="str">
        <x:v>11211.docx::P1003.1 | 11211.docx::P1017.1 | 11211.docx::P3034.1</x:v>
      </x:c>
      <x:c r="O188" s="39"/>
    </x:row>
    <x:row r="189">
      <x:c r="A189" s="34" t="str">
        <x:v>☐</x:v>
      </x:c>
      <x:c r="B189" s="34" t="str">
        <x:v>EX-0161</x:v>
      </x:c>
      <x:c r="C189" s="34" t="str">
        <x:v>خلأ 2</x:v>
      </x:c>
      <x:c r="D189" s="34" t="str">
        <x:v>POSSIBLE</x:v>
      </x:c>
      <x:c r="E189" s="34" t="str">
        <x:v>85.5</x:v>
      </x:c>
      <x:c r="F189" s="34" t="str">
        <x:v>MI-1635</x:v>
      </x:c>
      <x:c r="G189" s="39" t="str">
        <x:v>مرحله 2: معرفی فرصت های صادراتی</x:v>
      </x:c>
      <x:c r="H189" s="39" t="str">
        <x:v>H8</x:v>
      </x:c>
      <x:c r="I189" s="39" t="str">
        <x:v>P2</x:v>
      </x:c>
      <x:c r="J189" s="39" t="str">
        <x:v>H8</x:v>
      </x:c>
      <x:c r="K189" s="39" t="str">
        <x:v>تطبیق احتمالی با پایه</x:v>
      </x:c>
      <x:c r="L189" s="39" t="str">
        <x:v>MI-1635</x:v>
      </x:c>
      <x:c r="M189" s="39" t="str">
        <x:v>مرحله 2: معرفی فرصت های صادراتی</x:v>
      </x:c>
      <x:c r="N189" s="39" t="str">
        <x:v>11211.docx::P1146.1</x:v>
      </x:c>
      <x:c r="O189" s="39"/>
    </x:row>
    <x:row r="190">
      <x:c r="A190" s="34" t="str">
        <x:v>☐</x:v>
      </x:c>
      <x:c r="B190" s="34" t="str">
        <x:v>EX-0162</x:v>
      </x:c>
      <x:c r="C190" s="34" t="str">
        <x:v>خلأ 3</x:v>
      </x:c>
      <x:c r="D190" s="34" t="str">
        <x:v>POSSIBLE</x:v>
      </x:c>
      <x:c r="E190" s="34" t="str">
        <x:v>85.5</x:v>
      </x:c>
      <x:c r="F190" s="34" t="str">
        <x:v>MI-2967</x:v>
      </x:c>
      <x:c r="G190" s="39" t="str">
        <x:v>واحد 3 — سیستم تیم سازی و نوآوری</x:v>
      </x:c>
      <x:c r="H190" s="39" t="str">
        <x:v>H4</x:v>
      </x:c>
      <x:c r="I190" s="39" t="str">
        <x:v>P1</x:v>
      </x:c>
      <x:c r="J190" s="39" t="str">
        <x:v>H4</x:v>
      </x:c>
      <x:c r="K190" s="39" t="str">
        <x:v>تطبیق احتمالی با پایه</x:v>
      </x:c>
      <x:c r="L190" s="39" t="str">
        <x:v>MI-2967</x:v>
      </x:c>
      <x:c r="M190" s="39" t="str">
        <x:v>واحد 3 — سیستم تیم سازی و نوآوری</x:v>
      </x:c>
      <x:c r="N190" s="39" t="str">
        <x:v>11211.docx::P1155.1</x:v>
      </x:c>
      <x:c r="O190" s="39"/>
    </x:row>
    <x:row r="191">
      <x:c r="A191" s="34" t="str">
        <x:v>☐</x:v>
      </x:c>
      <x:c r="B191" s="34" t="str">
        <x:v>EX-0163</x:v>
      </x:c>
      <x:c r="C191" s="34" t="str">
        <x:v>خلأ 4</x:v>
      </x:c>
      <x:c r="D191" s="34" t="str">
        <x:v>POSSIBLE</x:v>
      </x:c>
      <x:c r="E191" s="34" t="str">
        <x:v>85.5</x:v>
      </x:c>
      <x:c r="F191" s="34" t="str">
        <x:v>MI-2512</x:v>
      </x:c>
      <x:c r="G191" s="39" t="str">
        <x:v>4. مراکز نوآوری و تیم سازی</x:v>
      </x:c>
      <x:c r="H191" s="39" t="str">
        <x:v>H4</x:v>
      </x:c>
      <x:c r="I191" s="39" t="str">
        <x:v>P1</x:v>
      </x:c>
      <x:c r="J191" s="39" t="str">
        <x:v>H4</x:v>
      </x:c>
      <x:c r="K191" s="39" t="str">
        <x:v>تطبیق احتمالی با پایه</x:v>
      </x:c>
      <x:c r="L191" s="39" t="str">
        <x:v>MI-2512</x:v>
      </x:c>
      <x:c r="M191" s="39" t="str">
        <x:v>4. مراکز نوآوری و تیم سازی</x:v>
      </x:c>
      <x:c r="N191" s="39" t="str">
        <x:v>11211.docx::P1163.1</x:v>
      </x:c>
      <x:c r="O191" s="39"/>
    </x:row>
    <x:row r="192">
      <x:c r="A192" s="34" t="str">
        <x:v>☐</x:v>
      </x:c>
      <x:c r="B192" s="34" t="str">
        <x:v>EX-0164</x:v>
      </x:c>
      <x:c r="C192" s="34" t="str">
        <x:v>حل مسئله صنعت</x:v>
      </x:c>
      <x:c r="D192" s="34" t="str">
        <x:v>POSSIBLE</x:v>
      </x:c>
      <x:c r="E192" s="34" t="str">
        <x:v>92.3</x:v>
      </x:c>
      <x:c r="F192" s="34" t="str">
        <x:v>MI-2382</x:v>
      </x:c>
      <x:c r="G192" s="39" t="str">
        <x:v>حل مسیله صنعت</x:v>
      </x:c>
      <x:c r="H192" s="39" t="str">
        <x:v>H12</x:v>
      </x:c>
      <x:c r="I192" s="39" t="str">
        <x:v>P2</x:v>
      </x:c>
      <x:c r="J192" s="39" t="str">
        <x:v>H12</x:v>
      </x:c>
      <x:c r="K192" s="39" t="str">
        <x:v>تطبیق احتمالی با پایه</x:v>
      </x:c>
      <x:c r="L192" s="39" t="str">
        <x:v>MI-2382</x:v>
      </x:c>
      <x:c r="M192" s="39" t="str">
        <x:v>حل مسیله صنعت</x:v>
      </x:c>
      <x:c r="N192" s="39" t="str">
        <x:v>11211.docx::P1430.1</x:v>
      </x:c>
      <x:c r="O192" s="39"/>
    </x:row>
    <x:row r="193">
      <x:c r="A193" s="34" t="str">
        <x:v>☐</x:v>
      </x:c>
      <x:c r="B193" s="34" t="str">
        <x:v>EX-0165</x:v>
      </x:c>
      <x:c r="C193" s="34" t="str">
        <x:v>مسئله صنعت</x:v>
      </x:c>
      <x:c r="D193" s="34" t="str">
        <x:v>POSSIBLE</x:v>
      </x:c>
      <x:c r="E193" s="34" t="str">
        <x:v>90.0</x:v>
      </x:c>
      <x:c r="F193" s="34" t="str">
        <x:v>MI-2388</x:v>
      </x:c>
      <x:c r="G193" s="39" t="str">
        <x:v>مسیله صنعت</x:v>
      </x:c>
      <x:c r="H193" s="39" t="str">
        <x:v>H12</x:v>
      </x:c>
      <x:c r="I193" s="39" t="str">
        <x:v>P2</x:v>
      </x:c>
      <x:c r="J193" s="39" t="str">
        <x:v>H12</x:v>
      </x:c>
      <x:c r="K193" s="39" t="str">
        <x:v>تطبیق احتمالی با پایه</x:v>
      </x:c>
      <x:c r="L193" s="39" t="str">
        <x:v>MI-2388</x:v>
      </x:c>
      <x:c r="M193" s="39" t="str">
        <x:v>مسیله صنعت</x:v>
      </x:c>
      <x:c r="N193" s="39" t="str">
        <x:v>11211.docx::P1440.1</x:v>
      </x:c>
      <x:c r="O193" s="39"/>
    </x:row>
    <x:row r="194">
      <x:c r="A194" s="34" t="str">
        <x:v>☐</x:v>
      </x:c>
      <x:c r="B194" s="34" t="str">
        <x:v>EX-0166</x:v>
      </x:c>
      <x:c r="C194" s="34" t="str">
        <x:v>↓</x:v>
      </x:c>
      <x:c r="D194" s="34" t="str">
        <x:v>NOISE</x:v>
      </x:c>
      <x:c r="E194" s="34" t="str">
        <x:v>0</x:v>
      </x:c>
      <x:c r="F194" s="34"/>
      <x:c r="G194" s="39"/>
      <x:c r="H194" s="39"/>
      <x:c r="I194" s="39"/>
      <x:c r="J194" s="39" t="str">
        <x:v>STRUCT</x:v>
      </x:c>
      <x:c r="K194" s="39" t="str">
        <x:v>ساختار/برچسب</x:v>
      </x:c>
      <x:c r="L194" s="39"/>
      <x:c r="M194" s="39"/>
      <x:c r="N194" s="39" t="str">
        <x:v>11211.docx::P1442.1 | 11211.docx::P1446.1 | 11211.docx::P1450.1 | 11211.docx::P1454.1 | 11211.docx::P1458.1 | 11211.docx::P2210.1 | 11211.docx::P2214.1 | 11211.docx::P2218.1 | 11211.docx::P2222.1 | 11211.docx::P2226.1 | 11211.docx::P2230.1 | 11211.docx::P2234.1 | 11211.docx::P2238.1 | 11211.docx::P3166.1 | 11211.docx::P3170.1 | 11211.docx::P3174.1 | 11211.docx::P3178.1 | 11211.docx::P3182.1 | 11211.docx::P3186.1 | 11211.docx::P3190.1 | 11211.docx::P3198.1 | 11211.docx::P3200.1 | 11211.docx::P3202.1 | 11211.docx::P3204.1 | 11211.docx::P3206.1 | 11211.docx::P3208.1 | 11211.docx::P3210.1 | 11211.docx::P3212.1 | 11211.docx::P3214.1 | 11211.docx::P3394.1 | 11211.docx::P3398.1 | 11211.docx::P3402.1 | 11211.docx::P3428.1 | 11211.docx::P3432.1 | 11211.docx::P3436.1 | 11211.docx::P3519.1 | 11211.docx::P3523.1 | 11211.docx::P3527.1 | 11211.docx::P3531.1 | 11211.docx::P3535.1 | 11211.docx::P3539.1 | 11211.docx::P3543.1</x:v>
      </x:c>
      <x:c r="O194" s="39"/>
    </x:row>
    <x:row r="195">
      <x:c r="A195" s="34" t="str">
        <x:v>☐</x:v>
      </x:c>
      <x:c r="B195" s="34" t="str">
        <x:v>EX-0167</x:v>
      </x:c>
      <x:c r="C195" s="34" t="str">
        <x:v>تیم</x:v>
      </x:c>
      <x:c r="D195" s="34" t="str">
        <x:v>POSSIBLE</x:v>
      </x:c>
      <x:c r="E195" s="34" t="str">
        <x:v>90.0</x:v>
      </x:c>
      <x:c r="F195" s="34" t="str">
        <x:v>MI-0208</x:v>
      </x:c>
      <x:c r="G195" s="39" t="str">
        <x:v>توسعه فردی و رهبری تیم</x:v>
      </x:c>
      <x:c r="H195" s="39" t="str">
        <x:v>H1</x:v>
      </x:c>
      <x:c r="I195" s="39" t="str">
        <x:v>P0</x:v>
      </x:c>
      <x:c r="J195" s="39" t="str">
        <x:v>H1</x:v>
      </x:c>
      <x:c r="K195" s="39" t="str">
        <x:v>تطبیق احتمالی با پایه</x:v>
      </x:c>
      <x:c r="L195" s="39" t="str">
        <x:v>MI-0208</x:v>
      </x:c>
      <x:c r="M195" s="39" t="str">
        <x:v>توسعه فردی و رهبری تیم</x:v>
      </x:c>
      <x:c r="N195" s="39" t="str">
        <x:v>11211.docx::P1448.1 | 11211.docx::P3396.1</x:v>
      </x:c>
      <x:c r="O195" s="39"/>
    </x:row>
    <x:row r="196">
      <x:c r="A196" s="34" t="str">
        <x:v>☐</x:v>
      </x:c>
      <x:c r="B196" s="34" t="str">
        <x:v>EX-0168</x:v>
      </x:c>
      <x:c r="C196" s="34" t="str">
        <x:v>________________________________________</x:v>
      </x:c>
      <x:c r="D196" s="34" t="str">
        <x:v>UNMAPPED</x:v>
      </x:c>
      <x:c r="E196" s="34" t="str">
        <x:v>18.0</x:v>
      </x:c>
      <x:c r="F196" s="34" t="str">
        <x:v>MI-1624</x:v>
      </x:c>
      <x:c r="G196" s="39" t="str">
        <x:v>thumb_upthumb_down</x:v>
      </x:c>
      <x:c r="H196" s="39" t="str">
        <x:v>H20</x:v>
      </x:c>
      <x:c r="I196" s="39" t="str">
        <x:v>P3/CLARIFY</x:v>
      </x:c>
      <x:c r="J196" s="39" t="str">
        <x:v>H23</x:v>
      </x:c>
      <x:c r="K196" s="39" t="str">
        <x:v>نیازمند پالایش؛ حذف نشده</x:v>
      </x:c>
      <x:c r="L196" s="39"/>
      <x:c r="M196" s="39"/>
      <x:c r="N196" s="39" t="str">
        <x:v>11211.docx::P1841.1 | 11211.docx::P1850.1 | 11211.docx::P1861.1 | 11211.docx::P1869.1 | 11211.docx::P1876.1 | 11211.docx::P1886.1 | 11211.docx::P1895.1 | 11211.docx::P1903.1 | 11211.docx::P1918.1 | 11211.docx::P2307.1 | 11211.docx::P2316.1 | 11211.docx::P2327.1 | 11211.docx::P2335.1 | 11211.docx::P2342.1 | 11211.docx::P2352.1 | 11211.docx::P2361.1 | 11211.docx::P2369.1 | 11211.docx::P2384.1</x:v>
      </x:c>
      <x:c r="O196" s="39"/>
    </x:row>
    <x:row r="197">
      <x:c r="A197" s="34" t="str">
        <x:v>☐</x:v>
      </x:c>
      <x:c r="B197" s="34" t="str">
        <x:v>EX-0169</x:v>
      </x:c>
      <x:c r="C197" s="34" t="str">
        <x:v>حل مسئله</x:v>
      </x:c>
      <x:c r="D197" s="34" t="str">
        <x:v>POSSIBLE</x:v>
      </x:c>
      <x:c r="E197" s="34" t="str">
        <x:v>87.5</x:v>
      </x:c>
      <x:c r="F197" s="34" t="str">
        <x:v>MI-2499</x:v>
      </x:c>
      <x:c r="G197" s="39" t="str">
        <x:v>حل مسیله</x:v>
      </x:c>
      <x:c r="H197" s="39" t="str">
        <x:v>H20</x:v>
      </x:c>
      <x:c r="I197" s="39" t="str">
        <x:v>P3/CLARIFY</x:v>
      </x:c>
      <x:c r="J197" s="39" t="str">
        <x:v>H20</x:v>
      </x:c>
      <x:c r="K197" s="39" t="str">
        <x:v>تطبیق احتمالی با پایه</x:v>
      </x:c>
      <x:c r="L197" s="39" t="str">
        <x:v>MI-2499</x:v>
      </x:c>
      <x:c r="M197" s="39" t="str">
        <x:v>حل مسیله</x:v>
      </x:c>
      <x:c r="N197" s="39" t="str">
        <x:v>11211.docx::P2000.1 | 11211.docx::P2528.1 | 11211.docx::P2981.1 | 11211.docx::P3438.1 | 1154878548.docx::P7485.1</x:v>
      </x:c>
      <x:c r="O197" s="39"/>
    </x:row>
    <x:row r="198">
      <x:c r="A198" s="34" t="str">
        <x:v>☐</x:v>
      </x:c>
      <x:c r="B198" s="34" t="str">
        <x:v>EX-0170</x:v>
      </x:c>
      <x:c r="C198" s="34" t="str">
        <x:v>6. اردوگاه‌ها و کمپ‌های علم و فناوری</x:v>
      </x:c>
      <x:c r="D198" s="34" t="str">
        <x:v>POSSIBLE</x:v>
      </x:c>
      <x:c r="E198" s="34" t="str">
        <x:v>92.0</x:v>
      </x:c>
      <x:c r="F198" s="34" t="str">
        <x:v>MI-2530</x:v>
      </x:c>
      <x:c r="G198" s="39" t="str">
        <x:v>10. کمپ ها و اردوگاه های علم و فناوری</x:v>
      </x:c>
      <x:c r="H198" s="39" t="str">
        <x:v>H10</x:v>
      </x:c>
      <x:c r="I198" s="39" t="str">
        <x:v>P2</x:v>
      </x:c>
      <x:c r="J198" s="39" t="str">
        <x:v>H10</x:v>
      </x:c>
      <x:c r="K198" s="39" t="str">
        <x:v>تطبیق احتمالی با پایه</x:v>
      </x:c>
      <x:c r="L198" s="39" t="str">
        <x:v>MI-2530</x:v>
      </x:c>
      <x:c r="M198" s="39" t="str">
        <x:v>10. کمپ ها و اردوگاه های علم و فناوری</x:v>
      </x:c>
      <x:c r="N198" s="39" t="str">
        <x:v>11211.docx::P2055.1</x:v>
      </x:c>
      <x:c r="O198" s="39"/>
    </x:row>
    <x:row r="199">
      <x:c r="A199" s="34" t="str">
        <x:v>☐</x:v>
      </x:c>
      <x:c r="B199" s="34" t="str">
        <x:v>EX-0171</x:v>
      </x:c>
      <x:c r="C199" s="34" t="str">
        <x:v>حل مسئله صنعتی</x:v>
      </x:c>
      <x:c r="D199" s="34" t="str">
        <x:v>POSSIBLE</x:v>
      </x:c>
      <x:c r="E199" s="34" t="str">
        <x:v>92.9</x:v>
      </x:c>
      <x:c r="F199" s="34" t="str">
        <x:v>MI-2534</x:v>
      </x:c>
      <x:c r="G199" s="39" t="str">
        <x:v>حل مسیله صنعتی</x:v>
      </x:c>
      <x:c r="H199" s="39" t="str">
        <x:v>H12</x:v>
      </x:c>
      <x:c r="I199" s="39" t="str">
        <x:v>P2</x:v>
      </x:c>
      <x:c r="J199" s="39" t="str">
        <x:v>H12</x:v>
      </x:c>
      <x:c r="K199" s="39" t="str">
        <x:v>تطبیق احتمالی با پایه</x:v>
      </x:c>
      <x:c r="L199" s="39" t="str">
        <x:v>MI-2534</x:v>
      </x:c>
      <x:c r="M199" s="39" t="str">
        <x:v>حل مسیله صنعتی</x:v>
      </x:c>
      <x:c r="N199" s="39" t="str">
        <x:v>11211.docx::P2065.1</x:v>
      </x:c>
      <x:c r="O199" s="39"/>
    </x:row>
    <x:row r="200">
      <x:c r="A200" s="34" t="str">
        <x:v>☐</x:v>
      </x:c>
      <x:c r="B200" s="34" t="str">
        <x:v>EX-0172</x:v>
      </x:c>
      <x:c r="C200" s="34" t="str">
        <x:v>منابع مسئله:</x:v>
      </x:c>
      <x:c r="D200" s="34" t="str">
        <x:v>POSSIBLE</x:v>
      </x:c>
      <x:c r="E200" s="34" t="str">
        <x:v>90.9</x:v>
      </x:c>
      <x:c r="F200" s="34" t="str">
        <x:v>MI-2539</x:v>
      </x:c>
      <x:c r="G200" s="39" t="str">
        <x:v>منابع مسیله:</x:v>
      </x:c>
      <x:c r="H200" s="39" t="str">
        <x:v>H20</x:v>
      </x:c>
      <x:c r="I200" s="39" t="str">
        <x:v>P3/CLARIFY</x:v>
      </x:c>
      <x:c r="J200" s="39" t="str">
        <x:v>H20</x:v>
      </x:c>
      <x:c r="K200" s="39" t="str">
        <x:v>تطبیق احتمالی با پایه</x:v>
      </x:c>
      <x:c r="L200" s="39" t="str">
        <x:v>MI-2539</x:v>
      </x:c>
      <x:c r="M200" s="39" t="str">
        <x:v>منابع مسیله:</x:v>
      </x:c>
      <x:c r="N200" s="39" t="str">
        <x:v>11211.docx::P2074.1</x:v>
      </x:c>
      <x:c r="O200" s="39"/>
    </x:row>
    <x:row r="201">
      <x:c r="A201" s="34" t="str">
        <x:v>☐</x:v>
      </x:c>
      <x:c r="B201" s="34" t="str">
        <x:v>EX-0173</x:v>
      </x:c>
      <x:c r="C201" s="34" t="str">
        <x:v>مسائل اجتماعی</x:v>
      </x:c>
      <x:c r="D201" s="34" t="str">
        <x:v>POSSIBLE</x:v>
      </x:c>
      <x:c r="E201" s="34" t="str">
        <x:v>92.3</x:v>
      </x:c>
      <x:c r="F201" s="34" t="str">
        <x:v>MI-2541</x:v>
      </x:c>
      <x:c r="G201" s="39" t="str">
        <x:v>مسایل اجتماعی</x:v>
      </x:c>
      <x:c r="H201" s="39" t="str">
        <x:v>H20</x:v>
      </x:c>
      <x:c r="I201" s="39" t="str">
        <x:v>P3/CLARIFY</x:v>
      </x:c>
      <x:c r="J201" s="39" t="str">
        <x:v>H20</x:v>
      </x:c>
      <x:c r="K201" s="39" t="str">
        <x:v>تطبیق احتمالی با پایه</x:v>
      </x:c>
      <x:c r="L201" s="39" t="str">
        <x:v>MI-2541</x:v>
      </x:c>
      <x:c r="M201" s="39" t="str">
        <x:v>مسایل اجتماعی</x:v>
      </x:c>
      <x:c r="N201" s="39" t="str">
        <x:v>11211.docx::P2079.1 | 11211.docx::P2731.1</x:v>
      </x:c>
      <x:c r="O201" s="39"/>
    </x:row>
    <x:row r="202">
      <x:c r="A202" s="34" t="str">
        <x:v>☐</x:v>
      </x:c>
      <x:c r="B202" s="34" t="str">
        <x:v>EX-0174</x:v>
      </x:c>
      <x:c r="C202" s="34" t="str">
        <x:v>هکاتون</x:v>
      </x:c>
      <x:c r="D202" s="34" t="str">
        <x:v>POSSIBLE</x:v>
      </x:c>
      <x:c r="E202" s="34" t="str">
        <x:v>90.0</x:v>
      </x:c>
      <x:c r="F202" s="34" t="str">
        <x:v>MI-2554</x:v>
      </x:c>
      <x:c r="G202" s="39" t="str">
        <x:v>هکاتون ها</x:v>
      </x:c>
      <x:c r="H202" s="39" t="str">
        <x:v>H20</x:v>
      </x:c>
      <x:c r="I202" s="39" t="str">
        <x:v>P3/CLARIFY</x:v>
      </x:c>
      <x:c r="J202" s="39" t="str">
        <x:v>H20</x:v>
      </x:c>
      <x:c r="K202" s="39" t="str">
        <x:v>تطبیق احتمالی با پایه</x:v>
      </x:c>
      <x:c r="L202" s="39" t="str">
        <x:v>MI-2554</x:v>
      </x:c>
      <x:c r="M202" s="39" t="str">
        <x:v>هکاتون ها</x:v>
      </x:c>
      <x:c r="N202" s="39" t="str">
        <x:v>11211.docx::P2107.1 | 11211.docx::P2750.1 | 11211.docx::P3078.1</x:v>
      </x:c>
      <x:c r="O202" s="39"/>
    </x:row>
    <x:row r="203">
      <x:c r="A203" s="34" t="str">
        <x:v>☐</x:v>
      </x:c>
      <x:c r="B203" s="34" t="str">
        <x:v>EX-0175</x:v>
      </x:c>
      <x:c r="C203" s="34" t="str">
        <x:v>مدل:</x:v>
      </x:c>
      <x:c r="D203" s="34" t="str">
        <x:v>POSSIBLE</x:v>
      </x:c>
      <x:c r="E203" s="34" t="str">
        <x:v>90.0</x:v>
      </x:c>
      <x:c r="F203" s="34" t="str">
        <x:v>MI-2456</x:v>
      </x:c>
      <x:c r="G203" s="39" t="str">
        <x:v>مدل صادرات کارآفرین</x:v>
      </x:c>
      <x:c r="H203" s="39" t="str">
        <x:v>H8</x:v>
      </x:c>
      <x:c r="I203" s="39" t="str">
        <x:v>P2</x:v>
      </x:c>
      <x:c r="J203" s="39" t="str">
        <x:v>H8</x:v>
      </x:c>
      <x:c r="K203" s="39" t="str">
        <x:v>تطبیق احتمالی با پایه</x:v>
      </x:c>
      <x:c r="L203" s="39" t="str">
        <x:v>MI-2456</x:v>
      </x:c>
      <x:c r="M203" s="39" t="str">
        <x:v>مدل صادرات کارآفرین</x:v>
      </x:c>
      <x:c r="N203" s="39" t="str">
        <x:v>11211.docx::P2170.1</x:v>
      </x:c>
      <x:c r="O203" s="39"/>
    </x:row>
    <x:row r="204">
      <x:c r="A204" s="34" t="str">
        <x:v>☐</x:v>
      </x:c>
      <x:c r="B204" s="34" t="str">
        <x:v>EX-0176</x:v>
      </x:c>
      <x:c r="C204" s="34" t="str">
        <x:v>شرکت</x:v>
      </x:c>
      <x:c r="D204" s="34" t="str">
        <x:v>POSSIBLE</x:v>
      </x:c>
      <x:c r="E204" s="34" t="str">
        <x:v>90.0</x:v>
      </x:c>
      <x:c r="F204" s="34" t="str">
        <x:v>MI-1858</x:v>
      </x:c>
      <x:c r="G204" s="39" t="str">
        <x:v>مدیران ارشد شرکت ها</x:v>
      </x:c>
      <x:c r="H204" s="39" t="str">
        <x:v>H2</x:v>
      </x:c>
      <x:c r="I204" s="39" t="str">
        <x:v>P3/CLARIFY</x:v>
      </x:c>
      <x:c r="J204" s="39" t="str">
        <x:v>H2</x:v>
      </x:c>
      <x:c r="K204" s="39" t="str">
        <x:v>تطبیق احتمالی با پایه</x:v>
      </x:c>
      <x:c r="L204" s="39" t="str">
        <x:v>MI-1858</x:v>
      </x:c>
      <x:c r="M204" s="39" t="str">
        <x:v>مدیران ارشد شرکت ها</x:v>
      </x:c>
      <x:c r="N204" s="39" t="str">
        <x:v>11211.docx::P2236.1 | 11211.docx::P3188.1</x:v>
      </x:c>
      <x:c r="O204" s="39"/>
    </x:row>
    <x:row r="205">
      <x:c r="A205" s="34" t="str">
        <x:v>☐</x:v>
      </x:c>
      <x:c r="B205" s="34" t="str">
        <x:v>EX-0177</x:v>
      </x:c>
      <x:c r="C205" s="34" t="str">
        <x:v>تجربه</x:v>
      </x:c>
      <x:c r="D205" s="34" t="str">
        <x:v>POSSIBLE</x:v>
      </x:c>
      <x:c r="E205" s="34" t="str">
        <x:v>90.0</x:v>
      </x:c>
      <x:c r="F205" s="34" t="str">
        <x:v>MI-1704</x:v>
      </x:c>
      <x:c r="G205" s="39" t="str">
        <x:v>o انتقال تجربه ساخت استارتاپ</x:v>
      </x:c>
      <x:c r="H205" s="39" t="str">
        <x:v>H8</x:v>
      </x:c>
      <x:c r="I205" s="39" t="str">
        <x:v>P2</x:v>
      </x:c>
      <x:c r="J205" s="39" t="str">
        <x:v>H8</x:v>
      </x:c>
      <x:c r="K205" s="39" t="str">
        <x:v>تطبیق احتمالی با پایه</x:v>
      </x:c>
      <x:c r="L205" s="39" t="str">
        <x:v>MI-1704</x:v>
      </x:c>
      <x:c r="M205" s="39" t="str">
        <x:v>o انتقال تجربه ساخت استارتاپ</x:v>
      </x:c>
      <x:c r="N205" s="39" t="str">
        <x:v>11211.docx::P2710.1</x:v>
      </x:c>
      <x:c r="O205" s="39"/>
    </x:row>
    <x:row r="206">
      <x:c r="A206" s="34" t="str">
        <x:v>☐</x:v>
      </x:c>
      <x:c r="B206" s="34" t="str">
        <x:v>EX-0178</x:v>
      </x:c>
      <x:c r="C206" s="34" t="str">
        <x:v>+</x:v>
      </x:c>
      <x:c r="D206" s="34" t="str">
        <x:v>NOISE</x:v>
      </x:c>
      <x:c r="E206" s="34" t="str">
        <x:v>0</x:v>
      </x:c>
      <x:c r="F206" s="34"/>
      <x:c r="G206" s="39"/>
      <x:c r="H206" s="39"/>
      <x:c r="I206" s="39"/>
      <x:c r="J206" s="39" t="str">
        <x:v>STRUCT</x:v>
      </x:c>
      <x:c r="K206" s="39" t="str">
        <x:v>ساختار/برچسب</x:v>
      </x:c>
      <x:c r="L206" s="39"/>
      <x:c r="M206" s="39"/>
      <x:c r="N206" s="39" t="str">
        <x:v>11211.docx::P2845.1 | 11211.docx::P2847.1</x:v>
      </x:c>
      <x:c r="O206" s="39"/>
    </x:row>
    <x:row r="207">
      <x:c r="A207" s="34" t="str">
        <x:v>☐</x:v>
      </x:c>
      <x:c r="B207" s="34" t="str">
        <x:v>EX-0179</x:v>
      </x:c>
      <x:c r="C207" s="34" t="str">
        <x:v>آموزش مهارت</x:v>
      </x:c>
      <x:c r="D207" s="34" t="str">
        <x:v>POSSIBLE</x:v>
      </x:c>
      <x:c r="E207" s="34" t="str">
        <x:v>90.0</x:v>
      </x:c>
      <x:c r="F207" s="34" t="str">
        <x:v>MI-2601</x:v>
      </x:c>
      <x:c r="G207" s="39" t="str">
        <x:v>آموزش:</x:v>
      </x:c>
      <x:c r="H207" s="39" t="str">
        <x:v>H20</x:v>
      </x:c>
      <x:c r="I207" s="39" t="str">
        <x:v>P3/CLARIFY</x:v>
      </x:c>
      <x:c r="J207" s="39" t="str">
        <x:v>H20</x:v>
      </x:c>
      <x:c r="K207" s="39" t="str">
        <x:v>تطبیق احتمالی با پایه</x:v>
      </x:c>
      <x:c r="L207" s="39" t="str">
        <x:v>MI-2601</x:v>
      </x:c>
      <x:c r="M207" s="39" t="str">
        <x:v>آموزش:</x:v>
      </x:c>
      <x:c r="N207" s="39" t="str">
        <x:v>11211.docx::P2897.1 | 1154878548.docx::P895.1</x:v>
      </x:c>
      <x:c r="O207" s="39"/>
    </x:row>
    <x:row r="208">
      <x:c r="A208" s="34" t="str">
        <x:v>☐</x:v>
      </x:c>
      <x:c r="B208" s="34" t="str">
        <x:v>EX-0180</x:v>
      </x:c>
      <x:c r="C208" s="34" t="str">
        <x:v>:::</x:v>
      </x:c>
      <x:c r="D208" s="34" t="str">
        <x:v>NOISE</x:v>
      </x:c>
      <x:c r="E208" s="34" t="str">
        <x:v>0</x:v>
      </x:c>
      <x:c r="F208" s="34"/>
      <x:c r="G208" s="39"/>
      <x:c r="H208" s="39"/>
      <x:c r="I208" s="39"/>
      <x:c r="J208" s="39" t="str">
        <x:v>STRUCT</x:v>
      </x:c>
      <x:c r="K208" s="39" t="str">
        <x:v>ساختار/برچسب</x:v>
      </x:c>
      <x:c r="L208" s="39"/>
      <x:c r="M208" s="39"/>
      <x:c r="N208" s="39" t="str">
        <x:v>11211.docx::P3278.1</x:v>
      </x:c>
      <x:c r="O208" s="39"/>
    </x:row>
    <x:row r="209">
      <x:c r="A209" s="34" t="str">
        <x:v>☐</x:v>
      </x:c>
      <x:c r="B209" s="34" t="str">
        <x:v>EX-0181</x:v>
      </x:c>
      <x:c r="C209" s="34" t="str">
        <x:v>مهارت‌ها</x:v>
      </x:c>
      <x:c r="D209" s="34" t="str">
        <x:v>POSSIBLE</x:v>
      </x:c>
      <x:c r="E209" s="34" t="str">
        <x:v>90.0</x:v>
      </x:c>
      <x:c r="F209" s="34" t="str">
        <x:v>MI-1461</x:v>
      </x:c>
      <x:c r="G209" s="39" t="str">
        <x:v>مهارت های ارتباطی و بین فردی</x:v>
      </x:c>
      <x:c r="H209" s="39" t="str">
        <x:v>H1</x:v>
      </x:c>
      <x:c r="I209" s="39" t="str">
        <x:v>P0</x:v>
      </x:c>
      <x:c r="J209" s="39" t="str">
        <x:v>H1</x:v>
      </x:c>
      <x:c r="K209" s="39" t="str">
        <x:v>تطبیق احتمالی با پایه</x:v>
      </x:c>
      <x:c r="L209" s="39" t="str">
        <x:v>MI-1461</x:v>
      </x:c>
      <x:c r="M209" s="39" t="str">
        <x:v>مهارت های ارتباطی و بین فردی</x:v>
      </x:c>
      <x:c r="N209" s="39" t="str">
        <x:v>11211.docx::P3337.1 | 11211.docx::P3490.1</x:v>
      </x:c>
      <x:c r="O209" s="39"/>
    </x:row>
    <x:row r="210">
      <x:c r="A210" s="34" t="str">
        <x:v>☐</x:v>
      </x:c>
      <x:c r="B210" s="34" t="str">
        <x:v>EX-0182</x:v>
      </x:c>
      <x:c r="C210" s="34" t="str">
        <x:v>مسئله صنعتی</x:v>
      </x:c>
      <x:c r="D210" s="34" t="str">
        <x:v>POSSIBLE</x:v>
      </x:c>
      <x:c r="E210" s="34" t="str">
        <x:v>90.9</x:v>
      </x:c>
      <x:c r="F210" s="34" t="str">
        <x:v>MI-2981</x:v>
      </x:c>
      <x:c r="G210" s="39" t="str">
        <x:v>مسیله صنعتی</x:v>
      </x:c>
      <x:c r="H210" s="39" t="str">
        <x:v>H12</x:v>
      </x:c>
      <x:c r="I210" s="39" t="str">
        <x:v>P2</x:v>
      </x:c>
      <x:c r="J210" s="39" t="str">
        <x:v>H12</x:v>
      </x:c>
      <x:c r="K210" s="39" t="str">
        <x:v>تطبیق احتمالی با پایه</x:v>
      </x:c>
      <x:c r="L210" s="39" t="str">
        <x:v>MI-2981</x:v>
      </x:c>
      <x:c r="M210" s="39" t="str">
        <x:v>مسیله صنعتی</x:v>
      </x:c>
      <x:c r="N210" s="39" t="str">
        <x:v>11211.docx::P3426.1</x:v>
      </x:c>
      <x:c r="O210" s="39"/>
    </x:row>
    <x:row r="211">
      <x:c r="A211" s="34" t="str">
        <x:v>☐</x:v>
      </x:c>
      <x:c r="B211" s="34" t="str">
        <x:v>EX-0183</x:v>
      </x:c>
      <x:c r="C211" s="34" t="str">
        <x:v>سطح 2</x:v>
      </x:c>
      <x:c r="D211" s="34" t="str">
        <x:v>POSSIBLE</x:v>
      </x:c>
      <x:c r="E211" s="34" t="str">
        <x:v>85.5</x:v>
      </x:c>
      <x:c r="F211" s="34" t="str">
        <x:v>MI-3035</x:v>
      </x:c>
      <x:c r="G211" s="39" t="str">
        <x:v>سه سطح تصمیم گیری نیاز است.</x:v>
      </x:c>
      <x:c r="H211" s="39" t="str">
        <x:v>H1</x:v>
      </x:c>
      <x:c r="I211" s="39" t="str">
        <x:v>P0</x:v>
      </x:c>
      <x:c r="J211" s="39" t="str">
        <x:v>H1</x:v>
      </x:c>
      <x:c r="K211" s="39" t="str">
        <x:v>تطبیق احتمالی با پایه</x:v>
      </x:c>
      <x:c r="L211" s="39" t="str">
        <x:v>MI-3035</x:v>
      </x:c>
      <x:c r="M211" s="39" t="str">
        <x:v>سه سطح تصمیم گیری نیاز است.</x:v>
      </x:c>
      <x:c r="N211" s="39" t="str">
        <x:v>11211.docx::P3606.1</x:v>
      </x:c>
      <x:c r="O211" s="39"/>
    </x:row>
    <x:row r="212">
      <x:c r="A212" s="34" t="str">
        <x:v>☐</x:v>
      </x:c>
      <x:c r="B212" s="34" t="str">
        <x:v>EX-0184</x:v>
      </x:c>
      <x:c r="C212" s="34" t="str">
        <x:v>سطح 3</x:v>
      </x:c>
      <x:c r="D212" s="34" t="str">
        <x:v>POSSIBLE</x:v>
      </x:c>
      <x:c r="E212" s="34" t="str">
        <x:v>85.5</x:v>
      </x:c>
      <x:c r="F212" s="34" t="str">
        <x:v>MI-3035</x:v>
      </x:c>
      <x:c r="G212" s="39" t="str">
        <x:v>سه سطح تصمیم گیری نیاز است.</x:v>
      </x:c>
      <x:c r="H212" s="39" t="str">
        <x:v>H1</x:v>
      </x:c>
      <x:c r="I212" s="39" t="str">
        <x:v>P0</x:v>
      </x:c>
      <x:c r="J212" s="39" t="str">
        <x:v>H1</x:v>
      </x:c>
      <x:c r="K212" s="39" t="str">
        <x:v>تطبیق احتمالی با پایه</x:v>
      </x:c>
      <x:c r="L212" s="39" t="str">
        <x:v>MI-3035</x:v>
      </x:c>
      <x:c r="M212" s="39" t="str">
        <x:v>سه سطح تصمیم گیری نیاز است.</x:v>
      </x:c>
      <x:c r="N212" s="39" t="str">
        <x:v>11211.docx::P3610.1</x:v>
      </x:c>
      <x:c r="O212" s="39"/>
    </x:row>
    <x:row r="213">
      <x:c r="A213" s="34" t="str">
        <x:v>☐</x:v>
      </x:c>
      <x:c r="B213" s="34" t="str">
        <x:v>EX-0185</x:v>
      </x:c>
      <x:c r="C213" s="34" t="str">
        <x:v>۱</x:v>
      </x:c>
      <x:c r="D213" s="34" t="str">
        <x:v>UNMAPPED</x:v>
      </x:c>
      <x:c r="E213" s="34" t="str">
        <x:v>0.0</x:v>
      </x:c>
      <x:c r="F213" s="34" t="str">
        <x:v>MI-0049</x:v>
      </x:c>
      <x:c r="G213" s="39" t="str">
        <x:v>گذاشتن قرار دوستانه دبیرستانی</x:v>
      </x:c>
      <x:c r="H213" s="39" t="str">
        <x:v>H1</x:v>
      </x:c>
      <x:c r="I213" s="39" t="str">
        <x:v>P0</x:v>
      </x:c>
      <x:c r="J213" s="39" t="str">
        <x:v>STRUCT</x:v>
      </x:c>
      <x:c r="K213" s="39" t="str">
        <x:v>ساختار/برچسب</x:v>
      </x:c>
      <x:c r="L213" s="39"/>
      <x:c r="M213" s="39"/>
      <x:c r="N213" s="39" t="str">
        <x:v>11211.docx::P3617.1</x:v>
      </x:c>
      <x:c r="O213" s="39"/>
    </x:row>
    <x:row r="214">
      <x:c r="A214" s="34" t="str">
        <x:v>☐</x:v>
      </x:c>
      <x:c r="B214" s="34" t="str">
        <x:v>EX-0186</x:v>
      </x:c>
      <x:c r="C214" s="34" t="str">
        <x:v>۲</x:v>
      </x:c>
      <x:c r="D214" s="34" t="str">
        <x:v>UNMAPPED</x:v>
      </x:c>
      <x:c r="E214" s="34" t="str">
        <x:v>0.0</x:v>
      </x:c>
      <x:c r="F214" s="34" t="str">
        <x:v>MI-0049</x:v>
      </x:c>
      <x:c r="G214" s="39" t="str">
        <x:v>گذاشتن قرار دوستانه دبیرستانی</x:v>
      </x:c>
      <x:c r="H214" s="39" t="str">
        <x:v>H1</x:v>
      </x:c>
      <x:c r="I214" s="39" t="str">
        <x:v>P0</x:v>
      </x:c>
      <x:c r="J214" s="39" t="str">
        <x:v>STRUCT</x:v>
      </x:c>
      <x:c r="K214" s="39" t="str">
        <x:v>ساختار/برچسب</x:v>
      </x:c>
      <x:c r="L214" s="39"/>
      <x:c r="M214" s="39"/>
      <x:c r="N214" s="39" t="str">
        <x:v>11211.docx::P3621.1 | 1154878548.docx::P7624.1</x:v>
      </x:c>
      <x:c r="O214" s="39"/>
    </x:row>
    <x:row r="215">
      <x:c r="A215" s="34" t="str">
        <x:v>☐</x:v>
      </x:c>
      <x:c r="B215" s="34" t="str">
        <x:v>EX-0187</x:v>
      </x:c>
      <x:c r="C215" s="34" t="str">
        <x:v>۳</x:v>
      </x:c>
      <x:c r="D215" s="34" t="str">
        <x:v>UNMAPPED</x:v>
      </x:c>
      <x:c r="E215" s="34" t="str">
        <x:v>0.0</x:v>
      </x:c>
      <x:c r="F215" s="34" t="str">
        <x:v>MI-0049</x:v>
      </x:c>
      <x:c r="G215" s="39" t="str">
        <x:v>گذاشتن قرار دوستانه دبیرستانی</x:v>
      </x:c>
      <x:c r="H215" s="39" t="str">
        <x:v>H1</x:v>
      </x:c>
      <x:c r="I215" s="39" t="str">
        <x:v>P0</x:v>
      </x:c>
      <x:c r="J215" s="39" t="str">
        <x:v>STRUCT</x:v>
      </x:c>
      <x:c r="K215" s="39" t="str">
        <x:v>ساختار/برچسب</x:v>
      </x:c>
      <x:c r="L215" s="39"/>
      <x:c r="M215" s="39"/>
      <x:c r="N215" s="39" t="str">
        <x:v>11211.docx::P3625.1 | 1154878548.docx::P7622.1</x:v>
      </x:c>
      <x:c r="O215" s="39"/>
    </x:row>
    <x:row r="216">
      <x:c r="A216" s="34" t="str">
        <x:v>☐</x:v>
      </x:c>
      <x:c r="B216" s="34" t="str">
        <x:v>EX-0188</x:v>
      </x:c>
      <x:c r="C216" s="34" t="str">
        <x:v>اگر درگیر شوند این سیستم واقعاً راه می‌افتد (نه فقط روی کاغذ). این قسمت معمولاً ۸۰٪ موفقیت چنین طرحی را تعیین می‌کند.</x:v>
      </x:c>
      <x:c r="D216" s="34" t="str">
        <x:v>POSSIBLE</x:v>
      </x:c>
      <x:c r="E216" s="34" t="str">
        <x:v>88.4</x:v>
      </x:c>
      <x:c r="F216" s="34" t="str">
        <x:v>MI-3057</x:v>
      </x:c>
      <x:c r="G216" s="39" t="str">
        <x:v>اگر درگیر شوند این سیستم واقعاً راه می افتد (نه فقط روی کاغذ). این قسمت معمولاً 80٪ موفقیت چنین طرحی را تعیین می کند. حالا میخوام بدون اینکه محتوا رو حذف کنه بیاد و بررسی کنه که چه طبقه بندی و سیستمی میتونه اجرا کنه که کل این محتوا رو اجرا کنه و اینکه خودش رو به عناون مدیر منابع انسانی این زیست بوم در نظر بگیره و استراتژیست و ساختار چین این زیست بوم</x:v>
      </x:c>
      <x:c r="H216" s="39" t="str">
        <x:v>H19</x:v>
      </x:c>
      <x:c r="I216" s="39" t="str">
        <x:v>P3</x:v>
      </x:c>
      <x:c r="J216" s="39" t="str">
        <x:v>H19</x:v>
      </x:c>
      <x:c r="K216" s="39" t="str">
        <x:v>تطبیق احتمالی با پایه</x:v>
      </x:c>
      <x:c r="L216" s="39" t="str">
        <x:v>MI-3057</x:v>
      </x:c>
      <x:c r="M216" s="39" t="str">
        <x:v>اگر درگیر شوند این سیستم واقعاً راه می افتد (نه فقط روی کاغذ). این قسمت معمولاً 80٪ موفقیت چنین طرحی را تعیین می کند. حالا میخوام بدون اینکه محتوا رو حذف کنه بیاد و بررسی کنه که چه طبقه بندی و سیستمی میتونه اجرا کنه که کل این محتوا رو اجرا کنه و اینکه خودش رو به عناون مدیر منابع انسانی این زیست بوم در نظر بگیره و استراتژیست و ساختار چین این زیست بوم</x:v>
      </x:c>
      <x:c r="N216" s="39" t="str">
        <x:v>11211.docx::P3652.1</x:v>
      </x:c>
      <x:c r="O216" s="39"/>
    </x:row>
    <x:row r="217">
      <x:c r="A217" s="34" t="str">
        <x:v>☐</x:v>
      </x:c>
      <x:c r="B217" s="34" t="str">
        <x:v>EX-0189</x:v>
      </x:c>
      <x:c r="C217" s="34" t="str">
        <x:v>فرم اطلاعات مصاحبه شغلی</x:v>
      </x:c>
      <x:c r="D217" s="34" t="str">
        <x:v>POSSIBLE</x:v>
      </x:c>
      <x:c r="E217" s="34" t="str">
        <x:v>90.0</x:v>
      </x:c>
      <x:c r="F217" s="34" t="str">
        <x:v>MI-1291</x:v>
      </x:c>
      <x:c r="G217" s="39" t="str">
        <x:v>طلا</x:v>
      </x:c>
      <x:c r="H217" s="39" t="str">
        <x:v>H12</x:v>
      </x:c>
      <x:c r="I217" s="39" t="str">
        <x:v>P2</x:v>
      </x:c>
      <x:c r="J217" s="39" t="str">
        <x:v>H12</x:v>
      </x:c>
      <x:c r="K217" s="39" t="str">
        <x:v>تطبیق احتمالی با پایه</x:v>
      </x:c>
      <x:c r="L217" s="39" t="str">
        <x:v>MI-1291</x:v>
      </x:c>
      <x:c r="M217" s="39" t="str">
        <x:v>طلا</x:v>
      </x:c>
      <x:c r="N217" s="39" t="str">
        <x:v>فرم مورد نیاز کوچ ساکی.docx::P1.1 | فرم مورد نیاز کوچ ساکی (1).docx::P1.1</x:v>
      </x:c>
      <x:c r="O217" s="39"/>
    </x:row>
    <x:row r="218">
      <x:c r="A218" s="34" t="str">
        <x:v>☐</x:v>
      </x:c>
      <x:c r="B218" s="34" t="str">
        <x:v>EX-0190</x:v>
      </x:c>
      <x:c r="C218" s="34" t="str">
        <x:v>تمامی اطلاعات شما محرمانه نزد مشاور محفوظ می باشد.</x:v>
      </x:c>
      <x:c r="D218" s="34" t="str">
        <x:v>POSSIBLE</x:v>
      </x:c>
      <x:c r="E218" s="34" t="str">
        <x:v>90.0</x:v>
      </x:c>
      <x:c r="F218" s="34" t="str">
        <x:v>MI-1733</x:v>
      </x:c>
      <x:c r="G218" s="39" t="str">
        <x:v>اطلاعات</x:v>
      </x:c>
      <x:c r="H218" s="39" t="str">
        <x:v>H20</x:v>
      </x:c>
      <x:c r="I218" s="39" t="str">
        <x:v>P3/CLARIFY</x:v>
      </x:c>
      <x:c r="J218" s="39" t="str">
        <x:v>H20</x:v>
      </x:c>
      <x:c r="K218" s="39" t="str">
        <x:v>تطبیق احتمالی با پایه</x:v>
      </x:c>
      <x:c r="L218" s="39" t="str">
        <x:v>MI-1733</x:v>
      </x:c>
      <x:c r="M218" s="39" t="str">
        <x:v>اطلاعات</x:v>
      </x:c>
      <x:c r="N218" s="39" t="str">
        <x:v>فرم مورد نیاز کوچ ساکی.docx::P2.1 | فرم مورد نیاز کوچ ساکی (1).docx::P2.1</x:v>
      </x:c>
      <x:c r="O218" s="39"/>
    </x:row>
    <x:row r="219">
      <x:c r="A219" s="34" t="str">
        <x:v>☐</x:v>
      </x:c>
      <x:c r="B219" s="34" t="str">
        <x:v>EX-0191</x:v>
      </x:c>
      <x:c r="C219" s="34" t="str">
        <x:v>اطلاعات شخصی :</x:v>
      </x:c>
      <x:c r="D219" s="34" t="str">
        <x:v>POSSIBLE</x:v>
      </x:c>
      <x:c r="E219" s="34" t="str">
        <x:v>90.0</x:v>
      </x:c>
      <x:c r="F219" s="34" t="str">
        <x:v>MI-1291</x:v>
      </x:c>
      <x:c r="G219" s="39" t="str">
        <x:v>طلا</x:v>
      </x:c>
      <x:c r="H219" s="39" t="str">
        <x:v>H12</x:v>
      </x:c>
      <x:c r="I219" s="39" t="str">
        <x:v>P2</x:v>
      </x:c>
      <x:c r="J219" s="39" t="str">
        <x:v>H12</x:v>
      </x:c>
      <x:c r="K219" s="39" t="str">
        <x:v>تطبیق احتمالی با پایه</x:v>
      </x:c>
      <x:c r="L219" s="39" t="str">
        <x:v>MI-1291</x:v>
      </x:c>
      <x:c r="M219" s="39" t="str">
        <x:v>طلا</x:v>
      </x:c>
      <x:c r="N219" s="39" t="str">
        <x:v>فرم مورد نیاز کوچ ساکی.docx::P3.1 | فرم مورد نیاز کوچ ساکی (1).docx::P3.1</x:v>
      </x:c>
      <x:c r="O219" s="39"/>
    </x:row>
    <x:row r="220">
      <x:c r="A220" s="34" t="str">
        <x:v>☐</x:v>
      </x:c>
      <x:c r="B220" s="34" t="str">
        <x:v>EX-0192</x:v>
      </x:c>
      <x:c r="C220" s="34" t="str">
        <x:v>اطلاعات تحصیلی :</x:v>
      </x:c>
      <x:c r="D220" s="34" t="str">
        <x:v>POSSIBLE</x:v>
      </x:c>
      <x:c r="E220" s="34" t="str">
        <x:v>90.0</x:v>
      </x:c>
      <x:c r="F220" s="34" t="str">
        <x:v>MI-1291</x:v>
      </x:c>
      <x:c r="G220" s="39" t="str">
        <x:v>طلا</x:v>
      </x:c>
      <x:c r="H220" s="39" t="str">
        <x:v>H12</x:v>
      </x:c>
      <x:c r="I220" s="39" t="str">
        <x:v>P2</x:v>
      </x:c>
      <x:c r="J220" s="39" t="str">
        <x:v>H12</x:v>
      </x:c>
      <x:c r="K220" s="39" t="str">
        <x:v>تطبیق احتمالی با پایه</x:v>
      </x:c>
      <x:c r="L220" s="39" t="str">
        <x:v>MI-1291</x:v>
      </x:c>
      <x:c r="M220" s="39" t="str">
        <x:v>طلا</x:v>
      </x:c>
      <x:c r="N220" s="39" t="str">
        <x:v>فرم مورد نیاز کوچ ساکی.docx::P5.1 | فرم مورد نیاز کوچ ساکی (1).docx::P5.1</x:v>
      </x:c>
      <x:c r="O220" s="39"/>
    </x:row>
    <x:row r="221">
      <x:c r="A221" s="34" t="str">
        <x:v>☐</x:v>
      </x:c>
      <x:c r="B221" s="34" t="str">
        <x:v>EX-0193</x:v>
      </x:c>
      <x:c r="C221" s="34" t="str">
        <x:v>اطلاعات شغلی : ( اگر سابقه کار دارید جدول زیر را تکمیل کنید)</x:v>
      </x:c>
      <x:c r="D221" s="34" t="str">
        <x:v>POSSIBLE</x:v>
      </x:c>
      <x:c r="E221" s="34" t="str">
        <x:v>90.0</x:v>
      </x:c>
      <x:c r="F221" s="34" t="str">
        <x:v>MI-1733</x:v>
      </x:c>
      <x:c r="G221" s="39" t="str">
        <x:v>اطلاعات</x:v>
      </x:c>
      <x:c r="H221" s="39" t="str">
        <x:v>H20</x:v>
      </x:c>
      <x:c r="I221" s="39" t="str">
        <x:v>P3/CLARIFY</x:v>
      </x:c>
      <x:c r="J221" s="39" t="str">
        <x:v>H20</x:v>
      </x:c>
      <x:c r="K221" s="39" t="str">
        <x:v>تطبیق احتمالی با پایه</x:v>
      </x:c>
      <x:c r="L221" s="39" t="str">
        <x:v>MI-1733</x:v>
      </x:c>
      <x:c r="M221" s="39" t="str">
        <x:v>اطلاعات</x:v>
      </x:c>
      <x:c r="N221" s="39" t="str">
        <x:v>فرم مورد نیاز کوچ ساکی.docx::P7.1 | فرم مورد نیاز کوچ ساکی (1).docx::P7.1</x:v>
      </x:c>
      <x:c r="O221" s="39"/>
    </x:row>
    <x:row r="222">
      <x:c r="A222" s="34" t="str">
        <x:v>☐</x:v>
      </x:c>
      <x:c r="B222" s="34" t="str">
        <x:v>EX-0194</x:v>
      </x:c>
      <x:c r="C222" s="34" t="str">
        <x:v>در صورت تاهل لطفاً اطلاعات زیر را وارد کنید:</x:v>
      </x:c>
      <x:c r="D222" s="34" t="str">
        <x:v>POSSIBLE</x:v>
      </x:c>
      <x:c r="E222" s="34" t="str">
        <x:v>90.0</x:v>
      </x:c>
      <x:c r="F222" s="34" t="str">
        <x:v>MI-1733</x:v>
      </x:c>
      <x:c r="G222" s="39" t="str">
        <x:v>اطلاعات</x:v>
      </x:c>
      <x:c r="H222" s="39" t="str">
        <x:v>H20</x:v>
      </x:c>
      <x:c r="I222" s="39" t="str">
        <x:v>P3/CLARIFY</x:v>
      </x:c>
      <x:c r="J222" s="39" t="str">
        <x:v>H20</x:v>
      </x:c>
      <x:c r="K222" s="39" t="str">
        <x:v>تطبیق احتمالی با پایه</x:v>
      </x:c>
      <x:c r="L222" s="39" t="str">
        <x:v>MI-1733</x:v>
      </x:c>
      <x:c r="M222" s="39" t="str">
        <x:v>اطلاعات</x:v>
      </x:c>
      <x:c r="N222" s="39" t="str">
        <x:v>فرم مورد نیاز کوچ ساکی.docx::P9.1 | فرم مورد نیاز کوچ ساکی (1).docx::P9.1</x:v>
      </x:c>
      <x:c r="O222" s="39"/>
    </x:row>
    <x:row r="223">
      <x:c r="A223" s="34" t="str">
        <x:v>☐</x:v>
      </x:c>
      <x:c r="B223" s="34" t="str">
        <x:v>EX-0195</x:v>
      </x:c>
      <x:c r="C223" s="34" t="str">
        <x:v>پرسش های مصاحبه</x:v>
      </x:c>
      <x:c r="D223" s="34" t="str">
        <x:v>POSSIBLE</x:v>
      </x:c>
      <x:c r="E223" s="34" t="str">
        <x:v>85.5</x:v>
      </x:c>
      <x:c r="F223" s="34" t="str">
        <x:v>MI-1501</x:v>
      </x:c>
      <x:c r="G223" s="39" t="str">
        <x:v>مدیریت ریسک: شناسایی ریسک ها، ارزیابی اثرات، تدوین برنامه های مقابله با ریسک ها.</x:v>
      </x:c>
      <x:c r="H223" s="39" t="str">
        <x:v>H1</x:v>
      </x:c>
      <x:c r="I223" s="39" t="str">
        <x:v>P0</x:v>
      </x:c>
      <x:c r="J223" s="39" t="str">
        <x:v>H1</x:v>
      </x:c>
      <x:c r="K223" s="39" t="str">
        <x:v>تطبیق احتمالی با پایه</x:v>
      </x:c>
      <x:c r="L223" s="39" t="str">
        <x:v>MI-1501</x:v>
      </x:c>
      <x:c r="M223" s="39" t="str">
        <x:v>مدیریت ریسک: شناسایی ریسک ها، ارزیابی اثرات، تدوین برنامه های مقابله با ریسک ها.</x:v>
      </x:c>
      <x:c r="N223" s="39" t="str">
        <x:v>فرم مورد نیاز کوچ ساکی.docx::P11.1 | فرم مورد نیاز کوچ ساکی (1).docx::P11.1</x:v>
      </x:c>
      <x:c r="O223" s="39"/>
    </x:row>
    <x:row r="224">
      <x:c r="A224" s="34" t="str">
        <x:v>☐</x:v>
      </x:c>
      <x:c r="B224" s="34" t="str">
        <x:v>EX-0196</x:v>
      </x:c>
      <x:c r="C224" s="34" t="str">
        <x:v>لطفا با نهایت دقت و تمرکز به پرسش های زیر پاسخ بده</x:v>
      </x:c>
      <x:c r="D224" s="34" t="str">
        <x:v>POSSIBLE</x:v>
      </x:c>
      <x:c r="E224" s="34" t="str">
        <x:v>85.5</x:v>
      </x:c>
      <x:c r="F224" s="34" t="str">
        <x:v>MI-1501</x:v>
      </x:c>
      <x:c r="G224" s="39" t="str">
        <x:v>مدیریت ریسک: شناسایی ریسک ها، ارزیابی اثرات، تدوین برنامه های مقابله با ریسک ها.</x:v>
      </x:c>
      <x:c r="H224" s="39" t="str">
        <x:v>H1</x:v>
      </x:c>
      <x:c r="I224" s="39" t="str">
        <x:v>P0</x:v>
      </x:c>
      <x:c r="J224" s="39" t="str">
        <x:v>H1</x:v>
      </x:c>
      <x:c r="K224" s="39" t="str">
        <x:v>تطبیق احتمالی با پایه</x:v>
      </x:c>
      <x:c r="L224" s="39" t="str">
        <x:v>MI-1501</x:v>
      </x:c>
      <x:c r="M224" s="39" t="str">
        <x:v>مدیریت ریسک: شناسایی ریسک ها، ارزیابی اثرات، تدوین برنامه های مقابله با ریسک ها.</x:v>
      </x:c>
      <x:c r="N224" s="39" t="str">
        <x:v>فرم مورد نیاز کوچ ساکی.docx::P12.1 | فرم مورد نیاز کوچ ساکی (1).docx::P12.1</x:v>
      </x:c>
      <x:c r="O224" s="39"/>
    </x:row>
    <x:row r="225">
      <x:c r="A225" s="34" t="str">
        <x:v>☐</x:v>
      </x:c>
      <x:c r="B225" s="34" t="str">
        <x:v>EX-0197</x:v>
      </x:c>
      <x:c r="C225" s="34" t="str">
        <x:v>نام</x:v>
      </x:c>
      <x:c r="D225" s="34" t="str">
        <x:v>POSSIBLE</x:v>
      </x:c>
      <x:c r="E225" s="34" t="str">
        <x:v>90.0</x:v>
      </x:c>
      <x:c r="F225" s="34" t="str">
        <x:v>MI-0179</x:v>
      </x:c>
      <x:c r="G225" s="39" t="str">
        <x:v>برنامه ریزی شهری</x:v>
      </x:c>
      <x:c r="H225" s="39" t="str">
        <x:v>H1</x:v>
      </x:c>
      <x:c r="I225" s="39" t="str">
        <x:v>P0</x:v>
      </x:c>
      <x:c r="J225" s="39" t="str">
        <x:v>H1</x:v>
      </x:c>
      <x:c r="K225" s="39" t="str">
        <x:v>تطبیق احتمالی با پایه</x:v>
      </x:c>
      <x:c r="L225" s="39" t="str">
        <x:v>MI-0179</x:v>
      </x:c>
      <x:c r="M225" s="39" t="str">
        <x:v>برنامه ریزی شهری</x:v>
      </x:c>
      <x:c r="N225" s="39" t="str">
        <x:v>فرم مورد نیاز کوچ ساکی.docx::T1R1C1.1 | فرم مورد نیاز کوچ ساکی.docx::T4R1C1.1 | فرم مورد نیاز کوچ ساکی (1).docx::T1R1C1.1 | فرم مورد نیاز کوچ ساکی (1).docx::T4R1C1.1 | 1154878548.docx::P7641.1</x:v>
      </x:c>
      <x:c r="O225" s="39"/>
    </x:row>
    <x:row r="226">
      <x:c r="A226" s="34" t="str">
        <x:v>☐</x:v>
      </x:c>
      <x:c r="B226" s="34" t="str">
        <x:v>EX-0198</x:v>
      </x:c>
      <x:c r="C226" s="34" t="str">
        <x:v>نام خانوادگی</x:v>
      </x:c>
      <x:c r="D226" s="34" t="str">
        <x:v>POSSIBLE</x:v>
      </x:c>
      <x:c r="E226" s="34" t="str">
        <x:v>85.5</x:v>
      </x:c>
      <x:c r="F226" s="34" t="str">
        <x:v>MI-3062</x:v>
      </x:c>
      <x:c r="G226" s="39" t="str">
        <x:v>بهترین شغل از نظر شما چیست؟ نام برده و دلیل آن را بنویسید.</x:v>
      </x:c>
      <x:c r="H226" s="39" t="str">
        <x:v>H3</x:v>
      </x:c>
      <x:c r="I226" s="39" t="str">
        <x:v>P3/CLARIFY</x:v>
      </x:c>
      <x:c r="J226" s="39" t="str">
        <x:v>H3</x:v>
      </x:c>
      <x:c r="K226" s="39" t="str">
        <x:v>تطبیق احتمالی با پایه</x:v>
      </x:c>
      <x:c r="L226" s="39" t="str">
        <x:v>MI-3062</x:v>
      </x:c>
      <x:c r="M226" s="39" t="str">
        <x:v>بهترین شغل از نظر شما چیست؟ نام برده و دلیل آن را بنویسید.</x:v>
      </x:c>
      <x:c r="N226" s="39" t="str">
        <x:v>فرم مورد نیاز کوچ ساکی.docx::T1R1C3.1 | فرم مورد نیاز کوچ ساکی (1).docx::T1R1C3.1</x:v>
      </x:c>
      <x:c r="O226" s="39"/>
    </x:row>
    <x:row r="227">
      <x:c r="A227" s="34" t="str">
        <x:v>☐</x:v>
      </x:c>
      <x:c r="B227" s="34" t="str">
        <x:v>EX-0199</x:v>
      </x:c>
      <x:c r="C227" s="34" t="str">
        <x:v>تاریخ تولد</x:v>
      </x:c>
      <x:c r="D227" s="34" t="str">
        <x:v>POSSIBLE</x:v>
      </x:c>
      <x:c r="E227" s="34" t="str">
        <x:v>85.5</x:v>
      </x:c>
      <x:c r="F227" s="34" t="str">
        <x:v>MI-0808</x:v>
      </x:c>
      <x:c r="G227" s="39" t="str">
        <x:v>- نداشتن تاریخ انقضا دستمال کاغذی در سلف</x:v>
      </x:c>
      <x:c r="H227" s="39" t="str">
        <x:v>H11</x:v>
      </x:c>
      <x:c r="I227" s="39" t="str">
        <x:v>DELEGATE/P2</x:v>
      </x:c>
      <x:c r="J227" s="39" t="str">
        <x:v>H11</x:v>
      </x:c>
      <x:c r="K227" s="39" t="str">
        <x:v>تطبیق احتمالی با پایه</x:v>
      </x:c>
      <x:c r="L227" s="39" t="str">
        <x:v>MI-0808</x:v>
      </x:c>
      <x:c r="M227" s="39" t="str">
        <x:v>- نداشتن تاریخ انقضا دستمال کاغذی در سلف</x:v>
      </x:c>
      <x:c r="N227" s="39" t="str">
        <x:v>فرم مورد نیاز کوچ ساکی.docx::T1R1C5.1 | فرم مورد نیاز کوچ ساکی.docx::T4R1C5.1 | فرم مورد نیاز کوچ ساکی (1).docx::T1R1C5.1 | فرم مورد نیاز کوچ ساکی (1).docx::T4R1C5.1</x:v>
      </x:c>
      <x:c r="O227" s="39"/>
    </x:row>
    <x:row r="228">
      <x:c r="A228" s="34" t="str">
        <x:v>☐</x:v>
      </x:c>
      <x:c r="B228" s="34" t="str">
        <x:v>EX-0200</x:v>
      </x:c>
      <x:c r="C228" s="34" t="str">
        <x:v>00/ 00/1300</x:v>
      </x:c>
      <x:c r="D228" s="34" t="str">
        <x:v>UNMAPPED</x:v>
      </x:c>
      <x:c r="E228" s="34" t="str">
        <x:v>57.0</x:v>
      </x:c>
      <x:c r="F228" s="34" t="str">
        <x:v>MI-2091</x:v>
      </x:c>
      <x:c r="G228" s="39" t="str">
        <x:v>در هر اکوسیستم 10 تا 30 نفر وجود دارند که:</x:v>
      </x:c>
      <x:c r="H228" s="39" t="str">
        <x:v>H10</x:v>
      </x:c>
      <x:c r="I228" s="39" t="str">
        <x:v>P2</x:v>
      </x:c>
      <x:c r="J228" s="39" t="str">
        <x:v>H23</x:v>
      </x:c>
      <x:c r="K228" s="39" t="str">
        <x:v>نیازمند پالایش؛ حذف نشده</x:v>
      </x:c>
      <x:c r="L228" s="39"/>
      <x:c r="M228" s="39"/>
      <x:c r="N228" s="39" t="str">
        <x:v>فرم مورد نیاز کوچ ساکی.docx::T1R1C6.1 | فرم مورد نیاز کوچ ساکی (1).docx::T1R1C6.1</x:v>
      </x:c>
      <x:c r="O228" s="39"/>
    </x:row>
    <x:row r="229">
      <x:c r="A229" s="34" t="str">
        <x:v>☐</x:v>
      </x:c>
      <x:c r="B229" s="34" t="str">
        <x:v>EX-0201</x:v>
      </x:c>
      <x:c r="C229" s="34" t="str">
        <x:v>جنسیت</x:v>
      </x:c>
      <x:c r="D229" s="34" t="str">
        <x:v>UNMAPPED</x:v>
      </x:c>
      <x:c r="E229" s="34" t="str">
        <x:v>67.5</x:v>
      </x:c>
      <x:c r="F229" s="34" t="str">
        <x:v>MI-0173</x:v>
      </x:c>
      <x:c r="G229" s="39" t="str">
        <x:v>جستجو در منابع سریع</x:v>
      </x:c>
      <x:c r="H229" s="39" t="str">
        <x:v>H1</x:v>
      </x:c>
      <x:c r="I229" s="39" t="str">
        <x:v>P0</x:v>
      </x:c>
      <x:c r="J229" s="39" t="str">
        <x:v>H23</x:v>
      </x:c>
      <x:c r="K229" s="39" t="str">
        <x:v>نیازمند پالایش؛ حذف نشده</x:v>
      </x:c>
      <x:c r="L229" s="39"/>
      <x:c r="M229" s="39"/>
      <x:c r="N229" s="39" t="str">
        <x:v>فرم مورد نیاز کوچ ساکی.docx::T1R2C1.1 | فرم مورد نیاز کوچ ساکی (1).docx::T1R2C1.1</x:v>
      </x:c>
      <x:c r="O229" s="39"/>
    </x:row>
    <x:row r="230">
      <x:c r="A230" s="34" t="str">
        <x:v>☐</x:v>
      </x:c>
      <x:c r="B230" s="34" t="str">
        <x:v>EX-0202</x:v>
      </x:c>
      <x:c r="C230" s="34" t="str">
        <x:v>تعداد برادر</x:v>
      </x:c>
      <x:c r="D230" s="34" t="str">
        <x:v>POSSIBLE</x:v>
      </x:c>
      <x:c r="E230" s="34" t="str">
        <x:v>85.5</x:v>
      </x:c>
      <x:c r="F230" s="34" t="str">
        <x:v>MI-3004</x:v>
      </x:c>
      <x:c r="G230" s="39" t="str">
        <x:v>تعداد شغل ایجاد شده</x:v>
      </x:c>
      <x:c r="H230" s="39" t="str">
        <x:v>H3</x:v>
      </x:c>
      <x:c r="I230" s="39" t="str">
        <x:v>P3/CLARIFY</x:v>
      </x:c>
      <x:c r="J230" s="39" t="str">
        <x:v>H3</x:v>
      </x:c>
      <x:c r="K230" s="39" t="str">
        <x:v>تطبیق احتمالی با پایه</x:v>
      </x:c>
      <x:c r="L230" s="39" t="str">
        <x:v>MI-3004</x:v>
      </x:c>
      <x:c r="M230" s="39" t="str">
        <x:v>تعداد شغل ایجاد شده</x:v>
      </x:c>
      <x:c r="N230" s="39" t="str">
        <x:v>فرم مورد نیاز کوچ ساکی.docx::T1R2C3.1 | فرم مورد نیاز کوچ ساکی (1).docx::T1R2C3.1</x:v>
      </x:c>
      <x:c r="O230" s="39"/>
    </x:row>
    <x:row r="231">
      <x:c r="A231" s="34" t="str">
        <x:v>☐</x:v>
      </x:c>
      <x:c r="B231" s="34" t="str">
        <x:v>EX-0203</x:v>
      </x:c>
      <x:c r="C231" s="34" t="str">
        <x:v>09173023128</x:v>
      </x:c>
      <x:c r="D231" s="34" t="str">
        <x:v>UNMAPPED</x:v>
      </x:c>
      <x:c r="E231" s="34" t="str">
        <x:v>34.2</x:v>
      </x:c>
      <x:c r="F231" s="34" t="str">
        <x:v>MI-2091</x:v>
      </x:c>
      <x:c r="G231" s="39" t="str">
        <x:v>در هر اکوسیستم 10 تا 30 نفر وجود دارند که:</x:v>
      </x:c>
      <x:c r="H231" s="39" t="str">
        <x:v>H10</x:v>
      </x:c>
      <x:c r="I231" s="39" t="str">
        <x:v>P2</x:v>
      </x:c>
      <x:c r="J231" s="39" t="str">
        <x:v>STRUCT</x:v>
      </x:c>
      <x:c r="K231" s="39" t="str">
        <x:v>ساختار/برچسب</x:v>
      </x:c>
      <x:c r="L231" s="39"/>
      <x:c r="M231" s="39"/>
      <x:c r="N231" s="39" t="str">
        <x:v>فرم مورد نیاز کوچ ساکی.docx::T1R2C4.1 | فرم مورد نیاز کوچ ساکی (1).docx::T1R2C4.1</x:v>
      </x:c>
      <x:c r="O231" s="39"/>
    </x:row>
    <x:row r="232">
      <x:c r="A232" s="34" t="str">
        <x:v>☐</x:v>
      </x:c>
      <x:c r="B232" s="34" t="str">
        <x:v>EX-0204</x:v>
      </x:c>
      <x:c r="C232" s="34" t="str">
        <x:v>تعداد خواهر</x:v>
      </x:c>
      <x:c r="D232" s="34" t="str">
        <x:v>POSSIBLE</x:v>
      </x:c>
      <x:c r="E232" s="34" t="str">
        <x:v>85.5</x:v>
      </x:c>
      <x:c r="F232" s="34" t="str">
        <x:v>MI-3004</x:v>
      </x:c>
      <x:c r="G232" s="39" t="str">
        <x:v>تعداد شغل ایجاد شده</x:v>
      </x:c>
      <x:c r="H232" s="39" t="str">
        <x:v>H3</x:v>
      </x:c>
      <x:c r="I232" s="39" t="str">
        <x:v>P3/CLARIFY</x:v>
      </x:c>
      <x:c r="J232" s="39" t="str">
        <x:v>H3</x:v>
      </x:c>
      <x:c r="K232" s="39" t="str">
        <x:v>تطبیق احتمالی با پایه</x:v>
      </x:c>
      <x:c r="L232" s="39" t="str">
        <x:v>MI-3004</x:v>
      </x:c>
      <x:c r="M232" s="39" t="str">
        <x:v>تعداد شغل ایجاد شده</x:v>
      </x:c>
      <x:c r="N232" s="39" t="str">
        <x:v>فرم مورد نیاز کوچ ساکی.docx::T1R2C5.1 | فرم مورد نیاز کوچ ساکی (1).docx::T1R2C5.1</x:v>
      </x:c>
      <x:c r="O232" s="39"/>
    </x:row>
    <x:row r="233">
      <x:c r="A233" s="34" t="str">
        <x:v>☐</x:v>
      </x:c>
      <x:c r="B233" s="34" t="str">
        <x:v>EX-0205</x:v>
      </x:c>
      <x:c r="C233" s="34" t="str">
        <x:v>تحصیلات خواهرو برادر و شغل</x:v>
      </x:c>
      <x:c r="D233" s="34" t="str">
        <x:v>POSSIBLE</x:v>
      </x:c>
      <x:c r="E233" s="34" t="str">
        <x:v>85.5</x:v>
      </x:c>
      <x:c r="F233" s="34" t="str">
        <x:v>MI-1513</x:v>
      </x:c>
      <x:c r="G233" s="39" t="str">
        <x:v>تولید و کارآفرینی: توانایی تولید محصول و خدمات و ایجاد شغل.</x:v>
      </x:c>
      <x:c r="H233" s="39" t="str">
        <x:v>H1</x:v>
      </x:c>
      <x:c r="I233" s="39" t="str">
        <x:v>P0</x:v>
      </x:c>
      <x:c r="J233" s="39" t="str">
        <x:v>H1</x:v>
      </x:c>
      <x:c r="K233" s="39" t="str">
        <x:v>تطبیق احتمالی با پایه</x:v>
      </x:c>
      <x:c r="L233" s="39" t="str">
        <x:v>MI-1513</x:v>
      </x:c>
      <x:c r="M233" s="39" t="str">
        <x:v>تولید و کارآفرینی: توانایی تولید محصول و خدمات و ایجاد شغل.</x:v>
      </x:c>
      <x:c r="N233" s="39" t="str">
        <x:v>فرم مورد نیاز کوچ ساکی.docx::T1R3C1.1 | فرم مورد نیاز کوچ ساکی (1).docx::T1R3C1.1</x:v>
      </x:c>
      <x:c r="O233" s="39"/>
    </x:row>
    <x:row r="234">
      <x:c r="A234" s="34" t="str">
        <x:v>☐</x:v>
      </x:c>
      <x:c r="B234" s="34" t="str">
        <x:v>EX-0206</x:v>
      </x:c>
      <x:c r="C234" s="34" t="str">
        <x:v>فرزند چندم</x:v>
      </x:c>
      <x:c r="D234" s="34" t="str">
        <x:v>POSSIBLE</x:v>
      </x:c>
      <x:c r="E234" s="34" t="str">
        <x:v>85.5</x:v>
      </x:c>
      <x:c r="F234" s="34" t="str">
        <x:v>MI-1314</x:v>
      </x:c>
      <x:c r="G234" s="39" t="str">
        <x:v>تشویق فرزند جهت تفکیک زباله در منزل</x:v>
      </x:c>
      <x:c r="H234" s="39" t="str">
        <x:v>H12</x:v>
      </x:c>
      <x:c r="I234" s="39" t="str">
        <x:v>P2</x:v>
      </x:c>
      <x:c r="J234" s="39" t="str">
        <x:v>H12</x:v>
      </x:c>
      <x:c r="K234" s="39" t="str">
        <x:v>تطبیق احتمالی با پایه</x:v>
      </x:c>
      <x:c r="L234" s="39" t="str">
        <x:v>MI-1314</x:v>
      </x:c>
      <x:c r="M234" s="39" t="str">
        <x:v>تشویق فرزند جهت تفکیک زباله در منزل</x:v>
      </x:c>
      <x:c r="N234" s="39" t="str">
        <x:v>فرم مورد نیاز کوچ ساکی.docx::T1R4C1.1 | فرم مورد نیاز کوچ ساکی (1).docx::T1R4C1.1</x:v>
      </x:c>
      <x:c r="O234" s="39"/>
    </x:row>
    <x:row r="235">
      <x:c r="A235" s="34" t="str">
        <x:v>☐</x:v>
      </x:c>
      <x:c r="B235" s="34" t="str">
        <x:v>EX-0207</x:v>
      </x:c>
      <x:c r="C235" s="34" t="str">
        <x:v>شغل پدر</x:v>
      </x:c>
      <x:c r="D235" s="34" t="str">
        <x:v>POSSIBLE</x:v>
      </x:c>
      <x:c r="E235" s="34" t="str">
        <x:v>85.5</x:v>
      </x:c>
      <x:c r="F235" s="34" t="str">
        <x:v>MI-3004</x:v>
      </x:c>
      <x:c r="G235" s="39" t="str">
        <x:v>تعداد شغل ایجاد شده</x:v>
      </x:c>
      <x:c r="H235" s="39" t="str">
        <x:v>H3</x:v>
      </x:c>
      <x:c r="I235" s="39" t="str">
        <x:v>P3/CLARIFY</x:v>
      </x:c>
      <x:c r="J235" s="39" t="str">
        <x:v>H3</x:v>
      </x:c>
      <x:c r="K235" s="39" t="str">
        <x:v>تطبیق احتمالی با پایه</x:v>
      </x:c>
      <x:c r="L235" s="39" t="str">
        <x:v>MI-3004</x:v>
      </x:c>
      <x:c r="M235" s="39" t="str">
        <x:v>تعداد شغل ایجاد شده</x:v>
      </x:c>
      <x:c r="N235" s="39" t="str">
        <x:v>فرم مورد نیاز کوچ ساکی.docx::T1R4C3.1 | فرم مورد نیاز کوچ ساکی (1).docx::T1R4C3.1</x:v>
      </x:c>
      <x:c r="O235" s="39"/>
    </x:row>
    <x:row r="236">
      <x:c r="A236" s="34" t="str">
        <x:v>☐</x:v>
      </x:c>
      <x:c r="B236" s="34" t="str">
        <x:v>EX-0208</x:v>
      </x:c>
      <x:c r="C236" s="34" t="str">
        <x:v>شغل مادر</x:v>
      </x:c>
      <x:c r="D236" s="34" t="str">
        <x:v>POSSIBLE</x:v>
      </x:c>
      <x:c r="E236" s="34" t="str">
        <x:v>85.5</x:v>
      </x:c>
      <x:c r="F236" s="34" t="str">
        <x:v>MI-1513</x:v>
      </x:c>
      <x:c r="G236" s="39" t="str">
        <x:v>تولید و کارآفرینی: توانایی تولید محصول و خدمات و ایجاد شغل.</x:v>
      </x:c>
      <x:c r="H236" s="39" t="str">
        <x:v>H1</x:v>
      </x:c>
      <x:c r="I236" s="39" t="str">
        <x:v>P0</x:v>
      </x:c>
      <x:c r="J236" s="39" t="str">
        <x:v>H1</x:v>
      </x:c>
      <x:c r="K236" s="39" t="str">
        <x:v>تطبیق احتمالی با پایه</x:v>
      </x:c>
      <x:c r="L236" s="39" t="str">
        <x:v>MI-1513</x:v>
      </x:c>
      <x:c r="M236" s="39" t="str">
        <x:v>تولید و کارآفرینی: توانایی تولید محصول و خدمات و ایجاد شغل.</x:v>
      </x:c>
      <x:c r="N236" s="39" t="str">
        <x:v>فرم مورد نیاز کوچ ساکی.docx::T1R4C5.1 | فرم مورد نیاز کوچ ساکی (1).docx::T1R4C5.1</x:v>
      </x:c>
      <x:c r="O236" s="39"/>
    </x:row>
    <x:row r="237">
      <x:c r="A237" s="34" t="str">
        <x:v>☐</x:v>
      </x:c>
      <x:c r="B237" s="34" t="str">
        <x:v>EX-0209</x:v>
      </x:c>
      <x:c r="C237" s="34" t="str">
        <x:v>شماره موبایل</x:v>
      </x:c>
      <x:c r="D237" s="34" t="str">
        <x:v>POSSIBLE</x:v>
      </x:c>
      <x:c r="E237" s="34" t="str">
        <x:v>85.5</x:v>
      </x:c>
      <x:c r="F237" s="34" t="str">
        <x:v>MI-0696</x:v>
      </x:c>
      <x:c r="G237" s="39" t="str">
        <x:v>وای فای برای موبایل اندروید بالای 14 روش کانکت شدن</x:v>
      </x:c>
      <x:c r="H237" s="39" t="str">
        <x:v>H11</x:v>
      </x:c>
      <x:c r="I237" s="39" t="str">
        <x:v>DELEGATE/P2</x:v>
      </x:c>
      <x:c r="J237" s="39" t="str">
        <x:v>H11</x:v>
      </x:c>
      <x:c r="K237" s="39" t="str">
        <x:v>تطبیق احتمالی با پایه</x:v>
      </x:c>
      <x:c r="L237" s="39" t="str">
        <x:v>MI-0696</x:v>
      </x:c>
      <x:c r="M237" s="39" t="str">
        <x:v>وای فای برای موبایل اندروید بالای 14 روش کانکت شدن</x:v>
      </x:c>
      <x:c r="N237" s="39" t="str">
        <x:v>فرم مورد نیاز کوچ ساکی.docx::T1R5C1.1 | فرم مورد نیاز کوچ ساکی (1).docx::T1R5C1.1</x:v>
      </x:c>
      <x:c r="O237" s="39"/>
    </x:row>
    <x:row r="238">
      <x:c r="A238" s="34" t="str">
        <x:v>☐</x:v>
      </x:c>
      <x:c r="B238" s="34" t="str">
        <x:v>EX-0210</x:v>
      </x:c>
      <x:c r="C238" s="34" t="str">
        <x:v>شماره ثابت</x:v>
      </x:c>
      <x:c r="D238" s="34" t="str">
        <x:v>POSSIBLE</x:v>
      </x:c>
      <x:c r="E238" s="34" t="str">
        <x:v>85.5</x:v>
      </x:c>
      <x:c r="F238" s="34" t="str">
        <x:v>MI-1553</x:v>
      </x:c>
      <x:c r="G238" s="39" t="str">
        <x:v>ابزار و و سایل جهادی ثابت از خود بسیج</x:v>
      </x:c>
      <x:c r="H238" s="39" t="str">
        <x:v>H11</x:v>
      </x:c>
      <x:c r="I238" s="39" t="str">
        <x:v>DELEGATE/P2</x:v>
      </x:c>
      <x:c r="J238" s="39" t="str">
        <x:v>H11</x:v>
      </x:c>
      <x:c r="K238" s="39" t="str">
        <x:v>تطبیق احتمالی با پایه</x:v>
      </x:c>
      <x:c r="L238" s="39" t="str">
        <x:v>MI-1553</x:v>
      </x:c>
      <x:c r="M238" s="39" t="str">
        <x:v>ابزار و و سایل جهادی ثابت از خود بسیج</x:v>
      </x:c>
      <x:c r="N238" s="39" t="str">
        <x:v>فرم مورد نیاز کوچ ساکی.docx::T1R5C3.1 | فرم مورد نیاز کوچ ساکی (1).docx::T1R5C3.1</x:v>
      </x:c>
      <x:c r="O238" s="39"/>
    </x:row>
    <x:row r="239">
      <x:c r="A239" s="34" t="str">
        <x:v>☐</x:v>
      </x:c>
      <x:c r="B239" s="34" t="str">
        <x:v>EX-0211</x:v>
      </x:c>
      <x:c r="C239" s="34" t="str">
        <x:v>نحوه آشنایی با کلینیک سینا</x:v>
      </x:c>
      <x:c r="D239" s="34" t="str">
        <x:v>POSSIBLE</x:v>
      </x:c>
      <x:c r="E239" s="34" t="str">
        <x:v>85.5</x:v>
      </x:c>
      <x:c r="F239" s="34" t="str">
        <x:v>MI-1501</x:v>
      </x:c>
      <x:c r="G239" s="39" t="str">
        <x:v>مدیریت ریسک: شناسایی ریسک ها، ارزیابی اثرات، تدوین برنامه های مقابله با ریسک ها.</x:v>
      </x:c>
      <x:c r="H239" s="39" t="str">
        <x:v>H1</x:v>
      </x:c>
      <x:c r="I239" s="39" t="str">
        <x:v>P0</x:v>
      </x:c>
      <x:c r="J239" s="39" t="str">
        <x:v>H1</x:v>
      </x:c>
      <x:c r="K239" s="39" t="str">
        <x:v>تطبیق احتمالی با پایه</x:v>
      </x:c>
      <x:c r="L239" s="39" t="str">
        <x:v>MI-1501</x:v>
      </x:c>
      <x:c r="M239" s="39" t="str">
        <x:v>مدیریت ریسک: شناسایی ریسک ها، ارزیابی اثرات، تدوین برنامه های مقابله با ریسک ها.</x:v>
      </x:c>
      <x:c r="N239" s="39" t="str">
        <x:v>فرم مورد نیاز کوچ ساکی.docx::T1R5C5.1 | فرم مورد نیاز کوچ ساکی (1).docx::T1R5C5.1</x:v>
      </x:c>
      <x:c r="O239" s="39"/>
    </x:row>
    <x:row r="240">
      <x:c r="A240" s="34" t="str">
        <x:v>☐</x:v>
      </x:c>
      <x:c r="B240" s="34" t="str">
        <x:v>EX-0212</x:v>
      </x:c>
      <x:c r="C240" s="34" t="str">
        <x:v>در صورت داشتن معرف نام و نام خانوادگی معرف ذکر شود</x:v>
      </x:c>
      <x:c r="D240" s="34" t="str">
        <x:v>POSSIBLE</x:v>
      </x:c>
      <x:c r="E240" s="34" t="str">
        <x:v>85.5</x:v>
      </x:c>
      <x:c r="F240" s="34" t="str">
        <x:v>MI-0029</x:v>
      </x:c>
      <x:c r="G240" s="39" t="str">
        <x:v>تدریس ریاضی و فیزیک</x:v>
      </x:c>
      <x:c r="H240" s="39" t="str">
        <x:v>H1</x:v>
      </x:c>
      <x:c r="I240" s="39" t="str">
        <x:v>P0</x:v>
      </x:c>
      <x:c r="J240" s="39" t="str">
        <x:v>H1</x:v>
      </x:c>
      <x:c r="K240" s="39" t="str">
        <x:v>تطبیق احتمالی با پایه</x:v>
      </x:c>
      <x:c r="L240" s="39" t="str">
        <x:v>MI-0029</x:v>
      </x:c>
      <x:c r="M240" s="39" t="str">
        <x:v>تدریس ریاضی و فیزیک</x:v>
      </x:c>
      <x:c r="N240" s="39" t="str">
        <x:v>فرم مورد نیاز کوچ ساکی.docx::T1R6C1.1 | فرم مورد نیاز کوچ ساکی.docx::T1R6C2.1 | فرم مورد نیاز کوچ ساکی (1).docx::T1R6C1.1 | فرم مورد نیاز کوچ ساکی (1).docx::T1R6C2.1</x:v>
      </x:c>
      <x:c r="O240" s="39"/>
    </x:row>
    <x:row r="241">
      <x:c r="A241" s="34" t="str">
        <x:v>☐</x:v>
      </x:c>
      <x:c r="B241" s="34" t="str">
        <x:v>EX-0213</x:v>
      </x:c>
      <x:c r="C241" s="34" t="str">
        <x:v>آدرس محل سکونت</x:v>
      </x:c>
      <x:c r="D241" s="34" t="str">
        <x:v>POSSIBLE</x:v>
      </x:c>
      <x:c r="E241" s="34" t="str">
        <x:v>85.5</x:v>
      </x:c>
      <x:c r="F241" s="34" t="str">
        <x:v>MI-1973</x:v>
      </x:c>
      <x:c r="G241" s="39" t="str">
        <x:v>اینجا محل مصرف استعداد است.</x:v>
      </x:c>
      <x:c r="H241" s="39" t="str">
        <x:v>H10</x:v>
      </x:c>
      <x:c r="I241" s="39" t="str">
        <x:v>P2</x:v>
      </x:c>
      <x:c r="J241" s="39" t="str">
        <x:v>H10</x:v>
      </x:c>
      <x:c r="K241" s="39" t="str">
        <x:v>تطبیق احتمالی با پایه</x:v>
      </x:c>
      <x:c r="L241" s="39" t="str">
        <x:v>MI-1973</x:v>
      </x:c>
      <x:c r="M241" s="39" t="str">
        <x:v>اینجا محل مصرف استعداد است.</x:v>
      </x:c>
      <x:c r="N241" s="39" t="str">
        <x:v>فرم مورد نیاز کوچ ساکی.docx::T1R7C1.1 | فرم مورد نیاز کوچ ساکی (1).docx::T1R7C1.1</x:v>
      </x:c>
      <x:c r="O241" s="39"/>
    </x:row>
    <x:row r="242">
      <x:c r="A242" s="34" t="str">
        <x:v>☐</x:v>
      </x:c>
      <x:c r="B242" s="34" t="str">
        <x:v>EX-0214</x:v>
      </x:c>
      <x:c r="C242" s="34" t="str">
        <x:v>ردیف</x:v>
      </x:c>
      <x:c r="D242" s="34" t="str">
        <x:v>UNMAPPED</x:v>
      </x:c>
      <x:c r="E242" s="34" t="str">
        <x:v>77.1</x:v>
      </x:c>
      <x:c r="F242" s="34" t="str">
        <x:v>MI-1461</x:v>
      </x:c>
      <x:c r="G242" s="39" t="str">
        <x:v>مهارت های ارتباطی و بین فردی</x:v>
      </x:c>
      <x:c r="H242" s="39" t="str">
        <x:v>H1</x:v>
      </x:c>
      <x:c r="I242" s="39" t="str">
        <x:v>P0</x:v>
      </x:c>
      <x:c r="J242" s="39" t="str">
        <x:v>STRUCT</x:v>
      </x:c>
      <x:c r="K242" s="39" t="str">
        <x:v>ساختار/برچسب</x:v>
      </x:c>
      <x:c r="L242" s="39"/>
      <x:c r="M242" s="39"/>
      <x:c r="N242" s="39" t="str">
        <x:v>فرم مورد نیاز کوچ ساکی.docx::T2R1C1.1 | فرم مورد نیاز کوچ ساکی.docx::T3R1C1.1 | فرم مورد نیاز کوچ ساکی (1).docx::T2R1C1.1 | فرم مورد نیاز کوچ ساکی (1).docx::T3R1C1.1</x:v>
      </x:c>
      <x:c r="O242" s="39"/>
    </x:row>
    <x:row r="243">
      <x:c r="A243" s="34" t="str">
        <x:v>☐</x:v>
      </x:c>
      <x:c r="B243" s="34" t="str">
        <x:v>EX-0215</x:v>
      </x:c>
      <x:c r="C243" s="34" t="str">
        <x:v>مقطع آموزشی</x:v>
      </x:c>
      <x:c r="D243" s="34" t="str">
        <x:v>POSSIBLE</x:v>
      </x:c>
      <x:c r="E243" s="34" t="str">
        <x:v>90.0</x:v>
      </x:c>
      <x:c r="F243" s="34" t="str">
        <x:v>MI-2601</x:v>
      </x:c>
      <x:c r="G243" s="39" t="str">
        <x:v>آموزش:</x:v>
      </x:c>
      <x:c r="H243" s="39" t="str">
        <x:v>H20</x:v>
      </x:c>
      <x:c r="I243" s="39" t="str">
        <x:v>P3/CLARIFY</x:v>
      </x:c>
      <x:c r="J243" s="39" t="str">
        <x:v>H20</x:v>
      </x:c>
      <x:c r="K243" s="39" t="str">
        <x:v>تطبیق احتمالی با پایه</x:v>
      </x:c>
      <x:c r="L243" s="39" t="str">
        <x:v>MI-2601</x:v>
      </x:c>
      <x:c r="M243" s="39" t="str">
        <x:v>آموزش:</x:v>
      </x:c>
      <x:c r="N243" s="39" t="str">
        <x:v>فرم مورد نیاز کوچ ساکی.docx::T2R1C2.1 | فرم مورد نیاز کوچ ساکی (1).docx::T2R1C2.1</x:v>
      </x:c>
      <x:c r="O243" s="39"/>
    </x:row>
    <x:row r="244">
      <x:c r="A244" s="34" t="str">
        <x:v>☐</x:v>
      </x:c>
      <x:c r="B244" s="34" t="str">
        <x:v>EX-0216</x:v>
      </x:c>
      <x:c r="C244" s="34" t="str">
        <x:v>نام موسسه/ دانشگاه</x:v>
      </x:c>
      <x:c r="D244" s="34" t="str">
        <x:v>POSSIBLE</x:v>
      </x:c>
      <x:c r="E244" s="34" t="str">
        <x:v>90.0</x:v>
      </x:c>
      <x:c r="F244" s="34" t="str">
        <x:v>MI-2622</x:v>
      </x:c>
      <x:c r="G244" s="39" t="str">
        <x:v>دانش</x:v>
      </x:c>
      <x:c r="H244" s="39" t="str">
        <x:v>H20</x:v>
      </x:c>
      <x:c r="I244" s="39" t="str">
        <x:v>P3/CLARIFY</x:v>
      </x:c>
      <x:c r="J244" s="39" t="str">
        <x:v>H20</x:v>
      </x:c>
      <x:c r="K244" s="39" t="str">
        <x:v>تطبیق احتمالی با پایه</x:v>
      </x:c>
      <x:c r="L244" s="39" t="str">
        <x:v>MI-2622</x:v>
      </x:c>
      <x:c r="M244" s="39" t="str">
        <x:v>دانش</x:v>
      </x:c>
      <x:c r="N244" s="39" t="str">
        <x:v>فرم مورد نیاز کوچ ساکی.docx::T2R1C3.1 | فرم مورد نیاز کوچ ساکی (1).docx::T2R1C3.1</x:v>
      </x:c>
      <x:c r="O244" s="39"/>
    </x:row>
    <x:row r="245">
      <x:c r="A245" s="34" t="str">
        <x:v>☐</x:v>
      </x:c>
      <x:c r="B245" s="34" t="str">
        <x:v>EX-0217</x:v>
      </x:c>
      <x:c r="C245" s="34" t="str">
        <x:v>نام شرکت / سازمان</x:v>
      </x:c>
      <x:c r="D245" s="34" t="str">
        <x:v>POSSIBLE</x:v>
      </x:c>
      <x:c r="E245" s="34" t="str">
        <x:v>85.5</x:v>
      </x:c>
      <x:c r="F245" s="34" t="str">
        <x:v>MI-1538</x:v>
      </x:c>
      <x:c r="G245" s="39" t="str">
        <x:v>فعالیت های فرهنگی: شرکت در فعالیت های هنری، موسیقی، تیاتر، سینما، نگارش، خوشنویسی.</x:v>
      </x:c>
      <x:c r="H245" s="39" t="str">
        <x:v>H1</x:v>
      </x:c>
      <x:c r="I245" s="39" t="str">
        <x:v>P0</x:v>
      </x:c>
      <x:c r="J245" s="39" t="str">
        <x:v>H1</x:v>
      </x:c>
      <x:c r="K245" s="39" t="str">
        <x:v>تطبیق احتمالی با پایه</x:v>
      </x:c>
      <x:c r="L245" s="39" t="str">
        <x:v>MI-1538</x:v>
      </x:c>
      <x:c r="M245" s="39" t="str">
        <x:v>فعالیت های فرهنگی: شرکت در فعالیت های هنری، موسیقی، تیاتر، سینما، نگارش، خوشنویسی.</x:v>
      </x:c>
      <x:c r="N245" s="39" t="str">
        <x:v>فرم مورد نیاز کوچ ساکی.docx::T3R1C2.1 | فرم مورد نیاز کوچ ساکی (1).docx::T3R1C2.1</x:v>
      </x:c>
      <x:c r="O245" s="39"/>
    </x:row>
    <x:row r="246">
      <x:c r="A246" s="34" t="str">
        <x:v>☐</x:v>
      </x:c>
      <x:c r="B246" s="34" t="str">
        <x:v>EX-0218</x:v>
      </x:c>
      <x:c r="C246" s="34" t="str">
        <x:v>تاریخ شروع اشتغال</x:v>
      </x:c>
      <x:c r="D246" s="34" t="str">
        <x:v>POSSIBLE</x:v>
      </x:c>
      <x:c r="E246" s="34" t="str">
        <x:v>90.0</x:v>
      </x:c>
      <x:c r="F246" s="34" t="str">
        <x:v>MI-0671</x:v>
      </x:c>
      <x:c r="G246" s="39" t="str">
        <x:v>شروع</x:v>
      </x:c>
      <x:c r="H246" s="39" t="str">
        <x:v>H11</x:v>
      </x:c>
      <x:c r="I246" s="39" t="str">
        <x:v>DELEGATE/P2</x:v>
      </x:c>
      <x:c r="J246" s="39" t="str">
        <x:v>H11</x:v>
      </x:c>
      <x:c r="K246" s="39" t="str">
        <x:v>تطبیق احتمالی با پایه</x:v>
      </x:c>
      <x:c r="L246" s="39" t="str">
        <x:v>MI-0671</x:v>
      </x:c>
      <x:c r="M246" s="39" t="str">
        <x:v>شروع</x:v>
      </x:c>
      <x:c r="N246" s="39" t="str">
        <x:v>فرم مورد نیاز کوچ ساکی.docx::T3R1C3.1 | فرم مورد نیاز کوچ ساکی (1).docx::T3R1C3.1</x:v>
      </x:c>
      <x:c r="O246" s="39"/>
    </x:row>
    <x:row r="247">
      <x:c r="A247" s="34" t="str">
        <x:v>☐</x:v>
      </x:c>
      <x:c r="B247" s="34" t="str">
        <x:v>EX-0219</x:v>
      </x:c>
      <x:c r="C247" s="34" t="str">
        <x:v>تاریخ پایان</x:v>
      </x:c>
      <x:c r="D247" s="34" t="str">
        <x:v>POSSIBLE</x:v>
      </x:c>
      <x:c r="E247" s="34" t="str">
        <x:v>85.5</x:v>
      </x:c>
      <x:c r="F247" s="34" t="str">
        <x:v>MI-0808</x:v>
      </x:c>
      <x:c r="G247" s="39" t="str">
        <x:v>- نداشتن تاریخ انقضا دستمال کاغذی در سلف</x:v>
      </x:c>
      <x:c r="H247" s="39" t="str">
        <x:v>H11</x:v>
      </x:c>
      <x:c r="I247" s="39" t="str">
        <x:v>DELEGATE/P2</x:v>
      </x:c>
      <x:c r="J247" s="39" t="str">
        <x:v>H11</x:v>
      </x:c>
      <x:c r="K247" s="39" t="str">
        <x:v>تطبیق احتمالی با پایه</x:v>
      </x:c>
      <x:c r="L247" s="39" t="str">
        <x:v>MI-0808</x:v>
      </x:c>
      <x:c r="M247" s="39" t="str">
        <x:v>- نداشتن تاریخ انقضا دستمال کاغذی در سلف</x:v>
      </x:c>
      <x:c r="N247" s="39" t="str">
        <x:v>فرم مورد نیاز کوچ ساکی.docx::T3R1C4.1 | فرم مورد نیاز کوچ ساکی (1).docx::T3R1C4.1</x:v>
      </x:c>
      <x:c r="O247" s="39"/>
    </x:row>
    <x:row r="248">
      <x:c r="A248" s="34" t="str">
        <x:v>☐</x:v>
      </x:c>
      <x:c r="B248" s="34" t="str">
        <x:v>EX-0220</x:v>
      </x:c>
      <x:c r="C248" s="34" t="str">
        <x:v>سمت و شرح شغل</x:v>
      </x:c>
      <x:c r="D248" s="34" t="str">
        <x:v>POSSIBLE</x:v>
      </x:c>
      <x:c r="E248" s="34" t="str">
        <x:v>85.5</x:v>
      </x:c>
      <x:c r="F248" s="34" t="str">
        <x:v>MI-1513</x:v>
      </x:c>
      <x:c r="G248" s="39" t="str">
        <x:v>تولید و کارآفرینی: توانایی تولید محصول و خدمات و ایجاد شغل.</x:v>
      </x:c>
      <x:c r="H248" s="39" t="str">
        <x:v>H1</x:v>
      </x:c>
      <x:c r="I248" s="39" t="str">
        <x:v>P0</x:v>
      </x:c>
      <x:c r="J248" s="39" t="str">
        <x:v>H1</x:v>
      </x:c>
      <x:c r="K248" s="39" t="str">
        <x:v>تطبیق احتمالی با پایه</x:v>
      </x:c>
      <x:c r="L248" s="39" t="str">
        <x:v>MI-1513</x:v>
      </x:c>
      <x:c r="M248" s="39" t="str">
        <x:v>تولید و کارآفرینی: توانایی تولید محصول و خدمات و ایجاد شغل.</x:v>
      </x:c>
      <x:c r="N248" s="39" t="str">
        <x:v>فرم مورد نیاز کوچ ساکی.docx::T3R1C5.1 | فرم مورد نیاز کوچ ساکی (1).docx::T3R1C5.1</x:v>
      </x:c>
      <x:c r="O248" s="39"/>
    </x:row>
    <x:row r="249">
      <x:c r="A249" s="34" t="str">
        <x:v>☐</x:v>
      </x:c>
      <x:c r="B249" s="34" t="str">
        <x:v>EX-0221</x:v>
      </x:c>
      <x:c r="C249" s="34" t="str">
        <x:v>علت انصراف ازشغل</x:v>
      </x:c>
      <x:c r="D249" s="34" t="str">
        <x:v>UNMAPPED</x:v>
      </x:c>
      <x:c r="E249" s="34" t="str">
        <x:v>65.5</x:v>
      </x:c>
      <x:c r="F249" s="34" t="str">
        <x:v>MI-2681</x:v>
      </x:c>
      <x:c r="G249" s="39" t="str">
        <x:v>اشتغال</x:v>
      </x:c>
      <x:c r="H249" s="39" t="str">
        <x:v>H20</x:v>
      </x:c>
      <x:c r="I249" s="39" t="str">
        <x:v>P3/CLARIFY</x:v>
      </x:c>
      <x:c r="J249" s="39" t="str">
        <x:v>H23</x:v>
      </x:c>
      <x:c r="K249" s="39" t="str">
        <x:v>نیازمند پالایش؛ حذف نشده</x:v>
      </x:c>
      <x:c r="L249" s="39"/>
      <x:c r="M249" s="39"/>
      <x:c r="N249" s="39" t="str">
        <x:v>فرم مورد نیاز کوچ ساکی.docx::T3R1C6.1 | فرم مورد نیاز کوچ ساکی (1).docx::T3R1C6.1</x:v>
      </x:c>
      <x:c r="O249" s="39"/>
    </x:row>
    <x:row r="250">
      <x:c r="A250" s="34" t="str">
        <x:v>☐</x:v>
      </x:c>
      <x:c r="B250" s="34" t="str">
        <x:v>EX-0222</x:v>
      </x:c>
      <x:c r="C250" s="34" t="str">
        <x:v>همسر</x:v>
      </x:c>
      <x:c r="D250" s="34" t="str">
        <x:v>UNMAPPED</x:v>
      </x:c>
      <x:c r="E250" s="34" t="str">
        <x:v>67.5</x:v>
      </x:c>
      <x:c r="F250" s="34" t="str">
        <x:v>MI-2166</x:v>
      </x:c>
      <x:c r="G250" s="39" t="str">
        <x:v>آدم + پروژه + سرمایه</x:v>
      </x:c>
      <x:c r="H250" s="39" t="str">
        <x:v>H8</x:v>
      </x:c>
      <x:c r="I250" s="39" t="str">
        <x:v>P2</x:v>
      </x:c>
      <x:c r="J250" s="39" t="str">
        <x:v>H23</x:v>
      </x:c>
      <x:c r="K250" s="39" t="str">
        <x:v>نیازمند پالایش؛ حذف نشده</x:v>
      </x:c>
      <x:c r="L250" s="39"/>
      <x:c r="M250" s="39"/>
      <x:c r="N250" s="39" t="str">
        <x:v>فرم مورد نیاز کوچ ساکی.docx::T4R1C1.2 | فرم مورد نیاز کوچ ساکی.docx::T4R1C5.2 | فرم مورد نیاز کوچ ساکی (1).docx::T4R1C1.2 | فرم مورد نیاز کوچ ساکی (1).docx::T4R1C5.2</x:v>
      </x:c>
      <x:c r="O250" s="39"/>
    </x:row>
    <x:row r="251">
      <x:c r="A251" s="34" t="str">
        <x:v>☐</x:v>
      </x:c>
      <x:c r="B251" s="34" t="str">
        <x:v>EX-0223</x:v>
      </x:c>
      <x:c r="C251" s="34" t="str">
        <x:v>نام خانوادگی همسر</x:v>
      </x:c>
      <x:c r="D251" s="34" t="str">
        <x:v>POSSIBLE</x:v>
      </x:c>
      <x:c r="E251" s="34" t="str">
        <x:v>85.5</x:v>
      </x:c>
      <x:c r="F251" s="34" t="str">
        <x:v>MI-3062</x:v>
      </x:c>
      <x:c r="G251" s="39" t="str">
        <x:v>بهترین شغل از نظر شما چیست؟ نام برده و دلیل آن را بنویسید.</x:v>
      </x:c>
      <x:c r="H251" s="39" t="str">
        <x:v>H3</x:v>
      </x:c>
      <x:c r="I251" s="39" t="str">
        <x:v>P3/CLARIFY</x:v>
      </x:c>
      <x:c r="J251" s="39" t="str">
        <x:v>H3</x:v>
      </x:c>
      <x:c r="K251" s="39" t="str">
        <x:v>تطبیق احتمالی با پایه</x:v>
      </x:c>
      <x:c r="L251" s="39" t="str">
        <x:v>MI-3062</x:v>
      </x:c>
      <x:c r="M251" s="39" t="str">
        <x:v>بهترین شغل از نظر شما چیست؟ نام برده و دلیل آن را بنویسید.</x:v>
      </x:c>
      <x:c r="N251" s="39" t="str">
        <x:v>فرم مورد نیاز کوچ ساکی.docx::T4R1C3.1 | فرم مورد نیاز کوچ ساکی (1).docx::T4R1C3.1</x:v>
      </x:c>
      <x:c r="O251" s="39"/>
    </x:row>
    <x:row r="252">
      <x:c r="A252" s="34" t="str">
        <x:v>☐</x:v>
      </x:c>
      <x:c r="B252" s="34" t="str">
        <x:v>EX-0224</x:v>
      </x:c>
      <x:c r="C252" s="34" t="str">
        <x:v>شغل همسر</x:v>
      </x:c>
      <x:c r="D252" s="34" t="str">
        <x:v>POSSIBLE</x:v>
      </x:c>
      <x:c r="E252" s="34" t="str">
        <x:v>85.5</x:v>
      </x:c>
      <x:c r="F252" s="34" t="str">
        <x:v>MI-1513</x:v>
      </x:c>
      <x:c r="G252" s="39" t="str">
        <x:v>تولید و کارآفرینی: توانایی تولید محصول و خدمات و ایجاد شغل.</x:v>
      </x:c>
      <x:c r="H252" s="39" t="str">
        <x:v>H1</x:v>
      </x:c>
      <x:c r="I252" s="39" t="str">
        <x:v>P0</x:v>
      </x:c>
      <x:c r="J252" s="39" t="str">
        <x:v>H1</x:v>
      </x:c>
      <x:c r="K252" s="39" t="str">
        <x:v>تطبیق احتمالی با پایه</x:v>
      </x:c>
      <x:c r="L252" s="39" t="str">
        <x:v>MI-1513</x:v>
      </x:c>
      <x:c r="M252" s="39" t="str">
        <x:v>تولید و کارآفرینی: توانایی تولید محصول و خدمات و ایجاد شغل.</x:v>
      </x:c>
      <x:c r="N252" s="39" t="str">
        <x:v>فرم مورد نیاز کوچ ساکی.docx::T4R2C1.1 | فرم مورد نیاز کوچ ساکی (1).docx::T4R2C1.1</x:v>
      </x:c>
      <x:c r="O252" s="39"/>
    </x:row>
    <x:row r="253">
      <x:c r="A253" s="34" t="str">
        <x:v>☐</x:v>
      </x:c>
      <x:c r="B253" s="34" t="str">
        <x:v>EX-0225</x:v>
      </x:c>
      <x:c r="C253" s="34" t="str">
        <x:v>آیا صاحب فرزند هستید؟</x:v>
      </x:c>
      <x:c r="D253" s="34" t="str">
        <x:v>POSSIBLE</x:v>
      </x:c>
      <x:c r="E253" s="34" t="str">
        <x:v>85.5</x:v>
      </x:c>
      <x:c r="F253" s="34" t="str">
        <x:v>MI-3058</x:v>
      </x:c>
      <x:c r="G253" s="39" t="str">
        <x:v>آیا سابقه بیماری خاص و یا آلرژی یا عمل جراحی داشتید؟ و این موضوع برای شما محدودیت شغلی ایجاد کرده است؟</x:v>
      </x:c>
      <x:c r="H253" s="39" t="str">
        <x:v>H3</x:v>
      </x:c>
      <x:c r="I253" s="39" t="str">
        <x:v>P3/CLARIFY</x:v>
      </x:c>
      <x:c r="J253" s="39" t="str">
        <x:v>H3</x:v>
      </x:c>
      <x:c r="K253" s="39" t="str">
        <x:v>تطبیق احتمالی با پایه</x:v>
      </x:c>
      <x:c r="L253" s="39" t="str">
        <x:v>MI-3058</x:v>
      </x:c>
      <x:c r="M253" s="39" t="str">
        <x:v>آیا سابقه بیماری خاص و یا آلرژی یا عمل جراحی داشتید؟ و این موضوع برای شما محدودیت شغلی ایجاد کرده است؟</x:v>
      </x:c>
      <x:c r="N253" s="39" t="str">
        <x:v>فرم مورد نیاز کوچ ساکی.docx::T4R2C3.1 | فرم مورد نیاز کوچ ساکی (1).docx::T4R2C3.1</x:v>
      </x:c>
      <x:c r="O253" s="39"/>
    </x:row>
    <x:row r="254">
      <x:c r="A254" s="34" t="str">
        <x:v>☐</x:v>
      </x:c>
      <x:c r="B254" s="34" t="str">
        <x:v>EX-0226</x:v>
      </x:c>
      <x:c r="C254" s="34" t="str">
        <x:v>تعداد فرزندان</x:v>
      </x:c>
      <x:c r="D254" s="34" t="str">
        <x:v>POSSIBLE</x:v>
      </x:c>
      <x:c r="E254" s="34" t="str">
        <x:v>85.5</x:v>
      </x:c>
      <x:c r="F254" s="34" t="str">
        <x:v>MI-2999</x:v>
      </x:c>
      <x:c r="G254" s="39" t="str">
        <x:v>تعداد استعدادهای ثبت شده</x:v>
      </x:c>
      <x:c r="H254" s="39" t="str">
        <x:v>H10</x:v>
      </x:c>
      <x:c r="I254" s="39" t="str">
        <x:v>P2</x:v>
      </x:c>
      <x:c r="J254" s="39" t="str">
        <x:v>H10</x:v>
      </x:c>
      <x:c r="K254" s="39" t="str">
        <x:v>تطبیق احتمالی با پایه</x:v>
      </x:c>
      <x:c r="L254" s="39" t="str">
        <x:v>MI-2999</x:v>
      </x:c>
      <x:c r="M254" s="39" t="str">
        <x:v>تعداد استعدادهای ثبت شده</x:v>
      </x:c>
      <x:c r="N254" s="39" t="str">
        <x:v>فرم مورد نیاز کوچ ساکی.docx::T4R2C5.1 | فرم مورد نیاز کوچ ساکی (1).docx::T4R2C5.1</x:v>
      </x:c>
      <x:c r="O254" s="39"/>
    </x:row>
    <x:row r="255">
      <x:c r="A255" s="34" t="str">
        <x:v>☐</x:v>
      </x:c>
      <x:c r="B255" s="34" t="str">
        <x:v>EX-0227</x:v>
      </x:c>
      <x:c r="C255" s="34" t="str">
        <x:v>سابقه بیماری نداشتم، امّا سابقه جراحی جزئی در ایام طفولیت داشتم.</x:v>
      </x:c>
      <x:c r="D255" s="34" t="str">
        <x:v>POSSIBLE</x:v>
      </x:c>
      <x:c r="E255" s="34" t="str">
        <x:v>90.6</x:v>
      </x:c>
      <x:c r="F255" s="34" t="str">
        <x:v>MI-3059</x:v>
      </x:c>
      <x:c r="G255" s="39" t="str">
        <x:v>سابقه بیماری نداشتم، امّا سابقه جراحی جزیی در ایام طفولیت داشتم. موضوعی جهت محدودیت شغلی ندارم.</x:v>
      </x:c>
      <x:c r="H255" s="39" t="str">
        <x:v>H3</x:v>
      </x:c>
      <x:c r="I255" s="39" t="str">
        <x:v>P3/CLARIFY</x:v>
      </x:c>
      <x:c r="J255" s="39" t="str">
        <x:v>H3</x:v>
      </x:c>
      <x:c r="K255" s="39" t="str">
        <x:v>تطبیق احتمالی با پایه</x:v>
      </x:c>
      <x:c r="L255" s="39" t="str">
        <x:v>MI-3059</x:v>
      </x:c>
      <x:c r="M255" s="39" t="str">
        <x:v>سابقه بیماری نداشتم، امّا سابقه جراحی جزیی در ایام طفولیت داشتم. موضوعی جهت محدودیت شغلی ندارم.</x:v>
      </x:c>
      <x:c r="N255" s="39" t="str">
        <x:v>فرم مورد نیاز کوچ ساکی.docx::T5R2C1.1 | فرم مورد نیاز کوچ ساکی (1).docx::T5R2C1.1</x:v>
      </x:c>
      <x:c r="O255" s="39"/>
    </x:row>
    <x:row r="256">
      <x:c r="A256" s="34" t="str">
        <x:v>☐</x:v>
      </x:c>
      <x:c r="B256" s="34" t="str">
        <x:v>EX-0228</x:v>
      </x:c>
      <x:c r="C256" s="34" t="str">
        <x:v>موضوعی جهت محدودیت شغلی ندارم.</x:v>
      </x:c>
      <x:c r="D256" s="34" t="str">
        <x:v>POSSIBLE</x:v>
      </x:c>
      <x:c r="E256" s="34" t="str">
        <x:v>90.0</x:v>
      </x:c>
      <x:c r="F256" s="34" t="str">
        <x:v>MI-3059</x:v>
      </x:c>
      <x:c r="G256" s="39" t="str">
        <x:v>سابقه بیماری نداشتم، امّا سابقه جراحی جزیی در ایام طفولیت داشتم. موضوعی جهت محدودیت شغلی ندارم.</x:v>
      </x:c>
      <x:c r="H256" s="39" t="str">
        <x:v>H3</x:v>
      </x:c>
      <x:c r="I256" s="39" t="str">
        <x:v>P3/CLARIFY</x:v>
      </x:c>
      <x:c r="J256" s="39" t="str">
        <x:v>H3</x:v>
      </x:c>
      <x:c r="K256" s="39" t="str">
        <x:v>تطبیق احتمالی با پایه</x:v>
      </x:c>
      <x:c r="L256" s="39" t="str">
        <x:v>MI-3059</x:v>
      </x:c>
      <x:c r="M256" s="39" t="str">
        <x:v>سابقه بیماری نداشتم، امّا سابقه جراحی جزیی در ایام طفولیت داشتم. موضوعی جهت محدودیت شغلی ندارم.</x:v>
      </x:c>
      <x:c r="N256" s="39" t="str">
        <x:v>فرم مورد نیاز کوچ ساکی.docx::T5R2C1.2 | فرم مورد نیاز کوچ ساکی (1).docx::T5R2C1.2</x:v>
      </x:c>
      <x:c r="O256" s="39"/>
    </x:row>
    <x:row r="257">
      <x:c r="A257" s="34" t="str">
        <x:v>☐</x:v>
      </x:c>
      <x:c r="B257" s="34" t="str">
        <x:v>EX-0229</x:v>
      </x:c>
      <x:c r="C257" s="34"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x:v>
      </x:c>
      <x:c r="D257" s="34" t="str">
        <x:v>POSSIBLE</x:v>
      </x:c>
      <x:c r="E257" s="34" t="str">
        <x:v>90.0</x:v>
      </x:c>
      <x:c r="F257" s="34" t="str">
        <x:v>MI-3061</x:v>
      </x:c>
      <x:c r="G257"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H257" s="39" t="str">
        <x:v>H1</x:v>
      </x:c>
      <x:c r="I257" s="39" t="str">
        <x:v>P0</x:v>
      </x:c>
      <x:c r="J257" s="39" t="str">
        <x:v>H1</x:v>
      </x:c>
      <x:c r="K257" s="39" t="str">
        <x:v>تطبیق احتمالی با پایه</x:v>
      </x:c>
      <x:c r="L257" s="39" t="str">
        <x:v>MI-3061</x:v>
      </x:c>
      <x:c r="M257"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N257" s="39" t="str">
        <x:v>فرم مورد نیاز کوچ ساکی.docx::T6R2C1.1 | فرم مورد نیاز کوچ ساکی (1).docx::T6R2C1.1</x:v>
      </x:c>
      <x:c r="O257" s="39"/>
    </x:row>
    <x:row r="258">
      <x:c r="A258" s="34" t="str">
        <x:v>☐</x:v>
      </x:c>
      <x:c r="B258" s="34" t="str">
        <x:v>EX-0230</x:v>
      </x:c>
      <x:c r="C258" s="34" t="str">
        <x:v>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x:v>
      </x:c>
      <x:c r="D258" s="34" t="str">
        <x:v>POSSIBLE</x:v>
      </x:c>
      <x:c r="E258" s="34" t="str">
        <x:v>90.0</x:v>
      </x:c>
      <x:c r="F258" s="34" t="str">
        <x:v>MI-3061</x:v>
      </x:c>
      <x:c r="G258"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H258" s="39" t="str">
        <x:v>H1</x:v>
      </x:c>
      <x:c r="I258" s="39" t="str">
        <x:v>P0</x:v>
      </x:c>
      <x:c r="J258" s="39" t="str">
        <x:v>H1</x:v>
      </x:c>
      <x:c r="K258" s="39" t="str">
        <x:v>تطبیق احتمالی با پایه</x:v>
      </x:c>
      <x:c r="L258" s="39" t="str">
        <x:v>MI-3061</x:v>
      </x:c>
      <x:c r="M258"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N258" s="39" t="str">
        <x:v>فرم مورد نیاز کوچ ساکی.docx::T6R2C1.2 | فرم مورد نیاز کوچ ساکی (1).docx::T6R2C1.2</x:v>
      </x:c>
      <x:c r="O258" s="39"/>
    </x:row>
    <x:row r="259">
      <x:c r="A259" s="34" t="str">
        <x:v>☐</x:v>
      </x:c>
      <x:c r="B259" s="34" t="str">
        <x:v>EX-0231</x:v>
      </x:c>
      <x:c r="C259" s="34" t="str">
        <x:v>عمدتاٌ در زندگی بارش فکری زیادی به سراغم میاد.</x:v>
      </x:c>
      <x:c r="D259" s="34" t="str">
        <x:v>POSSIBLE</x:v>
      </x:c>
      <x:c r="E259" s="34" t="str">
        <x:v>85.5</x:v>
      </x:c>
      <x:c r="F259" s="34" t="str">
        <x:v>MI-0173</x:v>
      </x:c>
      <x:c r="G259" s="39" t="str">
        <x:v>جستجو در منابع سریع</x:v>
      </x:c>
      <x:c r="H259" s="39" t="str">
        <x:v>H1</x:v>
      </x:c>
      <x:c r="I259" s="39" t="str">
        <x:v>P0</x:v>
      </x:c>
      <x:c r="J259" s="39" t="str">
        <x:v>H1</x:v>
      </x:c>
      <x:c r="K259" s="39" t="str">
        <x:v>تطبیق احتمالی با پایه</x:v>
      </x:c>
      <x:c r="L259" s="39" t="str">
        <x:v>MI-0173</x:v>
      </x:c>
      <x:c r="M259" s="39" t="str">
        <x:v>جستجو در منابع سریع</x:v>
      </x:c>
      <x:c r="N259" s="39" t="str">
        <x:v>فرم مورد نیاز کوچ ساکی.docx::T6R2C1.4 | فرم مورد نیاز کوچ ساکی (1).docx::T6R2C1.4</x:v>
      </x:c>
      <x:c r="O259" s="39"/>
    </x:row>
    <x:row r="260">
      <x:c r="A260" s="34" t="str">
        <x:v>☐</x:v>
      </x:c>
      <x:c r="B260" s="34" t="str">
        <x:v>EX-0232</x:v>
      </x:c>
      <x:c r="C260" s="34" t="str">
        <x:v>هدفم از مراجعه یادگیری و کنترل :</x:v>
      </x:c>
      <x:c r="D260" s="34" t="str">
        <x:v>POSSIBLE</x:v>
      </x:c>
      <x:c r="E260" s="34" t="str">
        <x:v>85.5</x:v>
      </x:c>
      <x:c r="F260" s="34" t="str">
        <x:v>MI-1513</x:v>
      </x:c>
      <x:c r="G260" s="39" t="str">
        <x:v>تولید و کارآفرینی: توانایی تولید محصول و خدمات و ایجاد شغل.</x:v>
      </x:c>
      <x:c r="H260" s="39" t="str">
        <x:v>H1</x:v>
      </x:c>
      <x:c r="I260" s="39" t="str">
        <x:v>P0</x:v>
      </x:c>
      <x:c r="J260" s="39" t="str">
        <x:v>H1</x:v>
      </x:c>
      <x:c r="K260" s="39" t="str">
        <x:v>تطبیق احتمالی با پایه</x:v>
      </x:c>
      <x:c r="L260" s="39" t="str">
        <x:v>MI-1513</x:v>
      </x:c>
      <x:c r="M260" s="39" t="str">
        <x:v>تولید و کارآفرینی: توانایی تولید محصول و خدمات و ایجاد شغل.</x:v>
      </x:c>
      <x:c r="N260" s="39" t="str">
        <x:v>فرم مورد نیاز کوچ ساکی.docx::T6R2C1.5 | فرم مورد نیاز کوچ ساکی (1).docx::T6R2C1.5</x:v>
      </x:c>
      <x:c r="O260" s="39"/>
    </x:row>
    <x:row r="261">
      <x:c r="A261" s="34" t="str">
        <x:v>☐</x:v>
      </x:c>
      <x:c r="B261" s="34" t="str">
        <x:v>EX-0233</x:v>
      </x:c>
      <x:c r="C261" s="34" t="str">
        <x:v>هوش هیجانی، تفکیک افکار، برنامه توسعه فردی ،  برنامه ریزی ، مدیریت انبوهی از کارهاست  و...</x:v>
      </x:c>
      <x:c r="D261" s="34" t="str">
        <x:v>POSSIBLE</x:v>
      </x:c>
      <x:c r="E261" s="34" t="str">
        <x:v>85.5</x:v>
      </x:c>
      <x:c r="F261" s="34" t="str">
        <x:v>MI-0179</x:v>
      </x:c>
      <x:c r="G261" s="39" t="str">
        <x:v>برنامه ریزی شهری</x:v>
      </x:c>
      <x:c r="H261" s="39" t="str">
        <x:v>H1</x:v>
      </x:c>
      <x:c r="I261" s="39" t="str">
        <x:v>P0</x:v>
      </x:c>
      <x:c r="J261" s="39" t="str">
        <x:v>H1</x:v>
      </x:c>
      <x:c r="K261" s="39" t="str">
        <x:v>تطبیق احتمالی با پایه</x:v>
      </x:c>
      <x:c r="L261" s="39" t="str">
        <x:v>MI-0179</x:v>
      </x:c>
      <x:c r="M261" s="39" t="str">
        <x:v>برنامه ریزی شهری</x:v>
      </x:c>
      <x:c r="N261" s="39" t="str">
        <x:v>فرم مورد نیاز کوچ ساکی.docx::T6R2C1.6 | فرم مورد نیاز کوچ ساکی (1).docx::T6R2C1.6</x:v>
      </x:c>
      <x:c r="O261" s="39"/>
    </x:row>
    <x:row r="262">
      <x:c r="A262" s="34" t="str">
        <x:v>☐</x:v>
      </x:c>
      <x:c r="B262" s="34" t="str">
        <x:v>EX-0234</x:v>
      </x:c>
      <x:c r="C262" s="34" t="str">
        <x:v>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D262" s="34" t="str">
        <x:v>POSSIBLE</x:v>
      </x:c>
      <x:c r="E262" s="34" t="str">
        <x:v>90.0</x:v>
      </x:c>
      <x:c r="F262" s="34" t="str">
        <x:v>MI-3061</x:v>
      </x:c>
      <x:c r="G262"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H262" s="39" t="str">
        <x:v>H1</x:v>
      </x:c>
      <x:c r="I262" s="39" t="str">
        <x:v>P0</x:v>
      </x:c>
      <x:c r="J262" s="39" t="str">
        <x:v>H1</x:v>
      </x:c>
      <x:c r="K262" s="39" t="str">
        <x:v>تطبیق احتمالی با پایه</x:v>
      </x:c>
      <x:c r="L262" s="39" t="str">
        <x:v>MI-3061</x:v>
      </x:c>
      <x:c r="M262"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N262" s="39" t="str">
        <x:v>فرم مورد نیاز کوچ ساکی.docx::T6R2C1.7 | فرم مورد نیاز کوچ ساکی (1).docx::T6R2C1.7</x:v>
      </x:c>
      <x:c r="O262" s="39"/>
    </x:row>
    <x:row r="263">
      <x:c r="A263" s="34" t="str">
        <x:v>☐</x:v>
      </x:c>
      <x:c r="B263" s="34" t="str">
        <x:v>EX-0235</x:v>
      </x:c>
      <x:c r="C263" s="34" t="str">
        <x:v>از نظر من بهترین شغل، آیتم هایی از این دست داشته باشه:</x:v>
      </x:c>
      <x:c r="D263" s="34" t="str">
        <x:v>POSSIBLE</x:v>
      </x:c>
      <x:c r="E263" s="34" t="str">
        <x:v>85.5</x:v>
      </x:c>
      <x:c r="F263" s="34" t="str">
        <x:v>MI-1451</x:v>
      </x:c>
      <x:c r="G263" s="39" t="str">
        <x:v>تهیه بهترین ایرپاد</x:v>
      </x:c>
      <x:c r="H263" s="39" t="str">
        <x:v>H1</x:v>
      </x:c>
      <x:c r="I263" s="39" t="str">
        <x:v>P0</x:v>
      </x:c>
      <x:c r="J263" s="39" t="str">
        <x:v>H1</x:v>
      </x:c>
      <x:c r="K263" s="39" t="str">
        <x:v>تطبیق احتمالی با پایه</x:v>
      </x:c>
      <x:c r="L263" s="39" t="str">
        <x:v>MI-1451</x:v>
      </x:c>
      <x:c r="M263" s="39" t="str">
        <x:v>تهیه بهترین ایرپاد</x:v>
      </x:c>
      <x:c r="N263" s="39" t="str">
        <x:v>فرم مورد نیاز کوچ ساکی.docx::T7R2C1.1 | فرم مورد نیاز کوچ ساکی (1).docx::T7R2C1.1</x:v>
      </x:c>
      <x:c r="O263" s="39"/>
    </x:row>
    <x:row r="264">
      <x:c r="A264" s="34" t="str">
        <x:v>☐</x:v>
      </x:c>
      <x:c r="B264" s="34" t="str">
        <x:v>EX-0236</x:v>
      </x:c>
      <x:c r="C264" s="34" t="str">
        <x:v>از نظر رشد و پویایی اهمیت داده بشه</x:v>
      </x:c>
      <x:c r="D264" s="34" t="str">
        <x:v>POSSIBLE</x:v>
      </x:c>
      <x:c r="E264" s="34" t="str">
        <x:v>85.5</x:v>
      </x:c>
      <x:c r="F264" s="34" t="str">
        <x:v>MI-1513</x:v>
      </x:c>
      <x:c r="G264" s="39" t="str">
        <x:v>تولید و کارآفرینی: توانایی تولید محصول و خدمات و ایجاد شغل.</x:v>
      </x:c>
      <x:c r="H264" s="39" t="str">
        <x:v>H1</x:v>
      </x:c>
      <x:c r="I264" s="39" t="str">
        <x:v>P0</x:v>
      </x:c>
      <x:c r="J264" s="39" t="str">
        <x:v>H1</x:v>
      </x:c>
      <x:c r="K264" s="39" t="str">
        <x:v>تطبیق احتمالی با پایه</x:v>
      </x:c>
      <x:c r="L264" s="39" t="str">
        <x:v>MI-1513</x:v>
      </x:c>
      <x:c r="M264" s="39" t="str">
        <x:v>تولید و کارآفرینی: توانایی تولید محصول و خدمات و ایجاد شغل.</x:v>
      </x:c>
      <x:c r="N264" s="39" t="str">
        <x:v>فرم مورد نیاز کوچ ساکی.docx::T7R2C1.2 | فرم مورد نیاز کوچ ساکی (1).docx::T7R2C1.2</x:v>
      </x:c>
      <x:c r="O264" s="39"/>
    </x:row>
    <x:row r="265">
      <x:c r="A265" s="34" t="str">
        <x:v>☐</x:v>
      </x:c>
      <x:c r="B265" s="34" t="str">
        <x:v>EX-0237</x:v>
      </x:c>
      <x:c r="C265" s="34" t="str">
        <x:v>حقوق مکفی، به جهت اینکه دغدغه مالی وجود نداشته باشه و از این بابت زمینه بارش فکری و ارتقا سطح کیفیت و کمیت کاری مهیا بشه</x:v>
      </x:c>
      <x:c r="D265" s="34" t="str">
        <x:v>POSSIBLE</x:v>
      </x:c>
      <x:c r="E265" s="34" t="str">
        <x:v>90.0</x:v>
      </x:c>
      <x:c r="F265" s="34" t="str">
        <x:v>MI-3063</x:v>
      </x:c>
      <x:c r="G265"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265" s="39" t="str">
        <x:v>H1</x:v>
      </x:c>
      <x:c r="I265" s="39" t="str">
        <x:v>P0</x:v>
      </x:c>
      <x:c r="J265" s="39" t="str">
        <x:v>H1</x:v>
      </x:c>
      <x:c r="K265" s="39" t="str">
        <x:v>تطبیق احتمالی با پایه</x:v>
      </x:c>
      <x:c r="L265" s="39" t="str">
        <x:v>MI-3063</x:v>
      </x:c>
      <x:c r="M265"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265" s="39" t="str">
        <x:v>فرم مورد نیاز کوچ ساکی.docx::T7R2C1.3 | فرم مورد نیاز کوچ ساکی (1).docx::T7R2C1.3</x:v>
      </x:c>
      <x:c r="O265" s="39"/>
    </x:row>
    <x:row r="266">
      <x:c r="A266" s="34" t="str">
        <x:v>☐</x:v>
      </x:c>
      <x:c r="B266" s="34" t="str">
        <x:v>EX-0238</x:v>
      </x:c>
      <x:c r="C266" s="34" t="str">
        <x:v>شرایط کاری به نحوی باشه که سیستم پذیرای ایده ها و نوآوری ها باشه، زمینه برای ابراز اونها یا انتقادات مهیا باشه، ترتیب اثر داده بشه.</x:v>
      </x:c>
      <x:c r="D266" s="34" t="str">
        <x:v>POSSIBLE</x:v>
      </x:c>
      <x:c r="E266" s="34" t="str">
        <x:v>90.0</x:v>
      </x:c>
      <x:c r="F266" s="34" t="str">
        <x:v>MI-3063</x:v>
      </x:c>
      <x:c r="G266"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266" s="39" t="str">
        <x:v>H1</x:v>
      </x:c>
      <x:c r="I266" s="39" t="str">
        <x:v>P0</x:v>
      </x:c>
      <x:c r="J266" s="39" t="str">
        <x:v>H1</x:v>
      </x:c>
      <x:c r="K266" s="39" t="str">
        <x:v>تطبیق احتمالی با پایه</x:v>
      </x:c>
      <x:c r="L266" s="39" t="str">
        <x:v>MI-3063</x:v>
      </x:c>
      <x:c r="M266"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266" s="39" t="str">
        <x:v>فرم مورد نیاز کوچ ساکی.docx::T7R2C1.4 | فرم مورد نیاز کوچ ساکی (1).docx::T7R2C1.4</x:v>
      </x:c>
      <x:c r="O266" s="39"/>
    </x:row>
    <x:row r="267">
      <x:c r="A267" s="34" t="str">
        <x:v>☐</x:v>
      </x:c>
      <x:c r="B267" s="34" t="str">
        <x:v>EX-0239</x:v>
      </x:c>
      <x:c r="C267" s="34" t="str">
        <x:v>به نیروی انسانی در هر مقام و منصبی توجه داده بشه ، فقط بعد کاری و خروجی کاری فرد مدنظر نباشه، توسعه فردی ، مهارت آموزی و ...</x:v>
      </x:c>
      <x:c r="D267" s="34" t="str">
        <x:v>POSSIBLE</x:v>
      </x:c>
      <x:c r="E267" s="34" t="str">
        <x:v>90.0</x:v>
      </x:c>
      <x:c r="F267" s="34" t="str">
        <x:v>MI-3063</x:v>
      </x:c>
      <x:c r="G267"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267" s="39" t="str">
        <x:v>H1</x:v>
      </x:c>
      <x:c r="I267" s="39" t="str">
        <x:v>P0</x:v>
      </x:c>
      <x:c r="J267" s="39" t="str">
        <x:v>H1</x:v>
      </x:c>
      <x:c r="K267" s="39" t="str">
        <x:v>تطبیق احتمالی با پایه</x:v>
      </x:c>
      <x:c r="L267" s="39" t="str">
        <x:v>MI-3063</x:v>
      </x:c>
      <x:c r="M267"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267" s="39" t="str">
        <x:v>فرم مورد نیاز کوچ ساکی.docx::T7R2C1.5 | فرم مورد نیاز کوچ ساکی (1).docx::T7R2C1.5</x:v>
      </x:c>
      <x:c r="O267" s="39"/>
    </x:row>
    <x:row r="268">
      <x:c r="A268" s="34" t="str">
        <x:v>☐</x:v>
      </x:c>
      <x:c r="B268" s="34" t="str">
        <x:v>EX-0240</x:v>
      </x:c>
      <x:c r="C268" s="34" t="str">
        <x:v>فکر می کنید چه رشته تحصیلی جذابه و دلیل جذابیتش چیه؟</x:v>
      </x:c>
      <x:c r="D268" s="34" t="str">
        <x:v>POSSIBLE</x:v>
      </x:c>
      <x:c r="E268" s="34" t="str">
        <x:v>85.5</x:v>
      </x:c>
      <x:c r="F268" s="34" t="str">
        <x:v>MI-0029</x:v>
      </x:c>
      <x:c r="G268" s="39" t="str">
        <x:v>تدریس ریاضی و فیزیک</x:v>
      </x:c>
      <x:c r="H268" s="39" t="str">
        <x:v>H1</x:v>
      </x:c>
      <x:c r="I268" s="39" t="str">
        <x:v>P0</x:v>
      </x:c>
      <x:c r="J268" s="39" t="str">
        <x:v>H1</x:v>
      </x:c>
      <x:c r="K268" s="39" t="str">
        <x:v>تطبیق احتمالی با پایه</x:v>
      </x:c>
      <x:c r="L268" s="39" t="str">
        <x:v>MI-0029</x:v>
      </x:c>
      <x:c r="M268" s="39" t="str">
        <x:v>تدریس ریاضی و فیزیک</x:v>
      </x:c>
      <x:c r="N268" s="39" t="str">
        <x:v>فرم مورد نیاز کوچ ساکی.docx::T9R1C1.1 | فرم مورد نیاز کوچ ساکی (1).docx::T9R1C1.1</x:v>
      </x:c>
      <x:c r="O268" s="39"/>
    </x:row>
    <x:row r="269">
      <x:c r="A269" s="34" t="str">
        <x:v>☐</x:v>
      </x:c>
      <x:c r="B269" s="34" t="str">
        <x:v>EX-0241</x:v>
      </x:c>
      <x:c r="C269" s="34" t="str">
        <x:v>فکر میکنم مهندسی مکانیک از بابت اینکه بشه مکانیزم ها رو فهمیدم ، دید صنعتی داشت و در زمینه هایی اتفاقات جذابی رو رقم زد</x:v>
      </x:c>
      <x:c r="D269" s="34" t="str">
        <x:v>POSSIBLE</x:v>
      </x:c>
      <x:c r="E269" s="34" t="str">
        <x:v>90.0</x:v>
      </x:c>
      <x:c r="F269" s="34" t="str">
        <x:v>MI-3066</x:v>
      </x:c>
      <x:c r="G269"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H269" s="39" t="str">
        <x:v>H12</x:v>
      </x:c>
      <x:c r="I269" s="39" t="str">
        <x:v>BANK</x:v>
      </x:c>
      <x:c r="J269" s="39" t="str">
        <x:v>H12</x:v>
      </x:c>
      <x:c r="K269" s="39" t="str">
        <x:v>تطبیق احتمالی با پایه</x:v>
      </x:c>
      <x:c r="L269" s="39" t="str">
        <x:v>MI-3066</x:v>
      </x:c>
      <x:c r="M269"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N269" s="39" t="str">
        <x:v>فرم مورد نیاز کوچ ساکی.docx::T9R2C1.1 | فرم مورد نیاز کوچ ساکی (1).docx::T9R2C1.1</x:v>
      </x:c>
      <x:c r="O269" s="39"/>
    </x:row>
    <x:row r="270">
      <x:c r="A270" s="34" t="str">
        <x:v>☐</x:v>
      </x:c>
      <x:c r="B270" s="34" t="str">
        <x:v>EX-0242</x:v>
      </x:c>
      <x:c r="C270" s="34" t="str">
        <x:v>مهندسی کامپیوتر ، به جهت پیشرفت به سرعت هوش مصنوعی و همچنین ایجاد اتوماسیون هایی جهت ارتقا در همه ابعاد زندگی یا خط تولید شرکت یا ....</x:v>
      </x:c>
      <x:c r="D270" s="34" t="str">
        <x:v>POSSIBLE</x:v>
      </x:c>
      <x:c r="E270" s="34" t="str">
        <x:v>90.0</x:v>
      </x:c>
      <x:c r="F270" s="34" t="str">
        <x:v>MI-3066</x:v>
      </x:c>
      <x:c r="G270"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H270" s="39" t="str">
        <x:v>H12</x:v>
      </x:c>
      <x:c r="I270" s="39" t="str">
        <x:v>BANK</x:v>
      </x:c>
      <x:c r="J270" s="39" t="str">
        <x:v>H12</x:v>
      </x:c>
      <x:c r="K270" s="39" t="str">
        <x:v>تطبیق احتمالی با پایه</x:v>
      </x:c>
      <x:c r="L270" s="39" t="str">
        <x:v>MI-3066</x:v>
      </x:c>
      <x:c r="M270"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N270" s="39" t="str">
        <x:v>فرم مورد نیاز کوچ ساکی.docx::T9R2C1.2 | فرم مورد نیاز کوچ ساکی (1).docx::T9R2C1.2</x:v>
      </x:c>
      <x:c r="O270" s="39"/>
    </x:row>
    <x:row r="271">
      <x:c r="A271" s="34" t="str">
        <x:v>☐</x:v>
      </x:c>
      <x:c r="B271" s="34" t="str">
        <x:v>EX-0243</x:v>
      </x:c>
      <x:c r="C271" s="34" t="str">
        <x:v>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x:v>
      </x:c>
      <x:c r="D271" s="34" t="str">
        <x:v>POSSIBLE</x:v>
      </x:c>
      <x:c r="E271" s="34" t="str">
        <x:v>90.0</x:v>
      </x:c>
      <x:c r="F271" s="34" t="str">
        <x:v>MI-3066</x:v>
      </x:c>
      <x:c r="G271"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H271" s="39" t="str">
        <x:v>H12</x:v>
      </x:c>
      <x:c r="I271" s="39" t="str">
        <x:v>BANK</x:v>
      </x:c>
      <x:c r="J271" s="39" t="str">
        <x:v>H12</x:v>
      </x:c>
      <x:c r="K271" s="39" t="str">
        <x:v>تطبیق احتمالی با پایه</x:v>
      </x:c>
      <x:c r="L271" s="39" t="str">
        <x:v>MI-3066</x:v>
      </x:c>
      <x:c r="M271"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N271" s="39" t="str">
        <x:v>فرم مورد نیاز کوچ ساکی.docx::T9R2C1.3 | فرم مورد نیاز کوچ ساکی (1).docx::T9R2C1.3</x:v>
      </x:c>
      <x:c r="O271" s="39"/>
    </x:row>
    <x:row r="272">
      <x:c r="A272" s="34" t="str">
        <x:v>☐</x:v>
      </x:c>
      <x:c r="B272" s="34" t="str">
        <x:v>EX-0244</x:v>
      </x:c>
      <x:c r="C272" s="34" t="str">
        <x:v>مهندسی برق به جهت  برنامه ریزی جهت به صرفه کردن مصرف برق و یا پیاده سازی شیوه های نوین تولید برق از انرژی های تجدید پذیر</x:v>
      </x:c>
      <x:c r="D272" s="34" t="str">
        <x:v>POSSIBLE</x:v>
      </x:c>
      <x:c r="E272" s="34" t="str">
        <x:v>90.0</x:v>
      </x:c>
      <x:c r="F272" s="34" t="str">
        <x:v>MI-3066</x:v>
      </x:c>
      <x:c r="G272"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H272" s="39" t="str">
        <x:v>H12</x:v>
      </x:c>
      <x:c r="I272" s="39" t="str">
        <x:v>BANK</x:v>
      </x:c>
      <x:c r="J272" s="39" t="str">
        <x:v>H12</x:v>
      </x:c>
      <x:c r="K272" s="39" t="str">
        <x:v>تطبیق احتمالی با پایه</x:v>
      </x:c>
      <x:c r="L272" s="39" t="str">
        <x:v>MI-3066</x:v>
      </x:c>
      <x:c r="M272"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N272" s="39" t="str">
        <x:v>فرم مورد نیاز کوچ ساکی.docx::T9R2C1.4 | فرم مورد نیاز کوچ ساکی (1).docx::T9R2C1.4</x:v>
      </x:c>
      <x:c r="O272" s="39"/>
    </x:row>
    <x:row r="273">
      <x:c r="A273" s="34" t="str">
        <x:v>☐</x:v>
      </x:c>
      <x:c r="B273" s="34" t="str">
        <x:v>EX-0245</x:v>
      </x:c>
      <x:c r="C273" s="34" t="str">
        <x:v>مهندسی شیمی به جهت طراحی فرآیند های صنعتی پیشرفته در راستای کارایی بهتر و بیشتر صنایع مختلف</x:v>
      </x:c>
      <x:c r="D273" s="34" t="str">
        <x:v>POSSIBLE</x:v>
      </x:c>
      <x:c r="E273" s="34" t="str">
        <x:v>85.5</x:v>
      </x:c>
      <x:c r="F273" s="34" t="str">
        <x:v>MI-1513</x:v>
      </x:c>
      <x:c r="G273" s="39" t="str">
        <x:v>تولید و کارآفرینی: توانایی تولید محصول و خدمات و ایجاد شغل.</x:v>
      </x:c>
      <x:c r="H273" s="39" t="str">
        <x:v>H1</x:v>
      </x:c>
      <x:c r="I273" s="39" t="str">
        <x:v>P0</x:v>
      </x:c>
      <x:c r="J273" s="39" t="str">
        <x:v>H1</x:v>
      </x:c>
      <x:c r="K273" s="39" t="str">
        <x:v>تطبیق احتمالی با پایه</x:v>
      </x:c>
      <x:c r="L273" s="39" t="str">
        <x:v>MI-1513</x:v>
      </x:c>
      <x:c r="M273" s="39" t="str">
        <x:v>تولید و کارآفرینی: توانایی تولید محصول و خدمات و ایجاد شغل.</x:v>
      </x:c>
      <x:c r="N273" s="39" t="str">
        <x:v>فرم مورد نیاز کوچ ساکی.docx::T9R2C1.5 | فرم مورد نیاز کوچ ساکی (1).docx::T9R2C1.5</x:v>
      </x:c>
      <x:c r="O273" s="39"/>
    </x:row>
    <x:row r="274">
      <x:c r="A274" s="34" t="str">
        <x:v>☐</x:v>
      </x:c>
      <x:c r="B274" s="34" t="str">
        <x:v>EX-0246</x:v>
      </x:c>
      <x:c r="C274" s="34" t="str">
        <x:v>رشته های مدیریت از جمله بازرگانی در راستای واردات و صادرات و بستر پیشرفت صنایع ، صادرات علم و سرریز های دانش ، واردات ارز و ...</x:v>
      </x:c>
      <x:c r="D274" s="34" t="str">
        <x:v>POSSIBLE</x:v>
      </x:c>
      <x:c r="E274" s="34" t="str">
        <x:v>90.0</x:v>
      </x:c>
      <x:c r="F274" s="34" t="str">
        <x:v>MI-3066</x:v>
      </x:c>
      <x:c r="G274"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H274" s="39" t="str">
        <x:v>H12</x:v>
      </x:c>
      <x:c r="I274" s="39" t="str">
        <x:v>BANK</x:v>
      </x:c>
      <x:c r="J274" s="39" t="str">
        <x:v>H12</x:v>
      </x:c>
      <x:c r="K274" s="39" t="str">
        <x:v>تطبیق احتمالی با پایه</x:v>
      </x:c>
      <x:c r="L274" s="39" t="str">
        <x:v>MI-3066</x:v>
      </x:c>
      <x:c r="M274" s="39"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N274" s="39" t="str">
        <x:v>فرم مورد نیاز کوچ ساکی.docx::T9R2C1.6 | فرم مورد نیاز کوچ ساکی (1).docx::T9R2C1.6</x:v>
      </x:c>
      <x:c r="O274" s="39"/>
    </x:row>
    <x:row r="275">
      <x:c r="A275" s="34" t="str">
        <x:v>☐</x:v>
      </x:c>
      <x:c r="B275" s="34" t="str">
        <x:v>EX-0247</x:v>
      </x:c>
      <x:c r="C275" s="34" t="str">
        <x:v>رشته های حقوقی جهت تدوین برنامه حقوقی مناسب در راستای احقاق حقوق فردی ، اجتماعی و ...</x:v>
      </x:c>
      <x:c r="D275" s="34" t="str">
        <x:v>POSSIBLE</x:v>
      </x:c>
      <x:c r="E275" s="34" t="str">
        <x:v>85.5</x:v>
      </x:c>
      <x:c r="F275" s="34" t="str">
        <x:v>MI-0179</x:v>
      </x:c>
      <x:c r="G275" s="39" t="str">
        <x:v>برنامه ریزی شهری</x:v>
      </x:c>
      <x:c r="H275" s="39" t="str">
        <x:v>H1</x:v>
      </x:c>
      <x:c r="I275" s="39" t="str">
        <x:v>P0</x:v>
      </x:c>
      <x:c r="J275" s="39" t="str">
        <x:v>H1</x:v>
      </x:c>
      <x:c r="K275" s="39" t="str">
        <x:v>تطبیق احتمالی با پایه</x:v>
      </x:c>
      <x:c r="L275" s="39" t="str">
        <x:v>MI-0179</x:v>
      </x:c>
      <x:c r="M275" s="39" t="str">
        <x:v>برنامه ریزی شهری</x:v>
      </x:c>
      <x:c r="N275" s="39" t="str">
        <x:v>فرم مورد نیاز کوچ ساکی.docx::T9R2C1.7 | فرم مورد نیاز کوچ ساکی (1).docx::T9R2C1.7</x:v>
      </x:c>
      <x:c r="O275" s="39"/>
    </x:row>
    <x:row r="276">
      <x:c r="A276" s="34" t="str">
        <x:v>☐</x:v>
      </x:c>
      <x:c r="B276" s="34" t="str">
        <x:v>EX-0248</x:v>
      </x:c>
      <x:c r="C276" s="34" t="str">
        <x:v>رصد فعالیت های مختلف و شرایط داخلی، رصد فضای خارجی کشور ، سطوح مختلف تاثیر گذاری بر جوامع بین المللی ، برخوردار از سطوح بالای دیپلماسی، زبان بدن، سخنوری خاص، خارج از چهارچوب مقتضی فکر کردن، دید همزمان کلی و جزئی نسبت به مسائل مختلف</x:v>
      </x:c>
      <x:c r="D276" s="34" t="str">
        <x:v>POSSIBLE</x:v>
      </x:c>
      <x:c r="E276" s="34" t="str">
        <x:v>89.2</x:v>
      </x:c>
      <x:c r="F276" s="34" t="str">
        <x:v>MI-3068</x:v>
      </x:c>
      <x:c r="G276" s="39" t="str">
        <x:v>بدون تعصب نگاه کنیم ، افرادی که در جایگاه های بالاتر کشوری مشغول به خدمت بودند را بسیار قبول دارم، مثلا شخص مقام معظم رهبری شهید که تقریبا در همه ابعاد مشغول به مطالعه ،تفکر و تلاش در راستای همسو سازی سایرین در این زمنیه ها بودند، سیاست گذاری های به جا، سطح ارتباط اجتماعی با تمامی قشر ها، مدیریت مناسب شرایط ، سطح معنویت بسیار بالا ، قاطع و برنده در تصمیم گیری، پیشرفت پله به پله ، مطالعه بسیار بالا در مواردی که اقتضای شرایط بوده و یا در زمنیه های تصمیم گیری یا سخنوری بسیار تاثیر گذار هستند ، اهل شعر و شاعری و استفاده از ضرب المثل ها یا داستان هایی که تببین بهتر مسیله ای را در بر دارد یا به فضای جلسات رنگ و بویی دیگر میدهد، سحرخیزی، مقبولیت اجتماعی ، آینده نگری بسیار دقیق ، سطح روابط خانوادگی ، حمایت از جامعه علمی نخبگان، حمایت از خواصی که در جهات مختلف حاضر به تلاش برای بهبود شرایط عده ای هستن اما بروکراسی ها آن ها را دچار فرسایش کرده است و از باب ایشان و سطح روابطشان بتوانند پیش بروند، در مدت زمانی، میدانی بودن ایشان و رصد فضای حاکم بر آن شرایط به صورت حضوری که نیز ، آن فاصلهِ مسیولیتی با جامعه را کم میکند. رصد فعالیت های مختلف و شرایط داخلی، رصد فضای خارجی کشور ، سطوح مختلف تاثیر گذاری بر جوامع بین المللی ، برخوردار از سطوح بالای دیپلماسی، زبان بدن، سخنوری خاص، خارج از چهارچوب مقتضی فکر کردن، دید همزمان کلی و جزیی نسبت به مسایل مختلف کسب تجارب لازم به واسطه مطالبی که مطالعه میکنند، مباحثات ، اجلاس ، اقشار مختلف ، فرهنگ های مختلف، مقام و مسیولیت هایی چون ریاست جمهوری ، خطیب نماز جمعه ، مدرس حوزه و .... که هرکدام راهبری و کمک به نگاه و تصمیم گیری و سیاست گذاری در سطح کلان و در مقام بالاتر یعنی رهبری می انجامد .</x:v>
      </x:c>
      <x:c r="H276" s="39" t="str">
        <x:v>H4</x:v>
      </x:c>
      <x:c r="I276" s="39" t="str">
        <x:v>BANK</x:v>
      </x:c>
      <x:c r="J276" s="39" t="str">
        <x:v>H4</x:v>
      </x:c>
      <x:c r="K276" s="39" t="str">
        <x:v>تطبیق احتمالی با پایه</x:v>
      </x:c>
      <x:c r="L276" s="39" t="str">
        <x:v>MI-3068</x:v>
      </x:c>
      <x:c r="M276" s="39" t="str">
        <x:v>بدون تعصب نگاه کنیم ، افرادی که در جایگاه های بالاتر کشوری مشغول به خدمت بودند را بسیار قبول دارم، مثلا شخص مقام معظم رهبری شهید که تقریبا در همه ابعاد مشغول به مطالعه ،تفکر و تلاش در راستای همسو سازی سایرین در این زمنیه ها بودند، سیاست گذاری های به جا، سطح ارتباط اجتماعی با تمامی قشر ها، مدیریت مناسب شرایط ، سطح معنویت بسیار بالا ، قاطع و برنده در تصمیم گیری، پیشرفت پله به پله ، مطالعه بسیار بالا در مواردی که اقتضای شرایط بوده و یا در زمنیه های تصمیم گیری یا سخنوری بسیار تاثیر گذار هستند ، اهل شعر و شاعری و استفاده از ضرب المثل ها یا داستان هایی که تببین بهتر مسیله ای را در بر دارد یا به فضای جلسات رنگ و بویی دیگر میدهد، سحرخیزی، مقبولیت اجتماعی ، آینده نگری بسیار دقیق ، سطح روابط خانوادگی ، حمایت از جامعه علمی نخبگان، حمایت از خواصی که در جهات مختلف حاضر به تلاش برای بهبود شرایط عده ای هستن اما بروکراسی ها آن ها را دچار فرسایش کرده است و از باب ایشان و سطح روابطشان بتوانند پیش بروند، در مدت زمانی، میدانی بودن ایشان و رصد فضای حاکم بر آن شرایط به صورت حضوری که نیز ، آن فاصلهِ مسیولیتی با جامعه را کم میکند. رصد فعالیت های مختلف و شرایط داخلی، رصد فضای خارجی کشور ، سطوح مختلف تاثیر گذاری بر جوامع بین المللی ، برخوردار از سطوح بالای دیپلماسی، زبان بدن، سخنوری خاص، خارج از چهارچوب مقتضی فکر کردن، دید همزمان کلی و جزیی نسبت به مسایل مختلف کسب تجارب لازم به واسطه مطالبی که مطالعه میکنند، مباحثات ، اجلاس ، اقشار مختلف ، فرهنگ های مختلف، مقام و مسیولیت هایی چون ریاست جمهوری ، خطیب نماز جمعه ، مدرس حوزه و .... که هرکدام راهبری و کمک به نگاه و تصمیم گیری و سیاست گذاری در سطح کلان و در مقام بالاتر یعنی رهبری می انجامد .</x:v>
      </x:c>
      <x:c r="N276" s="39" t="str">
        <x:v>فرم مورد نیاز کوچ ساکی.docx::T10R2C1.2 | فرم مورد نیاز کوچ ساکی (1).docx::T10R2C1.2</x:v>
      </x:c>
      <x:c r="O276" s="39"/>
    </x:row>
    <x:row r="277">
      <x:c r="A277" s="34" t="str">
        <x:v>☐</x:v>
      </x:c>
      <x:c r="B277" s="34" t="str">
        <x:v>EX-0249</x:v>
      </x:c>
      <x:c r="C277" s="34" t="str">
        <x:v>کسب تجارب لازم به واسطه مطالبی که مطالعه میکنند، مباحثات ، اجلاس ، اقشار مختلف ، فرهنگ های مختلف، مقام و مسئولیت هایی چون ریاست جمهوری ، خطیب نماز جمعه ، مدرس حوزه و .... که هرکدام راهبری و کمک به نگاه و تصمیم گیری و سیاست گذاری در سطح کلان و در مقام بالاتر یعنی رهبری می انجامد .</x:v>
      </x:c>
      <x:c r="D277" s="34" t="str">
        <x:v>POSSIBLE</x:v>
      </x:c>
      <x:c r="E277" s="34" t="str">
        <x:v>89.7</x:v>
      </x:c>
      <x:c r="F277" s="34" t="str">
        <x:v>MI-3068</x:v>
      </x:c>
      <x:c r="G277" s="39" t="str">
        <x:v>بدون تعصب نگاه کنیم ، افرادی که در جایگاه های بالاتر کشوری مشغول به خدمت بودند را بسیار قبول دارم، مثلا شخص مقام معظم رهبری شهید که تقریبا در همه ابعاد مشغول به مطالعه ،تفکر و تلاش در راستای همسو سازی سایرین در این زمنیه ها بودند، سیاست گذاری های به جا، سطح ارتباط اجتماعی با تمامی قشر ها، مدیریت مناسب شرایط ، سطح معنویت بسیار بالا ، قاطع و برنده در تصمیم گیری، پیشرفت پله به پله ، مطالعه بسیار بالا در مواردی که اقتضای شرایط بوده و یا در زمنیه های تصمیم گیری یا سخنوری بسیار تاثیر گذار هستند ، اهل شعر و شاعری و استفاده از ضرب المثل ها یا داستان هایی که تببین بهتر مسیله ای را در بر دارد یا به فضای جلسات رنگ و بویی دیگر میدهد، سحرخیزی، مقبولیت اجتماعی ، آینده نگری بسیار دقیق ، سطح روابط خانوادگی ، حمایت از جامعه علمی نخبگان، حمایت از خواصی که در جهات مختلف حاضر به تلاش برای بهبود شرایط عده ای هستن اما بروکراسی ها آن ها را دچار فرسایش کرده است و از باب ایشان و سطح روابطشان بتوانند پیش بروند، در مدت زمانی، میدانی بودن ایشان و رصد فضای حاکم بر آن شرایط به صورت حضوری که نیز ، آن فاصلهِ مسیولیتی با جامعه را کم میکند. رصد فعالیت های مختلف و شرایط داخلی، رصد فضای خارجی کشور ، سطوح مختلف تاثیر گذاری بر جوامع بین المللی ، برخوردار از سطوح بالای دیپلماسی، زبان بدن، سخنوری خاص، خارج از چهارچوب مقتضی فکر کردن، دید همزمان کلی و جزیی نسبت به مسایل مختلف کسب تجارب لازم به واسطه مطالبی که مطالعه میکنند، مباحثات ، اجلاس ، اقشار مختلف ، فرهنگ های مختلف، مقام و مسیولیت هایی چون ریاست جمهوری ، خطیب نماز جمعه ، مدرس حوزه و .... که هرکدام راهبری و کمک به نگاه و تصمیم گیری و سیاست گذاری در سطح کلان و در مقام بالاتر یعنی رهبری می انجامد .</x:v>
      </x:c>
      <x:c r="H277" s="39" t="str">
        <x:v>H4</x:v>
      </x:c>
      <x:c r="I277" s="39" t="str">
        <x:v>BANK</x:v>
      </x:c>
      <x:c r="J277" s="39" t="str">
        <x:v>H4</x:v>
      </x:c>
      <x:c r="K277" s="39" t="str">
        <x:v>تطبیق احتمالی با پایه</x:v>
      </x:c>
      <x:c r="L277" s="39" t="str">
        <x:v>MI-3068</x:v>
      </x:c>
      <x:c r="M277" s="39" t="str">
        <x:v>بدون تعصب نگاه کنیم ، افرادی که در جایگاه های بالاتر کشوری مشغول به خدمت بودند را بسیار قبول دارم، مثلا شخص مقام معظم رهبری شهید که تقریبا در همه ابعاد مشغول به مطالعه ،تفکر و تلاش در راستای همسو سازی سایرین در این زمنیه ها بودند، سیاست گذاری های به جا، سطح ارتباط اجتماعی با تمامی قشر ها، مدیریت مناسب شرایط ، سطح معنویت بسیار بالا ، قاطع و برنده در تصمیم گیری، پیشرفت پله به پله ، مطالعه بسیار بالا در مواردی که اقتضای شرایط بوده و یا در زمنیه های تصمیم گیری یا سخنوری بسیار تاثیر گذار هستند ، اهل شعر و شاعری و استفاده از ضرب المثل ها یا داستان هایی که تببین بهتر مسیله ای را در بر دارد یا به فضای جلسات رنگ و بویی دیگر میدهد، سحرخیزی، مقبولیت اجتماعی ، آینده نگری بسیار دقیق ، سطح روابط خانوادگی ، حمایت از جامعه علمی نخبگان، حمایت از خواصی که در جهات مختلف حاضر به تلاش برای بهبود شرایط عده ای هستن اما بروکراسی ها آن ها را دچار فرسایش کرده است و از باب ایشان و سطح روابطشان بتوانند پیش بروند، در مدت زمانی، میدانی بودن ایشان و رصد فضای حاکم بر آن شرایط به صورت حضوری که نیز ، آن فاصلهِ مسیولیتی با جامعه را کم میکند. رصد فعالیت های مختلف و شرایط داخلی، رصد فضای خارجی کشور ، سطوح مختلف تاثیر گذاری بر جوامع بین المللی ، برخوردار از سطوح بالای دیپلماسی، زبان بدن، سخنوری خاص، خارج از چهارچوب مقتضی فکر کردن، دید همزمان کلی و جزیی نسبت به مسایل مختلف کسب تجارب لازم به واسطه مطالبی که مطالعه میکنند، مباحثات ، اجلاس ، اقشار مختلف ، فرهنگ های مختلف، مقام و مسیولیت هایی چون ریاست جمهوری ، خطیب نماز جمعه ، مدرس حوزه و .... که هرکدام راهبری و کمک به نگاه و تصمیم گیری و سیاست گذاری در سطح کلان و در مقام بالاتر یعنی رهبری می انجامد .</x:v>
      </x:c>
      <x:c r="N277" s="39" t="str">
        <x:v>فرم مورد نیاز کوچ ساکی.docx::T10R2C1.4 | فرم مورد نیاز کوچ ساکی (1).docx::T10R2C1.4</x:v>
      </x:c>
      <x:c r="O277" s="39"/>
    </x:row>
    <x:row r="278">
      <x:c r="A278" s="34" t="str">
        <x:v>☐</x:v>
      </x:c>
      <x:c r="B278" s="34" t="str">
        <x:v>EX-0250</x:v>
      </x:c>
      <x:c r="C278" s="34" t="str">
        <x:v>سطح رفاهی و آرامش زندگی و باب تاهل رو به یک مرتبه ای می رساندم تا لازمه زندگی سالم را مهیا کنم.</x:v>
      </x:c>
      <x:c r="D278" s="34" t="str">
        <x:v>POSSIBLE</x:v>
      </x:c>
      <x:c r="E278" s="34" t="str">
        <x:v>85.5</x:v>
      </x:c>
      <x:c r="F278" s="34" t="str">
        <x:v>MI-1513</x:v>
      </x:c>
      <x:c r="G278" s="39" t="str">
        <x:v>تولید و کارآفرینی: توانایی تولید محصول و خدمات و ایجاد شغل.</x:v>
      </x:c>
      <x:c r="H278" s="39" t="str">
        <x:v>H1</x:v>
      </x:c>
      <x:c r="I278" s="39" t="str">
        <x:v>P0</x:v>
      </x:c>
      <x:c r="J278" s="39" t="str">
        <x:v>H1</x:v>
      </x:c>
      <x:c r="K278" s="39" t="str">
        <x:v>تطبیق احتمالی با پایه</x:v>
      </x:c>
      <x:c r="L278" s="39" t="str">
        <x:v>MI-1513</x:v>
      </x:c>
      <x:c r="M278" s="39" t="str">
        <x:v>تولید و کارآفرینی: توانایی تولید محصول و خدمات و ایجاد شغل.</x:v>
      </x:c>
      <x:c r="N278" s="39" t="str">
        <x:v>فرم مورد نیاز کوچ ساکی.docx::T11R2C1.1 | فرم مورد نیاز کوچ ساکی (1).docx::T11R2C1.1</x:v>
      </x:c>
      <x:c r="O278" s="39"/>
    </x:row>
    <x:row r="279">
      <x:c r="A279" s="34" t="str">
        <x:v>☐</x:v>
      </x:c>
      <x:c r="B279" s="34" t="str">
        <x:v>EX-0251</x:v>
      </x:c>
      <x:c r="C279" s="34" t="str">
        <x:v>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x:v>
      </x:c>
      <x:c r="D279" s="34" t="str">
        <x:v>POSSIBLE</x:v>
      </x:c>
      <x:c r="E279" s="34" t="str">
        <x:v>90.0</x:v>
      </x:c>
      <x:c r="F279" s="34" t="str">
        <x:v>MI-3070</x:v>
      </x:c>
      <x:c r="G279" s="39"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H279" s="39" t="str">
        <x:v>H12</x:v>
      </x:c>
      <x:c r="I279" s="39" t="str">
        <x:v>BANK</x:v>
      </x:c>
      <x:c r="J279" s="39" t="str">
        <x:v>H12</x:v>
      </x:c>
      <x:c r="K279" s="39" t="str">
        <x:v>تطبیق احتمالی با پایه</x:v>
      </x:c>
      <x:c r="L279" s="39" t="str">
        <x:v>MI-3070</x:v>
      </x:c>
      <x:c r="M279" s="39"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N279" s="39" t="str">
        <x:v>فرم مورد نیاز کوچ ساکی.docx::T11R2C1.2 | فرم مورد نیاز کوچ ساکی (1).docx::T11R2C1.2</x:v>
      </x:c>
      <x:c r="O279" s="39"/>
    </x:row>
    <x:row r="280">
      <x:c r="A280" s="34" t="str">
        <x:v>☐</x:v>
      </x:c>
      <x:c r="B280" s="34" t="str">
        <x:v>EX-0252</x:v>
      </x:c>
      <x:c r="C280" s="34" t="str">
        <x:v>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x:v>
      </x:c>
      <x:c r="D280" s="34" t="str">
        <x:v>POSSIBLE</x:v>
      </x:c>
      <x:c r="E280" s="34" t="str">
        <x:v>90.0</x:v>
      </x:c>
      <x:c r="F280" s="34" t="str">
        <x:v>MI-3070</x:v>
      </x:c>
      <x:c r="G280" s="39"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H280" s="39" t="str">
        <x:v>H12</x:v>
      </x:c>
      <x:c r="I280" s="39" t="str">
        <x:v>BANK</x:v>
      </x:c>
      <x:c r="J280" s="39" t="str">
        <x:v>H12</x:v>
      </x:c>
      <x:c r="K280" s="39" t="str">
        <x:v>تطبیق احتمالی با پایه</x:v>
      </x:c>
      <x:c r="L280" s="39" t="str">
        <x:v>MI-3070</x:v>
      </x:c>
      <x:c r="M280" s="39"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N280" s="39" t="str">
        <x:v>فرم مورد نیاز کوچ ساکی.docx::T11R2C1.3 | فرم مورد نیاز کوچ ساکی (1).docx::T11R2C1.3</x:v>
      </x:c>
      <x:c r="O280" s="39"/>
    </x:row>
    <x:row r="281">
      <x:c r="A281" s="34" t="str">
        <x:v>☐</x:v>
      </x:c>
      <x:c r="B281" s="34" t="str">
        <x:v>EX-0253</x:v>
      </x:c>
      <x:c r="C281" s="34" t="str">
        <x:v>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x:v>
      </x:c>
      <x:c r="D281" s="34" t="str">
        <x:v>POSSIBLE</x:v>
      </x:c>
      <x:c r="E281" s="34" t="str">
        <x:v>90.0</x:v>
      </x:c>
      <x:c r="F281" s="34" t="str">
        <x:v>MI-3070</x:v>
      </x:c>
      <x:c r="G281" s="39"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H281" s="39" t="str">
        <x:v>H12</x:v>
      </x:c>
      <x:c r="I281" s="39" t="str">
        <x:v>BANK</x:v>
      </x:c>
      <x:c r="J281" s="39" t="str">
        <x:v>H12</x:v>
      </x:c>
      <x:c r="K281" s="39" t="str">
        <x:v>تطبیق احتمالی با پایه</x:v>
      </x:c>
      <x:c r="L281" s="39" t="str">
        <x:v>MI-3070</x:v>
      </x:c>
      <x:c r="M281" s="39"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N281" s="39" t="str">
        <x:v>فرم مورد نیاز کوچ ساکی.docx::T11R2C1.4 | فرم مورد نیاز کوچ ساکی (1).docx::T11R2C1.4</x:v>
      </x:c>
      <x:c r="O281" s="39"/>
    </x:row>
    <x:row r="282">
      <x:c r="A282" s="34" t="str">
        <x:v>☐</x:v>
      </x:c>
      <x:c r="B282" s="34" t="str">
        <x:v>EX-0254</x:v>
      </x:c>
      <x:c r="C282" s="34" t="str">
        <x:v>در زمینه کارآفرینی در زمینه های مختلف شرکت راه مینداختم تا زمینه اشتغال زایی فراهم بشه.</x:v>
      </x:c>
      <x:c r="D282" s="34" t="str">
        <x:v>POSSIBLE</x:v>
      </x:c>
      <x:c r="E282" s="34" t="str">
        <x:v>85.5</x:v>
      </x:c>
      <x:c r="F282" s="34" t="str">
        <x:v>MI-1513</x:v>
      </x:c>
      <x:c r="G282" s="39" t="str">
        <x:v>تولید و کارآفرینی: توانایی تولید محصول و خدمات و ایجاد شغل.</x:v>
      </x:c>
      <x:c r="H282" s="39" t="str">
        <x:v>H1</x:v>
      </x:c>
      <x:c r="I282" s="39" t="str">
        <x:v>P0</x:v>
      </x:c>
      <x:c r="J282" s="39" t="str">
        <x:v>H1</x:v>
      </x:c>
      <x:c r="K282" s="39" t="str">
        <x:v>تطبیق احتمالی با پایه</x:v>
      </x:c>
      <x:c r="L282" s="39" t="str">
        <x:v>MI-1513</x:v>
      </x:c>
      <x:c r="M282" s="39" t="str">
        <x:v>تولید و کارآفرینی: توانایی تولید محصول و خدمات و ایجاد شغل.</x:v>
      </x:c>
      <x:c r="N282" s="39" t="str">
        <x:v>فرم مورد نیاز کوچ ساکی.docx::T11R2C1.5 | فرم مورد نیاز کوچ ساکی (1).docx::T11R2C1.5</x:v>
      </x:c>
      <x:c r="O282" s="39"/>
    </x:row>
    <x:row r="283">
      <x:c r="A283" s="34" t="str">
        <x:v>☐</x:v>
      </x:c>
      <x:c r="B283" s="34" t="str">
        <x:v>EX-0255</x:v>
      </x:c>
      <x:c r="C283" s="34" t="str">
        <x:v>در زمینه های بازیافت، صادرات، کشاورزی ، صنایع، انرژی پاک، فرآوری ، نیز صنایعی که جلوگیری از خام فروشی کنند و در عوض فرآوری و فروش با ارزش افزوده و....</x:v>
      </x:c>
      <x:c r="D283" s="34" t="str">
        <x:v>POSSIBLE</x:v>
      </x:c>
      <x:c r="E283" s="34" t="str">
        <x:v>85.5</x:v>
      </x:c>
      <x:c r="F283" s="34" t="str">
        <x:v>MI-1501</x:v>
      </x:c>
      <x:c r="G283" s="39" t="str">
        <x:v>مدیریت ریسک: شناسایی ریسک ها، ارزیابی اثرات، تدوین برنامه های مقابله با ریسک ها.</x:v>
      </x:c>
      <x:c r="H283" s="39" t="str">
        <x:v>H1</x:v>
      </x:c>
      <x:c r="I283" s="39" t="str">
        <x:v>P0</x:v>
      </x:c>
      <x:c r="J283" s="39" t="str">
        <x:v>H1</x:v>
      </x:c>
      <x:c r="K283" s="39" t="str">
        <x:v>تطبیق احتمالی با پایه</x:v>
      </x:c>
      <x:c r="L283" s="39" t="str">
        <x:v>MI-1501</x:v>
      </x:c>
      <x:c r="M283" s="39" t="str">
        <x:v>مدیریت ریسک: شناسایی ریسک ها، ارزیابی اثرات، تدوین برنامه های مقابله با ریسک ها.</x:v>
      </x:c>
      <x:c r="N283" s="39" t="str">
        <x:v>فرم مورد نیاز کوچ ساکی.docx::T11R2C1.6 | فرم مورد نیاز کوچ ساکی (1).docx::T11R2C1.6</x:v>
      </x:c>
      <x:c r="O283" s="39"/>
    </x:row>
    <x:row r="284">
      <x:c r="A284" s="34" t="str">
        <x:v>☐</x:v>
      </x:c>
      <x:c r="B284" s="34" t="str">
        <x:v>EX-0256</x:v>
      </x:c>
      <x:c r="C284" s="34" t="str">
        <x:v>آموزشگاه های تدریسی دروس مختلف برای اقشار کم بهره از زمینه آموزشی کشوری</x:v>
      </x:c>
      <x:c r="D284" s="34" t="str">
        <x:v>POSSIBLE</x:v>
      </x:c>
      <x:c r="E284" s="34" t="str">
        <x:v>90.0</x:v>
      </x:c>
      <x:c r="F284" s="34" t="str">
        <x:v>MI-2798</x:v>
      </x:c>
      <x:c r="G284" s="39" t="str">
        <x:v>آموزشگاه ها</x:v>
      </x:c>
      <x:c r="H284" s="39" t="str">
        <x:v>H20</x:v>
      </x:c>
      <x:c r="I284" s="39" t="str">
        <x:v>P3/CLARIFY</x:v>
      </x:c>
      <x:c r="J284" s="39" t="str">
        <x:v>H20</x:v>
      </x:c>
      <x:c r="K284" s="39" t="str">
        <x:v>تطبیق احتمالی با پایه</x:v>
      </x:c>
      <x:c r="L284" s="39" t="str">
        <x:v>MI-2798</x:v>
      </x:c>
      <x:c r="M284" s="39" t="str">
        <x:v>آموزشگاه ها</x:v>
      </x:c>
      <x:c r="N284" s="39" t="str">
        <x:v>فرم مورد نیاز کوچ ساکی.docx::T11R2C1.7 | فرم مورد نیاز کوچ ساکی (1).docx::T11R2C1.7</x:v>
      </x:c>
      <x:c r="O284" s="39"/>
    </x:row>
    <x:row r="285">
      <x:c r="A285" s="34" t="str">
        <x:v>☐</x:v>
      </x:c>
      <x:c r="B285" s="34" t="str">
        <x:v>EX-0257</x:v>
      </x:c>
      <x:c r="C285" s="34" t="str">
        <x:v>تجهیز آزمایشگاه ها و کارگاه های دانشگاه های سراسر کشور</x:v>
      </x:c>
      <x:c r="D285" s="34" t="str">
        <x:v>POSSIBLE</x:v>
      </x:c>
      <x:c r="E285" s="34" t="str">
        <x:v>90.0</x:v>
      </x:c>
      <x:c r="F285" s="34" t="str">
        <x:v>MI-1792</x:v>
      </x:c>
      <x:c r="G285" s="39" t="str">
        <x:v>آزمایشگاه ها</x:v>
      </x:c>
      <x:c r="H285" s="39" t="str">
        <x:v>H9</x:v>
      </x:c>
      <x:c r="I285" s="39" t="str">
        <x:v>P2</x:v>
      </x:c>
      <x:c r="J285" s="39" t="str">
        <x:v>H9</x:v>
      </x:c>
      <x:c r="K285" s="39" t="str">
        <x:v>تطبیق احتمالی با پایه</x:v>
      </x:c>
      <x:c r="L285" s="39" t="str">
        <x:v>MI-1792</x:v>
      </x:c>
      <x:c r="M285" s="39" t="str">
        <x:v>آزمایشگاه ها</x:v>
      </x:c>
      <x:c r="N285" s="39" t="str">
        <x:v>فرم مورد نیاز کوچ ساکی.docx::T11R2C1.8 | فرم مورد نیاز کوچ ساکی (1).docx::T11R2C1.8</x:v>
      </x:c>
      <x:c r="O285" s="39"/>
    </x:row>
    <x:row r="286">
      <x:c r="A286" s="34" t="str">
        <x:v>☐</x:v>
      </x:c>
      <x:c r="B286" s="34" t="str">
        <x:v>EX-0258</x:v>
      </x:c>
      <x:c r="C286" s="34" t="str">
        <x:v>ایجاد بستر های مناسب رشد فرهنگی تربیتی کودکان و نوجوانان</x:v>
      </x:c>
      <x:c r="D286" s="34" t="str">
        <x:v>POSSIBLE</x:v>
      </x:c>
      <x:c r="E286" s="34" t="str">
        <x:v>85.5</x:v>
      </x:c>
      <x:c r="F286" s="34" t="str">
        <x:v>MI-1530</x:v>
      </x:c>
      <x:c r="G286" s="39" t="str">
        <x:v>ایجاد ستاد تحول بسیج</x:v>
      </x:c>
      <x:c r="H286" s="39" t="str">
        <x:v>H1</x:v>
      </x:c>
      <x:c r="I286" s="39" t="str">
        <x:v>P0</x:v>
      </x:c>
      <x:c r="J286" s="39" t="str">
        <x:v>H1</x:v>
      </x:c>
      <x:c r="K286" s="39" t="str">
        <x:v>تطبیق احتمالی با پایه</x:v>
      </x:c>
      <x:c r="L286" s="39" t="str">
        <x:v>MI-1530</x:v>
      </x:c>
      <x:c r="M286" s="39" t="str">
        <x:v>ایجاد ستاد تحول بسیج</x:v>
      </x:c>
      <x:c r="N286" s="39" t="str">
        <x:v>فرم مورد نیاز کوچ ساکی.docx::T11R2C1.9 | فرم مورد نیاز کوچ ساکی (1).docx::T11R2C1.9</x:v>
      </x:c>
      <x:c r="O286" s="39"/>
    </x:row>
    <x:row r="287">
      <x:c r="A287" s="34" t="str">
        <x:v>☐</x:v>
      </x:c>
      <x:c r="B287" s="34" t="str">
        <x:v>EX-0259</x:v>
      </x:c>
      <x:c r="C287" s="34" t="str">
        <x:v>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D287" s="34" t="str">
        <x:v>POSSIBLE</x:v>
      </x:c>
      <x:c r="E287" s="34" t="str">
        <x:v>90.0</x:v>
      </x:c>
      <x:c r="F287" s="34" t="str">
        <x:v>MI-3070</x:v>
      </x:c>
      <x:c r="G287" s="39"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H287" s="39" t="str">
        <x:v>H12</x:v>
      </x:c>
      <x:c r="I287" s="39" t="str">
        <x:v>BANK</x:v>
      </x:c>
      <x:c r="J287" s="39" t="str">
        <x:v>H12</x:v>
      </x:c>
      <x:c r="K287" s="39" t="str">
        <x:v>تطبیق احتمالی با پایه</x:v>
      </x:c>
      <x:c r="L287" s="39" t="str">
        <x:v>MI-3070</x:v>
      </x:c>
      <x:c r="M287" s="39"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N287" s="39" t="str">
        <x:v>فرم مورد نیاز کوچ ساکی.docx::T11R2C1.10 | فرم مورد نیاز کوچ ساکی (1).docx::T11R2C1.10</x:v>
      </x:c>
      <x:c r="O287" s="39"/>
    </x:row>
    <x:row r="288">
      <x:c r="A288" s="34" t="str">
        <x:v>☐</x:v>
      </x:c>
      <x:c r="B288" s="34" t="str">
        <x:v>EX-0260</x:v>
      </x:c>
      <x:c r="C288" s="34" t="str">
        <x:v>دعوت جمعی دوستانم و دادن مهمانی</x:v>
      </x:c>
      <x:c r="D288" s="34" t="str">
        <x:v>POSSIBLE</x:v>
      </x:c>
      <x:c r="E288" s="34" t="str">
        <x:v>90.0</x:v>
      </x:c>
      <x:c r="F288" s="34" t="str">
        <x:v>MI-3072</x:v>
      </x:c>
      <x:c r="G288" s="39"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H288" s="39" t="str">
        <x:v>H17</x:v>
      </x:c>
      <x:c r="I288" s="39" t="str">
        <x:v>BANK</x:v>
      </x:c>
      <x:c r="J288" s="39" t="str">
        <x:v>H17</x:v>
      </x:c>
      <x:c r="K288" s="39" t="str">
        <x:v>تطبیق احتمالی با پایه</x:v>
      </x:c>
      <x:c r="L288" s="39" t="str">
        <x:v>MI-3072</x:v>
      </x:c>
      <x:c r="M288" s="39"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N288" s="39" t="str">
        <x:v>فرم مورد نیاز کوچ ساکی.docx::T12R2C1.1 | فرم مورد نیاز کوچ ساکی (1).docx::T12R2C1.1</x:v>
      </x:c>
      <x:c r="O288" s="39"/>
    </x:row>
    <x:row r="289">
      <x:c r="A289" s="34" t="str">
        <x:v>☐</x:v>
      </x:c>
      <x:c r="B289" s="34" t="str">
        <x:v>EX-0261</x:v>
      </x:c>
      <x:c r="C289" s="34" t="str">
        <x:v>سفر به شهر های مختلف کشور</x:v>
      </x:c>
      <x:c r="D289" s="34" t="str">
        <x:v>POSSIBLE</x:v>
      </x:c>
      <x:c r="E289" s="34" t="str">
        <x:v>85.5</x:v>
      </x:c>
      <x:c r="F289" s="34" t="str">
        <x:v>MI-1501</x:v>
      </x:c>
      <x:c r="G289" s="39" t="str">
        <x:v>مدیریت ریسک: شناسایی ریسک ها، ارزیابی اثرات، تدوین برنامه های مقابله با ریسک ها.</x:v>
      </x:c>
      <x:c r="H289" s="39" t="str">
        <x:v>H1</x:v>
      </x:c>
      <x:c r="I289" s="39" t="str">
        <x:v>P0</x:v>
      </x:c>
      <x:c r="J289" s="39" t="str">
        <x:v>H1</x:v>
      </x:c>
      <x:c r="K289" s="39" t="str">
        <x:v>تطبیق احتمالی با پایه</x:v>
      </x:c>
      <x:c r="L289" s="39" t="str">
        <x:v>MI-1501</x:v>
      </x:c>
      <x:c r="M289" s="39" t="str">
        <x:v>مدیریت ریسک: شناسایی ریسک ها، ارزیابی اثرات، تدوین برنامه های مقابله با ریسک ها.</x:v>
      </x:c>
      <x:c r="N289" s="39" t="str">
        <x:v>فرم مورد نیاز کوچ ساکی.docx::T12R2C1.2 | فرم مورد نیاز کوچ ساکی (1).docx::T12R2C1.2</x:v>
      </x:c>
      <x:c r="O289" s="39"/>
    </x:row>
    <x:row r="290">
      <x:c r="A290" s="34" t="str">
        <x:v>☐</x:v>
      </x:c>
      <x:c r="B290" s="34" t="str">
        <x:v>EX-0262</x:v>
      </x:c>
      <x:c r="C290" s="34" t="str">
        <x:v>خرید یه ماشین خوب</x:v>
      </x:c>
      <x:c r="D290" s="34" t="str">
        <x:v>POSSIBLE</x:v>
      </x:c>
      <x:c r="E290" s="34" t="str">
        <x:v>85.5</x:v>
      </x:c>
      <x:c r="F290" s="34" t="str">
        <x:v>MI-1593</x:v>
      </x:c>
      <x:c r="G290" s="39" t="str">
        <x:v>یا خروجی های قوی یه همایش یا رویداد کارافرینین و جذب سرمایه شده که میشه معرفی بشه برای سرمایه گذاری یا تیم سازی و اجداث شرکت و پیشروی</x:v>
      </x:c>
      <x:c r="H290" s="39" t="str">
        <x:v>H4</x:v>
      </x:c>
      <x:c r="I290" s="39" t="str">
        <x:v>P1</x:v>
      </x:c>
      <x:c r="J290" s="39" t="str">
        <x:v>H4</x:v>
      </x:c>
      <x:c r="K290" s="39" t="str">
        <x:v>تطبیق احتمالی با پایه</x:v>
      </x:c>
      <x:c r="L290" s="39" t="str">
        <x:v>MI-1593</x:v>
      </x:c>
      <x:c r="M290" s="39" t="str">
        <x:v>یا خروجی های قوی یه همایش یا رویداد کارافرینین و جذب سرمایه شده که میشه معرفی بشه برای سرمایه گذاری یا تیم سازی و اجداث شرکت و پیشروی</x:v>
      </x:c>
      <x:c r="N290" s="39" t="str">
        <x:v>فرم مورد نیاز کوچ ساکی.docx::T12R2C1.3 | فرم مورد نیاز کوچ ساکی (1).docx::T12R2C1.3</x:v>
      </x:c>
      <x:c r="O290" s="39"/>
    </x:row>
    <x:row r="291">
      <x:c r="A291" s="34" t="str">
        <x:v>☐</x:v>
      </x:c>
      <x:c r="B291" s="34" t="str">
        <x:v>EX-0263</x:v>
      </x:c>
      <x:c r="C291" s="34" t="str">
        <x:v>خرید بدون دغدغه مالی پوشاک ، کتاب ،غذای فلان رستوران</x:v>
      </x:c>
      <x:c r="D291" s="34" t="str">
        <x:v>POSSIBLE</x:v>
      </x:c>
      <x:c r="E291" s="34" t="str">
        <x:v>90.0</x:v>
      </x:c>
      <x:c r="F291" s="34" t="str">
        <x:v>MI-3072</x:v>
      </x:c>
      <x:c r="G291" s="39"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H291" s="39" t="str">
        <x:v>H17</x:v>
      </x:c>
      <x:c r="I291" s="39" t="str">
        <x:v>BANK</x:v>
      </x:c>
      <x:c r="J291" s="39" t="str">
        <x:v>H17</x:v>
      </x:c>
      <x:c r="K291" s="39" t="str">
        <x:v>تطبیق احتمالی با پایه</x:v>
      </x:c>
      <x:c r="L291" s="39" t="str">
        <x:v>MI-3072</x:v>
      </x:c>
      <x:c r="M291" s="39"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N291" s="39" t="str">
        <x:v>فرم مورد نیاز کوچ ساکی.docx::T12R2C1.4 | فرم مورد نیاز کوچ ساکی (1).docx::T12R2C1.4</x:v>
      </x:c>
      <x:c r="O291" s="39"/>
    </x:row>
    <x:row r="292">
      <x:c r="A292" s="34" t="str">
        <x:v>☐</x:v>
      </x:c>
      <x:c r="B292" s="34" t="str">
        <x:v>EX-0264</x:v>
      </x:c>
      <x:c r="C292" s="34" t="str">
        <x:v>فرستادن خانواده به یه سفر خوب با امکانات اقامتی و پذیرایی خوب</x:v>
      </x:c>
      <x:c r="D292" s="34" t="str">
        <x:v>POSSIBLE</x:v>
      </x:c>
      <x:c r="E292" s="34" t="str">
        <x:v>90.0</x:v>
      </x:c>
      <x:c r="F292" s="34" t="str">
        <x:v>MI-3072</x:v>
      </x:c>
      <x:c r="G292" s="39"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H292" s="39" t="str">
        <x:v>H17</x:v>
      </x:c>
      <x:c r="I292" s="39" t="str">
        <x:v>BANK</x:v>
      </x:c>
      <x:c r="J292" s="39" t="str">
        <x:v>H17</x:v>
      </x:c>
      <x:c r="K292" s="39" t="str">
        <x:v>تطبیق احتمالی با پایه</x:v>
      </x:c>
      <x:c r="L292" s="39" t="str">
        <x:v>MI-3072</x:v>
      </x:c>
      <x:c r="M292" s="39"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N292" s="39" t="str">
        <x:v>فرم مورد نیاز کوچ ساکی.docx::T12R2C1.5 | فرم مورد نیاز کوچ ساکی (1).docx::T12R2C1.5</x:v>
      </x:c>
      <x:c r="O292" s="39"/>
    </x:row>
    <x:row r="293">
      <x:c r="A293" s="34" t="str">
        <x:v>☐</x:v>
      </x:c>
      <x:c r="B293" s="34" t="str">
        <x:v>EX-0265</x:v>
      </x:c>
      <x:c r="C293" s="34" t="str">
        <x:v>تدریس یه یه جمعت نسبتا زیاد یک موضوعی</x:v>
      </x:c>
      <x:c r="D293" s="34" t="str">
        <x:v>POSSIBLE</x:v>
      </x:c>
      <x:c r="E293" s="34" t="str">
        <x:v>90.0</x:v>
      </x:c>
      <x:c r="F293" s="34" t="str">
        <x:v>MI-3072</x:v>
      </x:c>
      <x:c r="G293" s="39"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H293" s="39" t="str">
        <x:v>H17</x:v>
      </x:c>
      <x:c r="I293" s="39" t="str">
        <x:v>BANK</x:v>
      </x:c>
      <x:c r="J293" s="39" t="str">
        <x:v>H17</x:v>
      </x:c>
      <x:c r="K293" s="39" t="str">
        <x:v>تطبیق احتمالی با پایه</x:v>
      </x:c>
      <x:c r="L293" s="39" t="str">
        <x:v>MI-3072</x:v>
      </x:c>
      <x:c r="M293" s="39"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N293" s="39" t="str">
        <x:v>فرم مورد نیاز کوچ ساکی.docx::T12R2C1.6 | فرم مورد نیاز کوچ ساکی (1).docx::T12R2C1.6</x:v>
      </x:c>
      <x:c r="O293" s="39"/>
    </x:row>
    <x:row r="294">
      <x:c r="A294" s="34" t="str">
        <x:v>☐</x:v>
      </x:c>
      <x:c r="B294" s="34" t="str">
        <x:v>EX-0266</x:v>
      </x:c>
      <x:c r="C294" s="34" t="str">
        <x:v>دبیر شورای صنفی دانشگاه شدم و خواستم کارایی که بهشون اهمیت داده نمیشد راجع به دانشجو ها رو انجام بدن</x:v>
      </x:c>
      <x:c r="D294" s="34" t="str">
        <x:v>POSSIBLE</x:v>
      </x:c>
      <x:c r="E294" s="34" t="str">
        <x:v>90.0</x:v>
      </x:c>
      <x:c r="F294" s="34" t="str">
        <x:v>MI-3074</x:v>
      </x:c>
      <x:c r="G294"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H294" s="39" t="str">
        <x:v>H11</x:v>
      </x:c>
      <x:c r="I294" s="39" t="str">
        <x:v>DELEGATE/P2</x:v>
      </x:c>
      <x:c r="J294" s="39" t="str">
        <x:v>H11</x:v>
      </x:c>
      <x:c r="K294" s="39" t="str">
        <x:v>تطبیق احتمالی با پایه</x:v>
      </x:c>
      <x:c r="L294" s="39" t="str">
        <x:v>MI-3074</x:v>
      </x:c>
      <x:c r="M294"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N294" s="39" t="str">
        <x:v>فرم مورد نیاز کوچ ساکی.docx::T13R2C1.1 | فرم مورد نیاز کوچ ساکی (1).docx::T13R2C1.1</x:v>
      </x:c>
      <x:c r="O294" s="39"/>
    </x:row>
    <x:row r="295">
      <x:c r="A295" s="34" t="str">
        <x:v>☐</x:v>
      </x:c>
      <x:c r="B295" s="34" t="str">
        <x:v>EX-0267</x:v>
      </x:c>
      <x:c r="C295" s="34" t="str">
        <x:v>میخوام کارایی بکنم که نیازشون رو خیلی وقته حس میکنم و اگه انجام بشن تاثیرات خیلی زیادی روی جامعه میزاره</x:v>
      </x:c>
      <x:c r="D295" s="34" t="str">
        <x:v>POSSIBLE</x:v>
      </x:c>
      <x:c r="E295" s="34" t="str">
        <x:v>90.0</x:v>
      </x:c>
      <x:c r="F295" s="34" t="str">
        <x:v>MI-3074</x:v>
      </x:c>
      <x:c r="G295"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H295" s="39" t="str">
        <x:v>H11</x:v>
      </x:c>
      <x:c r="I295" s="39" t="str">
        <x:v>DELEGATE/P2</x:v>
      </x:c>
      <x:c r="J295" s="39" t="str">
        <x:v>H11</x:v>
      </x:c>
      <x:c r="K295" s="39" t="str">
        <x:v>تطبیق احتمالی با پایه</x:v>
      </x:c>
      <x:c r="L295" s="39" t="str">
        <x:v>MI-3074</x:v>
      </x:c>
      <x:c r="M295"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N295" s="39" t="str">
        <x:v>فرم مورد نیاز کوچ ساکی.docx::T13R2C1.2 | فرم مورد نیاز کوچ ساکی (1).docx::T13R2C1.2</x:v>
      </x:c>
      <x:c r="O295" s="39"/>
    </x:row>
    <x:row r="296">
      <x:c r="A296" s="34" t="str">
        <x:v>☐</x:v>
      </x:c>
      <x:c r="B296" s="34" t="str">
        <x:v>EX-0268</x:v>
      </x:c>
      <x:c r="C296" s="34" t="str">
        <x:v>میخوام به یه سطحی برسم که بتونم روی یه قشر خاصی تاثیر گذار باشم</x:v>
      </x:c>
      <x:c r="D296" s="34" t="str">
        <x:v>POSSIBLE</x:v>
      </x:c>
      <x:c r="E296" s="34" t="str">
        <x:v>90.0</x:v>
      </x:c>
      <x:c r="F296" s="34" t="str">
        <x:v>MI-3074</x:v>
      </x:c>
      <x:c r="G296"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H296" s="39" t="str">
        <x:v>H11</x:v>
      </x:c>
      <x:c r="I296" s="39" t="str">
        <x:v>DELEGATE/P2</x:v>
      </x:c>
      <x:c r="J296" s="39" t="str">
        <x:v>H11</x:v>
      </x:c>
      <x:c r="K296" s="39" t="str">
        <x:v>تطبیق احتمالی با پایه</x:v>
      </x:c>
      <x:c r="L296" s="39" t="str">
        <x:v>MI-3074</x:v>
      </x:c>
      <x:c r="M296"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N296" s="39" t="str">
        <x:v>فرم مورد نیاز کوچ ساکی.docx::T13R2C1.3 | فرم مورد نیاز کوچ ساکی (1).docx::T13R2C1.3</x:v>
      </x:c>
      <x:c r="O296" s="39"/>
    </x:row>
    <x:row r="297">
      <x:c r="A297" s="34" t="str">
        <x:v>☐</x:v>
      </x:c>
      <x:c r="B297" s="34" t="str">
        <x:v>EX-0269</x:v>
      </x:c>
      <x:c r="C297" s="34" t="str">
        <x:v>در سطح کشوری بتونم به حدی از اختیارات تصمیم گیری برسم که سر زده از جاهای مختلفی بازدید کنم و به فراخور اون دستوراتی داده بشه که روال رو بهتر کنه .</x:v>
      </x:c>
      <x:c r="D297" s="34" t="str">
        <x:v>POSSIBLE</x:v>
      </x:c>
      <x:c r="E297" s="34" t="str">
        <x:v>90.0</x:v>
      </x:c>
      <x:c r="F297" s="34" t="str">
        <x:v>MI-3074</x:v>
      </x:c>
      <x:c r="G297"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H297" s="39" t="str">
        <x:v>H11</x:v>
      </x:c>
      <x:c r="I297" s="39" t="str">
        <x:v>DELEGATE/P2</x:v>
      </x:c>
      <x:c r="J297" s="39" t="str">
        <x:v>H11</x:v>
      </x:c>
      <x:c r="K297" s="39" t="str">
        <x:v>تطبیق احتمالی با پایه</x:v>
      </x:c>
      <x:c r="L297" s="39" t="str">
        <x:v>MI-3074</x:v>
      </x:c>
      <x:c r="M297"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N297" s="39" t="str">
        <x:v>فرم مورد نیاز کوچ ساکی.docx::T13R2C1.4 | فرم مورد نیاز کوچ ساکی (1).docx::T13R2C1.4</x:v>
      </x:c>
      <x:c r="O297" s="39"/>
    </x:row>
    <x:row r="298">
      <x:c r="A298" s="34" t="str">
        <x:v>☐</x:v>
      </x:c>
      <x:c r="B298" s="34" t="str">
        <x:v>EX-0270</x:v>
      </x:c>
      <x:c r="C298" s="34" t="str">
        <x:v>بتونم یه سخنرانی از جایگاهی که موفق شدم داشته باشم و اونجا به بیان خیلی چیزا بپردازم</x:v>
      </x:c>
      <x:c r="D298" s="34" t="str">
        <x:v>POSSIBLE</x:v>
      </x:c>
      <x:c r="E298" s="34" t="str">
        <x:v>90.0</x:v>
      </x:c>
      <x:c r="F298" s="34" t="str">
        <x:v>MI-3074</x:v>
      </x:c>
      <x:c r="G298"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H298" s="39" t="str">
        <x:v>H11</x:v>
      </x:c>
      <x:c r="I298" s="39" t="str">
        <x:v>DELEGATE/P2</x:v>
      </x:c>
      <x:c r="J298" s="39" t="str">
        <x:v>H11</x:v>
      </x:c>
      <x:c r="K298" s="39" t="str">
        <x:v>تطبیق احتمالی با پایه</x:v>
      </x:c>
      <x:c r="L298" s="39" t="str">
        <x:v>MI-3074</x:v>
      </x:c>
      <x:c r="M298" s="39"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N298" s="39" t="str">
        <x:v>فرم مورد نیاز کوچ ساکی.docx::T13R2C1.5 | فرم مورد نیاز کوچ ساکی (1).docx::T13R2C1.5</x:v>
      </x:c>
      <x:c r="O298" s="39"/>
    </x:row>
    <x:row r="299">
      <x:c r="A299" s="34" t="str">
        <x:v>☐</x:v>
      </x:c>
      <x:c r="B299" s="34" t="str">
        <x:v>EX-0271</x:v>
      </x:c>
      <x:c r="C299" s="34" t="str">
        <x:v>ترسهای شما در زندگی چه بوده هست؟ نام ببرید.</x:v>
      </x:c>
      <x:c r="D299" s="34" t="str">
        <x:v>POSSIBLE</x:v>
      </x:c>
      <x:c r="E299" s="34" t="str">
        <x:v>85.5</x:v>
      </x:c>
      <x:c r="F299" s="34" t="str">
        <x:v>MI-0173</x:v>
      </x:c>
      <x:c r="G299" s="39" t="str">
        <x:v>جستجو در منابع سریع</x:v>
      </x:c>
      <x:c r="H299" s="39" t="str">
        <x:v>H1</x:v>
      </x:c>
      <x:c r="I299" s="39" t="str">
        <x:v>P0</x:v>
      </x:c>
      <x:c r="J299" s="39" t="str">
        <x:v>H1</x:v>
      </x:c>
      <x:c r="K299" s="39" t="str">
        <x:v>تطبیق احتمالی با پایه</x:v>
      </x:c>
      <x:c r="L299" s="39" t="str">
        <x:v>MI-0173</x:v>
      </x:c>
      <x:c r="M299" s="39" t="str">
        <x:v>جستجو در منابع سریع</x:v>
      </x:c>
      <x:c r="N299" s="39" t="str">
        <x:v>فرم مورد نیاز کوچ ساکی.docx::T14R1C1.1 | فرم مورد نیاز کوچ ساکی (1).docx::T14R1C1.1</x:v>
      </x:c>
      <x:c r="O299" s="39"/>
    </x:row>
    <x:row r="300">
      <x:c r="A300" s="34" t="str">
        <x:v>☐</x:v>
      </x:c>
      <x:c r="B300" s="34" t="str">
        <x:v>EX-0272</x:v>
      </x:c>
      <x:c r="C300" s="34" t="str">
        <x:v>از اینکه شکست بخورم</x:v>
      </x:c>
      <x:c r="D300" s="34" t="str">
        <x:v>POSSIBLE</x:v>
      </x:c>
      <x:c r="E300" s="34" t="str">
        <x:v>85.5</x:v>
      </x:c>
      <x:c r="F300" s="34" t="str">
        <x:v>MI-1457</x:v>
      </x:c>
      <x:c r="G300" s="39" t="str">
        <x:v>سلامت جسمانی: تغذیه سالم، ورزش منظم، خواب کافی، پیشگیری از بیماری ها.</x:v>
      </x:c>
      <x:c r="H300" s="39" t="str">
        <x:v>H1</x:v>
      </x:c>
      <x:c r="I300" s="39" t="str">
        <x:v>P0</x:v>
      </x:c>
      <x:c r="J300" s="39" t="str">
        <x:v>H1</x:v>
      </x:c>
      <x:c r="K300" s="39" t="str">
        <x:v>تطبیق احتمالی با پایه</x:v>
      </x:c>
      <x:c r="L300" s="39" t="str">
        <x:v>MI-1457</x:v>
      </x:c>
      <x:c r="M300" s="39" t="str">
        <x:v>سلامت جسمانی: تغذیه سالم، ورزش منظم، خواب کافی، پیشگیری از بیماری ها.</x:v>
      </x:c>
      <x:c r="N300" s="39" t="str">
        <x:v>فرم مورد نیاز کوچ ساکی.docx::T14R2C1.1 | فرم مورد نیاز کوچ ساکی (1).docx::T14R2C1.1</x:v>
      </x:c>
      <x:c r="O300" s="39"/>
    </x:row>
    <x:row r="301">
      <x:c r="A301" s="34" t="str">
        <x:v>☐</x:v>
      </x:c>
      <x:c r="B301" s="34" t="str">
        <x:v>EX-0273</x:v>
      </x:c>
      <x:c r="C301" s="34" t="str">
        <x:v>از اینکه زمان بزارم سر چیزی که تهش هیچه، ولی تو ذهنم خیلی بوده</x:v>
      </x:c>
      <x:c r="D301" s="34" t="str">
        <x:v>POSSIBLE</x:v>
      </x:c>
      <x:c r="E301" s="34" t="str">
        <x:v>90.0</x:v>
      </x:c>
      <x:c r="F301" s="34" t="str">
        <x:v>MI-3075</x:v>
      </x:c>
      <x:c r="G301" s="39" t="str">
        <x:v>از اینکه شکست بخورم از اینکه زمان بزارم سر چیزی که تهش هیچه، ولی تو ذهنم خیلی بوده از اینکه سرخورده بشم خانواده رو نا امید کنم از اینکه رفتاری یا کاری کنم که کسی رو ناراحت کنه از اینکه افراد از من دوری کنن پول نداشته باشم</x:v>
      </x:c>
      <x:c r="H301" s="39" t="str">
        <x:v>H14</x:v>
      </x:c>
      <x:c r="I301" s="39" t="str">
        <x:v>P3</x:v>
      </x:c>
      <x:c r="J301" s="39" t="str">
        <x:v>H14</x:v>
      </x:c>
      <x:c r="K301" s="39" t="str">
        <x:v>تطبیق احتمالی با پایه</x:v>
      </x:c>
      <x:c r="L301" s="39" t="str">
        <x:v>MI-3075</x:v>
      </x:c>
      <x:c r="M301" s="39" t="str">
        <x:v>از اینکه شکست بخورم از اینکه زمان بزارم سر چیزی که تهش هیچه، ولی تو ذهنم خیلی بوده از اینکه سرخورده بشم خانواده رو نا امید کنم از اینکه رفتاری یا کاری کنم که کسی رو ناراحت کنه از اینکه افراد از من دوری کنن پول نداشته باشم</x:v>
      </x:c>
      <x:c r="N301" s="39" t="str">
        <x:v>فرم مورد نیاز کوچ ساکی.docx::T14R2C1.2 | فرم مورد نیاز کوچ ساکی (1).docx::T14R2C1.2</x:v>
      </x:c>
      <x:c r="O301" s="39"/>
    </x:row>
    <x:row r="302">
      <x:c r="A302" s="34" t="str">
        <x:v>☐</x:v>
      </x:c>
      <x:c r="B302" s="34" t="str">
        <x:v>EX-0274</x:v>
      </x:c>
      <x:c r="C302" s="34" t="str">
        <x:v>از اینکه سرخورده بشم</x:v>
      </x:c>
      <x:c r="D302" s="34" t="str">
        <x:v>POSSIBLE</x:v>
      </x:c>
      <x:c r="E302" s="34" t="str">
        <x:v>85.5</x:v>
      </x:c>
      <x:c r="F302" s="34" t="str">
        <x:v>MI-1457</x:v>
      </x:c>
      <x:c r="G302" s="39" t="str">
        <x:v>سلامت جسمانی: تغذیه سالم، ورزش منظم، خواب کافی، پیشگیری از بیماری ها.</x:v>
      </x:c>
      <x:c r="H302" s="39" t="str">
        <x:v>H1</x:v>
      </x:c>
      <x:c r="I302" s="39" t="str">
        <x:v>P0</x:v>
      </x:c>
      <x:c r="J302" s="39" t="str">
        <x:v>H1</x:v>
      </x:c>
      <x:c r="K302" s="39" t="str">
        <x:v>تطبیق احتمالی با پایه</x:v>
      </x:c>
      <x:c r="L302" s="39" t="str">
        <x:v>MI-1457</x:v>
      </x:c>
      <x:c r="M302" s="39" t="str">
        <x:v>سلامت جسمانی: تغذیه سالم، ورزش منظم، خواب کافی، پیشگیری از بیماری ها.</x:v>
      </x:c>
      <x:c r="N302" s="39" t="str">
        <x:v>فرم مورد نیاز کوچ ساکی.docx::T14R2C1.3 | فرم مورد نیاز کوچ ساکی (1).docx::T14R2C1.3</x:v>
      </x:c>
      <x:c r="O302" s="39"/>
    </x:row>
    <x:row r="303">
      <x:c r="A303" s="34" t="str">
        <x:v>☐</x:v>
      </x:c>
      <x:c r="B303" s="34" t="str">
        <x:v>EX-0275</x:v>
      </x:c>
      <x:c r="C303" s="34" t="str">
        <x:v>خانواده رو نا امید کنم</x:v>
      </x:c>
      <x:c r="D303" s="34" t="str">
        <x:v>POSSIBLE</x:v>
      </x:c>
      <x:c r="E303" s="34" t="str">
        <x:v>85.5</x:v>
      </x:c>
      <x:c r="F303" s="34" t="str">
        <x:v>MI-1442</x:v>
      </x:c>
      <x:c r="G303" s="39" t="str">
        <x:v>این نیت کردم نمیدونم انجام شده یا نه چه کنم</x:v>
      </x:c>
      <x:c r="H303" s="39" t="str">
        <x:v>H1</x:v>
      </x:c>
      <x:c r="I303" s="39" t="str">
        <x:v>P0</x:v>
      </x:c>
      <x:c r="J303" s="39" t="str">
        <x:v>H1</x:v>
      </x:c>
      <x:c r="K303" s="39" t="str">
        <x:v>تطبیق احتمالی با پایه</x:v>
      </x:c>
      <x:c r="L303" s="39" t="str">
        <x:v>MI-1442</x:v>
      </x:c>
      <x:c r="M303" s="39" t="str">
        <x:v>این نیت کردم نمیدونم انجام شده یا نه چه کنم</x:v>
      </x:c>
      <x:c r="N303" s="39" t="str">
        <x:v>فرم مورد نیاز کوچ ساکی.docx::T14R2C1.4 | فرم مورد نیاز کوچ ساکی (1).docx::T14R2C1.4</x:v>
      </x:c>
      <x:c r="O303" s="39"/>
    </x:row>
    <x:row r="304">
      <x:c r="A304" s="34" t="str">
        <x:v>☐</x:v>
      </x:c>
      <x:c r="B304" s="34" t="str">
        <x:v>EX-0276</x:v>
      </x:c>
      <x:c r="C304" s="34" t="str">
        <x:v>از اینکه رفتاری یا کاری کنم که کسی رو ناراحت کنه</x:v>
      </x:c>
      <x:c r="D304" s="34" t="str">
        <x:v>POSSIBLE</x:v>
      </x:c>
      <x:c r="E304" s="34" t="str">
        <x:v>90.0</x:v>
      </x:c>
      <x:c r="F304" s="34" t="str">
        <x:v>MI-3075</x:v>
      </x:c>
      <x:c r="G304" s="39" t="str">
        <x:v>از اینکه شکست بخورم از اینکه زمان بزارم سر چیزی که تهش هیچه، ولی تو ذهنم خیلی بوده از اینکه سرخورده بشم خانواده رو نا امید کنم از اینکه رفتاری یا کاری کنم که کسی رو ناراحت کنه از اینکه افراد از من دوری کنن پول نداشته باشم</x:v>
      </x:c>
      <x:c r="H304" s="39" t="str">
        <x:v>H14</x:v>
      </x:c>
      <x:c r="I304" s="39" t="str">
        <x:v>P3</x:v>
      </x:c>
      <x:c r="J304" s="39" t="str">
        <x:v>H14</x:v>
      </x:c>
      <x:c r="K304" s="39" t="str">
        <x:v>تطبیق احتمالی با پایه</x:v>
      </x:c>
      <x:c r="L304" s="39" t="str">
        <x:v>MI-3075</x:v>
      </x:c>
      <x:c r="M304" s="39" t="str">
        <x:v>از اینکه شکست بخورم از اینکه زمان بزارم سر چیزی که تهش هیچه، ولی تو ذهنم خیلی بوده از اینکه سرخورده بشم خانواده رو نا امید کنم از اینکه رفتاری یا کاری کنم که کسی رو ناراحت کنه از اینکه افراد از من دوری کنن پول نداشته باشم</x:v>
      </x:c>
      <x:c r="N304" s="39" t="str">
        <x:v>فرم مورد نیاز کوچ ساکی.docx::T14R2C1.5 | فرم مورد نیاز کوچ ساکی (1).docx::T14R2C1.5</x:v>
      </x:c>
      <x:c r="O304" s="39"/>
    </x:row>
    <x:row r="305">
      <x:c r="A305" s="34" t="str">
        <x:v>☐</x:v>
      </x:c>
      <x:c r="B305" s="34" t="str">
        <x:v>EX-0277</x:v>
      </x:c>
      <x:c r="C305" s="34" t="str">
        <x:v>از اینکه افراد از من دوری کنن</x:v>
      </x:c>
      <x:c r="D305" s="34" t="str">
        <x:v>POSSIBLE</x:v>
      </x:c>
      <x:c r="E305" s="34" t="str">
        <x:v>90.0</x:v>
      </x:c>
      <x:c r="F305" s="34" t="str">
        <x:v>MI-2997</x:v>
      </x:c>
      <x:c r="G305" s="39" t="str">
        <x:v>افراد</x:v>
      </x:c>
      <x:c r="H305" s="39" t="str">
        <x:v>H14</x:v>
      </x:c>
      <x:c r="I305" s="39" t="str">
        <x:v>P3</x:v>
      </x:c>
      <x:c r="J305" s="39" t="str">
        <x:v>H14</x:v>
      </x:c>
      <x:c r="K305" s="39" t="str">
        <x:v>تطبیق احتمالی با پایه</x:v>
      </x:c>
      <x:c r="L305" s="39" t="str">
        <x:v>MI-2997</x:v>
      </x:c>
      <x:c r="M305" s="39" t="str">
        <x:v>افراد</x:v>
      </x:c>
      <x:c r="N305" s="39" t="str">
        <x:v>فرم مورد نیاز کوچ ساکی.docx::T14R2C1.6 | فرم مورد نیاز کوچ ساکی (1).docx::T14R2C1.6</x:v>
      </x:c>
      <x:c r="O305" s="39"/>
    </x:row>
    <x:row r="306">
      <x:c r="A306" s="34" t="str">
        <x:v>☐</x:v>
      </x:c>
      <x:c r="B306" s="34" t="str">
        <x:v>EX-0278</x:v>
      </x:c>
      <x:c r="C306" s="34" t="str">
        <x:v>پول نداشته باشم</x:v>
      </x:c>
      <x:c r="D306" s="34" t="str">
        <x:v>POSSIBLE</x:v>
      </x:c>
      <x:c r="E306" s="34" t="str">
        <x:v>85.5</x:v>
      </x:c>
      <x:c r="F306" s="34" t="str">
        <x:v>MI-1448</x:v>
      </x:c>
      <x:c r="G306" s="39" t="str">
        <x:v>پول هییت قبلا چوقدر هست دست من؟؟؟ قبلا 4,290 بوده . چقدر به سید دادم.</x:v>
      </x:c>
      <x:c r="H306" s="39" t="str">
        <x:v>H1</x:v>
      </x:c>
      <x:c r="I306" s="39" t="str">
        <x:v>P0</x:v>
      </x:c>
      <x:c r="J306" s="39" t="str">
        <x:v>H1</x:v>
      </x:c>
      <x:c r="K306" s="39" t="str">
        <x:v>تطبیق احتمالی با پایه</x:v>
      </x:c>
      <x:c r="L306" s="39" t="str">
        <x:v>MI-1448</x:v>
      </x:c>
      <x:c r="M306" s="39" t="str">
        <x:v>پول هییت قبلا چوقدر هست دست من؟؟؟ قبلا 4,290 بوده . چقدر به سید دادم.</x:v>
      </x:c>
      <x:c r="N306" s="39" t="str">
        <x:v>فرم مورد نیاز کوچ ساکی.docx::T14R2C1.7 | فرم مورد نیاز کوچ ساکی (1).docx::T14R2C1.7</x:v>
      </x:c>
      <x:c r="O306" s="39"/>
    </x:row>
    <x:row r="307">
      <x:c r="A307" s="34" t="str">
        <x:v>☐</x:v>
      </x:c>
      <x:c r="B307" s="34" t="str">
        <x:v>EX-0279</x:v>
      </x:c>
      <x:c r="C307" s="34" t="str">
        <x:v>کتاب نیمه شب</x:v>
      </x:c>
      <x:c r="D307" s="34" t="str">
        <x:v>POSSIBLE</x:v>
      </x:c>
      <x:c r="E307" s="34" t="str">
        <x:v>85.7</x:v>
      </x:c>
      <x:c r="F307" s="34" t="str">
        <x:v>MI-0560</x:v>
      </x:c>
      <x:c r="G307" s="39" t="str">
        <x:v>کتابخانه نیمه شب</x:v>
      </x:c>
      <x:c r="H307" s="39" t="str">
        <x:v>H18</x:v>
      </x:c>
      <x:c r="I307" s="39" t="str">
        <x:v>BANK</x:v>
      </x:c>
      <x:c r="J307" s="39" t="str">
        <x:v>H18</x:v>
      </x:c>
      <x:c r="K307" s="39" t="str">
        <x:v>تطبیق احتمالی با پایه</x:v>
      </x:c>
      <x:c r="L307" s="39" t="str">
        <x:v>MI-0560</x:v>
      </x:c>
      <x:c r="M307" s="39" t="str">
        <x:v>کتابخانه نیمه شب</x:v>
      </x:c>
      <x:c r="N307" s="39" t="str">
        <x:v>فرم مورد نیاز کوچ ساکی.docx::T16R2C1.1 | فرم مورد نیاز کوچ ساکی (1).docx::T16R2C1.1</x:v>
      </x:c>
      <x:c r="O307" s="39"/>
    </x:row>
    <x:row r="308">
      <x:c r="A308" s="34" t="str">
        <x:v>☐</x:v>
      </x:c>
      <x:c r="B308" s="34" t="str">
        <x:v>EX-0280</x:v>
      </x:c>
      <x:c r="C308" s="34" t="str">
        <x:v>ده اثر فلورانس اسکاول شین</x:v>
      </x:c>
      <x:c r="D308" s="34" t="str">
        <x:v>POSSIBLE</x:v>
      </x:c>
      <x:c r="E308" s="34" t="str">
        <x:v>85.5</x:v>
      </x:c>
      <x:c r="F308" s="34" t="str">
        <x:v>MI-1491</x:v>
      </x:c>
      <x:c r="G308" s="39" t="str">
        <x:v>تایپ ده انگشتی</x:v>
      </x:c>
      <x:c r="H308" s="39" t="str">
        <x:v>H1</x:v>
      </x:c>
      <x:c r="I308" s="39" t="str">
        <x:v>P0</x:v>
      </x:c>
      <x:c r="J308" s="39" t="str">
        <x:v>H1</x:v>
      </x:c>
      <x:c r="K308" s="39" t="str">
        <x:v>تطبیق احتمالی با پایه</x:v>
      </x:c>
      <x:c r="L308" s="39" t="str">
        <x:v>MI-1491</x:v>
      </x:c>
      <x:c r="M308" s="39" t="str">
        <x:v>تایپ ده انگشتی</x:v>
      </x:c>
      <x:c r="N308" s="39" t="str">
        <x:v>فرم مورد نیاز کوچ ساکی.docx::T16R2C1.2 | فرم مورد نیاز کوچ ساکی (1).docx::T16R2C1.2</x:v>
      </x:c>
      <x:c r="O308" s="39"/>
    </x:row>
    <x:row r="309">
      <x:c r="A309" s="34" t="str">
        <x:v>☐</x:v>
      </x:c>
      <x:c r="B309" s="34" t="str">
        <x:v>EX-0281</x:v>
      </x:c>
      <x:c r="C309" s="34" t="str">
        <x:v>کتاب اردیبهشت</x:v>
      </x:c>
      <x:c r="D309" s="34" t="str">
        <x:v>POSSIBLE</x:v>
      </x:c>
      <x:c r="E309" s="34" t="str">
        <x:v>85.5</x:v>
      </x:c>
      <x:c r="F309" s="34" t="str">
        <x:v>MI-0262</x:v>
      </x:c>
      <x:c r="G309" s="39" t="str">
        <x:v>طرح اهدا کتاب به کتابخانه سردار و طرح پوستر متناسب با مناسبت خاص</x:v>
      </x:c>
      <x:c r="H309" s="39" t="str">
        <x:v>H11</x:v>
      </x:c>
      <x:c r="I309" s="39" t="str">
        <x:v>BANK</x:v>
      </x:c>
      <x:c r="J309" s="39" t="str">
        <x:v>H11</x:v>
      </x:c>
      <x:c r="K309" s="39" t="str">
        <x:v>تطبیق احتمالی با پایه</x:v>
      </x:c>
      <x:c r="L309" s="39" t="str">
        <x:v>MI-0262</x:v>
      </x:c>
      <x:c r="M309" s="39" t="str">
        <x:v>طرح اهدا کتاب به کتابخانه سردار و طرح پوستر متناسب با مناسبت خاص</x:v>
      </x:c>
      <x:c r="N309" s="39" t="str">
        <x:v>فرم مورد نیاز کوچ ساکی.docx::T16R2C1.3 | فرم مورد نیاز کوچ ساکی (1).docx::T16R2C1.3</x:v>
      </x:c>
      <x:c r="O309" s="39"/>
    </x:row>
    <x:row r="310">
      <x:c r="A310" s="34" t="str">
        <x:v>☐</x:v>
      </x:c>
      <x:c r="B310" s="34" t="str">
        <x:v>EX-0282</x:v>
      </x:c>
      <x:c r="C310" s="34" t="str">
        <x:v>ارتداد</x:v>
      </x:c>
      <x:c r="D310" s="34" t="str">
        <x:v>UNMAPPED</x:v>
      </x:c>
      <x:c r="E310" s="34" t="str">
        <x:v>76.9</x:v>
      </x:c>
      <x:c r="F310" s="34" t="str">
        <x:v>MI-1732</x:v>
      </x:c>
      <x:c r="G310" s="39" t="str">
        <x:v>استعداد</x:v>
      </x:c>
      <x:c r="H310" s="39" t="str">
        <x:v>H10</x:v>
      </x:c>
      <x:c r="I310" s="39" t="str">
        <x:v>P2</x:v>
      </x:c>
      <x:c r="J310" s="39" t="str">
        <x:v>H23</x:v>
      </x:c>
      <x:c r="K310" s="39" t="str">
        <x:v>نیازمند پالایش؛ حذف نشده</x:v>
      </x:c>
      <x:c r="L310" s="39"/>
      <x:c r="M310" s="39"/>
      <x:c r="N310" s="39" t="str">
        <x:v>فرم مورد نیاز کوچ ساکی.docx::T16R2C1.4 | فرم مورد نیاز کوچ ساکی (1).docx::T16R2C1.4</x:v>
      </x:c>
      <x:c r="O310" s="39"/>
    </x:row>
    <x:row r="311">
      <x:c r="A311" s="34" t="str">
        <x:v>☐</x:v>
      </x:c>
      <x:c r="B311" s="34" t="str">
        <x:v>EX-0283</x:v>
      </x:c>
      <x:c r="C311" s="34" t="str">
        <x:v>48 قانون قدرت</x:v>
      </x:c>
      <x:c r="D311" s="34" t="str">
        <x:v>POSSIBLE</x:v>
      </x:c>
      <x:c r="E311" s="34" t="str">
        <x:v>90.0</x:v>
      </x:c>
      <x:c r="F311" s="34" t="str">
        <x:v>MI-2083</x:v>
      </x:c>
      <x:c r="G311" s="39" t="str">
        <x:v>قدرت:</x:v>
      </x:c>
      <x:c r="H311" s="39" t="str">
        <x:v>H20</x:v>
      </x:c>
      <x:c r="I311" s="39" t="str">
        <x:v>P3/CLARIFY</x:v>
      </x:c>
      <x:c r="J311" s="39" t="str">
        <x:v>H20</x:v>
      </x:c>
      <x:c r="K311" s="39" t="str">
        <x:v>تطبیق احتمالی با پایه</x:v>
      </x:c>
      <x:c r="L311" s="39" t="str">
        <x:v>MI-2083</x:v>
      </x:c>
      <x:c r="M311" s="39" t="str">
        <x:v>قدرت:</x:v>
      </x:c>
      <x:c r="N311" s="39" t="str">
        <x:v>فرم مورد نیاز کوچ ساکی.docx::T16R2C1.5 | فرم مورد نیاز کوچ ساکی (1).docx::T16R2C1.5</x:v>
      </x:c>
      <x:c r="O311" s="39"/>
    </x:row>
    <x:row r="312">
      <x:c r="A312" s="34" t="str">
        <x:v>☐</x:v>
      </x:c>
      <x:c r="B312" s="34" t="str">
        <x:v>EX-0284</x:v>
      </x:c>
      <x:c r="C312" s="34" t="str">
        <x:v>قدرت سکوت</x:v>
      </x:c>
      <x:c r="D312" s="34" t="str">
        <x:v>POSSIBLE</x:v>
      </x:c>
      <x:c r="E312" s="34" t="str">
        <x:v>90.0</x:v>
      </x:c>
      <x:c r="F312" s="34" t="str">
        <x:v>MI-2083</x:v>
      </x:c>
      <x:c r="G312" s="39" t="str">
        <x:v>قدرت:</x:v>
      </x:c>
      <x:c r="H312" s="39" t="str">
        <x:v>H20</x:v>
      </x:c>
      <x:c r="I312" s="39" t="str">
        <x:v>P3/CLARIFY</x:v>
      </x:c>
      <x:c r="J312" s="39" t="str">
        <x:v>H20</x:v>
      </x:c>
      <x:c r="K312" s="39" t="str">
        <x:v>تطبیق احتمالی با پایه</x:v>
      </x:c>
      <x:c r="L312" s="39" t="str">
        <x:v>MI-2083</x:v>
      </x:c>
      <x:c r="M312" s="39" t="str">
        <x:v>قدرت:</x:v>
      </x:c>
      <x:c r="N312" s="39" t="str">
        <x:v>فرم مورد نیاز کوچ ساکی.docx::T16R2C1.6 | فرم مورد نیاز کوچ ساکی (1).docx::T16R2C1.6</x:v>
      </x:c>
      <x:c r="O312" s="39"/>
    </x:row>
    <x:row r="313">
      <x:c r="A313" s="34" t="str">
        <x:v>☐</x:v>
      </x:c>
      <x:c r="B313" s="34" t="str">
        <x:v>EX-0285</x:v>
      </x:c>
      <x:c r="C313" s="34" t="str">
        <x:v>بیست و 2</x:v>
      </x:c>
      <x:c r="D313" s="34" t="str">
        <x:v>POSSIBLE</x:v>
      </x:c>
      <x:c r="E313" s="34" t="str">
        <x:v>85.5</x:v>
      </x:c>
      <x:c r="F313" s="34" t="str">
        <x:v>MI-1513</x:v>
      </x:c>
      <x:c r="G313" s="39" t="str">
        <x:v>تولید و کارآفرینی: توانایی تولید محصول و خدمات و ایجاد شغل.</x:v>
      </x:c>
      <x:c r="H313" s="39" t="str">
        <x:v>H1</x:v>
      </x:c>
      <x:c r="I313" s="39" t="str">
        <x:v>P0</x:v>
      </x:c>
      <x:c r="J313" s="39" t="str">
        <x:v>H1</x:v>
      </x:c>
      <x:c r="K313" s="39" t="str">
        <x:v>تطبیق احتمالی با پایه</x:v>
      </x:c>
      <x:c r="L313" s="39" t="str">
        <x:v>MI-1513</x:v>
      </x:c>
      <x:c r="M313" s="39" t="str">
        <x:v>تولید و کارآفرینی: توانایی تولید محصول و خدمات و ایجاد شغل.</x:v>
      </x:c>
      <x:c r="N313" s="39" t="str">
        <x:v>فرم مورد نیاز کوچ ساکی.docx::T16R2C1.7 | فرم مورد نیاز کوچ ساکی (1).docx::T16R2C1.7</x:v>
      </x:c>
      <x:c r="O313" s="39"/>
    </x:row>
    <x:row r="314">
      <x:c r="A314" s="34" t="str">
        <x:v>☐</x:v>
      </x:c>
      <x:c r="B314" s="34" t="str">
        <x:v>EX-0286</x:v>
      </x:c>
      <x:c r="C314" s="34" t="str">
        <x:v>نَه</x:v>
      </x:c>
      <x:c r="D314" s="34" t="str">
        <x:v>POSSIBLE</x:v>
      </x:c>
      <x:c r="E314" s="34" t="str">
        <x:v>90.0</x:v>
      </x:c>
      <x:c r="F314" s="34" t="str">
        <x:v>MI-2812</x:v>
      </x:c>
      <x:c r="G314" s="39" t="str">
        <x:v>پیشنهاد شغل</x:v>
      </x:c>
      <x:c r="H314" s="39" t="str">
        <x:v>H3</x:v>
      </x:c>
      <x:c r="I314" s="39" t="str">
        <x:v>P3/CLARIFY</x:v>
      </x:c>
      <x:c r="J314" s="39" t="str">
        <x:v>H3</x:v>
      </x:c>
      <x:c r="K314" s="39" t="str">
        <x:v>تطبیق احتمالی با پایه</x:v>
      </x:c>
      <x:c r="L314" s="39" t="str">
        <x:v>MI-2812</x:v>
      </x:c>
      <x:c r="M314" s="39" t="str">
        <x:v>پیشنهاد شغل</x:v>
      </x:c>
      <x:c r="N314" s="39" t="str">
        <x:v>فرم مورد نیاز کوچ ساکی.docx::T16R2C1.8 | فرم مورد نیاز کوچ ساکی (1).docx::T16R2C1.8</x:v>
      </x:c>
      <x:c r="O314" s="39"/>
    </x:row>
    <x:row r="315">
      <x:c r="A315" s="34" t="str">
        <x:v>☐</x:v>
      </x:c>
      <x:c r="B315" s="34" t="str">
        <x:v>EX-0287</x:v>
      </x:c>
      <x:c r="C315" s="34" t="str">
        <x:v>ضاحیه</x:v>
      </x:c>
      <x:c r="D315" s="34" t="str">
        <x:v>UNMAPPED</x:v>
      </x:c>
      <x:c r="E315" s="34" t="str">
        <x:v>72.0</x:v>
      </x:c>
      <x:c r="F315" s="34" t="str">
        <x:v>MI-2455</x:v>
      </x:c>
      <x:c r="G315" s="39" t="str">
        <x:v>طراحی همایش های مسیله محور صنعتی</x:v>
      </x:c>
      <x:c r="H315" s="39" t="str">
        <x:v>H12</x:v>
      </x:c>
      <x:c r="I315" s="39" t="str">
        <x:v>P2</x:v>
      </x:c>
      <x:c r="J315" s="39" t="str">
        <x:v>H23</x:v>
      </x:c>
      <x:c r="K315" s="39" t="str">
        <x:v>نیازمند پالایش؛ حذف نشده</x:v>
      </x:c>
      <x:c r="L315" s="39"/>
      <x:c r="M315" s="39"/>
      <x:c r="N315" s="39" t="str">
        <x:v>فرم مورد نیاز کوچ ساکی.docx::T16R2C1.9 | فرم مورد نیاز کوچ ساکی (1).docx::T16R2C1.9</x:v>
      </x:c>
      <x:c r="O315" s="39"/>
    </x:row>
    <x:row r="316">
      <x:c r="A316" s="34" t="str">
        <x:v>☐</x:v>
      </x:c>
      <x:c r="B316" s="34" t="str">
        <x:v>EX-0288</x:v>
      </x:c>
      <x:c r="C316" s="34" t="str">
        <x:v>سیاست و حکمرانی در اسلام از دکتر شهید بهشتی</x:v>
      </x:c>
      <x:c r="D316" s="34" t="str">
        <x:v>POSSIBLE</x:v>
      </x:c>
      <x:c r="E316" s="34" t="str">
        <x:v>90.0</x:v>
      </x:c>
      <x:c r="F316" s="34" t="str">
        <x:v>MI-3079</x:v>
      </x:c>
      <x:c r="G316" s="39" t="str">
        <x:v>کتاب نیمه شب ده اثر فلورانس اسکاول شین کتاب اردیبهشت ارتداد 48 قانون قدرت قدرت سکوت بیست و 2 نَه ضاحیه سیاست و حکمرانی در اسلام از دکتر شهید بهشتی هنر حاضر جوابی بداهه گویی رمان های امنیتی سیاست و حکمرانی در اسلام از شهید بهشتی آنچه در اتاق اتفاق افتاد از جان بولتون</x:v>
      </x:c>
      <x:c r="H316" s="39" t="str">
        <x:v>H15</x:v>
      </x:c>
      <x:c r="I316" s="39" t="str">
        <x:v>BANK</x:v>
      </x:c>
      <x:c r="J316" s="39" t="str">
        <x:v>H15</x:v>
      </x:c>
      <x:c r="K316" s="39" t="str">
        <x:v>تطبیق احتمالی با پایه</x:v>
      </x:c>
      <x:c r="L316" s="39" t="str">
        <x:v>MI-3079</x:v>
      </x:c>
      <x:c r="M316" s="39" t="str">
        <x:v>کتاب نیمه شب ده اثر فلورانس اسکاول شین کتاب اردیبهشت ارتداد 48 قانون قدرت قدرت سکوت بیست و 2 نَه ضاحیه سیاست و حکمرانی در اسلام از دکتر شهید بهشتی هنر حاضر جوابی بداهه گویی رمان های امنیتی سیاست و حکمرانی در اسلام از شهید بهشتی آنچه در اتاق اتفاق افتاد از جان بولتون</x:v>
      </x:c>
      <x:c r="N316" s="39" t="str">
        <x:v>فرم مورد نیاز کوچ ساکی.docx::T16R2C1.10 | فرم مورد نیاز کوچ ساکی (1).docx::T16R2C1.10</x:v>
      </x:c>
      <x:c r="O316" s="39"/>
    </x:row>
    <x:row r="317">
      <x:c r="A317" s="34" t="str">
        <x:v>☐</x:v>
      </x:c>
      <x:c r="B317" s="34" t="str">
        <x:v>EX-0289</x:v>
      </x:c>
      <x:c r="C317" s="34" t="str">
        <x:v>هنر حاضر جوابی</x:v>
      </x:c>
      <x:c r="D317" s="34" t="str">
        <x:v>POSSIBLE</x:v>
      </x:c>
      <x:c r="E317" s="34" t="str">
        <x:v>85.5</x:v>
      </x:c>
      <x:c r="F317" s="34" t="str">
        <x:v>MI-3114</x:v>
      </x:c>
      <x:c r="G317" s="39" t="str">
        <x:v>اگر دیگران بخواهند در حال حاضر شغل شما را انتخاب کنند به آنها چه توصیه ای میکنید؟</x:v>
      </x:c>
      <x:c r="H317" s="39" t="str">
        <x:v>H3</x:v>
      </x:c>
      <x:c r="I317" s="39" t="str">
        <x:v>P3/CLARIFY</x:v>
      </x:c>
      <x:c r="J317" s="39" t="str">
        <x:v>H3</x:v>
      </x:c>
      <x:c r="K317" s="39" t="str">
        <x:v>تطبیق احتمالی با پایه</x:v>
      </x:c>
      <x:c r="L317" s="39" t="str">
        <x:v>MI-3114</x:v>
      </x:c>
      <x:c r="M317" s="39" t="str">
        <x:v>اگر دیگران بخواهند در حال حاضر شغل شما را انتخاب کنند به آنها چه توصیه ای میکنید؟</x:v>
      </x:c>
      <x:c r="N317" s="39" t="str">
        <x:v>فرم مورد نیاز کوچ ساکی.docx::T16R2C1.11 | فرم مورد نیاز کوچ ساکی (1).docx::T16R2C1.11</x:v>
      </x:c>
      <x:c r="O317" s="39"/>
    </x:row>
    <x:row r="318">
      <x:c r="A318" s="34" t="str">
        <x:v>☐</x:v>
      </x:c>
      <x:c r="B318" s="34" t="str">
        <x:v>EX-0290</x:v>
      </x:c>
      <x:c r="C318" s="34" t="str">
        <x:v>بداهه گویی</x:v>
      </x:c>
      <x:c r="D318" s="34" t="str">
        <x:v>UNMAPPED</x:v>
      </x:c>
      <x:c r="E318" s="34" t="str">
        <x:v>63.6</x:v>
      </x:c>
      <x:c r="F318" s="34" t="str">
        <x:v>MI-1482</x:v>
      </x:c>
      <x:c r="G318" s="39" t="str">
        <x:v>برنامه نویسی:</x:v>
      </x:c>
      <x:c r="H318" s="39" t="str">
        <x:v>H1</x:v>
      </x:c>
      <x:c r="I318" s="39" t="str">
        <x:v>P0</x:v>
      </x:c>
      <x:c r="J318" s="39" t="str">
        <x:v>H23</x:v>
      </x:c>
      <x:c r="K318" s="39" t="str">
        <x:v>نیازمند پالایش؛ حذف نشده</x:v>
      </x:c>
      <x:c r="L318" s="39"/>
      <x:c r="M318" s="39"/>
      <x:c r="N318" s="39" t="str">
        <x:v>فرم مورد نیاز کوچ ساکی.docx::T16R2C1.12 | فرم مورد نیاز کوچ ساکی (1).docx::T16R2C1.12</x:v>
      </x:c>
      <x:c r="O318" s="39"/>
    </x:row>
    <x:row r="319">
      <x:c r="A319" s="34" t="str">
        <x:v>☐</x:v>
      </x:c>
      <x:c r="B319" s="34" t="str">
        <x:v>EX-0291</x:v>
      </x:c>
      <x:c r="C319" s="34" t="str">
        <x:v>رمان های امنیتی</x:v>
      </x:c>
      <x:c r="D319" s="34" t="str">
        <x:v>POSSIBLE</x:v>
      </x:c>
      <x:c r="E319" s="34" t="str">
        <x:v>85.5</x:v>
      </x:c>
      <x:c r="F319" s="34" t="str">
        <x:v>MI-1501</x:v>
      </x:c>
      <x:c r="G319" s="39" t="str">
        <x:v>مدیریت ریسک: شناسایی ریسک ها، ارزیابی اثرات، تدوین برنامه های مقابله با ریسک ها.</x:v>
      </x:c>
      <x:c r="H319" s="39" t="str">
        <x:v>H1</x:v>
      </x:c>
      <x:c r="I319" s="39" t="str">
        <x:v>P0</x:v>
      </x:c>
      <x:c r="J319" s="39" t="str">
        <x:v>H1</x:v>
      </x:c>
      <x:c r="K319" s="39" t="str">
        <x:v>تطبیق احتمالی با پایه</x:v>
      </x:c>
      <x:c r="L319" s="39" t="str">
        <x:v>MI-1501</x:v>
      </x:c>
      <x:c r="M319" s="39" t="str">
        <x:v>مدیریت ریسک: شناسایی ریسک ها، ارزیابی اثرات، تدوین برنامه های مقابله با ریسک ها.</x:v>
      </x:c>
      <x:c r="N319" s="39" t="str">
        <x:v>فرم مورد نیاز کوچ ساکی.docx::T16R2C1.13</x:v>
      </x:c>
      <x:c r="O319" s="39"/>
    </x:row>
    <x:row r="320">
      <x:c r="A320" s="34" t="str">
        <x:v>☐</x:v>
      </x:c>
      <x:c r="B320" s="34" t="str">
        <x:v>EX-0292</x:v>
      </x:c>
      <x:c r="C320" s="34" t="str">
        <x:v>سیاست و حکمرانی در اسلام از شهید بهشتی</x:v>
      </x:c>
      <x:c r="D320" s="34" t="str">
        <x:v>POSSIBLE</x:v>
      </x:c>
      <x:c r="E320" s="34" t="str">
        <x:v>90.0</x:v>
      </x:c>
      <x:c r="F320" s="34" t="str">
        <x:v>MI-3079</x:v>
      </x:c>
      <x:c r="G320" s="39" t="str">
        <x:v>کتاب نیمه شب ده اثر فلورانس اسکاول شین کتاب اردیبهشت ارتداد 48 قانون قدرت قدرت سکوت بیست و 2 نَه ضاحیه سیاست و حکمرانی در اسلام از دکتر شهید بهشتی هنر حاضر جوابی بداهه گویی رمان های امنیتی سیاست و حکمرانی در اسلام از شهید بهشتی آنچه در اتاق اتفاق افتاد از جان بولتون</x:v>
      </x:c>
      <x:c r="H320" s="39" t="str">
        <x:v>H15</x:v>
      </x:c>
      <x:c r="I320" s="39" t="str">
        <x:v>BANK</x:v>
      </x:c>
      <x:c r="J320" s="39" t="str">
        <x:v>H15</x:v>
      </x:c>
      <x:c r="K320" s="39" t="str">
        <x:v>تطبیق احتمالی با پایه</x:v>
      </x:c>
      <x:c r="L320" s="39" t="str">
        <x:v>MI-3079</x:v>
      </x:c>
      <x:c r="M320" s="39" t="str">
        <x:v>کتاب نیمه شب ده اثر فلورانس اسکاول شین کتاب اردیبهشت ارتداد 48 قانون قدرت قدرت سکوت بیست و 2 نَه ضاحیه سیاست و حکمرانی در اسلام از دکتر شهید بهشتی هنر حاضر جوابی بداهه گویی رمان های امنیتی سیاست و حکمرانی در اسلام از شهید بهشتی آنچه در اتاق اتفاق افتاد از جان بولتون</x:v>
      </x:c>
      <x:c r="N320" s="39" t="str">
        <x:v>فرم مورد نیاز کوچ ساکی.docx::T16R2C1.14</x:v>
      </x:c>
      <x:c r="O320" s="39"/>
    </x:row>
    <x:row r="321">
      <x:c r="A321" s="34" t="str">
        <x:v>☐</x:v>
      </x:c>
      <x:c r="B321" s="34" t="str">
        <x:v>EX-0293</x:v>
      </x:c>
      <x:c r="C321" s="34" t="str">
        <x:v>آنچه در اتاق اتفاق افتاد از جان بولتون</x:v>
      </x:c>
      <x:c r="D321" s="34" t="str">
        <x:v>POSSIBLE</x:v>
      </x:c>
      <x:c r="E321" s="34" t="str">
        <x:v>90.0</x:v>
      </x:c>
      <x:c r="F321" s="34" t="str">
        <x:v>MI-3079</x:v>
      </x:c>
      <x:c r="G321" s="39" t="str">
        <x:v>کتاب نیمه شب ده اثر فلورانس اسکاول شین کتاب اردیبهشت ارتداد 48 قانون قدرت قدرت سکوت بیست و 2 نَه ضاحیه سیاست و حکمرانی در اسلام از دکتر شهید بهشتی هنر حاضر جوابی بداهه گویی رمان های امنیتی سیاست و حکمرانی در اسلام از شهید بهشتی آنچه در اتاق اتفاق افتاد از جان بولتون</x:v>
      </x:c>
      <x:c r="H321" s="39" t="str">
        <x:v>H15</x:v>
      </x:c>
      <x:c r="I321" s="39" t="str">
        <x:v>BANK</x:v>
      </x:c>
      <x:c r="J321" s="39" t="str">
        <x:v>H15</x:v>
      </x:c>
      <x:c r="K321" s="39" t="str">
        <x:v>تطبیق احتمالی با پایه</x:v>
      </x:c>
      <x:c r="L321" s="39" t="str">
        <x:v>MI-3079</x:v>
      </x:c>
      <x:c r="M321" s="39" t="str">
        <x:v>کتاب نیمه شب ده اثر فلورانس اسکاول شین کتاب اردیبهشت ارتداد 48 قانون قدرت قدرت سکوت بیست و 2 نَه ضاحیه سیاست و حکمرانی در اسلام از دکتر شهید بهشتی هنر حاضر جوابی بداهه گویی رمان های امنیتی سیاست و حکمرانی در اسلام از شهید بهشتی آنچه در اتاق اتفاق افتاد از جان بولتون</x:v>
      </x:c>
      <x:c r="N321" s="39" t="str">
        <x:v>فرم مورد نیاز کوچ ساکی.docx::T16R2C1.15</x:v>
      </x:c>
      <x:c r="O321" s="39"/>
    </x:row>
    <x:row r="322">
      <x:c r="A322" s="34" t="str">
        <x:v>☐</x:v>
      </x:c>
      <x:c r="B322" s="34" t="str">
        <x:v>EX-0294</x:v>
      </x:c>
      <x:c r="C322" s="34" t="str">
        <x:v>چه ژانر فیلم هایی را دوست دارید ببیند؟ و چرا؟</x:v>
      </x:c>
      <x:c r="D322" s="34" t="str">
        <x:v>POSSIBLE</x:v>
      </x:c>
      <x:c r="E322" s="34" t="str">
        <x:v>85.5</x:v>
      </x:c>
      <x:c r="F322" s="34" t="str">
        <x:v>MI-0029</x:v>
      </x:c>
      <x:c r="G322" s="39" t="str">
        <x:v>تدریس ریاضی و فیزیک</x:v>
      </x:c>
      <x:c r="H322" s="39" t="str">
        <x:v>H1</x:v>
      </x:c>
      <x:c r="I322" s="39" t="str">
        <x:v>P0</x:v>
      </x:c>
      <x:c r="J322" s="39" t="str">
        <x:v>H1</x:v>
      </x:c>
      <x:c r="K322" s="39" t="str">
        <x:v>تطبیق احتمالی با پایه</x:v>
      </x:c>
      <x:c r="L322" s="39" t="str">
        <x:v>MI-0029</x:v>
      </x:c>
      <x:c r="M322" s="39" t="str">
        <x:v>تدریس ریاضی و فیزیک</x:v>
      </x:c>
      <x:c r="N322" s="39" t="str">
        <x:v>فرم مورد نیاز کوچ ساکی.docx::T17R1C1.1 | فرم مورد نیاز کوچ ساکی (1).docx::T17R1C1.1</x:v>
      </x:c>
      <x:c r="O322" s="39"/>
    </x:row>
    <x:row r="323">
      <x:c r="A323" s="34" t="str">
        <x:v>☐</x:v>
      </x:c>
      <x:c r="B323" s="34" t="str">
        <x:v>EX-0295</x:v>
      </x:c>
      <x:c r="C323" s="34" t="str">
        <x:v>ژانر های هیجان انگیز</x:v>
      </x:c>
      <x:c r="D323" s="34" t="str">
        <x:v>POSSIBLE</x:v>
      </x:c>
      <x:c r="E323" s="34" t="str">
        <x:v>85.5</x:v>
      </x:c>
      <x:c r="F323" s="34" t="str">
        <x:v>MI-1501</x:v>
      </x:c>
      <x:c r="G323" s="39" t="str">
        <x:v>مدیریت ریسک: شناسایی ریسک ها، ارزیابی اثرات، تدوین برنامه های مقابله با ریسک ها.</x:v>
      </x:c>
      <x:c r="H323" s="39" t="str">
        <x:v>H1</x:v>
      </x:c>
      <x:c r="I323" s="39" t="str">
        <x:v>P0</x:v>
      </x:c>
      <x:c r="J323" s="39" t="str">
        <x:v>H1</x:v>
      </x:c>
      <x:c r="K323" s="39" t="str">
        <x:v>تطبیق احتمالی با پایه</x:v>
      </x:c>
      <x:c r="L323" s="39" t="str">
        <x:v>MI-1501</x:v>
      </x:c>
      <x:c r="M323" s="39" t="str">
        <x:v>مدیریت ریسک: شناسایی ریسک ها، ارزیابی اثرات، تدوین برنامه های مقابله با ریسک ها.</x:v>
      </x:c>
      <x:c r="N323" s="39" t="str">
        <x:v>فرم مورد نیاز کوچ ساکی.docx::T17R2C1.1 | فرم مورد نیاز کوچ ساکی (1).docx::T17R2C1.1</x:v>
      </x:c>
      <x:c r="O323" s="39"/>
    </x:row>
    <x:row r="324">
      <x:c r="A324" s="34" t="str">
        <x:v>☐</x:v>
      </x:c>
      <x:c r="B324" s="34" t="str">
        <x:v>EX-0296</x:v>
      </x:c>
      <x:c r="C324" s="34" t="str">
        <x:v>اکشن</x:v>
      </x:c>
      <x:c r="D324" s="34" t="str">
        <x:v>UNMAPPED</x:v>
      </x:c>
      <x:c r="E324" s="34" t="str">
        <x:v>77.1</x:v>
      </x:c>
      <x:c r="F324" s="34" t="str">
        <x:v>MI-0313</x:v>
      </x:c>
      <x:c r="G324" s="39" t="str">
        <x:v>بقیه اهمیت نداشته باشن</x:v>
      </x:c>
      <x:c r="H324" s="39" t="str">
        <x:v>H23</x:v>
      </x:c>
      <x:c r="I324" s="39" t="str">
        <x:v>P3/CLARIFY</x:v>
      </x:c>
      <x:c r="J324" s="39" t="str">
        <x:v>H23</x:v>
      </x:c>
      <x:c r="K324" s="39" t="str">
        <x:v>نیازمند پالایش؛ حذف نشده</x:v>
      </x:c>
      <x:c r="L324" s="39"/>
      <x:c r="M324" s="39"/>
      <x:c r="N324" s="39" t="str">
        <x:v>فرم مورد نیاز کوچ ساکی.docx::T17R2C1.2 | فرم مورد نیاز کوچ ساکی (1).docx::T17R2C1.2</x:v>
      </x:c>
      <x:c r="O324" s="39"/>
    </x:row>
    <x:row r="325">
      <x:c r="A325" s="34" t="str">
        <x:v>☐</x:v>
      </x:c>
      <x:c r="B325" s="34" t="str">
        <x:v>EX-0297</x:v>
      </x:c>
      <x:c r="C325" s="34" t="str">
        <x:v>درام</x:v>
      </x:c>
      <x:c r="D325" s="34" t="str">
        <x:v>POSSIBLE</x:v>
      </x:c>
      <x:c r="E325" s="34" t="str">
        <x:v>90.0</x:v>
      </x:c>
      <x:c r="F325" s="34" t="str">
        <x:v>MI-0442</x:v>
      </x:c>
      <x:c r="G325" s="39" t="str">
        <x:v>درِامد شیخ جیکاک</x:v>
      </x:c>
      <x:c r="H325" s="39" t="str">
        <x:v>H18</x:v>
      </x:c>
      <x:c r="I325" s="39" t="str">
        <x:v>BANK</x:v>
      </x:c>
      <x:c r="J325" s="39" t="str">
        <x:v>H18</x:v>
      </x:c>
      <x:c r="K325" s="39" t="str">
        <x:v>تطبیق احتمالی با پایه</x:v>
      </x:c>
      <x:c r="L325" s="39" t="str">
        <x:v>MI-0442</x:v>
      </x:c>
      <x:c r="M325" s="39" t="str">
        <x:v>درِامد شیخ جیکاک</x:v>
      </x:c>
      <x:c r="N325" s="39" t="str">
        <x:v>فرم مورد نیاز کوچ ساکی.docx::T17R2C1.3 | فرم مورد نیاز کوچ ساکی (1).docx::T17R2C1.3</x:v>
      </x:c>
      <x:c r="O325" s="39"/>
    </x:row>
    <x:row r="326">
      <x:c r="A326" s="34" t="str">
        <x:v>☐</x:v>
      </x:c>
      <x:c r="B326" s="34" t="str">
        <x:v>EX-0298</x:v>
      </x:c>
      <x:c r="C326" s="34" t="str">
        <x:v>رازآلود</x:v>
      </x:c>
      <x:c r="D326" s="34" t="str">
        <x:v>UNMAPPED</x:v>
      </x:c>
      <x:c r="E326" s="34" t="str">
        <x:v>60.0</x:v>
      </x:c>
      <x:c r="F326" s="34" t="str">
        <x:v>MI-0634</x:v>
      </x:c>
      <x:c r="G326" s="39" t="str">
        <x:v>سراج</x:v>
      </x:c>
      <x:c r="H326" s="39" t="str">
        <x:v>H14</x:v>
      </x:c>
      <x:c r="I326" s="39" t="str">
        <x:v>P3</x:v>
      </x:c>
      <x:c r="J326" s="39" t="str">
        <x:v>H23</x:v>
      </x:c>
      <x:c r="K326" s="39" t="str">
        <x:v>نیازمند پالایش؛ حذف نشده</x:v>
      </x:c>
      <x:c r="L326" s="39"/>
      <x:c r="M326" s="39"/>
      <x:c r="N326" s="39" t="str">
        <x:v>فرم مورد نیاز کوچ ساکی.docx::T17R2C1.4 | فرم مورد نیاز کوچ ساکی (1).docx::T17R2C1.4</x:v>
      </x:c>
      <x:c r="O326" s="39"/>
    </x:row>
    <x:row r="327">
      <x:c r="A327" s="34" t="str">
        <x:v>☐</x:v>
      </x:c>
      <x:c r="B327" s="34" t="str">
        <x:v>EX-0299</x:v>
      </x:c>
      <x:c r="C327" s="34" t="str">
        <x:v>ماجراجویی</x:v>
      </x:c>
      <x:c r="D327" s="34" t="str">
        <x:v>UNMAPPED</x:v>
      </x:c>
      <x:c r="E327" s="34" t="str">
        <x:v>72.0</x:v>
      </x:c>
      <x:c r="F327" s="34" t="str">
        <x:v>MI-0490</x:v>
      </x:c>
      <x:c r="G327" s="39" t="str">
        <x:v>ماجرای کوی دانشگاه</x:v>
      </x:c>
      <x:c r="H327" s="39" t="str">
        <x:v>H18</x:v>
      </x:c>
      <x:c r="I327" s="39" t="str">
        <x:v>BANK</x:v>
      </x:c>
      <x:c r="J327" s="39" t="str">
        <x:v>H23</x:v>
      </x:c>
      <x:c r="K327" s="39" t="str">
        <x:v>نیازمند پالایش؛ حذف نشده</x:v>
      </x:c>
      <x:c r="L327" s="39"/>
      <x:c r="M327" s="39"/>
      <x:c r="N327" s="39" t="str">
        <x:v>فرم مورد نیاز کوچ ساکی.docx::T17R2C1.5 | فرم مورد نیاز کوچ ساکی (1).docx::T17R2C1.5</x:v>
      </x:c>
      <x:c r="O327" s="39"/>
    </x:row>
    <x:row r="328">
      <x:c r="A328" s="34" t="str">
        <x:v>☐</x:v>
      </x:c>
      <x:c r="B328" s="34" t="str">
        <x:v>EX-0300</x:v>
      </x:c>
      <x:c r="C328" s="34" t="str">
        <x:v>بیوگرافی</x:v>
      </x:c>
      <x:c r="D328" s="34" t="str">
        <x:v>UNMAPPED</x:v>
      </x:c>
      <x:c r="E328" s="34" t="str">
        <x:v>67.5</x:v>
      </x:c>
      <x:c r="F328" s="34" t="str">
        <x:v>MI-0383</x:v>
      </x:c>
      <x:c r="G328" s="39" t="str">
        <x:v>قذافی</x:v>
      </x:c>
      <x:c r="H328" s="39" t="str">
        <x:v>H18</x:v>
      </x:c>
      <x:c r="I328" s="39" t="str">
        <x:v>BANK</x:v>
      </x:c>
      <x:c r="J328" s="39" t="str">
        <x:v>H23</x:v>
      </x:c>
      <x:c r="K328" s="39" t="str">
        <x:v>نیازمند پالایش؛ حذف نشده</x:v>
      </x:c>
      <x:c r="L328" s="39"/>
      <x:c r="M328" s="39"/>
      <x:c r="N328" s="39" t="str">
        <x:v>فرم مورد نیاز کوچ ساکی.docx::T17R2C1.6 | فرم مورد نیاز کوچ ساکی (1).docx::T17R2C1.6</x:v>
      </x:c>
      <x:c r="O328" s="39"/>
    </x:row>
    <x:row r="329">
      <x:c r="A329" s="34" t="str">
        <x:v>☐</x:v>
      </x:c>
      <x:c r="B329" s="34" t="str">
        <x:v>EX-0301</x:v>
      </x:c>
      <x:c r="C329" s="34" t="str">
        <x:v>انیمیشن</x:v>
      </x:c>
      <x:c r="D329" s="34" t="str">
        <x:v>UNMAPPED</x:v>
      </x:c>
      <x:c r="E329" s="34" t="str">
        <x:v>67.5</x:v>
      </x:c>
      <x:c r="F329" s="34" t="str">
        <x:v>MI-1173</x:v>
      </x:c>
      <x:c r="G329" s="39" t="str">
        <x:v>معین</x:v>
      </x:c>
      <x:c r="H329" s="39" t="str">
        <x:v>H11</x:v>
      </x:c>
      <x:c r="I329" s="39" t="str">
        <x:v>DELEGATE/P2</x:v>
      </x:c>
      <x:c r="J329" s="39" t="str">
        <x:v>H23</x:v>
      </x:c>
      <x:c r="K329" s="39" t="str">
        <x:v>نیازمند پالایش؛ حذف نشده</x:v>
      </x:c>
      <x:c r="L329" s="39"/>
      <x:c r="M329" s="39"/>
      <x:c r="N329" s="39" t="str">
        <x:v>فرم مورد نیاز کوچ ساکی.docx::T17R2C1.7 | فرم مورد نیاز کوچ ساکی (1).docx::T17R2C1.7</x:v>
      </x:c>
      <x:c r="O329" s="39"/>
    </x:row>
    <x:row r="330">
      <x:c r="A330" s="34" t="str">
        <x:v>☐</x:v>
      </x:c>
      <x:c r="B330" s="34" t="str">
        <x:v>EX-0302</x:v>
      </x:c>
      <x:c r="C330" s="34" t="str">
        <x:v>دوست دارم که خودم رو جای اون شخصیت تصور کنم، از چالش های پیش روش البته نزدیک با واقعیت ها رو</x:v>
      </x:c>
      <x:c r="D330" s="34" t="str">
        <x:v>POSSIBLE</x:v>
      </x:c>
      <x:c r="E330" s="34" t="str">
        <x:v>90.0</x:v>
      </x:c>
      <x:c r="F330" s="34" t="str">
        <x:v>MI-3080</x:v>
      </x:c>
      <x:c r="G330" s="39" t="str">
        <x:v>ژانر های هیجان انگیز اکشن درام رازآلود ماجراجویی بیوگرافی انیمیشن دوست دارم که خودم رو جای اون شخصیت تصور کنم، از چالش های پیش روش البته نزدیک با واقعیت ها رو 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 اکشن هم چاشنی هیجانه البته زیاد نه سریال هایی که فرد با چالش خطر مواجه هست ، فکر میکنه ، درجا تصمیم و اجرا میکنه برام جذابه، و اینکه تحسین رو به دنبال خودش میاره.</x:v>
      </x:c>
      <x:c r="H330" s="39" t="str">
        <x:v>H14</x:v>
      </x:c>
      <x:c r="I330" s="39" t="str">
        <x:v>P3</x:v>
      </x:c>
      <x:c r="J330" s="39" t="str">
        <x:v>H14</x:v>
      </x:c>
      <x:c r="K330" s="39" t="str">
        <x:v>تطبیق احتمالی با پایه</x:v>
      </x:c>
      <x:c r="L330" s="39" t="str">
        <x:v>MI-3080</x:v>
      </x:c>
      <x:c r="M330" s="39" t="str">
        <x:v>ژانر های هیجان انگیز اکشن درام رازآلود ماجراجویی بیوگرافی انیمیشن دوست دارم که خودم رو جای اون شخصیت تصور کنم، از چالش های پیش روش البته نزدیک با واقعیت ها رو 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 اکشن هم چاشنی هیجانه البته زیاد نه سریال هایی که فرد با چالش خطر مواجه هست ، فکر میکنه ، درجا تصمیم و اجرا میکنه برام جذابه، و اینکه تحسین رو به دنبال خودش میاره.</x:v>
      </x:c>
      <x:c r="N330" s="39" t="str">
        <x:v>فرم مورد نیاز کوچ ساکی.docx::T17R2C1.8 | فرم مورد نیاز کوچ ساکی (1).docx::T17R2C1.8</x:v>
      </x:c>
      <x:c r="O330" s="39"/>
    </x:row>
    <x:row r="331">
      <x:c r="A331" s="34" t="str">
        <x:v>☐</x:v>
      </x:c>
      <x:c r="B331" s="34" t="str">
        <x:v>EX-0303</x:v>
      </x:c>
      <x:c r="C331" s="34" t="str">
        <x:v>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x:v>
      </x:c>
      <x:c r="D331" s="34" t="str">
        <x:v>POSSIBLE</x:v>
      </x:c>
      <x:c r="E331" s="34" t="str">
        <x:v>90.0</x:v>
      </x:c>
      <x:c r="F331" s="34" t="str">
        <x:v>MI-3080</x:v>
      </x:c>
      <x:c r="G331" s="39" t="str">
        <x:v>ژانر های هیجان انگیز اکشن درام رازآلود ماجراجویی بیوگرافی انیمیشن دوست دارم که خودم رو جای اون شخصیت تصور کنم، از چالش های پیش روش البته نزدیک با واقعیت ها رو 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 اکشن هم چاشنی هیجانه البته زیاد نه سریال هایی که فرد با چالش خطر مواجه هست ، فکر میکنه ، درجا تصمیم و اجرا میکنه برام جذابه، و اینکه تحسین رو به دنبال خودش میاره.</x:v>
      </x:c>
      <x:c r="H331" s="39" t="str">
        <x:v>H14</x:v>
      </x:c>
      <x:c r="I331" s="39" t="str">
        <x:v>P3</x:v>
      </x:c>
      <x:c r="J331" s="39" t="str">
        <x:v>H14</x:v>
      </x:c>
      <x:c r="K331" s="39" t="str">
        <x:v>تطبیق احتمالی با پایه</x:v>
      </x:c>
      <x:c r="L331" s="39" t="str">
        <x:v>MI-3080</x:v>
      </x:c>
      <x:c r="M331" s="39" t="str">
        <x:v>ژانر های هیجان انگیز اکشن درام رازآلود ماجراجویی بیوگرافی انیمیشن دوست دارم که خودم رو جای اون شخصیت تصور کنم، از چالش های پیش روش البته نزدیک با واقعیت ها رو 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 اکشن هم چاشنی هیجانه البته زیاد نه سریال هایی که فرد با چالش خطر مواجه هست ، فکر میکنه ، درجا تصمیم و اجرا میکنه برام جذابه، و اینکه تحسین رو به دنبال خودش میاره.</x:v>
      </x:c>
      <x:c r="N331" s="39" t="str">
        <x:v>فرم مورد نیاز کوچ ساکی.docx::T17R2C1.9 | فرم مورد نیاز کوچ ساکی (1).docx::T17R2C1.9</x:v>
      </x:c>
      <x:c r="O331" s="39"/>
    </x:row>
    <x:row r="332">
      <x:c r="A332" s="34" t="str">
        <x:v>☐</x:v>
      </x:c>
      <x:c r="B332" s="34" t="str">
        <x:v>EX-0304</x:v>
      </x:c>
      <x:c r="C332" s="34" t="str">
        <x:v>اکشن هم چاشنی هیجانه البته زیاد نه</x:v>
      </x:c>
      <x:c r="D332" s="34" t="str">
        <x:v>POSSIBLE</x:v>
      </x:c>
      <x:c r="E332" s="34" t="str">
        <x:v>85.5</x:v>
      </x:c>
      <x:c r="F332" s="34" t="str">
        <x:v>MI-3098</x:v>
      </x:c>
      <x:c r="G332" s="39" t="str">
        <x:v>حتی وقتی خسته هستید یا استرس دارید، باز هم دوست دارید چه کاری رو انجام دهید؟</x:v>
      </x:c>
      <x:c r="H332" s="39" t="str">
        <x:v>H1</x:v>
      </x:c>
      <x:c r="I332" s="39" t="str">
        <x:v>P0</x:v>
      </x:c>
      <x:c r="J332" s="39" t="str">
        <x:v>H1</x:v>
      </x:c>
      <x:c r="K332" s="39" t="str">
        <x:v>تطبیق احتمالی با پایه</x:v>
      </x:c>
      <x:c r="L332" s="39" t="str">
        <x:v>MI-3098</x:v>
      </x:c>
      <x:c r="M332" s="39" t="str">
        <x:v>حتی وقتی خسته هستید یا استرس دارید، باز هم دوست دارید چه کاری رو انجام دهید؟</x:v>
      </x:c>
      <x:c r="N332" s="39" t="str">
        <x:v>فرم مورد نیاز کوچ ساکی.docx::T17R2C1.10 | فرم مورد نیاز کوچ ساکی (1).docx::T17R2C1.10</x:v>
      </x:c>
      <x:c r="O332" s="39"/>
    </x:row>
    <x:row r="333">
      <x:c r="A333" s="34" t="str">
        <x:v>☐</x:v>
      </x:c>
      <x:c r="B333" s="34" t="str">
        <x:v>EX-0305</x:v>
      </x:c>
      <x:c r="C333" s="34" t="str">
        <x:v>سریال هایی که فرد با چالش خطر مواجه هست ، فکر میکنه ، درجا تصمیم و اجرا میکنه برام جذابه، و اینکه تحسین رو به دنبال خودش میاره.</x:v>
      </x:c>
      <x:c r="D333" s="34" t="str">
        <x:v>POSSIBLE</x:v>
      </x:c>
      <x:c r="E333" s="34" t="str">
        <x:v>90.0</x:v>
      </x:c>
      <x:c r="F333" s="34" t="str">
        <x:v>MI-3080</x:v>
      </x:c>
      <x:c r="G333" s="39" t="str">
        <x:v>ژانر های هیجان انگیز اکشن درام رازآلود ماجراجویی بیوگرافی انیمیشن دوست دارم که خودم رو جای اون شخصیت تصور کنم، از چالش های پیش روش البته نزدیک با واقعیت ها رو 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 اکشن هم چاشنی هیجانه البته زیاد نه سریال هایی که فرد با چالش خطر مواجه هست ، فکر میکنه ، درجا تصمیم و اجرا میکنه برام جذابه، و اینکه تحسین رو به دنبال خودش میاره.</x:v>
      </x:c>
      <x:c r="H333" s="39" t="str">
        <x:v>H14</x:v>
      </x:c>
      <x:c r="I333" s="39" t="str">
        <x:v>P3</x:v>
      </x:c>
      <x:c r="J333" s="39" t="str">
        <x:v>H14</x:v>
      </x:c>
      <x:c r="K333" s="39" t="str">
        <x:v>تطبیق احتمالی با پایه</x:v>
      </x:c>
      <x:c r="L333" s="39" t="str">
        <x:v>MI-3080</x:v>
      </x:c>
      <x:c r="M333" s="39" t="str">
        <x:v>ژانر های هیجان انگیز اکشن درام رازآلود ماجراجویی بیوگرافی انیمیشن دوست دارم که خودم رو جای اون شخصیت تصور کنم، از چالش های پیش روش البته نزدیک با واقعیت ها رو 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 اکشن هم چاشنی هیجانه البته زیاد نه سریال هایی که فرد با چالش خطر مواجه هست ، فکر میکنه ، درجا تصمیم و اجرا میکنه برام جذابه، و اینکه تحسین رو به دنبال خودش میاره.</x:v>
      </x:c>
      <x:c r="N333" s="39" t="str">
        <x:v>فرم مورد نیاز کوچ ساکی.docx::T17R2C1.11 | فرم مورد نیاز کوچ ساکی (1).docx::T17R2C1.11</x:v>
      </x:c>
      <x:c r="O333" s="39"/>
    </x:row>
    <x:row r="334">
      <x:c r="A334" s="34" t="str">
        <x:v>☐</x:v>
      </x:c>
      <x:c r="B334" s="34" t="str">
        <x:v>EX-0306</x:v>
      </x:c>
      <x:c r="C334" s="34" t="str">
        <x:v>معمولا چه آهنگ هایی گوش می کنید و چرا؟</x:v>
      </x:c>
      <x:c r="D334" s="34" t="str">
        <x:v>POSSIBLE</x:v>
      </x:c>
      <x:c r="E334" s="34" t="str">
        <x:v>85.5</x:v>
      </x:c>
      <x:c r="F334" s="34" t="str">
        <x:v>MI-1513</x:v>
      </x:c>
      <x:c r="G334" s="39" t="str">
        <x:v>تولید و کارآفرینی: توانایی تولید محصول و خدمات و ایجاد شغل.</x:v>
      </x:c>
      <x:c r="H334" s="39" t="str">
        <x:v>H1</x:v>
      </x:c>
      <x:c r="I334" s="39" t="str">
        <x:v>P0</x:v>
      </x:c>
      <x:c r="J334" s="39" t="str">
        <x:v>H1</x:v>
      </x:c>
      <x:c r="K334" s="39" t="str">
        <x:v>تطبیق احتمالی با پایه</x:v>
      </x:c>
      <x:c r="L334" s="39" t="str">
        <x:v>MI-1513</x:v>
      </x:c>
      <x:c r="M334" s="39" t="str">
        <x:v>تولید و کارآفرینی: توانایی تولید محصول و خدمات و ایجاد شغل.</x:v>
      </x:c>
      <x:c r="N334" s="39" t="str">
        <x:v>فرم مورد نیاز کوچ ساکی.docx::T18R1C1.1 | فرم مورد نیاز کوچ ساکی (1).docx::T18R1C1.1</x:v>
      </x:c>
      <x:c r="O334" s="39"/>
    </x:row>
    <x:row r="335">
      <x:c r="A335" s="34" t="str">
        <x:v>☐</x:v>
      </x:c>
      <x:c r="B335" s="34" t="str">
        <x:v>EX-0307</x:v>
      </x:c>
      <x:c r="C335" s="34" t="str">
        <x:v>چقدر به زبان های دیگر مسلط هستید؟ به چه زبانی؟</x:v>
      </x:c>
      <x:c r="D335" s="34" t="str">
        <x:v>POSSIBLE</x:v>
      </x:c>
      <x:c r="E335" s="34" t="str">
        <x:v>85.5</x:v>
      </x:c>
      <x:c r="F335" s="34" t="str">
        <x:v>MI-1501</x:v>
      </x:c>
      <x:c r="G335" s="39" t="str">
        <x:v>مدیریت ریسک: شناسایی ریسک ها، ارزیابی اثرات، تدوین برنامه های مقابله با ریسک ها.</x:v>
      </x:c>
      <x:c r="H335" s="39" t="str">
        <x:v>H1</x:v>
      </x:c>
      <x:c r="I335" s="39" t="str">
        <x:v>P0</x:v>
      </x:c>
      <x:c r="J335" s="39" t="str">
        <x:v>H1</x:v>
      </x:c>
      <x:c r="K335" s="39" t="str">
        <x:v>تطبیق احتمالی با پایه</x:v>
      </x:c>
      <x:c r="L335" s="39" t="str">
        <x:v>MI-1501</x:v>
      </x:c>
      <x:c r="M335" s="39" t="str">
        <x:v>مدیریت ریسک: شناسایی ریسک ها، ارزیابی اثرات، تدوین برنامه های مقابله با ریسک ها.</x:v>
      </x:c>
      <x:c r="N335" s="39" t="str">
        <x:v>فرم مورد نیاز کوچ ساکی.docx::T19R1C1.1 | فرم مورد نیاز کوچ ساکی (1).docx::T19R1C1.1</x:v>
      </x:c>
      <x:c r="O335" s="39"/>
    </x:row>
    <x:row r="336">
      <x:c r="A336" s="34" t="str">
        <x:v>☐</x:v>
      </x:c>
      <x:c r="B336" s="34" t="str">
        <x:v>EX-0308</x:v>
      </x:c>
      <x:c r="C336" s="34" t="str">
        <x:v>به زبان انگلیسی در حد معمولی</x:v>
      </x:c>
      <x:c r="D336" s="34" t="str">
        <x:v>POSSIBLE</x:v>
      </x:c>
      <x:c r="E336" s="34" t="str">
        <x:v>90.0</x:v>
      </x:c>
      <x:c r="F336" s="34" t="str">
        <x:v>MI-3082</x:v>
      </x:c>
      <x:c r="G336" s="39" t="str">
        <x:v>به زبان انگلیسی در حد معمولی به زبان لری متوسط (: به عربی هم خیییلی دست و پا شکسته</x:v>
      </x:c>
      <x:c r="H336" s="39" t="str">
        <x:v>H5</x:v>
      </x:c>
      <x:c r="I336" s="39" t="str">
        <x:v>P1</x:v>
      </x:c>
      <x:c r="J336" s="39" t="str">
        <x:v>H5</x:v>
      </x:c>
      <x:c r="K336" s="39" t="str">
        <x:v>تطبیق احتمالی با پایه</x:v>
      </x:c>
      <x:c r="L336" s="39" t="str">
        <x:v>MI-3082</x:v>
      </x:c>
      <x:c r="M336" s="39" t="str">
        <x:v>به زبان انگلیسی در حد معمولی به زبان لری متوسط (: به عربی هم خیییلی دست و پا شکسته</x:v>
      </x:c>
      <x:c r="N336" s="39" t="str">
        <x:v>فرم مورد نیاز کوچ ساکی.docx::T19R2C1.1 | فرم مورد نیاز کوچ ساکی (1).docx::T19R2C1.1</x:v>
      </x:c>
      <x:c r="O336" s="39"/>
    </x:row>
    <x:row r="337">
      <x:c r="A337" s="34" t="str">
        <x:v>☐</x:v>
      </x:c>
      <x:c r="B337" s="34" t="str">
        <x:v>EX-0309</x:v>
      </x:c>
      <x:c r="C337" s="34" t="str">
        <x:v>به زبان لری متوسط (:</x:v>
      </x:c>
      <x:c r="D337" s="34" t="str">
        <x:v>POSSIBLE</x:v>
      </x:c>
      <x:c r="E337" s="34" t="str">
        <x:v>90.0</x:v>
      </x:c>
      <x:c r="F337" s="34" t="str">
        <x:v>MI-3082</x:v>
      </x:c>
      <x:c r="G337" s="39" t="str">
        <x:v>به زبان انگلیسی در حد معمولی به زبان لری متوسط (: به عربی هم خیییلی دست و پا شکسته</x:v>
      </x:c>
      <x:c r="H337" s="39" t="str">
        <x:v>H5</x:v>
      </x:c>
      <x:c r="I337" s="39" t="str">
        <x:v>P1</x:v>
      </x:c>
      <x:c r="J337" s="39" t="str">
        <x:v>H5</x:v>
      </x:c>
      <x:c r="K337" s="39" t="str">
        <x:v>تطبیق احتمالی با پایه</x:v>
      </x:c>
      <x:c r="L337" s="39" t="str">
        <x:v>MI-3082</x:v>
      </x:c>
      <x:c r="M337" s="39" t="str">
        <x:v>به زبان انگلیسی در حد معمولی به زبان لری متوسط (: به عربی هم خیییلی دست و پا شکسته</x:v>
      </x:c>
      <x:c r="N337" s="39" t="str">
        <x:v>فرم مورد نیاز کوچ ساکی.docx::T19R2C1.2 | فرم مورد نیاز کوچ ساکی (1).docx::T19R2C1.2</x:v>
      </x:c>
      <x:c r="O337" s="39"/>
    </x:row>
    <x:row r="338">
      <x:c r="A338" s="34" t="str">
        <x:v>☐</x:v>
      </x:c>
      <x:c r="B338" s="34" t="str">
        <x:v>EX-0310</x:v>
      </x:c>
      <x:c r="C338" s="34" t="str">
        <x:v>به عربی هم خیییلی دست و پا شکسته</x:v>
      </x:c>
      <x:c r="D338" s="34" t="str">
        <x:v>POSSIBLE</x:v>
      </x:c>
      <x:c r="E338" s="34" t="str">
        <x:v>90.0</x:v>
      </x:c>
      <x:c r="F338" s="34" t="str">
        <x:v>MI-3082</x:v>
      </x:c>
      <x:c r="G338" s="39" t="str">
        <x:v>به زبان انگلیسی در حد معمولی به زبان لری متوسط (: به عربی هم خیییلی دست و پا شکسته</x:v>
      </x:c>
      <x:c r="H338" s="39" t="str">
        <x:v>H5</x:v>
      </x:c>
      <x:c r="I338" s="39" t="str">
        <x:v>P1</x:v>
      </x:c>
      <x:c r="J338" s="39" t="str">
        <x:v>H5</x:v>
      </x:c>
      <x:c r="K338" s="39" t="str">
        <x:v>تطبیق احتمالی با پایه</x:v>
      </x:c>
      <x:c r="L338" s="39" t="str">
        <x:v>MI-3082</x:v>
      </x:c>
      <x:c r="M338" s="39" t="str">
        <x:v>به زبان انگلیسی در حد معمولی به زبان لری متوسط (: به عربی هم خیییلی دست و پا شکسته</x:v>
      </x:c>
      <x:c r="N338" s="39" t="str">
        <x:v>فرم مورد نیاز کوچ ساکی.docx::T19R2C1.3 | فرم مورد نیاز کوچ ساکی (1).docx::T19R2C1.3</x:v>
      </x:c>
      <x:c r="O338" s="39"/>
    </x:row>
    <x:row r="339">
      <x:c r="A339" s="34" t="str">
        <x:v>☐</x:v>
      </x:c>
      <x:c r="B339" s="34" t="str">
        <x:v>EX-0311</x:v>
      </x:c>
      <x:c r="C339" s="34" t="str">
        <x:v>آیا به مهاجرت فکر کردید؟ چه اقداماتی کرده اید؟</x:v>
      </x:c>
      <x:c r="D339" s="34" t="str">
        <x:v>POSSIBLE</x:v>
      </x:c>
      <x:c r="E339" s="34" t="str">
        <x:v>85.5</x:v>
      </x:c>
      <x:c r="F339" s="34" t="str">
        <x:v>MI-3098</x:v>
      </x:c>
      <x:c r="G339" s="39" t="str">
        <x:v>حتی وقتی خسته هستید یا استرس دارید، باز هم دوست دارید چه کاری رو انجام دهید؟</x:v>
      </x:c>
      <x:c r="H339" s="39" t="str">
        <x:v>H1</x:v>
      </x:c>
      <x:c r="I339" s="39" t="str">
        <x:v>P0</x:v>
      </x:c>
      <x:c r="J339" s="39" t="str">
        <x:v>H1</x:v>
      </x:c>
      <x:c r="K339" s="39" t="str">
        <x:v>تطبیق احتمالی با پایه</x:v>
      </x:c>
      <x:c r="L339" s="39" t="str">
        <x:v>MI-3098</x:v>
      </x:c>
      <x:c r="M339" s="39" t="str">
        <x:v>حتی وقتی خسته هستید یا استرس دارید، باز هم دوست دارید چه کاری رو انجام دهید؟</x:v>
      </x:c>
      <x:c r="N339" s="39" t="str">
        <x:v>فرم مورد نیاز کوچ ساکی.docx::T20R1C1.1 | فرم مورد نیاز کوچ ساکی (1).docx::T20R1C1.1</x:v>
      </x:c>
      <x:c r="O339" s="39"/>
    </x:row>
    <x:row r="340">
      <x:c r="A340" s="34" t="str">
        <x:v>☐</x:v>
      </x:c>
      <x:c r="B340" s="34" t="str">
        <x:v>EX-0312</x:v>
      </x:c>
      <x:c r="C340" s="34" t="str">
        <x:v>به چه ورزش هایی علاقه دارید و انجام داده اید؟</x:v>
      </x:c>
      <x:c r="D340" s="34" t="str">
        <x:v>POSSIBLE</x:v>
      </x:c>
      <x:c r="E340" s="34" t="str">
        <x:v>85.5</x:v>
      </x:c>
      <x:c r="F340" s="34" t="str">
        <x:v>MI-0029</x:v>
      </x:c>
      <x:c r="G340" s="39" t="str">
        <x:v>تدریس ریاضی و فیزیک</x:v>
      </x:c>
      <x:c r="H340" s="39" t="str">
        <x:v>H1</x:v>
      </x:c>
      <x:c r="I340" s="39" t="str">
        <x:v>P0</x:v>
      </x:c>
      <x:c r="J340" s="39" t="str">
        <x:v>H1</x:v>
      </x:c>
      <x:c r="K340" s="39" t="str">
        <x:v>تطبیق احتمالی با پایه</x:v>
      </x:c>
      <x:c r="L340" s="39" t="str">
        <x:v>MI-0029</x:v>
      </x:c>
      <x:c r="M340" s="39" t="str">
        <x:v>تدریس ریاضی و فیزیک</x:v>
      </x:c>
      <x:c r="N340" s="39" t="str">
        <x:v>فرم مورد نیاز کوچ ساکی.docx::T21R1C1.1 | فرم مورد نیاز کوچ ساکی (1).docx::T21R1C1.1</x:v>
      </x:c>
      <x:c r="O340" s="39"/>
    </x:row>
    <x:row r="341">
      <x:c r="A341" s="34" t="str">
        <x:v>☐</x:v>
      </x:c>
      <x:c r="B341" s="34" t="str">
        <x:v>EX-0313</x:v>
      </x:c>
      <x:c r="C341" s="34" t="str">
        <x:v>به پینگ پنگ و شنا و دو میدانی و دوچرخه سواری و والیبال</x:v>
      </x:c>
      <x:c r="D341" s="34" t="str">
        <x:v>POSSIBLE</x:v>
      </x:c>
      <x:c r="E341" s="34" t="str">
        <x:v>85.5</x:v>
      </x:c>
      <x:c r="F341" s="34" t="str">
        <x:v>MI-0029</x:v>
      </x:c>
      <x:c r="G341" s="39" t="str">
        <x:v>تدریس ریاضی و فیزیک</x:v>
      </x:c>
      <x:c r="H341" s="39" t="str">
        <x:v>H1</x:v>
      </x:c>
      <x:c r="I341" s="39" t="str">
        <x:v>P0</x:v>
      </x:c>
      <x:c r="J341" s="39" t="str">
        <x:v>H1</x:v>
      </x:c>
      <x:c r="K341" s="39" t="str">
        <x:v>تطبیق احتمالی با پایه</x:v>
      </x:c>
      <x:c r="L341" s="39" t="str">
        <x:v>MI-0029</x:v>
      </x:c>
      <x:c r="M341" s="39" t="str">
        <x:v>تدریس ریاضی و فیزیک</x:v>
      </x:c>
      <x:c r="N341" s="39" t="str">
        <x:v>فرم مورد نیاز کوچ ساکی.docx::T21R2C1.1 | فرم مورد نیاز کوچ ساکی (1).docx::T21R2C1.1</x:v>
      </x:c>
      <x:c r="O341" s="39"/>
    </x:row>
    <x:row r="342">
      <x:c r="A342" s="34" t="str">
        <x:v>☐</x:v>
      </x:c>
      <x:c r="B342" s="34" t="str">
        <x:v>EX-0314</x:v>
      </x:c>
      <x:c r="C342" s="34" t="str">
        <x:v>به چه هنرهایی علاقه دارید و انجام دادید؟</x:v>
      </x:c>
      <x:c r="D342" s="34" t="str">
        <x:v>POSSIBLE</x:v>
      </x:c>
      <x:c r="E342" s="34" t="str">
        <x:v>85.5</x:v>
      </x:c>
      <x:c r="F342" s="34" t="str">
        <x:v>MI-0029</x:v>
      </x:c>
      <x:c r="G342" s="39" t="str">
        <x:v>تدریس ریاضی و فیزیک</x:v>
      </x:c>
      <x:c r="H342" s="39" t="str">
        <x:v>H1</x:v>
      </x:c>
      <x:c r="I342" s="39" t="str">
        <x:v>P0</x:v>
      </x:c>
      <x:c r="J342" s="39" t="str">
        <x:v>H1</x:v>
      </x:c>
      <x:c r="K342" s="39" t="str">
        <x:v>تطبیق احتمالی با پایه</x:v>
      </x:c>
      <x:c r="L342" s="39" t="str">
        <x:v>MI-0029</x:v>
      </x:c>
      <x:c r="M342" s="39" t="str">
        <x:v>تدریس ریاضی و فیزیک</x:v>
      </x:c>
      <x:c r="N342" s="39" t="str">
        <x:v>فرم مورد نیاز کوچ ساکی.docx::T22R1C1.1 | فرم مورد نیاز کوچ ساکی (1).docx::T22R1C1.1</x:v>
      </x:c>
      <x:c r="O342" s="39"/>
    </x:row>
    <x:row r="343">
      <x:c r="A343" s="34" t="str">
        <x:v>☐</x:v>
      </x:c>
      <x:c r="B343" s="34" t="str">
        <x:v>EX-0315</x:v>
      </x:c>
      <x:c r="C343" s="34" t="str">
        <x:v>به سه تار نوازی علاقه دارم</x:v>
      </x:c>
      <x:c r="D343" s="34" t="str">
        <x:v>POSSIBLE</x:v>
      </x:c>
      <x:c r="E343" s="34" t="str">
        <x:v>90.0</x:v>
      </x:c>
      <x:c r="F343" s="34" t="str">
        <x:v>MI-3084</x:v>
      </x:c>
      <x:c r="G343" s="39" t="str">
        <x:v>به سه تار نوازی علاقه دارم نقاشی تا حدودی تولید انیمیشن برام جذابه داستان سرایی تقلید از افرادی که برای یه عده آشنا هستند بازیگری</x:v>
      </x:c>
      <x:c r="H343" s="39" t="str">
        <x:v>H17</x:v>
      </x:c>
      <x:c r="I343" s="39" t="str">
        <x:v>BANK</x:v>
      </x:c>
      <x:c r="J343" s="39" t="str">
        <x:v>H17</x:v>
      </x:c>
      <x:c r="K343" s="39" t="str">
        <x:v>تطبیق احتمالی با پایه</x:v>
      </x:c>
      <x:c r="L343" s="39" t="str">
        <x:v>MI-3084</x:v>
      </x:c>
      <x:c r="M343" s="39" t="str">
        <x:v>به سه تار نوازی علاقه دارم نقاشی تا حدودی تولید انیمیشن برام جذابه داستان سرایی تقلید از افرادی که برای یه عده آشنا هستند بازیگری</x:v>
      </x:c>
      <x:c r="N343" s="39" t="str">
        <x:v>فرم مورد نیاز کوچ ساکی.docx::T22R2C1.1 | فرم مورد نیاز کوچ ساکی (1).docx::T22R2C1.1</x:v>
      </x:c>
      <x:c r="O343" s="39"/>
    </x:row>
    <x:row r="344">
      <x:c r="A344" s="34" t="str">
        <x:v>☐</x:v>
      </x:c>
      <x:c r="B344" s="34" t="str">
        <x:v>EX-0316</x:v>
      </x:c>
      <x:c r="C344" s="34" t="str">
        <x:v>نقاشی تا حدودی</x:v>
      </x:c>
      <x:c r="D344" s="34" t="str">
        <x:v>POSSIBLE</x:v>
      </x:c>
      <x:c r="E344" s="34" t="str">
        <x:v>85.5</x:v>
      </x:c>
      <x:c r="F344" s="34" t="str">
        <x:v>MI-3110</x:v>
      </x:c>
      <x:c r="G344" s="39" t="str">
        <x:v>تلاشهایی که تا به الان برای رسیدن به شغل مطلوب خود انجام داده اید چه بوده است؟</x:v>
      </x:c>
      <x:c r="H344" s="39" t="str">
        <x:v>H3</x:v>
      </x:c>
      <x:c r="I344" s="39" t="str">
        <x:v>P3/CLARIFY</x:v>
      </x:c>
      <x:c r="J344" s="39" t="str">
        <x:v>H3</x:v>
      </x:c>
      <x:c r="K344" s="39" t="str">
        <x:v>تطبیق احتمالی با پایه</x:v>
      </x:c>
      <x:c r="L344" s="39" t="str">
        <x:v>MI-3110</x:v>
      </x:c>
      <x:c r="M344" s="39" t="str">
        <x:v>تلاشهایی که تا به الان برای رسیدن به شغل مطلوب خود انجام داده اید چه بوده است؟</x:v>
      </x:c>
      <x:c r="N344" s="39" t="str">
        <x:v>فرم مورد نیاز کوچ ساکی.docx::T22R2C1.2 | فرم مورد نیاز کوچ ساکی (1).docx::T22R2C1.2</x:v>
      </x:c>
      <x:c r="O344" s="39"/>
    </x:row>
    <x:row r="345">
      <x:c r="A345" s="34" t="str">
        <x:v>☐</x:v>
      </x:c>
      <x:c r="B345" s="34" t="str">
        <x:v>EX-0317</x:v>
      </x:c>
      <x:c r="C345" s="34" t="str">
        <x:v>تولید انیمیشن برام جذابه</x:v>
      </x:c>
      <x:c r="D345" s="34" t="str">
        <x:v>POSSIBLE</x:v>
      </x:c>
      <x:c r="E345" s="34" t="str">
        <x:v>90.0</x:v>
      </x:c>
      <x:c r="F345" s="34" t="str">
        <x:v>MI-3084</x:v>
      </x:c>
      <x:c r="G345" s="39" t="str">
        <x:v>به سه تار نوازی علاقه دارم نقاشی تا حدودی تولید انیمیشن برام جذابه داستان سرایی تقلید از افرادی که برای یه عده آشنا هستند بازیگری</x:v>
      </x:c>
      <x:c r="H345" s="39" t="str">
        <x:v>H17</x:v>
      </x:c>
      <x:c r="I345" s="39" t="str">
        <x:v>BANK</x:v>
      </x:c>
      <x:c r="J345" s="39" t="str">
        <x:v>H17</x:v>
      </x:c>
      <x:c r="K345" s="39" t="str">
        <x:v>تطبیق احتمالی با پایه</x:v>
      </x:c>
      <x:c r="L345" s="39" t="str">
        <x:v>MI-3084</x:v>
      </x:c>
      <x:c r="M345" s="39" t="str">
        <x:v>به سه تار نوازی علاقه دارم نقاشی تا حدودی تولید انیمیشن برام جذابه داستان سرایی تقلید از افرادی که برای یه عده آشنا هستند بازیگری</x:v>
      </x:c>
      <x:c r="N345" s="39" t="str">
        <x:v>فرم مورد نیاز کوچ ساکی.docx::T22R2C1.3 | فرم مورد نیاز کوچ ساکی (1).docx::T22R2C1.3</x:v>
      </x:c>
      <x:c r="O345" s="39"/>
    </x:row>
    <x:row r="346">
      <x:c r="A346" s="34" t="str">
        <x:v>☐</x:v>
      </x:c>
      <x:c r="B346" s="34" t="str">
        <x:v>EX-0318</x:v>
      </x:c>
      <x:c r="C346" s="34" t="str">
        <x:v>داستان سرایی</x:v>
      </x:c>
      <x:c r="D346" s="34" t="str">
        <x:v>POSSIBLE</x:v>
      </x:c>
      <x:c r="E346" s="34" t="str">
        <x:v>85.5</x:v>
      </x:c>
      <x:c r="F346" s="34" t="str">
        <x:v>MI-1536</x:v>
      </x:c>
      <x:c r="G346" s="39" t="str">
        <x:v>جمع آوری اطلاعات از روایات و داستان ها</x:v>
      </x:c>
      <x:c r="H346" s="39" t="str">
        <x:v>H1</x:v>
      </x:c>
      <x:c r="I346" s="39" t="str">
        <x:v>BANK</x:v>
      </x:c>
      <x:c r="J346" s="39" t="str">
        <x:v>H1</x:v>
      </x:c>
      <x:c r="K346" s="39" t="str">
        <x:v>تطبیق احتمالی با پایه</x:v>
      </x:c>
      <x:c r="L346" s="39" t="str">
        <x:v>MI-1536</x:v>
      </x:c>
      <x:c r="M346" s="39" t="str">
        <x:v>جمع آوری اطلاعات از روایات و داستان ها</x:v>
      </x:c>
      <x:c r="N346" s="39" t="str">
        <x:v>فرم مورد نیاز کوچ ساکی.docx::T22R2C1.4 | فرم مورد نیاز کوچ ساکی (1).docx::T22R2C1.4</x:v>
      </x:c>
      <x:c r="O346" s="39"/>
    </x:row>
    <x:row r="347">
      <x:c r="A347" s="34" t="str">
        <x:v>☐</x:v>
      </x:c>
      <x:c r="B347" s="34" t="str">
        <x:v>EX-0319</x:v>
      </x:c>
      <x:c r="C347" s="34" t="str">
        <x:v>تقلید از افرادی که برای یه عده آشنا هستند</x:v>
      </x:c>
      <x:c r="D347" s="34" t="str">
        <x:v>POSSIBLE</x:v>
      </x:c>
      <x:c r="E347" s="34" t="str">
        <x:v>90.0</x:v>
      </x:c>
      <x:c r="F347" s="34" t="str">
        <x:v>MI-3084</x:v>
      </x:c>
      <x:c r="G347" s="39" t="str">
        <x:v>به سه تار نوازی علاقه دارم نقاشی تا حدودی تولید انیمیشن برام جذابه داستان سرایی تقلید از افرادی که برای یه عده آشنا هستند بازیگری</x:v>
      </x:c>
      <x:c r="H347" s="39" t="str">
        <x:v>H17</x:v>
      </x:c>
      <x:c r="I347" s="39" t="str">
        <x:v>BANK</x:v>
      </x:c>
      <x:c r="J347" s="39" t="str">
        <x:v>H17</x:v>
      </x:c>
      <x:c r="K347" s="39" t="str">
        <x:v>تطبیق احتمالی با پایه</x:v>
      </x:c>
      <x:c r="L347" s="39" t="str">
        <x:v>MI-3084</x:v>
      </x:c>
      <x:c r="M347" s="39" t="str">
        <x:v>به سه تار نوازی علاقه دارم نقاشی تا حدودی تولید انیمیشن برام جذابه داستان سرایی تقلید از افرادی که برای یه عده آشنا هستند بازیگری</x:v>
      </x:c>
      <x:c r="N347" s="39" t="str">
        <x:v>فرم مورد نیاز کوچ ساکی.docx::T22R2C1.5 | فرم مورد نیاز کوچ ساکی (1).docx::T22R2C1.5</x:v>
      </x:c>
      <x:c r="O347" s="39"/>
    </x:row>
    <x:row r="348">
      <x:c r="A348" s="34" t="str">
        <x:v>☐</x:v>
      </x:c>
      <x:c r="B348" s="34" t="str">
        <x:v>EX-0320</x:v>
      </x:c>
      <x:c r="C348" s="34" t="str">
        <x:v>بازیگری</x:v>
      </x:c>
      <x:c r="D348" s="34" t="str">
        <x:v>UNMAPPED</x:v>
      </x:c>
      <x:c r="E348" s="34" t="str">
        <x:v>77.1</x:v>
      </x:c>
      <x:c r="F348" s="34" t="str">
        <x:v>MI-2284</x:v>
      </x:c>
      <x:c r="G348" s="39" t="str">
        <x:v>نقشه واقعی بازیگران اکوسیستم مازندران (حدود 100 گره)</x:v>
      </x:c>
      <x:c r="H348" s="39" t="str">
        <x:v>H10</x:v>
      </x:c>
      <x:c r="I348" s="39" t="str">
        <x:v>P2</x:v>
      </x:c>
      <x:c r="J348" s="39" t="str">
        <x:v>H23</x:v>
      </x:c>
      <x:c r="K348" s="39" t="str">
        <x:v>نیازمند پالایش؛ حذف نشده</x:v>
      </x:c>
      <x:c r="L348" s="39"/>
      <x:c r="M348" s="39"/>
      <x:c r="N348" s="39" t="str">
        <x:v>فرم مورد نیاز کوچ ساکی.docx::T22R2C1.6 | فرم مورد نیاز کوچ ساکی (1).docx::T22R2C1.6</x:v>
      </x:c>
      <x:c r="O348" s="39"/>
    </x:row>
    <x:row r="349">
      <x:c r="A349" s="34" t="str">
        <x:v>☐</x:v>
      </x:c>
      <x:c r="B349" s="34" t="str">
        <x:v>EX-0321</x:v>
      </x:c>
      <x:c r="C349" s="34" t="str">
        <x:v>به دوره فن بیان رفتم</x:v>
      </x:c>
      <x:c r="D349" s="34" t="str">
        <x:v>POSSIBLE</x:v>
      </x:c>
      <x:c r="E349" s="34" t="str">
        <x:v>90.0</x:v>
      </x:c>
      <x:c r="F349" s="34" t="str">
        <x:v>MI-0186</x:v>
      </x:c>
      <x:c r="G349" s="39" t="str">
        <x:v>فن بیان</x:v>
      </x:c>
      <x:c r="H349" s="39" t="str">
        <x:v>H1</x:v>
      </x:c>
      <x:c r="I349" s="39" t="str">
        <x:v>P0</x:v>
      </x:c>
      <x:c r="J349" s="39" t="str">
        <x:v>H1</x:v>
      </x:c>
      <x:c r="K349" s="39" t="str">
        <x:v>تطبیق احتمالی با پایه</x:v>
      </x:c>
      <x:c r="L349" s="39" t="str">
        <x:v>MI-0186</x:v>
      </x:c>
      <x:c r="M349" s="39" t="str">
        <x:v>فن بیان</x:v>
      </x:c>
      <x:c r="N349" s="39" t="str">
        <x:v>فرم مورد نیاز کوچ ساکی.docx::T23R2C1.2 | فرم مورد نیاز کوچ ساکی (1).docx::T23R2C1.2</x:v>
      </x:c>
      <x:c r="O349" s="39"/>
    </x:row>
    <x:row r="350">
      <x:c r="A350" s="34" t="str">
        <x:v>☐</x:v>
      </x:c>
      <x:c r="B350" s="34" t="str">
        <x:v>EX-0322</x:v>
      </x:c>
      <x:c r="C350" s="34" t="str">
        <x:v>چه آرزوهایی در بچگی داشتید و الان چه آرزوهایی دارید؟</x:v>
      </x:c>
      <x:c r="D350" s="34" t="str">
        <x:v>POSSIBLE</x:v>
      </x:c>
      <x:c r="E350" s="34" t="str">
        <x:v>85.5</x:v>
      </x:c>
      <x:c r="F350" s="34" t="str">
        <x:v>MI-0029</x:v>
      </x:c>
      <x:c r="G350" s="39" t="str">
        <x:v>تدریس ریاضی و فیزیک</x:v>
      </x:c>
      <x:c r="H350" s="39" t="str">
        <x:v>H1</x:v>
      </x:c>
      <x:c r="I350" s="39" t="str">
        <x:v>P0</x:v>
      </x:c>
      <x:c r="J350" s="39" t="str">
        <x:v>H1</x:v>
      </x:c>
      <x:c r="K350" s="39" t="str">
        <x:v>تطبیق احتمالی با پایه</x:v>
      </x:c>
      <x:c r="L350" s="39" t="str">
        <x:v>MI-0029</x:v>
      </x:c>
      <x:c r="M350" s="39" t="str">
        <x:v>تدریس ریاضی و فیزیک</x:v>
      </x:c>
      <x:c r="N350" s="39" t="str">
        <x:v>فرم مورد نیاز کوچ ساکی.docx::T24R1C1.1 | فرم مورد نیاز کوچ ساکی (1).docx::T24R1C1.1</x:v>
      </x:c>
      <x:c r="O350" s="39"/>
    </x:row>
    <x:row r="351">
      <x:c r="A351" s="34" t="str">
        <x:v>☐</x:v>
      </x:c>
      <x:c r="B351" s="34" t="str">
        <x:v>EX-0323</x:v>
      </x:c>
      <x:c r="C351" s="34" t="str">
        <x:v>آرزو داشتم ماشین کنترلی داشته باشم</x:v>
      </x:c>
      <x:c r="D351" s="34" t="str">
        <x:v>POSSIBLE</x:v>
      </x:c>
      <x:c r="E351" s="34" t="str">
        <x:v>85.5</x:v>
      </x:c>
      <x:c r="F351" s="34" t="str">
        <x:v>MI-3059</x:v>
      </x:c>
      <x:c r="G351" s="39" t="str">
        <x:v>سابقه بیماری نداشتم، امّا سابقه جراحی جزیی در ایام طفولیت داشتم. موضوعی جهت محدودیت شغلی ندارم.</x:v>
      </x:c>
      <x:c r="H351" s="39" t="str">
        <x:v>H3</x:v>
      </x:c>
      <x:c r="I351" s="39" t="str">
        <x:v>P3/CLARIFY</x:v>
      </x:c>
      <x:c r="J351" s="39" t="str">
        <x:v>H3</x:v>
      </x:c>
      <x:c r="K351" s="39" t="str">
        <x:v>تطبیق احتمالی با پایه</x:v>
      </x:c>
      <x:c r="L351" s="39" t="str">
        <x:v>MI-3059</x:v>
      </x:c>
      <x:c r="M351" s="39" t="str">
        <x:v>سابقه بیماری نداشتم، امّا سابقه جراحی جزیی در ایام طفولیت داشتم. موضوعی جهت محدودیت شغلی ندارم.</x:v>
      </x:c>
      <x:c r="N351" s="39" t="str">
        <x:v>فرم مورد نیاز کوچ ساکی.docx::T24R2C1.1 | فرم مورد نیاز کوچ ساکی (1).docx::T24R2C1.1</x:v>
      </x:c>
      <x:c r="O351" s="39"/>
    </x:row>
    <x:row r="352">
      <x:c r="A352" s="34" t="str">
        <x:v>☐</x:v>
      </x:c>
      <x:c r="B352" s="34" t="str">
        <x:v>EX-0324</x:v>
      </x:c>
      <x:c r="C352" s="34" t="str">
        <x:v>ماشینمون بهتر بشه</x:v>
      </x:c>
      <x:c r="D352" s="34" t="str">
        <x:v>POSSIBLE</x:v>
      </x:c>
      <x:c r="E352" s="34" t="str">
        <x:v>85.5</x:v>
      </x:c>
      <x:c r="F352" s="34" t="str">
        <x:v>MI-1431</x:v>
      </x:c>
      <x:c r="G352" s="39" t="str">
        <x:v>از فضای کنار ریاست فناوری استفاده بشه و اقتباس گرفته از کتابخانه ملی</x:v>
      </x:c>
      <x:c r="H352" s="39" t="str">
        <x:v>H2</x:v>
      </x:c>
      <x:c r="I352" s="39" t="str">
        <x:v>BANK</x:v>
      </x:c>
      <x:c r="J352" s="39" t="str">
        <x:v>H2</x:v>
      </x:c>
      <x:c r="K352" s="39" t="str">
        <x:v>تطبیق احتمالی با پایه</x:v>
      </x:c>
      <x:c r="L352" s="39" t="str">
        <x:v>MI-1431</x:v>
      </x:c>
      <x:c r="M352" s="39" t="str">
        <x:v>از فضای کنار ریاست فناوری استفاده بشه و اقتباس گرفته از کتابخانه ملی</x:v>
      </x:c>
      <x:c r="N352" s="39" t="str">
        <x:v>فرم مورد نیاز کوچ ساکی.docx::T24R2C1.2 | فرم مورد نیاز کوچ ساکی (1).docx::T24R2C1.2</x:v>
      </x:c>
      <x:c r="O352" s="39"/>
    </x:row>
    <x:row r="353">
      <x:c r="A353" s="34" t="str">
        <x:v>☐</x:v>
      </x:c>
      <x:c r="B353" s="34" t="str">
        <x:v>EX-0325</x:v>
      </x:c>
      <x:c r="C353" s="34" t="str">
        <x:v>زودتر بزرگ بشم و رانندگی کنم</x:v>
      </x:c>
      <x:c r="D353" s="34" t="str">
        <x:v>POSSIBLE</x:v>
      </x:c>
      <x:c r="E353" s="34" t="str">
        <x:v>85.5</x:v>
      </x:c>
      <x:c r="F353" s="34" t="str">
        <x:v>MI-1513</x:v>
      </x:c>
      <x:c r="G353" s="39" t="str">
        <x:v>تولید و کارآفرینی: توانایی تولید محصول و خدمات و ایجاد شغل.</x:v>
      </x:c>
      <x:c r="H353" s="39" t="str">
        <x:v>H1</x:v>
      </x:c>
      <x:c r="I353" s="39" t="str">
        <x:v>P0</x:v>
      </x:c>
      <x:c r="J353" s="39" t="str">
        <x:v>H1</x:v>
      </x:c>
      <x:c r="K353" s="39" t="str">
        <x:v>تطبیق احتمالی با پایه</x:v>
      </x:c>
      <x:c r="L353" s="39" t="str">
        <x:v>MI-1513</x:v>
      </x:c>
      <x:c r="M353" s="39" t="str">
        <x:v>تولید و کارآفرینی: توانایی تولید محصول و خدمات و ایجاد شغل.</x:v>
      </x:c>
      <x:c r="N353" s="39" t="str">
        <x:v>فرم مورد نیاز کوچ ساکی.docx::T24R2C1.3 | فرم مورد نیاز کوچ ساکی (1).docx::T24R2C1.3</x:v>
      </x:c>
      <x:c r="O353" s="39"/>
    </x:row>
    <x:row r="354">
      <x:c r="A354" s="34" t="str">
        <x:v>☐</x:v>
      </x:c>
      <x:c r="B354" s="34" t="str">
        <x:v>EX-0326</x:v>
      </x:c>
      <x:c r="C354" s="34" t="str">
        <x:v>مخترع بشم و چیزای جدید بسازم</x:v>
      </x:c>
      <x:c r="D354" s="34" t="str">
        <x:v>POSSIBLE</x:v>
      </x:c>
      <x:c r="E354" s="34" t="str">
        <x:v>85.5</x:v>
      </x:c>
      <x:c r="F354" s="34" t="str">
        <x:v>MI-1513</x:v>
      </x:c>
      <x:c r="G354" s="39" t="str">
        <x:v>تولید و کارآفرینی: توانایی تولید محصول و خدمات و ایجاد شغل.</x:v>
      </x:c>
      <x:c r="H354" s="39" t="str">
        <x:v>H1</x:v>
      </x:c>
      <x:c r="I354" s="39" t="str">
        <x:v>P0</x:v>
      </x:c>
      <x:c r="J354" s="39" t="str">
        <x:v>H1</x:v>
      </x:c>
      <x:c r="K354" s="39" t="str">
        <x:v>تطبیق احتمالی با پایه</x:v>
      </x:c>
      <x:c r="L354" s="39" t="str">
        <x:v>MI-1513</x:v>
      </x:c>
      <x:c r="M354" s="39" t="str">
        <x:v>تولید و کارآفرینی: توانایی تولید محصول و خدمات و ایجاد شغل.</x:v>
      </x:c>
      <x:c r="N354" s="39" t="str">
        <x:v>فرم مورد نیاز کوچ ساکی.docx::T24R2C1.4 | فرم مورد نیاز کوچ ساکی (1).docx::T24R2C1.4</x:v>
      </x:c>
      <x:c r="O354" s="39"/>
    </x:row>
    <x:row r="355">
      <x:c r="A355" s="34" t="str">
        <x:v>☐</x:v>
      </x:c>
      <x:c r="B355" s="34" t="str">
        <x:v>EX-0327</x:v>
      </x:c>
      <x:c r="C355" s="34" t="str">
        <x:v>درس بخونم و مادرم رو شاد کنم</x:v>
      </x:c>
      <x:c r="D355" s="34" t="str">
        <x:v>POSSIBLE</x:v>
      </x:c>
      <x:c r="E355" s="34" t="str">
        <x:v>85.5</x:v>
      </x:c>
      <x:c r="F355" s="34" t="str">
        <x:v>MI-1513</x:v>
      </x:c>
      <x:c r="G355" s="39" t="str">
        <x:v>تولید و کارآفرینی: توانایی تولید محصول و خدمات و ایجاد شغل.</x:v>
      </x:c>
      <x:c r="H355" s="39" t="str">
        <x:v>H1</x:v>
      </x:c>
      <x:c r="I355" s="39" t="str">
        <x:v>P0</x:v>
      </x:c>
      <x:c r="J355" s="39" t="str">
        <x:v>H1</x:v>
      </x:c>
      <x:c r="K355" s="39" t="str">
        <x:v>تطبیق احتمالی با پایه</x:v>
      </x:c>
      <x:c r="L355" s="39" t="str">
        <x:v>MI-1513</x:v>
      </x:c>
      <x:c r="M355" s="39" t="str">
        <x:v>تولید و کارآفرینی: توانایی تولید محصول و خدمات و ایجاد شغل.</x:v>
      </x:c>
      <x:c r="N355" s="39" t="str">
        <x:v>فرم مورد نیاز کوچ ساکی.docx::T24R2C1.5 | فرم مورد نیاز کوچ ساکی (1).docx::T24R2C1.5</x:v>
      </x:c>
      <x:c r="O355" s="39"/>
    </x:row>
    <x:row r="356">
      <x:c r="A356" s="34" t="str">
        <x:v>☐</x:v>
      </x:c>
      <x:c r="B356" s="34" t="str">
        <x:v>EX-0328</x:v>
      </x:c>
      <x:c r="C356" s="34" t="str">
        <x:v>الان آرزو دارم شرکت بزنم، افراد متعددی رو مشغول کنم</x:v>
      </x:c>
      <x:c r="D356" s="34" t="str">
        <x:v>POSSIBLE</x:v>
      </x:c>
      <x:c r="E356" s="34" t="str">
        <x:v>85.5</x:v>
      </x:c>
      <x:c r="F356" s="34" t="str">
        <x:v>MI-0067</x:v>
      </x:c>
      <x:c r="G356" s="39" t="str">
        <x:v>یادگیری روش تعامل با افراد گوناگون</x:v>
      </x:c>
      <x:c r="H356" s="39" t="str">
        <x:v>H1</x:v>
      </x:c>
      <x:c r="I356" s="39" t="str">
        <x:v>P0</x:v>
      </x:c>
      <x:c r="J356" s="39" t="str">
        <x:v>H1</x:v>
      </x:c>
      <x:c r="K356" s="39" t="str">
        <x:v>تطبیق احتمالی با پایه</x:v>
      </x:c>
      <x:c r="L356" s="39" t="str">
        <x:v>MI-0067</x:v>
      </x:c>
      <x:c r="M356" s="39" t="str">
        <x:v>یادگیری روش تعامل با افراد گوناگون</x:v>
      </x:c>
      <x:c r="N356" s="39" t="str">
        <x:v>فرم مورد نیاز کوچ ساکی.docx::T24R2C1.8 | فرم مورد نیاز کوچ ساکی (1).docx::T24R2C1.8</x:v>
      </x:c>
      <x:c r="O356" s="39"/>
    </x:row>
    <x:row r="357">
      <x:c r="A357" s="34" t="str">
        <x:v>☐</x:v>
      </x:c>
      <x:c r="B357" s="34" t="str">
        <x:v>EX-0329</x:v>
      </x:c>
      <x:c r="C357" s="34" t="str">
        <x:v>تولید ثروت کنم و از قبل اون اموراتی که منتظر مبالغ کم هستند ولی تاثیر شگرف دارند رو پیش ببرم</x:v>
      </x:c>
      <x:c r="D357" s="34" t="str">
        <x:v>POSSIBLE</x:v>
      </x:c>
      <x:c r="E357" s="34" t="str">
        <x:v>90.0</x:v>
      </x:c>
      <x:c r="F357" s="34" t="str">
        <x:v>MI-3087</x:v>
      </x:c>
      <x:c r="G357" s="39" t="str">
        <x:v>آرزو داشتم ماشین کنترلی داشته باشم ماشینمون بهتر بشه زودتر بزرگ بشم و رانندگی کنم مخترع بشم و چیزای جدید بسازم درس بخونم و مادرم رو شاد کنم الان آرزو دارم شرکت بزنم، افراد متعددی رو مشغول کنم تولید ثروت کنم و از قبل اون اموراتی که منتظر مبالغ کم هستند ولی تاثیر شگرف دارند رو پیش ببرم تاثیر گذار باشم و موفق سخنرانی در مجمعی انجام بدم و براشون جالب باشه و تاثیر گذار دوست دارم چند تا ایده که در ذهنم دارم رو بسازم محیط کاری و زندگی که وفق مرادم هست رو تهیه کنم همچنان علاقه دارم اتوموبیل خوبی رو سوار بشم</x:v>
      </x:c>
      <x:c r="H357" s="39" t="str">
        <x:v>H19</x:v>
      </x:c>
      <x:c r="I357" s="39" t="str">
        <x:v>P3</x:v>
      </x:c>
      <x:c r="J357" s="39" t="str">
        <x:v>H19</x:v>
      </x:c>
      <x:c r="K357" s="39" t="str">
        <x:v>تطبیق احتمالی با پایه</x:v>
      </x:c>
      <x:c r="L357" s="39" t="str">
        <x:v>MI-3087</x:v>
      </x:c>
      <x:c r="M357" s="39" t="str">
        <x:v>آرزو داشتم ماشین کنترلی داشته باشم ماشینمون بهتر بشه زودتر بزرگ بشم و رانندگی کنم مخترع بشم و چیزای جدید بسازم درس بخونم و مادرم رو شاد کنم الان آرزو دارم شرکت بزنم، افراد متعددی رو مشغول کنم تولید ثروت کنم و از قبل اون اموراتی که منتظر مبالغ کم هستند ولی تاثیر شگرف دارند رو پیش ببرم تاثیر گذار باشم و موفق سخنرانی در مجمعی انجام بدم و براشون جالب باشه و تاثیر گذار دوست دارم چند تا ایده که در ذهنم دارم رو بسازم محیط کاری و زندگی که وفق مرادم هست رو تهیه کنم همچنان علاقه دارم اتوموبیل خوبی رو سوار بشم</x:v>
      </x:c>
      <x:c r="N357" s="39" t="str">
        <x:v>فرم مورد نیاز کوچ ساکی.docx::T24R2C1.9 | فرم مورد نیاز کوچ ساکی (1).docx::T24R2C1.9</x:v>
      </x:c>
      <x:c r="O357" s="39"/>
    </x:row>
    <x:row r="358">
      <x:c r="A358" s="34" t="str">
        <x:v>☐</x:v>
      </x:c>
      <x:c r="B358" s="34" t="str">
        <x:v>EX-0330</x:v>
      </x:c>
      <x:c r="C358" s="34" t="str">
        <x:v>تاثیر گذار باشم و موفق</x:v>
      </x:c>
      <x:c r="D358" s="34" t="str">
        <x:v>POSSIBLE</x:v>
      </x:c>
      <x:c r="E358" s="34" t="str">
        <x:v>85.5</x:v>
      </x:c>
      <x:c r="F358" s="34" t="str">
        <x:v>MI-1513</x:v>
      </x:c>
      <x:c r="G358" s="39" t="str">
        <x:v>تولید و کارآفرینی: توانایی تولید محصول و خدمات و ایجاد شغل.</x:v>
      </x:c>
      <x:c r="H358" s="39" t="str">
        <x:v>H1</x:v>
      </x:c>
      <x:c r="I358" s="39" t="str">
        <x:v>P0</x:v>
      </x:c>
      <x:c r="J358" s="39" t="str">
        <x:v>H1</x:v>
      </x:c>
      <x:c r="K358" s="39" t="str">
        <x:v>تطبیق احتمالی با پایه</x:v>
      </x:c>
      <x:c r="L358" s="39" t="str">
        <x:v>MI-1513</x:v>
      </x:c>
      <x:c r="M358" s="39" t="str">
        <x:v>تولید و کارآفرینی: توانایی تولید محصول و خدمات و ایجاد شغل.</x:v>
      </x:c>
      <x:c r="N358" s="39" t="str">
        <x:v>فرم مورد نیاز کوچ ساکی.docx::T24R2C1.10 | فرم مورد نیاز کوچ ساکی (1).docx::T24R2C1.10</x:v>
      </x:c>
      <x:c r="O358" s="39"/>
    </x:row>
    <x:row r="359">
      <x:c r="A359" s="34" t="str">
        <x:v>☐</x:v>
      </x:c>
      <x:c r="B359" s="34" t="str">
        <x:v>EX-0331</x:v>
      </x:c>
      <x:c r="C359" s="34" t="str">
        <x:v>سخنرانی در مجمعی انجام بدم و براشون جالب باشه و تاثیر گذار</x:v>
      </x:c>
      <x:c r="D359" s="34" t="str">
        <x:v>POSSIBLE</x:v>
      </x:c>
      <x:c r="E359" s="34" t="str">
        <x:v>85.5</x:v>
      </x:c>
      <x:c r="F359" s="34" t="str">
        <x:v>MI-0023</x:v>
      </x:c>
      <x:c r="G359" s="39" t="str">
        <x:v>برنامه ریزی دقیق و علمگرا هییت دانشگاه</x:v>
      </x:c>
      <x:c r="H359" s="39" t="str">
        <x:v>H1</x:v>
      </x:c>
      <x:c r="I359" s="39" t="str">
        <x:v>P0</x:v>
      </x:c>
      <x:c r="J359" s="39" t="str">
        <x:v>H1</x:v>
      </x:c>
      <x:c r="K359" s="39" t="str">
        <x:v>تطبیق احتمالی با پایه</x:v>
      </x:c>
      <x:c r="L359" s="39" t="str">
        <x:v>MI-0023</x:v>
      </x:c>
      <x:c r="M359" s="39" t="str">
        <x:v>برنامه ریزی دقیق و علمگرا هییت دانشگاه</x:v>
      </x:c>
      <x:c r="N359" s="39" t="str">
        <x:v>فرم مورد نیاز کوچ ساکی.docx::T24R2C1.11 | فرم مورد نیاز کوچ ساکی (1).docx::T24R2C1.11</x:v>
      </x:c>
      <x:c r="O359" s="39"/>
    </x:row>
    <x:row r="360">
      <x:c r="A360" s="34" t="str">
        <x:v>☐</x:v>
      </x:c>
      <x:c r="B360" s="34" t="str">
        <x:v>EX-0332</x:v>
      </x:c>
      <x:c r="C360" s="34" t="str">
        <x:v>دوست دارم چند تا ایده که در ذهنم دارم رو بسازم</x:v>
      </x:c>
      <x:c r="D360" s="34" t="str">
        <x:v>POSSIBLE</x:v>
      </x:c>
      <x:c r="E360" s="34" t="str">
        <x:v>85.5</x:v>
      </x:c>
      <x:c r="F360" s="34" t="str">
        <x:v>MI-0110</x:v>
      </x:c>
      <x:c r="G360" s="39" t="str">
        <x:v>خلاقیت و ایده پردازی</x:v>
      </x:c>
      <x:c r="H360" s="39" t="str">
        <x:v>H1</x:v>
      </x:c>
      <x:c r="I360" s="39" t="str">
        <x:v>P0</x:v>
      </x:c>
      <x:c r="J360" s="39" t="str">
        <x:v>H1</x:v>
      </x:c>
      <x:c r="K360" s="39" t="str">
        <x:v>تطبیق احتمالی با پایه</x:v>
      </x:c>
      <x:c r="L360" s="39" t="str">
        <x:v>MI-0110</x:v>
      </x:c>
      <x:c r="M360" s="39" t="str">
        <x:v>خلاقیت و ایده پردازی</x:v>
      </x:c>
      <x:c r="N360" s="39" t="str">
        <x:v>فرم مورد نیاز کوچ ساکی.docx::T24R2C1.12 | فرم مورد نیاز کوچ ساکی (1).docx::T24R2C1.12</x:v>
      </x:c>
      <x:c r="O360" s="39"/>
    </x:row>
    <x:row r="361">
      <x:c r="A361" s="34" t="str">
        <x:v>☐</x:v>
      </x:c>
      <x:c r="B361" s="34" t="str">
        <x:v>EX-0333</x:v>
      </x:c>
      <x:c r="C361" s="34" t="str">
        <x:v>محیط کاری و زندگی که وفق مرادم هست رو تهیه کنم</x:v>
      </x:c>
      <x:c r="D361" s="34" t="str">
        <x:v>POSSIBLE</x:v>
      </x:c>
      <x:c r="E361" s="34" t="str">
        <x:v>85.5</x:v>
      </x:c>
      <x:c r="F361" s="34" t="str">
        <x:v>MI-1451</x:v>
      </x:c>
      <x:c r="G361" s="39" t="str">
        <x:v>تهیه بهترین ایرپاد</x:v>
      </x:c>
      <x:c r="H361" s="39" t="str">
        <x:v>H1</x:v>
      </x:c>
      <x:c r="I361" s="39" t="str">
        <x:v>P0</x:v>
      </x:c>
      <x:c r="J361" s="39" t="str">
        <x:v>H1</x:v>
      </x:c>
      <x:c r="K361" s="39" t="str">
        <x:v>تطبیق احتمالی با پایه</x:v>
      </x:c>
      <x:c r="L361" s="39" t="str">
        <x:v>MI-1451</x:v>
      </x:c>
      <x:c r="M361" s="39" t="str">
        <x:v>تهیه بهترین ایرپاد</x:v>
      </x:c>
      <x:c r="N361" s="39" t="str">
        <x:v>فرم مورد نیاز کوچ ساکی.docx::T24R2C1.13 | فرم مورد نیاز کوچ ساکی (1).docx::T24R2C1.13</x:v>
      </x:c>
      <x:c r="O361" s="39"/>
    </x:row>
    <x:row r="362">
      <x:c r="A362" s="34" t="str">
        <x:v>☐</x:v>
      </x:c>
      <x:c r="B362" s="34" t="str">
        <x:v>EX-0334</x:v>
      </x:c>
      <x:c r="C362" s="34" t="str">
        <x:v>همچنان علاقه دارم اتوموبیل خوبی رو سوار بشم</x:v>
      </x:c>
      <x:c r="D362" s="34" t="str">
        <x:v>POSSIBLE</x:v>
      </x:c>
      <x:c r="E362" s="34" t="str">
        <x:v>85.5</x:v>
      </x:c>
      <x:c r="F362" s="34" t="str">
        <x:v>MI-3098</x:v>
      </x:c>
      <x:c r="G362" s="39" t="str">
        <x:v>حتی وقتی خسته هستید یا استرس دارید، باز هم دوست دارید چه کاری رو انجام دهید؟</x:v>
      </x:c>
      <x:c r="H362" s="39" t="str">
        <x:v>H1</x:v>
      </x:c>
      <x:c r="I362" s="39" t="str">
        <x:v>P0</x:v>
      </x:c>
      <x:c r="J362" s="39" t="str">
        <x:v>H1</x:v>
      </x:c>
      <x:c r="K362" s="39" t="str">
        <x:v>تطبیق احتمالی با پایه</x:v>
      </x:c>
      <x:c r="L362" s="39" t="str">
        <x:v>MI-3098</x:v>
      </x:c>
      <x:c r="M362" s="39" t="str">
        <x:v>حتی وقتی خسته هستید یا استرس دارید، باز هم دوست دارید چه کاری رو انجام دهید؟</x:v>
      </x:c>
      <x:c r="N362" s="39" t="str">
        <x:v>فرم مورد نیاز کوچ ساکی.docx::T24R2C1.14 | فرم مورد نیاز کوچ ساکی (1).docx::T24R2C1.14</x:v>
      </x:c>
      <x:c r="O362" s="39"/>
    </x:row>
    <x:row r="363">
      <x:c r="A363" s="34" t="str">
        <x:v>☐</x:v>
      </x:c>
      <x:c r="B363" s="34" t="str">
        <x:v>EX-0335</x:v>
      </x:c>
      <x:c r="C363" s="34" t="str">
        <x:v>دوست داشتم تجربی رو ادامه میدادم و پزشک میشدم</x:v>
      </x:c>
      <x:c r="D363" s="34" t="str">
        <x:v>POSSIBLE</x:v>
      </x:c>
      <x:c r="E363" s="34" t="str">
        <x:v>85.5</x:v>
      </x:c>
      <x:c r="F363" s="34" t="str">
        <x:v>MI-0029</x:v>
      </x:c>
      <x:c r="G363" s="39" t="str">
        <x:v>تدریس ریاضی و فیزیک</x:v>
      </x:c>
      <x:c r="H363" s="39" t="str">
        <x:v>H1</x:v>
      </x:c>
      <x:c r="I363" s="39" t="str">
        <x:v>P0</x:v>
      </x:c>
      <x:c r="J363" s="39" t="str">
        <x:v>H1</x:v>
      </x:c>
      <x:c r="K363" s="39" t="str">
        <x:v>تطبیق احتمالی با پایه</x:v>
      </x:c>
      <x:c r="L363" s="39" t="str">
        <x:v>MI-0029</x:v>
      </x:c>
      <x:c r="M363" s="39" t="str">
        <x:v>تدریس ریاضی و فیزیک</x:v>
      </x:c>
      <x:c r="N363" s="39" t="str">
        <x:v>فرم مورد نیاز کوچ ساکی.docx::T25R2C1.1 | فرم مورد نیاز کوچ ساکی (1).docx::T25R2C1.1</x:v>
      </x:c>
      <x:c r="O363" s="39"/>
    </x:row>
    <x:row r="364">
      <x:c r="A364" s="34" t="str">
        <x:v>☐</x:v>
      </x:c>
      <x:c r="B364" s="34" t="str">
        <x:v>EX-0336</x:v>
      </x:c>
      <x:c r="C364" s="34" t="str">
        <x:v>اهمال کاری یا علاقه ناکافی من رو به سمت پیام نور کامپیوتر سوق داد</x:v>
      </x:c>
      <x:c r="D364" s="34" t="str">
        <x:v>POSSIBLE</x:v>
      </x:c>
      <x:c r="E364" s="34" t="str">
        <x:v>90.0</x:v>
      </x:c>
      <x:c r="F364" s="34" t="str">
        <x:v>MI-3089</x:v>
      </x:c>
      <x:c r="G364" s="39"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H364" s="39" t="str">
        <x:v>H13</x:v>
      </x:c>
      <x:c r="I364" s="39" t="str">
        <x:v>BANK</x:v>
      </x:c>
      <x:c r="J364" s="39" t="str">
        <x:v>H13</x:v>
      </x:c>
      <x:c r="K364" s="39" t="str">
        <x:v>تطبیق احتمالی با پایه</x:v>
      </x:c>
      <x:c r="L364" s="39" t="str">
        <x:v>MI-3089</x:v>
      </x:c>
      <x:c r="M364" s="39"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N364" s="39" t="str">
        <x:v>فرم مورد نیاز کوچ ساکی.docx::T25R2C1.2 | فرم مورد نیاز کوچ ساکی (1).docx::T25R2C1.2</x:v>
      </x:c>
      <x:c r="O364" s="39"/>
    </x:row>
    <x:row r="365">
      <x:c r="A365" s="34" t="str">
        <x:v>☐</x:v>
      </x:c>
      <x:c r="B365" s="34" t="str">
        <x:v>EX-0337</x:v>
      </x:c>
      <x:c r="C365" s="34" t="str">
        <x:v>اونجا هم راضی نشدم و تصمیم به درس خواندن مجدد کردم و الان مهندسی مکانیک میخونم</x:v>
      </x:c>
      <x:c r="D365" s="34" t="str">
        <x:v>POSSIBLE</x:v>
      </x:c>
      <x:c r="E365" s="34" t="str">
        <x:v>90.0</x:v>
      </x:c>
      <x:c r="F365" s="34" t="str">
        <x:v>MI-3089</x:v>
      </x:c>
      <x:c r="G365" s="39"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H365" s="39" t="str">
        <x:v>H13</x:v>
      </x:c>
      <x:c r="I365" s="39" t="str">
        <x:v>BANK</x:v>
      </x:c>
      <x:c r="J365" s="39" t="str">
        <x:v>H13</x:v>
      </x:c>
      <x:c r="K365" s="39" t="str">
        <x:v>تطبیق احتمالی با پایه</x:v>
      </x:c>
      <x:c r="L365" s="39" t="str">
        <x:v>MI-3089</x:v>
      </x:c>
      <x:c r="M365" s="39"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N365" s="39" t="str">
        <x:v>فرم مورد نیاز کوچ ساکی.docx::T25R2C1.3 | فرم مورد نیاز کوچ ساکی (1).docx::T25R2C1.3</x:v>
      </x:c>
      <x:c r="O365" s="39"/>
    </x:row>
    <x:row r="366">
      <x:c r="A366" s="34" t="str">
        <x:v>☐</x:v>
      </x:c>
      <x:c r="B366" s="34" t="str">
        <x:v>EX-0338</x:v>
      </x:c>
      <x:c r="C366" s="34" t="str">
        <x:v>در ضمن پیام نور رو هم از کامپیوتر تغییر رشته دادم به صنایع و ادامه تحصیل میدم همزمان</x:v>
      </x:c>
      <x:c r="D366" s="34" t="str">
        <x:v>POSSIBLE</x:v>
      </x:c>
      <x:c r="E366" s="34" t="str">
        <x:v>90.0</x:v>
      </x:c>
      <x:c r="F366" s="34" t="str">
        <x:v>MI-3089</x:v>
      </x:c>
      <x:c r="G366" s="39"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H366" s="39" t="str">
        <x:v>H13</x:v>
      </x:c>
      <x:c r="I366" s="39" t="str">
        <x:v>BANK</x:v>
      </x:c>
      <x:c r="J366" s="39" t="str">
        <x:v>H13</x:v>
      </x:c>
      <x:c r="K366" s="39" t="str">
        <x:v>تطبیق احتمالی با پایه</x:v>
      </x:c>
      <x:c r="L366" s="39" t="str">
        <x:v>MI-3089</x:v>
      </x:c>
      <x:c r="M366" s="39"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N366" s="39" t="str">
        <x:v>فرم مورد نیاز کوچ ساکی.docx::T25R2C1.4 | فرم مورد نیاز کوچ ساکی (1).docx::T25R2C1.4</x:v>
      </x:c>
      <x:c r="O366" s="39"/>
    </x:row>
    <x:row r="367">
      <x:c r="A367" s="34" t="str">
        <x:v>☐</x:v>
      </x:c>
      <x:c r="B367" s="34" t="str">
        <x:v>EX-0339</x:v>
      </x:c>
      <x:c r="C367" s="34" t="str">
        <x:v>چراکه مکانیک الهام گرفته از رشته کاری دایی بزرگوار بود</x:v>
      </x:c>
      <x:c r="D367" s="34" t="str">
        <x:v>POSSIBLE</x:v>
      </x:c>
      <x:c r="E367" s="34" t="str">
        <x:v>85.5</x:v>
      </x:c>
      <x:c r="F367" s="34" t="str">
        <x:v>MI-3113</x:v>
      </x:c>
      <x:c r="G367"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367" s="39" t="str">
        <x:v>H1</x:v>
      </x:c>
      <x:c r="I367" s="39" t="str">
        <x:v>P0</x:v>
      </x:c>
      <x:c r="J367" s="39" t="str">
        <x:v>H1</x:v>
      </x:c>
      <x:c r="K367" s="39" t="str">
        <x:v>تطبیق احتمالی با پایه</x:v>
      </x:c>
      <x:c r="L367" s="39" t="str">
        <x:v>MI-3113</x:v>
      </x:c>
      <x:c r="M367"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N367" s="39" t="str">
        <x:v>فرم مورد نیاز کوچ ساکی.docx::T25R2C1.5 | فرم مورد نیاز کوچ ساکی (1).docx::T25R2C1.5</x:v>
      </x:c>
      <x:c r="O367" s="39"/>
    </x:row>
    <x:row r="368">
      <x:c r="A368" s="34" t="str">
        <x:v>☐</x:v>
      </x:c>
      <x:c r="B368" s="34" t="str">
        <x:v>EX-0340</x:v>
      </x:c>
      <x:c r="C368" s="34" t="str">
        <x:v>همچنین صنایع علاقه ای که در زمینه های مختلف آشناییت نسبی باشه یا از قبلش تجارب خوبی در زمینه آر اند دی یا ... داشته باشم</x:v>
      </x:c>
      <x:c r="D368" s="34" t="str">
        <x:v>POSSIBLE</x:v>
      </x:c>
      <x:c r="E368" s="34" t="str">
        <x:v>90.0</x:v>
      </x:c>
      <x:c r="F368" s="34" t="str">
        <x:v>MI-3089</x:v>
      </x:c>
      <x:c r="G368" s="39"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H368" s="39" t="str">
        <x:v>H13</x:v>
      </x:c>
      <x:c r="I368" s="39" t="str">
        <x:v>BANK</x:v>
      </x:c>
      <x:c r="J368" s="39" t="str">
        <x:v>H13</x:v>
      </x:c>
      <x:c r="K368" s="39" t="str">
        <x:v>تطبیق احتمالی با پایه</x:v>
      </x:c>
      <x:c r="L368" s="39" t="str">
        <x:v>MI-3089</x:v>
      </x:c>
      <x:c r="M368" s="39"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N368" s="39" t="str">
        <x:v>فرم مورد نیاز کوچ ساکی.docx::T25R2C1.6 | فرم مورد نیاز کوچ ساکی (1).docx::T25R2C1.6</x:v>
      </x:c>
      <x:c r="O368" s="39"/>
    </x:row>
    <x:row r="369">
      <x:c r="A369" s="34" t="str">
        <x:v>☐</x:v>
      </x:c>
      <x:c r="B369" s="34" t="str">
        <x:v>EX-0341</x:v>
      </x:c>
      <x:c r="C369" s="34" t="str">
        <x:v>وقتی در جایی حضور پیدا میکنم تقریبا نقاط ضعفش رو پیدا میکنم و با افراد اون مجموعه در میون میزارم و وقتی با اشتیاق استقبال میکنند انرژی میگیرم</x:v>
      </x:c>
      <x:c r="D369" s="34" t="str">
        <x:v>POSSIBLE</x:v>
      </x:c>
      <x:c r="E369" s="34" t="str">
        <x:v>85.5</x:v>
      </x:c>
      <x:c r="F369" s="34" t="str">
        <x:v>MI-1501</x:v>
      </x:c>
      <x:c r="G369" s="39" t="str">
        <x:v>مدیریت ریسک: شناسایی ریسک ها، ارزیابی اثرات، تدوین برنامه های مقابله با ریسک ها.</x:v>
      </x:c>
      <x:c r="H369" s="39" t="str">
        <x:v>H1</x:v>
      </x:c>
      <x:c r="I369" s="39" t="str">
        <x:v>P0</x:v>
      </x:c>
      <x:c r="J369" s="39" t="str">
        <x:v>H1</x:v>
      </x:c>
      <x:c r="K369" s="39" t="str">
        <x:v>تطبیق احتمالی با پایه</x:v>
      </x:c>
      <x:c r="L369" s="39" t="str">
        <x:v>MI-1501</x:v>
      </x:c>
      <x:c r="M369" s="39" t="str">
        <x:v>مدیریت ریسک: شناسایی ریسک ها، ارزیابی اثرات، تدوین برنامه های مقابله با ریسک ها.</x:v>
      </x:c>
      <x:c r="N369" s="39" t="str">
        <x:v>فرم مورد نیاز کوچ ساکی.docx::T26R2C1.1 | فرم مورد نیاز کوچ ساکی (1).docx::T26R2C1.1</x:v>
      </x:c>
      <x:c r="O369" s="39"/>
    </x:row>
    <x:row r="370">
      <x:c r="A370" s="34" t="str">
        <x:v>☐</x:v>
      </x:c>
      <x:c r="B370" s="34" t="str">
        <x:v>EX-0342</x:v>
      </x:c>
      <x:c r="C370" s="34" t="str">
        <x:v>وقتی جلسه ای هست و من در اون از تجارب تحصیلی و یا علائم میگیم ، یا حتی وقتی فرد رو نسبت به بقیه معطوف به گفتگوی دو نفره میکنم لذت بخشه</x:v>
      </x:c>
      <x:c r="D370" s="34" t="str">
        <x:v>POSSIBLE</x:v>
      </x:c>
      <x:c r="E370" s="34" t="str">
        <x:v>85.5</x:v>
      </x:c>
      <x:c r="F370" s="34" t="str">
        <x:v>MI-1513</x:v>
      </x:c>
      <x:c r="G370" s="39" t="str">
        <x:v>تولید و کارآفرینی: توانایی تولید محصول و خدمات و ایجاد شغل.</x:v>
      </x:c>
      <x:c r="H370" s="39" t="str">
        <x:v>H1</x:v>
      </x:c>
      <x:c r="I370" s="39" t="str">
        <x:v>P0</x:v>
      </x:c>
      <x:c r="J370" s="39" t="str">
        <x:v>H1</x:v>
      </x:c>
      <x:c r="K370" s="39" t="str">
        <x:v>تطبیق احتمالی با پایه</x:v>
      </x:c>
      <x:c r="L370" s="39" t="str">
        <x:v>MI-1513</x:v>
      </x:c>
      <x:c r="M370" s="39" t="str">
        <x:v>تولید و کارآفرینی: توانایی تولید محصول و خدمات و ایجاد شغل.</x:v>
      </x:c>
      <x:c r="N370" s="39" t="str">
        <x:v>فرم مورد نیاز کوچ ساکی.docx::T26R2C1.2 | فرم مورد نیاز کوچ ساکی (1).docx::T26R2C1.2</x:v>
      </x:c>
      <x:c r="O370" s="39"/>
    </x:row>
    <x:row r="371">
      <x:c r="A371" s="34" t="str">
        <x:v>☐</x:v>
      </x:c>
      <x:c r="B371" s="34" t="str">
        <x:v>EX-0343</x:v>
      </x:c>
      <x:c r="C371" s="34" t="str">
        <x:v>یا وقتی کار خوبی انجام میدم که فرد سوای اعتقاداتش که شاید با من فرق داشته باشه نگرشش عوض بشه و با من صمیمی تر بشه</x:v>
      </x:c>
      <x:c r="D371" s="34" t="str">
        <x:v>POSSIBLE</x:v>
      </x:c>
      <x:c r="E371" s="34" t="str">
        <x:v>85.5</x:v>
      </x:c>
      <x:c r="F371" s="34" t="str">
        <x:v>MI-1513</x:v>
      </x:c>
      <x:c r="G371" s="39" t="str">
        <x:v>تولید و کارآفرینی: توانایی تولید محصول و خدمات و ایجاد شغل.</x:v>
      </x:c>
      <x:c r="H371" s="39" t="str">
        <x:v>H1</x:v>
      </x:c>
      <x:c r="I371" s="39" t="str">
        <x:v>P0</x:v>
      </x:c>
      <x:c r="J371" s="39" t="str">
        <x:v>H1</x:v>
      </x:c>
      <x:c r="K371" s="39" t="str">
        <x:v>تطبیق احتمالی با پایه</x:v>
      </x:c>
      <x:c r="L371" s="39" t="str">
        <x:v>MI-1513</x:v>
      </x:c>
      <x:c r="M371" s="39" t="str">
        <x:v>تولید و کارآفرینی: توانایی تولید محصول و خدمات و ایجاد شغل.</x:v>
      </x:c>
      <x:c r="N371" s="39" t="str">
        <x:v>فرم مورد نیاز کوچ ساکی.docx::T26R2C1.3 | فرم مورد نیاز کوچ ساکی (1).docx::T26R2C1.3</x:v>
      </x:c>
      <x:c r="O371" s="39"/>
    </x:row>
    <x:row r="372">
      <x:c r="A372" s="34" t="str">
        <x:v>☐</x:v>
      </x:c>
      <x:c r="B372" s="34" t="str">
        <x:v>EX-0344</x:v>
      </x:c>
      <x:c r="C372" s="34" t="str">
        <x:v>وقتی در جمعی حضور پیدا میکنم و نظرمو میگم و با تایید مواجه میشم</x:v>
      </x:c>
      <x:c r="D372" s="34" t="str">
        <x:v>POSSIBLE</x:v>
      </x:c>
      <x:c r="E372" s="34" t="str">
        <x:v>85.5</x:v>
      </x:c>
      <x:c r="F372" s="34" t="str">
        <x:v>MI-0019</x:v>
      </x:c>
      <x:c r="G372" s="39" t="str">
        <x:v>آشنایی با نرم افزار املاک</x:v>
      </x:c>
      <x:c r="H372" s="39" t="str">
        <x:v>H1</x:v>
      </x:c>
      <x:c r="I372" s="39" t="str">
        <x:v>P0</x:v>
      </x:c>
      <x:c r="J372" s="39" t="str">
        <x:v>H1</x:v>
      </x:c>
      <x:c r="K372" s="39" t="str">
        <x:v>تطبیق احتمالی با پایه</x:v>
      </x:c>
      <x:c r="L372" s="39" t="str">
        <x:v>MI-0019</x:v>
      </x:c>
      <x:c r="M372" s="39" t="str">
        <x:v>آشنایی با نرم افزار املاک</x:v>
      </x:c>
      <x:c r="N372" s="39" t="str">
        <x:v>فرم مورد نیاز کوچ ساکی.docx::T26R2C1.4 | فرم مورد نیاز کوچ ساکی (1).docx::T26R2C1.4</x:v>
      </x:c>
      <x:c r="O372" s="39"/>
    </x:row>
    <x:row r="373">
      <x:c r="A373" s="34" t="str">
        <x:v>☐</x:v>
      </x:c>
      <x:c r="B373" s="34" t="str">
        <x:v>EX-0345</x:v>
      </x:c>
      <x:c r="C373" s="34" t="str">
        <x:v>وقتی در رابطه با جلسه ای که داشته باشیم من پرزنتیشن با کیفیت تهیه کنم و ارائه داشته باشم</x:v>
      </x:c>
      <x:c r="D373" s="34" t="str">
        <x:v>POSSIBLE</x:v>
      </x:c>
      <x:c r="E373" s="34" t="str">
        <x:v>85.5</x:v>
      </x:c>
      <x:c r="F373" s="34" t="str">
        <x:v>MI-1451</x:v>
      </x:c>
      <x:c r="G373" s="39" t="str">
        <x:v>تهیه بهترین ایرپاد</x:v>
      </x:c>
      <x:c r="H373" s="39" t="str">
        <x:v>H1</x:v>
      </x:c>
      <x:c r="I373" s="39" t="str">
        <x:v>P0</x:v>
      </x:c>
      <x:c r="J373" s="39" t="str">
        <x:v>H1</x:v>
      </x:c>
      <x:c r="K373" s="39" t="str">
        <x:v>تطبیق احتمالی با پایه</x:v>
      </x:c>
      <x:c r="L373" s="39" t="str">
        <x:v>MI-1451</x:v>
      </x:c>
      <x:c r="M373" s="39" t="str">
        <x:v>تهیه بهترین ایرپاد</x:v>
      </x:c>
      <x:c r="N373" s="39" t="str">
        <x:v>فرم مورد نیاز کوچ ساکی.docx::T26R2C1.5 | فرم مورد نیاز کوچ ساکی (1).docx::T26R2C1.5</x:v>
      </x:c>
      <x:c r="O373" s="39"/>
    </x:row>
    <x:row r="374">
      <x:c r="A374" s="34" t="str">
        <x:v>☐</x:v>
      </x:c>
      <x:c r="B374" s="34" t="str">
        <x:v>EX-0346</x:v>
      </x:c>
      <x:c r="C374" s="34" t="str">
        <x:v>وقتی تدریس ریاضی و فیزیک داشته باشم و دانش آموزانم راضی باشند</x:v>
      </x:c>
      <x:c r="D374" s="34" t="str">
        <x:v>POSSIBLE</x:v>
      </x:c>
      <x:c r="E374" s="34" t="str">
        <x:v>90.0</x:v>
      </x:c>
      <x:c r="F374" s="34" t="str">
        <x:v>MI-0029</x:v>
      </x:c>
      <x:c r="G374" s="39" t="str">
        <x:v>تدریس ریاضی و فیزیک</x:v>
      </x:c>
      <x:c r="H374" s="39" t="str">
        <x:v>H1</x:v>
      </x:c>
      <x:c r="I374" s="39" t="str">
        <x:v>P0</x:v>
      </x:c>
      <x:c r="J374" s="39" t="str">
        <x:v>H1</x:v>
      </x:c>
      <x:c r="K374" s="39" t="str">
        <x:v>تطبیق احتمالی با پایه</x:v>
      </x:c>
      <x:c r="L374" s="39" t="str">
        <x:v>MI-0029</x:v>
      </x:c>
      <x:c r="M374" s="39" t="str">
        <x:v>تدریس ریاضی و فیزیک</x:v>
      </x:c>
      <x:c r="N374" s="39" t="str">
        <x:v>فرم مورد نیاز کوچ ساکی.docx::T26R2C1.6 | فرم مورد نیاز کوچ ساکی (1).docx::T26R2C1.6</x:v>
      </x:c>
      <x:c r="O374" s="39"/>
    </x:row>
    <x:row r="375">
      <x:c r="A375" s="34" t="str">
        <x:v>☐</x:v>
      </x:c>
      <x:c r="B375" s="34" t="str">
        <x:v>EX-0347</x:v>
      </x:c>
      <x:c r="C375" s="34" t="str">
        <x:v>وقتی موزیک خوب گوش میدم و میدوئم یا ورزش میکنم</x:v>
      </x:c>
      <x:c r="D375" s="34" t="str">
        <x:v>POSSIBLE</x:v>
      </x:c>
      <x:c r="E375" s="34" t="str">
        <x:v>85.5</x:v>
      </x:c>
      <x:c r="F375" s="34" t="str">
        <x:v>MI-0029</x:v>
      </x:c>
      <x:c r="G375" s="39" t="str">
        <x:v>تدریس ریاضی و فیزیک</x:v>
      </x:c>
      <x:c r="H375" s="39" t="str">
        <x:v>H1</x:v>
      </x:c>
      <x:c r="I375" s="39" t="str">
        <x:v>P0</x:v>
      </x:c>
      <x:c r="J375" s="39" t="str">
        <x:v>H1</x:v>
      </x:c>
      <x:c r="K375" s="39" t="str">
        <x:v>تطبیق احتمالی با پایه</x:v>
      </x:c>
      <x:c r="L375" s="39" t="str">
        <x:v>MI-0029</x:v>
      </x:c>
      <x:c r="M375" s="39" t="str">
        <x:v>تدریس ریاضی و فیزیک</x:v>
      </x:c>
      <x:c r="N375" s="39" t="str">
        <x:v>فرم مورد نیاز کوچ ساکی.docx::T26R2C1.7 | فرم مورد نیاز کوچ ساکی (1).docx::T26R2C1.7</x:v>
      </x:c>
      <x:c r="O375" s="39"/>
    </x:row>
    <x:row r="376">
      <x:c r="A376" s="34" t="str">
        <x:v>☐</x:v>
      </x:c>
      <x:c r="B376" s="34" t="str">
        <x:v>EX-0348</x:v>
      </x:c>
      <x:c r="C376" s="34" t="str">
        <x:v>وقتی در جلسه ای به احترام من بلند بشن</x:v>
      </x:c>
      <x:c r="D376" s="34" t="str">
        <x:v>POSSIBLE</x:v>
      </x:c>
      <x:c r="E376" s="34" t="str">
        <x:v>85.5</x:v>
      </x:c>
      <x:c r="F376" s="34" t="str">
        <x:v>MI-0173</x:v>
      </x:c>
      <x:c r="G376" s="39" t="str">
        <x:v>جستجو در منابع سریع</x:v>
      </x:c>
      <x:c r="H376" s="39" t="str">
        <x:v>H1</x:v>
      </x:c>
      <x:c r="I376" s="39" t="str">
        <x:v>P0</x:v>
      </x:c>
      <x:c r="J376" s="39" t="str">
        <x:v>H1</x:v>
      </x:c>
      <x:c r="K376" s="39" t="str">
        <x:v>تطبیق احتمالی با پایه</x:v>
      </x:c>
      <x:c r="L376" s="39" t="str">
        <x:v>MI-0173</x:v>
      </x:c>
      <x:c r="M376" s="39" t="str">
        <x:v>جستجو در منابع سریع</x:v>
      </x:c>
      <x:c r="N376" s="39" t="str">
        <x:v>فرم مورد نیاز کوچ ساکی.docx::T26R2C1.8 | فرم مورد نیاز کوچ ساکی (1).docx::T26R2C1.8</x:v>
      </x:c>
      <x:c r="O376" s="39"/>
    </x:row>
    <x:row r="377">
      <x:c r="A377" s="34" t="str">
        <x:v>☐</x:v>
      </x:c>
      <x:c r="B377" s="34" t="str">
        <x:v>EX-0349</x:v>
      </x:c>
      <x:c r="C377" s="34" t="str">
        <x:v>وقتی تحسین خانواده ام رو بر می انگیزم</x:v>
      </x:c>
      <x:c r="D377" s="34" t="str">
        <x:v>POSSIBLE</x:v>
      </x:c>
      <x:c r="E377" s="34" t="str">
        <x:v>85.5</x:v>
      </x:c>
      <x:c r="F377" s="34" t="str">
        <x:v>MI-1508</x:v>
      </x:c>
      <x:c r="G377" s="39" t="str">
        <x:v>مهارت های فنی: تسلط بر نرم افزارهای تخصصی، ابزارهای مهندسی، تکنولوژی های جدید.</x:v>
      </x:c>
      <x:c r="H377" s="39" t="str">
        <x:v>H1</x:v>
      </x:c>
      <x:c r="I377" s="39" t="str">
        <x:v>P0</x:v>
      </x:c>
      <x:c r="J377" s="39" t="str">
        <x:v>H1</x:v>
      </x:c>
      <x:c r="K377" s="39" t="str">
        <x:v>تطبیق احتمالی با پایه</x:v>
      </x:c>
      <x:c r="L377" s="39" t="str">
        <x:v>MI-1508</x:v>
      </x:c>
      <x:c r="M377" s="39" t="str">
        <x:v>مهارت های فنی: تسلط بر نرم افزارهای تخصصی، ابزارهای مهندسی، تکنولوژی های جدید.</x:v>
      </x:c>
      <x:c r="N377" s="39" t="str">
        <x:v>فرم مورد نیاز کوچ ساکی.docx::T26R2C1.9 | فرم مورد نیاز کوچ ساکی (1).docx::T26R2C1.9</x:v>
      </x:c>
      <x:c r="O377" s="39"/>
    </x:row>
    <x:row r="378">
      <x:c r="A378" s="34" t="str">
        <x:v>☐</x:v>
      </x:c>
      <x:c r="B378" s="34" t="str">
        <x:v>EX-0350</x:v>
      </x:c>
      <x:c r="C378" s="34" t="str">
        <x:v>وقتی کار یه نفرو با پیگیری ام راه میندازم و برام دعای خوب میکنه</x:v>
      </x:c>
      <x:c r="D378" s="34" t="str">
        <x:v>POSSIBLE</x:v>
      </x:c>
      <x:c r="E378" s="34" t="str">
        <x:v>85.5</x:v>
      </x:c>
      <x:c r="F378" s="34" t="str">
        <x:v>MI-0019</x:v>
      </x:c>
      <x:c r="G378" s="39" t="str">
        <x:v>آشنایی با نرم افزار املاک</x:v>
      </x:c>
      <x:c r="H378" s="39" t="str">
        <x:v>H1</x:v>
      </x:c>
      <x:c r="I378" s="39" t="str">
        <x:v>P0</x:v>
      </x:c>
      <x:c r="J378" s="39" t="str">
        <x:v>H1</x:v>
      </x:c>
      <x:c r="K378" s="39" t="str">
        <x:v>تطبیق احتمالی با پایه</x:v>
      </x:c>
      <x:c r="L378" s="39" t="str">
        <x:v>MI-0019</x:v>
      </x:c>
      <x:c r="M378" s="39" t="str">
        <x:v>آشنایی با نرم افزار املاک</x:v>
      </x:c>
      <x:c r="N378" s="39" t="str">
        <x:v>فرم مورد نیاز کوچ ساکی.docx::T26R2C1.10 | فرم مورد نیاز کوچ ساکی (1).docx::T26R2C1.10</x:v>
      </x:c>
      <x:c r="O378" s="39"/>
    </x:row>
    <x:row r="379">
      <x:c r="A379" s="34" t="str">
        <x:v>☐</x:v>
      </x:c>
      <x:c r="B379" s="34" t="str">
        <x:v>EX-0351</x:v>
      </x:c>
      <x:c r="C379" s="34" t="str">
        <x:v>وقتی به من یه کاری رو بسپارن که خلاقیتم رو بخواد، نظرمو بخواد، دستم باز باشه برای انجامش</x:v>
      </x:c>
      <x:c r="D379" s="34" t="str">
        <x:v>POSSIBLE</x:v>
      </x:c>
      <x:c r="E379" s="34" t="str">
        <x:v>85.5</x:v>
      </x:c>
      <x:c r="F379" s="34" t="str">
        <x:v>MI-0021</x:v>
      </x:c>
      <x:c r="G379" s="39" t="str">
        <x:v>برنامه ریزی بسیار جدی تر برای دروس دانشگاه نوشیروانی بابل</x:v>
      </x:c>
      <x:c r="H379" s="39" t="str">
        <x:v>H1</x:v>
      </x:c>
      <x:c r="I379" s="39" t="str">
        <x:v>P0</x:v>
      </x:c>
      <x:c r="J379" s="39" t="str">
        <x:v>H1</x:v>
      </x:c>
      <x:c r="K379" s="39" t="str">
        <x:v>تطبیق احتمالی با پایه</x:v>
      </x:c>
      <x:c r="L379" s="39" t="str">
        <x:v>MI-0021</x:v>
      </x:c>
      <x:c r="M379" s="39" t="str">
        <x:v>برنامه ریزی بسیار جدی تر برای دروس دانشگاه نوشیروانی بابل</x:v>
      </x:c>
      <x:c r="N379" s="39" t="str">
        <x:v>فرم مورد نیاز کوچ ساکی.docx::T26R2C1.11 | فرم مورد نیاز کوچ ساکی (1).docx::T26R2C1.11</x:v>
      </x:c>
      <x:c r="O379" s="39"/>
    </x:row>
    <x:row r="380">
      <x:c r="A380" s="34" t="str">
        <x:v>☐</x:v>
      </x:c>
      <x:c r="B380" s="34" t="str">
        <x:v>EX-0352</x:v>
      </x:c>
      <x:c r="C380" s="34" t="str">
        <x:v>وقتی با یه نرم افزار مهندسی کار میکنم و مسلطم</x:v>
      </x:c>
      <x:c r="D380" s="34" t="str">
        <x:v>POSSIBLE</x:v>
      </x:c>
      <x:c r="E380" s="34" t="str">
        <x:v>85.5</x:v>
      </x:c>
      <x:c r="F380" s="34" t="str">
        <x:v>MI-1501</x:v>
      </x:c>
      <x:c r="G380" s="39" t="str">
        <x:v>مدیریت ریسک: شناسایی ریسک ها، ارزیابی اثرات، تدوین برنامه های مقابله با ریسک ها.</x:v>
      </x:c>
      <x:c r="H380" s="39" t="str">
        <x:v>H1</x:v>
      </x:c>
      <x:c r="I380" s="39" t="str">
        <x:v>P0</x:v>
      </x:c>
      <x:c r="J380" s="39" t="str">
        <x:v>H1</x:v>
      </x:c>
      <x:c r="K380" s="39" t="str">
        <x:v>تطبیق احتمالی با پایه</x:v>
      </x:c>
      <x:c r="L380" s="39" t="str">
        <x:v>MI-1501</x:v>
      </x:c>
      <x:c r="M380" s="39" t="str">
        <x:v>مدیریت ریسک: شناسایی ریسک ها، ارزیابی اثرات، تدوین برنامه های مقابله با ریسک ها.</x:v>
      </x:c>
      <x:c r="N380" s="39" t="str">
        <x:v>فرم مورد نیاز کوچ ساکی.docx::T26R2C1.12 | فرم مورد نیاز کوچ ساکی (1).docx::T26R2C1.12</x:v>
      </x:c>
      <x:c r="O380" s="39"/>
    </x:row>
    <x:row r="381">
      <x:c r="A381" s="34" t="str">
        <x:v>☐</x:v>
      </x:c>
      <x:c r="B381" s="34" t="str">
        <x:v>EX-0353</x:v>
      </x:c>
      <x:c r="C381" s="34" t="str">
        <x:v>وقتی نوشیدنی گرم موقع کارم میخورم</x:v>
      </x:c>
      <x:c r="D381" s="34" t="str">
        <x:v>POSSIBLE</x:v>
      </x:c>
      <x:c r="E381" s="34" t="str">
        <x:v>85.5</x:v>
      </x:c>
      <x:c r="F381" s="34" t="str">
        <x:v>MI-3098</x:v>
      </x:c>
      <x:c r="G381" s="39" t="str">
        <x:v>حتی وقتی خسته هستید یا استرس دارید، باز هم دوست دارید چه کاری رو انجام دهید؟</x:v>
      </x:c>
      <x:c r="H381" s="39" t="str">
        <x:v>H1</x:v>
      </x:c>
      <x:c r="I381" s="39" t="str">
        <x:v>P0</x:v>
      </x:c>
      <x:c r="J381" s="39" t="str">
        <x:v>H1</x:v>
      </x:c>
      <x:c r="K381" s="39" t="str">
        <x:v>تطبیق احتمالی با پایه</x:v>
      </x:c>
      <x:c r="L381" s="39" t="str">
        <x:v>MI-3098</x:v>
      </x:c>
      <x:c r="M381" s="39" t="str">
        <x:v>حتی وقتی خسته هستید یا استرس دارید، باز هم دوست دارید چه کاری رو انجام دهید؟</x:v>
      </x:c>
      <x:c r="N381" s="39" t="str">
        <x:v>فرم مورد نیاز کوچ ساکی.docx::T26R2C1.13 | فرم مورد نیاز کوچ ساکی (1).docx::T26R2C1.13</x:v>
      </x:c>
      <x:c r="O381" s="39"/>
    </x:row>
    <x:row r="382">
      <x:c r="A382" s="34" t="str">
        <x:v>☐</x:v>
      </x:c>
      <x:c r="B382" s="34" t="str">
        <x:v>EX-0354</x:v>
      </x:c>
      <x:c r="C382" s="34" t="str">
        <x:v>وقتی اشتغال زایی کنم</x:v>
      </x:c>
      <x:c r="D382" s="34" t="str">
        <x:v>POSSIBLE</x:v>
      </x:c>
      <x:c r="E382" s="34" t="str">
        <x:v>90.0</x:v>
      </x:c>
      <x:c r="F382" s="34" t="str">
        <x:v>MI-2681</x:v>
      </x:c>
      <x:c r="G382" s="39" t="str">
        <x:v>اشتغال</x:v>
      </x:c>
      <x:c r="H382" s="39" t="str">
        <x:v>H20</x:v>
      </x:c>
      <x:c r="I382" s="39" t="str">
        <x:v>P3/CLARIFY</x:v>
      </x:c>
      <x:c r="J382" s="39" t="str">
        <x:v>H20</x:v>
      </x:c>
      <x:c r="K382" s="39" t="str">
        <x:v>تطبیق احتمالی با پایه</x:v>
      </x:c>
      <x:c r="L382" s="39" t="str">
        <x:v>MI-2681</x:v>
      </x:c>
      <x:c r="M382" s="39" t="str">
        <x:v>اشتغال</x:v>
      </x:c>
      <x:c r="N382" s="39" t="str">
        <x:v>فرم مورد نیاز کوچ ساکی.docx::T26R2C1.14 | فرم مورد نیاز کوچ ساکی (1).docx::T26R2C1.14</x:v>
      </x:c>
      <x:c r="O382" s="39"/>
    </x:row>
    <x:row r="383">
      <x:c r="A383" s="34" t="str">
        <x:v>☐</x:v>
      </x:c>
      <x:c r="B383" s="34" t="str">
        <x:v>EX-0355</x:v>
      </x:c>
      <x:c r="C383" s="34" t="str">
        <x:v>وقتی صحبتم برای یه عده جذاب باشه</x:v>
      </x:c>
      <x:c r="D383" s="34" t="str">
        <x:v>POSSIBLE</x:v>
      </x:c>
      <x:c r="E383" s="34" t="str">
        <x:v>90.0</x:v>
      </x:c>
      <x:c r="F383" s="34" t="str">
        <x:v>MI-2268</x:v>
      </x:c>
      <x:c r="G383" s="39" t="str">
        <x:v>برای:</x:v>
      </x:c>
      <x:c r="H383" s="39" t="str">
        <x:v>H20</x:v>
      </x:c>
      <x:c r="I383" s="39" t="str">
        <x:v>P3/CLARIFY</x:v>
      </x:c>
      <x:c r="J383" s="39" t="str">
        <x:v>H20</x:v>
      </x:c>
      <x:c r="K383" s="39" t="str">
        <x:v>تطبیق احتمالی با پایه</x:v>
      </x:c>
      <x:c r="L383" s="39" t="str">
        <x:v>MI-2268</x:v>
      </x:c>
      <x:c r="M383" s="39" t="str">
        <x:v>برای:</x:v>
      </x:c>
      <x:c r="N383" s="39" t="str">
        <x:v>فرم مورد نیاز کوچ ساکی.docx::T26R2C1.15 | فرم مورد نیاز کوچ ساکی (1).docx::T26R2C1.15</x:v>
      </x:c>
      <x:c r="O383" s="39"/>
    </x:row>
    <x:row r="384">
      <x:c r="A384" s="34" t="str">
        <x:v>☐</x:v>
      </x:c>
      <x:c r="B384" s="34" t="str">
        <x:v>EX-0356</x:v>
      </x:c>
      <x:c r="C384" s="34" t="str">
        <x:v>وقتی خارج از چارچوب یه جماعتی فکر میکنم و اقدامی جسورانه انجام میدم مثل صحبت یا انتقادی خلاف جریان صحبت هایی که انجام شده</x:v>
      </x:c>
      <x:c r="D384" s="34" t="str">
        <x:v>POSSIBLE</x:v>
      </x:c>
      <x:c r="E384" s="34" t="str">
        <x:v>85.5</x:v>
      </x:c>
      <x:c r="F384" s="34" t="str">
        <x:v>MI-1513</x:v>
      </x:c>
      <x:c r="G384" s="39" t="str">
        <x:v>تولید و کارآفرینی: توانایی تولید محصول و خدمات و ایجاد شغل.</x:v>
      </x:c>
      <x:c r="H384" s="39" t="str">
        <x:v>H1</x:v>
      </x:c>
      <x:c r="I384" s="39" t="str">
        <x:v>P0</x:v>
      </x:c>
      <x:c r="J384" s="39" t="str">
        <x:v>H1</x:v>
      </x:c>
      <x:c r="K384" s="39" t="str">
        <x:v>تطبیق احتمالی با پایه</x:v>
      </x:c>
      <x:c r="L384" s="39" t="str">
        <x:v>MI-1513</x:v>
      </x:c>
      <x:c r="M384" s="39" t="str">
        <x:v>تولید و کارآفرینی: توانایی تولید محصول و خدمات و ایجاد شغل.</x:v>
      </x:c>
      <x:c r="N384" s="39" t="str">
        <x:v>فرم مورد نیاز کوچ ساکی.docx::T26R2C1.16 | فرم مورد نیاز کوچ ساکی (1).docx::T26R2C1.16</x:v>
      </x:c>
      <x:c r="O384" s="39"/>
    </x:row>
    <x:row r="385">
      <x:c r="A385" s="34" t="str">
        <x:v>☐</x:v>
      </x:c>
      <x:c r="B385" s="34" t="str">
        <x:v>EX-0357</x:v>
      </x:c>
      <x:c r="C385" s="34" t="str">
        <x:v>وقتی افراد رو رهبری میکنم و کاری رو که میخوام انجام میدن</x:v>
      </x:c>
      <x:c r="D385" s="34" t="str">
        <x:v>POSSIBLE</x:v>
      </x:c>
      <x:c r="E385" s="34" t="str">
        <x:v>85.5</x:v>
      </x:c>
      <x:c r="F385" s="34" t="str">
        <x:v>MI-0029</x:v>
      </x:c>
      <x:c r="G385" s="39" t="str">
        <x:v>تدریس ریاضی و فیزیک</x:v>
      </x:c>
      <x:c r="H385" s="39" t="str">
        <x:v>H1</x:v>
      </x:c>
      <x:c r="I385" s="39" t="str">
        <x:v>P0</x:v>
      </x:c>
      <x:c r="J385" s="39" t="str">
        <x:v>H1</x:v>
      </x:c>
      <x:c r="K385" s="39" t="str">
        <x:v>تطبیق احتمالی با پایه</x:v>
      </x:c>
      <x:c r="L385" s="39" t="str">
        <x:v>MI-0029</x:v>
      </x:c>
      <x:c r="M385" s="39" t="str">
        <x:v>تدریس ریاضی و فیزیک</x:v>
      </x:c>
      <x:c r="N385" s="39" t="str">
        <x:v>فرم مورد نیاز کوچ ساکی.docx::T26R2C1.17 | فرم مورد نیاز کوچ ساکی (1).docx::T26R2C1.17</x:v>
      </x:c>
      <x:c r="O385" s="39"/>
    </x:row>
    <x:row r="386">
      <x:c r="A386" s="34" t="str">
        <x:v>☐</x:v>
      </x:c>
      <x:c r="B386" s="34" t="str">
        <x:v>EX-0358</x:v>
      </x:c>
      <x:c r="C386" s="34" t="str">
        <x:v>وقتی مسئولیت های بالاتر رو بهم میدن</x:v>
      </x:c>
      <x:c r="D386" s="34" t="str">
        <x:v>POSSIBLE</x:v>
      </x:c>
      <x:c r="E386" s="34" t="str">
        <x:v>85.5</x:v>
      </x:c>
      <x:c r="F386" s="34" t="str">
        <x:v>MI-1501</x:v>
      </x:c>
      <x:c r="G386" s="39" t="str">
        <x:v>مدیریت ریسک: شناسایی ریسک ها، ارزیابی اثرات، تدوین برنامه های مقابله با ریسک ها.</x:v>
      </x:c>
      <x:c r="H386" s="39" t="str">
        <x:v>H1</x:v>
      </x:c>
      <x:c r="I386" s="39" t="str">
        <x:v>P0</x:v>
      </x:c>
      <x:c r="J386" s="39" t="str">
        <x:v>H1</x:v>
      </x:c>
      <x:c r="K386" s="39" t="str">
        <x:v>تطبیق احتمالی با پایه</x:v>
      </x:c>
      <x:c r="L386" s="39" t="str">
        <x:v>MI-1501</x:v>
      </x:c>
      <x:c r="M386" s="39" t="str">
        <x:v>مدیریت ریسک: شناسایی ریسک ها، ارزیابی اثرات، تدوین برنامه های مقابله با ریسک ها.</x:v>
      </x:c>
      <x:c r="N386" s="39" t="str">
        <x:v>فرم مورد نیاز کوچ ساکی.docx::T26R2C1.18 | فرم مورد نیاز کوچ ساکی (1).docx::T26R2C1.18</x:v>
      </x:c>
      <x:c r="O386" s="39"/>
    </x:row>
    <x:row r="387">
      <x:c r="A387" s="34" t="str">
        <x:v>☐</x:v>
      </x:c>
      <x:c r="B387" s="34" t="str">
        <x:v>EX-0359</x:v>
      </x:c>
      <x:c r="C387" s="34" t="str">
        <x:v>وقتی بحثی اتفاق میفته و با دست پر حاضر میشم و یا ورود میکنم و همه رو همسو با خودم میکنم</x:v>
      </x:c>
      <x:c r="D387" s="34" t="str">
        <x:v>POSSIBLE</x:v>
      </x:c>
      <x:c r="E387" s="34" t="str">
        <x:v>85.5</x:v>
      </x:c>
      <x:c r="F387" s="34" t="str">
        <x:v>MI-1513</x:v>
      </x:c>
      <x:c r="G387" s="39" t="str">
        <x:v>تولید و کارآفرینی: توانایی تولید محصول و خدمات و ایجاد شغل.</x:v>
      </x:c>
      <x:c r="H387" s="39" t="str">
        <x:v>H1</x:v>
      </x:c>
      <x:c r="I387" s="39" t="str">
        <x:v>P0</x:v>
      </x:c>
      <x:c r="J387" s="39" t="str">
        <x:v>H1</x:v>
      </x:c>
      <x:c r="K387" s="39" t="str">
        <x:v>تطبیق احتمالی با پایه</x:v>
      </x:c>
      <x:c r="L387" s="39" t="str">
        <x:v>MI-1513</x:v>
      </x:c>
      <x:c r="M387" s="39" t="str">
        <x:v>تولید و کارآفرینی: توانایی تولید محصول و خدمات و ایجاد شغل.</x:v>
      </x:c>
      <x:c r="N387" s="39" t="str">
        <x:v>فرم مورد نیاز کوچ ساکی.docx::T26R2C1.19 | فرم مورد نیاز کوچ ساکی (1).docx::T26R2C1.19</x:v>
      </x:c>
      <x:c r="O387" s="39"/>
    </x:row>
    <x:row r="388">
      <x:c r="A388" s="34" t="str">
        <x:v>☐</x:v>
      </x:c>
      <x:c r="B388" s="34" t="str">
        <x:v>EX-0360</x:v>
      </x:c>
      <x:c r="C388" s="34" t="str">
        <x:v>یا وقتی همه چیز به یه سمت داره پیش میره و وارد میشم  و همه نظرات رو با خودم همسو میکنم</x:v>
      </x:c>
      <x:c r="D388" s="34" t="str">
        <x:v>POSSIBLE</x:v>
      </x:c>
      <x:c r="E388" s="34" t="str">
        <x:v>85.5</x:v>
      </x:c>
      <x:c r="F388" s="34" t="str">
        <x:v>MI-0019</x:v>
      </x:c>
      <x:c r="G388" s="39" t="str">
        <x:v>آشنایی با نرم افزار املاک</x:v>
      </x:c>
      <x:c r="H388" s="39" t="str">
        <x:v>H1</x:v>
      </x:c>
      <x:c r="I388" s="39" t="str">
        <x:v>P0</x:v>
      </x:c>
      <x:c r="J388" s="39" t="str">
        <x:v>H1</x:v>
      </x:c>
      <x:c r="K388" s="39" t="str">
        <x:v>تطبیق احتمالی با پایه</x:v>
      </x:c>
      <x:c r="L388" s="39" t="str">
        <x:v>MI-0019</x:v>
      </x:c>
      <x:c r="M388" s="39" t="str">
        <x:v>آشنایی با نرم افزار املاک</x:v>
      </x:c>
      <x:c r="N388" s="39" t="str">
        <x:v>فرم مورد نیاز کوچ ساکی.docx::T26R2C1.20 | فرم مورد نیاز کوچ ساکی (1).docx::T26R2C1.20</x:v>
      </x:c>
      <x:c r="O388" s="39"/>
    </x:row>
    <x:row r="389">
      <x:c r="A389" s="34" t="str">
        <x:v>☐</x:v>
      </x:c>
      <x:c r="B389" s="34" t="str">
        <x:v>EX-0361</x:v>
      </x:c>
      <x:c r="C389" s="34" t="str">
        <x:v>وقتی بخوام در جلسه ای باشم و باید برای اون دستم پر باشه که چه چیزایی بگم و باید متن اماده کنم</x:v>
      </x:c>
      <x:c r="D389" s="34" t="str">
        <x:v>POSSIBLE</x:v>
      </x:c>
      <x:c r="E389" s="34" t="str">
        <x:v>90.0</x:v>
      </x:c>
      <x:c r="F389" s="34" t="str">
        <x:v>MI-3093</x:v>
      </x:c>
      <x:c r="G389" s="39" t="str">
        <x:v>وقتی بخوام در جلسه ای باشم و باید برای اون دستم پر باشه که چه چیزایی بگم و باید متن اماده کنم وقتی ایده ای در سرم دارم و باید از اون فرداش دفاع کنم وقتی یه سری دیتای زیاد بهم میدن و میگن مرتبش کن وقتی بخوام اسناد و مدارک زیادی رو بررسی کنم و بفهمم از قبل در اون مسیولیتی که هستم چی پیش اومده تا بتونم هم تجربه کسب کنم و هم شرایط رو بفهمم و مسلط بشم و در تصمیم گیری های بعدی بهتر باشم و همچنین بتونم در امورات بهتر عمل کنم وقتی بخوام یه پروپوزالی تعریف کنم که دغدغه ای بتونه بر طرف کنه ، وقتی اتوماسیونی بخوام راه بندازم و بفهمم تهش خوب پیش میره وقتی تصور میکنم این کاری که انجام میدم چقدر میتونه مفید باشه دیدن سریال مورد علاقه ام خواندن کتاب مورد علاقه ام</x:v>
      </x:c>
      <x:c r="H389" s="39" t="str">
        <x:v>H13</x:v>
      </x:c>
      <x:c r="I389" s="39" t="str">
        <x:v>BANK</x:v>
      </x:c>
      <x:c r="J389" s="39" t="str">
        <x:v>H13</x:v>
      </x:c>
      <x:c r="K389" s="39" t="str">
        <x:v>تطبیق احتمالی با پایه</x:v>
      </x:c>
      <x:c r="L389" s="39" t="str">
        <x:v>MI-3093</x:v>
      </x:c>
      <x:c r="M389" s="39" t="str">
        <x:v>وقتی بخوام در جلسه ای باشم و باید برای اون دستم پر باشه که چه چیزایی بگم و باید متن اماده کنم وقتی ایده ای در سرم دارم و باید از اون فرداش دفاع کنم وقتی یه سری دیتای زیاد بهم میدن و میگن مرتبش کن وقتی بخوام اسناد و مدارک زیادی رو بررسی کنم و بفهمم از قبل در اون مسیولیتی که هستم چی پیش اومده تا بتونم هم تجربه کسب کنم و هم شرایط رو بفهمم و مسلط بشم و در تصمیم گیری های بعدی بهتر باشم و همچنین بتونم در امورات بهتر عمل کنم وقتی بخوام یه پروپوزالی تعریف کنم که دغدغه ای بتونه بر طرف کنه ، وقتی اتوماسیونی بخوام راه بندازم و بفهمم تهش خوب پیش میره وقتی تصور میکنم این کاری که انجام میدم چقدر میتونه مفید باشه دیدن سریال مورد علاقه ام خواندن کتاب مورد علاقه ام</x:v>
      </x:c>
      <x:c r="N389" s="39" t="str">
        <x:v>فرم مورد نیاز کوچ ساکی.docx::T27R2C1.1 | فرم مورد نیاز کوچ ساکی (1).docx::T27R2C1.1</x:v>
      </x:c>
      <x:c r="O389" s="39"/>
    </x:row>
    <x:row r="390">
      <x:c r="A390" s="34" t="str">
        <x:v>☐</x:v>
      </x:c>
      <x:c r="B390" s="34" t="str">
        <x:v>EX-0362</x:v>
      </x:c>
      <x:c r="C390" s="34" t="str">
        <x:v>وقتی ایده ای در سرم دارم و باید از اون فرداش دفاع کنم</x:v>
      </x:c>
      <x:c r="D390" s="34" t="str">
        <x:v>POSSIBLE</x:v>
      </x:c>
      <x:c r="E390" s="34" t="str">
        <x:v>85.5</x:v>
      </x:c>
      <x:c r="F390" s="34" t="str">
        <x:v>MI-2921</x:v>
      </x:c>
      <x:c r="G390" s="39" t="str">
        <x:v>ساختار تصمیم گیری چگونه باید باشد</x:v>
      </x:c>
      <x:c r="H390" s="39" t="str">
        <x:v>H1</x:v>
      </x:c>
      <x:c r="I390" s="39" t="str">
        <x:v>P0</x:v>
      </x:c>
      <x:c r="J390" s="39" t="str">
        <x:v>H1</x:v>
      </x:c>
      <x:c r="K390" s="39" t="str">
        <x:v>تطبیق احتمالی با پایه</x:v>
      </x:c>
      <x:c r="L390" s="39" t="str">
        <x:v>MI-2921</x:v>
      </x:c>
      <x:c r="M390" s="39" t="str">
        <x:v>ساختار تصمیم گیری چگونه باید باشد</x:v>
      </x:c>
      <x:c r="N390" s="39" t="str">
        <x:v>فرم مورد نیاز کوچ ساکی.docx::T27R2C1.2 | فرم مورد نیاز کوچ ساکی (1).docx::T27R2C1.2</x:v>
      </x:c>
      <x:c r="O390" s="39"/>
    </x:row>
    <x:row r="391">
      <x:c r="A391" s="34" t="str">
        <x:v>☐</x:v>
      </x:c>
      <x:c r="B391" s="34" t="str">
        <x:v>EX-0363</x:v>
      </x:c>
      <x:c r="C391" s="34" t="str">
        <x:v>وقتی یه سری دیتای زیاد بهم میدن و میگن مرتبش کن</x:v>
      </x:c>
      <x:c r="D391" s="34" t="str">
        <x:v>POSSIBLE</x:v>
      </x:c>
      <x:c r="E391" s="34" t="str">
        <x:v>85.5</x:v>
      </x:c>
      <x:c r="F391" s="34" t="str">
        <x:v>MI-0029</x:v>
      </x:c>
      <x:c r="G391" s="39" t="str">
        <x:v>تدریس ریاضی و فیزیک</x:v>
      </x:c>
      <x:c r="H391" s="39" t="str">
        <x:v>H1</x:v>
      </x:c>
      <x:c r="I391" s="39" t="str">
        <x:v>P0</x:v>
      </x:c>
      <x:c r="J391" s="39" t="str">
        <x:v>H1</x:v>
      </x:c>
      <x:c r="K391" s="39" t="str">
        <x:v>تطبیق احتمالی با پایه</x:v>
      </x:c>
      <x:c r="L391" s="39" t="str">
        <x:v>MI-0029</x:v>
      </x:c>
      <x:c r="M391" s="39" t="str">
        <x:v>تدریس ریاضی و فیزیک</x:v>
      </x:c>
      <x:c r="N391" s="39" t="str">
        <x:v>فرم مورد نیاز کوچ ساکی.docx::T27R2C1.3 | فرم مورد نیاز کوچ ساکی (1).docx::T27R2C1.3</x:v>
      </x:c>
      <x:c r="O391" s="39"/>
    </x:row>
    <x:row r="392">
      <x:c r="A392" s="34" t="str">
        <x:v>☐</x:v>
      </x:c>
      <x:c r="B392" s="34" t="str">
        <x:v>EX-0364</x:v>
      </x:c>
      <x:c r="C392" s="34" t="str">
        <x:v>وقتی بخوام اسناد و مدارک زیادی رو بررسی کنم و بفهمم از قبل در اون مسئولیتی که هستم چی پیش اومده تا بتونم هم تجربه کسب کنم و هم شرایط رو بفهمم و مسلط بشم و در تصمیم گیری های بعدی بهتر باشم و همچنین بتونم در امورات بهتر عمل کنم</x:v>
      </x:c>
      <x:c r="D392" s="34" t="str">
        <x:v>POSSIBLE</x:v>
      </x:c>
      <x:c r="E392" s="34" t="str">
        <x:v>89.6</x:v>
      </x:c>
      <x:c r="F392" s="34" t="str">
        <x:v>MI-3093</x:v>
      </x:c>
      <x:c r="G392" s="39" t="str">
        <x:v>وقتی بخوام در جلسه ای باشم و باید برای اون دستم پر باشه که چه چیزایی بگم و باید متن اماده کنم وقتی ایده ای در سرم دارم و باید از اون فرداش دفاع کنم وقتی یه سری دیتای زیاد بهم میدن و میگن مرتبش کن وقتی بخوام اسناد و مدارک زیادی رو بررسی کنم و بفهمم از قبل در اون مسیولیتی که هستم چی پیش اومده تا بتونم هم تجربه کسب کنم و هم شرایط رو بفهمم و مسلط بشم و در تصمیم گیری های بعدی بهتر باشم و همچنین بتونم در امورات بهتر عمل کنم وقتی بخوام یه پروپوزالی تعریف کنم که دغدغه ای بتونه بر طرف کنه ، وقتی اتوماسیونی بخوام راه بندازم و بفهمم تهش خوب پیش میره وقتی تصور میکنم این کاری که انجام میدم چقدر میتونه مفید باشه دیدن سریال مورد علاقه ام خواندن کتاب مورد علاقه ام</x:v>
      </x:c>
      <x:c r="H392" s="39" t="str">
        <x:v>H13</x:v>
      </x:c>
      <x:c r="I392" s="39" t="str">
        <x:v>BANK</x:v>
      </x:c>
      <x:c r="J392" s="39" t="str">
        <x:v>H13</x:v>
      </x:c>
      <x:c r="K392" s="39" t="str">
        <x:v>تطبیق احتمالی با پایه</x:v>
      </x:c>
      <x:c r="L392" s="39" t="str">
        <x:v>MI-3093</x:v>
      </x:c>
      <x:c r="M392" s="39" t="str">
        <x:v>وقتی بخوام در جلسه ای باشم و باید برای اون دستم پر باشه که چه چیزایی بگم و باید متن اماده کنم وقتی ایده ای در سرم دارم و باید از اون فرداش دفاع کنم وقتی یه سری دیتای زیاد بهم میدن و میگن مرتبش کن وقتی بخوام اسناد و مدارک زیادی رو بررسی کنم و بفهمم از قبل در اون مسیولیتی که هستم چی پیش اومده تا بتونم هم تجربه کسب کنم و هم شرایط رو بفهمم و مسلط بشم و در تصمیم گیری های بعدی بهتر باشم و همچنین بتونم در امورات بهتر عمل کنم وقتی بخوام یه پروپوزالی تعریف کنم که دغدغه ای بتونه بر طرف کنه ، وقتی اتوماسیونی بخوام راه بندازم و بفهمم تهش خوب پیش میره وقتی تصور میکنم این کاری که انجام میدم چقدر میتونه مفید باشه دیدن سریال مورد علاقه ام خواندن کتاب مورد علاقه ام</x:v>
      </x:c>
      <x:c r="N392" s="39" t="str">
        <x:v>فرم مورد نیاز کوچ ساکی.docx::T27R2C1.4 | فرم مورد نیاز کوچ ساکی (1).docx::T27R2C1.4</x:v>
      </x:c>
      <x:c r="O392" s="39"/>
    </x:row>
    <x:row r="393">
      <x:c r="A393" s="34" t="str">
        <x:v>☐</x:v>
      </x:c>
      <x:c r="B393" s="34" t="str">
        <x:v>EX-0365</x:v>
      </x:c>
      <x:c r="C393" s="34" t="str">
        <x:v>وقتی بخوام یه پروپوزالی تعریف کنم که دغدغه ای بتونه بر طرف کنه ،</x:v>
      </x:c>
      <x:c r="D393" s="34" t="str">
        <x:v>POSSIBLE</x:v>
      </x:c>
      <x:c r="E393" s="34" t="str">
        <x:v>85.5</x:v>
      </x:c>
      <x:c r="F393" s="34" t="str">
        <x:v>MI-2505</x:v>
      </x:c>
      <x:c r="G393" s="39" t="str">
        <x:v>تمرکز روی مهارت هایی که بازار نیاز دارد.</x:v>
      </x:c>
      <x:c r="H393" s="39" t="str">
        <x:v>H1</x:v>
      </x:c>
      <x:c r="I393" s="39" t="str">
        <x:v>P0</x:v>
      </x:c>
      <x:c r="J393" s="39" t="str">
        <x:v>H1</x:v>
      </x:c>
      <x:c r="K393" s="39" t="str">
        <x:v>تطبیق احتمالی با پایه</x:v>
      </x:c>
      <x:c r="L393" s="39" t="str">
        <x:v>MI-2505</x:v>
      </x:c>
      <x:c r="M393" s="39" t="str">
        <x:v>تمرکز روی مهارت هایی که بازار نیاز دارد.</x:v>
      </x:c>
      <x:c r="N393" s="39" t="str">
        <x:v>فرم مورد نیاز کوچ ساکی.docx::T27R2C1.5 | فرم مورد نیاز کوچ ساکی (1).docx::T27R2C1.5</x:v>
      </x:c>
      <x:c r="O393" s="39"/>
    </x:row>
    <x:row r="394">
      <x:c r="A394" s="34" t="str">
        <x:v>☐</x:v>
      </x:c>
      <x:c r="B394" s="34" t="str">
        <x:v>EX-0366</x:v>
      </x:c>
      <x:c r="C394" s="34" t="str">
        <x:v>وقتی اتوماسیونی بخوام راه بندازم و بفهمم تهش خوب پیش میره</x:v>
      </x:c>
      <x:c r="D394" s="34" t="str">
        <x:v>POSSIBLE</x:v>
      </x:c>
      <x:c r="E394" s="34" t="str">
        <x:v>85.5</x:v>
      </x:c>
      <x:c r="F394" s="34" t="str">
        <x:v>MI-0023</x:v>
      </x:c>
      <x:c r="G394" s="39" t="str">
        <x:v>برنامه ریزی دقیق و علمگرا هییت دانشگاه</x:v>
      </x:c>
      <x:c r="H394" s="39" t="str">
        <x:v>H1</x:v>
      </x:c>
      <x:c r="I394" s="39" t="str">
        <x:v>P0</x:v>
      </x:c>
      <x:c r="J394" s="39" t="str">
        <x:v>H1</x:v>
      </x:c>
      <x:c r="K394" s="39" t="str">
        <x:v>تطبیق احتمالی با پایه</x:v>
      </x:c>
      <x:c r="L394" s="39" t="str">
        <x:v>MI-0023</x:v>
      </x:c>
      <x:c r="M394" s="39" t="str">
        <x:v>برنامه ریزی دقیق و علمگرا هییت دانشگاه</x:v>
      </x:c>
      <x:c r="N394" s="39" t="str">
        <x:v>فرم مورد نیاز کوچ ساکی.docx::T27R2C1.6 | فرم مورد نیاز کوچ ساکی (1).docx::T27R2C1.6</x:v>
      </x:c>
      <x:c r="O394" s="39"/>
    </x:row>
    <x:row r="395">
      <x:c r="A395" s="34" t="str">
        <x:v>☐</x:v>
      </x:c>
      <x:c r="B395" s="34" t="str">
        <x:v>EX-0367</x:v>
      </x:c>
      <x:c r="C395" s="34" t="str">
        <x:v>وقتی تصور میکنم این کاری که انجام میدم چقدر میتونه مفید باشه</x:v>
      </x:c>
      <x:c r="D395" s="34" t="str">
        <x:v>POSSIBLE</x:v>
      </x:c>
      <x:c r="E395" s="34" t="str">
        <x:v>85.5</x:v>
      </x:c>
      <x:c r="F395" s="34" t="str">
        <x:v>MI-2505</x:v>
      </x:c>
      <x:c r="G395" s="39" t="str">
        <x:v>تمرکز روی مهارت هایی که بازار نیاز دارد.</x:v>
      </x:c>
      <x:c r="H395" s="39" t="str">
        <x:v>H1</x:v>
      </x:c>
      <x:c r="I395" s="39" t="str">
        <x:v>P0</x:v>
      </x:c>
      <x:c r="J395" s="39" t="str">
        <x:v>H1</x:v>
      </x:c>
      <x:c r="K395" s="39" t="str">
        <x:v>تطبیق احتمالی با پایه</x:v>
      </x:c>
      <x:c r="L395" s="39" t="str">
        <x:v>MI-2505</x:v>
      </x:c>
      <x:c r="M395" s="39" t="str">
        <x:v>تمرکز روی مهارت هایی که بازار نیاز دارد.</x:v>
      </x:c>
      <x:c r="N395" s="39" t="str">
        <x:v>فرم مورد نیاز کوچ ساکی.docx::T27R2C1.7 | فرم مورد نیاز کوچ ساکی (1).docx::T27R2C1.7</x:v>
      </x:c>
      <x:c r="O395" s="39"/>
    </x:row>
    <x:row r="396">
      <x:c r="A396" s="34" t="str">
        <x:v>☐</x:v>
      </x:c>
      <x:c r="B396" s="34" t="str">
        <x:v>EX-0368</x:v>
      </x:c>
      <x:c r="C396" s="34" t="str">
        <x:v>دیدن سریال مورد علاقه ام</x:v>
      </x:c>
      <x:c r="D396" s="34" t="str">
        <x:v>POSSIBLE</x:v>
      </x:c>
      <x:c r="E396" s="34" t="str">
        <x:v>85.5</x:v>
      </x:c>
      <x:c r="F396" s="34" t="str">
        <x:v>MI-0276</x:v>
      </x:c>
      <x:c r="G396" s="39" t="str">
        <x:v>ایمان واثق و طرح گرفتن دیتای بسیار دقیق و حساب شده از تمامی رشته ها و گرایشات و دروس و نرم افزار های مورد نیاز از طریق آگهی استخدامی ها ف از طریق سایت ها ، و....</x:v>
      </x:c>
      <x:c r="H396" s="39" t="str">
        <x:v>H10</x:v>
      </x:c>
      <x:c r="I396" s="39" t="str">
        <x:v>BANK</x:v>
      </x:c>
      <x:c r="J396" s="39" t="str">
        <x:v>H10</x:v>
      </x:c>
      <x:c r="K396" s="39" t="str">
        <x:v>تطبیق احتمالی با پایه</x:v>
      </x:c>
      <x:c r="L396" s="39" t="str">
        <x:v>MI-0276</x:v>
      </x:c>
      <x:c r="M396" s="39" t="str">
        <x:v>ایمان واثق و طرح گرفتن دیتای بسیار دقیق و حساب شده از تمامی رشته ها و گرایشات و دروس و نرم افزار های مورد نیاز از طریق آگهی استخدامی ها ف از طریق سایت ها ، و....</x:v>
      </x:c>
      <x:c r="N396" s="39" t="str">
        <x:v>فرم مورد نیاز کوچ ساکی.docx::T27R2C1.8 | فرم مورد نیاز کوچ ساکی (1).docx::T27R2C1.8</x:v>
      </x:c>
      <x:c r="O396" s="39"/>
    </x:row>
    <x:row r="397">
      <x:c r="A397" s="34" t="str">
        <x:v>☐</x:v>
      </x:c>
      <x:c r="B397" s="34" t="str">
        <x:v>EX-0369</x:v>
      </x:c>
      <x:c r="C397" s="34" t="str">
        <x:v>خواندن کتاب مورد علاقه ام</x:v>
      </x:c>
      <x:c r="D397" s="34" t="str">
        <x:v>POSSIBLE</x:v>
      </x:c>
      <x:c r="E397" s="34" t="str">
        <x:v>85.5</x:v>
      </x:c>
      <x:c r="F397" s="34" t="str">
        <x:v>MI-0087</x:v>
      </x:c>
      <x:c r="G397" s="39" t="str">
        <x:v>خواندن دیکشنری فرهنگ لغت انگلیسی به فارسی</x:v>
      </x:c>
      <x:c r="H397" s="39" t="str">
        <x:v>H1</x:v>
      </x:c>
      <x:c r="I397" s="39" t="str">
        <x:v>BANK</x:v>
      </x:c>
      <x:c r="J397" s="39" t="str">
        <x:v>H1</x:v>
      </x:c>
      <x:c r="K397" s="39" t="str">
        <x:v>تطبیق احتمالی با پایه</x:v>
      </x:c>
      <x:c r="L397" s="39" t="str">
        <x:v>MI-0087</x:v>
      </x:c>
      <x:c r="M397" s="39" t="str">
        <x:v>خواندن دیکشنری فرهنگ لغت انگلیسی به فارسی</x:v>
      </x:c>
      <x:c r="N397" s="39" t="str">
        <x:v>فرم مورد نیاز کوچ ساکی.docx::T27R2C1.9 | فرم مورد نیاز کوچ ساکی (1).docx::T27R2C1.9</x:v>
      </x:c>
      <x:c r="O397" s="39"/>
    </x:row>
    <x:row r="398">
      <x:c r="A398" s="34" t="str">
        <x:v>☐</x:v>
      </x:c>
      <x:c r="B398" s="34" t="str">
        <x:v>EX-0370</x:v>
      </x:c>
      <x:c r="C398" s="34" t="str">
        <x:v>در زمینه هوش مصنوعی</x:v>
      </x:c>
      <x:c r="D398" s="34" t="str">
        <x:v>POSSIBLE</x:v>
      </x:c>
      <x:c r="E398" s="34" t="str">
        <x:v>90.0</x:v>
      </x:c>
      <x:c r="F398" s="34" t="str">
        <x:v>MI-2652</x:v>
      </x:c>
      <x:c r="G398" s="39" t="str">
        <x:v>هوش مصنوعی</x:v>
      </x:c>
      <x:c r="H398" s="39" t="str">
        <x:v>H7</x:v>
      </x:c>
      <x:c r="I398" s="39" t="str">
        <x:v>P1</x:v>
      </x:c>
      <x:c r="J398" s="39" t="str">
        <x:v>H7</x:v>
      </x:c>
      <x:c r="K398" s="39" t="str">
        <x:v>تطبیق احتمالی با پایه</x:v>
      </x:c>
      <x:c r="L398" s="39" t="str">
        <x:v>MI-2652</x:v>
      </x:c>
      <x:c r="M398" s="39" t="str">
        <x:v>هوش مصنوعی</x:v>
      </x:c>
      <x:c r="N398" s="39" t="str">
        <x:v>فرم مورد نیاز کوچ ساکی.docx::T28R2C1.1 | فرم مورد نیاز کوچ ساکی (1).docx::T28R2C1.1</x:v>
      </x:c>
      <x:c r="O398" s="39"/>
    </x:row>
    <x:row r="399">
      <x:c r="A399" s="34" t="str">
        <x:v>☐</x:v>
      </x:c>
      <x:c r="B399" s="34" t="str">
        <x:v>EX-0371</x:v>
      </x:c>
      <x:c r="C399" s="34" t="str">
        <x:v>تکنولوژی موبایل و اکسسوری</x:v>
      </x:c>
      <x:c r="D399" s="34" t="str">
        <x:v>POSSIBLE</x:v>
      </x:c>
      <x:c r="E399" s="34" t="str">
        <x:v>85.5</x:v>
      </x:c>
      <x:c r="F399" s="34" t="str">
        <x:v>MI-1513</x:v>
      </x:c>
      <x:c r="G399" s="39" t="str">
        <x:v>تولید و کارآفرینی: توانایی تولید محصول و خدمات و ایجاد شغل.</x:v>
      </x:c>
      <x:c r="H399" s="39" t="str">
        <x:v>H1</x:v>
      </x:c>
      <x:c r="I399" s="39" t="str">
        <x:v>P0</x:v>
      </x:c>
      <x:c r="J399" s="39" t="str">
        <x:v>H1</x:v>
      </x:c>
      <x:c r="K399" s="39" t="str">
        <x:v>تطبیق احتمالی با پایه</x:v>
      </x:c>
      <x:c r="L399" s="39" t="str">
        <x:v>MI-1513</x:v>
      </x:c>
      <x:c r="M399" s="39" t="str">
        <x:v>تولید و کارآفرینی: توانایی تولید محصول و خدمات و ایجاد شغل.</x:v>
      </x:c>
      <x:c r="N399" s="39" t="str">
        <x:v>فرم مورد نیاز کوچ ساکی.docx::T28R2C1.2 | فرم مورد نیاز کوچ ساکی (1).docx::T28R2C1.2</x:v>
      </x:c>
      <x:c r="O399" s="39"/>
    </x:row>
    <x:row r="400">
      <x:c r="A400" s="34" t="str">
        <x:v>☐</x:v>
      </x:c>
      <x:c r="B400" s="34" t="str">
        <x:v>EX-0372</x:v>
      </x:c>
      <x:c r="C400" s="34" t="str">
        <x:v>پرینتر 3 بعدی</x:v>
      </x:c>
      <x:c r="D400" s="34" t="str">
        <x:v>POSSIBLE</x:v>
      </x:c>
      <x:c r="E400" s="34" t="str">
        <x:v>85.5</x:v>
      </x:c>
      <x:c r="F400" s="34" t="str">
        <x:v>MI-2967</x:v>
      </x:c>
      <x:c r="G400" s="39" t="str">
        <x:v>واحد 3 — سیستم تیم سازی و نوآوری</x:v>
      </x:c>
      <x:c r="H400" s="39" t="str">
        <x:v>H4</x:v>
      </x:c>
      <x:c r="I400" s="39" t="str">
        <x:v>P1</x:v>
      </x:c>
      <x:c r="J400" s="39" t="str">
        <x:v>H4</x:v>
      </x:c>
      <x:c r="K400" s="39" t="str">
        <x:v>تطبیق احتمالی با پایه</x:v>
      </x:c>
      <x:c r="L400" s="39" t="str">
        <x:v>MI-2967</x:v>
      </x:c>
      <x:c r="M400" s="39" t="str">
        <x:v>واحد 3 — سیستم تیم سازی و نوآوری</x:v>
      </x:c>
      <x:c r="N400" s="39" t="str">
        <x:v>فرم مورد نیاز کوچ ساکی.docx::T28R2C1.3 | فرم مورد نیاز کوچ ساکی (1).docx::T28R2C1.3</x:v>
      </x:c>
      <x:c r="O400" s="39"/>
    </x:row>
    <x:row r="401">
      <x:c r="A401" s="34" t="str">
        <x:v>☐</x:v>
      </x:c>
      <x:c r="B401" s="34" t="str">
        <x:v>EX-0373</x:v>
      </x:c>
      <x:c r="C401" s="34" t="str">
        <x:v>سیاست و دیپلماسی</x:v>
      </x:c>
      <x:c r="D401" s="34" t="str">
        <x:v>POSSIBLE</x:v>
      </x:c>
      <x:c r="E401" s="34" t="str">
        <x:v>85.5</x:v>
      </x:c>
      <x:c r="F401" s="34" t="str">
        <x:v>MI-1513</x:v>
      </x:c>
      <x:c r="G401" s="39" t="str">
        <x:v>تولید و کارآفرینی: توانایی تولید محصول و خدمات و ایجاد شغل.</x:v>
      </x:c>
      <x:c r="H401" s="39" t="str">
        <x:v>H1</x:v>
      </x:c>
      <x:c r="I401" s="39" t="str">
        <x:v>P0</x:v>
      </x:c>
      <x:c r="J401" s="39" t="str">
        <x:v>H1</x:v>
      </x:c>
      <x:c r="K401" s="39" t="str">
        <x:v>تطبیق احتمالی با پایه</x:v>
      </x:c>
      <x:c r="L401" s="39" t="str">
        <x:v>MI-1513</x:v>
      </x:c>
      <x:c r="M401" s="39" t="str">
        <x:v>تولید و کارآفرینی: توانایی تولید محصول و خدمات و ایجاد شغل.</x:v>
      </x:c>
      <x:c r="N401" s="39" t="str">
        <x:v>فرم مورد نیاز کوچ ساکی.docx::T28R2C1.4 | فرم مورد نیاز کوچ ساکی (1).docx::T28R2C1.4</x:v>
      </x:c>
      <x:c r="O401" s="39"/>
    </x:row>
    <x:row r="402">
      <x:c r="A402" s="34" t="str">
        <x:v>☐</x:v>
      </x:c>
      <x:c r="B402" s="34" t="str">
        <x:v>EX-0374</x:v>
      </x:c>
      <x:c r="C402" s="34" t="str">
        <x:v>اخبار تحلیل سیاسی</x:v>
      </x:c>
      <x:c r="D402" s="34" t="str">
        <x:v>POSSIBLE</x:v>
      </x:c>
      <x:c r="E402" s="34" t="str">
        <x:v>85.5</x:v>
      </x:c>
      <x:c r="F402" s="34" t="str">
        <x:v>MI-1486</x:v>
      </x:c>
      <x:c r="G402" s="39" t="str">
        <x:v>تحلیل داده:</x:v>
      </x:c>
      <x:c r="H402" s="39" t="str">
        <x:v>H7</x:v>
      </x:c>
      <x:c r="I402" s="39" t="str">
        <x:v>P1</x:v>
      </x:c>
      <x:c r="J402" s="39" t="str">
        <x:v>H7</x:v>
      </x:c>
      <x:c r="K402" s="39" t="str">
        <x:v>تطبیق احتمالی با پایه</x:v>
      </x:c>
      <x:c r="L402" s="39" t="str">
        <x:v>MI-1486</x:v>
      </x:c>
      <x:c r="M402" s="39" t="str">
        <x:v>تحلیل داده:</x:v>
      </x:c>
      <x:c r="N402" s="39" t="str">
        <x:v>فرم مورد نیاز کوچ ساکی.docx::T28R2C1.5 | فرم مورد نیاز کوچ ساکی (1).docx::T28R2C1.5</x:v>
      </x:c>
      <x:c r="O402" s="39"/>
    </x:row>
    <x:row r="403">
      <x:c r="A403" s="34" t="str">
        <x:v>☐</x:v>
      </x:c>
      <x:c r="B403" s="34" t="str">
        <x:v>EX-0375</x:v>
      </x:c>
      <x:c r="C403" s="34" t="str">
        <x:v>در مورد تاریخ ایران</x:v>
      </x:c>
      <x:c r="D403" s="34" t="str">
        <x:v>POSSIBLE</x:v>
      </x:c>
      <x:c r="E403" s="34" t="str">
        <x:v>90.0</x:v>
      </x:c>
      <x:c r="F403" s="34" t="str">
        <x:v>MI-1236</x:v>
      </x:c>
      <x:c r="G403" s="39" t="str">
        <x:v>ایران</x:v>
      </x:c>
      <x:c r="H403" s="39" t="str">
        <x:v>H12</x:v>
      </x:c>
      <x:c r="I403" s="39" t="str">
        <x:v>P2</x:v>
      </x:c>
      <x:c r="J403" s="39" t="str">
        <x:v>H12</x:v>
      </x:c>
      <x:c r="K403" s="39" t="str">
        <x:v>تطبیق احتمالی با پایه</x:v>
      </x:c>
      <x:c r="L403" s="39" t="str">
        <x:v>MI-1236</x:v>
      </x:c>
      <x:c r="M403" s="39" t="str">
        <x:v>ایران</x:v>
      </x:c>
      <x:c r="N403" s="39" t="str">
        <x:v>فرم مورد نیاز کوچ ساکی.docx::T28R2C1.6 | فرم مورد نیاز کوچ ساکی (1).docx::T28R2C1.6</x:v>
      </x:c>
      <x:c r="O403" s="39"/>
    </x:row>
    <x:row r="404">
      <x:c r="A404" s="34" t="str">
        <x:v>☐</x:v>
      </x:c>
      <x:c r="B404" s="34" t="str">
        <x:v>EX-0376</x:v>
      </x:c>
      <x:c r="C404" s="34" t="str">
        <x:v>افراد موفق</x:v>
      </x:c>
      <x:c r="D404" s="34" t="str">
        <x:v>POSSIBLE</x:v>
      </x:c>
      <x:c r="E404" s="34" t="str">
        <x:v>90.0</x:v>
      </x:c>
      <x:c r="F404" s="34" t="str">
        <x:v>MI-2997</x:v>
      </x:c>
      <x:c r="G404" s="39" t="str">
        <x:v>افراد</x:v>
      </x:c>
      <x:c r="H404" s="39" t="str">
        <x:v>H14</x:v>
      </x:c>
      <x:c r="I404" s="39" t="str">
        <x:v>P3</x:v>
      </x:c>
      <x:c r="J404" s="39" t="str">
        <x:v>H14</x:v>
      </x:c>
      <x:c r="K404" s="39" t="str">
        <x:v>تطبیق احتمالی با پایه</x:v>
      </x:c>
      <x:c r="L404" s="39" t="str">
        <x:v>MI-2997</x:v>
      </x:c>
      <x:c r="M404" s="39" t="str">
        <x:v>افراد</x:v>
      </x:c>
      <x:c r="N404" s="39" t="str">
        <x:v>فرم مورد نیاز کوچ ساکی.docx::T28R2C1.7 | فرم مورد نیاز کوچ ساکی (1).docx::T28R2C1.7</x:v>
      </x:c>
      <x:c r="O404" s="39"/>
    </x:row>
    <x:row r="405">
      <x:c r="A405" s="34" t="str">
        <x:v>☐</x:v>
      </x:c>
      <x:c r="B405" s="34" t="str">
        <x:v>EX-0377</x:v>
      </x:c>
      <x:c r="C405" s="34" t="str">
        <x:v>بیزینس ها</x:v>
      </x:c>
      <x:c r="D405" s="34" t="str">
        <x:v>POSSIBLE</x:v>
      </x:c>
      <x:c r="E405" s="34" t="str">
        <x:v>85.5</x:v>
      </x:c>
      <x:c r="F405" s="34" t="str">
        <x:v>MI-1510</x:v>
      </x:c>
      <x:c r="G405" s="39" t="str">
        <x:v>دانش مالی: درک مفاهیم مالی، آشنایی با انواع سرمایه گذاری ها.</x:v>
      </x:c>
      <x:c r="H405" s="39" t="str">
        <x:v>H1</x:v>
      </x:c>
      <x:c r="I405" s="39" t="str">
        <x:v>P0</x:v>
      </x:c>
      <x:c r="J405" s="39" t="str">
        <x:v>H1</x:v>
      </x:c>
      <x:c r="K405" s="39" t="str">
        <x:v>تطبیق احتمالی با پایه</x:v>
      </x:c>
      <x:c r="L405" s="39" t="str">
        <x:v>MI-1510</x:v>
      </x:c>
      <x:c r="M405" s="39" t="str">
        <x:v>دانش مالی: درک مفاهیم مالی، آشنایی با انواع سرمایه گذاری ها.</x:v>
      </x:c>
      <x:c r="N405" s="39" t="str">
        <x:v>فرم مورد نیاز کوچ ساکی.docx::T28R2C1.8 | فرم مورد نیاز کوچ ساکی (1).docx::T28R2C1.8</x:v>
      </x:c>
      <x:c r="O405" s="39"/>
    </x:row>
    <x:row r="406">
      <x:c r="A406" s="34" t="str">
        <x:v>☐</x:v>
      </x:c>
      <x:c r="B406" s="34" t="str">
        <x:v>EX-0378</x:v>
      </x:c>
      <x:c r="C406" s="34" t="str">
        <x:v>مدیریت و راهبری مدرن</x:v>
      </x:c>
      <x:c r="D406" s="34" t="str">
        <x:v>POSSIBLE</x:v>
      </x:c>
      <x:c r="E406" s="34" t="str">
        <x:v>90.0</x:v>
      </x:c>
      <x:c r="F406" s="34" t="str">
        <x:v>MI-0105</x:v>
      </x:c>
      <x:c r="G406" s="39" t="str">
        <x:v>راهبر</x:v>
      </x:c>
      <x:c r="H406" s="39" t="str">
        <x:v>H6</x:v>
      </x:c>
      <x:c r="I406" s="39" t="str">
        <x:v>P3/CLARIFY</x:v>
      </x:c>
      <x:c r="J406" s="39" t="str">
        <x:v>H6</x:v>
      </x:c>
      <x:c r="K406" s="39" t="str">
        <x:v>تطبیق احتمالی با پایه</x:v>
      </x:c>
      <x:c r="L406" s="39" t="str">
        <x:v>MI-0105</x:v>
      </x:c>
      <x:c r="M406" s="39" t="str">
        <x:v>راهبر</x:v>
      </x:c>
      <x:c r="N406" s="39" t="str">
        <x:v>فرم مورد نیاز کوچ ساکی.docx::T28R2C1.9 | فرم مورد نیاز کوچ ساکی (1).docx::T28R2C1.9</x:v>
      </x:c>
      <x:c r="O406" s="39"/>
    </x:row>
    <x:row r="407">
      <x:c r="A407" s="34" t="str">
        <x:v>☐</x:v>
      </x:c>
      <x:c r="B407" s="34" t="str">
        <x:v>EX-0379</x:v>
      </x:c>
      <x:c r="C407" s="34" t="str">
        <x:v>اتوماسیون ها</x:v>
      </x:c>
      <x:c r="D407" s="34" t="str">
        <x:v>POSSIBLE</x:v>
      </x:c>
      <x:c r="E407" s="34" t="str">
        <x:v>85.5</x:v>
      </x:c>
      <x:c r="F407" s="34" t="str">
        <x:v>MI-1501</x:v>
      </x:c>
      <x:c r="G407" s="39" t="str">
        <x:v>مدیریت ریسک: شناسایی ریسک ها، ارزیابی اثرات، تدوین برنامه های مقابله با ریسک ها.</x:v>
      </x:c>
      <x:c r="H407" s="39" t="str">
        <x:v>H1</x:v>
      </x:c>
      <x:c r="I407" s="39" t="str">
        <x:v>P0</x:v>
      </x:c>
      <x:c r="J407" s="39" t="str">
        <x:v>H1</x:v>
      </x:c>
      <x:c r="K407" s="39" t="str">
        <x:v>تطبیق احتمالی با پایه</x:v>
      </x:c>
      <x:c r="L407" s="39" t="str">
        <x:v>MI-1501</x:v>
      </x:c>
      <x:c r="M407" s="39" t="str">
        <x:v>مدیریت ریسک: شناسایی ریسک ها، ارزیابی اثرات، تدوین برنامه های مقابله با ریسک ها.</x:v>
      </x:c>
      <x:c r="N407" s="39" t="str">
        <x:v>فرم مورد نیاز کوچ ساکی.docx::T28R2C1.10 | فرم مورد نیاز کوچ ساکی (1).docx::T28R2C1.10</x:v>
      </x:c>
      <x:c r="O407" s="39"/>
    </x:row>
    <x:row r="408">
      <x:c r="A408" s="34" t="str">
        <x:v>☐</x:v>
      </x:c>
      <x:c r="B408" s="34" t="str">
        <x:v>EX-0380</x:v>
      </x:c>
      <x:c r="C408" s="34" t="str">
        <x:v>در زمینه مهندسی مکانیک</x:v>
      </x:c>
      <x:c r="D408" s="34" t="str">
        <x:v>POSSIBLE</x:v>
      </x:c>
      <x:c r="E408" s="34" t="str">
        <x:v>85.5</x:v>
      </x:c>
      <x:c r="F408" s="34" t="str">
        <x:v>MI-0077</x:v>
      </x:c>
      <x:c r="G408" s="39" t="str">
        <x:v>یادگیری هوش هیجانی و قدرت تصمیم گیری بالا در لحظه</x:v>
      </x:c>
      <x:c r="H408" s="39" t="str">
        <x:v>H1</x:v>
      </x:c>
      <x:c r="I408" s="39" t="str">
        <x:v>P0</x:v>
      </x:c>
      <x:c r="J408" s="39" t="str">
        <x:v>H1</x:v>
      </x:c>
      <x:c r="K408" s="39" t="str">
        <x:v>تطبیق احتمالی با پایه</x:v>
      </x:c>
      <x:c r="L408" s="39" t="str">
        <x:v>MI-0077</x:v>
      </x:c>
      <x:c r="M408" s="39" t="str">
        <x:v>یادگیری هوش هیجانی و قدرت تصمیم گیری بالا در لحظه</x:v>
      </x:c>
      <x:c r="N408" s="39" t="str">
        <x:v>فرم مورد نیاز کوچ ساکی.docx::T28R2C1.11 | فرم مورد نیاز کوچ ساکی (1).docx::T28R2C1.11</x:v>
      </x:c>
      <x:c r="O408" s="39"/>
    </x:row>
    <x:row r="409">
      <x:c r="A409" s="34" t="str">
        <x:v>☐</x:v>
      </x:c>
      <x:c r="B409" s="34" t="str">
        <x:v>EX-0381</x:v>
      </x:c>
      <x:c r="C409" s="34" t="str">
        <x:v>ابزار الات</x:v>
      </x:c>
      <x:c r="D409" s="34" t="str">
        <x:v>POSSIBLE</x:v>
      </x:c>
      <x:c r="E409" s="34" t="str">
        <x:v>85.5</x:v>
      </x:c>
      <x:c r="F409" s="34" t="str">
        <x:v>MI-2838</x:v>
      </x:c>
      <x:c r="G409" s="39" t="str">
        <x:v>یک ابزار قدرتمند برای شکل گیری تیم ها و پروژه ها.</x:v>
      </x:c>
      <x:c r="H409" s="39" t="str">
        <x:v>H10</x:v>
      </x:c>
      <x:c r="I409" s="39" t="str">
        <x:v>P2</x:v>
      </x:c>
      <x:c r="J409" s="39" t="str">
        <x:v>H10</x:v>
      </x:c>
      <x:c r="K409" s="39" t="str">
        <x:v>تطبیق احتمالی با پایه</x:v>
      </x:c>
      <x:c r="L409" s="39" t="str">
        <x:v>MI-2838</x:v>
      </x:c>
      <x:c r="M409" s="39" t="str">
        <x:v>یک ابزار قدرتمند برای شکل گیری تیم ها و پروژه ها.</x:v>
      </x:c>
      <x:c r="N409" s="39" t="str">
        <x:v>فرم مورد نیاز کوچ ساکی.docx::T28R2C1.12 | فرم مورد نیاز کوچ ساکی (1).docx::T28R2C1.12</x:v>
      </x:c>
      <x:c r="O409" s="39"/>
    </x:row>
    <x:row r="410">
      <x:c r="A410" s="34" t="str">
        <x:v>☐</x:v>
      </x:c>
      <x:c r="B410" s="34" t="str">
        <x:v>EX-0382</x:v>
      </x:c>
      <x:c r="C410" s="34" t="str">
        <x:v>ساعت</x:v>
      </x:c>
      <x:c r="D410" s="34" t="str">
        <x:v>UNMAPPED</x:v>
      </x:c>
      <x:c r="E410" s="34" t="str">
        <x:v>77.1</x:v>
      </x:c>
      <x:c r="F410" s="34" t="str">
        <x:v>MI-0963</x:v>
      </x:c>
      <x:c r="G410" s="39" t="str">
        <x:v>نشست شورای صنفی با تاسیسات</x:v>
      </x:c>
      <x:c r="H410" s="39" t="str">
        <x:v>H11</x:v>
      </x:c>
      <x:c r="I410" s="39" t="str">
        <x:v>DELEGATE/P2</x:v>
      </x:c>
      <x:c r="J410" s="39" t="str">
        <x:v>H23</x:v>
      </x:c>
      <x:c r="K410" s="39" t="str">
        <x:v>نیازمند پالایش؛ حذف نشده</x:v>
      </x:c>
      <x:c r="L410" s="39"/>
      <x:c r="M410" s="39"/>
      <x:c r="N410" s="39" t="str">
        <x:v>فرم مورد نیاز کوچ ساکی.docx::T28R2C1.13 | فرم مورد نیاز کوچ ساکی (1).docx::T28R2C1.13</x:v>
      </x:c>
      <x:c r="O410" s="39"/>
    </x:row>
    <x:row r="411">
      <x:c r="A411" s="34" t="str">
        <x:v>☐</x:v>
      </x:c>
      <x:c r="B411" s="34" t="str">
        <x:v>EX-0383</x:v>
      </x:c>
      <x:c r="C411" s="34" t="str">
        <x:v>اختراعات</x:v>
      </x:c>
      <x:c r="D411" s="34" t="str">
        <x:v>UNMAPPED</x:v>
      </x:c>
      <x:c r="E411" s="34" t="str">
        <x:v>73.3</x:v>
      </x:c>
      <x:c r="F411" s="34" t="str">
        <x:v>MI-1527</x:v>
      </x:c>
      <x:c r="G411" s="39" t="str">
        <x:v>حقوق مالکیت معنوی: حق اختراع، حق نشر، علایم تجاری.</x:v>
      </x:c>
      <x:c r="H411" s="39" t="str">
        <x:v>H1</x:v>
      </x:c>
      <x:c r="I411" s="39" t="str">
        <x:v>P0</x:v>
      </x:c>
      <x:c r="J411" s="39" t="str">
        <x:v>H23</x:v>
      </x:c>
      <x:c r="K411" s="39" t="str">
        <x:v>نیازمند پالایش؛ حذف نشده</x:v>
      </x:c>
      <x:c r="L411" s="39"/>
      <x:c r="M411" s="39"/>
      <x:c r="N411" s="39" t="str">
        <x:v>فرم مورد نیاز کوچ ساکی.docx::T28R2C1.14 | فرم مورد نیاز کوچ ساکی (1).docx::T28R2C1.14</x:v>
      </x:c>
      <x:c r="O411" s="39"/>
    </x:row>
    <x:row r="412">
      <x:c r="A412" s="34" t="str">
        <x:v>☐</x:v>
      </x:c>
      <x:c r="B412" s="34" t="str">
        <x:v>EX-0384</x:v>
      </x:c>
      <x:c r="C412" s="34" t="str">
        <x:v>پروژه های زمینه انرژی تجدید پذیر</x:v>
      </x:c>
      <x:c r="D412" s="34" t="str">
        <x:v>POSSIBLE</x:v>
      </x:c>
      <x:c r="E412" s="34" t="str">
        <x:v>90.0</x:v>
      </x:c>
      <x:c r="F412" s="34" t="str">
        <x:v>MI-0685</x:v>
      </x:c>
      <x:c r="G412" s="39" t="str">
        <x:v>پروژه ها:</x:v>
      </x:c>
      <x:c r="H412" s="39" t="str">
        <x:v>H11</x:v>
      </x:c>
      <x:c r="I412" s="39" t="str">
        <x:v>DELEGATE/P2</x:v>
      </x:c>
      <x:c r="J412" s="39" t="str">
        <x:v>H11</x:v>
      </x:c>
      <x:c r="K412" s="39" t="str">
        <x:v>تطبیق احتمالی با پایه</x:v>
      </x:c>
      <x:c r="L412" s="39" t="str">
        <x:v>MI-0685</x:v>
      </x:c>
      <x:c r="M412" s="39" t="str">
        <x:v>پروژه ها:</x:v>
      </x:c>
      <x:c r="N412" s="39" t="str">
        <x:v>فرم مورد نیاز کوچ ساکی.docx::T28R2C1.15 | فرم مورد نیاز کوچ ساکی (1).docx::T28R2C1.15</x:v>
      </x:c>
      <x:c r="O412" s="39"/>
    </x:row>
    <x:row r="413">
      <x:c r="A413" s="34" t="str">
        <x:v>☐</x:v>
      </x:c>
      <x:c r="B413" s="34" t="str">
        <x:v>EX-0385</x:v>
      </x:c>
      <x:c r="C413" s="34" t="str">
        <x:v>تکنولوژی های بازیافت</x:v>
      </x:c>
      <x:c r="D413" s="34" t="str">
        <x:v>POSSIBLE</x:v>
      </x:c>
      <x:c r="E413" s="34" t="str">
        <x:v>90.0</x:v>
      </x:c>
      <x:c r="F413" s="34" t="str">
        <x:v>MI-0232</x:v>
      </x:c>
      <x:c r="G413" s="39" t="str">
        <x:v>بازیافت</x:v>
      </x:c>
      <x:c r="H413" s="39" t="str">
        <x:v>H12</x:v>
      </x:c>
      <x:c r="I413" s="39" t="str">
        <x:v>P2</x:v>
      </x:c>
      <x:c r="J413" s="39" t="str">
        <x:v>H12</x:v>
      </x:c>
      <x:c r="K413" s="39" t="str">
        <x:v>تطبیق احتمالی با پایه</x:v>
      </x:c>
      <x:c r="L413" s="39" t="str">
        <x:v>MI-0232</x:v>
      </x:c>
      <x:c r="M413" s="39" t="str">
        <x:v>بازیافت</x:v>
      </x:c>
      <x:c r="N413" s="39" t="str">
        <x:v>فرم مورد نیاز کوچ ساکی.docx::T28R2C1.16 | فرم مورد نیاز کوچ ساکی (1).docx::T28R2C1.16</x:v>
      </x:c>
      <x:c r="O413" s="39"/>
    </x:row>
    <x:row r="414">
      <x:c r="A414" s="34" t="str">
        <x:v>☐</x:v>
      </x:c>
      <x:c r="B414" s="34" t="str">
        <x:v>EX-0386</x:v>
      </x:c>
      <x:c r="C414" s="34" t="str">
        <x:v>خدمات شهری</x:v>
      </x:c>
      <x:c r="D414" s="34" t="str">
        <x:v>POSSIBLE</x:v>
      </x:c>
      <x:c r="E414" s="34" t="str">
        <x:v>85.5</x:v>
      </x:c>
      <x:c r="F414" s="34" t="str">
        <x:v>MI-0179</x:v>
      </x:c>
      <x:c r="G414" s="39" t="str">
        <x:v>برنامه ریزی شهری</x:v>
      </x:c>
      <x:c r="H414" s="39" t="str">
        <x:v>H1</x:v>
      </x:c>
      <x:c r="I414" s="39" t="str">
        <x:v>P0</x:v>
      </x:c>
      <x:c r="J414" s="39" t="str">
        <x:v>H1</x:v>
      </x:c>
      <x:c r="K414" s="39" t="str">
        <x:v>تطبیق احتمالی با پایه</x:v>
      </x:c>
      <x:c r="L414" s="39" t="str">
        <x:v>MI-0179</x:v>
      </x:c>
      <x:c r="M414" s="39" t="str">
        <x:v>برنامه ریزی شهری</x:v>
      </x:c>
      <x:c r="N414" s="39" t="str">
        <x:v>فرم مورد نیاز کوچ ساکی.docx::T28R2C1.18 | فرم مورد نیاز کوچ ساکی (1).docx::T28R2C1.18</x:v>
      </x:c>
      <x:c r="O414" s="39"/>
    </x:row>
    <x:row r="415">
      <x:c r="A415" s="34" t="str">
        <x:v>☐</x:v>
      </x:c>
      <x:c r="B415" s="34" t="str">
        <x:v>EX-0387</x:v>
      </x:c>
      <x:c r="C415" s="34" t="str">
        <x:v>عارضه های صنعت</x:v>
      </x:c>
      <x:c r="D415" s="34" t="str">
        <x:v>POSSIBLE</x:v>
      </x:c>
      <x:c r="E415" s="34" t="str">
        <x:v>90.0</x:v>
      </x:c>
      <x:c r="F415" s="34" t="str">
        <x:v>MI-2602</x:v>
      </x:c>
      <x:c r="G415" s="39" t="str">
        <x:v>صنعت</x:v>
      </x:c>
      <x:c r="H415" s="39" t="str">
        <x:v>H12</x:v>
      </x:c>
      <x:c r="I415" s="39" t="str">
        <x:v>P2</x:v>
      </x:c>
      <x:c r="J415" s="39" t="str">
        <x:v>H12</x:v>
      </x:c>
      <x:c r="K415" s="39" t="str">
        <x:v>تطبیق احتمالی با پایه</x:v>
      </x:c>
      <x:c r="L415" s="39" t="str">
        <x:v>MI-2602</x:v>
      </x:c>
      <x:c r="M415" s="39" t="str">
        <x:v>صنعت</x:v>
      </x:c>
      <x:c r="N415" s="39" t="str">
        <x:v>فرم مورد نیاز کوچ ساکی.docx::T28R2C1.19 | فرم مورد نیاز کوچ ساکی (1).docx::T28R2C1.19</x:v>
      </x:c>
      <x:c r="O415" s="39"/>
    </x:row>
    <x:row r="416">
      <x:c r="A416" s="34" t="str">
        <x:v>☐</x:v>
      </x:c>
      <x:c r="B416" s="34" t="str">
        <x:v>EX-0388</x:v>
      </x:c>
      <x:c r="C416" s="34" t="str">
        <x:v>در هر مقام و مسئولیت یا صنعت ، در مورد حیطه کاری یا وظایف یا اتفاقات پیرامونش میخوام بدونم</x:v>
      </x:c>
      <x:c r="D416" s="34" t="str">
        <x:v>POSSIBLE</x:v>
      </x:c>
      <x:c r="E416" s="34" t="str">
        <x:v>85.5</x:v>
      </x:c>
      <x:c r="F416" s="34" t="str">
        <x:v>MI-1513</x:v>
      </x:c>
      <x:c r="G416" s="39" t="str">
        <x:v>تولید و کارآفرینی: توانایی تولید محصول و خدمات و ایجاد شغل.</x:v>
      </x:c>
      <x:c r="H416" s="39" t="str">
        <x:v>H1</x:v>
      </x:c>
      <x:c r="I416" s="39" t="str">
        <x:v>P0</x:v>
      </x:c>
      <x:c r="J416" s="39" t="str">
        <x:v>H1</x:v>
      </x:c>
      <x:c r="K416" s="39" t="str">
        <x:v>تطبیق احتمالی با پایه</x:v>
      </x:c>
      <x:c r="L416" s="39" t="str">
        <x:v>MI-1513</x:v>
      </x:c>
      <x:c r="M416" s="39" t="str">
        <x:v>تولید و کارآفرینی: توانایی تولید محصول و خدمات و ایجاد شغل.</x:v>
      </x:c>
      <x:c r="N416" s="39" t="str">
        <x:v>فرم مورد نیاز کوچ ساکی.docx::T28R2C1.20 | فرم مورد نیاز کوچ ساکی (1).docx::T28R2C1.20</x:v>
      </x:c>
      <x:c r="O416" s="39"/>
    </x:row>
    <x:row r="417">
      <x:c r="A417" s="34" t="str">
        <x:v>☐</x:v>
      </x:c>
      <x:c r="B417" s="34" t="str">
        <x:v>EX-0389</x:v>
      </x:c>
      <x:c r="C417" s="34" t="str">
        <x:v>زیست بوم های فناورانه</x:v>
      </x:c>
      <x:c r="D417" s="34" t="str">
        <x:v>POSSIBLE</x:v>
      </x:c>
      <x:c r="E417" s="34" t="str">
        <x:v>85.5</x:v>
      </x:c>
      <x:c r="F417" s="34" t="str">
        <x:v>MI-1501</x:v>
      </x:c>
      <x:c r="G417" s="39" t="str">
        <x:v>مدیریت ریسک: شناسایی ریسک ها، ارزیابی اثرات، تدوین برنامه های مقابله با ریسک ها.</x:v>
      </x:c>
      <x:c r="H417" s="39" t="str">
        <x:v>H1</x:v>
      </x:c>
      <x:c r="I417" s="39" t="str">
        <x:v>P0</x:v>
      </x:c>
      <x:c r="J417" s="39" t="str">
        <x:v>H1</x:v>
      </x:c>
      <x:c r="K417" s="39" t="str">
        <x:v>تطبیق احتمالی با پایه</x:v>
      </x:c>
      <x:c r="L417" s="39" t="str">
        <x:v>MI-1501</x:v>
      </x:c>
      <x:c r="M417" s="39" t="str">
        <x:v>مدیریت ریسک: شناسایی ریسک ها، ارزیابی اثرات، تدوین برنامه های مقابله با ریسک ها.</x:v>
      </x:c>
      <x:c r="N417" s="39" t="str">
        <x:v>فرم مورد نیاز کوچ ساکی.docx::T28R2C1.21 | فرم مورد نیاز کوچ ساکی.docx::T28R2C1.39</x:v>
      </x:c>
      <x:c r="O417" s="39"/>
    </x:row>
    <x:row r="418">
      <x:c r="A418" s="34" t="str">
        <x:v>☐</x:v>
      </x:c>
      <x:c r="B418" s="34" t="str">
        <x:v>EX-0390</x:v>
      </x:c>
      <x:c r="C418" s="34" t="str">
        <x:v>صندوق های پژوهشی</x:v>
      </x:c>
      <x:c r="D418" s="34" t="str">
        <x:v>POSSIBLE</x:v>
      </x:c>
      <x:c r="E418" s="34" t="str">
        <x:v>90.0</x:v>
      </x:c>
      <x:c r="F418" s="34" t="str">
        <x:v>MI-2192</x:v>
      </x:c>
      <x:c r="G418" s="39" t="str">
        <x:v>پژوهش</x:v>
      </x:c>
      <x:c r="H418" s="39" t="str">
        <x:v>H9</x:v>
      </x:c>
      <x:c r="I418" s="39" t="str">
        <x:v>P2</x:v>
      </x:c>
      <x:c r="J418" s="39" t="str">
        <x:v>H9</x:v>
      </x:c>
      <x:c r="K418" s="39" t="str">
        <x:v>تطبیق احتمالی با پایه</x:v>
      </x:c>
      <x:c r="L418" s="39" t="str">
        <x:v>MI-2192</x:v>
      </x:c>
      <x:c r="M418" s="39" t="str">
        <x:v>پژوهش</x:v>
      </x:c>
      <x:c r="N418" s="39" t="str">
        <x:v>فرم مورد نیاز کوچ ساکی.docx::T28R2C1.22</x:v>
      </x:c>
      <x:c r="O418" s="39"/>
    </x:row>
    <x:row r="419">
      <x:c r="A419" s="34" t="str">
        <x:v>☐</x:v>
      </x:c>
      <x:c r="B419" s="34" t="str">
        <x:v>EX-0391</x:v>
      </x:c>
      <x:c r="C419" s="34" t="str">
        <x:v>زمینه های درآمد زایی</x:v>
      </x:c>
      <x:c r="D419" s="34" t="str">
        <x:v>POSSIBLE</x:v>
      </x:c>
      <x:c r="E419" s="34" t="str">
        <x:v>85.5</x:v>
      </x:c>
      <x:c r="F419" s="34" t="str">
        <x:v>MI-1501</x:v>
      </x:c>
      <x:c r="G419" s="39" t="str">
        <x:v>مدیریت ریسک: شناسایی ریسک ها، ارزیابی اثرات، تدوین برنامه های مقابله با ریسک ها.</x:v>
      </x:c>
      <x:c r="H419" s="39" t="str">
        <x:v>H1</x:v>
      </x:c>
      <x:c r="I419" s="39" t="str">
        <x:v>P0</x:v>
      </x:c>
      <x:c r="J419" s="39" t="str">
        <x:v>H1</x:v>
      </x:c>
      <x:c r="K419" s="39" t="str">
        <x:v>تطبیق احتمالی با پایه</x:v>
      </x:c>
      <x:c r="L419" s="39" t="str">
        <x:v>MI-1501</x:v>
      </x:c>
      <x:c r="M419" s="39" t="str">
        <x:v>مدیریت ریسک: شناسایی ریسک ها، ارزیابی اثرات، تدوین برنامه های مقابله با ریسک ها.</x:v>
      </x:c>
      <x:c r="N419" s="39" t="str">
        <x:v>فرم مورد نیاز کوچ ساکی.docx::T28R2C1.23</x:v>
      </x:c>
      <x:c r="O419" s="39"/>
    </x:row>
    <x:row r="420">
      <x:c r="A420" s="34" t="str">
        <x:v>☐</x:v>
      </x:c>
      <x:c r="B420" s="34" t="str">
        <x:v>EX-0392</x:v>
      </x:c>
      <x:c r="C420" s="34" t="str">
        <x:v>مهندسی صنایع</x:v>
      </x:c>
      <x:c r="D420" s="34" t="str">
        <x:v>POSSIBLE</x:v>
      </x:c>
      <x:c r="E420" s="34" t="str">
        <x:v>90.0</x:v>
      </x:c>
      <x:c r="F420" s="34" t="str">
        <x:v>MI-0365</x:v>
      </x:c>
      <x:c r="G420" s="39" t="str">
        <x:v>BCM-B و مهندسی صنایع (گرایش سیستمها و بهرهوری)</x:v>
      </x:c>
      <x:c r="H420" s="39" t="str">
        <x:v>H18</x:v>
      </x:c>
      <x:c r="I420" s="39" t="str">
        <x:v>BANK</x:v>
      </x:c>
      <x:c r="J420" s="39" t="str">
        <x:v>H18</x:v>
      </x:c>
      <x:c r="K420" s="39" t="str">
        <x:v>تطبیق احتمالی با پایه</x:v>
      </x:c>
      <x:c r="L420" s="39" t="str">
        <x:v>MI-0365</x:v>
      </x:c>
      <x:c r="M420" s="39" t="str">
        <x:v>BCM-B و مهندسی صنایع (گرایش سیستمها و بهرهوری)</x:v>
      </x:c>
      <x:c r="N420" s="39" t="str">
        <x:v>فرم مورد نیاز کوچ ساکی.docx::T28R2C1.24</x:v>
      </x:c>
      <x:c r="O420" s="39"/>
    </x:row>
    <x:row r="421">
      <x:c r="A421" s="34" t="str">
        <x:v>☐</x:v>
      </x:c>
      <x:c r="B421" s="34" t="str">
        <x:v>EX-0393</x:v>
      </x:c>
      <x:c r="C421" s="34" t="str">
        <x:v>مدیریت و کنترل پروژه</x:v>
      </x:c>
      <x:c r="D421" s="34" t="str">
        <x:v>POSSIBLE</x:v>
      </x:c>
      <x:c r="E421" s="34" t="str">
        <x:v>85.5</x:v>
      </x:c>
      <x:c r="F421" s="34" t="str">
        <x:v>MI-1501</x:v>
      </x:c>
      <x:c r="G421" s="39" t="str">
        <x:v>مدیریت ریسک: شناسایی ریسک ها، ارزیابی اثرات، تدوین برنامه های مقابله با ریسک ها.</x:v>
      </x:c>
      <x:c r="H421" s="39" t="str">
        <x:v>H1</x:v>
      </x:c>
      <x:c r="I421" s="39" t="str">
        <x:v>P0</x:v>
      </x:c>
      <x:c r="J421" s="39" t="str">
        <x:v>H1</x:v>
      </x:c>
      <x:c r="K421" s="39" t="str">
        <x:v>تطبیق احتمالی با پایه</x:v>
      </x:c>
      <x:c r="L421" s="39" t="str">
        <x:v>MI-1501</x:v>
      </x:c>
      <x:c r="M421" s="39" t="str">
        <x:v>مدیریت ریسک: شناسایی ریسک ها، ارزیابی اثرات، تدوین برنامه های مقابله با ریسک ها.</x:v>
      </x:c>
      <x:c r="N421" s="39" t="str">
        <x:v>فرم مورد نیاز کوچ ساکی.docx::T28R2C1.25</x:v>
      </x:c>
      <x:c r="O421" s="39"/>
    </x:row>
    <x:row r="422">
      <x:c r="A422" s="34" t="str">
        <x:v>☐</x:v>
      </x:c>
      <x:c r="B422" s="34" t="str">
        <x:v>EX-0394</x:v>
      </x:c>
      <x:c r="C422" s="34" t="str">
        <x:v>حقوق دانشجویی</x:v>
      </x:c>
      <x:c r="D422" s="34" t="str">
        <x:v>POSSIBLE</x:v>
      </x:c>
      <x:c r="E422" s="34" t="str">
        <x:v>90.0</x:v>
      </x:c>
      <x:c r="F422" s="34" t="str">
        <x:v>MI-2622</x:v>
      </x:c>
      <x:c r="G422" s="39" t="str">
        <x:v>دانش</x:v>
      </x:c>
      <x:c r="H422" s="39" t="str">
        <x:v>H20</x:v>
      </x:c>
      <x:c r="I422" s="39" t="str">
        <x:v>P3/CLARIFY</x:v>
      </x:c>
      <x:c r="J422" s="39" t="str">
        <x:v>H20</x:v>
      </x:c>
      <x:c r="K422" s="39" t="str">
        <x:v>تطبیق احتمالی با پایه</x:v>
      </x:c>
      <x:c r="L422" s="39" t="str">
        <x:v>MI-2622</x:v>
      </x:c>
      <x:c r="M422" s="39" t="str">
        <x:v>دانش</x:v>
      </x:c>
      <x:c r="N422" s="39" t="str">
        <x:v>فرم مورد نیاز کوچ ساکی.docx::T28R2C1.27</x:v>
      </x:c>
      <x:c r="O422" s="39"/>
    </x:row>
    <x:row r="423">
      <x:c r="A423" s="34" t="str">
        <x:v>☐</x:v>
      </x:c>
      <x:c r="B423" s="34" t="str">
        <x:v>EX-0395</x:v>
      </x:c>
      <x:c r="C423" s="34" t="str">
        <x:v>حقوق مدنی</x:v>
      </x:c>
      <x:c r="D423" s="34" t="str">
        <x:v>POSSIBLE</x:v>
      </x:c>
      <x:c r="E423" s="34" t="str">
        <x:v>90.0</x:v>
      </x:c>
      <x:c r="F423" s="34" t="str">
        <x:v>MI-1086</x:v>
      </x:c>
      <x:c r="G423" s="39" t="str">
        <x:v>مدنی</x:v>
      </x:c>
      <x:c r="H423" s="39" t="str">
        <x:v>H14</x:v>
      </x:c>
      <x:c r="I423" s="39" t="str">
        <x:v>P3</x:v>
      </x:c>
      <x:c r="J423" s="39" t="str">
        <x:v>H14</x:v>
      </x:c>
      <x:c r="K423" s="39" t="str">
        <x:v>تطبیق احتمالی با پایه</x:v>
      </x:c>
      <x:c r="L423" s="39" t="str">
        <x:v>MI-1086</x:v>
      </x:c>
      <x:c r="M423" s="39" t="str">
        <x:v>مدنی</x:v>
      </x:c>
      <x:c r="N423" s="39" t="str">
        <x:v>فرم مورد نیاز کوچ ساکی.docx::T28R2C1.28</x:v>
      </x:c>
      <x:c r="O423" s="39"/>
    </x:row>
    <x:row r="424">
      <x:c r="A424" s="34" t="str">
        <x:v>☐</x:v>
      </x:c>
      <x:c r="B424" s="34" t="str">
        <x:v>EX-0396</x:v>
      </x:c>
      <x:c r="C424" s="34" t="str">
        <x:v>تجارت و بازرگانی</x:v>
      </x:c>
      <x:c r="D424" s="34" t="str">
        <x:v>POSSIBLE</x:v>
      </x:c>
      <x:c r="E424" s="34" t="str">
        <x:v>85.5</x:v>
      </x:c>
      <x:c r="F424" s="34" t="str">
        <x:v>MI-1513</x:v>
      </x:c>
      <x:c r="G424" s="39" t="str">
        <x:v>تولید و کارآفرینی: توانایی تولید محصول و خدمات و ایجاد شغل.</x:v>
      </x:c>
      <x:c r="H424" s="39" t="str">
        <x:v>H1</x:v>
      </x:c>
      <x:c r="I424" s="39" t="str">
        <x:v>P0</x:v>
      </x:c>
      <x:c r="J424" s="39" t="str">
        <x:v>H1</x:v>
      </x:c>
      <x:c r="K424" s="39" t="str">
        <x:v>تطبیق احتمالی با پایه</x:v>
      </x:c>
      <x:c r="L424" s="39" t="str">
        <x:v>MI-1513</x:v>
      </x:c>
      <x:c r="M424" s="39" t="str">
        <x:v>تولید و کارآفرینی: توانایی تولید محصول و خدمات و ایجاد شغل.</x:v>
      </x:c>
      <x:c r="N424" s="39" t="str">
        <x:v>فرم مورد نیاز کوچ ساکی.docx::T28R2C1.29</x:v>
      </x:c>
      <x:c r="O424" s="39"/>
    </x:row>
    <x:row r="425">
      <x:c r="A425" s="34" t="str">
        <x:v>☐</x:v>
      </x:c>
      <x:c r="B425" s="34" t="str">
        <x:v>EX-0397</x:v>
      </x:c>
      <x:c r="C425" s="34" t="str">
        <x:v>خودرو</x:v>
      </x:c>
      <x:c r="D425" s="34" t="str">
        <x:v>POSSIBLE</x:v>
      </x:c>
      <x:c r="E425" s="34" t="str">
        <x:v>90.0</x:v>
      </x:c>
      <x:c r="F425" s="34" t="str">
        <x:v>MI-0467</x:v>
      </x:c>
      <x:c r="G425" s="39" t="str">
        <x:v>80 درصد صنایع خودرو سرریز صنایع دفاعی</x:v>
      </x:c>
      <x:c r="H425" s="39" t="str">
        <x:v>H18</x:v>
      </x:c>
      <x:c r="I425" s="39" t="str">
        <x:v>BANK</x:v>
      </x:c>
      <x:c r="J425" s="39" t="str">
        <x:v>H18</x:v>
      </x:c>
      <x:c r="K425" s="39" t="str">
        <x:v>تطبیق احتمالی با پایه</x:v>
      </x:c>
      <x:c r="L425" s="39" t="str">
        <x:v>MI-0467</x:v>
      </x:c>
      <x:c r="M425" s="39" t="str">
        <x:v>80 درصد صنایع خودرو سرریز صنایع دفاعی</x:v>
      </x:c>
      <x:c r="N425" s="39" t="str">
        <x:v>فرم مورد نیاز کوچ ساکی.docx::T28R2C1.30</x:v>
      </x:c>
      <x:c r="O425" s="39"/>
    </x:row>
    <x:row r="426">
      <x:c r="A426" s="34" t="str">
        <x:v>☐</x:v>
      </x:c>
      <x:c r="B426" s="34" t="str">
        <x:v>EX-0398</x:v>
      </x:c>
      <x:c r="C426" s="34" t="str">
        <x:v>تاریخ صدر اسلام</x:v>
      </x:c>
      <x:c r="D426" s="34" t="str">
        <x:v>POSSIBLE</x:v>
      </x:c>
      <x:c r="E426" s="34" t="str">
        <x:v>85.5</x:v>
      </x:c>
      <x:c r="F426" s="34" t="str">
        <x:v>MI-0808</x:v>
      </x:c>
      <x:c r="G426" s="39" t="str">
        <x:v>- نداشتن تاریخ انقضا دستمال کاغذی در سلف</x:v>
      </x:c>
      <x:c r="H426" s="39" t="str">
        <x:v>H11</x:v>
      </x:c>
      <x:c r="I426" s="39" t="str">
        <x:v>DELEGATE/P2</x:v>
      </x:c>
      <x:c r="J426" s="39" t="str">
        <x:v>H11</x:v>
      </x:c>
      <x:c r="K426" s="39" t="str">
        <x:v>تطبیق احتمالی با پایه</x:v>
      </x:c>
      <x:c r="L426" s="39" t="str">
        <x:v>MI-0808</x:v>
      </x:c>
      <x:c r="M426" s="39" t="str">
        <x:v>- نداشتن تاریخ انقضا دستمال کاغذی در سلف</x:v>
      </x:c>
      <x:c r="N426" s="39" t="str">
        <x:v>فرم مورد نیاز کوچ ساکی.docx::T28R2C1.32</x:v>
      </x:c>
      <x:c r="O426" s="39"/>
    </x:row>
    <x:row r="427">
      <x:c r="A427" s="34" t="str">
        <x:v>☐</x:v>
      </x:c>
      <x:c r="B427" s="34" t="str">
        <x:v>EX-0399</x:v>
      </x:c>
      <x:c r="C427" s="34" t="str">
        <x:v>افراد موثر در شکل گیری انقلاب</x:v>
      </x:c>
      <x:c r="D427" s="34" t="str">
        <x:v>POSSIBLE</x:v>
      </x:c>
      <x:c r="E427" s="34" t="str">
        <x:v>90.0</x:v>
      </x:c>
      <x:c r="F427" s="34" t="str">
        <x:v>MI-2997</x:v>
      </x:c>
      <x:c r="G427" s="39" t="str">
        <x:v>افراد</x:v>
      </x:c>
      <x:c r="H427" s="39" t="str">
        <x:v>H14</x:v>
      </x:c>
      <x:c r="I427" s="39" t="str">
        <x:v>P3</x:v>
      </x:c>
      <x:c r="J427" s="39" t="str">
        <x:v>H14</x:v>
      </x:c>
      <x:c r="K427" s="39" t="str">
        <x:v>تطبیق احتمالی با پایه</x:v>
      </x:c>
      <x:c r="L427" s="39" t="str">
        <x:v>MI-2997</x:v>
      </x:c>
      <x:c r="M427" s="39" t="str">
        <x:v>افراد</x:v>
      </x:c>
      <x:c r="N427" s="39" t="str">
        <x:v>فرم مورد نیاز کوچ ساکی.docx::T28R2C1.33</x:v>
      </x:c>
      <x:c r="O427" s="39"/>
    </x:row>
    <x:row r="428">
      <x:c r="A428" s="34" t="str">
        <x:v>☐</x:v>
      </x:c>
      <x:c r="B428" s="34" t="str">
        <x:v>EX-0400</x:v>
      </x:c>
      <x:c r="C428" s="34" t="str">
        <x:v>افراد موثر در نگرش جهانی</x:v>
      </x:c>
      <x:c r="D428" s="34" t="str">
        <x:v>POSSIBLE</x:v>
      </x:c>
      <x:c r="E428" s="34" t="str">
        <x:v>90.0</x:v>
      </x:c>
      <x:c r="F428" s="34" t="str">
        <x:v>MI-2997</x:v>
      </x:c>
      <x:c r="G428" s="39" t="str">
        <x:v>افراد</x:v>
      </x:c>
      <x:c r="H428" s="39" t="str">
        <x:v>H14</x:v>
      </x:c>
      <x:c r="I428" s="39" t="str">
        <x:v>P3</x:v>
      </x:c>
      <x:c r="J428" s="39" t="str">
        <x:v>H14</x:v>
      </x:c>
      <x:c r="K428" s="39" t="str">
        <x:v>تطبیق احتمالی با پایه</x:v>
      </x:c>
      <x:c r="L428" s="39" t="str">
        <x:v>MI-2997</x:v>
      </x:c>
      <x:c r="M428" s="39" t="str">
        <x:v>افراد</x:v>
      </x:c>
      <x:c r="N428" s="39" t="str">
        <x:v>فرم مورد نیاز کوچ ساکی.docx::T28R2C1.34</x:v>
      </x:c>
      <x:c r="O428" s="39"/>
    </x:row>
    <x:row r="429">
      <x:c r="A429" s="34" t="str">
        <x:v>☐</x:v>
      </x:c>
      <x:c r="B429" s="34" t="str">
        <x:v>EX-0401</x:v>
      </x:c>
      <x:c r="C429" s="34" t="str">
        <x:v>افراد موثر بر اقتصاد جهانی</x:v>
      </x:c>
      <x:c r="D429" s="34" t="str">
        <x:v>POSSIBLE</x:v>
      </x:c>
      <x:c r="E429" s="34" t="str">
        <x:v>90.0</x:v>
      </x:c>
      <x:c r="F429" s="34" t="str">
        <x:v>MI-2997</x:v>
      </x:c>
      <x:c r="G429" s="39" t="str">
        <x:v>افراد</x:v>
      </x:c>
      <x:c r="H429" s="39" t="str">
        <x:v>H14</x:v>
      </x:c>
      <x:c r="I429" s="39" t="str">
        <x:v>P3</x:v>
      </x:c>
      <x:c r="J429" s="39" t="str">
        <x:v>H14</x:v>
      </x:c>
      <x:c r="K429" s="39" t="str">
        <x:v>تطبیق احتمالی با پایه</x:v>
      </x:c>
      <x:c r="L429" s="39" t="str">
        <x:v>MI-2997</x:v>
      </x:c>
      <x:c r="M429" s="39" t="str">
        <x:v>افراد</x:v>
      </x:c>
      <x:c r="N429" s="39" t="str">
        <x:v>فرم مورد نیاز کوچ ساکی.docx::T28R2C1.35</x:v>
      </x:c>
      <x:c r="O429" s="39"/>
    </x:row>
    <x:row r="430">
      <x:c r="A430" s="34" t="str">
        <x:v>☐</x:v>
      </x:c>
      <x:c r="B430" s="34" t="str">
        <x:v>EX-0402</x:v>
      </x:c>
      <x:c r="C430" s="34" t="str">
        <x:v>ریاست جمهوری</x:v>
      </x:c>
      <x:c r="D430" s="34" t="str">
        <x:v>POSSIBLE</x:v>
      </x:c>
      <x:c r="E430" s="34" t="str">
        <x:v>90.0</x:v>
      </x:c>
      <x:c r="F430" s="34" t="str">
        <x:v>MI-0494</x:v>
      </x:c>
      <x:c r="G430" s="39" t="str">
        <x:v>عملکرد ریاست جمهوری</x:v>
      </x:c>
      <x:c r="H430" s="39" t="str">
        <x:v>H16</x:v>
      </x:c>
      <x:c r="I430" s="39" t="str">
        <x:v>BANK</x:v>
      </x:c>
      <x:c r="J430" s="39" t="str">
        <x:v>H16</x:v>
      </x:c>
      <x:c r="K430" s="39" t="str">
        <x:v>تطبیق احتمالی با پایه</x:v>
      </x:c>
      <x:c r="L430" s="39" t="str">
        <x:v>MI-0494</x:v>
      </x:c>
      <x:c r="M430" s="39" t="str">
        <x:v>عملکرد ریاست جمهوری</x:v>
      </x:c>
      <x:c r="N430" s="39" t="str">
        <x:v>فرم مورد نیاز کوچ ساکی.docx::T28R2C1.36</x:v>
      </x:c>
      <x:c r="O430" s="39"/>
    </x:row>
    <x:row r="431">
      <x:c r="A431" s="34" t="str">
        <x:v>☐</x:v>
      </x:c>
      <x:c r="B431" s="34" t="str">
        <x:v>EX-0403</x:v>
      </x:c>
      <x:c r="C431" s="34" t="str">
        <x:v>پتروشیمی</x:v>
      </x:c>
      <x:c r="D431" s="34" t="str">
        <x:v>UNMAPPED</x:v>
      </x:c>
      <x:c r="E431" s="34" t="str">
        <x:v>67.5</x:v>
      </x:c>
      <x:c r="F431" s="34" t="str">
        <x:v>MI-0640</x:v>
      </x:c>
      <x:c r="G431" s="39" t="str">
        <x:v>پوستر</x:v>
      </x:c>
      <x:c r="H431" s="39" t="str">
        <x:v>H4</x:v>
      </x:c>
      <x:c r="I431" s="39" t="str">
        <x:v>P1</x:v>
      </x:c>
      <x:c r="J431" s="39" t="str">
        <x:v>H23</x:v>
      </x:c>
      <x:c r="K431" s="39" t="str">
        <x:v>نیازمند پالایش؛ حذف نشده</x:v>
      </x:c>
      <x:c r="L431" s="39"/>
      <x:c r="M431" s="39"/>
      <x:c r="N431" s="39" t="str">
        <x:v>فرم مورد نیاز کوچ ساکی.docx::T28R2C1.38</x:v>
      </x:c>
      <x:c r="O431" s="39"/>
    </x:row>
    <x:row r="432">
      <x:c r="A432" s="34" t="str">
        <x:v>☐</x:v>
      </x:c>
      <x:c r="B432" s="34" t="str">
        <x:v>EX-0404</x:v>
      </x:c>
      <x:c r="C432" s="34" t="str">
        <x:v>باشگاه های خلاقیت و ایده پردازی</x:v>
      </x:c>
      <x:c r="D432" s="34" t="str">
        <x:v>POSSIBLE</x:v>
      </x:c>
      <x:c r="E432" s="34" t="str">
        <x:v>90.0</x:v>
      </x:c>
      <x:c r="F432" s="34" t="str">
        <x:v>MI-0110</x:v>
      </x:c>
      <x:c r="G432" s="39" t="str">
        <x:v>خلاقیت و ایده پردازی</x:v>
      </x:c>
      <x:c r="H432" s="39" t="str">
        <x:v>H1</x:v>
      </x:c>
      <x:c r="I432" s="39" t="str">
        <x:v>P0</x:v>
      </x:c>
      <x:c r="J432" s="39" t="str">
        <x:v>H1</x:v>
      </x:c>
      <x:c r="K432" s="39" t="str">
        <x:v>تطبیق احتمالی با پایه</x:v>
      </x:c>
      <x:c r="L432" s="39" t="str">
        <x:v>MI-0110</x:v>
      </x:c>
      <x:c r="M432" s="39" t="str">
        <x:v>خلاقیت و ایده پردازی</x:v>
      </x:c>
      <x:c r="N432" s="39" t="str">
        <x:v>فرم مورد نیاز کوچ ساکی.docx::T28R2C1.40</x:v>
      </x:c>
      <x:c r="O432" s="39"/>
    </x:row>
    <x:row r="433">
      <x:c r="A433" s="34" t="str">
        <x:v>☐</x:v>
      </x:c>
      <x:c r="B433" s="34" t="str">
        <x:v>EX-0405</x:v>
      </x:c>
      <x:c r="C433" s="34" t="str">
        <x:v>طرح اقتصادی سواحل و بنادر</x:v>
      </x:c>
      <x:c r="D433" s="34" t="str">
        <x:v>POSSIBLE</x:v>
      </x:c>
      <x:c r="E433" s="34" t="str">
        <x:v>90.0</x:v>
      </x:c>
      <x:c r="F433" s="34" t="str">
        <x:v>MI-0283</x:v>
      </x:c>
      <x:c r="G433" s="39" t="str">
        <x:v>اقتصادی</x:v>
      </x:c>
      <x:c r="H433" s="39" t="str">
        <x:v>H16</x:v>
      </x:c>
      <x:c r="I433" s="39" t="str">
        <x:v>P3/CLARIFY</x:v>
      </x:c>
      <x:c r="J433" s="39" t="str">
        <x:v>H16</x:v>
      </x:c>
      <x:c r="K433" s="39" t="str">
        <x:v>تطبیق احتمالی با پایه</x:v>
      </x:c>
      <x:c r="L433" s="39" t="str">
        <x:v>MI-0283</x:v>
      </x:c>
      <x:c r="M433" s="39" t="str">
        <x:v>اقتصادی</x:v>
      </x:c>
      <x:c r="N433" s="39" t="str">
        <x:v>فرم مورد نیاز کوچ ساکی.docx::T28R2C1.42</x:v>
      </x:c>
      <x:c r="O433" s="39"/>
    </x:row>
    <x:row r="434">
      <x:c r="A434" s="34" t="str">
        <x:v>☐</x:v>
      </x:c>
      <x:c r="B434" s="34" t="str">
        <x:v>EX-0406</x:v>
      </x:c>
      <x:c r="C434" s="34" t="str">
        <x:v>گمرک</x:v>
      </x:c>
      <x:c r="D434" s="34" t="str">
        <x:v>UNMAPPED</x:v>
      </x:c>
      <x:c r="E434" s="34" t="str">
        <x:v>77.1</x:v>
      </x:c>
      <x:c r="F434" s="34" t="str">
        <x:v>MI-1422</x:v>
      </x:c>
      <x:c r="G434" s="39" t="str">
        <x:v>مرکز رشد</x:v>
      </x:c>
      <x:c r="H434" s="39" t="str">
        <x:v>H10</x:v>
      </x:c>
      <x:c r="I434" s="39" t="str">
        <x:v>P2</x:v>
      </x:c>
      <x:c r="J434" s="39" t="str">
        <x:v>H23</x:v>
      </x:c>
      <x:c r="K434" s="39" t="str">
        <x:v>نیازمند پالایش؛ حذف نشده</x:v>
      </x:c>
      <x:c r="L434" s="39"/>
      <x:c r="M434" s="39"/>
      <x:c r="N434" s="39" t="str">
        <x:v>فرم مورد نیاز کوچ ساکی.docx::T28R2C1.43</x:v>
      </x:c>
      <x:c r="O434" s="39"/>
    </x:row>
    <x:row r="435">
      <x:c r="A435" s="34" t="str">
        <x:v>☐</x:v>
      </x:c>
      <x:c r="B435" s="34" t="str">
        <x:v>EX-0407</x:v>
      </x:c>
      <x:c r="C435" s="34" t="str">
        <x:v>فروش محصولات</x:v>
      </x:c>
      <x:c r="D435" s="34" t="str">
        <x:v>POSSIBLE</x:v>
      </x:c>
      <x:c r="E435" s="34" t="str">
        <x:v>90.0</x:v>
      </x:c>
      <x:c r="F435" s="34" t="str">
        <x:v>MI-2142</x:v>
      </x:c>
      <x:c r="G435" s="39" t="str">
        <x:v>محصول</x:v>
      </x:c>
      <x:c r="H435" s="39" t="str">
        <x:v>H20</x:v>
      </x:c>
      <x:c r="I435" s="39" t="str">
        <x:v>P3/CLARIFY</x:v>
      </x:c>
      <x:c r="J435" s="39" t="str">
        <x:v>H20</x:v>
      </x:c>
      <x:c r="K435" s="39" t="str">
        <x:v>تطبیق احتمالی با پایه</x:v>
      </x:c>
      <x:c r="L435" s="39" t="str">
        <x:v>MI-2142</x:v>
      </x:c>
      <x:c r="M435" s="39" t="str">
        <x:v>محصول</x:v>
      </x:c>
      <x:c r="N435" s="39" t="str">
        <x:v>فرم مورد نیاز کوچ ساکی.docx::T28R2C1.44</x:v>
      </x:c>
      <x:c r="O435" s="39"/>
    </x:row>
    <x:row r="436">
      <x:c r="A436" s="34" t="str">
        <x:v>☐</x:v>
      </x:c>
      <x:c r="B436" s="34" t="str">
        <x:v>EX-0408</x:v>
      </x:c>
      <x:c r="C436" s="34" t="str">
        <x:v>طرح های اجرایی فرهنگی مذهبی</x:v>
      </x:c>
      <x:c r="D436" s="34" t="str">
        <x:v>POSSIBLE</x:v>
      </x:c>
      <x:c r="E436" s="34" t="str">
        <x:v>90.0</x:v>
      </x:c>
      <x:c r="F436" s="34" t="str">
        <x:v>MI-1299</x:v>
      </x:c>
      <x:c r="G436" s="39" t="str">
        <x:v>طرح ها</x:v>
      </x:c>
      <x:c r="H436" s="39" t="str">
        <x:v>H12</x:v>
      </x:c>
      <x:c r="I436" s="39" t="str">
        <x:v>P2</x:v>
      </x:c>
      <x:c r="J436" s="39" t="str">
        <x:v>H12</x:v>
      </x:c>
      <x:c r="K436" s="39" t="str">
        <x:v>تطبیق احتمالی با پایه</x:v>
      </x:c>
      <x:c r="L436" s="39" t="str">
        <x:v>MI-1299</x:v>
      </x:c>
      <x:c r="M436" s="39" t="str">
        <x:v>طرح ها</x:v>
      </x:c>
      <x:c r="N436" s="39" t="str">
        <x:v>فرم مورد نیاز کوچ ساکی.docx::T28R2C1.45</x:v>
      </x:c>
      <x:c r="O436" s="39"/>
    </x:row>
    <x:row r="437">
      <x:c r="A437" s="34" t="str">
        <x:v>☐</x:v>
      </x:c>
      <x:c r="B437" s="34" t="str">
        <x:v>EX-0409</x:v>
      </x:c>
      <x:c r="C437" s="34" t="str">
        <x:v>اوقاف</x:v>
      </x:c>
      <x:c r="D437" s="34" t="str">
        <x:v>UNMAPPED</x:v>
      </x:c>
      <x:c r="E437" s="34" t="str">
        <x:v>67.5</x:v>
      </x:c>
      <x:c r="F437" s="34" t="str">
        <x:v>MI-1894</x:v>
      </x:c>
      <x:c r="G437" s="39" t="str">
        <x:v>اقامت (EiR)</x:v>
      </x:c>
      <x:c r="H437" s="39" t="str">
        <x:v>H10</x:v>
      </x:c>
      <x:c r="I437" s="39" t="str">
        <x:v>P2</x:v>
      </x:c>
      <x:c r="J437" s="39" t="str">
        <x:v>H23</x:v>
      </x:c>
      <x:c r="K437" s="39" t="str">
        <x:v>نیازمند پالایش؛ حذف نشده</x:v>
      </x:c>
      <x:c r="L437" s="39"/>
      <x:c r="M437" s="39"/>
      <x:c r="N437" s="39" t="str">
        <x:v>فرم مورد نیاز کوچ ساکی.docx::T28R2C1.46</x:v>
      </x:c>
      <x:c r="O437" s="39"/>
    </x:row>
    <x:row r="438">
      <x:c r="A438" s="34" t="str">
        <x:v>☐</x:v>
      </x:c>
      <x:c r="B438" s="34" t="str">
        <x:v>EX-0410</x:v>
      </x:c>
      <x:c r="C438" s="34" t="str">
        <x:v>نوآوری در هر سبکی که بشه بر روی اقتصاد ایران تاثیر بزاره</x:v>
      </x:c>
      <x:c r="D438" s="34" t="str">
        <x:v>POSSIBLE</x:v>
      </x:c>
      <x:c r="E438" s="34" t="str">
        <x:v>85.5</x:v>
      </x:c>
      <x:c r="F438" s="34" t="str">
        <x:v>MI-0173</x:v>
      </x:c>
      <x:c r="G438" s="39" t="str">
        <x:v>جستجو در منابع سریع</x:v>
      </x:c>
      <x:c r="H438" s="39" t="str">
        <x:v>H1</x:v>
      </x:c>
      <x:c r="I438" s="39" t="str">
        <x:v>P0</x:v>
      </x:c>
      <x:c r="J438" s="39" t="str">
        <x:v>H1</x:v>
      </x:c>
      <x:c r="K438" s="39" t="str">
        <x:v>تطبیق احتمالی با پایه</x:v>
      </x:c>
      <x:c r="L438" s="39" t="str">
        <x:v>MI-0173</x:v>
      </x:c>
      <x:c r="M438" s="39" t="str">
        <x:v>جستجو در منابع سریع</x:v>
      </x:c>
      <x:c r="N438" s="39" t="str">
        <x:v>فرم مورد نیاز کوچ ساکی.docx::T28R2C1.47</x:v>
      </x:c>
      <x:c r="O438" s="39"/>
    </x:row>
    <x:row r="439">
      <x:c r="A439" s="34" t="str">
        <x:v>☐</x:v>
      </x:c>
      <x:c r="B439" s="34" t="str">
        <x:v>EX-0411</x:v>
      </x:c>
      <x:c r="C439" s="34" t="str">
        <x:v>پنل های خورشیدی</x:v>
      </x:c>
      <x:c r="D439" s="34" t="str">
        <x:v>POSSIBLE</x:v>
      </x:c>
      <x:c r="E439" s="34" t="str">
        <x:v>85.5</x:v>
      </x:c>
      <x:c r="F439" s="34" t="str">
        <x:v>MI-1501</x:v>
      </x:c>
      <x:c r="G439" s="39" t="str">
        <x:v>مدیریت ریسک: شناسایی ریسک ها، ارزیابی اثرات، تدوین برنامه های مقابله با ریسک ها.</x:v>
      </x:c>
      <x:c r="H439" s="39" t="str">
        <x:v>H1</x:v>
      </x:c>
      <x:c r="I439" s="39" t="str">
        <x:v>P0</x:v>
      </x:c>
      <x:c r="J439" s="39" t="str">
        <x:v>H1</x:v>
      </x:c>
      <x:c r="K439" s="39" t="str">
        <x:v>تطبیق احتمالی با پایه</x:v>
      </x:c>
      <x:c r="L439" s="39" t="str">
        <x:v>MI-1501</x:v>
      </x:c>
      <x:c r="M439" s="39" t="str">
        <x:v>مدیریت ریسک: شناسایی ریسک ها، ارزیابی اثرات، تدوین برنامه های مقابله با ریسک ها.</x:v>
      </x:c>
      <x:c r="N439" s="39" t="str">
        <x:v>فرم مورد نیاز کوچ ساکی.docx::T28R2C1.48</x:v>
      </x:c>
      <x:c r="O439" s="39"/>
    </x:row>
    <x:row r="440">
      <x:c r="A440" s="34" t="str">
        <x:v>☐</x:v>
      </x:c>
      <x:c r="B440" s="34" t="str">
        <x:v>EX-0412</x:v>
      </x:c>
      <x:c r="C440" s="34" t="str">
        <x:v>تبدیل انرژی</x:v>
      </x:c>
      <x:c r="D440" s="34" t="str">
        <x:v>POSSIBLE</x:v>
      </x:c>
      <x:c r="E440" s="34" t="str">
        <x:v>85.5</x:v>
      </x:c>
      <x:c r="F440" s="34" t="str">
        <x:v>MI-1678</x:v>
      </x:c>
      <x:c r="G440" s="39" t="str">
        <x:v>اگر درست طراحی شود، مازندران می تواند تبدیل شود به:</x:v>
      </x:c>
      <x:c r="H440" s="39" t="str">
        <x:v>H2</x:v>
      </x:c>
      <x:c r="I440" s="39" t="str">
        <x:v>P3/CLARIFY</x:v>
      </x:c>
      <x:c r="J440" s="39" t="str">
        <x:v>H2</x:v>
      </x:c>
      <x:c r="K440" s="39" t="str">
        <x:v>تطبیق احتمالی با پایه</x:v>
      </x:c>
      <x:c r="L440" s="39" t="str">
        <x:v>MI-1678</x:v>
      </x:c>
      <x:c r="M440" s="39" t="str">
        <x:v>اگر درست طراحی شود، مازندران می تواند تبدیل شود به:</x:v>
      </x:c>
      <x:c r="N440" s="39" t="str">
        <x:v>فرم مورد نیاز کوچ ساکی.docx::T28R2C1.49</x:v>
      </x:c>
      <x:c r="O440" s="39"/>
    </x:row>
    <x:row r="441">
      <x:c r="A441" s="34" t="str">
        <x:v>☐</x:v>
      </x:c>
      <x:c r="B441" s="34" t="str">
        <x:v>EX-0413</x:v>
      </x:c>
      <x:c r="C441" s="34" t="str">
        <x:v>تهویه مطبوع کارخانه جات و مال های بزرگ</x:v>
      </x:c>
      <x:c r="D441" s="34" t="str">
        <x:v>POSSIBLE</x:v>
      </x:c>
      <x:c r="E441" s="34" t="str">
        <x:v>90.0</x:v>
      </x:c>
      <x:c r="F441" s="34" t="str">
        <x:v>MI-1207</x:v>
      </x:c>
      <x:c r="G441" s="39" t="str">
        <x:v>تهویه</x:v>
      </x:c>
      <x:c r="H441" s="39" t="str">
        <x:v>H6</x:v>
      </x:c>
      <x:c r="I441" s="39" t="str">
        <x:v>P3/CLARIFY</x:v>
      </x:c>
      <x:c r="J441" s="39" t="str">
        <x:v>H6</x:v>
      </x:c>
      <x:c r="K441" s="39" t="str">
        <x:v>تطبیق احتمالی با پایه</x:v>
      </x:c>
      <x:c r="L441" s="39" t="str">
        <x:v>MI-1207</x:v>
      </x:c>
      <x:c r="M441" s="39" t="str">
        <x:v>تهویه</x:v>
      </x:c>
      <x:c r="N441" s="39" t="str">
        <x:v>فرم مورد نیاز کوچ ساکی.docx::T28R2C1.50</x:v>
      </x:c>
      <x:c r="O441" s="39"/>
    </x:row>
    <x:row r="442">
      <x:c r="A442" s="34" t="str">
        <x:v>☐</x:v>
      </x:c>
      <x:c r="B442" s="34" t="str">
        <x:v>EX-0414</x:v>
      </x:c>
      <x:c r="C442" s="34" t="str">
        <x:v>اتوماسیون های شرکت های بزرگ جهانی و ایران</x:v>
      </x:c>
      <x:c r="D442" s="34" t="str">
        <x:v>POSSIBLE</x:v>
      </x:c>
      <x:c r="E442" s="34" t="str">
        <x:v>90.0</x:v>
      </x:c>
      <x:c r="F442" s="34" t="str">
        <x:v>MI-1974</x:v>
      </x:c>
      <x:c r="G442" s="39" t="str">
        <x:v>شرکت ها</x:v>
      </x:c>
      <x:c r="H442" s="39" t="str">
        <x:v>H20</x:v>
      </x:c>
      <x:c r="I442" s="39" t="str">
        <x:v>P3/CLARIFY</x:v>
      </x:c>
      <x:c r="J442" s="39" t="str">
        <x:v>H20</x:v>
      </x:c>
      <x:c r="K442" s="39" t="str">
        <x:v>تطبیق احتمالی با پایه</x:v>
      </x:c>
      <x:c r="L442" s="39" t="str">
        <x:v>MI-1974</x:v>
      </x:c>
      <x:c r="M442" s="39" t="str">
        <x:v>شرکت ها</x:v>
      </x:c>
      <x:c r="N442" s="39" t="str">
        <x:v>فرم مورد نیاز کوچ ساکی.docx::T28R2C1.51</x:v>
      </x:c>
      <x:c r="O442" s="39"/>
    </x:row>
    <x:row r="443">
      <x:c r="A443" s="34" t="str">
        <x:v>☐</x:v>
      </x:c>
      <x:c r="B443" s="34" t="str">
        <x:v>EX-0415</x:v>
      </x:c>
      <x:c r="C443" s="34" t="str">
        <x:v>R&amp;D شرکت های بزرگ جهانی</x:v>
      </x:c>
      <x:c r="D443" s="34" t="str">
        <x:v>POSSIBLE</x:v>
      </x:c>
      <x:c r="E443" s="34" t="str">
        <x:v>90.0</x:v>
      </x:c>
      <x:c r="F443" s="34" t="str">
        <x:v>MI-1974</x:v>
      </x:c>
      <x:c r="G443" s="39" t="str">
        <x:v>شرکت ها</x:v>
      </x:c>
      <x:c r="H443" s="39" t="str">
        <x:v>H20</x:v>
      </x:c>
      <x:c r="I443" s="39" t="str">
        <x:v>P3/CLARIFY</x:v>
      </x:c>
      <x:c r="J443" s="39" t="str">
        <x:v>H20</x:v>
      </x:c>
      <x:c r="K443" s="39" t="str">
        <x:v>تطبیق احتمالی با پایه</x:v>
      </x:c>
      <x:c r="L443" s="39" t="str">
        <x:v>MI-1974</x:v>
      </x:c>
      <x:c r="M443" s="39" t="str">
        <x:v>شرکت ها</x:v>
      </x:c>
      <x:c r="N443" s="39" t="str">
        <x:v>فرم مورد نیاز کوچ ساکی.docx::T28R2C1.52</x:v>
      </x:c>
      <x:c r="O443" s="39"/>
    </x:row>
    <x:row r="444">
      <x:c r="A444" s="34" t="str">
        <x:v>☐</x:v>
      </x:c>
      <x:c r="B444" s="34" t="str">
        <x:v>EX-0416</x:v>
      </x:c>
      <x:c r="C444" s="34" t="str">
        <x:v>پژوهشکده های حوزه های مختلف</x:v>
      </x:c>
      <x:c r="D444" s="34" t="str">
        <x:v>POSSIBLE</x:v>
      </x:c>
      <x:c r="E444" s="34" t="str">
        <x:v>90.0</x:v>
      </x:c>
      <x:c r="F444" s="34" t="str">
        <x:v>MI-1969</x:v>
      </x:c>
      <x:c r="G444" s="39" t="str">
        <x:v>پژوهشکده ها</x:v>
      </x:c>
      <x:c r="H444" s="39" t="str">
        <x:v>H9</x:v>
      </x:c>
      <x:c r="I444" s="39" t="str">
        <x:v>P2</x:v>
      </x:c>
      <x:c r="J444" s="39" t="str">
        <x:v>H9</x:v>
      </x:c>
      <x:c r="K444" s="39" t="str">
        <x:v>تطبیق احتمالی با پایه</x:v>
      </x:c>
      <x:c r="L444" s="39" t="str">
        <x:v>MI-1969</x:v>
      </x:c>
      <x:c r="M444" s="39" t="str">
        <x:v>پژوهشکده ها</x:v>
      </x:c>
      <x:c r="N444" s="39" t="str">
        <x:v>فرم مورد نیاز کوچ ساکی.docx::T28R2C1.53</x:v>
      </x:c>
      <x:c r="O444" s="39"/>
    </x:row>
    <x:row r="445">
      <x:c r="A445" s="34" t="str">
        <x:v>☐</x:v>
      </x:c>
      <x:c r="B445" s="34" t="str">
        <x:v>EX-0417</x:v>
      </x:c>
      <x:c r="C445" s="34" t="str">
        <x:v>تدریس و روش های نوین آن</x:v>
      </x:c>
      <x:c r="D445" s="34" t="str">
        <x:v>POSSIBLE</x:v>
      </x:c>
      <x:c r="E445" s="34" t="str">
        <x:v>85.5</x:v>
      </x:c>
      <x:c r="F445" s="34" t="str">
        <x:v>MI-1501</x:v>
      </x:c>
      <x:c r="G445" s="39" t="str">
        <x:v>مدیریت ریسک: شناسایی ریسک ها، ارزیابی اثرات، تدوین برنامه های مقابله با ریسک ها.</x:v>
      </x:c>
      <x:c r="H445" s="39" t="str">
        <x:v>H1</x:v>
      </x:c>
      <x:c r="I445" s="39" t="str">
        <x:v>P0</x:v>
      </x:c>
      <x:c r="J445" s="39" t="str">
        <x:v>H1</x:v>
      </x:c>
      <x:c r="K445" s="39" t="str">
        <x:v>تطبیق احتمالی با پایه</x:v>
      </x:c>
      <x:c r="L445" s="39" t="str">
        <x:v>MI-1501</x:v>
      </x:c>
      <x:c r="M445" s="39" t="str">
        <x:v>مدیریت ریسک: شناسایی ریسک ها، ارزیابی اثرات، تدوین برنامه های مقابله با ریسک ها.</x:v>
      </x:c>
      <x:c r="N445" s="39" t="str">
        <x:v>فرم مورد نیاز کوچ ساکی.docx::T28R2C1.54</x:v>
      </x:c>
      <x:c r="O445" s="39"/>
    </x:row>
    <x:row r="446">
      <x:c r="A446" s="34" t="str">
        <x:v>☐</x:v>
      </x:c>
      <x:c r="B446" s="34" t="str">
        <x:v>EX-0418</x:v>
      </x:c>
      <x:c r="C446" s="34" t="str">
        <x:v>کتابداری</x:v>
      </x:c>
      <x:c r="D446" s="34" t="str">
        <x:v>UNMAPPED</x:v>
      </x:c>
      <x:c r="E446" s="34" t="str">
        <x:v>77.1</x:v>
      </x:c>
      <x:c r="F446" s="34" t="str">
        <x:v>MI-0202</x:v>
      </x:c>
      <x:c r="G446" s="39" t="str">
        <x:v>آموزش حسابداری</x:v>
      </x:c>
      <x:c r="H446" s="39" t="str">
        <x:v>H8</x:v>
      </x:c>
      <x:c r="I446" s="39" t="str">
        <x:v>P2</x:v>
      </x:c>
      <x:c r="J446" s="39" t="str">
        <x:v>H23</x:v>
      </x:c>
      <x:c r="K446" s="39" t="str">
        <x:v>نیازمند پالایش؛ حذف نشده</x:v>
      </x:c>
      <x:c r="L446" s="39"/>
      <x:c r="M446" s="39"/>
      <x:c r="N446" s="39" t="str">
        <x:v>فرم مورد نیاز کوچ ساکی.docx::T28R2C1.55</x:v>
      </x:c>
      <x:c r="O446" s="39"/>
    </x:row>
    <x:row r="447">
      <x:c r="A447" s="34" t="str">
        <x:v>☐</x:v>
      </x:c>
      <x:c r="B447" s="34" t="str">
        <x:v>EX-0419</x:v>
      </x:c>
      <x:c r="C447" s="34" t="str">
        <x:v>انرژی های تجدید پذیر</x:v>
      </x:c>
      <x:c r="D447" s="34" t="str">
        <x:v>POSSIBLE</x:v>
      </x:c>
      <x:c r="E447" s="34" t="str">
        <x:v>85.5</x:v>
      </x:c>
      <x:c r="F447" s="34" t="str">
        <x:v>MI-1501</x:v>
      </x:c>
      <x:c r="G447" s="39" t="str">
        <x:v>مدیریت ریسک: شناسایی ریسک ها، ارزیابی اثرات، تدوین برنامه های مقابله با ریسک ها.</x:v>
      </x:c>
      <x:c r="H447" s="39" t="str">
        <x:v>H1</x:v>
      </x:c>
      <x:c r="I447" s="39" t="str">
        <x:v>P0</x:v>
      </x:c>
      <x:c r="J447" s="39" t="str">
        <x:v>H1</x:v>
      </x:c>
      <x:c r="K447" s="39" t="str">
        <x:v>تطبیق احتمالی با پایه</x:v>
      </x:c>
      <x:c r="L447" s="39" t="str">
        <x:v>MI-1501</x:v>
      </x:c>
      <x:c r="M447" s="39" t="str">
        <x:v>مدیریت ریسک: شناسایی ریسک ها، ارزیابی اثرات، تدوین برنامه های مقابله با ریسک ها.</x:v>
      </x:c>
      <x:c r="N447" s="39" t="str">
        <x:v>فرم مورد نیاز کوچ ساکی.docx::T28R2C1.56</x:v>
      </x:c>
      <x:c r="O447" s="39"/>
    </x:row>
    <x:row r="448">
      <x:c r="A448" s="34" t="str">
        <x:v>☐</x:v>
      </x:c>
      <x:c r="B448" s="34" t="str">
        <x:v>EX-0420</x:v>
      </x:c>
      <x:c r="C448" s="34" t="str">
        <x:v>نمایشگاه های مختلف</x:v>
      </x:c>
      <x:c r="D448" s="34" t="str">
        <x:v>POSSIBLE</x:v>
      </x:c>
      <x:c r="E448" s="34" t="str">
        <x:v>90.0</x:v>
      </x:c>
      <x:c r="F448" s="34" t="str">
        <x:v>MI-1995</x:v>
      </x:c>
      <x:c r="G448" s="39" t="str">
        <x:v>نمایشگاه ها</x:v>
      </x:c>
      <x:c r="H448" s="39" t="str">
        <x:v>H20</x:v>
      </x:c>
      <x:c r="I448" s="39" t="str">
        <x:v>P3/CLARIFY</x:v>
      </x:c>
      <x:c r="J448" s="39" t="str">
        <x:v>H20</x:v>
      </x:c>
      <x:c r="K448" s="39" t="str">
        <x:v>تطبیق احتمالی با پایه</x:v>
      </x:c>
      <x:c r="L448" s="39" t="str">
        <x:v>MI-1995</x:v>
      </x:c>
      <x:c r="M448" s="39" t="str">
        <x:v>نمایشگاه ها</x:v>
      </x:c>
      <x:c r="N448" s="39" t="str">
        <x:v>فرم مورد نیاز کوچ ساکی.docx::T28R2C1.57</x:v>
      </x:c>
      <x:c r="O448" s="39"/>
    </x:row>
    <x:row r="449">
      <x:c r="A449" s="34" t="str">
        <x:v>☐</x:v>
      </x:c>
      <x:c r="B449" s="34" t="str">
        <x:v>EX-0421</x:v>
      </x:c>
      <x:c r="C449" s="34" t="str">
        <x:v>اربعین و سیستم کنترل اجرائی آن</x:v>
      </x:c>
      <x:c r="D449" s="34" t="str">
        <x:v>POSSIBLE</x:v>
      </x:c>
      <x:c r="E449" s="34" t="str">
        <x:v>85.5</x:v>
      </x:c>
      <x:c r="F449" s="34" t="str">
        <x:v>MI-1513</x:v>
      </x:c>
      <x:c r="G449" s="39" t="str">
        <x:v>تولید و کارآفرینی: توانایی تولید محصول و خدمات و ایجاد شغل.</x:v>
      </x:c>
      <x:c r="H449" s="39" t="str">
        <x:v>H1</x:v>
      </x:c>
      <x:c r="I449" s="39" t="str">
        <x:v>P0</x:v>
      </x:c>
      <x:c r="J449" s="39" t="str">
        <x:v>H1</x:v>
      </x:c>
      <x:c r="K449" s="39" t="str">
        <x:v>تطبیق احتمالی با پایه</x:v>
      </x:c>
      <x:c r="L449" s="39" t="str">
        <x:v>MI-1513</x:v>
      </x:c>
      <x:c r="M449" s="39" t="str">
        <x:v>تولید و کارآفرینی: توانایی تولید محصول و خدمات و ایجاد شغل.</x:v>
      </x:c>
      <x:c r="N449" s="39" t="str">
        <x:v>فرم مورد نیاز کوچ ساکی.docx::T28R2C1.58</x:v>
      </x:c>
      <x:c r="O449" s="39"/>
    </x:row>
    <x:row r="450">
      <x:c r="A450" s="34" t="str">
        <x:v>☐</x:v>
      </x:c>
      <x:c r="B450" s="34" t="str">
        <x:v>EX-0422</x:v>
      </x:c>
      <x:c r="C450" s="34" t="str">
        <x:v>سیستم اجرائی حرمین شریف مثل مشهد الرضا</x:v>
      </x:c>
      <x:c r="D450" s="34" t="str">
        <x:v>POSSIBLE</x:v>
      </x:c>
      <x:c r="E450" s="34" t="str">
        <x:v>85.5</x:v>
      </x:c>
      <x:c r="F450" s="34" t="str">
        <x:v>MI-0388</x:v>
      </x:c>
      <x:c r="G450" s="39" t="str">
        <x:v>صنایع سیستم</x:v>
      </x:c>
      <x:c r="H450" s="39" t="str">
        <x:v>H6</x:v>
      </x:c>
      <x:c r="I450" s="39" t="str">
        <x:v>BANK</x:v>
      </x:c>
      <x:c r="J450" s="39" t="str">
        <x:v>H6</x:v>
      </x:c>
      <x:c r="K450" s="39" t="str">
        <x:v>تطبیق احتمالی با پایه</x:v>
      </x:c>
      <x:c r="L450" s="39" t="str">
        <x:v>MI-0388</x:v>
      </x:c>
      <x:c r="M450" s="39" t="str">
        <x:v>صنایع سیستم</x:v>
      </x:c>
      <x:c r="N450" s="39" t="str">
        <x:v>فرم مورد نیاز کوچ ساکی.docx::T28R2C1.59</x:v>
      </x:c>
      <x:c r="O450" s="39"/>
    </x:row>
    <x:row r="451">
      <x:c r="A451" s="34" t="str">
        <x:v>☐</x:v>
      </x:c>
      <x:c r="B451" s="34" t="str">
        <x:v>EX-0423</x:v>
      </x:c>
      <x:c r="C451" s="34" t="str">
        <x:v>سخنرانی</x:v>
      </x:c>
      <x:c r="D451" s="34" t="str">
        <x:v>POSSIBLE</x:v>
      </x:c>
      <x:c r="E451" s="34" t="str">
        <x:v>90.0</x:v>
      </x:c>
      <x:c r="F451" s="34" t="str">
        <x:v>MI-0491</x:v>
      </x:c>
      <x:c r="G451" s="39" t="str">
        <x:v>سخنرانی روحانی 23 تتیر 78</x:v>
      </x:c>
      <x:c r="H451" s="39" t="str">
        <x:v>H18</x:v>
      </x:c>
      <x:c r="I451" s="39" t="str">
        <x:v>BANK</x:v>
      </x:c>
      <x:c r="J451" s="39" t="str">
        <x:v>H18</x:v>
      </x:c>
      <x:c r="K451" s="39" t="str">
        <x:v>تطبیق احتمالی با پایه</x:v>
      </x:c>
      <x:c r="L451" s="39" t="str">
        <x:v>MI-0491</x:v>
      </x:c>
      <x:c r="M451" s="39" t="str">
        <x:v>سخنرانی روحانی 23 تتیر 78</x:v>
      </x:c>
      <x:c r="N451" s="39" t="str">
        <x:v>فرم مورد نیاز کوچ ساکی.docx::T28R2C1.60</x:v>
      </x:c>
      <x:c r="O451" s="39"/>
    </x:row>
    <x:row r="452">
      <x:c r="A452" s="34" t="str">
        <x:v>☐</x:v>
      </x:c>
      <x:c r="B452" s="34" t="str">
        <x:v>EX-0424</x:v>
      </x:c>
      <x:c r="C452" s="34" t="str">
        <x:v>مشاوره تحصیلی</x:v>
      </x:c>
      <x:c r="D452" s="34" t="str">
        <x:v>POSSIBLE</x:v>
      </x:c>
      <x:c r="E452" s="34" t="str">
        <x:v>90.0</x:v>
      </x:c>
      <x:c r="F452" s="34" t="str">
        <x:v>MI-1206</x:v>
      </x:c>
      <x:c r="G452" s="39" t="str">
        <x:v>تحصیلی</x:v>
      </x:c>
      <x:c r="H452" s="39" t="str">
        <x:v>H23</x:v>
      </x:c>
      <x:c r="I452" s="39" t="str">
        <x:v>P3/CLARIFY</x:v>
      </x:c>
      <x:c r="J452" s="39" t="str">
        <x:v>H23</x:v>
      </x:c>
      <x:c r="K452" s="39" t="str">
        <x:v>تطبیق احتمالی با پایه</x:v>
      </x:c>
      <x:c r="L452" s="39" t="str">
        <x:v>MI-1206</x:v>
      </x:c>
      <x:c r="M452" s="39" t="str">
        <x:v>تحصیلی</x:v>
      </x:c>
      <x:c r="N452" s="39" t="str">
        <x:v>فرم مورد نیاز کوچ ساکی.docx::T28R2C1.61</x:v>
      </x:c>
      <x:c r="O452" s="39"/>
    </x:row>
    <x:row r="453">
      <x:c r="A453" s="34" t="str">
        <x:v>☐</x:v>
      </x:c>
      <x:c r="B453" s="34" t="str">
        <x:v>EX-0425</x:v>
      </x:c>
      <x:c r="C453" s="34" t="str">
        <x:v>روانشناسی</x:v>
      </x:c>
      <x:c r="D453" s="34" t="str">
        <x:v>POSSIBLE</x:v>
      </x:c>
      <x:c r="E453" s="34" t="str">
        <x:v>90.0</x:v>
      </x:c>
      <x:c r="F453" s="34" t="str">
        <x:v>MI-0001</x:v>
      </x:c>
      <x:c r="G453" s="39" t="str">
        <x:v>روانشناسی کنترل خشم و استرس و تحمل و صبر</x:v>
      </x:c>
      <x:c r="H453" s="39" t="str">
        <x:v>H1</x:v>
      </x:c>
      <x:c r="I453" s="39" t="str">
        <x:v>P0</x:v>
      </x:c>
      <x:c r="J453" s="39" t="str">
        <x:v>H1</x:v>
      </x:c>
      <x:c r="K453" s="39" t="str">
        <x:v>تطبیق احتمالی با پایه</x:v>
      </x:c>
      <x:c r="L453" s="39" t="str">
        <x:v>MI-0001</x:v>
      </x:c>
      <x:c r="M453" s="39" t="str">
        <x:v>روانشناسی کنترل خشم و استرس و تحمل و صبر</x:v>
      </x:c>
      <x:c r="N453" s="39" t="str">
        <x:v>فرم مورد نیاز کوچ ساکی.docx::T28R2C1.62</x:v>
      </x:c>
      <x:c r="O453" s="39"/>
    </x:row>
    <x:row r="454">
      <x:c r="A454" s="34" t="str">
        <x:v>☐</x:v>
      </x:c>
      <x:c r="B454" s="34" t="str">
        <x:v>EX-0426</x:v>
      </x:c>
      <x:c r="C454" s="34" t="str">
        <x:v>مشاوره کسب و کار</x:v>
      </x:c>
      <x:c r="D454" s="34" t="str">
        <x:v>POSSIBLE</x:v>
      </x:c>
      <x:c r="E454" s="34" t="str">
        <x:v>90.0</x:v>
      </x:c>
      <x:c r="F454" s="34" t="str">
        <x:v>MI-2545</x:v>
      </x:c>
      <x:c r="G454" s="39" t="str">
        <x:v>کار:</x:v>
      </x:c>
      <x:c r="H454" s="39" t="str">
        <x:v>H20</x:v>
      </x:c>
      <x:c r="I454" s="39" t="str">
        <x:v>P3/CLARIFY</x:v>
      </x:c>
      <x:c r="J454" s="39" t="str">
        <x:v>H20</x:v>
      </x:c>
      <x:c r="K454" s="39" t="str">
        <x:v>تطبیق احتمالی با پایه</x:v>
      </x:c>
      <x:c r="L454" s="39" t="str">
        <x:v>MI-2545</x:v>
      </x:c>
      <x:c r="M454" s="39" t="str">
        <x:v>کار:</x:v>
      </x:c>
      <x:c r="N454" s="39" t="str">
        <x:v>فرم مورد نیاز کوچ ساکی.docx::T28R2C1.63</x:v>
      </x:c>
      <x:c r="O454" s="39"/>
    </x:row>
    <x:row r="455">
      <x:c r="A455" s="34" t="str">
        <x:v>☐</x:v>
      </x:c>
      <x:c r="B455" s="34" t="str">
        <x:v>EX-0427</x:v>
      </x:c>
      <x:c r="C455" s="34" t="str">
        <x:v>در رهبری</x:v>
      </x:c>
      <x:c r="D455" s="34" t="str">
        <x:v>POSSIBLE</x:v>
      </x:c>
      <x:c r="E455" s="34" t="str">
        <x:v>85.5</x:v>
      </x:c>
      <x:c r="F455" s="34" t="str">
        <x:v>MI-0077</x:v>
      </x:c>
      <x:c r="G455" s="39" t="str">
        <x:v>یادگیری هوش هیجانی و قدرت تصمیم گیری بالا در لحظه</x:v>
      </x:c>
      <x:c r="H455" s="39" t="str">
        <x:v>H1</x:v>
      </x:c>
      <x:c r="I455" s="39" t="str">
        <x:v>P0</x:v>
      </x:c>
      <x:c r="J455" s="39" t="str">
        <x:v>H1</x:v>
      </x:c>
      <x:c r="K455" s="39" t="str">
        <x:v>تطبیق احتمالی با پایه</x:v>
      </x:c>
      <x:c r="L455" s="39" t="str">
        <x:v>MI-0077</x:v>
      </x:c>
      <x:c r="M455" s="39" t="str">
        <x:v>یادگیری هوش هیجانی و قدرت تصمیم گیری بالا در لحظه</x:v>
      </x:c>
      <x:c r="N455" s="39" t="str">
        <x:v>فرم مورد نیاز کوچ ساکی.docx::T29R2C1.1 | فرم مورد نیاز کوچ ساکی (1).docx::T29R2C1.1</x:v>
      </x:c>
      <x:c r="O455" s="39"/>
    </x:row>
    <x:row r="456">
      <x:c r="A456" s="34" t="str">
        <x:v>☐</x:v>
      </x:c>
      <x:c r="B456" s="34" t="str">
        <x:v>EX-0428</x:v>
      </x:c>
      <x:c r="C456" s="34" t="str">
        <x:v>در شرایط پیچیده و ساده سازی و خرد کردن امور</x:v>
      </x:c>
      <x:c r="D456" s="34" t="str">
        <x:v>POSSIBLE</x:v>
      </x:c>
      <x:c r="E456" s="34" t="str">
        <x:v>90.0</x:v>
      </x:c>
      <x:c r="F456" s="34" t="str">
        <x:v>MI-3097</x:v>
      </x:c>
      <x:c r="G456" s="39" t="str">
        <x:v>در رهبری در شرایط پیچیده و ساده سازی و خرد کردن امور در شناسایی افراد و مسیولیت دادن تصمیم آنی و لحظه و اجرا آن صحبت کردن روابط اجتماعی ایده پردازی و خلاقیت پیدا کردن ارتباط بین موضوعات و افراد و لینک ها آینده نگری آرامش بخشی انعطاف در شرایط کاری و یا محیط زندگی استفاده از عطر خوب پیدا کردن نقاط ضعف یه صنعت ، یا شغل ، یا اداره</x:v>
      </x:c>
      <x:c r="H456" s="39" t="str">
        <x:v>H14</x:v>
      </x:c>
      <x:c r="I456" s="39" t="str">
        <x:v>P3</x:v>
      </x:c>
      <x:c r="J456" s="39" t="str">
        <x:v>H14</x:v>
      </x:c>
      <x:c r="K456" s="39" t="str">
        <x:v>تطبیق احتمالی با پایه</x:v>
      </x:c>
      <x:c r="L456" s="39" t="str">
        <x:v>MI-3097</x:v>
      </x:c>
      <x:c r="M456" s="39" t="str">
        <x:v>در رهبری در شرایط پیچیده و ساده سازی و خرد کردن امور در شناسایی افراد و مسیولیت دادن تصمیم آنی و لحظه و اجرا آن صحبت کردن روابط اجتماعی ایده پردازی و خلاقیت پیدا کردن ارتباط بین موضوعات و افراد و لینک ها آینده نگری آرامش بخشی انعطاف در شرایط کاری و یا محیط زندگی استفاده از عطر خوب پیدا کردن نقاط ضعف یه صنعت ، یا شغل ، یا اداره</x:v>
      </x:c>
      <x:c r="N456" s="39" t="str">
        <x:v>فرم مورد نیاز کوچ ساکی.docx::T29R2C1.2 | فرم مورد نیاز کوچ ساکی (1).docx::T29R2C1.2</x:v>
      </x:c>
      <x:c r="O456" s="39"/>
    </x:row>
    <x:row r="457">
      <x:c r="A457" s="34" t="str">
        <x:v>☐</x:v>
      </x:c>
      <x:c r="B457" s="34" t="str">
        <x:v>EX-0429</x:v>
      </x:c>
      <x:c r="C457" s="34" t="str">
        <x:v>در شناسایی افراد و مسئولیت دادن</x:v>
      </x:c>
      <x:c r="D457" s="34" t="str">
        <x:v>POSSIBLE</x:v>
      </x:c>
      <x:c r="E457" s="34" t="str">
        <x:v>90.0</x:v>
      </x:c>
      <x:c r="F457" s="34" t="str">
        <x:v>MI-2997</x:v>
      </x:c>
      <x:c r="G457" s="39" t="str">
        <x:v>افراد</x:v>
      </x:c>
      <x:c r="H457" s="39" t="str">
        <x:v>H14</x:v>
      </x:c>
      <x:c r="I457" s="39" t="str">
        <x:v>P3</x:v>
      </x:c>
      <x:c r="J457" s="39" t="str">
        <x:v>H14</x:v>
      </x:c>
      <x:c r="K457" s="39" t="str">
        <x:v>تطبیق احتمالی با پایه</x:v>
      </x:c>
      <x:c r="L457" s="39" t="str">
        <x:v>MI-2997</x:v>
      </x:c>
      <x:c r="M457" s="39" t="str">
        <x:v>افراد</x:v>
      </x:c>
      <x:c r="N457" s="39" t="str">
        <x:v>فرم مورد نیاز کوچ ساکی.docx::T29R2C1.3 | فرم مورد نیاز کوچ ساکی (1).docx::T29R2C1.3</x:v>
      </x:c>
      <x:c r="O457" s="39"/>
    </x:row>
    <x:row r="458">
      <x:c r="A458" s="34" t="str">
        <x:v>☐</x:v>
      </x:c>
      <x:c r="B458" s="34" t="str">
        <x:v>EX-0430</x:v>
      </x:c>
      <x:c r="C458" s="34" t="str">
        <x:v>تصمیم آنی و لحظه و اجرا آن</x:v>
      </x:c>
      <x:c r="D458" s="34" t="str">
        <x:v>POSSIBLE</x:v>
      </x:c>
      <x:c r="E458" s="34" t="str">
        <x:v>85.5</x:v>
      </x:c>
      <x:c r="F458" s="34" t="str">
        <x:v>MI-1513</x:v>
      </x:c>
      <x:c r="G458" s="39" t="str">
        <x:v>تولید و کارآفرینی: توانایی تولید محصول و خدمات و ایجاد شغل.</x:v>
      </x:c>
      <x:c r="H458" s="39" t="str">
        <x:v>H1</x:v>
      </x:c>
      <x:c r="I458" s="39" t="str">
        <x:v>P0</x:v>
      </x:c>
      <x:c r="J458" s="39" t="str">
        <x:v>H1</x:v>
      </x:c>
      <x:c r="K458" s="39" t="str">
        <x:v>تطبیق احتمالی با پایه</x:v>
      </x:c>
      <x:c r="L458" s="39" t="str">
        <x:v>MI-1513</x:v>
      </x:c>
      <x:c r="M458" s="39" t="str">
        <x:v>تولید و کارآفرینی: توانایی تولید محصول و خدمات و ایجاد شغل.</x:v>
      </x:c>
      <x:c r="N458" s="39" t="str">
        <x:v>فرم مورد نیاز کوچ ساکی.docx::T29R2C1.4 | فرم مورد نیاز کوچ ساکی (1).docx::T29R2C1.4</x:v>
      </x:c>
      <x:c r="O458" s="39"/>
    </x:row>
    <x:row r="459">
      <x:c r="A459" s="34" t="str">
        <x:v>☐</x:v>
      </x:c>
      <x:c r="B459" s="34" t="str">
        <x:v>EX-0431</x:v>
      </x:c>
      <x:c r="C459" s="34" t="str">
        <x:v>صحبت کردن</x:v>
      </x:c>
      <x:c r="D459" s="34" t="str">
        <x:v>POSSIBLE</x:v>
      </x:c>
      <x:c r="E459" s="34" t="str">
        <x:v>85.5</x:v>
      </x:c>
      <x:c r="F459" s="34" t="str">
        <x:v>MI-1531</x:v>
      </x:c>
      <x:c r="G459" s="39" t="str">
        <x:v>باز کردن دفتر بسیج خوابگاه</x:v>
      </x:c>
      <x:c r="H459" s="39" t="str">
        <x:v>H1</x:v>
      </x:c>
      <x:c r="I459" s="39" t="str">
        <x:v>P0</x:v>
      </x:c>
      <x:c r="J459" s="39" t="str">
        <x:v>H1</x:v>
      </x:c>
      <x:c r="K459" s="39" t="str">
        <x:v>تطبیق احتمالی با پایه</x:v>
      </x:c>
      <x:c r="L459" s="39" t="str">
        <x:v>MI-1531</x:v>
      </x:c>
      <x:c r="M459" s="39" t="str">
        <x:v>باز کردن دفتر بسیج خوابگاه</x:v>
      </x:c>
      <x:c r="N459" s="39" t="str">
        <x:v>فرم مورد نیاز کوچ ساکی.docx::T29R2C1.5 | فرم مورد نیاز کوچ ساکی (1).docx::T29R2C1.5</x:v>
      </x:c>
      <x:c r="O459" s="39"/>
    </x:row>
    <x:row r="460">
      <x:c r="A460" s="34" t="str">
        <x:v>☐</x:v>
      </x:c>
      <x:c r="B460" s="34" t="str">
        <x:v>EX-0432</x:v>
      </x:c>
      <x:c r="C460" s="34" t="str">
        <x:v>روابط اجتماعی</x:v>
      </x:c>
      <x:c r="D460" s="34" t="str">
        <x:v>POSSIBLE</x:v>
      </x:c>
      <x:c r="E460" s="34" t="str">
        <x:v>90.0</x:v>
      </x:c>
      <x:c r="F460" s="34" t="str">
        <x:v>MI-0288</x:v>
      </x:c>
      <x:c r="G460" s="39" t="str">
        <x:v>اجتماعی</x:v>
      </x:c>
      <x:c r="H460" s="39" t="str">
        <x:v>H15</x:v>
      </x:c>
      <x:c r="I460" s="39" t="str">
        <x:v>P3/CLARIFY</x:v>
      </x:c>
      <x:c r="J460" s="39" t="str">
        <x:v>H15</x:v>
      </x:c>
      <x:c r="K460" s="39" t="str">
        <x:v>تطبیق احتمالی با پایه</x:v>
      </x:c>
      <x:c r="L460" s="39" t="str">
        <x:v>MI-0288</x:v>
      </x:c>
      <x:c r="M460" s="39" t="str">
        <x:v>اجتماعی</x:v>
      </x:c>
      <x:c r="N460" s="39" t="str">
        <x:v>فرم مورد نیاز کوچ ساکی.docx::T29R2C1.6 | فرم مورد نیاز کوچ ساکی (1).docx::T29R2C1.6 | 1154878548.docx::P2296.1</x:v>
      </x:c>
      <x:c r="O460" s="39"/>
    </x:row>
    <x:row r="461">
      <x:c r="A461" s="34" t="str">
        <x:v>☐</x:v>
      </x:c>
      <x:c r="B461" s="34" t="str">
        <x:v>EX-0433</x:v>
      </x:c>
      <x:c r="C461" s="34" t="str">
        <x:v>پیدا کردن ارتباط بین موضوعات و افراد و لینک ها</x:v>
      </x:c>
      <x:c r="D461" s="34" t="str">
        <x:v>POSSIBLE</x:v>
      </x:c>
      <x:c r="E461" s="34" t="str">
        <x:v>90.0</x:v>
      </x:c>
      <x:c r="F461" s="34" t="str">
        <x:v>MI-1079</x:v>
      </x:c>
      <x:c r="G461" s="39" t="str">
        <x:v>لینک ها</x:v>
      </x:c>
      <x:c r="H461" s="39" t="str">
        <x:v>H14</x:v>
      </x:c>
      <x:c r="I461" s="39" t="str">
        <x:v>P3</x:v>
      </x:c>
      <x:c r="J461" s="39" t="str">
        <x:v>H14</x:v>
      </x:c>
      <x:c r="K461" s="39" t="str">
        <x:v>تطبیق احتمالی با پایه</x:v>
      </x:c>
      <x:c r="L461" s="39" t="str">
        <x:v>MI-1079</x:v>
      </x:c>
      <x:c r="M461" s="39" t="str">
        <x:v>لینک ها</x:v>
      </x:c>
      <x:c r="N461" s="39" t="str">
        <x:v>فرم مورد نیاز کوچ ساکی.docx::T29R2C1.8 | فرم مورد نیاز کوچ ساکی (1).docx::T29R2C1.8</x:v>
      </x:c>
      <x:c r="O461" s="39"/>
    </x:row>
    <x:row r="462">
      <x:c r="A462" s="34" t="str">
        <x:v>☐</x:v>
      </x:c>
      <x:c r="B462" s="34" t="str">
        <x:v>EX-0434</x:v>
      </x:c>
      <x:c r="C462" s="34" t="str">
        <x:v>آینده نگری</x:v>
      </x:c>
      <x:c r="D462" s="34" t="str">
        <x:v>POSSIBLE</x:v>
      </x:c>
      <x:c r="E462" s="34" t="str">
        <x:v>85.5</x:v>
      </x:c>
      <x:c r="F462" s="34" t="str">
        <x:v>MI-2591</x:v>
      </x:c>
      <x:c r="G462" s="39" t="str">
        <x:v>ساخت نسل آینده اکوسیستم.</x:v>
      </x:c>
      <x:c r="H462" s="39" t="str">
        <x:v>H10</x:v>
      </x:c>
      <x:c r="I462" s="39" t="str">
        <x:v>P2</x:v>
      </x:c>
      <x:c r="J462" s="39" t="str">
        <x:v>H10</x:v>
      </x:c>
      <x:c r="K462" s="39" t="str">
        <x:v>تطبیق احتمالی با پایه</x:v>
      </x:c>
      <x:c r="L462" s="39" t="str">
        <x:v>MI-2591</x:v>
      </x:c>
      <x:c r="M462" s="39" t="str">
        <x:v>ساخت نسل آینده اکوسیستم.</x:v>
      </x:c>
      <x:c r="N462" s="39" t="str">
        <x:v>فرم مورد نیاز کوچ ساکی.docx::T29R2C1.9 | فرم مورد نیاز کوچ ساکی (1).docx::T29R2C1.9</x:v>
      </x:c>
      <x:c r="O462" s="39"/>
    </x:row>
    <x:row r="463">
      <x:c r="A463" s="34" t="str">
        <x:v>☐</x:v>
      </x:c>
      <x:c r="B463" s="34" t="str">
        <x:v>EX-0435</x:v>
      </x:c>
      <x:c r="C463" s="34" t="str">
        <x:v>آرامش بخشی</x:v>
      </x:c>
      <x:c r="D463" s="34" t="str">
        <x:v>POSSIBLE</x:v>
      </x:c>
      <x:c r="E463" s="34" t="str">
        <x:v>85.5</x:v>
      </x:c>
      <x:c r="F463" s="34" t="str">
        <x:v>MI-2897</x:v>
      </x:c>
      <x:c r="G463" s="39" t="str">
        <x:v>هیچ بخشی از محتوای موجود را حذف یا خلاصه نکن.</x:v>
      </x:c>
      <x:c r="H463" s="39" t="str">
        <x:v>H20</x:v>
      </x:c>
      <x:c r="I463" s="39" t="str">
        <x:v>P3/CLARIFY</x:v>
      </x:c>
      <x:c r="J463" s="39" t="str">
        <x:v>H20</x:v>
      </x:c>
      <x:c r="K463" s="39" t="str">
        <x:v>تطبیق احتمالی با پایه</x:v>
      </x:c>
      <x:c r="L463" s="39" t="str">
        <x:v>MI-2897</x:v>
      </x:c>
      <x:c r="M463" s="39" t="str">
        <x:v>هیچ بخشی از محتوای موجود را حذف یا خلاصه نکن.</x:v>
      </x:c>
      <x:c r="N463" s="39" t="str">
        <x:v>فرم مورد نیاز کوچ ساکی.docx::T29R2C1.10 | فرم مورد نیاز کوچ ساکی (1).docx::T29R2C1.10</x:v>
      </x:c>
      <x:c r="O463" s="39"/>
    </x:row>
    <x:row r="464">
      <x:c r="A464" s="34" t="str">
        <x:v>☐</x:v>
      </x:c>
      <x:c r="B464" s="34" t="str">
        <x:v>EX-0436</x:v>
      </x:c>
      <x:c r="C464" s="34" t="str">
        <x:v>انعطاف در شرایط کاری و یا محیط زندگی</x:v>
      </x:c>
      <x:c r="D464" s="34" t="str">
        <x:v>POSSIBLE</x:v>
      </x:c>
      <x:c r="E464" s="34" t="str">
        <x:v>90.0</x:v>
      </x:c>
      <x:c r="F464" s="34" t="str">
        <x:v>MI-0596</x:v>
      </x:c>
      <x:c r="G464" s="39" t="str">
        <x:v>زندگی</x:v>
      </x:c>
      <x:c r="H464" s="39" t="str">
        <x:v>H18</x:v>
      </x:c>
      <x:c r="I464" s="39" t="str">
        <x:v>BANK</x:v>
      </x:c>
      <x:c r="J464" s="39" t="str">
        <x:v>H18</x:v>
      </x:c>
      <x:c r="K464" s="39" t="str">
        <x:v>تطبیق احتمالی با پایه</x:v>
      </x:c>
      <x:c r="L464" s="39" t="str">
        <x:v>MI-0596</x:v>
      </x:c>
      <x:c r="M464" s="39" t="str">
        <x:v>زندگی</x:v>
      </x:c>
      <x:c r="N464" s="39" t="str">
        <x:v>فرم مورد نیاز کوچ ساکی.docx::T29R2C1.11 | فرم مورد نیاز کوچ ساکی (1).docx::T29R2C1.11</x:v>
      </x:c>
      <x:c r="O464" s="39"/>
    </x:row>
    <x:row r="465">
      <x:c r="A465" s="34" t="str">
        <x:v>☐</x:v>
      </x:c>
      <x:c r="B465" s="34" t="str">
        <x:v>EX-0437</x:v>
      </x:c>
      <x:c r="C465" s="34" t="str">
        <x:v>استفاده از عطر خوب</x:v>
      </x:c>
      <x:c r="D465" s="34" t="str">
        <x:v>POSSIBLE</x:v>
      </x:c>
      <x:c r="E465" s="34" t="str">
        <x:v>85.5</x:v>
      </x:c>
      <x:c r="F465" s="34" t="str">
        <x:v>MI-1457</x:v>
      </x:c>
      <x:c r="G465" s="39" t="str">
        <x:v>سلامت جسمانی: تغذیه سالم، ورزش منظم، خواب کافی، پیشگیری از بیماری ها.</x:v>
      </x:c>
      <x:c r="H465" s="39" t="str">
        <x:v>H1</x:v>
      </x:c>
      <x:c r="I465" s="39" t="str">
        <x:v>P0</x:v>
      </x:c>
      <x:c r="J465" s="39" t="str">
        <x:v>H1</x:v>
      </x:c>
      <x:c r="K465" s="39" t="str">
        <x:v>تطبیق احتمالی با پایه</x:v>
      </x:c>
      <x:c r="L465" s="39" t="str">
        <x:v>MI-1457</x:v>
      </x:c>
      <x:c r="M465" s="39" t="str">
        <x:v>سلامت جسمانی: تغذیه سالم، ورزش منظم، خواب کافی، پیشگیری از بیماری ها.</x:v>
      </x:c>
      <x:c r="N465" s="39" t="str">
        <x:v>فرم مورد نیاز کوچ ساکی.docx::T29R2C1.12 | فرم مورد نیاز کوچ ساکی (1).docx::T29R2C1.12</x:v>
      </x:c>
      <x:c r="O465" s="39"/>
    </x:row>
    <x:row r="466">
      <x:c r="A466" s="34" t="str">
        <x:v>☐</x:v>
      </x:c>
      <x:c r="B466" s="34" t="str">
        <x:v>EX-0438</x:v>
      </x:c>
      <x:c r="C466" s="34" t="str">
        <x:v>پیدا کردن نقاط ضعف یه صنعت ، یا شغل ، یا اداره</x:v>
      </x:c>
      <x:c r="D466" s="34" t="str">
        <x:v>POSSIBLE</x:v>
      </x:c>
      <x:c r="E466" s="34" t="str">
        <x:v>90.0</x:v>
      </x:c>
      <x:c r="F466" s="34" t="str">
        <x:v>MI-3097</x:v>
      </x:c>
      <x:c r="G466" s="39" t="str">
        <x:v>در رهبری در شرایط پیچیده و ساده سازی و خرد کردن امور در شناسایی افراد و مسیولیت دادن تصمیم آنی و لحظه و اجرا آن صحبت کردن روابط اجتماعی ایده پردازی و خلاقیت پیدا کردن ارتباط بین موضوعات و افراد و لینک ها آینده نگری آرامش بخشی انعطاف در شرایط کاری و یا محیط زندگی استفاده از عطر خوب پیدا کردن نقاط ضعف یه صنعت ، یا شغل ، یا اداره</x:v>
      </x:c>
      <x:c r="H466" s="39" t="str">
        <x:v>H14</x:v>
      </x:c>
      <x:c r="I466" s="39" t="str">
        <x:v>P3</x:v>
      </x:c>
      <x:c r="J466" s="39" t="str">
        <x:v>H14</x:v>
      </x:c>
      <x:c r="K466" s="39" t="str">
        <x:v>تطبیق احتمالی با پایه</x:v>
      </x:c>
      <x:c r="L466" s="39" t="str">
        <x:v>MI-3097</x:v>
      </x:c>
      <x:c r="M466" s="39" t="str">
        <x:v>در رهبری در شرایط پیچیده و ساده سازی و خرد کردن امور در شناسایی افراد و مسیولیت دادن تصمیم آنی و لحظه و اجرا آن صحبت کردن روابط اجتماعی ایده پردازی و خلاقیت پیدا کردن ارتباط بین موضوعات و افراد و لینک ها آینده نگری آرامش بخشی انعطاف در شرایط کاری و یا محیط زندگی استفاده از عطر خوب پیدا کردن نقاط ضعف یه صنعت ، یا شغل ، یا اداره</x:v>
      </x:c>
      <x:c r="N466" s="39" t="str">
        <x:v>فرم مورد نیاز کوچ ساکی.docx::T29R2C1.13 | فرم مورد نیاز کوچ ساکی (1).docx::T29R2C1.13</x:v>
      </x:c>
      <x:c r="O466" s="39"/>
    </x:row>
    <x:row r="467">
      <x:c r="A467" s="34" t="str">
        <x:v>☐</x:v>
      </x:c>
      <x:c r="B467" s="34" t="str">
        <x:v>EX-0439</x:v>
      </x:c>
      <x:c r="C467" s="34" t="str">
        <x:v>فیلم ببینم</x:v>
      </x:c>
      <x:c r="D467" s="34" t="str">
        <x:v>POSSIBLE</x:v>
      </x:c>
      <x:c r="E467" s="34" t="str">
        <x:v>85.5</x:v>
      </x:c>
      <x:c r="F467" s="34" t="str">
        <x:v>MI-0638</x:v>
      </x:c>
      <x:c r="G467" s="39" t="str">
        <x:v>تولید فیلم و کلیپ از بازدید و ...</x:v>
      </x:c>
      <x:c r="H467" s="39" t="str">
        <x:v>H4</x:v>
      </x:c>
      <x:c r="I467" s="39" t="str">
        <x:v>P1</x:v>
      </x:c>
      <x:c r="J467" s="39" t="str">
        <x:v>H4</x:v>
      </x:c>
      <x:c r="K467" s="39" t="str">
        <x:v>تطبیق احتمالی با پایه</x:v>
      </x:c>
      <x:c r="L467" s="39" t="str">
        <x:v>MI-0638</x:v>
      </x:c>
      <x:c r="M467" s="39" t="str">
        <x:v>تولید فیلم و کلیپ از بازدید و ...</x:v>
      </x:c>
      <x:c r="N467" s="39" t="str">
        <x:v>فرم مورد نیاز کوچ ساکی.docx::T30R2C1.1 | فرم مورد نیاز کوچ ساکی (1).docx::T30R2C1.1</x:v>
      </x:c>
      <x:c r="O467" s="39"/>
    </x:row>
    <x:row r="468">
      <x:c r="A468" s="34" t="str">
        <x:v>☐</x:v>
      </x:c>
      <x:c r="B468" s="34" t="str">
        <x:v>EX-0440</x:v>
      </x:c>
      <x:c r="C468" s="34" t="str">
        <x:v>اکسپلور چک کنم تو زمینه فان و صنعت و تکنولوژی</x:v>
      </x:c>
      <x:c r="D468" s="34" t="str">
        <x:v>POSSIBLE</x:v>
      </x:c>
      <x:c r="E468" s="34" t="str">
        <x:v>90.0</x:v>
      </x:c>
      <x:c r="F468" s="34" t="str">
        <x:v>MI-3099</x:v>
      </x:c>
      <x:c r="G468" s="39" t="str">
        <x:v>فیلم ببینم اکسپلور چک کنم تو زمینه فان و صنعت و تکنولوژی آماده سازی محتوای ارایه مورد علاقه ام اماده سازی وسایل یه سفر در مقام مسیولیتم اگر علاقه مند باشم بهش میمونم تا کارای عقب افتاده رو انجام بدم ، وظایفم رو چند پله جلوتر ببرم یا بشینم وقت صرف آشناییت با محیط اونجا کنم با دوستام بیرون برم و صحبت کنیم</x:v>
      </x:c>
      <x:c r="H468" s="39" t="str">
        <x:v>H17</x:v>
      </x:c>
      <x:c r="I468" s="39" t="str">
        <x:v>P3</x:v>
      </x:c>
      <x:c r="J468" s="39" t="str">
        <x:v>H17</x:v>
      </x:c>
      <x:c r="K468" s="39" t="str">
        <x:v>تطبیق احتمالی با پایه</x:v>
      </x:c>
      <x:c r="L468" s="39" t="str">
        <x:v>MI-3099</x:v>
      </x:c>
      <x:c r="M468" s="39" t="str">
        <x:v>فیلم ببینم اکسپلور چک کنم تو زمینه فان و صنعت و تکنولوژی آماده سازی محتوای ارایه مورد علاقه ام اماده سازی وسایل یه سفر در مقام مسیولیتم اگر علاقه مند باشم بهش میمونم تا کارای عقب افتاده رو انجام بدم ، وظایفم رو چند پله جلوتر ببرم یا بشینم وقت صرف آشناییت با محیط اونجا کنم با دوستام بیرون برم و صحبت کنیم</x:v>
      </x:c>
      <x:c r="N468" s="39" t="str">
        <x:v>فرم مورد نیاز کوچ ساکی.docx::T30R2C1.2 | فرم مورد نیاز کوچ ساکی (1).docx::T30R2C1.2</x:v>
      </x:c>
      <x:c r="O468" s="39"/>
    </x:row>
    <x:row r="469">
      <x:c r="A469" s="34" t="str">
        <x:v>☐</x:v>
      </x:c>
      <x:c r="B469" s="34" t="str">
        <x:v>EX-0441</x:v>
      </x:c>
      <x:c r="C469" s="34" t="str">
        <x:v>آماده سازی محتوای ارائه مورد علاقه ام</x:v>
      </x:c>
      <x:c r="D469" s="34" t="str">
        <x:v>POSSIBLE</x:v>
      </x:c>
      <x:c r="E469" s="34" t="str">
        <x:v>90.0</x:v>
      </x:c>
      <x:c r="F469" s="34" t="str">
        <x:v>MI-0324</x:v>
      </x:c>
      <x:c r="G469" s="39" t="str">
        <x:v>محتوا</x:v>
      </x:c>
      <x:c r="H469" s="39" t="str">
        <x:v>H15</x:v>
      </x:c>
      <x:c r="I469" s="39" t="str">
        <x:v>P3/CLARIFY</x:v>
      </x:c>
      <x:c r="J469" s="39" t="str">
        <x:v>H15</x:v>
      </x:c>
      <x:c r="K469" s="39" t="str">
        <x:v>تطبیق احتمالی با پایه</x:v>
      </x:c>
      <x:c r="L469" s="39" t="str">
        <x:v>MI-0324</x:v>
      </x:c>
      <x:c r="M469" s="39" t="str">
        <x:v>محتوا</x:v>
      </x:c>
      <x:c r="N469" s="39" t="str">
        <x:v>فرم مورد نیاز کوچ ساکی.docx::T30R2C1.3 | فرم مورد نیاز کوچ ساکی (1).docx::T30R2C1.3</x:v>
      </x:c>
      <x:c r="O469" s="39"/>
    </x:row>
    <x:row r="470">
      <x:c r="A470" s="34" t="str">
        <x:v>☐</x:v>
      </x:c>
      <x:c r="B470" s="34" t="str">
        <x:v>EX-0442</x:v>
      </x:c>
      <x:c r="C470" s="34" t="str">
        <x:v>اماده سازی وسایل یه سفر</x:v>
      </x:c>
      <x:c r="D470" s="34" t="str">
        <x:v>POSSIBLE</x:v>
      </x:c>
      <x:c r="E470" s="34" t="str">
        <x:v>85.5</x:v>
      </x:c>
      <x:c r="F470" s="34" t="str">
        <x:v>MI-0090</x:v>
      </x:c>
      <x:c r="G470" s="39" t="str">
        <x:v>مهارت شبکه سازی</x:v>
      </x:c>
      <x:c r="H470" s="39" t="str">
        <x:v>H1</x:v>
      </x:c>
      <x:c r="I470" s="39" t="str">
        <x:v>P0</x:v>
      </x:c>
      <x:c r="J470" s="39" t="str">
        <x:v>H1</x:v>
      </x:c>
      <x:c r="K470" s="39" t="str">
        <x:v>تطبیق احتمالی با پایه</x:v>
      </x:c>
      <x:c r="L470" s="39" t="str">
        <x:v>MI-0090</x:v>
      </x:c>
      <x:c r="M470" s="39" t="str">
        <x:v>مهارت شبکه سازی</x:v>
      </x:c>
      <x:c r="N470" s="39" t="str">
        <x:v>فرم مورد نیاز کوچ ساکی.docx::T30R2C1.4 | فرم مورد نیاز کوچ ساکی (1).docx::T30R2C1.4</x:v>
      </x:c>
      <x:c r="O470" s="39"/>
    </x:row>
    <x:row r="471">
      <x:c r="A471" s="34" t="str">
        <x:v>☐</x:v>
      </x:c>
      <x:c r="B471" s="34" t="str">
        <x:v>EX-0443</x:v>
      </x:c>
      <x:c r="C471" s="34" t="str">
        <x:v>در مقام مسئولیتم اگر علاقه مند باشم بهش میمونم تا کارای عقب افتاده رو انجام بدم ، وظایفم رو چند پله جلوتر ببرم یا بشینم وقت صرف آشناییت با محیط اونجا کنم</x:v>
      </x:c>
      <x:c r="D471" s="34" t="str">
        <x:v>POSSIBLE</x:v>
      </x:c>
      <x:c r="E471" s="34" t="str">
        <x:v>89.4</x:v>
      </x:c>
      <x:c r="F471" s="34" t="str">
        <x:v>MI-3099</x:v>
      </x:c>
      <x:c r="G471" s="39" t="str">
        <x:v>فیلم ببینم اکسپلور چک کنم تو زمینه فان و صنعت و تکنولوژی آماده سازی محتوای ارایه مورد علاقه ام اماده سازی وسایل یه سفر در مقام مسیولیتم اگر علاقه مند باشم بهش میمونم تا کارای عقب افتاده رو انجام بدم ، وظایفم رو چند پله جلوتر ببرم یا بشینم وقت صرف آشناییت با محیط اونجا کنم با دوستام بیرون برم و صحبت کنیم</x:v>
      </x:c>
      <x:c r="H471" s="39" t="str">
        <x:v>H17</x:v>
      </x:c>
      <x:c r="I471" s="39" t="str">
        <x:v>P3</x:v>
      </x:c>
      <x:c r="J471" s="39" t="str">
        <x:v>H17</x:v>
      </x:c>
      <x:c r="K471" s="39" t="str">
        <x:v>تطبیق احتمالی با پایه</x:v>
      </x:c>
      <x:c r="L471" s="39" t="str">
        <x:v>MI-3099</x:v>
      </x:c>
      <x:c r="M471" s="39" t="str">
        <x:v>فیلم ببینم اکسپلور چک کنم تو زمینه فان و صنعت و تکنولوژی آماده سازی محتوای ارایه مورد علاقه ام اماده سازی وسایل یه سفر در مقام مسیولیتم اگر علاقه مند باشم بهش میمونم تا کارای عقب افتاده رو انجام بدم ، وظایفم رو چند پله جلوتر ببرم یا بشینم وقت صرف آشناییت با محیط اونجا کنم با دوستام بیرون برم و صحبت کنیم</x:v>
      </x:c>
      <x:c r="N471" s="39" t="str">
        <x:v>فرم مورد نیاز کوچ ساکی.docx::T30R2C1.5 | فرم مورد نیاز کوچ ساکی (1).docx::T30R2C1.5</x:v>
      </x:c>
      <x:c r="O471" s="39"/>
    </x:row>
    <x:row r="472">
      <x:c r="A472" s="34" t="str">
        <x:v>☐</x:v>
      </x:c>
      <x:c r="B472" s="34" t="str">
        <x:v>EX-0444</x:v>
      </x:c>
      <x:c r="C472" s="34" t="str">
        <x:v>با دوستام بیرون برم و صحبت کنیم</x:v>
      </x:c>
      <x:c r="D472" s="34" t="str">
        <x:v>POSSIBLE</x:v>
      </x:c>
      <x:c r="E472" s="34" t="str">
        <x:v>85.5</x:v>
      </x:c>
      <x:c r="F472" s="34" t="str">
        <x:v>MI-1501</x:v>
      </x:c>
      <x:c r="G472" s="39" t="str">
        <x:v>مدیریت ریسک: شناسایی ریسک ها، ارزیابی اثرات، تدوین برنامه های مقابله با ریسک ها.</x:v>
      </x:c>
      <x:c r="H472" s="39" t="str">
        <x:v>H1</x:v>
      </x:c>
      <x:c r="I472" s="39" t="str">
        <x:v>P0</x:v>
      </x:c>
      <x:c r="J472" s="39" t="str">
        <x:v>H1</x:v>
      </x:c>
      <x:c r="K472" s="39" t="str">
        <x:v>تطبیق احتمالی با پایه</x:v>
      </x:c>
      <x:c r="L472" s="39" t="str">
        <x:v>MI-1501</x:v>
      </x:c>
      <x:c r="M472" s="39" t="str">
        <x:v>مدیریت ریسک: شناسایی ریسک ها، ارزیابی اثرات، تدوین برنامه های مقابله با ریسک ها.</x:v>
      </x:c>
      <x:c r="N472" s="39" t="str">
        <x:v>فرم مورد نیاز کوچ ساکی.docx::T30R2C1.6 | فرم مورد نیاز کوچ ساکی (1).docx::T30R2C1.6</x:v>
      </x:c>
      <x:c r="O472" s="39"/>
    </x:row>
    <x:row r="473">
      <x:c r="A473" s="34" t="str">
        <x:v>☐</x:v>
      </x:c>
      <x:c r="B473" s="34" t="str">
        <x:v>EX-0445</x:v>
      </x:c>
      <x:c r="C473" s="34" t="str">
        <x:v>اون کاری که بدونم تهش نتیجه خوبی میده</x:v>
      </x:c>
      <x:c r="D473" s="34" t="str">
        <x:v>POSSIBLE</x:v>
      </x:c>
      <x:c r="E473" s="34" t="str">
        <x:v>90.0</x:v>
      </x:c>
      <x:c r="F473" s="34" t="str">
        <x:v>MI-3101</x:v>
      </x:c>
      <x:c r="G473" s="39"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H473" s="39" t="str">
        <x:v>H14</x:v>
      </x:c>
      <x:c r="I473" s="39" t="str">
        <x:v>P3</x:v>
      </x:c>
      <x:c r="J473" s="39" t="str">
        <x:v>H14</x:v>
      </x:c>
      <x:c r="K473" s="39" t="str">
        <x:v>تطبیق احتمالی با پایه</x:v>
      </x:c>
      <x:c r="L473" s="39" t="str">
        <x:v>MI-3101</x:v>
      </x:c>
      <x:c r="M473" s="39"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N473" s="39" t="str">
        <x:v>فرم مورد نیاز کوچ ساکی.docx::T31R2C1.1 | فرم مورد نیاز کوچ ساکی (1).docx::T31R2C1.1</x:v>
      </x:c>
      <x:c r="O473" s="39"/>
    </x:row>
    <x:row r="474">
      <x:c r="A474" s="34" t="str">
        <x:v>☐</x:v>
      </x:c>
      <x:c r="B474" s="34" t="str">
        <x:v>EX-0446</x:v>
      </x:c>
      <x:c r="C474" s="34" t="str">
        <x:v>یه تاثیری در یه سری جاها یا روی یه سری افراد میزاره</x:v>
      </x:c>
      <x:c r="D474" s="34" t="str">
        <x:v>POSSIBLE</x:v>
      </x:c>
      <x:c r="E474" s="34" t="str">
        <x:v>90.0</x:v>
      </x:c>
      <x:c r="F474" s="34" t="str">
        <x:v>MI-3101</x:v>
      </x:c>
      <x:c r="G474" s="39"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H474" s="39" t="str">
        <x:v>H14</x:v>
      </x:c>
      <x:c r="I474" s="39" t="str">
        <x:v>P3</x:v>
      </x:c>
      <x:c r="J474" s="39" t="str">
        <x:v>H14</x:v>
      </x:c>
      <x:c r="K474" s="39" t="str">
        <x:v>تطبیق احتمالی با پایه</x:v>
      </x:c>
      <x:c r="L474" s="39" t="str">
        <x:v>MI-3101</x:v>
      </x:c>
      <x:c r="M474" s="39"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N474" s="39" t="str">
        <x:v>فرم مورد نیاز کوچ ساکی.docx::T31R2C1.2 | فرم مورد نیاز کوچ ساکی (1).docx::T31R2C1.2</x:v>
      </x:c>
      <x:c r="O474" s="39"/>
    </x:row>
    <x:row r="475">
      <x:c r="A475" s="34" t="str">
        <x:v>☐</x:v>
      </x:c>
      <x:c r="B475" s="34" t="str">
        <x:v>EX-0447</x:v>
      </x:c>
      <x:c r="C475" s="34" t="str">
        <x:v>وقتی نیت کارم معنوی باشه</x:v>
      </x:c>
      <x:c r="D475" s="34" t="str">
        <x:v>POSSIBLE</x:v>
      </x:c>
      <x:c r="E475" s="34" t="str">
        <x:v>90.0</x:v>
      </x:c>
      <x:c r="F475" s="34" t="str">
        <x:v>MI-2545</x:v>
      </x:c>
      <x:c r="G475" s="39" t="str">
        <x:v>کار:</x:v>
      </x:c>
      <x:c r="H475" s="39" t="str">
        <x:v>H20</x:v>
      </x:c>
      <x:c r="I475" s="39" t="str">
        <x:v>P3/CLARIFY</x:v>
      </x:c>
      <x:c r="J475" s="39" t="str">
        <x:v>H20</x:v>
      </x:c>
      <x:c r="K475" s="39" t="str">
        <x:v>تطبیق احتمالی با پایه</x:v>
      </x:c>
      <x:c r="L475" s="39" t="str">
        <x:v>MI-2545</x:v>
      </x:c>
      <x:c r="M475" s="39" t="str">
        <x:v>کار:</x:v>
      </x:c>
      <x:c r="N475" s="39" t="str">
        <x:v>فرم مورد نیاز کوچ ساکی.docx::T31R2C1.3 | فرم مورد نیاز کوچ ساکی (1).docx::T31R2C1.3</x:v>
      </x:c>
      <x:c r="O475" s="39"/>
    </x:row>
    <x:row r="476">
      <x:c r="A476" s="34" t="str">
        <x:v>☐</x:v>
      </x:c>
      <x:c r="B476" s="34" t="str">
        <x:v>EX-0448</x:v>
      </x:c>
      <x:c r="C476" s="34" t="str">
        <x:v>وقتی بدونم زمینه خلاقیت من رو در پی داره</x:v>
      </x:c>
      <x:c r="D476" s="34" t="str">
        <x:v>POSSIBLE</x:v>
      </x:c>
      <x:c r="E476" s="34" t="str">
        <x:v>90.0</x:v>
      </x:c>
      <x:c r="F476" s="34" t="str">
        <x:v>MI-3101</x:v>
      </x:c>
      <x:c r="G476" s="39"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H476" s="39" t="str">
        <x:v>H14</x:v>
      </x:c>
      <x:c r="I476" s="39" t="str">
        <x:v>P3</x:v>
      </x:c>
      <x:c r="J476" s="39" t="str">
        <x:v>H14</x:v>
      </x:c>
      <x:c r="K476" s="39" t="str">
        <x:v>تطبیق احتمالی با پایه</x:v>
      </x:c>
      <x:c r="L476" s="39" t="str">
        <x:v>MI-3101</x:v>
      </x:c>
      <x:c r="M476" s="39"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N476" s="39" t="str">
        <x:v>فرم مورد نیاز کوچ ساکی.docx::T31R2C1.4 | فرم مورد نیاز کوچ ساکی (1).docx::T31R2C1.4</x:v>
      </x:c>
      <x:c r="O476" s="39"/>
    </x:row>
    <x:row r="477">
      <x:c r="A477" s="34" t="str">
        <x:v>☐</x:v>
      </x:c>
      <x:c r="B477" s="34" t="str">
        <x:v>EX-0449</x:v>
      </x:c>
      <x:c r="C477" s="34" t="str">
        <x:v>میتونم به یه نتیجه ای برسم که متحول کنه</x:v>
      </x:c>
      <x:c r="D477" s="34" t="str">
        <x:v>POSSIBLE</x:v>
      </x:c>
      <x:c r="E477" s="34" t="str">
        <x:v>90.0</x:v>
      </x:c>
      <x:c r="F477" s="34" t="str">
        <x:v>MI-3101</x:v>
      </x:c>
      <x:c r="G477" s="39"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H477" s="39" t="str">
        <x:v>H14</x:v>
      </x:c>
      <x:c r="I477" s="39" t="str">
        <x:v>P3</x:v>
      </x:c>
      <x:c r="J477" s="39" t="str">
        <x:v>H14</x:v>
      </x:c>
      <x:c r="K477" s="39" t="str">
        <x:v>تطبیق احتمالی با پایه</x:v>
      </x:c>
      <x:c r="L477" s="39" t="str">
        <x:v>MI-3101</x:v>
      </x:c>
      <x:c r="M477" s="39"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N477" s="39" t="str">
        <x:v>فرم مورد نیاز کوچ ساکی.docx::T31R2C1.5 | فرم مورد نیاز کوچ ساکی (1).docx::T31R2C1.5</x:v>
      </x:c>
      <x:c r="O477" s="39"/>
    </x:row>
    <x:row r="478">
      <x:c r="A478" s="34" t="str">
        <x:v>☐</x:v>
      </x:c>
      <x:c r="B478" s="34" t="str">
        <x:v>EX-0450</x:v>
      </x:c>
      <x:c r="C478" s="34" t="str">
        <x:v>اهل تفریح و مسافرت هستم، زیاد</x:v>
      </x:c>
      <x:c r="D478" s="34" t="str">
        <x:v>POSSIBLE</x:v>
      </x:c>
      <x:c r="E478" s="34" t="str">
        <x:v>90.0</x:v>
      </x:c>
      <x:c r="F478" s="34" t="str">
        <x:v>MI-3103</x:v>
      </x:c>
      <x:c r="G478" s="39"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H478" s="39" t="str">
        <x:v>H14</x:v>
      </x:c>
      <x:c r="I478" s="39" t="str">
        <x:v>P3</x:v>
      </x:c>
      <x:c r="J478" s="39" t="str">
        <x:v>H14</x:v>
      </x:c>
      <x:c r="K478" s="39" t="str">
        <x:v>تطبیق احتمالی با پایه</x:v>
      </x:c>
      <x:c r="L478" s="39" t="str">
        <x:v>MI-3103</x:v>
      </x:c>
      <x:c r="M478" s="39"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N478" s="39" t="str">
        <x:v>فرم مورد نیاز کوچ ساکی.docx::T32R2C1.1 | فرم مورد نیاز کوچ ساکی (1).docx::T32R2C1.1</x:v>
      </x:c>
      <x:c r="O478" s="39"/>
    </x:row>
    <x:row r="479">
      <x:c r="A479" s="34" t="str">
        <x:v>☐</x:v>
      </x:c>
      <x:c r="B479" s="34" t="str">
        <x:v>EX-0451</x:v>
      </x:c>
      <x:c r="C479" s="34" t="str">
        <x:v>در فصل 2 تا 3 بار به شهر محل تولدم یا مشهد</x:v>
      </x:c>
      <x:c r="D479" s="34" t="str">
        <x:v>POSSIBLE</x:v>
      </x:c>
      <x:c r="E479" s="34" t="str">
        <x:v>90.0</x:v>
      </x:c>
      <x:c r="F479" s="34" t="str">
        <x:v>MI-3103</x:v>
      </x:c>
      <x:c r="G479" s="39"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H479" s="39" t="str">
        <x:v>H14</x:v>
      </x:c>
      <x:c r="I479" s="39" t="str">
        <x:v>P3</x:v>
      </x:c>
      <x:c r="J479" s="39" t="str">
        <x:v>H14</x:v>
      </x:c>
      <x:c r="K479" s="39" t="str">
        <x:v>تطبیق احتمالی با پایه</x:v>
      </x:c>
      <x:c r="L479" s="39" t="str">
        <x:v>MI-3103</x:v>
      </x:c>
      <x:c r="M479" s="39"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N479" s="39" t="str">
        <x:v>فرم مورد نیاز کوچ ساکی.docx::T32R2C1.2 | فرم مورد نیاز کوچ ساکی (1).docx::T32R2C1.2</x:v>
      </x:c>
      <x:c r="O479" s="39"/>
    </x:row>
    <x:row r="480">
      <x:c r="A480" s="34" t="str">
        <x:v>☐</x:v>
      </x:c>
      <x:c r="B480" s="34" t="str">
        <x:v>EX-0452</x:v>
      </x:c>
      <x:c r="C480" s="34" t="str">
        <x:v>در ماه یکی دو بار به محل زندگی و به العکس به محل دانشگاه</x:v>
      </x:c>
      <x:c r="D480" s="34" t="str">
        <x:v>POSSIBLE</x:v>
      </x:c>
      <x:c r="E480" s="34" t="str">
        <x:v>90.0</x:v>
      </x:c>
      <x:c r="F480" s="34" t="str">
        <x:v>MI-3103</x:v>
      </x:c>
      <x:c r="G480" s="39"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H480" s="39" t="str">
        <x:v>H14</x:v>
      </x:c>
      <x:c r="I480" s="39" t="str">
        <x:v>P3</x:v>
      </x:c>
      <x:c r="J480" s="39" t="str">
        <x:v>H14</x:v>
      </x:c>
      <x:c r="K480" s="39" t="str">
        <x:v>تطبیق احتمالی با پایه</x:v>
      </x:c>
      <x:c r="L480" s="39" t="str">
        <x:v>MI-3103</x:v>
      </x:c>
      <x:c r="M480" s="39"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N480" s="39" t="str">
        <x:v>فرم مورد نیاز کوچ ساکی.docx::T32R2C1.3 | فرم مورد نیاز کوچ ساکی (1).docx::T32R2C1.3</x:v>
      </x:c>
      <x:c r="O480" s="39"/>
    </x:row>
    <x:row r="481">
      <x:c r="A481" s="34" t="str">
        <x:v>☐</x:v>
      </x:c>
      <x:c r="B481" s="34" t="str">
        <x:v>EX-0453</x:v>
      </x:c>
      <x:c r="C481" s="34" t="str">
        <x:v>ترجیحم با دوستانم هست، یا افرادی که با ایشان به جلسه ای مهم میخوایم بریم و سرنوشت سازه، با افراد موفق</x:v>
      </x:c>
      <x:c r="D481" s="34" t="str">
        <x:v>POSSIBLE</x:v>
      </x:c>
      <x:c r="E481" s="34" t="str">
        <x:v>90.0</x:v>
      </x:c>
      <x:c r="F481" s="34" t="str">
        <x:v>MI-3103</x:v>
      </x:c>
      <x:c r="G481" s="39"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H481" s="39" t="str">
        <x:v>H14</x:v>
      </x:c>
      <x:c r="I481" s="39" t="str">
        <x:v>P3</x:v>
      </x:c>
      <x:c r="J481" s="39" t="str">
        <x:v>H14</x:v>
      </x:c>
      <x:c r="K481" s="39" t="str">
        <x:v>تطبیق احتمالی با پایه</x:v>
      </x:c>
      <x:c r="L481" s="39" t="str">
        <x:v>MI-3103</x:v>
      </x:c>
      <x:c r="M481" s="39"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N481" s="39" t="str">
        <x:v>فرم مورد نیاز کوچ ساکی.docx::T32R2C1.5 | فرم مورد نیاز کوچ ساکی (1).docx::T32R2C1.5</x:v>
      </x:c>
      <x:c r="O481" s="39"/>
    </x:row>
    <x:row r="482">
      <x:c r="A482" s="34" t="str">
        <x:v>☐</x:v>
      </x:c>
      <x:c r="B482" s="34" t="str">
        <x:v>EX-0454</x:v>
      </x:c>
      <x:c r="C482" s="34" t="str">
        <x:v>ظلم بیشتر خودم به خودم کردم، یا نشناختن خودم، نیاز هام، زندگی ام هدفم اطرافیان ، قصد و قرضشون</x:v>
      </x:c>
      <x:c r="D482" s="34" t="str">
        <x:v>POSSIBLE</x:v>
      </x:c>
      <x:c r="E482" s="34" t="str">
        <x:v>90.0</x:v>
      </x:c>
      <x:c r="F482" s="34" t="str">
        <x:v>MI-3105</x:v>
      </x:c>
      <x:c r="G482" s="39"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H482" s="39" t="str">
        <x:v>H14</x:v>
      </x:c>
      <x:c r="I482" s="39" t="str">
        <x:v>P3</x:v>
      </x:c>
      <x:c r="J482" s="39" t="str">
        <x:v>H14</x:v>
      </x:c>
      <x:c r="K482" s="39" t="str">
        <x:v>تطبیق احتمالی با پایه</x:v>
      </x:c>
      <x:c r="L482" s="39" t="str">
        <x:v>MI-3105</x:v>
      </x:c>
      <x:c r="M482" s="39"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N482" s="39" t="str">
        <x:v>فرم مورد نیاز کوچ ساکی.docx::T33R2C1.1</x:v>
      </x:c>
      <x:c r="O482" s="39"/>
    </x:row>
    <x:row r="483">
      <x:c r="A483" s="34" t="str">
        <x:v>☐</x:v>
      </x:c>
      <x:c r="B483" s="34" t="str">
        <x:v>EX-0455</x:v>
      </x:c>
      <x:c r="C483" s="34" t="str">
        <x:v>یکمم خانواده ام به خاطر اون مشاجره های خسته کننده</x:v>
      </x:c>
      <x:c r="D483" s="34" t="str">
        <x:v>POSSIBLE</x:v>
      </x:c>
      <x:c r="E483" s="34" t="str">
        <x:v>85.5</x:v>
      </x:c>
      <x:c r="F483" s="34" t="str">
        <x:v>MI-1501</x:v>
      </x:c>
      <x:c r="G483" s="39" t="str">
        <x:v>مدیریت ریسک: شناسایی ریسک ها، ارزیابی اثرات، تدوین برنامه های مقابله با ریسک ها.</x:v>
      </x:c>
      <x:c r="H483" s="39" t="str">
        <x:v>H1</x:v>
      </x:c>
      <x:c r="I483" s="39" t="str">
        <x:v>P0</x:v>
      </x:c>
      <x:c r="J483" s="39" t="str">
        <x:v>H1</x:v>
      </x:c>
      <x:c r="K483" s="39" t="str">
        <x:v>تطبیق احتمالی با پایه</x:v>
      </x:c>
      <x:c r="L483" s="39" t="str">
        <x:v>MI-1501</x:v>
      </x:c>
      <x:c r="M483" s="39" t="str">
        <x:v>مدیریت ریسک: شناسایی ریسک ها، ارزیابی اثرات، تدوین برنامه های مقابله با ریسک ها.</x:v>
      </x:c>
      <x:c r="N483" s="39" t="str">
        <x:v>فرم مورد نیاز کوچ ساکی.docx::T33R2C1.2</x:v>
      </x:c>
      <x:c r="O483" s="39"/>
    </x:row>
    <x:row r="484">
      <x:c r="A484" s="34" t="str">
        <x:v>☐</x:v>
      </x:c>
      <x:c r="B484" s="34" t="str">
        <x:v>EX-0456</x:v>
      </x:c>
      <x:c r="C484" s="34" t="str">
        <x:v>یکمم دوستانی که روشون حساب باز میکردم و دیدم نه وسط راهی بودن</x:v>
      </x:c>
      <x:c r="D484" s="34" t="str">
        <x:v>POSSIBLE</x:v>
      </x:c>
      <x:c r="E484" s="34" t="str">
        <x:v>90.0</x:v>
      </x:c>
      <x:c r="F484" s="34" t="str">
        <x:v>MI-3105</x:v>
      </x:c>
      <x:c r="G484" s="39"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H484" s="39" t="str">
        <x:v>H14</x:v>
      </x:c>
      <x:c r="I484" s="39" t="str">
        <x:v>P3</x:v>
      </x:c>
      <x:c r="J484" s="39" t="str">
        <x:v>H14</x:v>
      </x:c>
      <x:c r="K484" s="39" t="str">
        <x:v>تطبیق احتمالی با پایه</x:v>
      </x:c>
      <x:c r="L484" s="39" t="str">
        <x:v>MI-3105</x:v>
      </x:c>
      <x:c r="M484" s="39"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N484" s="39" t="str">
        <x:v>فرم مورد نیاز کوچ ساکی.docx::T33R2C1.3</x:v>
      </x:c>
      <x:c r="O484" s="39"/>
    </x:row>
    <x:row r="485">
      <x:c r="A485" s="34" t="str">
        <x:v>☐</x:v>
      </x:c>
      <x:c r="B485" s="34" t="str">
        <x:v>EX-0457</x:v>
      </x:c>
      <x:c r="C485" s="34" t="str">
        <x:v>افرادی که موقعیتی که در دانشگاه میخواستم بگیرم ، کلی پشت سرم حرف زدن و یه کارایی می خواستن بکنن که من به اون جایگاه نرسم</x:v>
      </x:c>
      <x:c r="D485" s="34" t="str">
        <x:v>POSSIBLE</x:v>
      </x:c>
      <x:c r="E485" s="34" t="str">
        <x:v>90.0</x:v>
      </x:c>
      <x:c r="F485" s="34" t="str">
        <x:v>MI-3105</x:v>
      </x:c>
      <x:c r="G485" s="39"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H485" s="39" t="str">
        <x:v>H14</x:v>
      </x:c>
      <x:c r="I485" s="39" t="str">
        <x:v>P3</x:v>
      </x:c>
      <x:c r="J485" s="39" t="str">
        <x:v>H14</x:v>
      </x:c>
      <x:c r="K485" s="39" t="str">
        <x:v>تطبیق احتمالی با پایه</x:v>
      </x:c>
      <x:c r="L485" s="39" t="str">
        <x:v>MI-3105</x:v>
      </x:c>
      <x:c r="M485" s="39"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N485" s="39" t="str">
        <x:v>فرم مورد نیاز کوچ ساکی.docx::T33R2C1.4</x:v>
      </x:c>
      <x:c r="O485" s="39"/>
    </x:row>
    <x:row r="486">
      <x:c r="A486" s="34" t="str">
        <x:v>☐</x:v>
      </x:c>
      <x:c r="B486" s="34" t="str">
        <x:v>EX-0458</x:v>
      </x:c>
      <x:c r="C486" s="34" t="str">
        <x:v>چند سال پیش یه جایی کار میکردم که فکر نمیکنم حقوقم به اون اندازه بود ولی بر سر سادگی با همون مقدار کم میرفتم  و کار میکردم</x:v>
      </x:c>
      <x:c r="D486" s="34" t="str">
        <x:v>POSSIBLE</x:v>
      </x:c>
      <x:c r="E486" s="34" t="str">
        <x:v>90.0</x:v>
      </x:c>
      <x:c r="F486" s="34" t="str">
        <x:v>MI-3105</x:v>
      </x:c>
      <x:c r="G486" s="39"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H486" s="39" t="str">
        <x:v>H14</x:v>
      </x:c>
      <x:c r="I486" s="39" t="str">
        <x:v>P3</x:v>
      </x:c>
      <x:c r="J486" s="39" t="str">
        <x:v>H14</x:v>
      </x:c>
      <x:c r="K486" s="39" t="str">
        <x:v>تطبیق احتمالی با پایه</x:v>
      </x:c>
      <x:c r="L486" s="39" t="str">
        <x:v>MI-3105</x:v>
      </x:c>
      <x:c r="M486" s="39"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N486" s="39" t="str">
        <x:v>فرم مورد نیاز کوچ ساکی.docx::T33R2C1.5</x:v>
      </x:c>
      <x:c r="O486" s="39"/>
    </x:row>
    <x:row r="487">
      <x:c r="A487" s="34" t="str">
        <x:v>☐</x:v>
      </x:c>
      <x:c r="B487" s="34" t="str">
        <x:v>EX-0459</x:v>
      </x:c>
      <x:c r="C487" s="34" t="str">
        <x:v>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x:v>
      </x:c>
      <x:c r="D487" s="34" t="str">
        <x:v>POSSIBLE</x:v>
      </x:c>
      <x:c r="E487" s="34" t="str">
        <x:v>90.0</x:v>
      </x:c>
      <x:c r="F487" s="34" t="str">
        <x:v>MI-3107</x:v>
      </x:c>
      <x:c r="G487" s="39" t="str">
        <x:v>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 بتونم خودم رو نشون بدم و شایسته سالاری اتفاق بیفته برای جایگاه شغلی محیط پویا باشه، توی کار از این ایده ها و ایده پردازی ها و خلاقیت و توسعه دادن ها استقبال کنم . 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 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مسیله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 خیلی به این فکر میکنم که شناسایی استعداد ها و گرد هم آوری اونها و متمرکز کردنشون بر مسایل میتونه در حل مشکلات موثر باشه. همچنین بتونه این دغدغه های من رو برطرف کنه، این نیاز های من که به مرحله ای برسه ببینم داره این اهدافم رو میرسونه ،</x:v>
      </x:c>
      <x:c r="H487" s="39" t="str">
        <x:v>H19</x:v>
      </x:c>
      <x:c r="I487" s="39" t="str">
        <x:v>P3</x:v>
      </x:c>
      <x:c r="J487" s="39" t="str">
        <x:v>H19</x:v>
      </x:c>
      <x:c r="K487" s="39" t="str">
        <x:v>تطبیق احتمالی با پایه</x:v>
      </x:c>
      <x:c r="L487" s="39" t="str">
        <x:v>MI-3107</x:v>
      </x:c>
      <x:c r="M487" s="39" t="str">
        <x:v>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 بتونم خودم رو نشون بدم و شایسته سالاری اتفاق بیفته برای جایگاه شغلی محیط پویا باشه، توی کار از این ایده ها و ایده پردازی ها و خلاقیت و توسعه دادن ها استقبال کنم . 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 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مسیله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 خیلی به این فکر میکنم که شناسایی استعداد ها و گرد هم آوری اونها و متمرکز کردنشون بر مسایل میتونه در حل مشکلات موثر باشه. همچنین بتونه این دغدغه های من رو برطرف کنه، این نیاز های من که به مرحله ای برسه ببینم داره این اهدافم رو میرسونه ،</x:v>
      </x:c>
      <x:c r="N487" s="39" t="str">
        <x:v>فرم مورد نیاز کوچ ساکی.docx::T34R2C1.1</x:v>
      </x:c>
      <x:c r="O487" s="39"/>
    </x:row>
    <x:row r="488">
      <x:c r="A488" s="34" t="str">
        <x:v>☐</x:v>
      </x:c>
      <x:c r="B488" s="34" t="str">
        <x:v>EX-0460</x:v>
      </x:c>
      <x:c r="C488" s="34" t="str">
        <x:v>بتونم خودم رو نشون بدم و شایسته سالاری اتفاق بیفته برای جایگاه شغلی</x:v>
      </x:c>
      <x:c r="D488" s="34" t="str">
        <x:v>POSSIBLE</x:v>
      </x:c>
      <x:c r="E488" s="34" t="str">
        <x:v>85.5</x:v>
      </x:c>
      <x:c r="F488" s="34" t="str">
        <x:v>MI-0022</x:v>
      </x:c>
      <x:c r="G488" s="39" t="str">
        <x:v>برنامه ریزی جدی برای دروس دانشگاه پیام نور</x:v>
      </x:c>
      <x:c r="H488" s="39" t="str">
        <x:v>H1</x:v>
      </x:c>
      <x:c r="I488" s="39" t="str">
        <x:v>P0</x:v>
      </x:c>
      <x:c r="J488" s="39" t="str">
        <x:v>H1</x:v>
      </x:c>
      <x:c r="K488" s="39" t="str">
        <x:v>تطبیق احتمالی با پایه</x:v>
      </x:c>
      <x:c r="L488" s="39" t="str">
        <x:v>MI-0022</x:v>
      </x:c>
      <x:c r="M488" s="39" t="str">
        <x:v>برنامه ریزی جدی برای دروس دانشگاه پیام نور</x:v>
      </x:c>
      <x:c r="N488" s="39" t="str">
        <x:v>فرم مورد نیاز کوچ ساکی.docx::T34R2C1.2</x:v>
      </x:c>
      <x:c r="O488" s="39"/>
    </x:row>
    <x:row r="489">
      <x:c r="A489" s="34" t="str">
        <x:v>☐</x:v>
      </x:c>
      <x:c r="B489" s="34" t="str">
        <x:v>EX-0461</x:v>
      </x:c>
      <x:c r="C489" s="34" t="str">
        <x:v>محیط پویا باشه، توی کار از این ایده ها و ایده پردازی ها و خلاقیت و توسعه دادن ها استقبال کنم .</x:v>
      </x:c>
      <x:c r="D489" s="34" t="str">
        <x:v>POSSIBLE</x:v>
      </x:c>
      <x:c r="E489" s="34" t="str">
        <x:v>85.5</x:v>
      </x:c>
      <x:c r="F489" s="34" t="str">
        <x:v>MI-1513</x:v>
      </x:c>
      <x:c r="G489" s="39" t="str">
        <x:v>تولید و کارآفرینی: توانایی تولید محصول و خدمات و ایجاد شغل.</x:v>
      </x:c>
      <x:c r="H489" s="39" t="str">
        <x:v>H1</x:v>
      </x:c>
      <x:c r="I489" s="39" t="str">
        <x:v>P0</x:v>
      </x:c>
      <x:c r="J489" s="39" t="str">
        <x:v>H1</x:v>
      </x:c>
      <x:c r="K489" s="39" t="str">
        <x:v>تطبیق احتمالی با پایه</x:v>
      </x:c>
      <x:c r="L489" s="39" t="str">
        <x:v>MI-1513</x:v>
      </x:c>
      <x:c r="M489" s="39" t="str">
        <x:v>تولید و کارآفرینی: توانایی تولید محصول و خدمات و ایجاد شغل.</x:v>
      </x:c>
      <x:c r="N489" s="39" t="str">
        <x:v>فرم مورد نیاز کوچ ساکی.docx::T34R2C1.3</x:v>
      </x:c>
      <x:c r="O489" s="39"/>
    </x:row>
    <x:row r="490">
      <x:c r="A490" s="34" t="str">
        <x:v>☐</x:v>
      </x:c>
      <x:c r="B490" s="34" t="str">
        <x:v>EX-0462</x:v>
      </x:c>
      <x:c r="C490" s="34" t="str">
        <x:v>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x:v>
      </x:c>
      <x:c r="D490" s="34" t="str">
        <x:v>POSSIBLE</x:v>
      </x:c>
      <x:c r="E490" s="34" t="str">
        <x:v>90.0</x:v>
      </x:c>
      <x:c r="F490" s="34" t="str">
        <x:v>MI-3107</x:v>
      </x:c>
      <x:c r="G490" s="39" t="str">
        <x:v>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 بتونم خودم رو نشون بدم و شایسته سالاری اتفاق بیفته برای جایگاه شغلی محیط پویا باشه، توی کار از این ایده ها و ایده پردازی ها و خلاقیت و توسعه دادن ها استقبال کنم . 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 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مسیله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 خیلی به این فکر میکنم که شناسایی استعداد ها و گرد هم آوری اونها و متمرکز کردنشون بر مسایل میتونه در حل مشکلات موثر باشه. همچنین بتونه این دغدغه های من رو برطرف کنه، این نیاز های من که به مرحله ای برسه ببینم داره این اهدافم رو میرسونه ،</x:v>
      </x:c>
      <x:c r="H490" s="39" t="str">
        <x:v>H19</x:v>
      </x:c>
      <x:c r="I490" s="39" t="str">
        <x:v>P3</x:v>
      </x:c>
      <x:c r="J490" s="39" t="str">
        <x:v>H19</x:v>
      </x:c>
      <x:c r="K490" s="39" t="str">
        <x:v>تطبیق احتمالی با پایه</x:v>
      </x:c>
      <x:c r="L490" s="39" t="str">
        <x:v>MI-3107</x:v>
      </x:c>
      <x:c r="M490" s="39" t="str">
        <x:v>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 بتونم خودم رو نشون بدم و شایسته سالاری اتفاق بیفته برای جایگاه شغلی محیط پویا باشه، توی کار از این ایده ها و ایده پردازی ها و خلاقیت و توسعه دادن ها استقبال کنم . 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 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مسیله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 خیلی به این فکر میکنم که شناسایی استعداد ها و گرد هم آوری اونها و متمرکز کردنشون بر مسایل میتونه در حل مشکلات موثر باشه. همچنین بتونه این دغدغه های من رو برطرف کنه، این نیاز های من که به مرحله ای برسه ببینم داره این اهدافم رو میرسونه ،</x:v>
      </x:c>
      <x:c r="N490" s="39" t="str">
        <x:v>فرم مورد نیاز کوچ ساکی.docx::T34R2C1.4</x:v>
      </x:c>
      <x:c r="O490" s="39"/>
    </x:row>
    <x:row r="491">
      <x:c r="A491" s="34" t="str">
        <x:v>☐</x:v>
      </x:c>
      <x:c r="B491" s="34" t="str">
        <x:v>EX-0463</x:v>
      </x:c>
      <x:c r="C491" s="34" t="str">
        <x:v>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مسئله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x:v>
      </x:c>
      <x:c r="D491" s="34" t="str">
        <x:v>POSSIBLE</x:v>
      </x:c>
      <x:c r="E491" s="34" t="str">
        <x:v>89.8</x:v>
      </x:c>
      <x:c r="F491" s="34" t="str">
        <x:v>MI-3107</x:v>
      </x:c>
      <x:c r="G491" s="39" t="str">
        <x:v>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 بتونم خودم رو نشون بدم و شایسته سالاری اتفاق بیفته برای جایگاه شغلی محیط پویا باشه، توی کار از این ایده ها و ایده پردازی ها و خلاقیت و توسعه دادن ها استقبال کنم . 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 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مسیله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 خیلی به این فکر میکنم که شناسایی استعداد ها و گرد هم آوری اونها و متمرکز کردنشون بر مسایل میتونه در حل مشکلات موثر باشه. همچنین بتونه این دغدغه های من رو برطرف کنه، این نیاز های من که به مرحله ای برسه ببینم داره این اهدافم رو میرسونه ،</x:v>
      </x:c>
      <x:c r="H491" s="39" t="str">
        <x:v>H19</x:v>
      </x:c>
      <x:c r="I491" s="39" t="str">
        <x:v>P3</x:v>
      </x:c>
      <x:c r="J491" s="39" t="str">
        <x:v>H19</x:v>
      </x:c>
      <x:c r="K491" s="39" t="str">
        <x:v>تطبیق احتمالی با پایه</x:v>
      </x:c>
      <x:c r="L491" s="39" t="str">
        <x:v>MI-3107</x:v>
      </x:c>
      <x:c r="M491" s="39" t="str">
        <x:v>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 بتونم خودم رو نشون بدم و شایسته سالاری اتفاق بیفته برای جایگاه شغلی محیط پویا باشه، توی کار از این ایده ها و ایده پردازی ها و خلاقیت و توسعه دادن ها استقبال کنم . 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 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مسیله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 خیلی به این فکر میکنم که شناسایی استعداد ها و گرد هم آوری اونها و متمرکز کردنشون بر مسایل میتونه در حل مشکلات موثر باشه. همچنین بتونه این دغدغه های من رو برطرف کنه، این نیاز های من که به مرحله ای برسه ببینم داره این اهدافم رو میرسونه ،</x:v>
      </x:c>
      <x:c r="N491" s="39" t="str">
        <x:v>فرم مورد نیاز کوچ ساکی.docx::T34R2C1.5</x:v>
      </x:c>
      <x:c r="O491" s="39"/>
    </x:row>
    <x:row r="492">
      <x:c r="A492" s="34" t="str">
        <x:v>☐</x:v>
      </x:c>
      <x:c r="B492" s="34" t="str">
        <x:v>EX-0464</x:v>
      </x:c>
      <x:c r="C492" s="34" t="str">
        <x:v>خیلی به این فکر میکنم که شناسایی استعداد ها و گرد هم آوری اونها و متمرکز کردنشون بر مسائل میتونه در حل مشکلات موثر باشه.</x:v>
      </x:c>
      <x:c r="D492" s="34" t="str">
        <x:v>POSSIBLE</x:v>
      </x:c>
      <x:c r="E492" s="34" t="str">
        <x:v>90.0</x:v>
      </x:c>
      <x:c r="F492" s="34" t="str">
        <x:v>MI-2781</x:v>
      </x:c>
      <x:c r="G492" s="39" t="str">
        <x:v>شناسایی استعداد</x:v>
      </x:c>
      <x:c r="H492" s="39" t="str">
        <x:v>H17</x:v>
      </x:c>
      <x:c r="I492" s="39" t="str">
        <x:v>P3</x:v>
      </x:c>
      <x:c r="J492" s="39" t="str">
        <x:v>H17</x:v>
      </x:c>
      <x:c r="K492" s="39" t="str">
        <x:v>تطبیق احتمالی با پایه</x:v>
      </x:c>
      <x:c r="L492" s="39" t="str">
        <x:v>MI-2781</x:v>
      </x:c>
      <x:c r="M492" s="39" t="str">
        <x:v>شناسایی استعداد</x:v>
      </x:c>
      <x:c r="N492" s="39" t="str">
        <x:v>فرم مورد نیاز کوچ ساکی.docx::T34R2C1.6</x:v>
      </x:c>
      <x:c r="O492" s="39"/>
    </x:row>
    <x:row r="493">
      <x:c r="A493" s="34" t="str">
        <x:v>☐</x:v>
      </x:c>
      <x:c r="B493" s="34" t="str">
        <x:v>EX-0465</x:v>
      </x:c>
      <x:c r="C493" s="34" t="str">
        <x:v>همچنین بتونه این دغدغه های من رو برطرف کنه، این نیاز های من که به مرحله ای برسه ببینم داره این اهدافم رو میرسونه ،</x:v>
      </x:c>
      <x:c r="D493" s="34" t="str">
        <x:v>POSSIBLE</x:v>
      </x:c>
      <x:c r="E493" s="34" t="str">
        <x:v>85.5</x:v>
      </x:c>
      <x:c r="F493" s="34" t="str">
        <x:v>MI-1461</x:v>
      </x:c>
      <x:c r="G493" s="39" t="str">
        <x:v>مهارت های ارتباطی و بین فردی</x:v>
      </x:c>
      <x:c r="H493" s="39" t="str">
        <x:v>H1</x:v>
      </x:c>
      <x:c r="I493" s="39" t="str">
        <x:v>P0</x:v>
      </x:c>
      <x:c r="J493" s="39" t="str">
        <x:v>H1</x:v>
      </x:c>
      <x:c r="K493" s="39" t="str">
        <x:v>تطبیق احتمالی با پایه</x:v>
      </x:c>
      <x:c r="L493" s="39" t="str">
        <x:v>MI-1461</x:v>
      </x:c>
      <x:c r="M493" s="39" t="str">
        <x:v>مهارت های ارتباطی و بین فردی</x:v>
      </x:c>
      <x:c r="N493" s="39" t="str">
        <x:v>فرم مورد نیاز کوچ ساکی.docx::T34R2C1.7</x:v>
      </x:c>
      <x:c r="O493" s="39"/>
    </x:row>
    <x:row r="494">
      <x:c r="A494" s="34" t="str">
        <x:v>☐</x:v>
      </x:c>
      <x:c r="B494" s="34" t="str">
        <x:v>EX-0466</x:v>
      </x:c>
      <x:c r="C494" s="34"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x:v>
      </x:c>
      <x:c r="D494" s="34" t="str">
        <x:v>POSSIBLE</x:v>
      </x:c>
      <x:c r="E494" s="34" t="str">
        <x:v>90.0</x:v>
      </x:c>
      <x:c r="F494" s="34" t="str">
        <x:v>MI-3111</x:v>
      </x:c>
      <x:c r="G494" s="39"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H494" s="39" t="str">
        <x:v>H6</x:v>
      </x:c>
      <x:c r="I494" s="39" t="str">
        <x:v>P3/CLARIFY</x:v>
      </x:c>
      <x:c r="J494" s="39" t="str">
        <x:v>H6</x:v>
      </x:c>
      <x:c r="K494" s="39" t="str">
        <x:v>تطبیق احتمالی با پایه</x:v>
      </x:c>
      <x:c r="L494" s="39" t="str">
        <x:v>MI-3111</x:v>
      </x:c>
      <x:c r="M494" s="39"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N494" s="39" t="str">
        <x:v>فرم مورد نیاز کوچ ساکی.docx::T36R2C1.1</x:v>
      </x:c>
      <x:c r="O494" s="39"/>
    </x:row>
    <x:row r="495">
      <x:c r="A495" s="34" t="str">
        <x:v>☐</x:v>
      </x:c>
      <x:c r="B495" s="34" t="str">
        <x:v>EX-0467</x:v>
      </x:c>
      <x:c r="C495" s="34" t="str">
        <x:v>من مثلا برم توی اون بخش و ببینم این افراد در کدام مرحله هستن و کجا ایست خورده و کجا مشکل داره و حلش کنیم و جلسه بزاریم و مدیریت پروژه انجام بدیم</x:v>
      </x:c>
      <x:c r="D495" s="34" t="str">
        <x:v>POSSIBLE</x:v>
      </x:c>
      <x:c r="E495" s="34" t="str">
        <x:v>90.0</x:v>
      </x:c>
      <x:c r="F495" s="34" t="str">
        <x:v>MI-3111</x:v>
      </x:c>
      <x:c r="G495" s="39"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H495" s="39" t="str">
        <x:v>H6</x:v>
      </x:c>
      <x:c r="I495" s="39" t="str">
        <x:v>P3/CLARIFY</x:v>
      </x:c>
      <x:c r="J495" s="39" t="str">
        <x:v>H6</x:v>
      </x:c>
      <x:c r="K495" s="39" t="str">
        <x:v>تطبیق احتمالی با پایه</x:v>
      </x:c>
      <x:c r="L495" s="39" t="str">
        <x:v>MI-3111</x:v>
      </x:c>
      <x:c r="M495" s="39"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N495" s="39" t="str">
        <x:v>فرم مورد نیاز کوچ ساکی.docx::T36R2C1.2</x:v>
      </x:c>
      <x:c r="O495" s="39"/>
    </x:row>
    <x:row r="496">
      <x:c r="A496" s="34" t="str">
        <x:v>☐</x:v>
      </x:c>
      <x:c r="B496" s="34" t="str">
        <x:v>EX-0468</x:v>
      </x:c>
      <x:c r="C496" s="34" t="str">
        <x:v>همچنین توی یه دوره شرکت کردم که شاید از قبل اون دوره که گفتن بعدش میتونن به جذب هم فکر کنن برم و شاید از این دروازه وارد بشم</x:v>
      </x:c>
      <x:c r="D496" s="34" t="str">
        <x:v>POSSIBLE</x:v>
      </x:c>
      <x:c r="E496" s="34" t="str">
        <x:v>90.0</x:v>
      </x:c>
      <x:c r="F496" s="34" t="str">
        <x:v>MI-3111</x:v>
      </x:c>
      <x:c r="G496" s="39"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H496" s="39" t="str">
        <x:v>H6</x:v>
      </x:c>
      <x:c r="I496" s="39" t="str">
        <x:v>P3/CLARIFY</x:v>
      </x:c>
      <x:c r="J496" s="39" t="str">
        <x:v>H6</x:v>
      </x:c>
      <x:c r="K496" s="39" t="str">
        <x:v>تطبیق احتمالی با پایه</x:v>
      </x:c>
      <x:c r="L496" s="39" t="str">
        <x:v>MI-3111</x:v>
      </x:c>
      <x:c r="M496" s="39"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N496" s="39" t="str">
        <x:v>فرم مورد نیاز کوچ ساکی.docx::T36R2C1.3</x:v>
      </x:c>
      <x:c r="O496" s="39"/>
    </x:row>
    <x:row r="497">
      <x:c r="A497" s="34" t="str">
        <x:v>☐</x:v>
      </x:c>
      <x:c r="B497" s="34" t="str">
        <x:v>EX-0469</x:v>
      </x:c>
      <x:c r="C497" s="34" t="str">
        <x:v>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D497" s="34" t="str">
        <x:v>POSSIBLE</x:v>
      </x:c>
      <x:c r="E497" s="34" t="str">
        <x:v>90.0</x:v>
      </x:c>
      <x:c r="F497" s="34" t="str">
        <x:v>MI-3111</x:v>
      </x:c>
      <x:c r="G497" s="39"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H497" s="39" t="str">
        <x:v>H6</x:v>
      </x:c>
      <x:c r="I497" s="39" t="str">
        <x:v>P3/CLARIFY</x:v>
      </x:c>
      <x:c r="J497" s="39" t="str">
        <x:v>H6</x:v>
      </x:c>
      <x:c r="K497" s="39" t="str">
        <x:v>تطبیق احتمالی با پایه</x:v>
      </x:c>
      <x:c r="L497" s="39" t="str">
        <x:v>MI-3111</x:v>
      </x:c>
      <x:c r="M497" s="39"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N497" s="39" t="str">
        <x:v>فرم مورد نیاز کوچ ساکی.docx::T36R2C1.4</x:v>
      </x:c>
      <x:c r="O497" s="39"/>
    </x:row>
    <x:row r="498">
      <x:c r="A498" s="34" t="str">
        <x:v>☐</x:v>
      </x:c>
      <x:c r="B498" s="34" t="str">
        <x:v>EX-0470</x:v>
      </x:c>
      <x:c r="C498" s="34"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x:v>
      </x:c>
      <x:c r="D498" s="34" t="str">
        <x:v>POSSIBLE</x:v>
      </x:c>
      <x:c r="E498" s="34" t="str">
        <x:v>90.0</x:v>
      </x:c>
      <x:c r="F498" s="34" t="str">
        <x:v>MI-3113</x:v>
      </x:c>
      <x:c r="G498"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498" s="39" t="str">
        <x:v>H1</x:v>
      </x:c>
      <x:c r="I498" s="39" t="str">
        <x:v>P0</x:v>
      </x:c>
      <x:c r="J498" s="39" t="str">
        <x:v>H1</x:v>
      </x:c>
      <x:c r="K498" s="39" t="str">
        <x:v>تطبیق احتمالی با پایه</x:v>
      </x:c>
      <x:c r="L498" s="39" t="str">
        <x:v>MI-3113</x:v>
      </x:c>
      <x:c r="M498"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N498" s="39" t="str">
        <x:v>فرم مورد نیاز کوچ ساکی.docx::T37R2C1.1</x:v>
      </x:c>
      <x:c r="O498" s="39"/>
    </x:row>
    <x:row r="499">
      <x:c r="A499" s="34" t="str">
        <x:v>☐</x:v>
      </x:c>
      <x:c r="B499" s="34" t="str">
        <x:v>EX-0471</x:v>
      </x:c>
      <x:c r="C499" s="34" t="str">
        <x:v>دایره دوستی رو محدود کنم، سرم رو از تو یه سری موضوعات بیرون بکشم که میدونم علافی هست و عایدی نداره.</x:v>
      </x:c>
      <x:c r="D499" s="34" t="str">
        <x:v>POSSIBLE</x:v>
      </x:c>
      <x:c r="E499" s="34" t="str">
        <x:v>90.0</x:v>
      </x:c>
      <x:c r="F499" s="34" t="str">
        <x:v>MI-3113</x:v>
      </x:c>
      <x:c r="G499"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499" s="39" t="str">
        <x:v>H1</x:v>
      </x:c>
      <x:c r="I499" s="39" t="str">
        <x:v>P0</x:v>
      </x:c>
      <x:c r="J499" s="39" t="str">
        <x:v>H1</x:v>
      </x:c>
      <x:c r="K499" s="39" t="str">
        <x:v>تطبیق احتمالی با پایه</x:v>
      </x:c>
      <x:c r="L499" s="39" t="str">
        <x:v>MI-3113</x:v>
      </x:c>
      <x:c r="M499"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N499" s="39" t="str">
        <x:v>فرم مورد نیاز کوچ ساکی.docx::T37R2C1.2</x:v>
      </x:c>
      <x:c r="O499" s="39"/>
    </x:row>
    <x:row r="500">
      <x:c r="A500" s="34" t="str">
        <x:v>☐</x:v>
      </x:c>
      <x:c r="B500" s="34" t="str">
        <x:v>EX-0472</x:v>
      </x:c>
      <x:c r="C500" s="34" t="str">
        <x:v>روی چند موضوع کار نکنم، یه سری کارها رو هر جور شده حذف کنم، و روی یه دونه کار فوکوس کنم</x:v>
      </x:c>
      <x:c r="D500" s="34" t="str">
        <x:v>POSSIBLE</x:v>
      </x:c>
      <x:c r="E500" s="34" t="str">
        <x:v>90.0</x:v>
      </x:c>
      <x:c r="F500" s="34" t="str">
        <x:v>MI-3113</x:v>
      </x:c>
      <x:c r="G500"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500" s="39" t="str">
        <x:v>H1</x:v>
      </x:c>
      <x:c r="I500" s="39" t="str">
        <x:v>P0</x:v>
      </x:c>
      <x:c r="J500" s="39" t="str">
        <x:v>H1</x:v>
      </x:c>
      <x:c r="K500" s="39" t="str">
        <x:v>تطبیق احتمالی با پایه</x:v>
      </x:c>
      <x:c r="L500" s="39" t="str">
        <x:v>MI-3113</x:v>
      </x:c>
      <x:c r="M500"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N500" s="39" t="str">
        <x:v>فرم مورد نیاز کوچ ساکی.docx::T37R2C1.3</x:v>
      </x:c>
      <x:c r="O500" s="39"/>
    </x:row>
    <x:row r="501">
      <x:c r="A501" s="34" t="str">
        <x:v>☐</x:v>
      </x:c>
      <x:c r="B501" s="34" t="str">
        <x:v>EX-0473</x:v>
      </x:c>
      <x:c r="C501" s="34" t="str">
        <x:v>بگم اگر میتونی قوی باشی ، دغدغه مند باشی ، اینده نگر باشی ، خیلی زحمت باید بکشی ، دقیق بشی، اصول T shape و pi shape و M shape رو رعایت کنی که توی خیلی موضعات جنرال باش ولی توی یه زمینه متخصص شو ، خیلی ترکوندی توی دو تا زمینه، دیگه خیلی پروفسور بودی سه تا زمینه تخصص</x:v>
      </x:c>
      <x:c r="D501" s="34" t="str">
        <x:v>POSSIBLE</x:v>
      </x:c>
      <x:c r="E501" s="34" t="str">
        <x:v>90.0</x:v>
      </x:c>
      <x:c r="F501" s="34" t="str">
        <x:v>MI-3115</x:v>
      </x:c>
      <x:c r="G501" s="39" t="str">
        <x:v>بگم اگر میتونی قوی باشی ، دغدغه مند باشی ، اینده نگر باشی ، خیلی زحمت باید بکشی ، دقیق بشی، اصول T shape و pi shape و M shape رو رعایت کنی که توی خیلی موضعات جنرال باش ولی توی یه زمینه متخصص شو ، خیلی ترکوندی توی دو تا زمینه، دیگه خیلی پروفسور بودی سه تا زمینه تخصص مطالعه بسیار زیاد ، ارتباط قوی با افراد و لینک های قوی، اینده مالی و معنوی و ابعادی که میخوای توی زندگیت داشته باشی رو اولش تصور کن با این سبک زندگی میخونه یا نه.</x:v>
      </x:c>
      <x:c r="H501" s="39" t="str">
        <x:v>H14</x:v>
      </x:c>
      <x:c r="I501" s="39" t="str">
        <x:v>BANK</x:v>
      </x:c>
      <x:c r="J501" s="39" t="str">
        <x:v>H14</x:v>
      </x:c>
      <x:c r="K501" s="39" t="str">
        <x:v>تطبیق احتمالی با پایه</x:v>
      </x:c>
      <x:c r="L501" s="39" t="str">
        <x:v>MI-3115</x:v>
      </x:c>
      <x:c r="M501" s="39" t="str">
        <x:v>بگم اگر میتونی قوی باشی ، دغدغه مند باشی ، اینده نگر باشی ، خیلی زحمت باید بکشی ، دقیق بشی، اصول T shape و pi shape و M shape رو رعایت کنی که توی خیلی موضعات جنرال باش ولی توی یه زمینه متخصص شو ، خیلی ترکوندی توی دو تا زمینه، دیگه خیلی پروفسور بودی سه تا زمینه تخصص مطالعه بسیار زیاد ، ارتباط قوی با افراد و لینک های قوی، اینده مالی و معنوی و ابعادی که میخوای توی زندگیت داشته باشی رو اولش تصور کن با این سبک زندگی میخونه یا نه.</x:v>
      </x:c>
      <x:c r="N501" s="39" t="str">
        <x:v>فرم مورد نیاز کوچ ساکی.docx::T38R2C1.1</x:v>
      </x:c>
      <x:c r="O501" s="39"/>
    </x:row>
    <x:row r="502">
      <x:c r="A502" s="34" t="str">
        <x:v>☐</x:v>
      </x:c>
      <x:c r="B502" s="34" t="str">
        <x:v>EX-0474</x:v>
      </x:c>
      <x:c r="C502" s="34" t="str">
        <x:v>مطالعه بسیار زیاد ، ارتباط قوی با افراد و لینک های قوی، اینده مالی و معنوی و ابعادی که میخوای توی زندگیت داشته باشی رو اولش تصور کن با این سبک زندگی میخونه یا نه.</x:v>
      </x:c>
      <x:c r="D502" s="34" t="str">
        <x:v>POSSIBLE</x:v>
      </x:c>
      <x:c r="E502" s="34" t="str">
        <x:v>90.0</x:v>
      </x:c>
      <x:c r="F502" s="34" t="str">
        <x:v>MI-3115</x:v>
      </x:c>
      <x:c r="G502" s="39" t="str">
        <x:v>بگم اگر میتونی قوی باشی ، دغدغه مند باشی ، اینده نگر باشی ، خیلی زحمت باید بکشی ، دقیق بشی، اصول T shape و pi shape و M shape رو رعایت کنی که توی خیلی موضعات جنرال باش ولی توی یه زمینه متخصص شو ، خیلی ترکوندی توی دو تا زمینه، دیگه خیلی پروفسور بودی سه تا زمینه تخصص مطالعه بسیار زیاد ، ارتباط قوی با افراد و لینک های قوی، اینده مالی و معنوی و ابعادی که میخوای توی زندگیت داشته باشی رو اولش تصور کن با این سبک زندگی میخونه یا نه.</x:v>
      </x:c>
      <x:c r="H502" s="39" t="str">
        <x:v>H14</x:v>
      </x:c>
      <x:c r="I502" s="39" t="str">
        <x:v>BANK</x:v>
      </x:c>
      <x:c r="J502" s="39" t="str">
        <x:v>H14</x:v>
      </x:c>
      <x:c r="K502" s="39" t="str">
        <x:v>تطبیق احتمالی با پایه</x:v>
      </x:c>
      <x:c r="L502" s="39" t="str">
        <x:v>MI-3115</x:v>
      </x:c>
      <x:c r="M502" s="39" t="str">
        <x:v>بگم اگر میتونی قوی باشی ، دغدغه مند باشی ، اینده نگر باشی ، خیلی زحمت باید بکشی ، دقیق بشی، اصول T shape و pi shape و M shape رو رعایت کنی که توی خیلی موضعات جنرال باش ولی توی یه زمینه متخصص شو ، خیلی ترکوندی توی دو تا زمینه، دیگه خیلی پروفسور بودی سه تا زمینه تخصص مطالعه بسیار زیاد ، ارتباط قوی با افراد و لینک های قوی، اینده مالی و معنوی و ابعادی که میخوای توی زندگیت داشته باشی رو اولش تصور کن با این سبک زندگی میخونه یا نه.</x:v>
      </x:c>
      <x:c r="N502" s="39" t="str">
        <x:v>فرم مورد نیاز کوچ ساکی.docx::T38R2C1.2</x:v>
      </x:c>
      <x:c r="O502" s="39"/>
    </x:row>
    <x:row r="503">
      <x:c r="A503" s="34" t="str">
        <x:v>☐</x:v>
      </x:c>
      <x:c r="B503" s="34" t="str">
        <x:v>EX-0475</x:v>
      </x:c>
      <x:c r="C503" s="34" t="str">
        <x:v>وضعیت درآمدی خود را در یک سال گذشته تشریح کنید؟</x:v>
      </x:c>
      <x:c r="D503" s="34" t="str">
        <x:v>POSSIBLE</x:v>
      </x:c>
      <x:c r="E503" s="34" t="str">
        <x:v>85.5</x:v>
      </x:c>
      <x:c r="F503" s="34" t="str">
        <x:v>MI-0173</x:v>
      </x:c>
      <x:c r="G503" s="39" t="str">
        <x:v>جستجو در منابع سریع</x:v>
      </x:c>
      <x:c r="H503" s="39" t="str">
        <x:v>H1</x:v>
      </x:c>
      <x:c r="I503" s="39" t="str">
        <x:v>P0</x:v>
      </x:c>
      <x:c r="J503" s="39" t="str">
        <x:v>H1</x:v>
      </x:c>
      <x:c r="K503" s="39" t="str">
        <x:v>تطبیق احتمالی با پایه</x:v>
      </x:c>
      <x:c r="L503" s="39" t="str">
        <x:v>MI-0173</x:v>
      </x:c>
      <x:c r="M503" s="39" t="str">
        <x:v>جستجو در منابع سریع</x:v>
      </x:c>
      <x:c r="N503" s="39" t="str">
        <x:v>فرم مورد نیاز کوچ ساکی.docx::T39R1C1.1 | فرم مورد نیاز کوچ ساکی (1).docx::T39R1C1.1</x:v>
      </x:c>
      <x:c r="O503" s="39"/>
    </x:row>
    <x:row r="504">
      <x:c r="A504" s="34" t="str">
        <x:v>☐</x:v>
      </x:c>
      <x:c r="B504" s="34" t="str">
        <x:v>EX-0476</x:v>
      </x:c>
      <x:c r="C504" s="34" t="str">
        <x:v>درآمدم حاصل یه بخشی تدریس میکردم ، کوتاه مدت،</x:v>
      </x:c>
      <x:c r="D504" s="34" t="str">
        <x:v>POSSIBLE</x:v>
      </x:c>
      <x:c r="E504" s="34" t="str">
        <x:v>90.0</x:v>
      </x:c>
      <x:c r="F504" s="34" t="str">
        <x:v>MI-3116</x:v>
      </x:c>
      <x:c r="G504" s="39" t="str">
        <x:v>درآمدم حاصل یه بخشی تدریس میکردم ، کوتاه مدت، یه بخشی کار دانشجویی داشتم، یه بخشی هم از خانواده ماهیانه دریافت میکردم.</x:v>
      </x:c>
      <x:c r="H504" s="39" t="str">
        <x:v>H11</x:v>
      </x:c>
      <x:c r="I504" s="39" t="str">
        <x:v>DELEGATE/P2</x:v>
      </x:c>
      <x:c r="J504" s="39" t="str">
        <x:v>H11</x:v>
      </x:c>
      <x:c r="K504" s="39" t="str">
        <x:v>تطبیق احتمالی با پایه</x:v>
      </x:c>
      <x:c r="L504" s="39" t="str">
        <x:v>MI-3116</x:v>
      </x:c>
      <x:c r="M504" s="39" t="str">
        <x:v>درآمدم حاصل یه بخشی تدریس میکردم ، کوتاه مدت، یه بخشی کار دانشجویی داشتم، یه بخشی هم از خانواده ماهیانه دریافت میکردم.</x:v>
      </x:c>
      <x:c r="N504" s="39" t="str">
        <x:v>فرم مورد نیاز کوچ ساکی.docx::T39R2C1.1</x:v>
      </x:c>
      <x:c r="O504" s="39"/>
    </x:row>
    <x:row r="505">
      <x:c r="A505" s="34" t="str">
        <x:v>☐</x:v>
      </x:c>
      <x:c r="B505" s="34" t="str">
        <x:v>EX-0477</x:v>
      </x:c>
      <x:c r="C505" s="34" t="str">
        <x:v>یه بخشی کار دانشجویی داشتم،</x:v>
      </x:c>
      <x:c r="D505" s="34" t="str">
        <x:v>POSSIBLE</x:v>
      </x:c>
      <x:c r="E505" s="34" t="str">
        <x:v>90.0</x:v>
      </x:c>
      <x:c r="F505" s="34" t="str">
        <x:v>MI-3116</x:v>
      </x:c>
      <x:c r="G505" s="39" t="str">
        <x:v>درآمدم حاصل یه بخشی تدریس میکردم ، کوتاه مدت، یه بخشی کار دانشجویی داشتم، یه بخشی هم از خانواده ماهیانه دریافت میکردم.</x:v>
      </x:c>
      <x:c r="H505" s="39" t="str">
        <x:v>H11</x:v>
      </x:c>
      <x:c r="I505" s="39" t="str">
        <x:v>DELEGATE/P2</x:v>
      </x:c>
      <x:c r="J505" s="39" t="str">
        <x:v>H11</x:v>
      </x:c>
      <x:c r="K505" s="39" t="str">
        <x:v>تطبیق احتمالی با پایه</x:v>
      </x:c>
      <x:c r="L505" s="39" t="str">
        <x:v>MI-3116</x:v>
      </x:c>
      <x:c r="M505" s="39" t="str">
        <x:v>درآمدم حاصل یه بخشی تدریس میکردم ، کوتاه مدت، یه بخشی کار دانشجویی داشتم، یه بخشی هم از خانواده ماهیانه دریافت میکردم.</x:v>
      </x:c>
      <x:c r="N505" s="39" t="str">
        <x:v>فرم مورد نیاز کوچ ساکی.docx::T39R2C1.2</x:v>
      </x:c>
      <x:c r="O505" s="39"/>
    </x:row>
    <x:row r="506">
      <x:c r="A506" s="34" t="str">
        <x:v>☐</x:v>
      </x:c>
      <x:c r="B506" s="34" t="str">
        <x:v>EX-0478</x:v>
      </x:c>
      <x:c r="C506" s="34" t="str">
        <x:v>یه بخشی هم از خانواده ماهیانه دریافت میکردم.</x:v>
      </x:c>
      <x:c r="D506" s="34" t="str">
        <x:v>POSSIBLE</x:v>
      </x:c>
      <x:c r="E506" s="34" t="str">
        <x:v>90.0</x:v>
      </x:c>
      <x:c r="F506" s="34" t="str">
        <x:v>MI-3116</x:v>
      </x:c>
      <x:c r="G506" s="39" t="str">
        <x:v>درآمدم حاصل یه بخشی تدریس میکردم ، کوتاه مدت، یه بخشی کار دانشجویی داشتم، یه بخشی هم از خانواده ماهیانه دریافت میکردم.</x:v>
      </x:c>
      <x:c r="H506" s="39" t="str">
        <x:v>H11</x:v>
      </x:c>
      <x:c r="I506" s="39" t="str">
        <x:v>DELEGATE/P2</x:v>
      </x:c>
      <x:c r="J506" s="39" t="str">
        <x:v>H11</x:v>
      </x:c>
      <x:c r="K506" s="39" t="str">
        <x:v>تطبیق احتمالی با پایه</x:v>
      </x:c>
      <x:c r="L506" s="39" t="str">
        <x:v>MI-3116</x:v>
      </x:c>
      <x:c r="M506" s="39" t="str">
        <x:v>درآمدم حاصل یه بخشی تدریس میکردم ، کوتاه مدت، یه بخشی کار دانشجویی داشتم، یه بخشی هم از خانواده ماهیانه دریافت میکردم.</x:v>
      </x:c>
      <x:c r="N506" s="39" t="str">
        <x:v>فرم مورد نیاز کوچ ساکی.docx::T39R2C1.3</x:v>
      </x:c>
      <x:c r="O506" s="39"/>
    </x:row>
    <x:row r="507">
      <x:c r="A507" s="34" t="str">
        <x:v>☐</x:v>
      </x:c>
      <x:c r="B507" s="34" t="str">
        <x:v>EX-0479</x:v>
      </x:c>
      <x:c r="C507" s="34" t="str">
        <x:v>باورت میشه که هیچ پس اندازی ندارم تقریبا،</x:v>
      </x:c>
      <x:c r="D507" s="34" t="str">
        <x:v>POSSIBLE</x:v>
      </x:c>
      <x:c r="E507" s="34" t="str">
        <x:v>90.0</x:v>
      </x:c>
      <x:c r="F507" s="34" t="str">
        <x:v>MI-3118</x:v>
      </x:c>
      <x:c r="G507" s="39" t="str">
        <x:v>باورت میشه که هیچ پس اندازی ندارم تقریبا، دارایی ام یه لپ تاپه ، یه گوشی ، یه سری کتاب ، جفت کفش هام</x:v>
      </x:c>
      <x:c r="H507" s="39" t="str">
        <x:v>H18</x:v>
      </x:c>
      <x:c r="I507" s="39" t="str">
        <x:v>BANK</x:v>
      </x:c>
      <x:c r="J507" s="39" t="str">
        <x:v>H18</x:v>
      </x:c>
      <x:c r="K507" s="39" t="str">
        <x:v>تطبیق احتمالی با پایه</x:v>
      </x:c>
      <x:c r="L507" s="39" t="str">
        <x:v>MI-3118</x:v>
      </x:c>
      <x:c r="M507" s="39" t="str">
        <x:v>باورت میشه که هیچ پس اندازی ندارم تقریبا، دارایی ام یه لپ تاپه ، یه گوشی ، یه سری کتاب ، جفت کفش هام</x:v>
      </x:c>
      <x:c r="N507" s="39" t="str">
        <x:v>فرم مورد نیاز کوچ ساکی.docx::T40R2C1.1</x:v>
      </x:c>
      <x:c r="O507" s="39"/>
    </x:row>
    <x:row r="508">
      <x:c r="A508" s="34" t="str">
        <x:v>☐</x:v>
      </x:c>
      <x:c r="B508" s="34" t="str">
        <x:v>EX-0480</x:v>
      </x:c>
      <x:c r="C508" s="34" t="str">
        <x:v>دارایی ام یه لپ تاپه ، یه گوشی ، یه سری کتاب ، جفت کفش هام</x:v>
      </x:c>
      <x:c r="D508" s="34" t="str">
        <x:v>POSSIBLE</x:v>
      </x:c>
      <x:c r="E508" s="34" t="str">
        <x:v>90.0</x:v>
      </x:c>
      <x:c r="F508" s="34" t="str">
        <x:v>MI-3118</x:v>
      </x:c>
      <x:c r="G508" s="39" t="str">
        <x:v>باورت میشه که هیچ پس اندازی ندارم تقریبا، دارایی ام یه لپ تاپه ، یه گوشی ، یه سری کتاب ، جفت کفش هام</x:v>
      </x:c>
      <x:c r="H508" s="39" t="str">
        <x:v>H18</x:v>
      </x:c>
      <x:c r="I508" s="39" t="str">
        <x:v>BANK</x:v>
      </x:c>
      <x:c r="J508" s="39" t="str">
        <x:v>H18</x:v>
      </x:c>
      <x:c r="K508" s="39" t="str">
        <x:v>تطبیق احتمالی با پایه</x:v>
      </x:c>
      <x:c r="L508" s="39" t="str">
        <x:v>MI-3118</x:v>
      </x:c>
      <x:c r="M508" s="39" t="str">
        <x:v>باورت میشه که هیچ پس اندازی ندارم تقریبا، دارایی ام یه لپ تاپه ، یه گوشی ، یه سری کتاب ، جفت کفش هام</x:v>
      </x:c>
      <x:c r="N508" s="39" t="str">
        <x:v>فرم مورد نیاز کوچ ساکی.docx::T40R2C1.2</x:v>
      </x:c>
      <x:c r="O508" s="39"/>
    </x:row>
    <x:row r="509">
      <x:c r="A509" s="34" t="str">
        <x:v>☐</x:v>
      </x:c>
      <x:c r="B509" s="34" t="str">
        <x:v>EX-0481</x:v>
      </x:c>
      <x:c r="C509" s="34" t="str">
        <x:v>دکتر امیر فضلی</x:v>
      </x:c>
      <x:c r="D509" s="34" t="str">
        <x:v>POSSIBLE</x:v>
      </x:c>
      <x:c r="E509" s="34" t="str">
        <x:v>85.5</x:v>
      </x:c>
      <x:c r="F509" s="34" t="str">
        <x:v>MI-1201</x:v>
      </x:c>
      <x:c r="G509" s="39" t="str">
        <x:v>پست سلف مکمل از دکتر پایدار بخواه اطلاعاتش رو</x:v>
      </x:c>
      <x:c r="H509" s="39" t="str">
        <x:v>H11</x:v>
      </x:c>
      <x:c r="I509" s="39" t="str">
        <x:v>DELEGATE/P2</x:v>
      </x:c>
      <x:c r="J509" s="39" t="str">
        <x:v>H11</x:v>
      </x:c>
      <x:c r="K509" s="39" t="str">
        <x:v>تطبیق احتمالی با پایه</x:v>
      </x:c>
      <x:c r="L509" s="39" t="str">
        <x:v>MI-1201</x:v>
      </x:c>
      <x:c r="M509" s="39" t="str">
        <x:v>پست سلف مکمل از دکتر پایدار بخواه اطلاعاتش رو</x:v>
      </x:c>
      <x:c r="N509" s="39" t="str">
        <x:v>1154878548.docx::P106.1</x:v>
      </x:c>
      <x:c r="O509" s="39"/>
    </x:row>
    <x:row r="510">
      <x:c r="A510" s="34" t="str">
        <x:v>☐</x:v>
      </x:c>
      <x:c r="B510" s="34" t="str">
        <x:v>EX-0482</x:v>
      </x:c>
      <x:c r="C510" s="34" t="str">
        <x:v>معرفی از استاد بخشنده</x:v>
      </x:c>
      <x:c r="D510" s="34" t="str">
        <x:v>POSSIBLE</x:v>
      </x:c>
      <x:c r="E510" s="34" t="str">
        <x:v>85.5</x:v>
      </x:c>
      <x:c r="F510" s="34" t="str">
        <x:v>MI-1457</x:v>
      </x:c>
      <x:c r="G510" s="39" t="str">
        <x:v>سلامت جسمانی: تغذیه سالم، ورزش منظم، خواب کافی، پیشگیری از بیماری ها.</x:v>
      </x:c>
      <x:c r="H510" s="39" t="str">
        <x:v>H1</x:v>
      </x:c>
      <x:c r="I510" s="39" t="str">
        <x:v>P0</x:v>
      </x:c>
      <x:c r="J510" s="39" t="str">
        <x:v>H1</x:v>
      </x:c>
      <x:c r="K510" s="39" t="str">
        <x:v>تطبیق احتمالی با پایه</x:v>
      </x:c>
      <x:c r="L510" s="39" t="str">
        <x:v>MI-1457</x:v>
      </x:c>
      <x:c r="M510" s="39" t="str">
        <x:v>سلامت جسمانی: تغذیه سالم، ورزش منظم، خواب کافی، پیشگیری از بیماری ها.</x:v>
      </x:c>
      <x:c r="N510" s="39" t="str">
        <x:v>1154878548.docx::P107.1</x:v>
      </x:c>
      <x:c r="O510" s="39"/>
    </x:row>
    <x:row r="511">
      <x:c r="A511" s="34" t="str">
        <x:v>☐</x:v>
      </x:c>
      <x:c r="B511" s="34" t="str">
        <x:v>EX-0483</x:v>
      </x:c>
      <x:c r="C511" s="34" t="str">
        <x:v>قرارداد دانشجویی با تک به تک افراد</x:v>
      </x:c>
      <x:c r="D511" s="34" t="str">
        <x:v>POSSIBLE</x:v>
      </x:c>
      <x:c r="E511" s="34" t="str">
        <x:v>90.0</x:v>
      </x:c>
      <x:c r="F511" s="34" t="str">
        <x:v>MI-2997</x:v>
      </x:c>
      <x:c r="G511" s="39" t="str">
        <x:v>افراد</x:v>
      </x:c>
      <x:c r="H511" s="39" t="str">
        <x:v>H14</x:v>
      </x:c>
      <x:c r="I511" s="39" t="str">
        <x:v>P3</x:v>
      </x:c>
      <x:c r="J511" s="39" t="str">
        <x:v>H14</x:v>
      </x:c>
      <x:c r="K511" s="39" t="str">
        <x:v>تطبیق احتمالی با پایه</x:v>
      </x:c>
      <x:c r="L511" s="39" t="str">
        <x:v>MI-2997</x:v>
      </x:c>
      <x:c r="M511" s="39" t="str">
        <x:v>افراد</x:v>
      </x:c>
      <x:c r="N511" s="39" t="str">
        <x:v>1154878548.docx::P378.1</x:v>
      </x:c>
      <x:c r="O511" s="39"/>
    </x:row>
    <x:row r="512">
      <x:c r="A512" s="34" t="str">
        <x:v>☐</x:v>
      </x:c>
      <x:c r="B512" s="34" t="str">
        <x:v>EX-0484</x:v>
      </x:c>
      <x:c r="C512" s="34" t="str">
        <x:v>ماشین لرمینگ</x:v>
      </x:c>
      <x:c r="D512" s="34" t="str">
        <x:v>POSSIBLE</x:v>
      </x:c>
      <x:c r="E512" s="34" t="str">
        <x:v>91.7</x:v>
      </x:c>
      <x:c r="F512" s="34" t="str">
        <x:v>MI-0378</x:v>
      </x:c>
      <x:c r="G512" s="39" t="str">
        <x:v>ماشین لرنینگ</x:v>
      </x:c>
      <x:c r="H512" s="39" t="str">
        <x:v>H18</x:v>
      </x:c>
      <x:c r="I512" s="39" t="str">
        <x:v>BANK</x:v>
      </x:c>
      <x:c r="J512" s="39" t="str">
        <x:v>H18</x:v>
      </x:c>
      <x:c r="K512" s="39" t="str">
        <x:v>تطبیق احتمالی با پایه</x:v>
      </x:c>
      <x:c r="L512" s="39" t="str">
        <x:v>MI-0378</x:v>
      </x:c>
      <x:c r="M512" s="39" t="str">
        <x:v>ماشین لرنینگ</x:v>
      </x:c>
      <x:c r="N512" s="39" t="str">
        <x:v>1154878548.docx::P490.1</x:v>
      </x:c>
      <x:c r="O512" s="39"/>
    </x:row>
    <x:row r="513">
      <x:c r="A513" s="34" t="str">
        <x:v>☐</x:v>
      </x:c>
      <x:c r="B513" s="34" t="str">
        <x:v>EX-0485</x:v>
      </x:c>
      <x:c r="C513" s="34" t="str">
        <x:v>1. فرهنگ و هویت دانشگاه</x:v>
      </x:c>
      <x:c r="D513" s="34" t="str">
        <x:v>POSSIBLE</x:v>
      </x:c>
      <x:c r="E513" s="34" t="str">
        <x:v>90.0</x:v>
      </x:c>
      <x:c r="F513" s="34" t="str">
        <x:v>MI-2622</x:v>
      </x:c>
      <x:c r="G513" s="39" t="str">
        <x:v>دانش</x:v>
      </x:c>
      <x:c r="H513" s="39" t="str">
        <x:v>H20</x:v>
      </x:c>
      <x:c r="I513" s="39" t="str">
        <x:v>P3/CLARIFY</x:v>
      </x:c>
      <x:c r="J513" s="39" t="str">
        <x:v>H20</x:v>
      </x:c>
      <x:c r="K513" s="39" t="str">
        <x:v>تطبیق احتمالی با پایه</x:v>
      </x:c>
      <x:c r="L513" s="39" t="str">
        <x:v>MI-2622</x:v>
      </x:c>
      <x:c r="M513" s="39" t="str">
        <x:v>دانش</x:v>
      </x:c>
      <x:c r="N513" s="39" t="str">
        <x:v>1154878548.docx::P822.1</x:v>
      </x:c>
      <x:c r="O513" s="39"/>
    </x:row>
    <x:row r="514">
      <x:c r="A514" s="34" t="str">
        <x:v>☐</x:v>
      </x:c>
      <x:c r="B514" s="34" t="str">
        <x:v>EX-0486</x:v>
      </x:c>
      <x:c r="C514" s="34" t="str">
        <x:v>زیرشاخههای اصلی (درست و غیرهمپوشان):</x:v>
      </x:c>
      <x:c r="D514" s="34" t="str">
        <x:v>POSSIBLE</x:v>
      </x:c>
      <x:c r="E514" s="34" t="str">
        <x:v>85.5</x:v>
      </x:c>
      <x:c r="F514" s="34" t="str">
        <x:v>MI-1513</x:v>
      </x:c>
      <x:c r="G514" s="39" t="str">
        <x:v>تولید و کارآفرینی: توانایی تولید محصول و خدمات و ایجاد شغل.</x:v>
      </x:c>
      <x:c r="H514" s="39" t="str">
        <x:v>H1</x:v>
      </x:c>
      <x:c r="I514" s="39" t="str">
        <x:v>P0</x:v>
      </x:c>
      <x:c r="J514" s="39" t="str">
        <x:v>H1</x:v>
      </x:c>
      <x:c r="K514" s="39" t="str">
        <x:v>تطبیق احتمالی با پایه</x:v>
      </x:c>
      <x:c r="L514" s="39" t="str">
        <x:v>MI-1513</x:v>
      </x:c>
      <x:c r="M514" s="39" t="str">
        <x:v>تولید و کارآفرینی: توانایی تولید محصول و خدمات و ایجاد شغل.</x:v>
      </x:c>
      <x:c r="N514" s="39" t="str">
        <x:v>1154878548.docx::P823.1 | 1154878548.docx::P831.1</x:v>
      </x:c>
      <x:c r="O514" s="39"/>
    </x:row>
    <x:row r="515">
      <x:c r="A515" s="34" t="str">
        <x:v>☐</x:v>
      </x:c>
      <x:c r="B515" s="34" t="str">
        <x:v>EX-0487</x:v>
      </x:c>
      <x:c r="C515" s="34" t="str">
        <x:v>آیینها و مناسک دینی (هیئت، زیارت عاشورا، اذان، مناسبتها)</x:v>
      </x:c>
      <x:c r="D515" s="34" t="str">
        <x:v>POSSIBLE</x:v>
      </x:c>
      <x:c r="E515" s="34" t="str">
        <x:v>85.5</x:v>
      </x:c>
      <x:c r="F515" s="34" t="str">
        <x:v>MI-0029</x:v>
      </x:c>
      <x:c r="G515" s="39" t="str">
        <x:v>تدریس ریاضی و فیزیک</x:v>
      </x:c>
      <x:c r="H515" s="39" t="str">
        <x:v>H1</x:v>
      </x:c>
      <x:c r="I515" s="39" t="str">
        <x:v>P0</x:v>
      </x:c>
      <x:c r="J515" s="39" t="str">
        <x:v>H1</x:v>
      </x:c>
      <x:c r="K515" s="39" t="str">
        <x:v>تطبیق احتمالی با پایه</x:v>
      </x:c>
      <x:c r="L515" s="39" t="str">
        <x:v>MI-0029</x:v>
      </x:c>
      <x:c r="M515" s="39" t="str">
        <x:v>تدریس ریاضی و فیزیک</x:v>
      </x:c>
      <x:c r="N515" s="39" t="str">
        <x:v>1154878548.docx::P824.1 | 1154878548.docx::P832.1</x:v>
      </x:c>
      <x:c r="O515" s="39"/>
    </x:row>
    <x:row r="516">
      <x:c r="A516" s="34" t="str">
        <x:v>☐</x:v>
      </x:c>
      <x:c r="B516" s="34" t="str">
        <x:v>EX-0488</x:v>
      </x:c>
      <x:c r="C516" s="34" t="str">
        <x:v>مسجد و فضاهای عبادی (امکانات، صوت، نظافت، کاربری)</x:v>
      </x:c>
      <x:c r="D516" s="34" t="str">
        <x:v>POSSIBLE</x:v>
      </x:c>
      <x:c r="E516" s="34" t="str">
        <x:v>85.5</x:v>
      </x:c>
      <x:c r="F516" s="34" t="str">
        <x:v>MI-0029</x:v>
      </x:c>
      <x:c r="G516" s="39" t="str">
        <x:v>تدریس ریاضی و فیزیک</x:v>
      </x:c>
      <x:c r="H516" s="39" t="str">
        <x:v>H1</x:v>
      </x:c>
      <x:c r="I516" s="39" t="str">
        <x:v>P0</x:v>
      </x:c>
      <x:c r="J516" s="39" t="str">
        <x:v>H1</x:v>
      </x:c>
      <x:c r="K516" s="39" t="str">
        <x:v>تطبیق احتمالی با پایه</x:v>
      </x:c>
      <x:c r="L516" s="39" t="str">
        <x:v>MI-0029</x:v>
      </x:c>
      <x:c r="M516" s="39" t="str">
        <x:v>تدریس ریاضی و فیزیک</x:v>
      </x:c>
      <x:c r="N516" s="39" t="str">
        <x:v>1154878548.docx::P825.1 | 1154878548.docx::P833.1</x:v>
      </x:c>
      <x:c r="O516" s="39"/>
    </x:row>
    <x:row r="517">
      <x:c r="A517" s="34" t="str">
        <x:v>☐</x:v>
      </x:c>
      <x:c r="B517" s="34" t="str">
        <x:v>EX-0489</x:v>
      </x:c>
      <x:c r="C517" s="34" t="str">
        <x:v>یادمانها و حافظه تاریخی (شهدا، مقبرهها، روایتگری)</x:v>
      </x:c>
      <x:c r="D517" s="34" t="str">
        <x:v>POSSIBLE</x:v>
      </x:c>
      <x:c r="E517" s="34" t="str">
        <x:v>90.0</x:v>
      </x:c>
      <x:c r="F517" s="34" t="str">
        <x:v>MI-1417</x:v>
      </x:c>
      <x:c r="G517" s="39" t="str">
        <x:v>تاریخی</x:v>
      </x:c>
      <x:c r="H517" s="39" t="str">
        <x:v>H15</x:v>
      </x:c>
      <x:c r="I517" s="39" t="str">
        <x:v>BANK</x:v>
      </x:c>
      <x:c r="J517" s="39" t="str">
        <x:v>H15</x:v>
      </x:c>
      <x:c r="K517" s="39" t="str">
        <x:v>تطبیق احتمالی با پایه</x:v>
      </x:c>
      <x:c r="L517" s="39" t="str">
        <x:v>MI-1417</x:v>
      </x:c>
      <x:c r="M517" s="39" t="str">
        <x:v>تاریخی</x:v>
      </x:c>
      <x:c r="N517" s="39" t="str">
        <x:v>1154878548.docx::P826.1 | 1154878548.docx::P834.1</x:v>
      </x:c>
      <x:c r="O517" s="39"/>
    </x:row>
    <x:row r="518">
      <x:c r="A518" s="34" t="str">
        <x:v>☐</x:v>
      </x:c>
      <x:c r="B518" s="34" t="str">
        <x:v>EX-0490</x:v>
      </x:c>
      <x:c r="C518" s="34" t="str">
        <x:v>هویت فرهنگی دانشگاه (سبک دینداری، مشارکت، افت/خیز هیئت)</x:v>
      </x:c>
      <x:c r="D518" s="34" t="str">
        <x:v>POSSIBLE</x:v>
      </x:c>
      <x:c r="E518" s="34" t="str">
        <x:v>85.5</x:v>
      </x:c>
      <x:c r="F518" s="34" t="str">
        <x:v>MI-1449</x:v>
      </x:c>
      <x:c r="G518" s="39" t="str">
        <x:v>سلامت و سبک زندگی</x:v>
      </x:c>
      <x:c r="H518" s="39" t="str">
        <x:v>H1</x:v>
      </x:c>
      <x:c r="I518" s="39" t="str">
        <x:v>P0</x:v>
      </x:c>
      <x:c r="J518" s="39" t="str">
        <x:v>H1</x:v>
      </x:c>
      <x:c r="K518" s="39" t="str">
        <x:v>تطبیق احتمالی با پایه</x:v>
      </x:c>
      <x:c r="L518" s="39" t="str">
        <x:v>MI-1449</x:v>
      </x:c>
      <x:c r="M518" s="39" t="str">
        <x:v>سلامت و سبک زندگی</x:v>
      </x:c>
      <x:c r="N518" s="39" t="str">
        <x:v>1154878548.docx::P827.1 | 1154878548.docx::P835.1</x:v>
      </x:c>
      <x:c r="O518" s="39"/>
    </x:row>
    <x:row r="519">
      <x:c r="A519" s="34" t="str">
        <x:v>☐</x:v>
      </x:c>
      <x:c r="B519" s="34" t="str">
        <x:v>EX-0491</x:v>
      </x:c>
      <x:c r="C519" s="34" t="str">
        <x:v>تعامل نهادی فرهنگی (نهاد، امام جماعت، مسئولین فرهنگی)</x:v>
      </x:c>
      <x:c r="D519" s="34" t="str">
        <x:v>POSSIBLE</x:v>
      </x:c>
      <x:c r="E519" s="34" t="str">
        <x:v>85.5</x:v>
      </x:c>
      <x:c r="F519" s="34" t="str">
        <x:v>MI-0067</x:v>
      </x:c>
      <x:c r="G519" s="39" t="str">
        <x:v>یادگیری روش تعامل با افراد گوناگون</x:v>
      </x:c>
      <x:c r="H519" s="39" t="str">
        <x:v>H1</x:v>
      </x:c>
      <x:c r="I519" s="39" t="str">
        <x:v>P0</x:v>
      </x:c>
      <x:c r="J519" s="39" t="str">
        <x:v>H1</x:v>
      </x:c>
      <x:c r="K519" s="39" t="str">
        <x:v>تطبیق احتمالی با پایه</x:v>
      </x:c>
      <x:c r="L519" s="39" t="str">
        <x:v>MI-0067</x:v>
      </x:c>
      <x:c r="M519" s="39" t="str">
        <x:v>یادگیری روش تعامل با افراد گوناگون</x:v>
      </x:c>
      <x:c r="N519" s="39" t="str">
        <x:v>1154878548.docx::P828.1 | 1154878548.docx::P836.1</x:v>
      </x:c>
      <x:c r="O519" s="39"/>
    </x:row>
    <x:row r="520">
      <x:c r="A520" s="34" t="str">
        <x:v>☐</x:v>
      </x:c>
      <x:c r="B520" s="34" t="str">
        <x:v>EX-0492</x:v>
      </x:c>
      <x:c r="C520" s="34" t="str">
        <x:v>معنا و حافظهی دانشگاه چیست؟»</x:v>
      </x:c>
      <x:c r="D520" s="34" t="str">
        <x:v>POSSIBLE</x:v>
      </x:c>
      <x:c r="E520" s="34" t="str">
        <x:v>90.0</x:v>
      </x:c>
      <x:c r="F520" s="34" t="str">
        <x:v>MI-2622</x:v>
      </x:c>
      <x:c r="G520" s="39" t="str">
        <x:v>دانش</x:v>
      </x:c>
      <x:c r="H520" s="39" t="str">
        <x:v>H20</x:v>
      </x:c>
      <x:c r="I520" s="39" t="str">
        <x:v>P3/CLARIFY</x:v>
      </x:c>
      <x:c r="J520" s="39" t="str">
        <x:v>H20</x:v>
      </x:c>
      <x:c r="K520" s="39" t="str">
        <x:v>تطبیق احتمالی با پایه</x:v>
      </x:c>
      <x:c r="L520" s="39" t="str">
        <x:v>MI-2622</x:v>
      </x:c>
      <x:c r="M520" s="39" t="str">
        <x:v>دانش</x:v>
      </x:c>
      <x:c r="N520" s="39" t="str">
        <x:v>1154878548.docx::P829.1</x:v>
      </x:c>
      <x:c r="O520" s="39"/>
    </x:row>
    <x:row r="521">
      <x:c r="A521" s="34" t="str">
        <x:v>☐</x:v>
      </x:c>
      <x:c r="B521" s="34" t="str">
        <x:v>EX-0493</x:v>
      </x:c>
      <x:c r="C521" s="34" t="str">
        <x:v>سؤال محوری: «روح، معنا و حافظهی دانشگاه چیست؟»</x:v>
      </x:c>
      <x:c r="D521" s="34" t="str">
        <x:v>POSSIBLE</x:v>
      </x:c>
      <x:c r="E521" s="34" t="str">
        <x:v>85.5</x:v>
      </x:c>
      <x:c r="F521" s="34" t="str">
        <x:v>MI-0029</x:v>
      </x:c>
      <x:c r="G521" s="39" t="str">
        <x:v>تدریس ریاضی و فیزیک</x:v>
      </x:c>
      <x:c r="H521" s="39" t="str">
        <x:v>H1</x:v>
      </x:c>
      <x:c r="I521" s="39" t="str">
        <x:v>P0</x:v>
      </x:c>
      <x:c r="J521" s="39" t="str">
        <x:v>H1</x:v>
      </x:c>
      <x:c r="K521" s="39" t="str">
        <x:v>تطبیق احتمالی با پایه</x:v>
      </x:c>
      <x:c r="L521" s="39" t="str">
        <x:v>MI-0029</x:v>
      </x:c>
      <x:c r="M521" s="39" t="str">
        <x:v>تدریس ریاضی و فیزیک</x:v>
      </x:c>
      <x:c r="N521" s="39" t="str">
        <x:v>1154878548.docx::P830.1</x:v>
      </x:c>
      <x:c r="O521" s="39"/>
    </x:row>
    <x:row r="522">
      <x:c r="A522" s="34" t="str">
        <x:v>☐</x:v>
      </x:c>
      <x:c r="B522" s="34" t="str">
        <x:v>EX-0494</x:v>
      </x:c>
      <x:c r="C522" s="34" t="str">
        <x:v>نظافت مسجد اینجاست،</x:v>
      </x:c>
      <x:c r="D522" s="34" t="str">
        <x:v>POSSIBLE</x:v>
      </x:c>
      <x:c r="E522" s="34" t="str">
        <x:v>85.5</x:v>
      </x:c>
      <x:c r="F522" s="34" t="str">
        <x:v>MI-0910</x:v>
      </x:c>
      <x:c r="G522" s="39" t="str">
        <x:v>چاپ و نصب اطلاعیه برای نزاشتن ظروف روی سینک های آشپزخانه جهت سهولت نظافت خدماتی ها و هچنین استفاده از فضا برای دیگر دوستان</x:v>
      </x:c>
      <x:c r="H522" s="39" t="str">
        <x:v>H11</x:v>
      </x:c>
      <x:c r="I522" s="39" t="str">
        <x:v>DELEGATE/P2</x:v>
      </x:c>
      <x:c r="J522" s="39" t="str">
        <x:v>H11</x:v>
      </x:c>
      <x:c r="K522" s="39" t="str">
        <x:v>تطبیق احتمالی با پایه</x:v>
      </x:c>
      <x:c r="L522" s="39" t="str">
        <x:v>MI-0910</x:v>
      </x:c>
      <x:c r="M522" s="39" t="str">
        <x:v>چاپ و نصب اطلاعیه برای نزاشتن ظروف روی سینک های آشپزخانه جهت سهولت نظافت خدماتی ها و هچنین استفاده از فضا برای دیگر دوستان</x:v>
      </x:c>
      <x:c r="N522" s="39" t="str">
        <x:v>1154878548.docx::P837.1</x:v>
      </x:c>
      <x:c r="O522" s="39"/>
    </x:row>
    <x:row r="523">
      <x:c r="A523" s="34" t="str">
        <x:v>☐</x:v>
      </x:c>
      <x:c r="B523" s="34" t="str">
        <x:v>EX-0495</x:v>
      </x:c>
      <x:c r="C523" s="34" t="str">
        <x:v>2. جریانسازی فکری و تبیینی</x:v>
      </x:c>
      <x:c r="D523" s="34" t="str">
        <x:v>POSSIBLE</x:v>
      </x:c>
      <x:c r="E523" s="34" t="str">
        <x:v>90.0</x:v>
      </x:c>
      <x:c r="F523" s="34" t="str">
        <x:v>MI-0245</x:v>
      </x:c>
      <x:c r="G523" s="39" t="str">
        <x:v>تبیینی</x:v>
      </x:c>
      <x:c r="H523" s="39" t="str">
        <x:v>H23</x:v>
      </x:c>
      <x:c r="I523" s="39" t="str">
        <x:v>P3/CLARIFY</x:v>
      </x:c>
      <x:c r="J523" s="39" t="str">
        <x:v>H23</x:v>
      </x:c>
      <x:c r="K523" s="39" t="str">
        <x:v>تطبیق احتمالی با پایه</x:v>
      </x:c>
      <x:c r="L523" s="39" t="str">
        <x:v>MI-0245</x:v>
      </x:c>
      <x:c r="M523" s="39" t="str">
        <x:v>تبیینی</x:v>
      </x:c>
      <x:c r="N523" s="39" t="str">
        <x:v>1154878548.docx::P838.1</x:v>
      </x:c>
      <x:c r="O523" s="39"/>
    </x:row>
    <x:row r="524">
      <x:c r="A524" s="34" t="str">
        <x:v>☐</x:v>
      </x:c>
      <x:c r="B524" s="34" t="str">
        <x:v>EX-0496</x:v>
      </x:c>
      <x:c r="C524" s="34" t="str">
        <x:v>زیرشاخهها:</x:v>
      </x:c>
      <x:c r="D524" s="34" t="str">
        <x:v>UNMAPPED</x:v>
      </x:c>
      <x:c r="E524" s="34" t="str">
        <x:v>66.7</x:v>
      </x:c>
      <x:c r="F524" s="34" t="str">
        <x:v>MI-1792</x:v>
      </x:c>
      <x:c r="G524" s="39" t="str">
        <x:v>آزمایشگاه ها</x:v>
      </x:c>
      <x:c r="H524" s="39" t="str">
        <x:v>H9</x:v>
      </x:c>
      <x:c r="I524" s="39" t="str">
        <x:v>P2</x:v>
      </x:c>
      <x:c r="J524" s="39" t="str">
        <x:v>STRUCT</x:v>
      </x:c>
      <x:c r="K524" s="39" t="str">
        <x:v>ساختار/برچسب</x:v>
      </x:c>
      <x:c r="L524" s="39"/>
      <x:c r="M524" s="39"/>
      <x:c r="N524" s="39" t="str">
        <x:v>1154878548.docx::P839.1 | 1154878548.docx::P849.1 | 1154878548.docx::P858.1 | 1154878548.docx::P866.1 | 1154878548.docx::P871.1 | 1154878548.docx::P880.1 | 1154878548.docx::P888.1 | 1154878548.docx::P899.1 | 1154878548.docx::P916.1 | 1154878548.docx::P924.1 | 1154878548.docx::P931.1 | 1154878548.docx::P939.1</x:v>
      </x:c>
      <x:c r="O524" s="39"/>
    </x:row>
    <x:row r="525">
      <x:c r="A525" s="34" t="str">
        <x:v>☐</x:v>
      </x:c>
      <x:c r="B525" s="34" t="str">
        <x:v>EX-0497</x:v>
      </x:c>
      <x:c r="C525" s="34" t="str">
        <x:v>اتاق فکر دانشگاهی (صنعت، تربیت، مسجد)</x:v>
      </x:c>
      <x:c r="D525" s="34" t="str">
        <x:v>POSSIBLE</x:v>
      </x:c>
      <x:c r="E525" s="34" t="str">
        <x:v>90.0</x:v>
      </x:c>
      <x:c r="F525" s="34" t="str">
        <x:v>MI-0239</x:v>
      </x:c>
      <x:c r="G525" s="39" t="str">
        <x:v>اتاق فکر</x:v>
      </x:c>
      <x:c r="H525" s="39" t="str">
        <x:v>H23</x:v>
      </x:c>
      <x:c r="I525" s="39" t="str">
        <x:v>P3/CLARIFY</x:v>
      </x:c>
      <x:c r="J525" s="39" t="str">
        <x:v>H23</x:v>
      </x:c>
      <x:c r="K525" s="39" t="str">
        <x:v>تطبیق احتمالی با پایه</x:v>
      </x:c>
      <x:c r="L525" s="39" t="str">
        <x:v>MI-0239</x:v>
      </x:c>
      <x:c r="M525" s="39" t="str">
        <x:v>اتاق فکر</x:v>
      </x:c>
      <x:c r="N525" s="39" t="str">
        <x:v>1154878548.docx::P840.1</x:v>
      </x:c>
      <x:c r="O525" s="39"/>
    </x:row>
    <x:row r="526">
      <x:c r="A526" s="34" t="str">
        <x:v>☐</x:v>
      </x:c>
      <x:c r="B526" s="34" t="str">
        <x:v>EX-0498</x:v>
      </x:c>
      <x:c r="C526" s="34" t="str">
        <x:v>جهاد تبیین (سیاسی، اقتصادی، فرهنگی، آموزشی)</x:v>
      </x:c>
      <x:c r="D526" s="34" t="str">
        <x:v>POSSIBLE</x:v>
      </x:c>
      <x:c r="E526" s="34" t="str">
        <x:v>90.0</x:v>
      </x:c>
      <x:c r="F526" s="34" t="str">
        <x:v>MI-1414</x:v>
      </x:c>
      <x:c r="G526" s="39" t="str">
        <x:v>جهاد تبیین</x:v>
      </x:c>
      <x:c r="H526" s="39" t="str">
        <x:v>H15</x:v>
      </x:c>
      <x:c r="I526" s="39" t="str">
        <x:v>P3/CLARIFY</x:v>
      </x:c>
      <x:c r="J526" s="39" t="str">
        <x:v>H15</x:v>
      </x:c>
      <x:c r="K526" s="39" t="str">
        <x:v>تطبیق احتمالی با پایه</x:v>
      </x:c>
      <x:c r="L526" s="39" t="str">
        <x:v>MI-1414</x:v>
      </x:c>
      <x:c r="M526" s="39" t="str">
        <x:v>جهاد تبیین</x:v>
      </x:c>
      <x:c r="N526" s="39" t="str">
        <x:v>1154878548.docx::P841.1</x:v>
      </x:c>
      <x:c r="O526" s="39"/>
    </x:row>
    <x:row r="527">
      <x:c r="A527" s="34" t="str">
        <x:v>☐</x:v>
      </x:c>
      <x:c r="B527" s="34" t="str">
        <x:v>EX-0499</x:v>
      </x:c>
      <x:c r="C527" s="34" t="str">
        <x:v>گفتمانسازی و جریانشناسی (جریانسازی / جریانسوزی)</x:v>
      </x:c>
      <x:c r="D527" s="34" t="str">
        <x:v>POSSIBLE</x:v>
      </x:c>
      <x:c r="E527" s="34" t="str">
        <x:v>85.5</x:v>
      </x:c>
      <x:c r="F527" s="34" t="str">
        <x:v>MI-0029</x:v>
      </x:c>
      <x:c r="G527" s="39" t="str">
        <x:v>تدریس ریاضی و فیزیک</x:v>
      </x:c>
      <x:c r="H527" s="39" t="str">
        <x:v>H1</x:v>
      </x:c>
      <x:c r="I527" s="39" t="str">
        <x:v>P0</x:v>
      </x:c>
      <x:c r="J527" s="39" t="str">
        <x:v>H1</x:v>
      </x:c>
      <x:c r="K527" s="39" t="str">
        <x:v>تطبیق احتمالی با پایه</x:v>
      </x:c>
      <x:c r="L527" s="39" t="str">
        <x:v>MI-0029</x:v>
      </x:c>
      <x:c r="M527" s="39" t="str">
        <x:v>تدریس ریاضی و فیزیک</x:v>
      </x:c>
      <x:c r="N527" s="39" t="str">
        <x:v>1154878548.docx::P842.1</x:v>
      </x:c>
      <x:c r="O527" s="39"/>
    </x:row>
    <x:row r="528">
      <x:c r="A528" s="34" t="str">
        <x:v>☐</x:v>
      </x:c>
      <x:c r="B528" s="34" t="str">
        <x:v>EX-0500</x:v>
      </x:c>
      <x:c r="C528" s="34" t="str">
        <x:v>مبانی نظری و کلان (تأکیدات رهبری، روایتهای کلان)</x:v>
      </x:c>
      <x:c r="D528" s="34" t="str">
        <x:v>POSSIBLE</x:v>
      </x:c>
      <x:c r="E528" s="34" t="str">
        <x:v>85.5</x:v>
      </x:c>
      <x:c r="F528" s="34" t="str">
        <x:v>MI-0029</x:v>
      </x:c>
      <x:c r="G528" s="39" t="str">
        <x:v>تدریس ریاضی و فیزیک</x:v>
      </x:c>
      <x:c r="H528" s="39" t="str">
        <x:v>H1</x:v>
      </x:c>
      <x:c r="I528" s="39" t="str">
        <x:v>P0</x:v>
      </x:c>
      <x:c r="J528" s="39" t="str">
        <x:v>H1</x:v>
      </x:c>
      <x:c r="K528" s="39" t="str">
        <x:v>تطبیق احتمالی با پایه</x:v>
      </x:c>
      <x:c r="L528" s="39" t="str">
        <x:v>MI-0029</x:v>
      </x:c>
      <x:c r="M528" s="39" t="str">
        <x:v>تدریس ریاضی و فیزیک</x:v>
      </x:c>
      <x:c r="N528" s="39" t="str">
        <x:v>1154878548.docx::P843.1</x:v>
      </x:c>
      <x:c r="O528" s="39"/>
    </x:row>
    <x:row r="529">
      <x:c r="A529" s="34" t="str">
        <x:v>☐</x:v>
      </x:c>
      <x:c r="B529" s="34" t="str">
        <x:v>EX-0501</x:v>
      </x:c>
      <x:c r="C529" s="34" t="str">
        <x:v>تولید چارچوب فکری (نه محتوا، بلکه خط فکری)</x:v>
      </x:c>
      <x:c r="D529" s="34" t="str">
        <x:v>POSSIBLE</x:v>
      </x:c>
      <x:c r="E529" s="34" t="str">
        <x:v>90.0</x:v>
      </x:c>
      <x:c r="F529" s="34" t="str">
        <x:v>MI-0324</x:v>
      </x:c>
      <x:c r="G529" s="39" t="str">
        <x:v>محتوا</x:v>
      </x:c>
      <x:c r="H529" s="39" t="str">
        <x:v>H15</x:v>
      </x:c>
      <x:c r="I529" s="39" t="str">
        <x:v>P3/CLARIFY</x:v>
      </x:c>
      <x:c r="J529" s="39" t="str">
        <x:v>H15</x:v>
      </x:c>
      <x:c r="K529" s="39" t="str">
        <x:v>تطبیق احتمالی با پایه</x:v>
      </x:c>
      <x:c r="L529" s="39" t="str">
        <x:v>MI-0324</x:v>
      </x:c>
      <x:c r="M529" s="39" t="str">
        <x:v>محتوا</x:v>
      </x:c>
      <x:c r="N529" s="39" t="str">
        <x:v>1154878548.docx::P844.1</x:v>
      </x:c>
      <x:c r="O529" s="39"/>
    </x:row>
    <x:row r="530">
      <x:c r="A530" s="34" t="str">
        <x:v>☐</x:v>
      </x:c>
      <x:c r="B530" s="34" t="str">
        <x:v>EX-0502</x:v>
      </x:c>
      <x:c r="C530" s="34" t="str">
        <x:v>🔴 محتوا هنوز اینجا نیست؛</x:v>
      </x:c>
      <x:c r="D530" s="34" t="str">
        <x:v>POSSIBLE</x:v>
      </x:c>
      <x:c r="E530" s="34" t="str">
        <x:v>90.0</x:v>
      </x:c>
      <x:c r="F530" s="34" t="str">
        <x:v>MI-0324</x:v>
      </x:c>
      <x:c r="G530" s="39" t="str">
        <x:v>محتوا</x:v>
      </x:c>
      <x:c r="H530" s="39" t="str">
        <x:v>H15</x:v>
      </x:c>
      <x:c r="I530" s="39" t="str">
        <x:v>P3/CLARIFY</x:v>
      </x:c>
      <x:c r="J530" s="39" t="str">
        <x:v>H15</x:v>
      </x:c>
      <x:c r="K530" s="39" t="str">
        <x:v>تطبیق احتمالی با پایه</x:v>
      </x:c>
      <x:c r="L530" s="39" t="str">
        <x:v>MI-0324</x:v>
      </x:c>
      <x:c r="M530" s="39" t="str">
        <x:v>محتوا</x:v>
      </x:c>
      <x:c r="N530" s="39" t="str">
        <x:v>1154878548.docx::P845.1</x:v>
      </x:c>
      <x:c r="O530" s="39"/>
    </x:row>
    <x:row r="531">
      <x:c r="A531" s="34" t="str">
        <x:v>☐</x:v>
      </x:c>
      <x:c r="B531" s="34" t="str">
        <x:v>EX-0503</x:v>
      </x:c>
      <x:c r="C531" s="34" t="str">
        <x:v>خط فکری اینجاست، انتشارش در رسانه.</x:v>
      </x:c>
      <x:c r="D531" s="34" t="str">
        <x:v>POSSIBLE</x:v>
      </x:c>
      <x:c r="E531" s="34" t="str">
        <x:v>90.0</x:v>
      </x:c>
      <x:c r="F531" s="34" t="str">
        <x:v>MI-0815</x:v>
      </x:c>
      <x:c r="G531" s="39" t="str">
        <x:v>رسانه:</x:v>
      </x:c>
      <x:c r="H531" s="39" t="str">
        <x:v>H11</x:v>
      </x:c>
      <x:c r="I531" s="39" t="str">
        <x:v>DELEGATE/P2</x:v>
      </x:c>
      <x:c r="J531" s="39" t="str">
        <x:v>H11</x:v>
      </x:c>
      <x:c r="K531" s="39" t="str">
        <x:v>تطبیق احتمالی با پایه</x:v>
      </x:c>
      <x:c r="L531" s="39" t="str">
        <x:v>MI-0815</x:v>
      </x:c>
      <x:c r="M531" s="39" t="str">
        <x:v>رسانه:</x:v>
      </x:c>
      <x:c r="N531" s="39" t="str">
        <x:v>1154878548.docx::P846.1</x:v>
      </x:c>
      <x:c r="O531" s="39"/>
    </x:row>
    <x:row r="532">
      <x:c r="A532" s="34" t="str">
        <x:v>☐</x:v>
      </x:c>
      <x:c r="B532" s="34" t="str">
        <x:v>EX-0504</x:v>
      </x:c>
      <x:c r="C532" s="34" t="str">
        <x:v>سؤال محوری: «دانشگاه قرار است چه فکری را بسازد و گسترش دهد؟»</x:v>
      </x:c>
      <x:c r="D532" s="34" t="str">
        <x:v>POSSIBLE</x:v>
      </x:c>
      <x:c r="E532" s="34" t="str">
        <x:v>85.5</x:v>
      </x:c>
      <x:c r="F532" s="34" t="str">
        <x:v>MI-0049</x:v>
      </x:c>
      <x:c r="G532" s="39" t="str">
        <x:v>گذاشتن قرار دوستانه دبیرستانی</x:v>
      </x:c>
      <x:c r="H532" s="39" t="str">
        <x:v>H1</x:v>
      </x:c>
      <x:c r="I532" s="39" t="str">
        <x:v>P0</x:v>
      </x:c>
      <x:c r="J532" s="39" t="str">
        <x:v>H1</x:v>
      </x:c>
      <x:c r="K532" s="39" t="str">
        <x:v>تطبیق احتمالی با پایه</x:v>
      </x:c>
      <x:c r="L532" s="39" t="str">
        <x:v>MI-0049</x:v>
      </x:c>
      <x:c r="M532" s="39" t="str">
        <x:v>گذاشتن قرار دوستانه دبیرستانی</x:v>
      </x:c>
      <x:c r="N532" s="39" t="str">
        <x:v>1154878548.docx::P847.1</x:v>
      </x:c>
      <x:c r="O532" s="39"/>
    </x:row>
    <x:row r="533">
      <x:c r="A533" s="34" t="str">
        <x:v>☐</x:v>
      </x:c>
      <x:c r="B533" s="34" t="str">
        <x:v>EX-0505</x:v>
      </x:c>
      <x:c r="C533" s="34" t="str">
        <x:v>3. رسانه و روایت دانشگاه</x:v>
      </x:c>
      <x:c r="D533" s="34" t="str">
        <x:v>POSSIBLE</x:v>
      </x:c>
      <x:c r="E533" s="34" t="str">
        <x:v>90.0</x:v>
      </x:c>
      <x:c r="F533" s="34" t="str">
        <x:v>MI-0815</x:v>
      </x:c>
      <x:c r="G533" s="39" t="str">
        <x:v>رسانه:</x:v>
      </x:c>
      <x:c r="H533" s="39" t="str">
        <x:v>H11</x:v>
      </x:c>
      <x:c r="I533" s="39" t="str">
        <x:v>DELEGATE/P2</x:v>
      </x:c>
      <x:c r="J533" s="39" t="str">
        <x:v>H11</x:v>
      </x:c>
      <x:c r="K533" s="39" t="str">
        <x:v>تطبیق احتمالی با پایه</x:v>
      </x:c>
      <x:c r="L533" s="39" t="str">
        <x:v>MI-0815</x:v>
      </x:c>
      <x:c r="M533" s="39" t="str">
        <x:v>رسانه:</x:v>
      </x:c>
      <x:c r="N533" s="39" t="str">
        <x:v>1154878548.docx::P848.1</x:v>
      </x:c>
      <x:c r="O533" s="39"/>
    </x:row>
    <x:row r="534">
      <x:c r="A534" s="34" t="str">
        <x:v>☐</x:v>
      </x:c>
      <x:c r="B534" s="34" t="str">
        <x:v>EX-0506</x:v>
      </x:c>
      <x:c r="C534" s="34" t="str">
        <x:v>روایت فعالیتها و تصمیمات</x:v>
      </x:c>
      <x:c r="D534" s="34" t="str">
        <x:v>POSSIBLE</x:v>
      </x:c>
      <x:c r="E534" s="34" t="str">
        <x:v>85.5</x:v>
      </x:c>
      <x:c r="F534" s="34" t="str">
        <x:v>MI-1513</x:v>
      </x:c>
      <x:c r="G534" s="39" t="str">
        <x:v>تولید و کارآفرینی: توانایی تولید محصول و خدمات و ایجاد شغل.</x:v>
      </x:c>
      <x:c r="H534" s="39" t="str">
        <x:v>H1</x:v>
      </x:c>
      <x:c r="I534" s="39" t="str">
        <x:v>P0</x:v>
      </x:c>
      <x:c r="J534" s="39" t="str">
        <x:v>H1</x:v>
      </x:c>
      <x:c r="K534" s="39" t="str">
        <x:v>تطبیق احتمالی با پایه</x:v>
      </x:c>
      <x:c r="L534" s="39" t="str">
        <x:v>MI-1513</x:v>
      </x:c>
      <x:c r="M534" s="39" t="str">
        <x:v>تولید و کارآفرینی: توانایی تولید محصول و خدمات و ایجاد شغل.</x:v>
      </x:c>
      <x:c r="N534" s="39" t="str">
        <x:v>1154878548.docx::P850.1 | 1154878548.docx::P872.1</x:v>
      </x:c>
      <x:c r="O534" s="39"/>
    </x:row>
    <x:row r="535">
      <x:c r="A535" s="34" t="str">
        <x:v>☐</x:v>
      </x:c>
      <x:c r="B535" s="34" t="str">
        <x:v>EX-0507</x:v>
      </x:c>
      <x:c r="C535" s="34" t="str">
        <x:v>نشریه، کلیپ، بیانیه، گزارش</x:v>
      </x:c>
      <x:c r="D535" s="34" t="str">
        <x:v>POSSIBLE</x:v>
      </x:c>
      <x:c r="E535" s="34" t="str">
        <x:v>90.0</x:v>
      </x:c>
      <x:c r="F535" s="34" t="str">
        <x:v>MI-0639</x:v>
      </x:c>
      <x:c r="G535" s="39" t="str">
        <x:v>- نشریه</x:v>
      </x:c>
      <x:c r="H535" s="39" t="str">
        <x:v>H11</x:v>
      </x:c>
      <x:c r="I535" s="39" t="str">
        <x:v>DELEGATE/P2</x:v>
      </x:c>
      <x:c r="J535" s="39" t="str">
        <x:v>H11</x:v>
      </x:c>
      <x:c r="K535" s="39" t="str">
        <x:v>تطبیق احتمالی با پایه</x:v>
      </x:c>
      <x:c r="L535" s="39" t="str">
        <x:v>MI-0639</x:v>
      </x:c>
      <x:c r="M535" s="39" t="str">
        <x:v>- نشریه</x:v>
      </x:c>
      <x:c r="N535" s="39" t="str">
        <x:v>1154878548.docx::P851.1 | 1154878548.docx::P873.1</x:v>
      </x:c>
      <x:c r="O535" s="39"/>
    </x:row>
    <x:row r="536">
      <x:c r="A536" s="34" t="str">
        <x:v>☐</x:v>
      </x:c>
      <x:c r="B536" s="34" t="str">
        <x:v>EX-0508</x:v>
      </x:c>
      <x:c r="C536" s="34" t="str">
        <x:v>نظرسنجی، کارزار، ارتباط با دانشجو</x:v>
      </x:c>
      <x:c r="D536" s="34" t="str">
        <x:v>POSSIBLE</x:v>
      </x:c>
      <x:c r="E536" s="34" t="str">
        <x:v>90.0</x:v>
      </x:c>
      <x:c r="F536" s="34" t="str">
        <x:v>MI-0827</x:v>
      </x:c>
      <x:c r="G536" s="39" t="str">
        <x:v>- کارزار</x:v>
      </x:c>
      <x:c r="H536" s="39" t="str">
        <x:v>H11</x:v>
      </x:c>
      <x:c r="I536" s="39" t="str">
        <x:v>DELEGATE/P2</x:v>
      </x:c>
      <x:c r="J536" s="39" t="str">
        <x:v>H11</x:v>
      </x:c>
      <x:c r="K536" s="39" t="str">
        <x:v>تطبیق احتمالی با پایه</x:v>
      </x:c>
      <x:c r="L536" s="39" t="str">
        <x:v>MI-0827</x:v>
      </x:c>
      <x:c r="M536" s="39" t="str">
        <x:v>- کارزار</x:v>
      </x:c>
      <x:c r="N536" s="39" t="str">
        <x:v>1154878548.docx::P852.1 | 1154878548.docx::P874.1</x:v>
      </x:c>
      <x:c r="O536" s="39"/>
    </x:row>
    <x:row r="537">
      <x:c r="A537" s="34" t="str">
        <x:v>☐</x:v>
      </x:c>
      <x:c r="B537" s="34" t="str">
        <x:v>EX-0509</x:v>
      </x:c>
      <x:c r="C537" s="34" t="str">
        <x:v>مستندسازی (عکس، فیلم، روایت پیگیریها)</x:v>
      </x:c>
      <x:c r="D537" s="34" t="str">
        <x:v>UNMAPPED</x:v>
      </x:c>
      <x:c r="E537" s="34" t="str">
        <x:v>72.0</x:v>
      </x:c>
      <x:c r="F537" s="34" t="str">
        <x:v>MI-0604</x:v>
      </x:c>
      <x:c r="G537" s="39" t="str">
        <x:v>مستند ها</x:v>
      </x:c>
      <x:c r="H537" s="39" t="str">
        <x:v>H18</x:v>
      </x:c>
      <x:c r="I537" s="39" t="str">
        <x:v>BANK</x:v>
      </x:c>
      <x:c r="J537" s="39" t="str">
        <x:v>H23</x:v>
      </x:c>
      <x:c r="K537" s="39" t="str">
        <x:v>نیازمند پالایش؛ حذف نشده</x:v>
      </x:c>
      <x:c r="L537" s="39"/>
      <x:c r="M537" s="39"/>
      <x:c r="N537" s="39" t="str">
        <x:v>1154878548.docx::P853.1 | 1154878548.docx::P875.1</x:v>
      </x:c>
      <x:c r="O537" s="39"/>
    </x:row>
    <x:row r="538">
      <x:c r="A538" s="34" t="str">
        <x:v>☐</x:v>
      </x:c>
      <x:c r="B538" s="34" t="str">
        <x:v>EX-0510</x:v>
      </x:c>
      <x:c r="C538" s="34" t="str">
        <x:v>زبان و لحن روایت (جملات ناب، الهامبخش)</x:v>
      </x:c>
      <x:c r="D538" s="34" t="str">
        <x:v>POSSIBLE</x:v>
      </x:c>
      <x:c r="E538" s="34" t="str">
        <x:v>90.0</x:v>
      </x:c>
      <x:c r="F538" s="34" t="str">
        <x:v>MI-0325</x:v>
      </x:c>
      <x:c r="G538" s="39" t="str">
        <x:v>جملات ناب:</x:v>
      </x:c>
      <x:c r="H538" s="39" t="str">
        <x:v>H18</x:v>
      </x:c>
      <x:c r="I538" s="39" t="str">
        <x:v>P3/CLARIFY</x:v>
      </x:c>
      <x:c r="J538" s="39" t="str">
        <x:v>H18</x:v>
      </x:c>
      <x:c r="K538" s="39" t="str">
        <x:v>تطبیق احتمالی با پایه</x:v>
      </x:c>
      <x:c r="L538" s="39" t="str">
        <x:v>MI-0325</x:v>
      </x:c>
      <x:c r="M538" s="39" t="str">
        <x:v>جملات ناب:</x:v>
      </x:c>
      <x:c r="N538" s="39" t="str">
        <x:v>1154878548.docx::P854.1 | 1154878548.docx::P876.1</x:v>
      </x:c>
      <x:c r="O538" s="39"/>
    </x:row>
    <x:row r="539">
      <x:c r="A539" s="34" t="str">
        <x:v>☐</x:v>
      </x:c>
      <x:c r="B539" s="34" t="str">
        <x:v>EX-0511</x:v>
      </x:c>
      <x:c r="C539" s="34" t="str">
        <x:v>🔴 «جملات ناب» اینجاست،</x:v>
      </x:c>
      <x:c r="D539" s="34" t="str">
        <x:v>POSSIBLE</x:v>
      </x:c>
      <x:c r="E539" s="34" t="str">
        <x:v>90.0</x:v>
      </x:c>
      <x:c r="F539" s="34" t="str">
        <x:v>MI-0325</x:v>
      </x:c>
      <x:c r="G539" s="39" t="str">
        <x:v>جملات ناب:</x:v>
      </x:c>
      <x:c r="H539" s="39" t="str">
        <x:v>H18</x:v>
      </x:c>
      <x:c r="I539" s="39" t="str">
        <x:v>P3/CLARIFY</x:v>
      </x:c>
      <x:c r="J539" s="39" t="str">
        <x:v>H18</x:v>
      </x:c>
      <x:c r="K539" s="39" t="str">
        <x:v>تطبیق احتمالی با پایه</x:v>
      </x:c>
      <x:c r="L539" s="39" t="str">
        <x:v>MI-0325</x:v>
      </x:c>
      <x:c r="M539" s="39" t="str">
        <x:v>جملات ناب:</x:v>
      </x:c>
      <x:c r="N539" s="39" t="str">
        <x:v>1154878548.docx::P855.1 | 1154878548.docx::P877.1</x:v>
      </x:c>
      <x:c r="O539" s="39"/>
    </x:row>
    <x:row r="540">
      <x:c r="A540" s="34" t="str">
        <x:v>☐</x:v>
      </x:c>
      <x:c r="B540" s="34" t="str">
        <x:v>EX-0512</x:v>
      </x:c>
      <x:c r="C540" s="34" t="str">
        <x:v>سؤال محوری: «این فکر و عمل چگونه دیده و فهمیده میشود؟»</x:v>
      </x:c>
      <x:c r="D540" s="34" t="str">
        <x:v>POSSIBLE</x:v>
      </x:c>
      <x:c r="E540" s="34" t="str">
        <x:v>85.5</x:v>
      </x:c>
      <x:c r="F540" s="34" t="str">
        <x:v>MI-2921</x:v>
      </x:c>
      <x:c r="G540" s="39" t="str">
        <x:v>ساختار تصمیم گیری چگونه باید باشد</x:v>
      </x:c>
      <x:c r="H540" s="39" t="str">
        <x:v>H1</x:v>
      </x:c>
      <x:c r="I540" s="39" t="str">
        <x:v>P0</x:v>
      </x:c>
      <x:c r="J540" s="39" t="str">
        <x:v>H1</x:v>
      </x:c>
      <x:c r="K540" s="39" t="str">
        <x:v>تطبیق احتمالی با پایه</x:v>
      </x:c>
      <x:c r="L540" s="39" t="str">
        <x:v>MI-2921</x:v>
      </x:c>
      <x:c r="M540" s="39" t="str">
        <x:v>ساختار تصمیم گیری چگونه باید باشد</x:v>
      </x:c>
      <x:c r="N540" s="39" t="str">
        <x:v>1154878548.docx::P856.1</x:v>
      </x:c>
      <x:c r="O540" s="39"/>
    </x:row>
    <x:row r="541">
      <x:c r="A541" s="34" t="str">
        <x:v>☐</x:v>
      </x:c>
      <x:c r="B541" s="34" t="str">
        <x:v>EX-0513</x:v>
      </x:c>
      <x:c r="C541" s="34" t="str">
        <x:v>4. تشکلها و شبکههای دانشجویی</x:v>
      </x:c>
      <x:c r="D541" s="34" t="str">
        <x:v>POSSIBLE</x:v>
      </x:c>
      <x:c r="E541" s="34" t="str">
        <x:v>90.0</x:v>
      </x:c>
      <x:c r="F541" s="34" t="str">
        <x:v>MI-2622</x:v>
      </x:c>
      <x:c r="G541" s="39" t="str">
        <x:v>دانش</x:v>
      </x:c>
      <x:c r="H541" s="39" t="str">
        <x:v>H20</x:v>
      </x:c>
      <x:c r="I541" s="39" t="str">
        <x:v>P3/CLARIFY</x:v>
      </x:c>
      <x:c r="J541" s="39" t="str">
        <x:v>H20</x:v>
      </x:c>
      <x:c r="K541" s="39" t="str">
        <x:v>تطبیق احتمالی با پایه</x:v>
      </x:c>
      <x:c r="L541" s="39" t="str">
        <x:v>MI-2622</x:v>
      </x:c>
      <x:c r="M541" s="39" t="str">
        <x:v>دانش</x:v>
      </x:c>
      <x:c r="N541" s="39" t="str">
        <x:v>1154878548.docx::P857.1</x:v>
      </x:c>
      <x:c r="O541" s="39"/>
    </x:row>
    <x:row r="542">
      <x:c r="A542" s="34" t="str">
        <x:v>☐</x:v>
      </x:c>
      <x:c r="B542" s="34" t="str">
        <x:v>EX-0514</x:v>
      </x:c>
      <x:c r="C542" s="34" t="str">
        <x:v>بسیج (دانشگاهی، پژوهش، بومهن)</x:v>
      </x:c>
      <x:c r="D542" s="34" t="str">
        <x:v>POSSIBLE</x:v>
      </x:c>
      <x:c r="E542" s="34" t="str">
        <x:v>90.0</x:v>
      </x:c>
      <x:c r="F542" s="34" t="str">
        <x:v>MI-2192</x:v>
      </x:c>
      <x:c r="G542" s="39" t="str">
        <x:v>پژوهش</x:v>
      </x:c>
      <x:c r="H542" s="39" t="str">
        <x:v>H9</x:v>
      </x:c>
      <x:c r="I542" s="39" t="str">
        <x:v>P2</x:v>
      </x:c>
      <x:c r="J542" s="39" t="str">
        <x:v>H9</x:v>
      </x:c>
      <x:c r="K542" s="39" t="str">
        <x:v>تطبیق احتمالی با پایه</x:v>
      </x:c>
      <x:c r="L542" s="39" t="str">
        <x:v>MI-2192</x:v>
      </x:c>
      <x:c r="M542" s="39" t="str">
        <x:v>پژوهش</x:v>
      </x:c>
      <x:c r="N542" s="39" t="str">
        <x:v>1154878548.docx::P859.1</x:v>
      </x:c>
      <x:c r="O542" s="39"/>
    </x:row>
    <x:row r="543">
      <x:c r="A543" s="34" t="str">
        <x:v>☐</x:v>
      </x:c>
      <x:c r="B543" s="34" t="str">
        <x:v>EX-0515</x:v>
      </x:c>
      <x:c r="C543" s="34" t="str">
        <x:v>گروههای جهادی</x:v>
      </x:c>
      <x:c r="D543" s="34" t="str">
        <x:v>POSSIBLE</x:v>
      </x:c>
      <x:c r="E543" s="34" t="str">
        <x:v>90.0</x:v>
      </x:c>
      <x:c r="F543" s="34" t="str">
        <x:v>MI-1539</x:v>
      </x:c>
      <x:c r="G543" s="39" t="str">
        <x:v>جهادی</x:v>
      </x:c>
      <x:c r="H543" s="39" t="str">
        <x:v>H23</x:v>
      </x:c>
      <x:c r="I543" s="39" t="str">
        <x:v>P3/CLARIFY</x:v>
      </x:c>
      <x:c r="J543" s="39" t="str">
        <x:v>H23</x:v>
      </x:c>
      <x:c r="K543" s="39" t="str">
        <x:v>تطبیق احتمالی با پایه</x:v>
      </x:c>
      <x:c r="L543" s="39" t="str">
        <x:v>MI-1539</x:v>
      </x:c>
      <x:c r="M543" s="39" t="str">
        <x:v>جهادی</x:v>
      </x:c>
      <x:c r="N543" s="39" t="str">
        <x:v>1154878548.docx::P860.1</x:v>
      </x:c>
      <x:c r="O543" s="39"/>
    </x:row>
    <x:row r="544">
      <x:c r="A544" s="34" t="str">
        <x:v>☐</x:v>
      </x:c>
      <x:c r="B544" s="34" t="str">
        <x:v>EX-0516</x:v>
      </x:c>
      <x:c r="C544" s="34" t="str">
        <x:v>انجمنهای علمی و کانونها</x:v>
      </x:c>
      <x:c r="D544" s="34" t="str">
        <x:v>POSSIBLE</x:v>
      </x:c>
      <x:c r="E544" s="34" t="str">
        <x:v>85.5</x:v>
      </x:c>
      <x:c r="F544" s="34" t="str">
        <x:v>MI-1513</x:v>
      </x:c>
      <x:c r="G544" s="39" t="str">
        <x:v>تولید و کارآفرینی: توانایی تولید محصول و خدمات و ایجاد شغل.</x:v>
      </x:c>
      <x:c r="H544" s="39" t="str">
        <x:v>H1</x:v>
      </x:c>
      <x:c r="I544" s="39" t="str">
        <x:v>P0</x:v>
      </x:c>
      <x:c r="J544" s="39" t="str">
        <x:v>H1</x:v>
      </x:c>
      <x:c r="K544" s="39" t="str">
        <x:v>تطبیق احتمالی با پایه</x:v>
      </x:c>
      <x:c r="L544" s="39" t="str">
        <x:v>MI-1513</x:v>
      </x:c>
      <x:c r="M544" s="39" t="str">
        <x:v>تولید و کارآفرینی: توانایی تولید محصول و خدمات و ایجاد شغل.</x:v>
      </x:c>
      <x:c r="N544" s="39" t="str">
        <x:v>1154878548.docx::P861.1</x:v>
      </x:c>
      <x:c r="O544" s="39"/>
    </x:row>
    <x:row r="545">
      <x:c r="A545" s="34" t="str">
        <x:v>☐</x:v>
      </x:c>
      <x:c r="B545" s="34" t="str">
        <x:v>EX-0517</x:v>
      </x:c>
      <x:c r="C545" s="34" t="str">
        <x:v>تاریخچه و حافظه تشکیلاتی</x:v>
      </x:c>
      <x:c r="D545" s="34" t="str">
        <x:v>POSSIBLE</x:v>
      </x:c>
      <x:c r="E545" s="34" t="str">
        <x:v>85.5</x:v>
      </x:c>
      <x:c r="F545" s="34" t="str">
        <x:v>MI-1513</x:v>
      </x:c>
      <x:c r="G545" s="39" t="str">
        <x:v>تولید و کارآفرینی: توانایی تولید محصول و خدمات و ایجاد شغل.</x:v>
      </x:c>
      <x:c r="H545" s="39" t="str">
        <x:v>H1</x:v>
      </x:c>
      <x:c r="I545" s="39" t="str">
        <x:v>P0</x:v>
      </x:c>
      <x:c r="J545" s="39" t="str">
        <x:v>H1</x:v>
      </x:c>
      <x:c r="K545" s="39" t="str">
        <x:v>تطبیق احتمالی با پایه</x:v>
      </x:c>
      <x:c r="L545" s="39" t="str">
        <x:v>MI-1513</x:v>
      </x:c>
      <x:c r="M545" s="39" t="str">
        <x:v>تولید و کارآفرینی: توانایی تولید محصول و خدمات و ایجاد شغل.</x:v>
      </x:c>
      <x:c r="N545" s="39" t="str">
        <x:v>1154878548.docx::P862.1</x:v>
      </x:c>
      <x:c r="O545" s="39"/>
    </x:row>
    <x:row r="546">
      <x:c r="A546" s="34" t="str">
        <x:v>☐</x:v>
      </x:c>
      <x:c r="B546" s="34" t="str">
        <x:v>EX-0518</x:v>
      </x:c>
      <x:c r="C546" s="34" t="str">
        <x:v>همکاری، تقسیم کار، پرهیز از موازیکاری</x:v>
      </x:c>
      <x:c r="D546" s="34" t="str">
        <x:v>POSSIBLE</x:v>
      </x:c>
      <x:c r="E546" s="34" t="str">
        <x:v>90.0</x:v>
      </x:c>
      <x:c r="F546" s="34" t="str">
        <x:v>MI-1810</x:v>
      </x:c>
      <x:c r="G546" s="39" t="str">
        <x:v>همکاری</x:v>
      </x:c>
      <x:c r="H546" s="39" t="str">
        <x:v>H20</x:v>
      </x:c>
      <x:c r="I546" s="39" t="str">
        <x:v>P3/CLARIFY</x:v>
      </x:c>
      <x:c r="J546" s="39" t="str">
        <x:v>H20</x:v>
      </x:c>
      <x:c r="K546" s="39" t="str">
        <x:v>تطبیق احتمالی با پایه</x:v>
      </x:c>
      <x:c r="L546" s="39" t="str">
        <x:v>MI-1810</x:v>
      </x:c>
      <x:c r="M546" s="39" t="str">
        <x:v>همکاری</x:v>
      </x:c>
      <x:c r="N546" s="39" t="str">
        <x:v>1154878548.docx::P863.1</x:v>
      </x:c>
      <x:c r="O546" s="39"/>
    </x:row>
    <x:row r="547">
      <x:c r="A547" s="34" t="str">
        <x:v>☐</x:v>
      </x:c>
      <x:c r="B547" s="34" t="str">
        <x:v>EX-0519</x:v>
      </x:c>
      <x:c r="C547" s="34" t="str">
        <x:v>سؤال محوری: «چه بازیگرانی داریم و چطور به هم وصلاند؟»</x:v>
      </x:c>
      <x:c r="D547" s="34" t="str">
        <x:v>POSSIBLE</x:v>
      </x:c>
      <x:c r="E547" s="34" t="str">
        <x:v>85.5</x:v>
      </x:c>
      <x:c r="F547" s="34" t="str">
        <x:v>MI-0029</x:v>
      </x:c>
      <x:c r="G547" s="39" t="str">
        <x:v>تدریس ریاضی و فیزیک</x:v>
      </x:c>
      <x:c r="H547" s="39" t="str">
        <x:v>H1</x:v>
      </x:c>
      <x:c r="I547" s="39" t="str">
        <x:v>P0</x:v>
      </x:c>
      <x:c r="J547" s="39" t="str">
        <x:v>H1</x:v>
      </x:c>
      <x:c r="K547" s="39" t="str">
        <x:v>تطبیق احتمالی با پایه</x:v>
      </x:c>
      <x:c r="L547" s="39" t="str">
        <x:v>MI-0029</x:v>
      </x:c>
      <x:c r="M547" s="39" t="str">
        <x:v>تدریس ریاضی و فیزیک</x:v>
      </x:c>
      <x:c r="N547" s="39" t="str">
        <x:v>1154878548.docx::P864.1</x:v>
      </x:c>
      <x:c r="O547" s="39"/>
    </x:row>
    <x:row r="548">
      <x:c r="A548" s="34" t="str">
        <x:v>☐</x:v>
      </x:c>
      <x:c r="B548" s="34" t="str">
        <x:v>EX-0520</x:v>
      </x:c>
      <x:c r="C548" s="34" t="str">
        <x:v>5. آموزش و تجربه یادگیری</x:v>
      </x:c>
      <x:c r="D548" s="34" t="str">
        <x:v>POSSIBLE</x:v>
      </x:c>
      <x:c r="E548" s="34" t="str">
        <x:v>90.0</x:v>
      </x:c>
      <x:c r="F548" s="34" t="str">
        <x:v>MI-2601</x:v>
      </x:c>
      <x:c r="G548" s="39" t="str">
        <x:v>آموزش:</x:v>
      </x:c>
      <x:c r="H548" s="39" t="str">
        <x:v>H20</x:v>
      </x:c>
      <x:c r="I548" s="39" t="str">
        <x:v>P3/CLARIFY</x:v>
      </x:c>
      <x:c r="J548" s="39" t="str">
        <x:v>H20</x:v>
      </x:c>
      <x:c r="K548" s="39" t="str">
        <x:v>تطبیق احتمالی با پایه</x:v>
      </x:c>
      <x:c r="L548" s="39" t="str">
        <x:v>MI-2601</x:v>
      </x:c>
      <x:c r="M548" s="39" t="str">
        <x:v>آموزش:</x:v>
      </x:c>
      <x:c r="N548" s="39" t="str">
        <x:v>1154878548.docx::P865.1</x:v>
      </x:c>
      <x:c r="O548" s="39"/>
    </x:row>
    <x:row r="549">
      <x:c r="A549" s="34" t="str">
        <x:v>☐</x:v>
      </x:c>
      <x:c r="B549" s="34" t="str">
        <x:v>EX-0521</x:v>
      </x:c>
      <x:c r="C549" s="34" t="str">
        <x:v>فرآیندهای آموزشی رسمی (حذف، انتخاب واحد، حل تمرین)</x:v>
      </x:c>
      <x:c r="D549" s="34" t="str">
        <x:v>POSSIBLE</x:v>
      </x:c>
      <x:c r="E549" s="34" t="str">
        <x:v>90.0</x:v>
      </x:c>
      <x:c r="F549" s="34" t="str">
        <x:v>MI-1900</x:v>
      </x:c>
      <x:c r="G549" s="39" t="str">
        <x:v>آموزشی رسمی</x:v>
      </x:c>
      <x:c r="H549" s="39" t="str">
        <x:v>H20</x:v>
      </x:c>
      <x:c r="I549" s="39" t="str">
        <x:v>P3/CLARIFY</x:v>
      </x:c>
      <x:c r="J549" s="39" t="str">
        <x:v>H20</x:v>
      </x:c>
      <x:c r="K549" s="39" t="str">
        <x:v>تطبیق احتمالی با پایه</x:v>
      </x:c>
      <x:c r="L549" s="39" t="str">
        <x:v>MI-1900</x:v>
      </x:c>
      <x:c r="M549" s="39" t="str">
        <x:v>آموزشی رسمی</x:v>
      </x:c>
      <x:c r="N549" s="39" t="str">
        <x:v>1154878548.docx::P867.1</x:v>
      </x:c>
      <x:c r="O549" s="39"/>
    </x:row>
    <x:row r="550">
      <x:c r="A550" s="34" t="str">
        <x:v>☐</x:v>
      </x:c>
      <x:c r="B550" s="34" t="str">
        <x:v>EX-0522</x:v>
      </x:c>
      <x:c r="C550" s="34" t="str">
        <x:v>راهنمایی و پشتیبانی آموزشی</x:v>
      </x:c>
      <x:c r="D550" s="34" t="str">
        <x:v>POSSIBLE</x:v>
      </x:c>
      <x:c r="E550" s="34" t="str">
        <x:v>90.0</x:v>
      </x:c>
      <x:c r="F550" s="34" t="str">
        <x:v>MI-2601</x:v>
      </x:c>
      <x:c r="G550" s="39" t="str">
        <x:v>آموزش:</x:v>
      </x:c>
      <x:c r="H550" s="39" t="str">
        <x:v>H20</x:v>
      </x:c>
      <x:c r="I550" s="39" t="str">
        <x:v>P3/CLARIFY</x:v>
      </x:c>
      <x:c r="J550" s="39" t="str">
        <x:v>H20</x:v>
      </x:c>
      <x:c r="K550" s="39" t="str">
        <x:v>تطبیق احتمالی با پایه</x:v>
      </x:c>
      <x:c r="L550" s="39" t="str">
        <x:v>MI-2601</x:v>
      </x:c>
      <x:c r="M550" s="39" t="str">
        <x:v>آموزش:</x:v>
      </x:c>
      <x:c r="N550" s="39" t="str">
        <x:v>1154878548.docx::P868.1</x:v>
      </x:c>
      <x:c r="O550" s="39"/>
    </x:row>
    <x:row r="551">
      <x:c r="A551" s="34" t="str">
        <x:v>☐</x:v>
      </x:c>
      <x:c r="B551" s="34" t="str">
        <x:v>EX-0523</x:v>
      </x:c>
      <x:c r="C551" s="34" t="str">
        <x:v>مرکز آموزشی دانشجومحور</x:v>
      </x:c>
      <x:c r="D551" s="34" t="str">
        <x:v>POSSIBLE</x:v>
      </x:c>
      <x:c r="E551" s="34" t="str">
        <x:v>90.0</x:v>
      </x:c>
      <x:c r="F551" s="34" t="str">
        <x:v>MI-2601</x:v>
      </x:c>
      <x:c r="G551" s="39" t="str">
        <x:v>آموزش:</x:v>
      </x:c>
      <x:c r="H551" s="39" t="str">
        <x:v>H20</x:v>
      </x:c>
      <x:c r="I551" s="39" t="str">
        <x:v>P3/CLARIFY</x:v>
      </x:c>
      <x:c r="J551" s="39" t="str">
        <x:v>H20</x:v>
      </x:c>
      <x:c r="K551" s="39" t="str">
        <x:v>تطبیق احتمالی با پایه</x:v>
      </x:c>
      <x:c r="L551" s="39" t="str">
        <x:v>MI-2601</x:v>
      </x:c>
      <x:c r="M551" s="39" t="str">
        <x:v>آموزش:</x:v>
      </x:c>
      <x:c r="N551" s="39" t="str">
        <x:v>1154878548.docx::P869.1</x:v>
      </x:c>
      <x:c r="O551" s="39"/>
    </x:row>
    <x:row r="552">
      <x:c r="A552" s="34" t="str">
        <x:v>☐</x:v>
      </x:c>
      <x:c r="B552" s="34" t="str">
        <x:v>EX-0524</x:v>
      </x:c>
      <x:c r="C552" s="34" t="str">
        <x:v>هدایت تحصیلی و پای:** «این فکر و عمل چگونه دیده و فهمیده میشود؟»</x:v>
      </x:c>
      <x:c r="D552" s="34" t="str">
        <x:v>POSSIBLE</x:v>
      </x:c>
      <x:c r="E552" s="34" t="str">
        <x:v>90.0</x:v>
      </x:c>
      <x:c r="F552" s="34" t="str">
        <x:v>MI-1059</x:v>
      </x:c>
      <x:c r="G552" s="39" t="str">
        <x:v>هدایت تحصیلی</x:v>
      </x:c>
      <x:c r="H552" s="39" t="str">
        <x:v>H11</x:v>
      </x:c>
      <x:c r="I552" s="39" t="str">
        <x:v>DELEGATE/P2</x:v>
      </x:c>
      <x:c r="J552" s="39" t="str">
        <x:v>H11</x:v>
      </x:c>
      <x:c r="K552" s="39" t="str">
        <x:v>تطبیق احتمالی با پایه</x:v>
      </x:c>
      <x:c r="L552" s="39" t="str">
        <x:v>MI-1059</x:v>
      </x:c>
      <x:c r="M552" s="39" t="str">
        <x:v>هدایت تحصیلی</x:v>
      </x:c>
      <x:c r="N552" s="39" t="str">
        <x:v>1154878548.docx::P870.1</x:v>
      </x:c>
      <x:c r="O552" s="39"/>
    </x:row>
    <x:row r="553">
      <x:c r="A553" s="34" t="str">
        <x:v>☐</x:v>
      </x:c>
      <x:c r="B553" s="34" t="str">
        <x:v>EX-0525</x:v>
      </x:c>
      <x:c r="C553" s="34" t="str">
        <x:v>سؤال محوری: «دانشجو چطور یاد میگیرد؟»</x:v>
      </x:c>
      <x:c r="D553" s="34" t="str">
        <x:v>POSSIBLE</x:v>
      </x:c>
      <x:c r="E553" s="34" t="str">
        <x:v>85.5</x:v>
      </x:c>
      <x:c r="F553" s="34" t="str">
        <x:v>MI-1576</x:v>
      </x:c>
      <x:c r="G553" s="39" t="str">
        <x:v>در این میان میشه از سیستمی جهت پایش افراد با استعداد یابی های هوشمند استفاده کرد برای معرفی شغلی یا پروژه یا مهارت نرم بره یاد بگیره یا مهارت سخت</x:v>
      </x:c>
      <x:c r="H553" s="39" t="str">
        <x:v>H3</x:v>
      </x:c>
      <x:c r="I553" s="39" t="str">
        <x:v>P3/CLARIFY</x:v>
      </x:c>
      <x:c r="J553" s="39" t="str">
        <x:v>H3</x:v>
      </x:c>
      <x:c r="K553" s="39" t="str">
        <x:v>تطبیق احتمالی با پایه</x:v>
      </x:c>
      <x:c r="L553" s="39" t="str">
        <x:v>MI-1576</x:v>
      </x:c>
      <x:c r="M553" s="39" t="str">
        <x:v>در این میان میشه از سیستمی جهت پایش افراد با استعداد یابی های هوشمند استفاده کرد برای معرفی شغلی یا پروژه یا مهارت نرم بره یاد بگیره یا مهارت سخت</x:v>
      </x:c>
      <x:c r="N553" s="39" t="str">
        <x:v>1154878548.docx::P878.1</x:v>
      </x:c>
      <x:c r="O553" s="39"/>
    </x:row>
    <x:row r="554">
      <x:c r="A554" s="34" t="str">
        <x:v>☐</x:v>
      </x:c>
      <x:c r="B554" s="34" t="str">
        <x:v>EX-0526</x:v>
      </x:c>
      <x:c r="C554" s="34" t="str">
        <x:v>6. مهارت، اشتغال و آینده</x:v>
      </x:c>
      <x:c r="D554" s="34" t="str">
        <x:v>POSSIBLE</x:v>
      </x:c>
      <x:c r="E554" s="34" t="str">
        <x:v>90.0</x:v>
      </x:c>
      <x:c r="F554" s="34" t="str">
        <x:v>MI-2681</x:v>
      </x:c>
      <x:c r="G554" s="39" t="str">
        <x:v>اشتغال</x:v>
      </x:c>
      <x:c r="H554" s="39" t="str">
        <x:v>H20</x:v>
      </x:c>
      <x:c r="I554" s="39" t="str">
        <x:v>P3/CLARIFY</x:v>
      </x:c>
      <x:c r="J554" s="39" t="str">
        <x:v>H20</x:v>
      </x:c>
      <x:c r="K554" s="39" t="str">
        <x:v>تطبیق احتمالی با پایه</x:v>
      </x:c>
      <x:c r="L554" s="39" t="str">
        <x:v>MI-2681</x:v>
      </x:c>
      <x:c r="M554" s="39" t="str">
        <x:v>اشتغال</x:v>
      </x:c>
      <x:c r="N554" s="39" t="str">
        <x:v>1154878548.docx::P879.1</x:v>
      </x:c>
      <x:c r="O554" s="39"/>
    </x:row>
    <x:row r="555">
      <x:c r="A555" s="34" t="str">
        <x:v>☐</x:v>
      </x:c>
      <x:c r="B555" s="34" t="str">
        <x:v>EX-0527</x:v>
      </x:c>
      <x:c r="C555" s="34" t="str">
        <x:v>بوتکمپها و کارگاههای مهارتی</x:v>
      </x:c>
      <x:c r="D555" s="34" t="str">
        <x:v>POSSIBLE</x:v>
      </x:c>
      <x:c r="E555" s="34" t="str">
        <x:v>90.0</x:v>
      </x:c>
      <x:c r="F555" s="34" t="str">
        <x:v>MI-0271</x:v>
      </x:c>
      <x:c r="G555" s="39" t="str">
        <x:v>بوتکمپ</x:v>
      </x:c>
      <x:c r="H555" s="39" t="str">
        <x:v>H10</x:v>
      </x:c>
      <x:c r="I555" s="39" t="str">
        <x:v>P2</x:v>
      </x:c>
      <x:c r="J555" s="39" t="str">
        <x:v>H10</x:v>
      </x:c>
      <x:c r="K555" s="39" t="str">
        <x:v>تطبیق احتمالی با پایه</x:v>
      </x:c>
      <x:c r="L555" s="39" t="str">
        <x:v>MI-0271</x:v>
      </x:c>
      <x:c r="M555" s="39" t="str">
        <x:v>بوتکمپ</x:v>
      </x:c>
      <x:c r="N555" s="39" t="str">
        <x:v>1154878548.docx::P881.1</x:v>
      </x:c>
      <x:c r="O555" s="39"/>
    </x:row>
    <x:row r="556">
      <x:c r="A556" s="34" t="str">
        <x:v>☐</x:v>
      </x:c>
      <x:c r="B556" s="34" t="str">
        <x:v>EX-0528</x:v>
      </x:c>
      <x:c r="C556" s="34" t="str">
        <x:v>تحلیل بازار کار و آگهیهای استخدام</x:v>
      </x:c>
      <x:c r="D556" s="34" t="str">
        <x:v>POSSIBLE</x:v>
      </x:c>
      <x:c r="E556" s="34" t="str">
        <x:v>90.0</x:v>
      </x:c>
      <x:c r="F556" s="34" t="str">
        <x:v>MI-2390</x:v>
      </x:c>
      <x:c r="G556" s="39" t="str">
        <x:v>بازار</x:v>
      </x:c>
      <x:c r="H556" s="39" t="str">
        <x:v>H20</x:v>
      </x:c>
      <x:c r="I556" s="39" t="str">
        <x:v>P3/CLARIFY</x:v>
      </x:c>
      <x:c r="J556" s="39" t="str">
        <x:v>H20</x:v>
      </x:c>
      <x:c r="K556" s="39" t="str">
        <x:v>تطبیق احتمالی با پایه</x:v>
      </x:c>
      <x:c r="L556" s="39" t="str">
        <x:v>MI-2390</x:v>
      </x:c>
      <x:c r="M556" s="39" t="str">
        <x:v>بازار</x:v>
      </x:c>
      <x:c r="N556" s="39" t="str">
        <x:v>1154878548.docx::P882.1</x:v>
      </x:c>
      <x:c r="O556" s="39"/>
    </x:row>
    <x:row r="557">
      <x:c r="A557" s="34" t="str">
        <x:v>☐</x:v>
      </x:c>
      <x:c r="B557" s="34" t="str">
        <x:v>EX-0529</x:v>
      </x:c>
      <x:c r="C557" s="34" t="str">
        <x:v>ارتباط با اساتید و انجمنها برای مهارت</x:v>
      </x:c>
      <x:c r="D557" s="34" t="str">
        <x:v>POSSIBLE</x:v>
      </x:c>
      <x:c r="E557" s="34" t="str">
        <x:v>85.5</x:v>
      </x:c>
      <x:c r="F557" s="34" t="str">
        <x:v>MI-1501</x:v>
      </x:c>
      <x:c r="G557" s="39" t="str">
        <x:v>مدیریت ریسک: شناسایی ریسک ها، ارزیابی اثرات، تدوین برنامه های مقابله با ریسک ها.</x:v>
      </x:c>
      <x:c r="H557" s="39" t="str">
        <x:v>H1</x:v>
      </x:c>
      <x:c r="I557" s="39" t="str">
        <x:v>P0</x:v>
      </x:c>
      <x:c r="J557" s="39" t="str">
        <x:v>H1</x:v>
      </x:c>
      <x:c r="K557" s="39" t="str">
        <x:v>تطبیق احتمالی با پایه</x:v>
      </x:c>
      <x:c r="L557" s="39" t="str">
        <x:v>MI-1501</x:v>
      </x:c>
      <x:c r="M557" s="39" t="str">
        <x:v>مدیریت ریسک: شناسایی ریسک ها، ارزیابی اثرات، تدوین برنامه های مقابله با ریسک ها.</x:v>
      </x:c>
      <x:c r="N557" s="39" t="str">
        <x:v>1154878548.docx::P883.1</x:v>
      </x:c>
      <x:c r="O557" s="39"/>
    </x:row>
    <x:row r="558">
      <x:c r="A558" s="34" t="str">
        <x:v>☐</x:v>
      </x:c>
      <x:c r="B558" s="34" t="str">
        <x:v>EX-0530</x:v>
      </x:c>
      <x:c r="C558" s="34" t="str">
        <x:v>رزومه، گواهی، مسیر شغلی</x:v>
      </x:c>
      <x:c r="D558" s="34" t="str">
        <x:v>POSSIBLE</x:v>
      </x:c>
      <x:c r="E558" s="34" t="str">
        <x:v>85.5</x:v>
      </x:c>
      <x:c r="F558" s="34" t="str">
        <x:v>MI-0272</x:v>
      </x:c>
      <x:c r="G558" s="39" t="str">
        <x:v>بررسی تمامی شاخه های تحصیلی و کارگاه ها و نرم افزار و سخت افزار های جامع و بررسی فرصت های شغلی با بیشترین اشتراکات حرفه ها و گواهی ها و رزومه ها</x:v>
      </x:c>
      <x:c r="H558" s="39" t="str">
        <x:v>H3</x:v>
      </x:c>
      <x:c r="I558" s="39" t="str">
        <x:v>P0/P1</x:v>
      </x:c>
      <x:c r="J558" s="39" t="str">
        <x:v>H3</x:v>
      </x:c>
      <x:c r="K558" s="39" t="str">
        <x:v>تطبیق احتمالی با پایه</x:v>
      </x:c>
      <x:c r="L558" s="39" t="str">
        <x:v>MI-0272</x:v>
      </x:c>
      <x:c r="M558" s="39" t="str">
        <x:v>بررسی تمامی شاخه های تحصیلی و کارگاه ها و نرم افزار و سخت افزار های جامع و بررسی فرصت های شغلی با بیشترین اشتراکات حرفه ها و گواهی ها و رزومه ها</x:v>
      </x:c>
      <x:c r="N558" s="39" t="str">
        <x:v>1154878548.docx::P884.1</x:v>
      </x:c>
      <x:c r="O558" s="39"/>
    </x:row>
    <x:row r="559">
      <x:c r="A559" s="34" t="str">
        <x:v>☐</x:v>
      </x:c>
      <x:c r="B559" s="34" t="str">
        <x:v>EX-0531</x:v>
      </x:c>
      <x:c r="C559" s="34" t="str">
        <x:v>نوآوری، استارتاپ، پروژههای میدانی</x:v>
      </x:c>
      <x:c r="D559" s="34" t="str">
        <x:v>POSSIBLE</x:v>
      </x:c>
      <x:c r="E559" s="34" t="str">
        <x:v>90.0</x:v>
      </x:c>
      <x:c r="F559" s="34" t="str">
        <x:v>MI-2682</x:v>
      </x:c>
      <x:c r="G559" s="39" t="str">
        <x:v>نوآوری</x:v>
      </x:c>
      <x:c r="H559" s="39" t="str">
        <x:v>H20</x:v>
      </x:c>
      <x:c r="I559" s="39" t="str">
        <x:v>P3/CLARIFY</x:v>
      </x:c>
      <x:c r="J559" s="39" t="str">
        <x:v>H20</x:v>
      </x:c>
      <x:c r="K559" s="39" t="str">
        <x:v>تطبیق احتمالی با پایه</x:v>
      </x:c>
      <x:c r="L559" s="39" t="str">
        <x:v>MI-2682</x:v>
      </x:c>
      <x:c r="M559" s="39" t="str">
        <x:v>نوآوری</x:v>
      </x:c>
      <x:c r="N559" s="39" t="str">
        <x:v>1154878548.docx::P885.1</x:v>
      </x:c>
      <x:c r="O559" s="39"/>
    </x:row>
    <x:row r="560">
      <x:c r="A560" s="34" t="str">
        <x:v>☐</x:v>
      </x:c>
      <x:c r="B560" s="34" t="str">
        <x:v>EX-0532</x:v>
      </x:c>
      <x:c r="C560" s="34" t="str">
        <x:v>سؤال محوری: «دانشجو بعد از دانشگاه چه میشود؟»</x:v>
      </x:c>
      <x:c r="D560" s="34" t="str">
        <x:v>POSSIBLE</x:v>
      </x:c>
      <x:c r="E560" s="34" t="str">
        <x:v>85.5</x:v>
      </x:c>
      <x:c r="F560" s="34" t="str">
        <x:v>MI-1457</x:v>
      </x:c>
      <x:c r="G560" s="39" t="str">
        <x:v>سلامت جسمانی: تغذیه سالم، ورزش منظم، خواب کافی، پیشگیری از بیماری ها.</x:v>
      </x:c>
      <x:c r="H560" s="39" t="str">
        <x:v>H1</x:v>
      </x:c>
      <x:c r="I560" s="39" t="str">
        <x:v>P0</x:v>
      </x:c>
      <x:c r="J560" s="39" t="str">
        <x:v>H1</x:v>
      </x:c>
      <x:c r="K560" s="39" t="str">
        <x:v>تطبیق احتمالی با پایه</x:v>
      </x:c>
      <x:c r="L560" s="39" t="str">
        <x:v>MI-1457</x:v>
      </x:c>
      <x:c r="M560" s="39" t="str">
        <x:v>سلامت جسمانی: تغذیه سالم، ورزش منظم، خواب کافی، پیشگیری از بیماری ها.</x:v>
      </x:c>
      <x:c r="N560" s="39" t="str">
        <x:v>1154878548.docx::P886.1</x:v>
      </x:c>
      <x:c r="O560" s="39"/>
    </x:row>
    <x:row r="561">
      <x:c r="A561" s="34" t="str">
        <x:v>☐</x:v>
      </x:c>
      <x:c r="B561" s="34" t="str">
        <x:v>EX-0533</x:v>
      </x:c>
      <x:c r="C561" s="34" t="str">
        <x:v>7. تحلیل، داده و نیازسنجی</x:v>
      </x:c>
      <x:c r="D561" s="34" t="str">
        <x:v>POSSIBLE</x:v>
      </x:c>
      <x:c r="E561" s="34" t="str">
        <x:v>85.5</x:v>
      </x:c>
      <x:c r="F561" s="34" t="str">
        <x:v>MI-1513</x:v>
      </x:c>
      <x:c r="G561" s="39" t="str">
        <x:v>تولید و کارآفرینی: توانایی تولید محصول و خدمات و ایجاد شغل.</x:v>
      </x:c>
      <x:c r="H561" s="39" t="str">
        <x:v>H1</x:v>
      </x:c>
      <x:c r="I561" s="39" t="str">
        <x:v>P0</x:v>
      </x:c>
      <x:c r="J561" s="39" t="str">
        <x:v>H1</x:v>
      </x:c>
      <x:c r="K561" s="39" t="str">
        <x:v>تطبیق احتمالی با پایه</x:v>
      </x:c>
      <x:c r="L561" s="39" t="str">
        <x:v>MI-1513</x:v>
      </x:c>
      <x:c r="M561" s="39" t="str">
        <x:v>تولید و کارآفرینی: توانایی تولید محصول و خدمات و ایجاد شغل.</x:v>
      </x:c>
      <x:c r="N561" s="39" t="str">
        <x:v>1154878548.docx::P887.1</x:v>
      </x:c>
      <x:c r="O561" s="39"/>
    </x:row>
    <x:row r="562">
      <x:c r="A562" s="34" t="str">
        <x:v>☐</x:v>
      </x:c>
      <x:c r="B562" s="34" t="str">
        <x:v>EX-0534</x:v>
      </x:c>
      <x:c r="C562" s="34" t="str">
        <x:v>نیازسنجی (اقتصادی، صنفی، فرهنگی، رفاهی، تفریحی)</x:v>
      </x:c>
      <x:c r="D562" s="34" t="str">
        <x:v>POSSIBLE</x:v>
      </x:c>
      <x:c r="E562" s="34" t="str">
        <x:v>90.0</x:v>
      </x:c>
      <x:c r="F562" s="34" t="str">
        <x:v>MI-0289</x:v>
      </x:c>
      <x:c r="G562" s="39" t="str">
        <x:v>فرهنگی</x:v>
      </x:c>
      <x:c r="H562" s="39" t="str">
        <x:v>H15</x:v>
      </x:c>
      <x:c r="I562" s="39" t="str">
        <x:v>P3/CLARIFY</x:v>
      </x:c>
      <x:c r="J562" s="39" t="str">
        <x:v>H15</x:v>
      </x:c>
      <x:c r="K562" s="39" t="str">
        <x:v>تطبیق احتمالی با پایه</x:v>
      </x:c>
      <x:c r="L562" s="39" t="str">
        <x:v>MI-0289</x:v>
      </x:c>
      <x:c r="M562" s="39" t="str">
        <x:v>فرهنگی</x:v>
      </x:c>
      <x:c r="N562" s="39" t="str">
        <x:v>1154878548.docx::P889.1</x:v>
      </x:c>
      <x:c r="O562" s="39"/>
    </x:row>
    <x:row r="563">
      <x:c r="A563" s="34" t="str">
        <x:v>☐</x:v>
      </x:c>
      <x:c r="B563" s="34" t="str">
        <x:v>EX-0535</x:v>
      </x:c>
      <x:c r="C563" s="34" t="str">
        <x:v>تحلیل جریانها</x:v>
      </x:c>
      <x:c r="D563" s="34" t="str">
        <x:v>POSSIBLE</x:v>
      </x:c>
      <x:c r="E563" s="34" t="str">
        <x:v>85.5</x:v>
      </x:c>
      <x:c r="F563" s="34" t="str">
        <x:v>MI-0213</x:v>
      </x:c>
      <x:c r="G563" s="39" t="str">
        <x:v>دیجیتال مارکتینگ و تحلیل بازار</x:v>
      </x:c>
      <x:c r="H563" s="39" t="str">
        <x:v>H8</x:v>
      </x:c>
      <x:c r="I563" s="39" t="str">
        <x:v>P2</x:v>
      </x:c>
      <x:c r="J563" s="39" t="str">
        <x:v>H8</x:v>
      </x:c>
      <x:c r="K563" s="39" t="str">
        <x:v>تطبیق احتمالی با پایه</x:v>
      </x:c>
      <x:c r="L563" s="39" t="str">
        <x:v>MI-0213</x:v>
      </x:c>
      <x:c r="M563" s="39" t="str">
        <x:v>دیجیتال مارکتینگ و تحلیل بازار</x:v>
      </x:c>
      <x:c r="N563" s="39" t="str">
        <x:v>1154878548.docx::P890.1</x:v>
      </x:c>
      <x:c r="O563" s="39"/>
    </x:row>
    <x:row r="564">
      <x:c r="A564" s="34" t="str">
        <x:v>☐</x:v>
      </x:c>
      <x:c r="B564" s="34" t="str">
        <x:v>EX-0536</x:v>
      </x:c>
      <x:c r="C564" s="34" t="str">
        <x:v>پایش وضعیت دانشگاه</x:v>
      </x:c>
      <x:c r="D564" s="34" t="str">
        <x:v>POSSIBLE</x:v>
      </x:c>
      <x:c r="E564" s="34" t="str">
        <x:v>90.0</x:v>
      </x:c>
      <x:c r="F564" s="34" t="str">
        <x:v>MI-2622</x:v>
      </x:c>
      <x:c r="G564" s="39" t="str">
        <x:v>دانش</x:v>
      </x:c>
      <x:c r="H564" s="39" t="str">
        <x:v>H20</x:v>
      </x:c>
      <x:c r="I564" s="39" t="str">
        <x:v>P3/CLARIFY</x:v>
      </x:c>
      <x:c r="J564" s="39" t="str">
        <x:v>H20</x:v>
      </x:c>
      <x:c r="K564" s="39" t="str">
        <x:v>تطبیق احتمالی با پایه</x:v>
      </x:c>
      <x:c r="L564" s="39" t="str">
        <x:v>MI-2622</x:v>
      </x:c>
      <x:c r="M564" s="39" t="str">
        <x:v>دانش</x:v>
      </x:c>
      <x:c r="N564" s="39" t="str">
        <x:v>1154878548.docx::P892.1</x:v>
      </x:c>
      <x:c r="O564" s="39"/>
    </x:row>
    <x:row r="565">
      <x:c r="A565" s="34" t="str">
        <x:v>☐</x:v>
      </x:c>
      <x:c r="B565" s="34" t="str">
        <x:v>EX-0537</x:v>
      </x:c>
      <x:c r="C565" s="34" t="str">
        <x:v>تولید داده برای حکمرانیش وضعیت</x:v>
      </x:c>
      <x:c r="D565" s="34" t="str">
        <x:v>POSSIBLE</x:v>
      </x:c>
      <x:c r="E565" s="34" t="str">
        <x:v>90.0</x:v>
      </x:c>
      <x:c r="F565" s="34" t="str">
        <x:v>MI-2268</x:v>
      </x:c>
      <x:c r="G565" s="39" t="str">
        <x:v>برای:</x:v>
      </x:c>
      <x:c r="H565" s="39" t="str">
        <x:v>H20</x:v>
      </x:c>
      <x:c r="I565" s="39" t="str">
        <x:v>P3/CLARIFY</x:v>
      </x:c>
      <x:c r="J565" s="39" t="str">
        <x:v>H20</x:v>
      </x:c>
      <x:c r="K565" s="39" t="str">
        <x:v>تطبیق احتمالی با پایه</x:v>
      </x:c>
      <x:c r="L565" s="39" t="str">
        <x:v>MI-2268</x:v>
      </x:c>
      <x:c r="M565" s="39" t="str">
        <x:v>برای:</x:v>
      </x:c>
      <x:c r="N565" s="39" t="str">
        <x:v>1154878548.docx::P893.1</x:v>
      </x:c>
      <x:c r="O565" s="39"/>
    </x:row>
    <x:row r="566">
      <x:c r="A566" s="34" t="str">
        <x:v>☐</x:v>
      </x:c>
      <x:c r="B566" s="34" t="str">
        <x:v>EX-0538</x:v>
      </x:c>
      <x:c r="C566" s="34" t="str">
        <x:v>ارتباط آموزش با تجربه واقعی یادگیری</x:v>
      </x:c>
      <x:c r="D566" s="34" t="str">
        <x:v>POSSIBLE</x:v>
      </x:c>
      <x:c r="E566" s="34" t="str">
        <x:v>90.0</x:v>
      </x:c>
      <x:c r="F566" s="34" t="str">
        <x:v>MI-2601</x:v>
      </x:c>
      <x:c r="G566" s="39" t="str">
        <x:v>آموزش:</x:v>
      </x:c>
      <x:c r="H566" s="39" t="str">
        <x:v>H20</x:v>
      </x:c>
      <x:c r="I566" s="39" t="str">
        <x:v>P3/CLARIFY</x:v>
      </x:c>
      <x:c r="J566" s="39" t="str">
        <x:v>H20</x:v>
      </x:c>
      <x:c r="K566" s="39" t="str">
        <x:v>تطبیق احتمالی با پایه</x:v>
      </x:c>
      <x:c r="L566" s="39" t="str">
        <x:v>MI-2601</x:v>
      </x:c>
      <x:c r="M566" s="39" t="str">
        <x:v>آموزش:</x:v>
      </x:c>
      <x:c r="N566" s="39" t="str">
        <x:v>1154878548.docx::P894.1</x:v>
      </x:c>
      <x:c r="O566" s="39"/>
    </x:row>
    <x:row r="567">
      <x:c r="A567" s="34" t="str">
        <x:v>☐</x:v>
      </x:c>
      <x:c r="B567" s="34" t="str">
        <x:v>EX-0539</x:v>
      </x:c>
      <x:c r="C567" s="34" t="str">
        <x:v>سؤال محوری: «تصمیمها بر چه دادهای سوارند؟»</x:v>
      </x:c>
      <x:c r="D567" s="34" t="str">
        <x:v>POSSIBLE</x:v>
      </x:c>
      <x:c r="E567" s="34" t="str">
        <x:v>85.5</x:v>
      </x:c>
      <x:c r="F567" s="34" t="str">
        <x:v>MI-1508</x:v>
      </x:c>
      <x:c r="G567" s="39" t="str">
        <x:v>مهارت های فنی: تسلط بر نرم افزارهای تخصصی، ابزارهای مهندسی، تکنولوژی های جدید.</x:v>
      </x:c>
      <x:c r="H567" s="39" t="str">
        <x:v>H1</x:v>
      </x:c>
      <x:c r="I567" s="39" t="str">
        <x:v>P0</x:v>
      </x:c>
      <x:c r="J567" s="39" t="str">
        <x:v>H1</x:v>
      </x:c>
      <x:c r="K567" s="39" t="str">
        <x:v>تطبیق احتمالی با پایه</x:v>
      </x:c>
      <x:c r="L567" s="39" t="str">
        <x:v>MI-1508</x:v>
      </x:c>
      <x:c r="M567" s="39" t="str">
        <x:v>مهارت های فنی: تسلط بر نرم افزارهای تخصصی، ابزارهای مهندسی، تکنولوژی های جدید.</x:v>
      </x:c>
      <x:c r="N567" s="39" t="str">
        <x:v>1154878548.docx::P896.1</x:v>
      </x:c>
      <x:c r="O567" s="39"/>
    </x:row>
    <x:row r="568">
      <x:c r="A568" s="34" t="str">
        <x:v>☐</x:v>
      </x:c>
      <x:c r="B568" s="34" t="str">
        <x:v>EX-0540</x:v>
      </x:c>
      <x:c r="C568" s="34" t="str">
        <x:v>🔴 این مغز سیستم است؛</x:v>
      </x:c>
      <x:c r="D568" s="34" t="str">
        <x:v>POSSIBLE</x:v>
      </x:c>
      <x:c r="E568" s="34" t="str">
        <x:v>85.5</x:v>
      </x:c>
      <x:c r="F568" s="34" t="str">
        <x:v>MI-1442</x:v>
      </x:c>
      <x:c r="G568" s="39" t="str">
        <x:v>این نیت کردم نمیدونم انجام شده یا نه چه کنم</x:v>
      </x:c>
      <x:c r="H568" s="39" t="str">
        <x:v>H1</x:v>
      </x:c>
      <x:c r="I568" s="39" t="str">
        <x:v>P0</x:v>
      </x:c>
      <x:c r="J568" s="39" t="str">
        <x:v>H1</x:v>
      </x:c>
      <x:c r="K568" s="39" t="str">
        <x:v>تطبیق احتمالی با پایه</x:v>
      </x:c>
      <x:c r="L568" s="39" t="str">
        <x:v>MI-1442</x:v>
      </x:c>
      <x:c r="M568" s="39" t="str">
        <x:v>این نیت کردم نمیدونم انجام شده یا نه چه کنم</x:v>
      </x:c>
      <x:c r="N568" s="39" t="str">
        <x:v>1154878548.docx::P897.1</x:v>
      </x:c>
      <x:c r="O568" s="39"/>
    </x:row>
    <x:row r="569">
      <x:c r="A569" s="34" t="str">
        <x:v>☐</x:v>
      </x:c>
      <x:c r="B569" s="34" t="str">
        <x:v>EX-0541</x:v>
      </x:c>
      <x:c r="C569" s="34" t="str">
        <x:v>8. صنفی و حقوق دانشجویی</x:v>
      </x:c>
      <x:c r="D569" s="34" t="str">
        <x:v>POSSIBLE</x:v>
      </x:c>
      <x:c r="E569" s="34" t="str">
        <x:v>90.0</x:v>
      </x:c>
      <x:c r="F569" s="34" t="str">
        <x:v>MI-0684</x:v>
      </x:c>
      <x:c r="G569" s="39" t="str">
        <x:v>صنفی</x:v>
      </x:c>
      <x:c r="H569" s="39" t="str">
        <x:v>H11</x:v>
      </x:c>
      <x:c r="I569" s="39" t="str">
        <x:v>DELEGATE/P2</x:v>
      </x:c>
      <x:c r="J569" s="39" t="str">
        <x:v>H11</x:v>
      </x:c>
      <x:c r="K569" s="39" t="str">
        <x:v>تطبیق احتمالی با پایه</x:v>
      </x:c>
      <x:c r="L569" s="39" t="str">
        <x:v>MI-0684</x:v>
      </x:c>
      <x:c r="M569" s="39" t="str">
        <x:v>صنفی</x:v>
      </x:c>
      <x:c r="N569" s="39" t="str">
        <x:v>1154878548.docx::P898.1</x:v>
      </x:c>
      <x:c r="O569" s="39"/>
    </x:row>
    <x:row r="570">
      <x:c r="A570" s="34" t="str">
        <x:v>☐</x:v>
      </x:c>
      <x:c r="B570" s="34" t="str">
        <x:v>EX-0542</x:v>
      </x:c>
      <x:c r="C570" s="34" t="str">
        <x:v>شوراهای صنفی و نمایندگی</x:v>
      </x:c>
      <x:c r="D570" s="34" t="str">
        <x:v>POSSIBLE</x:v>
      </x:c>
      <x:c r="E570" s="34" t="str">
        <x:v>90.0</x:v>
      </x:c>
      <x:c r="F570" s="34" t="str">
        <x:v>MI-0684</x:v>
      </x:c>
      <x:c r="G570" s="39" t="str">
        <x:v>صنفی</x:v>
      </x:c>
      <x:c r="H570" s="39" t="str">
        <x:v>H11</x:v>
      </x:c>
      <x:c r="I570" s="39" t="str">
        <x:v>DELEGATE/P2</x:v>
      </x:c>
      <x:c r="J570" s="39" t="str">
        <x:v>H11</x:v>
      </x:c>
      <x:c r="K570" s="39" t="str">
        <x:v>تطبیق احتمالی با پایه</x:v>
      </x:c>
      <x:c r="L570" s="39" t="str">
        <x:v>MI-0684</x:v>
      </x:c>
      <x:c r="M570" s="39" t="str">
        <x:v>صنفی</x:v>
      </x:c>
      <x:c r="N570" s="39" t="str">
        <x:v>1154878548.docx::P900.1</x:v>
      </x:c>
      <x:c r="O570" s="39"/>
    </x:row>
    <x:row r="571">
      <x:c r="A571" s="34" t="str">
        <x:v>☐</x:v>
      </x:c>
      <x:c r="B571" s="34" t="str">
        <x:v>EX-0543</x:v>
      </x:c>
      <x:c r="C571" s="34" t="str">
        <x:v>قراردادها و آییننامهها</x:v>
      </x:c>
      <x:c r="D571" s="34" t="str">
        <x:v>POSSIBLE</x:v>
      </x:c>
      <x:c r="E571" s="34" t="str">
        <x:v>85.5</x:v>
      </x:c>
      <x:c r="F571" s="34" t="str">
        <x:v>MI-1513</x:v>
      </x:c>
      <x:c r="G571" s="39" t="str">
        <x:v>تولید و کارآفرینی: توانایی تولید محصول و خدمات و ایجاد شغل.</x:v>
      </x:c>
      <x:c r="H571" s="39" t="str">
        <x:v>H1</x:v>
      </x:c>
      <x:c r="I571" s="39" t="str">
        <x:v>P0</x:v>
      </x:c>
      <x:c r="J571" s="39" t="str">
        <x:v>H1</x:v>
      </x:c>
      <x:c r="K571" s="39" t="str">
        <x:v>تطبیق احتمالی با پایه</x:v>
      </x:c>
      <x:c r="L571" s="39" t="str">
        <x:v>MI-1513</x:v>
      </x:c>
      <x:c r="M571" s="39" t="str">
        <x:v>تولید و کارآفرینی: توانایی تولید محصول و خدمات و ایجاد شغل.</x:v>
      </x:c>
      <x:c r="N571" s="39" t="str">
        <x:v>1154878548.docx::P901.1</x:v>
      </x:c>
      <x:c r="O571" s="39"/>
    </x:row>
    <x:row r="572">
      <x:c r="A572" s="34" t="str">
        <x:v>☐</x:v>
      </x:c>
      <x:c r="B572" s="34" t="str">
        <x:v>EX-0544</x:v>
      </x:c>
      <x:c r="C572" s="34" t="str">
        <x:v>مطالبهگری و مصاحبه صنفی</x:v>
      </x:c>
      <x:c r="D572" s="34" t="str">
        <x:v>POSSIBLE</x:v>
      </x:c>
      <x:c r="E572" s="34" t="str">
        <x:v>90.0</x:v>
      </x:c>
      <x:c r="F572" s="34" t="str">
        <x:v>MI-0684</x:v>
      </x:c>
      <x:c r="G572" s="39" t="str">
        <x:v>صنفی</x:v>
      </x:c>
      <x:c r="H572" s="39" t="str">
        <x:v>H11</x:v>
      </x:c>
      <x:c r="I572" s="39" t="str">
        <x:v>DELEGATE/P2</x:v>
      </x:c>
      <x:c r="J572" s="39" t="str">
        <x:v>H11</x:v>
      </x:c>
      <x:c r="K572" s="39" t="str">
        <x:v>تطبیق احتمالی با پایه</x:v>
      </x:c>
      <x:c r="L572" s="39" t="str">
        <x:v>MI-0684</x:v>
      </x:c>
      <x:c r="M572" s="39" t="str">
        <x:v>صنفی</x:v>
      </x:c>
      <x:c r="N572" s="39" t="str">
        <x:v>1154878548.docx::P902.1</x:v>
      </x:c>
      <x:c r="O572" s="39"/>
    </x:row>
    <x:row r="573">
      <x:c r="A573" s="34" t="str">
        <x:v>☐</x:v>
      </x:c>
      <x:c r="B573" s="34" t="str">
        <x:v>EX-0545</x:v>
      </x:c>
      <x:c r="C573" s="34" t="str">
        <x:v>ارتباط با مسئولین</x:v>
      </x:c>
      <x:c r="D573" s="34" t="str">
        <x:v>POSSIBLE</x:v>
      </x:c>
      <x:c r="E573" s="34" t="str">
        <x:v>85.5</x:v>
      </x:c>
      <x:c r="F573" s="34" t="str">
        <x:v>MI-1501</x:v>
      </x:c>
      <x:c r="G573" s="39" t="str">
        <x:v>مدیریت ریسک: شناسایی ریسک ها، ارزیابی اثرات، تدوین برنامه های مقابله با ریسک ها.</x:v>
      </x:c>
      <x:c r="H573" s="39" t="str">
        <x:v>H1</x:v>
      </x:c>
      <x:c r="I573" s="39" t="str">
        <x:v>P0</x:v>
      </x:c>
      <x:c r="J573" s="39" t="str">
        <x:v>H1</x:v>
      </x:c>
      <x:c r="K573" s="39" t="str">
        <x:v>تطبیق احتمالی با پایه</x:v>
      </x:c>
      <x:c r="L573" s="39" t="str">
        <x:v>MI-1501</x:v>
      </x:c>
      <x:c r="M573" s="39" t="str">
        <x:v>مدیریت ریسک: شناسایی ریسک ها، ارزیابی اثرات، تدوین برنامه های مقابله با ریسک ها.</x:v>
      </x:c>
      <x:c r="N573" s="39" t="str">
        <x:v>1154878548.docx::P903.1</x:v>
      </x:c>
      <x:c r="O573" s="39"/>
    </x:row>
    <x:row r="574">
      <x:c r="A574" s="34" t="str">
        <x:v>☐</x:v>
      </x:c>
      <x:c r="B574" s="34" t="str">
        <x:v>EX-0546</x:v>
      </x:c>
      <x:c r="C574" s="34" t="str">
        <x:v>حقوق آموزشی، رفاهی، انضباطی</x:v>
      </x:c>
      <x:c r="D574" s="34" t="str">
        <x:v>POSSIBLE</x:v>
      </x:c>
      <x:c r="E574" s="34" t="str">
        <x:v>90.0</x:v>
      </x:c>
      <x:c r="F574" s="34" t="str">
        <x:v>MI-2601</x:v>
      </x:c>
      <x:c r="G574" s="39" t="str">
        <x:v>آموزش:</x:v>
      </x:c>
      <x:c r="H574" s="39" t="str">
        <x:v>H20</x:v>
      </x:c>
      <x:c r="I574" s="39" t="str">
        <x:v>P3/CLARIFY</x:v>
      </x:c>
      <x:c r="J574" s="39" t="str">
        <x:v>H20</x:v>
      </x:c>
      <x:c r="K574" s="39" t="str">
        <x:v>تطبیق احتمالی با پایه</x:v>
      </x:c>
      <x:c r="L574" s="39" t="str">
        <x:v>MI-2601</x:v>
      </x:c>
      <x:c r="M574" s="39" t="str">
        <x:v>آموزش:</x:v>
      </x:c>
      <x:c r="N574" s="39" t="str">
        <x:v>1154878548.docx::P904.1</x:v>
      </x:c>
      <x:c r="O574" s="39"/>
    </x:row>
    <x:row r="575">
      <x:c r="A575" s="34" t="str">
        <x:v>☐</x:v>
      </x:c>
      <x:c r="B575" s="34" t="str">
        <x:v>EX-0547</x:v>
      </x:c>
      <x:c r="C575" s="34" t="str">
        <x:v>سؤال محوری: «حق دانشجو چیست و چگونه پیگیری میشود؟»</x:v>
      </x:c>
      <x:c r="D575" s="34" t="str">
        <x:v>POSSIBLE</x:v>
      </x:c>
      <x:c r="E575" s="34" t="str">
        <x:v>85.5</x:v>
      </x:c>
      <x:c r="F575" s="34" t="str">
        <x:v>MI-0029</x:v>
      </x:c>
      <x:c r="G575" s="39" t="str">
        <x:v>تدریس ریاضی و فیزیک</x:v>
      </x:c>
      <x:c r="H575" s="39" t="str">
        <x:v>H1</x:v>
      </x:c>
      <x:c r="I575" s="39" t="str">
        <x:v>P0</x:v>
      </x:c>
      <x:c r="J575" s="39" t="str">
        <x:v>H1</x:v>
      </x:c>
      <x:c r="K575" s="39" t="str">
        <x:v>تطبیق احتمالی با پایه</x:v>
      </x:c>
      <x:c r="L575" s="39" t="str">
        <x:v>MI-0029</x:v>
      </x:c>
      <x:c r="M575" s="39" t="str">
        <x:v>تدریس ریاضی و فیزیک</x:v>
      </x:c>
      <x:c r="N575" s="39" t="str">
        <x:v>1154878548.docx::P905.1</x:v>
      </x:c>
      <x:c r="O575" s="39"/>
    </x:row>
    <x:row r="576">
      <x:c r="A576" s="34" t="str">
        <x:v>☐</x:v>
      </x:c>
      <x:c r="B576" s="34" t="str">
        <x:v>EX-0548</x:v>
      </x:c>
      <x:c r="C576" s="34" t="str">
        <x:v>9. زیست، رفاه و خدمات دانشجویی  ✅ (ادغام 9 و 10)</x:v>
      </x:c>
      <x:c r="D576" s="34" t="str">
        <x:v>POSSIBLE</x:v>
      </x:c>
      <x:c r="E576" s="34" t="str">
        <x:v>85.5</x:v>
      </x:c>
      <x:c r="F576" s="34" t="str">
        <x:v>MI-0029</x:v>
      </x:c>
      <x:c r="G576" s="39" t="str">
        <x:v>تدریس ریاضی و فیزیک</x:v>
      </x:c>
      <x:c r="H576" s="39" t="str">
        <x:v>H1</x:v>
      </x:c>
      <x:c r="I576" s="39" t="str">
        <x:v>P0</x:v>
      </x:c>
      <x:c r="J576" s="39" t="str">
        <x:v>H1</x:v>
      </x:c>
      <x:c r="K576" s="39" t="str">
        <x:v>تطبیق احتمالی با پایه</x:v>
      </x:c>
      <x:c r="L576" s="39" t="str">
        <x:v>MI-0029</x:v>
      </x:c>
      <x:c r="M576" s="39" t="str">
        <x:v>تدریس ریاضی و فیزیک</x:v>
      </x:c>
      <x:c r="N576" s="39" t="str">
        <x:v>1154878548.docx::P906.1</x:v>
      </x:c>
      <x:c r="O576" s="39"/>
    </x:row>
    <x:row r="577">
      <x:c r="A577" s="34" t="str">
        <x:v>☐</x:v>
      </x:c>
      <x:c r="B577" s="34" t="str">
        <x:v>EX-0549</x:v>
      </x:c>
      <x:c r="C577" s="34" t="str">
        <x:v>زیرشاخهها (خیلی دقیق):</x:v>
      </x:c>
      <x:c r="D577" s="34" t="str">
        <x:v>POSSIBLE</x:v>
      </x:c>
      <x:c r="E577" s="34" t="str">
        <x:v>85.5</x:v>
      </x:c>
      <x:c r="F577" s="34" t="str">
        <x:v>MI-0023</x:v>
      </x:c>
      <x:c r="G577" s="39" t="str">
        <x:v>برنامه ریزی دقیق و علمگرا هییت دانشگاه</x:v>
      </x:c>
      <x:c r="H577" s="39" t="str">
        <x:v>H1</x:v>
      </x:c>
      <x:c r="I577" s="39" t="str">
        <x:v>P0</x:v>
      </x:c>
      <x:c r="J577" s="39" t="str">
        <x:v>H1</x:v>
      </x:c>
      <x:c r="K577" s="39" t="str">
        <x:v>تطبیق احتمالی با پایه</x:v>
      </x:c>
      <x:c r="L577" s="39" t="str">
        <x:v>MI-0023</x:v>
      </x:c>
      <x:c r="M577" s="39" t="str">
        <x:v>برنامه ریزی دقیق و علمگرا هییت دانشگاه</x:v>
      </x:c>
      <x:c r="N577" s="39" t="str">
        <x:v>1154878548.docx::P907.1</x:v>
      </x:c>
      <x:c r="O577" s="39"/>
    </x:row>
    <x:row r="578">
      <x:c r="A578" s="34" t="str">
        <x:v>☐</x:v>
      </x:c>
      <x:c r="B578" s="34" t="str">
        <x:v>EX-0550</x:v>
      </x:c>
      <x:c r="C578" s="34" t="str">
        <x:v>تغذیه و سلف (کیفیت، قیمت، قرارداد، نظارت)</x:v>
      </x:c>
      <x:c r="D578" s="34" t="str">
        <x:v>POSSIBLE</x:v>
      </x:c>
      <x:c r="E578" s="34" t="str">
        <x:v>90.0</x:v>
      </x:c>
      <x:c r="F578" s="34" t="str">
        <x:v>MI-0707</x:v>
      </x:c>
      <x:c r="G578" s="39" t="str">
        <x:v>تغذیه</x:v>
      </x:c>
      <x:c r="H578" s="39" t="str">
        <x:v>H11</x:v>
      </x:c>
      <x:c r="I578" s="39" t="str">
        <x:v>DELEGATE/P2</x:v>
      </x:c>
      <x:c r="J578" s="39" t="str">
        <x:v>H11</x:v>
      </x:c>
      <x:c r="K578" s="39" t="str">
        <x:v>تطبیق احتمالی با پایه</x:v>
      </x:c>
      <x:c r="L578" s="39" t="str">
        <x:v>MI-0707</x:v>
      </x:c>
      <x:c r="M578" s="39" t="str">
        <x:v>تغذیه</x:v>
      </x:c>
      <x:c r="N578" s="39" t="str">
        <x:v>1154878548.docx::P908.1</x:v>
      </x:c>
      <x:c r="O578" s="39"/>
    </x:row>
    <x:row r="579">
      <x:c r="A579" s="34" t="str">
        <x:v>☐</x:v>
      </x:c>
      <x:c r="B579" s="34" t="str">
        <x:v>EX-0551</x:v>
      </x:c>
      <x:c r="C579" s="34" t="str">
        <x:v>خوابگاهها (امنیت، نظافت، تجهیزات)</x:v>
      </x:c>
      <x:c r="D579" s="34" t="str">
        <x:v>POSSIBLE</x:v>
      </x:c>
      <x:c r="E579" s="34" t="str">
        <x:v>85.5</x:v>
      </x:c>
      <x:c r="F579" s="34" t="str">
        <x:v>MI-0930</x:v>
      </x:c>
      <x:c r="G579" s="39" t="str">
        <x:v>25. نبود نظام اولویت بندی تعمیرات و خرید تجهیزات منجر به فرسودگی فضاهای دانشگاهی شده است</x:v>
      </x:c>
      <x:c r="H579" s="39" t="str">
        <x:v>H11</x:v>
      </x:c>
      <x:c r="I579" s="39" t="str">
        <x:v>DELEGATE/P2</x:v>
      </x:c>
      <x:c r="J579" s="39" t="str">
        <x:v>H11</x:v>
      </x:c>
      <x:c r="K579" s="39" t="str">
        <x:v>تطبیق احتمالی با پایه</x:v>
      </x:c>
      <x:c r="L579" s="39" t="str">
        <x:v>MI-0930</x:v>
      </x:c>
      <x:c r="M579" s="39" t="str">
        <x:v>25. نبود نظام اولویت بندی تعمیرات و خرید تجهیزات منجر به فرسودگی فضاهای دانشگاهی شده است</x:v>
      </x:c>
      <x:c r="N579" s="39" t="str">
        <x:v>1154878548.docx::P909.1</x:v>
      </x:c>
      <x:c r="O579" s="39"/>
    </x:row>
    <x:row r="580">
      <x:c r="A580" s="34" t="str">
        <x:v>☐</x:v>
      </x:c>
      <x:c r="B580" s="34" t="str">
        <x:v>EX-0552</x:v>
      </x:c>
      <x:c r="C580" s="34" t="str">
        <x:v>خدمات روزمره (بوفه، حملونقل، اینترنت)</x:v>
      </x:c>
      <x:c r="D580" s="34" t="str">
        <x:v>POSSIBLE</x:v>
      </x:c>
      <x:c r="E580" s="34" t="str">
        <x:v>85.5</x:v>
      </x:c>
      <x:c r="F580" s="34" t="str">
        <x:v>MI-1513</x:v>
      </x:c>
      <x:c r="G580" s="39" t="str">
        <x:v>تولید و کارآفرینی: توانایی تولید محصول و خدمات و ایجاد شغل.</x:v>
      </x:c>
      <x:c r="H580" s="39" t="str">
        <x:v>H1</x:v>
      </x:c>
      <x:c r="I580" s="39" t="str">
        <x:v>P0</x:v>
      </x:c>
      <x:c r="J580" s="39" t="str">
        <x:v>H1</x:v>
      </x:c>
      <x:c r="K580" s="39" t="str">
        <x:v>تطبیق احتمالی با پایه</x:v>
      </x:c>
      <x:c r="L580" s="39" t="str">
        <x:v>MI-1513</x:v>
      </x:c>
      <x:c r="M580" s="39" t="str">
        <x:v>تولید و کارآفرینی: توانایی تولید محصول و خدمات و ایجاد شغل.</x:v>
      </x:c>
      <x:c r="N580" s="39" t="str">
        <x:v>1154878548.docx::P910.1</x:v>
      </x:c>
      <x:c r="O580" s="39"/>
    </x:row>
    <x:row r="581">
      <x:c r="A581" s="34" t="str">
        <x:v>☐</x:v>
      </x:c>
      <x:c r="B581" s="34" t="str">
        <x:v>EX-0553</x:v>
      </x:c>
      <x:c r="C581" s="34" t="str">
        <x:v>رفاهکارت و تسهیلات</x:v>
      </x:c>
      <x:c r="D581" s="34" t="str">
        <x:v>POSSIBLE</x:v>
      </x:c>
      <x:c r="E581" s="34" t="str">
        <x:v>90.0</x:v>
      </x:c>
      <x:c r="F581" s="34" t="str">
        <x:v>MI-2545</x:v>
      </x:c>
      <x:c r="G581" s="39" t="str">
        <x:v>کار:</x:v>
      </x:c>
      <x:c r="H581" s="39" t="str">
        <x:v>H20</x:v>
      </x:c>
      <x:c r="I581" s="39" t="str">
        <x:v>P3/CLARIFY</x:v>
      </x:c>
      <x:c r="J581" s="39" t="str">
        <x:v>H20</x:v>
      </x:c>
      <x:c r="K581" s="39" t="str">
        <x:v>تطبیق احتمالی با پایه</x:v>
      </x:c>
      <x:c r="L581" s="39" t="str">
        <x:v>MI-2545</x:v>
      </x:c>
      <x:c r="M581" s="39" t="str">
        <x:v>کار:</x:v>
      </x:c>
      <x:c r="N581" s="39" t="str">
        <x:v>1154878548.docx::P911.1</x:v>
      </x:c>
      <x:c r="O581" s="39"/>
    </x:row>
    <x:row r="582">
      <x:c r="A582" s="34" t="str">
        <x:v>☐</x:v>
      </x:c>
      <x:c r="B582" s="34" t="str">
        <x:v>EX-0554</x:v>
      </x:c>
      <x:c r="C582" s="34" t="str">
        <x:v>تجربه زیست روزانه دانشجو</x:v>
      </x:c>
      <x:c r="D582" s="34" t="str">
        <x:v>POSSIBLE</x:v>
      </x:c>
      <x:c r="E582" s="34" t="str">
        <x:v>90.0</x:v>
      </x:c>
      <x:c r="F582" s="34" t="str">
        <x:v>MI-2622</x:v>
      </x:c>
      <x:c r="G582" s="39" t="str">
        <x:v>دانش</x:v>
      </x:c>
      <x:c r="H582" s="39" t="str">
        <x:v>H20</x:v>
      </x:c>
      <x:c r="I582" s="39" t="str">
        <x:v>P3/CLARIFY</x:v>
      </x:c>
      <x:c r="J582" s="39" t="str">
        <x:v>H20</x:v>
      </x:c>
      <x:c r="K582" s="39" t="str">
        <x:v>تطبیق احتمالی با پایه</x:v>
      </x:c>
      <x:c r="L582" s="39" t="str">
        <x:v>MI-2622</x:v>
      </x:c>
      <x:c r="M582" s="39" t="str">
        <x:v>دانش</x:v>
      </x:c>
      <x:c r="N582" s="39" t="str">
        <x:v>1154878548.docx::P912.1</x:v>
      </x:c>
      <x:c r="O582" s="39"/>
    </x:row>
    <x:row r="583">
      <x:c r="A583" s="34" t="str">
        <x:v>☐</x:v>
      </x:c>
      <x:c r="B583" s="34" t="str">
        <x:v>EX-0555</x:v>
      </x:c>
      <x:c r="C583" s="34" t="str">
        <x:v>🔴 اینجا تجربه دانشجو مهم است</x:v>
      </x:c>
      <x:c r="D583" s="34" t="str">
        <x:v>POSSIBLE</x:v>
      </x:c>
      <x:c r="E583" s="34" t="str">
        <x:v>90.0</x:v>
      </x:c>
      <x:c r="F583" s="34" t="str">
        <x:v>MI-2622</x:v>
      </x:c>
      <x:c r="G583" s="39" t="str">
        <x:v>دانش</x:v>
      </x:c>
      <x:c r="H583" s="39" t="str">
        <x:v>H20</x:v>
      </x:c>
      <x:c r="I583" s="39" t="str">
        <x:v>P3/CLARIFY</x:v>
      </x:c>
      <x:c r="J583" s="39" t="str">
        <x:v>H20</x:v>
      </x:c>
      <x:c r="K583" s="39" t="str">
        <x:v>تطبیق احتمالی با پایه</x:v>
      </x:c>
      <x:c r="L583" s="39" t="str">
        <x:v>MI-2622</x:v>
      </x:c>
      <x:c r="M583" s="39" t="str">
        <x:v>دانش</x:v>
      </x:c>
      <x:c r="N583" s="39" t="str">
        <x:v>1154878548.docx::P913.1</x:v>
      </x:c>
      <x:c r="O583" s="39"/>
    </x:row>
    <x:row r="584">
      <x:c r="A584" s="34" t="str">
        <x:v>☐</x:v>
      </x:c>
      <x:c r="B584" s="34" t="str">
        <x:v>EX-0556</x:v>
      </x:c>
      <x:c r="C584" s="34" t="str">
        <x:v>سؤال محوری: «دانشجو چطور زندگی میکند؟»</x:v>
      </x:c>
      <x:c r="D584" s="34" t="str">
        <x:v>POSSIBLE</x:v>
      </x:c>
      <x:c r="E584" s="34" t="str">
        <x:v>90.0</x:v>
      </x:c>
      <x:c r="F584" s="34" t="str">
        <x:v>MI-0596</x:v>
      </x:c>
      <x:c r="G584" s="39" t="str">
        <x:v>زندگی</x:v>
      </x:c>
      <x:c r="H584" s="39" t="str">
        <x:v>H18</x:v>
      </x:c>
      <x:c r="I584" s="39" t="str">
        <x:v>BANK</x:v>
      </x:c>
      <x:c r="J584" s="39" t="str">
        <x:v>H18</x:v>
      </x:c>
      <x:c r="K584" s="39" t="str">
        <x:v>تطبیق احتمالی با پایه</x:v>
      </x:c>
      <x:c r="L584" s="39" t="str">
        <x:v>MI-0596</x:v>
      </x:c>
      <x:c r="M584" s="39" t="str">
        <x:v>زندگی</x:v>
      </x:c>
      <x:c r="N584" s="39" t="str">
        <x:v>1154878548.docx::P914.1</x:v>
      </x:c>
      <x:c r="O584" s="39"/>
    </x:row>
    <x:row r="585">
      <x:c r="A585" s="34" t="str">
        <x:v>☐</x:v>
      </x:c>
      <x:c r="B585" s="34" t="str">
        <x:v>EX-0557</x:v>
      </x:c>
      <x:c r="C585" s="34" t="str">
        <x:v>10. زیرساخت، فضا و عمران نرم</x:v>
      </x:c>
      <x:c r="D585" s="34" t="str">
        <x:v>POSSIBLE</x:v>
      </x:c>
      <x:c r="E585" s="34" t="str">
        <x:v>85.5</x:v>
      </x:c>
      <x:c r="F585" s="34" t="str">
        <x:v>MI-1513</x:v>
      </x:c>
      <x:c r="G585" s="39" t="str">
        <x:v>تولید و کارآفرینی: توانایی تولید محصول و خدمات و ایجاد شغل.</x:v>
      </x:c>
      <x:c r="H585" s="39" t="str">
        <x:v>H1</x:v>
      </x:c>
      <x:c r="I585" s="39" t="str">
        <x:v>P0</x:v>
      </x:c>
      <x:c r="J585" s="39" t="str">
        <x:v>H1</x:v>
      </x:c>
      <x:c r="K585" s="39" t="str">
        <x:v>تطبیق احتمالی با پایه</x:v>
      </x:c>
      <x:c r="L585" s="39" t="str">
        <x:v>MI-1513</x:v>
      </x:c>
      <x:c r="M585" s="39" t="str">
        <x:v>تولید و کارآفرینی: توانایی تولید محصول و خدمات و ایجاد شغل.</x:v>
      </x:c>
      <x:c r="N585" s="39" t="str">
        <x:v>1154878548.docx::P915.1</x:v>
      </x:c>
      <x:c r="O585" s="39"/>
    </x:row>
    <x:row r="586">
      <x:c r="A586" s="34" t="str">
        <x:v>☐</x:v>
      </x:c>
      <x:c r="B586" s="34" t="str">
        <x:v>EX-0558</x:v>
      </x:c>
      <x:c r="C586" s="34" t="str">
        <x:v>تغییر کاربری فضاها</x:v>
      </x:c>
      <x:c r="D586" s="34" t="str">
        <x:v>POSSIBLE</x:v>
      </x:c>
      <x:c r="E586" s="34" t="str">
        <x:v>90.0</x:v>
      </x:c>
      <x:c r="F586" s="34" t="str">
        <x:v>MI-2545</x:v>
      </x:c>
      <x:c r="G586" s="39" t="str">
        <x:v>کار:</x:v>
      </x:c>
      <x:c r="H586" s="39" t="str">
        <x:v>H20</x:v>
      </x:c>
      <x:c r="I586" s="39" t="str">
        <x:v>P3/CLARIFY</x:v>
      </x:c>
      <x:c r="J586" s="39" t="str">
        <x:v>H20</x:v>
      </x:c>
      <x:c r="K586" s="39" t="str">
        <x:v>تطبیق احتمالی با پایه</x:v>
      </x:c>
      <x:c r="L586" s="39" t="str">
        <x:v>MI-2545</x:v>
      </x:c>
      <x:c r="M586" s="39" t="str">
        <x:v>کار:</x:v>
      </x:c>
      <x:c r="N586" s="39" t="str">
        <x:v>1154878548.docx::P918.1</x:v>
      </x:c>
      <x:c r="O586" s="39"/>
    </x:row>
    <x:row r="587">
      <x:c r="A587" s="34" t="str">
        <x:v>☐</x:v>
      </x:c>
      <x:c r="B587" s="34" t="str">
        <x:v>EX-0559</x:v>
      </x:c>
      <x:c r="C587" s="34" t="str">
        <x:v>فضاهای ورزشی، مطالعه، تفریح</x:v>
      </x:c>
      <x:c r="D587" s="34" t="str">
        <x:v>POSSIBLE</x:v>
      </x:c>
      <x:c r="E587" s="34" t="str">
        <x:v>85.5</x:v>
      </x:c>
      <x:c r="F587" s="34" t="str">
        <x:v>MI-0930</x:v>
      </x:c>
      <x:c r="G587" s="39" t="str">
        <x:v>25. نبود نظام اولویت بندی تعمیرات و خرید تجهیزات منجر به فرسودگی فضاهای دانشگاهی شده است</x:v>
      </x:c>
      <x:c r="H587" s="39" t="str">
        <x:v>H11</x:v>
      </x:c>
      <x:c r="I587" s="39" t="str">
        <x:v>DELEGATE/P2</x:v>
      </x:c>
      <x:c r="J587" s="39" t="str">
        <x:v>H11</x:v>
      </x:c>
      <x:c r="K587" s="39" t="str">
        <x:v>تطبیق احتمالی با پایه</x:v>
      </x:c>
      <x:c r="L587" s="39" t="str">
        <x:v>MI-0930</x:v>
      </x:c>
      <x:c r="M587" s="39" t="str">
        <x:v>25. نبود نظام اولویت بندی تعمیرات و خرید تجهیزات منجر به فرسودگی فضاهای دانشگاهی شده است</x:v>
      </x:c>
      <x:c r="N587" s="39" t="str">
        <x:v>1154878548.docx::P919.1</x:v>
      </x:c>
      <x:c r="O587" s="39"/>
    </x:row>
    <x:row r="588">
      <x:c r="A588" s="34" t="str">
        <x:v>☐</x:v>
      </x:c>
      <x:c r="B588" s="34" t="str">
        <x:v>EX-0560</x:v>
      </x:c>
      <x:c r="C588" s="34" t="str">
        <x:v>تجهیزات و تأسیسات</x:v>
      </x:c>
      <x:c r="D588" s="34" t="str">
        <x:v>POSSIBLE</x:v>
      </x:c>
      <x:c r="E588" s="34" t="str">
        <x:v>85.5</x:v>
      </x:c>
      <x:c r="F588" s="34" t="str">
        <x:v>MI-1513</x:v>
      </x:c>
      <x:c r="G588" s="39" t="str">
        <x:v>تولید و کارآفرینی: توانایی تولید محصول و خدمات و ایجاد شغل.</x:v>
      </x:c>
      <x:c r="H588" s="39" t="str">
        <x:v>H1</x:v>
      </x:c>
      <x:c r="I588" s="39" t="str">
        <x:v>P0</x:v>
      </x:c>
      <x:c r="J588" s="39" t="str">
        <x:v>H1</x:v>
      </x:c>
      <x:c r="K588" s="39" t="str">
        <x:v>تطبیق احتمالی با پایه</x:v>
      </x:c>
      <x:c r="L588" s="39" t="str">
        <x:v>MI-1513</x:v>
      </x:c>
      <x:c r="M588" s="39" t="str">
        <x:v>تولید و کارآفرینی: توانایی تولید محصول و خدمات و ایجاد شغل.</x:v>
      </x:c>
      <x:c r="N588" s="39" t="str">
        <x:v>1154878548.docx::P920.1</x:v>
      </x:c>
      <x:c r="O588" s="39"/>
    </x:row>
    <x:row r="589">
      <x:c r="A589" s="34" t="str">
        <x:v>☐</x:v>
      </x:c>
      <x:c r="B589" s="34" t="str">
        <x:v>EX-0561</x:v>
      </x:c>
      <x:c r="C589" s="34" t="str">
        <x:v>زیرساخت دیجیتال (اینترنت، سایت، سامانه)</x:v>
      </x:c>
      <x:c r="D589" s="34" t="str">
        <x:v>POSSIBLE</x:v>
      </x:c>
      <x:c r="E589" s="34" t="str">
        <x:v>90.0</x:v>
      </x:c>
      <x:c r="F589" s="34" t="str">
        <x:v>MI-1192</x:v>
      </x:c>
      <x:c r="G589" s="39" t="str">
        <x:v>سامان</x:v>
      </x:c>
      <x:c r="H589" s="39" t="str">
        <x:v>H11</x:v>
      </x:c>
      <x:c r="I589" s="39" t="str">
        <x:v>DELEGATE/P2</x:v>
      </x:c>
      <x:c r="J589" s="39" t="str">
        <x:v>H11</x:v>
      </x:c>
      <x:c r="K589" s="39" t="str">
        <x:v>تطبیق احتمالی با پایه</x:v>
      </x:c>
      <x:c r="L589" s="39" t="str">
        <x:v>MI-1192</x:v>
      </x:c>
      <x:c r="M589" s="39" t="str">
        <x:v>سامان</x:v>
      </x:c>
      <x:c r="N589" s="39" t="str">
        <x:v>1154878548.docx::P921.1</x:v>
      </x:c>
      <x:c r="O589" s="39"/>
    </x:row>
    <x:row r="590">
      <x:c r="A590" s="34" t="str">
        <x:v>☐</x:v>
      </x:c>
      <x:c r="B590" s="34" t="str">
        <x:v>EX-0562</x:v>
      </x:c>
      <x:c r="C590" s="34" t="str">
        <x:v>سؤال محوری: «دانشگاه چه فضایی برای زیست و یادگیری میسازد؟»</x:v>
      </x:c>
      <x:c r="D590" s="34" t="str">
        <x:v>POSSIBLE</x:v>
      </x:c>
      <x:c r="E590" s="34" t="str">
        <x:v>85.5</x:v>
      </x:c>
      <x:c r="F590" s="34" t="str">
        <x:v>MI-0029</x:v>
      </x:c>
      <x:c r="G590" s="39" t="str">
        <x:v>تدریس ریاضی و فیزیک</x:v>
      </x:c>
      <x:c r="H590" s="39" t="str">
        <x:v>H1</x:v>
      </x:c>
      <x:c r="I590" s="39" t="str">
        <x:v>P0</x:v>
      </x:c>
      <x:c r="J590" s="39" t="str">
        <x:v>H1</x:v>
      </x:c>
      <x:c r="K590" s="39" t="str">
        <x:v>تطبیق احتمالی با پایه</x:v>
      </x:c>
      <x:c r="L590" s="39" t="str">
        <x:v>MI-0029</x:v>
      </x:c>
      <x:c r="M590" s="39" t="str">
        <x:v>تدریس ریاضی و فیزیک</x:v>
      </x:c>
      <x:c r="N590" s="39" t="str">
        <x:v>1154878548.docx::P922.1</x:v>
      </x:c>
      <x:c r="O590" s="39"/>
    </x:row>
    <x:row r="591">
      <x:c r="A591" s="34" t="str">
        <x:v>☐</x:v>
      </x:c>
      <x:c r="B591" s="34" t="str">
        <x:v>EX-0563</x:v>
      </x:c>
      <x:c r="C591" s="34" t="str">
        <x:v>11. ارتباط دانشگاه با جامعه</x:v>
      </x:c>
      <x:c r="D591" s="34" t="str">
        <x:v>POSSIBLE</x:v>
      </x:c>
      <x:c r="E591" s="34" t="str">
        <x:v>90.0</x:v>
      </x:c>
      <x:c r="F591" s="34" t="str">
        <x:v>MI-2622</x:v>
      </x:c>
      <x:c r="G591" s="39" t="str">
        <x:v>دانش</x:v>
      </x:c>
      <x:c r="H591" s="39" t="str">
        <x:v>H20</x:v>
      </x:c>
      <x:c r="I591" s="39" t="str">
        <x:v>P3/CLARIFY</x:v>
      </x:c>
      <x:c r="J591" s="39" t="str">
        <x:v>H20</x:v>
      </x:c>
      <x:c r="K591" s="39" t="str">
        <x:v>تطبیق احتمالی با پایه</x:v>
      </x:c>
      <x:c r="L591" s="39" t="str">
        <x:v>MI-2622</x:v>
      </x:c>
      <x:c r="M591" s="39" t="str">
        <x:v>دانش</x:v>
      </x:c>
      <x:c r="N591" s="39" t="str">
        <x:v>1154878548.docx::P923.1</x:v>
      </x:c>
      <x:c r="O591" s="39"/>
    </x:row>
    <x:row r="592">
      <x:c r="A592" s="34" t="str">
        <x:v>☐</x:v>
      </x:c>
      <x:c r="B592" s="34" t="str">
        <x:v>EX-0564</x:v>
      </x:c>
      <x:c r="C592" s="34" t="str">
        <x:v>فعالیتهای خیریه</x:v>
      </x:c>
      <x:c r="D592" s="34" t="str">
        <x:v>POSSIBLE</x:v>
      </x:c>
      <x:c r="E592" s="34" t="str">
        <x:v>85.5</x:v>
      </x:c>
      <x:c r="F592" s="34" t="str">
        <x:v>MI-0222</x:v>
      </x:c>
      <x:c r="G592" s="39" t="str">
        <x:v>فعالیتهای اجتماعی و ارتباطی</x:v>
      </x:c>
      <x:c r="H592" s="39" t="str">
        <x:v>H4</x:v>
      </x:c>
      <x:c r="I592" s="39" t="str">
        <x:v>P1</x:v>
      </x:c>
      <x:c r="J592" s="39" t="str">
        <x:v>H4</x:v>
      </x:c>
      <x:c r="K592" s="39" t="str">
        <x:v>تطبیق احتمالی با پایه</x:v>
      </x:c>
      <x:c r="L592" s="39" t="str">
        <x:v>MI-0222</x:v>
      </x:c>
      <x:c r="M592" s="39" t="str">
        <x:v>فعالیتهای اجتماعی و ارتباطی</x:v>
      </x:c>
      <x:c r="N592" s="39" t="str">
        <x:v>1154878548.docx::P925.1</x:v>
      </x:c>
      <x:c r="O592" s="39"/>
    </x:row>
    <x:row r="593">
      <x:c r="A593" s="34" t="str">
        <x:v>☐</x:v>
      </x:c>
      <x:c r="B593" s="34" t="str">
        <x:v>EX-0565</x:v>
      </x:c>
      <x:c r="C593" s="34" t="str">
        <x:v>موکب و مناسبتهای بروندانشگاهی</x:v>
      </x:c>
      <x:c r="D593" s="34" t="str">
        <x:v>POSSIBLE</x:v>
      </x:c>
      <x:c r="E593" s="34" t="str">
        <x:v>90.0</x:v>
      </x:c>
      <x:c r="F593" s="34" t="str">
        <x:v>MI-2622</x:v>
      </x:c>
      <x:c r="G593" s="39" t="str">
        <x:v>دانش</x:v>
      </x:c>
      <x:c r="H593" s="39" t="str">
        <x:v>H20</x:v>
      </x:c>
      <x:c r="I593" s="39" t="str">
        <x:v>P3/CLARIFY</x:v>
      </x:c>
      <x:c r="J593" s="39" t="str">
        <x:v>H20</x:v>
      </x:c>
      <x:c r="K593" s="39" t="str">
        <x:v>تطبیق احتمالی با پایه</x:v>
      </x:c>
      <x:c r="L593" s="39" t="str">
        <x:v>MI-2622</x:v>
      </x:c>
      <x:c r="M593" s="39" t="str">
        <x:v>دانش</x:v>
      </x:c>
      <x:c r="N593" s="39" t="str">
        <x:v>1154878548.docx::P926.1</x:v>
      </x:c>
      <x:c r="O593" s="39"/>
    </x:row>
    <x:row r="594">
      <x:c r="A594" s="34" t="str">
        <x:v>☐</x:v>
      </x:c>
      <x:c r="B594" s="34" t="str">
        <x:v>EX-0566</x:v>
      </x:c>
      <x:c r="C594" s="34" t="str">
        <x:v>ارتباط با مساجد، خیرین، نهادها</x:v>
      </x:c>
      <x:c r="D594" s="34" t="str">
        <x:v>POSSIBLE</x:v>
      </x:c>
      <x:c r="E594" s="34" t="str">
        <x:v>90.0</x:v>
      </x:c>
      <x:c r="F594" s="34" t="str">
        <x:v>MI-1099</x:v>
      </x:c>
      <x:c r="G594" s="39" t="str">
        <x:v>نهاد</x:v>
      </x:c>
      <x:c r="H594" s="39" t="str">
        <x:v>H23</x:v>
      </x:c>
      <x:c r="I594" s="39" t="str">
        <x:v>P3/CLARIFY</x:v>
      </x:c>
      <x:c r="J594" s="39" t="str">
        <x:v>H23</x:v>
      </x:c>
      <x:c r="K594" s="39" t="str">
        <x:v>تطبیق احتمالی با پایه</x:v>
      </x:c>
      <x:c r="L594" s="39" t="str">
        <x:v>MI-1099</x:v>
      </x:c>
      <x:c r="M594" s="39" t="str">
        <x:v>نهاد</x:v>
      </x:c>
      <x:c r="N594" s="39" t="str">
        <x:v>1154878548.docx::P927.1</x:v>
      </x:c>
      <x:c r="O594" s="39"/>
    </x:row>
    <x:row r="595">
      <x:c r="A595" s="34" t="str">
        <x:v>☐</x:v>
      </x:c>
      <x:c r="B595" s="34" t="str">
        <x:v>EX-0567</x:v>
      </x:c>
      <x:c r="C595" s="34" t="str">
        <x:v>پروژههای اجتماعی (مثل بازیافت)</x:v>
      </x:c>
      <x:c r="D595" s="34" t="str">
        <x:v>POSSIBLE</x:v>
      </x:c>
      <x:c r="E595" s="34" t="str">
        <x:v>90.0</x:v>
      </x:c>
      <x:c r="F595" s="34" t="str">
        <x:v>MI-0232</x:v>
      </x:c>
      <x:c r="G595" s="39" t="str">
        <x:v>بازیافت</x:v>
      </x:c>
      <x:c r="H595" s="39" t="str">
        <x:v>H12</x:v>
      </x:c>
      <x:c r="I595" s="39" t="str">
        <x:v>P2</x:v>
      </x:c>
      <x:c r="J595" s="39" t="str">
        <x:v>H12</x:v>
      </x:c>
      <x:c r="K595" s="39" t="str">
        <x:v>تطبیق احتمالی با پایه</x:v>
      </x:c>
      <x:c r="L595" s="39" t="str">
        <x:v>MI-0232</x:v>
      </x:c>
      <x:c r="M595" s="39" t="str">
        <x:v>بازیافت</x:v>
      </x:c>
      <x:c r="N595" s="39" t="str">
        <x:v>1154878548.docx::P928.1</x:v>
      </x:c>
      <x:c r="O595" s="39"/>
    </x:row>
    <x:row r="596">
      <x:c r="A596" s="34" t="str">
        <x:v>☐</x:v>
      </x:c>
      <x:c r="B596" s="34" t="str">
        <x:v>EX-0568</x:v>
      </x:c>
      <x:c r="C596" s="34" t="str">
        <x:v>سؤال محوری: «دانشگاه کجا به بیرون وصل میشود؟»</x:v>
      </x:c>
      <x:c r="D596" s="34" t="str">
        <x:v>POSSIBLE</x:v>
      </x:c>
      <x:c r="E596" s="34" t="str">
        <x:v>85.5</x:v>
      </x:c>
      <x:c r="F596" s="34" t="str">
        <x:v>MI-1448</x:v>
      </x:c>
      <x:c r="G596" s="39" t="str">
        <x:v>پول هییت قبلا چوقدر هست دست من؟؟؟ قبلا 4,290 بوده . چقدر به سید دادم.</x:v>
      </x:c>
      <x:c r="H596" s="39" t="str">
        <x:v>H1</x:v>
      </x:c>
      <x:c r="I596" s="39" t="str">
        <x:v>P0</x:v>
      </x:c>
      <x:c r="J596" s="39" t="str">
        <x:v>H1</x:v>
      </x:c>
      <x:c r="K596" s="39" t="str">
        <x:v>تطبیق احتمالی با پایه</x:v>
      </x:c>
      <x:c r="L596" s="39" t="str">
        <x:v>MI-1448</x:v>
      </x:c>
      <x:c r="M596" s="39" t="str">
        <x:v>پول هییت قبلا چوقدر هست دست من؟؟؟ قبلا 4,290 بوده . چقدر به سید دادم.</x:v>
      </x:c>
      <x:c r="N596" s="39" t="str">
        <x:v>1154878548.docx::P929.1</x:v>
      </x:c>
      <x:c r="O596" s="39"/>
    </x:row>
    <x:row r="597">
      <x:c r="A597" s="34" t="str">
        <x:v>☐</x:v>
      </x:c>
      <x:c r="B597" s="34" t="str">
        <x:v>EX-0569</x:v>
      </x:c>
      <x:c r="C597" s="34" t="str">
        <x:v>12. مشارکت، سرمایه اجتماعی و داوطلبی</x:v>
      </x:c>
      <x:c r="D597" s="34" t="str">
        <x:v>POSSIBLE</x:v>
      </x:c>
      <x:c r="E597" s="34" t="str">
        <x:v>90.0</x:v>
      </x:c>
      <x:c r="F597" s="34" t="str">
        <x:v>MI-1735</x:v>
      </x:c>
      <x:c r="G597" s="39" t="str">
        <x:v>سرمایه</x:v>
      </x:c>
      <x:c r="H597" s="39" t="str">
        <x:v>H8</x:v>
      </x:c>
      <x:c r="I597" s="39" t="str">
        <x:v>P2</x:v>
      </x:c>
      <x:c r="J597" s="39" t="str">
        <x:v>H8</x:v>
      </x:c>
      <x:c r="K597" s="39" t="str">
        <x:v>تطبیق احتمالی با پایه</x:v>
      </x:c>
      <x:c r="L597" s="39" t="str">
        <x:v>MI-1735</x:v>
      </x:c>
      <x:c r="M597" s="39" t="str">
        <x:v>سرمایه</x:v>
      </x:c>
      <x:c r="N597" s="39" t="str">
        <x:v>1154878548.docx::P930.1</x:v>
      </x:c>
      <x:c r="O597" s="39"/>
    </x:row>
    <x:row r="598">
      <x:c r="A598" s="34" t="str">
        <x:v>☐</x:v>
      </x:c>
      <x:c r="B598" s="34" t="str">
        <x:v>EX-0570</x:v>
      </x:c>
      <x:c r="C598" s="34" t="str">
        <x:v>جذب فعالان</x:v>
      </x:c>
      <x:c r="D598" s="34" t="str">
        <x:v>POSSIBLE</x:v>
      </x:c>
      <x:c r="E598" s="34" t="str">
        <x:v>85.5</x:v>
      </x:c>
      <x:c r="F598" s="34" t="str">
        <x:v>MI-2423</x:v>
      </x:c>
      <x:c r="G598" s="39" t="str">
        <x:v>«برنامه جذب کارآفرین و سرمایه گذار خارجی برای مازندران»</x:v>
      </x:c>
      <x:c r="H598" s="39" t="str">
        <x:v>H8</x:v>
      </x:c>
      <x:c r="I598" s="39" t="str">
        <x:v>P2</x:v>
      </x:c>
      <x:c r="J598" s="39" t="str">
        <x:v>H8</x:v>
      </x:c>
      <x:c r="K598" s="39" t="str">
        <x:v>تطبیق احتمالی با پایه</x:v>
      </x:c>
      <x:c r="L598" s="39" t="str">
        <x:v>MI-2423</x:v>
      </x:c>
      <x:c r="M598" s="39" t="str">
        <x:v>«برنامه جذب کارآفرین و سرمایه گذار خارجی برای مازندران»</x:v>
      </x:c>
      <x:c r="N598" s="39" t="str">
        <x:v>1154878548.docx::P932.1</x:v>
      </x:c>
      <x:c r="O598" s="39"/>
    </x:row>
    <x:row r="599">
      <x:c r="A599" s="34" t="str">
        <x:v>☐</x:v>
      </x:c>
      <x:c r="B599" s="34" t="str">
        <x:v>EX-0571</x:v>
      </x:c>
      <x:c r="C599" s="34" t="str">
        <x:v>نگهداشت و انگیزه</x:v>
      </x:c>
      <x:c r="D599" s="34" t="str">
        <x:v>POSSIBLE</x:v>
      </x:c>
      <x:c r="E599" s="34" t="str">
        <x:v>85.5</x:v>
      </x:c>
      <x:c r="F599" s="34" t="str">
        <x:v>MI-1513</x:v>
      </x:c>
      <x:c r="G599" s="39" t="str">
        <x:v>تولید و کارآفرینی: توانایی تولید محصول و خدمات و ایجاد شغل.</x:v>
      </x:c>
      <x:c r="H599" s="39" t="str">
        <x:v>H1</x:v>
      </x:c>
      <x:c r="I599" s="39" t="str">
        <x:v>P0</x:v>
      </x:c>
      <x:c r="J599" s="39" t="str">
        <x:v>H1</x:v>
      </x:c>
      <x:c r="K599" s="39" t="str">
        <x:v>تطبیق احتمالی با پایه</x:v>
      </x:c>
      <x:c r="L599" s="39" t="str">
        <x:v>MI-1513</x:v>
      </x:c>
      <x:c r="M599" s="39" t="str">
        <x:v>تولید و کارآفرینی: توانایی تولید محصول و خدمات و ایجاد شغل.</x:v>
      </x:c>
      <x:c r="N599" s="39" t="str">
        <x:v>1154878548.docx::P933.1</x:v>
      </x:c>
      <x:c r="O599" s="39"/>
    </x:row>
    <x:row r="600">
      <x:c r="A600" s="34" t="str">
        <x:v>☐</x:v>
      </x:c>
      <x:c r="B600" s="34" t="str">
        <x:v>EX-0572</x:v>
      </x:c>
      <x:c r="C600" s="34" t="str">
        <x:v>توزیع مسئولیت</x:v>
      </x:c>
      <x:c r="D600" s="34" t="str">
        <x:v>POSSIBLE</x:v>
      </x:c>
      <x:c r="E600" s="34" t="str">
        <x:v>85.5</x:v>
      </x:c>
      <x:c r="F600" s="34" t="str">
        <x:v>MI-0795</x:v>
      </x:c>
      <x:c r="G600" s="39" t="str">
        <x:v>- توزیع صبحانه همراه با شام و یا به صورت جیره هفتگی</x:v>
      </x:c>
      <x:c r="H600" s="39" t="str">
        <x:v>H11</x:v>
      </x:c>
      <x:c r="I600" s="39" t="str">
        <x:v>DELEGATE/P2</x:v>
      </x:c>
      <x:c r="J600" s="39" t="str">
        <x:v>H11</x:v>
      </x:c>
      <x:c r="K600" s="39" t="str">
        <x:v>تطبیق احتمالی با پایه</x:v>
      </x:c>
      <x:c r="L600" s="39" t="str">
        <x:v>MI-0795</x:v>
      </x:c>
      <x:c r="M600" s="39" t="str">
        <x:v>- توزیع صبحانه همراه با شام و یا به صورت جیره هفتگی</x:v>
      </x:c>
      <x:c r="N600" s="39" t="str">
        <x:v>1154878548.docx::P934.1</x:v>
      </x:c>
      <x:c r="O600" s="39"/>
    </x:row>
    <x:row r="601">
      <x:c r="A601" s="34" t="str">
        <x:v>☐</x:v>
      </x:c>
      <x:c r="B601" s="34" t="str">
        <x:v>EX-0573</x:v>
      </x:c>
      <x:c r="C601" s="34" t="str">
        <x:v>اعتماد، همدلی، کار جمعی</x:v>
      </x:c>
      <x:c r="D601" s="34" t="str">
        <x:v>POSSIBLE</x:v>
      </x:c>
      <x:c r="E601" s="34" t="str">
        <x:v>90.0</x:v>
      </x:c>
      <x:c r="F601" s="34" t="str">
        <x:v>MI-2545</x:v>
      </x:c>
      <x:c r="G601" s="39" t="str">
        <x:v>کار:</x:v>
      </x:c>
      <x:c r="H601" s="39" t="str">
        <x:v>H20</x:v>
      </x:c>
      <x:c r="I601" s="39" t="str">
        <x:v>P3/CLARIFY</x:v>
      </x:c>
      <x:c r="J601" s="39" t="str">
        <x:v>H20</x:v>
      </x:c>
      <x:c r="K601" s="39" t="str">
        <x:v>تطبیق احتمالی با پایه</x:v>
      </x:c>
      <x:c r="L601" s="39" t="str">
        <x:v>MI-2545</x:v>
      </x:c>
      <x:c r="M601" s="39" t="str">
        <x:v>کار:</x:v>
      </x:c>
      <x:c r="N601" s="39" t="str">
        <x:v>1154878548.docx::P935.1</x:v>
      </x:c>
      <x:c r="O601" s="39"/>
    </x:row>
    <x:row r="602">
      <x:c r="A602" s="34" t="str">
        <x:v>☐</x:v>
      </x:c>
      <x:c r="B602" s="34" t="str">
        <x:v>EX-0574</x:v>
      </x:c>
      <x:c r="C602" s="34" t="str">
        <x:v>مشارکت خواهران و برادران</x:v>
      </x:c>
      <x:c r="D602" s="34" t="str">
        <x:v>POSSIBLE</x:v>
      </x:c>
      <x:c r="E602" s="34" t="str">
        <x:v>85.5</x:v>
      </x:c>
      <x:c r="F602" s="34" t="str">
        <x:v>MI-1513</x:v>
      </x:c>
      <x:c r="G602" s="39" t="str">
        <x:v>تولید و کارآفرینی: توانایی تولید محصول و خدمات و ایجاد شغل.</x:v>
      </x:c>
      <x:c r="H602" s="39" t="str">
        <x:v>H1</x:v>
      </x:c>
      <x:c r="I602" s="39" t="str">
        <x:v>P0</x:v>
      </x:c>
      <x:c r="J602" s="39" t="str">
        <x:v>H1</x:v>
      </x:c>
      <x:c r="K602" s="39" t="str">
        <x:v>تطبیق احتمالی با پایه</x:v>
      </x:c>
      <x:c r="L602" s="39" t="str">
        <x:v>MI-1513</x:v>
      </x:c>
      <x:c r="M602" s="39" t="str">
        <x:v>تولید و کارآفرینی: توانایی تولید محصول و خدمات و ایجاد شغل.</x:v>
      </x:c>
      <x:c r="N602" s="39" t="str">
        <x:v>1154878548.docx::P936.1</x:v>
      </x:c>
      <x:c r="O602" s="39"/>
    </x:row>
    <x:row r="603">
      <x:c r="A603" s="34" t="str">
        <x:v>☐</x:v>
      </x:c>
      <x:c r="B603" s="34" t="str">
        <x:v>EX-0575</x:v>
      </x:c>
      <x:c r="C603" s="34" t="str">
        <x:v>سؤال محوری: «چه کسانی پای کارند و چرا میمانند؟»</x:v>
      </x:c>
      <x:c r="D603" s="34" t="str">
        <x:v>POSSIBLE</x:v>
      </x:c>
      <x:c r="E603" s="34" t="str">
        <x:v>85.5</x:v>
      </x:c>
      <x:c r="F603" s="34" t="str">
        <x:v>MI-0029</x:v>
      </x:c>
      <x:c r="G603" s="39" t="str">
        <x:v>تدریس ریاضی و فیزیک</x:v>
      </x:c>
      <x:c r="H603" s="39" t="str">
        <x:v>H1</x:v>
      </x:c>
      <x:c r="I603" s="39" t="str">
        <x:v>P0</x:v>
      </x:c>
      <x:c r="J603" s="39" t="str">
        <x:v>H1</x:v>
      </x:c>
      <x:c r="K603" s="39" t="str">
        <x:v>تطبیق احتمالی با پایه</x:v>
      </x:c>
      <x:c r="L603" s="39" t="str">
        <x:v>MI-0029</x:v>
      </x:c>
      <x:c r="M603" s="39" t="str">
        <x:v>تدریس ریاضی و فیزیک</x:v>
      </x:c>
      <x:c r="N603" s="39" t="str">
        <x:v>1154878548.docx::P937.1</x:v>
      </x:c>
      <x:c r="O603" s="39"/>
    </x:row>
    <x:row r="604">
      <x:c r="A604" s="34" t="str">
        <x:v>☐</x:v>
      </x:c>
      <x:c r="B604" s="34" t="str">
        <x:v>EX-0576</x:v>
      </x:c>
      <x:c r="C604" s="34" t="str">
        <x:v>13. ارزیابی، یادگیری و بهبود مستمر</x:v>
      </x:c>
      <x:c r="D604" s="34" t="str">
        <x:v>POSSIBLE</x:v>
      </x:c>
      <x:c r="E604" s="34" t="str">
        <x:v>90.0</x:v>
      </x:c>
      <x:c r="F604" s="34" t="str">
        <x:v>MI-0736</x:v>
      </x:c>
      <x:c r="G604" s="39" t="str">
        <x:v>ارزیابی</x:v>
      </x:c>
      <x:c r="H604" s="39" t="str">
        <x:v>H11</x:v>
      </x:c>
      <x:c r="I604" s="39" t="str">
        <x:v>DELEGATE/P2</x:v>
      </x:c>
      <x:c r="J604" s="39" t="str">
        <x:v>H11</x:v>
      </x:c>
      <x:c r="K604" s="39" t="str">
        <x:v>تطبیق احتمالی با پایه</x:v>
      </x:c>
      <x:c r="L604" s="39" t="str">
        <x:v>MI-0736</x:v>
      </x:c>
      <x:c r="M604" s="39" t="str">
        <x:v>ارزیابی</x:v>
      </x:c>
      <x:c r="N604" s="39" t="str">
        <x:v>1154878548.docx::P938.1</x:v>
      </x:c>
      <x:c r="O604" s="39"/>
    </x:row>
    <x:row r="605">
      <x:c r="A605" s="34" t="str">
        <x:v>☐</x:v>
      </x:c>
      <x:c r="B605" s="34" t="str">
        <x:v>EX-0577</x:v>
      </x:c>
      <x:c r="C605" s="34" t="str">
        <x:v>ارزیابی عملکرد</x:v>
      </x:c>
      <x:c r="D605" s="34" t="str">
        <x:v>POSSIBLE</x:v>
      </x:c>
      <x:c r="E605" s="34" t="str">
        <x:v>90.0</x:v>
      </x:c>
      <x:c r="F605" s="34" t="str">
        <x:v>MI-2639</x:v>
      </x:c>
      <x:c r="G605" s="39" t="str">
        <x:v>ارزیابی عملکرد تیم ها</x:v>
      </x:c>
      <x:c r="H605" s="39" t="str">
        <x:v>H10</x:v>
      </x:c>
      <x:c r="I605" s="39" t="str">
        <x:v>P2</x:v>
      </x:c>
      <x:c r="J605" s="39" t="str">
        <x:v>H10</x:v>
      </x:c>
      <x:c r="K605" s="39" t="str">
        <x:v>تطبیق احتمالی با پایه</x:v>
      </x:c>
      <x:c r="L605" s="39" t="str">
        <x:v>MI-2639</x:v>
      </x:c>
      <x:c r="M605" s="39" t="str">
        <x:v>ارزیابی عملکرد تیم ها</x:v>
      </x:c>
      <x:c r="N605" s="39" t="str">
        <x:v>1154878548.docx::P940.1</x:v>
      </x:c>
      <x:c r="O605" s="39"/>
    </x:row>
    <x:row r="606">
      <x:c r="A606" s="34" t="str">
        <x:v>☐</x:v>
      </x:c>
      <x:c r="B606" s="34" t="str">
        <x:v>EX-0578</x:v>
      </x:c>
      <x:c r="C606" s="34" t="str">
        <x:v>مقایسه با گذشته و دیگر دانشگاهها</x:v>
      </x:c>
      <x:c r="D606" s="34" t="str">
        <x:v>POSSIBLE</x:v>
      </x:c>
      <x:c r="E606" s="34" t="str">
        <x:v>90.0</x:v>
      </x:c>
      <x:c r="F606" s="34" t="str">
        <x:v>MI-2622</x:v>
      </x:c>
      <x:c r="G606" s="39" t="str">
        <x:v>دانش</x:v>
      </x:c>
      <x:c r="H606" s="39" t="str">
        <x:v>H20</x:v>
      </x:c>
      <x:c r="I606" s="39" t="str">
        <x:v>P3/CLARIFY</x:v>
      </x:c>
      <x:c r="J606" s="39" t="str">
        <x:v>H20</x:v>
      </x:c>
      <x:c r="K606" s="39" t="str">
        <x:v>تطبیق احتمالی با پایه</x:v>
      </x:c>
      <x:c r="L606" s="39" t="str">
        <x:v>MI-2622</x:v>
      </x:c>
      <x:c r="M606" s="39" t="str">
        <x:v>دانش</x:v>
      </x:c>
      <x:c r="N606" s="39" t="str">
        <x:v>1154878548.docx::P941.1</x:v>
      </x:c>
      <x:c r="O606" s="39"/>
    </x:row>
    <x:row r="607">
      <x:c r="A607" s="34" t="str">
        <x:v>☐</x:v>
      </x:c>
      <x:c r="B607" s="34" t="str">
        <x:v>EX-0579</x:v>
      </x:c>
      <x:c r="C607" s="34" t="str">
        <x:v>گزارشدهی</x:v>
      </x:c>
      <x:c r="D607" s="34" t="str">
        <x:v>UNMAPPED</x:v>
      </x:c>
      <x:c r="E607" s="34" t="str">
        <x:v>78.8</x:v>
      </x:c>
      <x:c r="F607" s="34" t="str">
        <x:v>MI-1500</x:v>
      </x:c>
      <x:c r="G607" s="39" t="str">
        <x:v>مدیریت مالی: تخصیص منابع، کنترل هزینه ها، گزارش دهی مالی.</x:v>
      </x:c>
      <x:c r="H607" s="39" t="str">
        <x:v>H1</x:v>
      </x:c>
      <x:c r="I607" s="39" t="str">
        <x:v>P0</x:v>
      </x:c>
      <x:c r="J607" s="39" t="str">
        <x:v>H23</x:v>
      </x:c>
      <x:c r="K607" s="39" t="str">
        <x:v>نیازمند پالایش؛ حذف نشده</x:v>
      </x:c>
      <x:c r="L607" s="39"/>
      <x:c r="M607" s="39"/>
      <x:c r="N607" s="39" t="str">
        <x:v>1154878548.docx::P942.1</x:v>
      </x:c>
      <x:c r="O607" s="39"/>
    </x:row>
    <x:row r="608">
      <x:c r="A608" s="34" t="str">
        <x:v>☐</x:v>
      </x:c>
      <x:c r="B608" s="34" t="str">
        <x:v>EX-0580</x:v>
      </x:c>
      <x:c r="C608" s="34" t="str">
        <x:v>نظرسنجی و بازخورد</x:v>
      </x:c>
      <x:c r="D608" s="34" t="str">
        <x:v>POSSIBLE</x:v>
      </x:c>
      <x:c r="E608" s="34" t="str">
        <x:v>85.5</x:v>
      </x:c>
      <x:c r="F608" s="34" t="str">
        <x:v>MI-1513</x:v>
      </x:c>
      <x:c r="G608" s="39" t="str">
        <x:v>تولید و کارآفرینی: توانایی تولید محصول و خدمات و ایجاد شغل.</x:v>
      </x:c>
      <x:c r="H608" s="39" t="str">
        <x:v>H1</x:v>
      </x:c>
      <x:c r="I608" s="39" t="str">
        <x:v>P0</x:v>
      </x:c>
      <x:c r="J608" s="39" t="str">
        <x:v>H1</x:v>
      </x:c>
      <x:c r="K608" s="39" t="str">
        <x:v>تطبیق احتمالی با پایه</x:v>
      </x:c>
      <x:c r="L608" s="39" t="str">
        <x:v>MI-1513</x:v>
      </x:c>
      <x:c r="M608" s="39" t="str">
        <x:v>تولید و کارآفرینی: توانایی تولید محصول و خدمات و ایجاد شغل.</x:v>
      </x:c>
      <x:c r="N608" s="39" t="str">
        <x:v>1154878548.docx::P943.1</x:v>
      </x:c>
      <x:c r="O608" s="39"/>
    </x:row>
    <x:row r="609">
      <x:c r="A609" s="34" t="str">
        <x:v>☐</x:v>
      </x:c>
      <x:c r="B609" s="34" t="str">
        <x:v>EX-0581</x:v>
      </x:c>
      <x:c r="C609" s="34" t="str">
        <x:v>اصلاح سیاستها</x:v>
      </x:c>
      <x:c r="D609" s="34" t="str">
        <x:v>POSSIBLE</x:v>
      </x:c>
      <x:c r="E609" s="34" t="str">
        <x:v>85.5</x:v>
      </x:c>
      <x:c r="F609" s="34" t="str">
        <x:v>MI-0970</x:v>
      </x:c>
      <x:c r="G609" s="39" t="str">
        <x:v>ایجاد روشویی مخصوص اصلاح برای هر کدام از طبقات بلوک 2</x:v>
      </x:c>
      <x:c r="H609" s="39" t="str">
        <x:v>H11</x:v>
      </x:c>
      <x:c r="I609" s="39" t="str">
        <x:v>DELEGATE/P2</x:v>
      </x:c>
      <x:c r="J609" s="39" t="str">
        <x:v>H11</x:v>
      </x:c>
      <x:c r="K609" s="39" t="str">
        <x:v>تطبیق احتمالی با پایه</x:v>
      </x:c>
      <x:c r="L609" s="39" t="str">
        <x:v>MI-0970</x:v>
      </x:c>
      <x:c r="M609" s="39" t="str">
        <x:v>ایجاد روشویی مخصوص اصلاح برای هر کدام از طبقات بلوک 2</x:v>
      </x:c>
      <x:c r="N609" s="39" t="str">
        <x:v>1154878548.docx::P944.1</x:v>
      </x:c>
      <x:c r="O609" s="39"/>
    </x:row>
    <x:row r="610">
      <x:c r="A610" s="34" t="str">
        <x:v>☐</x:v>
      </x:c>
      <x:c r="B610" s="34" t="str">
        <x:v>EX-0582</x:v>
      </x:c>
      <x:c r="C610" s="34" t="str">
        <x:v>سؤال محوری: «آیا بهتر شدیم یا فقط شلوغ بودیم؟»</x:v>
      </x:c>
      <x:c r="D610" s="34" t="str">
        <x:v>POSSIBLE</x:v>
      </x:c>
      <x:c r="E610" s="34" t="str">
        <x:v>85.5</x:v>
      </x:c>
      <x:c r="F610" s="34" t="str">
        <x:v>MI-3098</x:v>
      </x:c>
      <x:c r="G610" s="39" t="str">
        <x:v>حتی وقتی خسته هستید یا استرس دارید، باز هم دوست دارید چه کاری رو انجام دهید؟</x:v>
      </x:c>
      <x:c r="H610" s="39" t="str">
        <x:v>H1</x:v>
      </x:c>
      <x:c r="I610" s="39" t="str">
        <x:v>P0</x:v>
      </x:c>
      <x:c r="J610" s="39" t="str">
        <x:v>H1</x:v>
      </x:c>
      <x:c r="K610" s="39" t="str">
        <x:v>تطبیق احتمالی با پایه</x:v>
      </x:c>
      <x:c r="L610" s="39" t="str">
        <x:v>MI-3098</x:v>
      </x:c>
      <x:c r="M610" s="39" t="str">
        <x:v>حتی وقتی خسته هستید یا استرس دارید، باز هم دوست دارید چه کاری رو انجام دهید؟</x:v>
      </x:c>
      <x:c r="N610" s="39" t="str">
        <x:v>1154878548.docx::P945.1</x:v>
      </x:c>
      <x:c r="O610" s="39"/>
    </x:row>
    <x:row r="611">
      <x:c r="A611" s="34" t="str">
        <x:v>☐</x:v>
      </x:c>
      <x:c r="B611" s="34" t="str">
        <x:v>EX-0583</x:v>
      </x:c>
      <x:c r="C611" s="34" t="str">
        <x:v>۱. حکمرانی فرهنگی و هویتی</x:v>
      </x:c>
      <x:c r="D611" s="34" t="str">
        <x:v>POSSIBLE</x:v>
      </x:c>
      <x:c r="E611" s="34" t="str">
        <x:v>90.0</x:v>
      </x:c>
      <x:c r="F611" s="34" t="str">
        <x:v>MI-0289</x:v>
      </x:c>
      <x:c r="G611" s="39" t="str">
        <x:v>فرهنگی</x:v>
      </x:c>
      <x:c r="H611" s="39" t="str">
        <x:v>H15</x:v>
      </x:c>
      <x:c r="I611" s="39" t="str">
        <x:v>P3/CLARIFY</x:v>
      </x:c>
      <x:c r="J611" s="39" t="str">
        <x:v>H15</x:v>
      </x:c>
      <x:c r="K611" s="39" t="str">
        <x:v>تطبیق احتمالی با پایه</x:v>
      </x:c>
      <x:c r="L611" s="39" t="str">
        <x:v>MI-0289</x:v>
      </x:c>
      <x:c r="M611" s="39" t="str">
        <x:v>فرهنگی</x:v>
      </x:c>
      <x:c r="N611" s="39" t="str">
        <x:v>1154878548.docx::P955.1</x:v>
      </x:c>
      <x:c r="O611" s="39"/>
    </x:row>
    <x:row r="612">
      <x:c r="A612" s="34" t="str">
        <x:v>☐</x:v>
      </x:c>
      <x:c r="B612" s="34" t="str">
        <x:v>EX-0584</x:v>
      </x:c>
      <x:c r="C612" s="34" t="str">
        <x:v>۱-۱. دین، معنویت و مناسک</x:v>
      </x:c>
      <x:c r="D612" s="34" t="str">
        <x:v>POSSIBLE</x:v>
      </x:c>
      <x:c r="E612" s="34" t="str">
        <x:v>85.5</x:v>
      </x:c>
      <x:c r="F612" s="34" t="str">
        <x:v>MI-1513</x:v>
      </x:c>
      <x:c r="G612" s="39" t="str">
        <x:v>تولید و کارآفرینی: توانایی تولید محصول و خدمات و ایجاد شغل.</x:v>
      </x:c>
      <x:c r="H612" s="39" t="str">
        <x:v>H1</x:v>
      </x:c>
      <x:c r="I612" s="39" t="str">
        <x:v>P0</x:v>
      </x:c>
      <x:c r="J612" s="39" t="str">
        <x:v>H1</x:v>
      </x:c>
      <x:c r="K612" s="39" t="str">
        <x:v>تطبیق احتمالی با پایه</x:v>
      </x:c>
      <x:c r="L612" s="39" t="str">
        <x:v>MI-1513</x:v>
      </x:c>
      <x:c r="M612" s="39" t="str">
        <x:v>تولید و کارآفرینی: توانایی تولید محصول و خدمات و ایجاد شغل.</x:v>
      </x:c>
      <x:c r="N612" s="39" t="str">
        <x:v>1154878548.docx::P956.1</x:v>
      </x:c>
      <x:c r="O612" s="39"/>
    </x:row>
    <x:row r="613">
      <x:c r="A613" s="34" t="str">
        <x:v>☐</x:v>
      </x:c>
      <x:c r="B613" s="34" t="str">
        <x:v>EX-0585</x:v>
      </x:c>
      <x:c r="C613" s="34" t="str">
        <x:v>تمیزکاری</x:v>
      </x:c>
      <x:c r="D613" s="34" t="str">
        <x:v>POSSIBLE</x:v>
      </x:c>
      <x:c r="E613" s="34" t="str">
        <x:v>90.0</x:v>
      </x:c>
      <x:c r="F613" s="34" t="str">
        <x:v>MI-1120</x:v>
      </x:c>
      <x:c r="G613" s="39" t="str">
        <x:v>تمیزکاری دفتر هییت</x:v>
      </x:c>
      <x:c r="H613" s="39" t="str">
        <x:v>H15</x:v>
      </x:c>
      <x:c r="I613" s="39" t="str">
        <x:v>P3/CLARIFY</x:v>
      </x:c>
      <x:c r="J613" s="39" t="str">
        <x:v>H15</x:v>
      </x:c>
      <x:c r="K613" s="39" t="str">
        <x:v>تطبیق احتمالی با پایه</x:v>
      </x:c>
      <x:c r="L613" s="39" t="str">
        <x:v>MI-1120</x:v>
      </x:c>
      <x:c r="M613" s="39" t="str">
        <x:v>تمیزکاری دفتر هییت</x:v>
      </x:c>
      <x:c r="N613" s="39" t="str">
        <x:v>1154878548.docx::P965.1</x:v>
      </x:c>
      <x:c r="O613" s="39"/>
    </x:row>
    <x:row r="614">
      <x:c r="A614" s="34" t="str">
        <x:v>☐</x:v>
      </x:c>
      <x:c r="B614" s="34" t="str">
        <x:v>EX-0586</x:v>
      </x:c>
      <x:c r="C614" s="34" t="str">
        <x:v>سیستم صوتی</x:v>
      </x:c>
      <x:c r="D614" s="34" t="str">
        <x:v>POSSIBLE</x:v>
      </x:c>
      <x:c r="E614" s="34" t="str">
        <x:v>90.0</x:v>
      </x:c>
      <x:c r="F614" s="34" t="str">
        <x:v>MI-1151</x:v>
      </x:c>
      <x:c r="G614" s="39" t="str">
        <x:v>بررسی سیستم صوتی دانشگاه</x:v>
      </x:c>
      <x:c r="H614" s="39" t="str">
        <x:v>H11</x:v>
      </x:c>
      <x:c r="I614" s="39" t="str">
        <x:v>DELEGATE/P2</x:v>
      </x:c>
      <x:c r="J614" s="39" t="str">
        <x:v>H11</x:v>
      </x:c>
      <x:c r="K614" s="39" t="str">
        <x:v>تطبیق احتمالی با پایه</x:v>
      </x:c>
      <x:c r="L614" s="39" t="str">
        <x:v>MI-1151</x:v>
      </x:c>
      <x:c r="M614" s="39" t="str">
        <x:v>بررسی سیستم صوتی دانشگاه</x:v>
      </x:c>
      <x:c r="N614" s="39" t="str">
        <x:v>1154878548.docx::P966.1</x:v>
      </x:c>
      <x:c r="O614" s="39"/>
    </x:row>
    <x:row r="615">
      <x:c r="A615" s="34" t="str">
        <x:v>☐</x:v>
      </x:c>
      <x:c r="B615" s="34" t="str">
        <x:v>EX-0587</x:v>
      </x:c>
      <x:c r="C615" s="34" t="str">
        <x:v>اذانگو</x:v>
      </x:c>
      <x:c r="D615" s="34" t="str">
        <x:v>UNMAPPED</x:v>
      </x:c>
      <x:c r="E615" s="34" t="str">
        <x:v>75.0</x:v>
      </x:c>
      <x:c r="F615" s="34" t="str">
        <x:v>MI-1109</x:v>
      </x:c>
      <x:c r="G615" s="39" t="str">
        <x:v>مسابقه اذان و قرآن نداریم</x:v>
      </x:c>
      <x:c r="H615" s="39" t="str">
        <x:v>H15</x:v>
      </x:c>
      <x:c r="I615" s="39" t="str">
        <x:v>P3/CLARIFY</x:v>
      </x:c>
      <x:c r="J615" s="39" t="str">
        <x:v>H23</x:v>
      </x:c>
      <x:c r="K615" s="39" t="str">
        <x:v>نیازمند پالایش؛ حذف نشده</x:v>
      </x:c>
      <x:c r="L615" s="39"/>
      <x:c r="M615" s="39"/>
      <x:c r="N615" s="39" t="str">
        <x:v>1154878548.docx::P967.1</x:v>
      </x:c>
      <x:c r="O615" s="39"/>
    </x:row>
    <x:row r="616">
      <x:c r="A616" s="34" t="str">
        <x:v>☐</x:v>
      </x:c>
      <x:c r="B616" s="34" t="str">
        <x:v>EX-0588</x:v>
      </x:c>
      <x:c r="C616" s="34" t="str">
        <x:v>آب گرم</x:v>
      </x:c>
      <x:c r="D616" s="34" t="str">
        <x:v>POSSIBLE</x:v>
      </x:c>
      <x:c r="E616" s="34" t="str">
        <x:v>85.5</x:v>
      </x:c>
      <x:c r="F616" s="34" t="str">
        <x:v>MI-0807</x:v>
      </x:c>
      <x:c r="G616" s="39" t="str">
        <x:v>- استفاده از گوشت های گرم</x:v>
      </x:c>
      <x:c r="H616" s="39" t="str">
        <x:v>H11</x:v>
      </x:c>
      <x:c r="I616" s="39" t="str">
        <x:v>DELEGATE/P2</x:v>
      </x:c>
      <x:c r="J616" s="39" t="str">
        <x:v>H11</x:v>
      </x:c>
      <x:c r="K616" s="39" t="str">
        <x:v>تطبیق احتمالی با پایه</x:v>
      </x:c>
      <x:c r="L616" s="39" t="str">
        <x:v>MI-0807</x:v>
      </x:c>
      <x:c r="M616" s="39" t="str">
        <x:v>- استفاده از گوشت های گرم</x:v>
      </x:c>
      <x:c r="N616" s="39" t="str">
        <x:v>1154878548.docx::P968.1</x:v>
      </x:c>
      <x:c r="O616" s="39"/>
    </x:row>
    <x:row r="617">
      <x:c r="A617" s="34" t="str">
        <x:v>☐</x:v>
      </x:c>
      <x:c r="B617" s="34" t="str">
        <x:v>EX-0589</x:v>
      </x:c>
      <x:c r="C617" s="34" t="str">
        <x:v>سرویس بهداشتی</x:v>
      </x:c>
      <x:c r="D617" s="34" t="str">
        <x:v>POSSIBLE</x:v>
      </x:c>
      <x:c r="E617" s="34" t="str">
        <x:v>90.0</x:v>
      </x:c>
      <x:c r="F617" s="34" t="str">
        <x:v>MI-0955</x:v>
      </x:c>
      <x:c r="G617" s="39" t="str">
        <x:v>ابگرمکن سرویس بهداشتی مسجد دانشگاه</x:v>
      </x:c>
      <x:c r="H617" s="39" t="str">
        <x:v>H11</x:v>
      </x:c>
      <x:c r="I617" s="39" t="str">
        <x:v>DELEGATE/P2</x:v>
      </x:c>
      <x:c r="J617" s="39" t="str">
        <x:v>H11</x:v>
      </x:c>
      <x:c r="K617" s="39" t="str">
        <x:v>تطبیق احتمالی با پایه</x:v>
      </x:c>
      <x:c r="L617" s="39" t="str">
        <x:v>MI-0955</x:v>
      </x:c>
      <x:c r="M617" s="39" t="str">
        <x:v>ابگرمکن سرویس بهداشتی مسجد دانشگاه</x:v>
      </x:c>
      <x:c r="N617" s="39" t="str">
        <x:v>1154878548.docx::P969.1</x:v>
      </x:c>
      <x:c r="O617" s="39"/>
    </x:row>
    <x:row r="618">
      <x:c r="A618" s="34" t="str">
        <x:v>☐</x:v>
      </x:c>
      <x:c r="B618" s="34" t="str">
        <x:v>EX-0590</x:v>
      </x:c>
      <x:c r="C618" s="34" t="str">
        <x:v>پخش کلیپهای کوتاه با تحلیل چندخطی توسط تشکلها/نهاد/سخنوری       سیاسی</x:v>
      </x:c>
      <x:c r="D618" s="34" t="str">
        <x:v>POSSIBLE</x:v>
      </x:c>
      <x:c r="E618" s="34" t="str">
        <x:v>86.3</x:v>
      </x:c>
      <x:c r="F618" s="34" t="str">
        <x:v>MI-1116</x:v>
      </x:c>
      <x:c r="G618" s="39" t="str">
        <x:v>پخش کلیپ های کوتاه به همراه تحلیلی چند خطی توسط تشکل ها و یا نهاد و یا سخنوری سیاسی</x:v>
      </x:c>
      <x:c r="H618" s="39" t="str">
        <x:v>H16</x:v>
      </x:c>
      <x:c r="I618" s="39" t="str">
        <x:v>P3/CLARIFY</x:v>
      </x:c>
      <x:c r="J618" s="39" t="str">
        <x:v>H16</x:v>
      </x:c>
      <x:c r="K618" s="39" t="str">
        <x:v>تطبیق احتمالی با پایه</x:v>
      </x:c>
      <x:c r="L618" s="39" t="str">
        <x:v>MI-1116</x:v>
      </x:c>
      <x:c r="M618" s="39" t="str">
        <x:v>پخش کلیپ های کوتاه به همراه تحلیلی چند خطی توسط تشکل ها و یا نهاد و یا سخنوری سیاسی</x:v>
      </x:c>
      <x:c r="N618" s="39" t="str">
        <x:v>1154878548.docx::P971.1</x:v>
      </x:c>
      <x:c r="O618" s="39"/>
    </x:row>
    <x:row r="619">
      <x:c r="A619" s="34" t="str">
        <x:v>☐</x:v>
      </x:c>
      <x:c r="B619" s="34" t="str">
        <x:v>EX-0591</x:v>
      </x:c>
      <x:c r="C619" s="34" t="str">
        <x:v>نامه به حراست برای باز بودن درب پشتی دانشگاه تا       ساعت مشخص برای مراسم هیئت</x:v>
      </x:c>
      <x:c r="D619" s="34" t="str">
        <x:v>POSSIBLE</x:v>
      </x:c>
      <x:c r="E619" s="34" t="str">
        <x:v>87.5</x:v>
      </x:c>
      <x:c r="F619" s="34" t="str">
        <x:v>MI-1118</x:v>
      </x:c>
      <x:c r="G619" s="39" t="str">
        <x:v>نامه به حراست برای هماهنگی برای باز بودن درب پشتی دانشگاه تا ساعت فلان برای مراسم هییت</x:v>
      </x:c>
      <x:c r="H619" s="39" t="str">
        <x:v>H11</x:v>
      </x:c>
      <x:c r="I619" s="39" t="str">
        <x:v>DELEGATE/P2</x:v>
      </x:c>
      <x:c r="J619" s="39" t="str">
        <x:v>H11</x:v>
      </x:c>
      <x:c r="K619" s="39" t="str">
        <x:v>تطبیق احتمالی با پایه</x:v>
      </x:c>
      <x:c r="L619" s="39" t="str">
        <x:v>MI-1118</x:v>
      </x:c>
      <x:c r="M619" s="39" t="str">
        <x:v>نامه به حراست برای هماهنگی برای باز بودن درب پشتی دانشگاه تا ساعت فلان برای مراسم هییت</x:v>
      </x:c>
      <x:c r="N619" s="39" t="str">
        <x:v>1154878548.docx::P973.1</x:v>
      </x:c>
      <x:c r="O619" s="39"/>
    </x:row>
    <x:row r="620">
      <x:c r="A620" s="34" t="str">
        <x:v>☐</x:v>
      </x:c>
      <x:c r="B620" s="34" t="str">
        <x:v>EX-0592</x:v>
      </x:c>
      <x:c r="C620" s="34" t="str">
        <x:v>شبکهسازی بزرگ جهت هماهنگی با مداحین، سخنرانان</x:v>
      </x:c>
      <x:c r="D620" s="34" t="str">
        <x:v>POSSIBLE</x:v>
      </x:c>
      <x:c r="E620" s="34" t="str">
        <x:v>85.5</x:v>
      </x:c>
      <x:c r="F620" s="34" t="str">
        <x:v>MI-1501</x:v>
      </x:c>
      <x:c r="G620" s="39" t="str">
        <x:v>مدیریت ریسک: شناسایی ریسک ها، ارزیابی اثرات، تدوین برنامه های مقابله با ریسک ها.</x:v>
      </x:c>
      <x:c r="H620" s="39" t="str">
        <x:v>H1</x:v>
      </x:c>
      <x:c r="I620" s="39" t="str">
        <x:v>P0</x:v>
      </x:c>
      <x:c r="J620" s="39" t="str">
        <x:v>H1</x:v>
      </x:c>
      <x:c r="K620" s="39" t="str">
        <x:v>تطبیق احتمالی با پایه</x:v>
      </x:c>
      <x:c r="L620" s="39" t="str">
        <x:v>MI-1501</x:v>
      </x:c>
      <x:c r="M620" s="39" t="str">
        <x:v>مدیریت ریسک: شناسایی ریسک ها، ارزیابی اثرات، تدوین برنامه های مقابله با ریسک ها.</x:v>
      </x:c>
      <x:c r="N620" s="39" t="str">
        <x:v>1154878548.docx::P974.1</x:v>
      </x:c>
      <x:c r="O620" s="39"/>
    </x:row>
    <x:row r="621">
      <x:c r="A621" s="34" t="str">
        <x:v>☐</x:v>
      </x:c>
      <x:c r="B621" s="34" t="str">
        <x:v>EX-0593</x:v>
      </x:c>
      <x:c r="C621" s="34" t="str">
        <x:v>هماهنگی ترابری مسئول هیئت و اعضا به جلسات       استان/شهرستان</x:v>
      </x:c>
      <x:c r="D621" s="34" t="str">
        <x:v>POSSIBLE</x:v>
      </x:c>
      <x:c r="E621" s="34" t="str">
        <x:v>91.4</x:v>
      </x:c>
      <x:c r="F621" s="34" t="str">
        <x:v>MI-1122</x:v>
      </x:c>
      <x:c r="G621" s="39" t="str">
        <x:v>هماهنگی جهت ترابری مسیول هییت و اعضا به جلسات استان و شهرستان</x:v>
      </x:c>
      <x:c r="H621" s="39" t="str">
        <x:v>H15</x:v>
      </x:c>
      <x:c r="I621" s="39" t="str">
        <x:v>P3/CLARIFY</x:v>
      </x:c>
      <x:c r="J621" s="39" t="str">
        <x:v>H15</x:v>
      </x:c>
      <x:c r="K621" s="39" t="str">
        <x:v>تطبیق احتمالی با پایه</x:v>
      </x:c>
      <x:c r="L621" s="39" t="str">
        <x:v>MI-1122</x:v>
      </x:c>
      <x:c r="M621" s="39" t="str">
        <x:v>هماهنگی جهت ترابری مسیول هییت و اعضا به جلسات استان و شهرستان</x:v>
      </x:c>
      <x:c r="N621" s="39" t="str">
        <x:v>1154878548.docx::P977.1</x:v>
      </x:c>
      <x:c r="O621" s="39"/>
    </x:row>
    <x:row r="622">
      <x:c r="A622" s="34" t="str">
        <x:v>☐</x:v>
      </x:c>
      <x:c r="B622" s="34" t="str">
        <x:v>EX-0594</x:v>
      </x:c>
      <x:c r="C622" s="34" t="str">
        <x:v>گردهمایی مذهبی، سلسله جلسات، برنامههای هیئت</x:v>
      </x:c>
      <x:c r="D622" s="34" t="str">
        <x:v>POSSIBLE</x:v>
      </x:c>
      <x:c r="E622" s="34" t="str">
        <x:v>87.0</x:v>
      </x:c>
      <x:c r="F622" s="34" t="str">
        <x:v>MI-1124</x:v>
      </x:c>
      <x:c r="G622" s="39" t="str">
        <x:v>گردهم آیی مذهبی ، سلسه جلسات ، برنامه های هییات و ...</x:v>
      </x:c>
      <x:c r="H622" s="39" t="str">
        <x:v>H15</x:v>
      </x:c>
      <x:c r="I622" s="39" t="str">
        <x:v>P3/CLARIFY</x:v>
      </x:c>
      <x:c r="J622" s="39" t="str">
        <x:v>H15</x:v>
      </x:c>
      <x:c r="K622" s="39" t="str">
        <x:v>تطبیق احتمالی با پایه</x:v>
      </x:c>
      <x:c r="L622" s="39" t="str">
        <x:v>MI-1124</x:v>
      </x:c>
      <x:c r="M622" s="39" t="str">
        <x:v>گردهم آیی مذهبی ، سلسه جلسات ، برنامه های هییات و ...</x:v>
      </x:c>
      <x:c r="N622" s="39" t="str">
        <x:v>1154878548.docx::P979.1</x:v>
      </x:c>
      <x:c r="O622" s="39"/>
    </x:row>
    <x:row r="623">
      <x:c r="A623" s="34" t="str">
        <x:v>☐</x:v>
      </x:c>
      <x:c r="B623" s="34" t="str">
        <x:v>EX-0595</x:v>
      </x:c>
      <x:c r="C623" s="34" t="str">
        <x:v>ارتباط با قاسمی، جلسه با هیئتهای استان</x:v>
      </x:c>
      <x:c r="D623" s="34" t="str">
        <x:v>POSSIBLE</x:v>
      </x:c>
      <x:c r="E623" s="34" t="str">
        <x:v>91.9</x:v>
      </x:c>
      <x:c r="F623" s="34" t="str">
        <x:v>MI-1125</x:v>
      </x:c>
      <x:c r="G623" s="39" t="str">
        <x:v>ارتباط با قاسمی، جلسه با هییات استان</x:v>
      </x:c>
      <x:c r="H623" s="39" t="str">
        <x:v>H14</x:v>
      </x:c>
      <x:c r="I623" s="39" t="str">
        <x:v>P3</x:v>
      </x:c>
      <x:c r="J623" s="39" t="str">
        <x:v>H14</x:v>
      </x:c>
      <x:c r="K623" s="39" t="str">
        <x:v>تطبیق احتمالی با پایه</x:v>
      </x:c>
      <x:c r="L623" s="39" t="str">
        <x:v>MI-1125</x:v>
      </x:c>
      <x:c r="M623" s="39" t="str">
        <x:v>ارتباط با قاسمی، جلسه با هییات استان</x:v>
      </x:c>
      <x:c r="N623" s="39" t="str">
        <x:v>1154878548.docx::P980.1</x:v>
      </x:c>
      <x:c r="O623" s="39"/>
    </x:row>
    <x:row r="624">
      <x:c r="A624" s="34" t="str">
        <x:v>☐</x:v>
      </x:c>
      <x:c r="B624" s="34" t="str">
        <x:v>EX-0596</x:v>
      </x:c>
      <x:c r="C624" s="34" t="str">
        <x:v>پلتفرم اسلام ناب (eslamenaab.ir)</x:v>
      </x:c>
      <x:c r="D624" s="34" t="str">
        <x:v>POSSIBLE</x:v>
      </x:c>
      <x:c r="E624" s="34" t="str">
        <x:v>90.0</x:v>
      </x:c>
      <x:c r="F624" s="34" t="str">
        <x:v>MI-0181</x:v>
      </x:c>
      <x:c r="G624" s="39" t="str">
        <x:v>SLAM</x:v>
      </x:c>
      <x:c r="H624" s="39" t="str">
        <x:v>H7</x:v>
      </x:c>
      <x:c r="I624" s="39" t="str">
        <x:v>P1</x:v>
      </x:c>
      <x:c r="J624" s="39" t="str">
        <x:v>H7</x:v>
      </x:c>
      <x:c r="K624" s="39" t="str">
        <x:v>تطبیق احتمالی با پایه</x:v>
      </x:c>
      <x:c r="L624" s="39" t="str">
        <x:v>MI-0181</x:v>
      </x:c>
      <x:c r="M624" s="39" t="str">
        <x:v>SLAM</x:v>
      </x:c>
      <x:c r="N624" s="39" t="str">
        <x:v>1154878548.docx::P981.1 | 1154878548.docx::P1479.1</x:v>
      </x:c>
      <x:c r="O624" s="39"/>
    </x:row>
    <x:row r="625">
      <x:c r="A625" s="34" t="str">
        <x:v>☐</x:v>
      </x:c>
      <x:c r="B625" s="34" t="str">
        <x:v>EX-0597</x:v>
      </x:c>
      <x:c r="C625" s="34" t="str">
        <x:v>دفتر</x:v>
      </x:c>
      <x:c r="D625" s="34" t="str">
        <x:v>POSSIBLE</x:v>
      </x:c>
      <x:c r="E625" s="34" t="str">
        <x:v>90.0</x:v>
      </x:c>
      <x:c r="F625" s="34" t="str">
        <x:v>MI-1531</x:v>
      </x:c>
      <x:c r="G625" s="39" t="str">
        <x:v>باز کردن دفتر بسیج خوابگاه</x:v>
      </x:c>
      <x:c r="H625" s="39" t="str">
        <x:v>H1</x:v>
      </x:c>
      <x:c r="I625" s="39" t="str">
        <x:v>P0</x:v>
      </x:c>
      <x:c r="J625" s="39" t="str">
        <x:v>H1</x:v>
      </x:c>
      <x:c r="K625" s="39" t="str">
        <x:v>تطبیق احتمالی با پایه</x:v>
      </x:c>
      <x:c r="L625" s="39" t="str">
        <x:v>MI-1531</x:v>
      </x:c>
      <x:c r="M625" s="39" t="str">
        <x:v>باز کردن دفتر بسیج خوابگاه</x:v>
      </x:c>
      <x:c r="N625" s="39" t="str">
        <x:v>1154878548.docx::P983.1</x:v>
      </x:c>
      <x:c r="O625" s="39"/>
    </x:row>
    <x:row r="626">
      <x:c r="A626" s="34" t="str">
        <x:v>☐</x:v>
      </x:c>
      <x:c r="B626" s="34" t="str">
        <x:v>EX-0598</x:v>
      </x:c>
      <x:c r="C626" s="34" t="str">
        <x:v>تجهیزات</x:v>
      </x:c>
      <x:c r="D626" s="34" t="str">
        <x:v>POSSIBLE</x:v>
      </x:c>
      <x:c r="E626" s="34" t="str">
        <x:v>90.0</x:v>
      </x:c>
      <x:c r="F626" s="34" t="str">
        <x:v>MI-0620</x:v>
      </x:c>
      <x:c r="G626" s="39" t="str">
        <x:v>بیمه تجهیزات الکترونیکی مثل لپ تاپ</x:v>
      </x:c>
      <x:c r="H626" s="39" t="str">
        <x:v>H4</x:v>
      </x:c>
      <x:c r="I626" s="39" t="str">
        <x:v>P1</x:v>
      </x:c>
      <x:c r="J626" s="39" t="str">
        <x:v>H4</x:v>
      </x:c>
      <x:c r="K626" s="39" t="str">
        <x:v>تطبیق احتمالی با پایه</x:v>
      </x:c>
      <x:c r="L626" s="39" t="str">
        <x:v>MI-0620</x:v>
      </x:c>
      <x:c r="M626" s="39" t="str">
        <x:v>بیمه تجهیزات الکترونیکی مثل لپ تاپ</x:v>
      </x:c>
      <x:c r="N626" s="39" t="str">
        <x:v>1154878548.docx::P984.1 | 1154878548.docx::P1008.1</x:v>
      </x:c>
      <x:c r="O626" s="39"/>
    </x:row>
    <x:row r="627">
      <x:c r="A627" s="34" t="str">
        <x:v>☐</x:v>
      </x:c>
      <x:c r="B627" s="34" t="str">
        <x:v>EX-0599</x:v>
      </x:c>
      <x:c r="C627" s="34" t="str">
        <x:v>شبکه مداحان</x:v>
      </x:c>
      <x:c r="D627" s="34" t="str">
        <x:v>POSSIBLE</x:v>
      </x:c>
      <x:c r="E627" s="34" t="str">
        <x:v>85.5</x:v>
      </x:c>
      <x:c r="F627" s="34" t="str">
        <x:v>MI-1485</x:v>
      </x:c>
      <x:c r="G627" s="39" t="str">
        <x:v>شبکه سازی و امنیت:</x:v>
      </x:c>
      <x:c r="H627" s="39" t="str">
        <x:v>H4</x:v>
      </x:c>
      <x:c r="I627" s="39" t="str">
        <x:v>P1</x:v>
      </x:c>
      <x:c r="J627" s="39" t="str">
        <x:v>H4</x:v>
      </x:c>
      <x:c r="K627" s="39" t="str">
        <x:v>تطبیق احتمالی با پایه</x:v>
      </x:c>
      <x:c r="L627" s="39" t="str">
        <x:v>MI-1485</x:v>
      </x:c>
      <x:c r="M627" s="39" t="str">
        <x:v>شبکه سازی و امنیت:</x:v>
      </x:c>
      <x:c r="N627" s="39" t="str">
        <x:v>1154878548.docx::P985.1</x:v>
      </x:c>
      <x:c r="O627" s="39"/>
    </x:row>
    <x:row r="628">
      <x:c r="A628" s="34" t="str">
        <x:v>☐</x:v>
      </x:c>
      <x:c r="B628" s="34" t="str">
        <x:v>EX-0600</x:v>
      </x:c>
      <x:c r="C628" s="34" t="str">
        <x:v>حملونقل</x:v>
      </x:c>
      <x:c r="D628" s="34" t="str">
        <x:v>UNMAPPED</x:v>
      </x:c>
      <x:c r="E628" s="34" t="str">
        <x:v>77.1</x:v>
      </x:c>
      <x:c r="F628" s="34" t="str">
        <x:v>MI-2204</x:v>
      </x:c>
      <x:c r="G628" s="39" t="str">
        <x:v>لجستیک و حمل ونقل شمال</x:v>
      </x:c>
      <x:c r="H628" s="39" t="str">
        <x:v>H6</x:v>
      </x:c>
      <x:c r="I628" s="39" t="str">
        <x:v>P3/CLARIFY</x:v>
      </x:c>
      <x:c r="J628" s="39" t="str">
        <x:v>H23</x:v>
      </x:c>
      <x:c r="K628" s="39" t="str">
        <x:v>نیازمند پالایش؛ حذف نشده</x:v>
      </x:c>
      <x:c r="L628" s="39"/>
      <x:c r="M628" s="39"/>
      <x:c r="N628" s="39" t="str">
        <x:v>1154878548.docx::P986.1 | 1154878548.docx::P2407.1</x:v>
      </x:c>
      <x:c r="O628" s="39"/>
    </x:row>
    <x:row r="629">
      <x:c r="A629" s="34" t="str">
        <x:v>☐</x:v>
      </x:c>
      <x:c r="B629" s="34" t="str">
        <x:v>EX-0601</x:v>
      </x:c>
      <x:c r="C629" s="34" t="str">
        <x:v>مناجاتخوانی و ادعیه</x:v>
      </x:c>
      <x:c r="D629" s="34" t="str">
        <x:v>POSSIBLE</x:v>
      </x:c>
      <x:c r="E629" s="34" t="str">
        <x:v>85.5</x:v>
      </x:c>
      <x:c r="F629" s="34" t="str">
        <x:v>MI-1513</x:v>
      </x:c>
      <x:c r="G629" s="39" t="str">
        <x:v>تولید و کارآفرینی: توانایی تولید محصول و خدمات و ایجاد شغل.</x:v>
      </x:c>
      <x:c r="H629" s="39" t="str">
        <x:v>H1</x:v>
      </x:c>
      <x:c r="I629" s="39" t="str">
        <x:v>P0</x:v>
      </x:c>
      <x:c r="J629" s="39" t="str">
        <x:v>H1</x:v>
      </x:c>
      <x:c r="K629" s="39" t="str">
        <x:v>تطبیق احتمالی با پایه</x:v>
      </x:c>
      <x:c r="L629" s="39" t="str">
        <x:v>MI-1513</x:v>
      </x:c>
      <x:c r="M629" s="39" t="str">
        <x:v>تولید و کارآفرینی: توانایی تولید محصول و خدمات و ایجاد شغل.</x:v>
      </x:c>
      <x:c r="N629" s="39" t="str">
        <x:v>1154878548.docx::P989.1</x:v>
      </x:c>
      <x:c r="O629" s="39"/>
    </x:row>
    <x:row r="630">
      <x:c r="A630" s="34" t="str">
        <x:v>☐</x:v>
      </x:c>
      <x:c r="B630" s="34" t="str">
        <x:v>EX-0602</x:v>
      </x:c>
      <x:c r="C630" s="34" t="str">
        <x:v>دعای توسل</x:v>
      </x:c>
      <x:c r="D630" s="34" t="str">
        <x:v>POSSIBLE</x:v>
      </x:c>
      <x:c r="E630" s="34" t="str">
        <x:v>90.0</x:v>
      </x:c>
      <x:c r="F630" s="34" t="str">
        <x:v>MI-1179</x:v>
      </x:c>
      <x:c r="G630" s="39" t="str">
        <x:v>حوزه دعای توسل</x:v>
      </x:c>
      <x:c r="H630" s="39" t="str">
        <x:v>H11</x:v>
      </x:c>
      <x:c r="I630" s="39" t="str">
        <x:v>DELEGATE/P2</x:v>
      </x:c>
      <x:c r="J630" s="39" t="str">
        <x:v>H11</x:v>
      </x:c>
      <x:c r="K630" s="39" t="str">
        <x:v>تطبیق احتمالی با پایه</x:v>
      </x:c>
      <x:c r="L630" s="39" t="str">
        <x:v>MI-1179</x:v>
      </x:c>
      <x:c r="M630" s="39" t="str">
        <x:v>حوزه دعای توسل</x:v>
      </x:c>
      <x:c r="N630" s="39" t="str">
        <x:v>1154878548.docx::P990.1</x:v>
      </x:c>
      <x:c r="O630" s="39"/>
    </x:row>
    <x:row r="631">
      <x:c r="A631" s="34" t="str">
        <x:v>☐</x:v>
      </x:c>
      <x:c r="B631" s="34" t="str">
        <x:v>EX-0603</x:v>
      </x:c>
      <x:c r="C631" s="34" t="str">
        <x:v>حوزه اذان-ادعیه-قرآن (آقا طاها و افراد معرفیشده)</x:v>
      </x:c>
      <x:c r="D631" s="34" t="str">
        <x:v>POSSIBLE</x:v>
      </x:c>
      <x:c r="E631" s="34" t="str">
        <x:v>90.0</x:v>
      </x:c>
      <x:c r="F631" s="34" t="str">
        <x:v>MI-1180</x:v>
      </x:c>
      <x:c r="G631" s="39" t="str">
        <x:v>حوزه اذان - ادعیه - قرآن</x:v>
      </x:c>
      <x:c r="H631" s="39" t="str">
        <x:v>H15</x:v>
      </x:c>
      <x:c r="I631" s="39" t="str">
        <x:v>P3/CLARIFY</x:v>
      </x:c>
      <x:c r="J631" s="39" t="str">
        <x:v>H15</x:v>
      </x:c>
      <x:c r="K631" s="39" t="str">
        <x:v>تطبیق احتمالی با پایه</x:v>
      </x:c>
      <x:c r="L631" s="39" t="str">
        <x:v>MI-1180</x:v>
      </x:c>
      <x:c r="M631" s="39" t="str">
        <x:v>حوزه اذان - ادعیه - قرآن</x:v>
      </x:c>
      <x:c r="N631" s="39" t="str">
        <x:v>1154878548.docx::P992.1</x:v>
      </x:c>
      <x:c r="O631" s="39"/>
    </x:row>
    <x:row r="632">
      <x:c r="A632" s="34" t="str">
        <x:v>☐</x:v>
      </x:c>
      <x:c r="B632" s="34" t="str">
        <x:v>EX-0604</x:v>
      </x:c>
      <x:c r="C632" s="34" t="str">
        <x:v>۱-۲. مناسبتهای فرهنگی و تقویم</x:v>
      </x:c>
      <x:c r="D632" s="34" t="str">
        <x:v>POSSIBLE</x:v>
      </x:c>
      <x:c r="E632" s="34" t="str">
        <x:v>90.0</x:v>
      </x:c>
      <x:c r="F632" s="34" t="str">
        <x:v>MI-0289</x:v>
      </x:c>
      <x:c r="G632" s="39" t="str">
        <x:v>فرهنگی</x:v>
      </x:c>
      <x:c r="H632" s="39" t="str">
        <x:v>H15</x:v>
      </x:c>
      <x:c r="I632" s="39" t="str">
        <x:v>P3/CLARIFY</x:v>
      </x:c>
      <x:c r="J632" s="39" t="str">
        <x:v>H15</x:v>
      </x:c>
      <x:c r="K632" s="39" t="str">
        <x:v>تطبیق احتمالی با پایه</x:v>
      </x:c>
      <x:c r="L632" s="39" t="str">
        <x:v>MI-0289</x:v>
      </x:c>
      <x:c r="M632" s="39" t="str">
        <x:v>فرهنگی</x:v>
      </x:c>
      <x:c r="N632" s="39" t="str">
        <x:v>1154878548.docx::P994.1</x:v>
      </x:c>
      <x:c r="O632" s="39"/>
    </x:row>
    <x:row r="633">
      <x:c r="A633" s="34" t="str">
        <x:v>☐</x:v>
      </x:c>
      <x:c r="B633" s="34" t="str">
        <x:v>EX-0605</x:v>
      </x:c>
      <x:c r="C633" s="34" t="str">
        <x:v>۱-۳. زیارت، شهدا و هویت انقلابی</x:v>
      </x:c>
      <x:c r="D633" s="34" t="str">
        <x:v>POSSIBLE</x:v>
      </x:c>
      <x:c r="E633" s="34" t="str">
        <x:v>85.5</x:v>
      </x:c>
      <x:c r="F633" s="34" t="str">
        <x:v>MI-1513</x:v>
      </x:c>
      <x:c r="G633" s="39" t="str">
        <x:v>تولید و کارآفرینی: توانایی تولید محصول و خدمات و ایجاد شغل.</x:v>
      </x:c>
      <x:c r="H633" s="39" t="str">
        <x:v>H1</x:v>
      </x:c>
      <x:c r="I633" s="39" t="str">
        <x:v>P0</x:v>
      </x:c>
      <x:c r="J633" s="39" t="str">
        <x:v>H1</x:v>
      </x:c>
      <x:c r="K633" s="39" t="str">
        <x:v>تطبیق احتمالی با پایه</x:v>
      </x:c>
      <x:c r="L633" s="39" t="str">
        <x:v>MI-1513</x:v>
      </x:c>
      <x:c r="M633" s="39" t="str">
        <x:v>تولید و کارآفرینی: توانایی تولید محصول و خدمات و ایجاد شغل.</x:v>
      </x:c>
      <x:c r="N633" s="39" t="str">
        <x:v>1154878548.docx::P1005.1</x:v>
      </x:c>
      <x:c r="O633" s="39"/>
    </x:row>
    <x:row r="634">
      <x:c r="A634" s="34" t="str">
        <x:v>☐</x:v>
      </x:c>
      <x:c r="B634" s="34" t="str">
        <x:v>EX-0606</x:v>
      </x:c>
      <x:c r="C634" s="34" t="str">
        <x:v>روضهخوانی مزار شهدا/آرامگاه معتمدی</x:v>
      </x:c>
      <x:c r="D634" s="34" t="str">
        <x:v>POSSIBLE</x:v>
      </x:c>
      <x:c r="E634" s="34" t="str">
        <x:v>85.5</x:v>
      </x:c>
      <x:c r="F634" s="34" t="str">
        <x:v>MI-0238</x:v>
      </x:c>
      <x:c r="G634" s="39" t="str">
        <x:v>آرامگاه معتمدی و شهدا</x:v>
      </x:c>
      <x:c r="H634" s="39" t="str">
        <x:v>H11</x:v>
      </x:c>
      <x:c r="I634" s="39" t="str">
        <x:v>DELEGATE/P2</x:v>
      </x:c>
      <x:c r="J634" s="39" t="str">
        <x:v>H11</x:v>
      </x:c>
      <x:c r="K634" s="39" t="str">
        <x:v>تطبیق احتمالی با پایه</x:v>
      </x:c>
      <x:c r="L634" s="39" t="str">
        <x:v>MI-0238</x:v>
      </x:c>
      <x:c r="M634" s="39" t="str">
        <x:v>آرامگاه معتمدی و شهدا</x:v>
      </x:c>
      <x:c r="N634" s="39" t="str">
        <x:v>1154878548.docx::P1006.1</x:v>
      </x:c>
      <x:c r="O634" s="39"/>
    </x:row>
    <x:row r="635">
      <x:c r="A635" s="34" t="str">
        <x:v>☐</x:v>
      </x:c>
      <x:c r="B635" s="34" t="str">
        <x:v>EX-0607</x:v>
      </x:c>
      <x:c r="C635" s="34" t="str">
        <x:v>روضه</x:v>
      </x:c>
      <x:c r="D635" s="34" t="str">
        <x:v>UNMAPPED</x:v>
      </x:c>
      <x:c r="E635" s="34" t="str">
        <x:v>77.1</x:v>
      </x:c>
      <x:c r="F635" s="34" t="str">
        <x:v>MI-1199</x:v>
      </x:c>
      <x:c r="G635" s="39" t="str">
        <x:v>سپردن کار به اعضا کارگروه</x:v>
      </x:c>
      <x:c r="H635" s="39" t="str">
        <x:v>H11</x:v>
      </x:c>
      <x:c r="I635" s="39" t="str">
        <x:v>DELEGATE/P2</x:v>
      </x:c>
      <x:c r="J635" s="39" t="str">
        <x:v>H23</x:v>
      </x:c>
      <x:c r="K635" s="39" t="str">
        <x:v>نیازمند پالایش؛ حذف نشده</x:v>
      </x:c>
      <x:c r="L635" s="39"/>
      <x:c r="M635" s="39"/>
      <x:c r="N635" s="39" t="str">
        <x:v>1154878548.docx::P1007.1</x:v>
      </x:c>
      <x:c r="O635" s="39"/>
    </x:row>
    <x:row r="636">
      <x:c r="A636" s="34" t="str">
        <x:v>☐</x:v>
      </x:c>
      <x:c r="B636" s="34" t="str">
        <x:v>EX-0608</x:v>
      </x:c>
      <x:c r="C636" s="34" t="str">
        <x:v>مراسم</x:v>
      </x:c>
      <x:c r="D636" s="34" t="str">
        <x:v>POSSIBLE</x:v>
      </x:c>
      <x:c r="E636" s="34" t="str">
        <x:v>90.0</x:v>
      </x:c>
      <x:c r="F636" s="34" t="str">
        <x:v>MI-1127</x:v>
      </x:c>
      <x:c r="G636" s="39" t="str">
        <x:v>استفاده از محتوا در مراسمات و هییت</x:v>
      </x:c>
      <x:c r="H636" s="39" t="str">
        <x:v>H15</x:v>
      </x:c>
      <x:c r="I636" s="39" t="str">
        <x:v>P3/CLARIFY</x:v>
      </x:c>
      <x:c r="J636" s="39" t="str">
        <x:v>H15</x:v>
      </x:c>
      <x:c r="K636" s="39" t="str">
        <x:v>تطبیق احتمالی با پایه</x:v>
      </x:c>
      <x:c r="L636" s="39" t="str">
        <x:v>MI-1127</x:v>
      </x:c>
      <x:c r="M636" s="39" t="str">
        <x:v>استفاده از محتوا در مراسمات و هییت</x:v>
      </x:c>
      <x:c r="N636" s="39" t="str">
        <x:v>1154878548.docx::P1009.1</x:v>
      </x:c>
      <x:c r="O636" s="39"/>
    </x:row>
    <x:row r="637">
      <x:c r="A637" s="34" t="str">
        <x:v>☐</x:v>
      </x:c>
      <x:c r="B637" s="34" t="str">
        <x:v>EX-0609</x:v>
      </x:c>
      <x:c r="C637" s="34" t="str">
        <x:v>وصیتنامه شهدا (وصیت شهید حسن تهرانیمقدم)</x:v>
      </x:c>
      <x:c r="D637" s="34" t="str">
        <x:v>POSSIBLE</x:v>
      </x:c>
      <x:c r="E637" s="34" t="str">
        <x:v>90.0</x:v>
      </x:c>
      <x:c r="F637" s="34" t="str">
        <x:v>MI-2223</x:v>
      </x:c>
      <x:c r="G637" s="39" t="str">
        <x:v>تهران</x:v>
      </x:c>
      <x:c r="H637" s="39" t="str">
        <x:v>H20</x:v>
      </x:c>
      <x:c r="I637" s="39" t="str">
        <x:v>P3/CLARIFY</x:v>
      </x:c>
      <x:c r="J637" s="39" t="str">
        <x:v>H20</x:v>
      </x:c>
      <x:c r="K637" s="39" t="str">
        <x:v>تطبیق احتمالی با پایه</x:v>
      </x:c>
      <x:c r="L637" s="39" t="str">
        <x:v>MI-2223</x:v>
      </x:c>
      <x:c r="M637" s="39" t="str">
        <x:v>تهران</x:v>
      </x:c>
      <x:c r="N637" s="39" t="str">
        <x:v>1154878548.docx::P1013.1</x:v>
      </x:c>
      <x:c r="O637" s="39"/>
    </x:row>
    <x:row r="638">
      <x:c r="A638" s="34" t="str">
        <x:v>☐</x:v>
      </x:c>
      <x:c r="B638" s="34" t="str">
        <x:v>EX-0610</x:v>
      </x:c>
      <x:c r="C638" s="34" t="str">
        <x:v>پرچم حضرت رضا (هماهنگی استقبال)</x:v>
      </x:c>
      <x:c r="D638" s="34" t="str">
        <x:v>POSSIBLE</x:v>
      </x:c>
      <x:c r="E638" s="34" t="str">
        <x:v>90.0</x:v>
      </x:c>
      <x:c r="F638" s="34" t="str">
        <x:v>MI-1137</x:v>
      </x:c>
      <x:c r="G638" s="39" t="str">
        <x:v>پرچم حضرت رضا:</x:v>
      </x:c>
      <x:c r="H638" s="39" t="str">
        <x:v>H23</x:v>
      </x:c>
      <x:c r="I638" s="39" t="str">
        <x:v>P3/CLARIFY</x:v>
      </x:c>
      <x:c r="J638" s="39" t="str">
        <x:v>H23</x:v>
      </x:c>
      <x:c r="K638" s="39" t="str">
        <x:v>تطبیق احتمالی با پایه</x:v>
      </x:c>
      <x:c r="L638" s="39" t="str">
        <x:v>MI-1137</x:v>
      </x:c>
      <x:c r="M638" s="39" t="str">
        <x:v>پرچم حضرت رضا:</x:v>
      </x:c>
      <x:c r="N638" s="39" t="str">
        <x:v>1154878548.docx::P1014.1</x:v>
      </x:c>
      <x:c r="O638" s="39"/>
    </x:row>
    <x:row r="639">
      <x:c r="A639" s="34" t="str">
        <x:v>☐</x:v>
      </x:c>
      <x:c r="B639" s="34" t="str">
        <x:v>EX-0611</x:v>
      </x:c>
      <x:c r="C639" s="34" t="str">
        <x:v>بسیج بومهن (نقشه تعاملی تشکلهای دانشجویی)</x:v>
      </x:c>
      <x:c r="D639" s="34" t="str">
        <x:v>POSSIBLE</x:v>
      </x:c>
      <x:c r="E639" s="34" t="str">
        <x:v>90.0</x:v>
      </x:c>
      <x:c r="F639" s="34" t="str">
        <x:v>MI-2713</x:v>
      </x:c>
      <x:c r="G639" s="39" t="str">
        <x:v>تعامل</x:v>
      </x:c>
      <x:c r="H639" s="39" t="str">
        <x:v>H4</x:v>
      </x:c>
      <x:c r="I639" s="39" t="str">
        <x:v>P1</x:v>
      </x:c>
      <x:c r="J639" s="39" t="str">
        <x:v>H4</x:v>
      </x:c>
      <x:c r="K639" s="39" t="str">
        <x:v>تطبیق احتمالی با پایه</x:v>
      </x:c>
      <x:c r="L639" s="39" t="str">
        <x:v>MI-2713</x:v>
      </x:c>
      <x:c r="M639" s="39" t="str">
        <x:v>تعامل</x:v>
      </x:c>
      <x:c r="N639" s="39" t="str">
        <x:v>1154878548.docx::P1015.1</x:v>
      </x:c>
      <x:c r="O639" s="39"/>
    </x:row>
    <x:row r="640">
      <x:c r="A640" s="34" t="str">
        <x:v>☐</x:v>
      </x:c>
      <x:c r="B640" s="34" t="str">
        <x:v>EX-0612</x:v>
      </x:c>
      <x:c r="C640" s="34" t="str">
        <x:v>۱-۴. امور خیریه و کمک اجتماعی</x:v>
      </x:c>
      <x:c r="D640" s="34" t="str">
        <x:v>POSSIBLE</x:v>
      </x:c>
      <x:c r="E640" s="34" t="str">
        <x:v>90.0</x:v>
      </x:c>
      <x:c r="F640" s="34" t="str">
        <x:v>MI-0288</x:v>
      </x:c>
      <x:c r="G640" s="39" t="str">
        <x:v>اجتماعی</x:v>
      </x:c>
      <x:c r="H640" s="39" t="str">
        <x:v>H15</x:v>
      </x:c>
      <x:c r="I640" s="39" t="str">
        <x:v>P3/CLARIFY</x:v>
      </x:c>
      <x:c r="J640" s="39" t="str">
        <x:v>H15</x:v>
      </x:c>
      <x:c r="K640" s="39" t="str">
        <x:v>تطبیق احتمالی با پایه</x:v>
      </x:c>
      <x:c r="L640" s="39" t="str">
        <x:v>MI-0288</x:v>
      </x:c>
      <x:c r="M640" s="39" t="str">
        <x:v>اجتماعی</x:v>
      </x:c>
      <x:c r="N640" s="39" t="str">
        <x:v>1154878548.docx::P1016.1</x:v>
      </x:c>
      <x:c r="O640" s="39"/>
    </x:row>
    <x:row r="641">
      <x:c r="A641" s="34" t="str">
        <x:v>☐</x:v>
      </x:c>
      <x:c r="B641" s="34" t="str">
        <x:v>EX-0613</x:v>
      </x:c>
      <x:c r="C641" s="34" t="str">
        <x:v>میزبانی مراسم خیریه (اختصاص ۱۰% درآمد)</x:v>
      </x:c>
      <x:c r="D641" s="34" t="str">
        <x:v>POSSIBLE</x:v>
      </x:c>
      <x:c r="E641" s="34" t="str">
        <x:v>85.5</x:v>
      </x:c>
      <x:c r="F641" s="34" t="str">
        <x:v>MI-0670</x:v>
      </x:c>
      <x:c r="G641" s="39" t="str">
        <x:v>پادکست رشته ها و توضیح آن برای ورودی ها ، بازار کار، درآمد ، کار ها ، درس ها</x:v>
      </x:c>
      <x:c r="H641" s="39" t="str">
        <x:v>H3</x:v>
      </x:c>
      <x:c r="I641" s="39" t="str">
        <x:v>P0/P1</x:v>
      </x:c>
      <x:c r="J641" s="39" t="str">
        <x:v>H3</x:v>
      </x:c>
      <x:c r="K641" s="39" t="str">
        <x:v>تطبیق احتمالی با پایه</x:v>
      </x:c>
      <x:c r="L641" s="39" t="str">
        <x:v>MI-0670</x:v>
      </x:c>
      <x:c r="M641" s="39" t="str">
        <x:v>پادکست رشته ها و توضیح آن برای ورودی ها ، بازار کار، درآمد ، کار ها ، درس ها</x:v>
      </x:c>
      <x:c r="N641" s="39" t="str">
        <x:v>1154878548.docx::P1017.1</x:v>
      </x:c>
      <x:c r="O641" s="39"/>
    </x:row>
    <x:row r="642">
      <x:c r="A642" s="34" t="str">
        <x:v>☐</x:v>
      </x:c>
      <x:c r="B642" s="34" t="str">
        <x:v>EX-0614</x:v>
      </x:c>
      <x:c r="C642" s="34" t="str">
        <x:v>استفاده از غذای باقیمانده سلف (تحویل به خانه      سالمندان بابالحوائج)</x:v>
      </x:c>
      <x:c r="D642" s="34" t="str">
        <x:v>POSSIBLE</x:v>
      </x:c>
      <x:c r="E642" s="34" t="str">
        <x:v>85.5</x:v>
      </x:c>
      <x:c r="F642" s="34" t="str">
        <x:v>MI-3063</x:v>
      </x:c>
      <x:c r="G642"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642" s="39" t="str">
        <x:v>H1</x:v>
      </x:c>
      <x:c r="I642" s="39" t="str">
        <x:v>P0</x:v>
      </x:c>
      <x:c r="J642" s="39" t="str">
        <x:v>H1</x:v>
      </x:c>
      <x:c r="K642" s="39" t="str">
        <x:v>تطبیق احتمالی با پایه</x:v>
      </x:c>
      <x:c r="L642" s="39" t="str">
        <x:v>MI-3063</x:v>
      </x:c>
      <x:c r="M642"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642" s="39" t="str">
        <x:v>1154878548.docx::P1018.1</x:v>
      </x:c>
      <x:c r="O642" s="39"/>
    </x:row>
    <x:row r="643">
      <x:c r="A643" s="34" t="str">
        <x:v>☐</x:v>
      </x:c>
      <x:c r="B643" s="34" t="str">
        <x:v>EX-0615</x:v>
      </x:c>
      <x:c r="C643" s="34" t="str">
        <x:v>حوزه خیریه (رئیسی، نامه غذای نیک)</x:v>
      </x:c>
      <x:c r="D643" s="34" t="str">
        <x:v>POSSIBLE</x:v>
      </x:c>
      <x:c r="E643" s="34" t="str">
        <x:v>90.0</x:v>
      </x:c>
      <x:c r="F643" s="34" t="str">
        <x:v>MI-1168</x:v>
      </x:c>
      <x:c r="G643" s="39" t="str">
        <x:v>نامه غذای نیک</x:v>
      </x:c>
      <x:c r="H643" s="39" t="str">
        <x:v>H11</x:v>
      </x:c>
      <x:c r="I643" s="39" t="str">
        <x:v>DELEGATE/P2</x:v>
      </x:c>
      <x:c r="J643" s="39" t="str">
        <x:v>H11</x:v>
      </x:c>
      <x:c r="K643" s="39" t="str">
        <x:v>تطبیق احتمالی با پایه</x:v>
      </x:c>
      <x:c r="L643" s="39" t="str">
        <x:v>MI-1168</x:v>
      </x:c>
      <x:c r="M643" s="39" t="str">
        <x:v>نامه غذای نیک</x:v>
      </x:c>
      <x:c r="N643" s="39" t="str">
        <x:v>1154878548.docx::P1019.1</x:v>
      </x:c>
      <x:c r="O643" s="39"/>
    </x:row>
    <x:row r="644">
      <x:c r="A644" s="34" t="str">
        <x:v>☐</x:v>
      </x:c>
      <x:c r="B644" s="34" t="str">
        <x:v>EX-0616</x:v>
      </x:c>
      <x:c r="C644" s="34" t="str">
        <x:v>کمک به بیماران (سرطانی، MS، دیالیز،      پیوند)</x:v>
      </x:c>
      <x:c r="D644" s="34" t="str">
        <x:v>POSSIBLE</x:v>
      </x:c>
      <x:c r="E644" s="34" t="str">
        <x:v>90.0</x:v>
      </x:c>
      <x:c r="F644" s="34" t="str">
        <x:v>MI-0264</x:v>
      </x:c>
      <x:c r="G644" s="39" t="str">
        <x:v>سرطان</x:v>
      </x:c>
      <x:c r="H644" s="39" t="str">
        <x:v>H13</x:v>
      </x:c>
      <x:c r="I644" s="39" t="str">
        <x:v>P2</x:v>
      </x:c>
      <x:c r="J644" s="39" t="str">
        <x:v>H13</x:v>
      </x:c>
      <x:c r="K644" s="39" t="str">
        <x:v>تطبیق احتمالی با پایه</x:v>
      </x:c>
      <x:c r="L644" s="39" t="str">
        <x:v>MI-0264</x:v>
      </x:c>
      <x:c r="M644" s="39" t="str">
        <x:v>سرطان</x:v>
      </x:c>
      <x:c r="N644" s="39" t="str">
        <x:v>1154878548.docx::P1020.1</x:v>
      </x:c>
      <x:c r="O644" s="39"/>
    </x:row>
    <x:row r="645">
      <x:c r="A645" s="34" t="str">
        <x:v>☐</x:v>
      </x:c>
      <x:c r="B645" s="34" t="str">
        <x:v>EX-0617</x:v>
      </x:c>
      <x:c r="C645" s="34" t="str">
        <x:v>غذای حضرت (مشهد)، کاروان اربعین، امامزاده اسماعیل</x:v>
      </x:c>
      <x:c r="D645" s="34" t="str">
        <x:v>POSSIBLE</x:v>
      </x:c>
      <x:c r="E645" s="34" t="str">
        <x:v>86.9</x:v>
      </x:c>
      <x:c r="F645" s="34" t="str">
        <x:v>MI-0270</x:v>
      </x:c>
      <x:c r="G645" s="39" t="str">
        <x:v>غذای حضرتی مشهد</x:v>
      </x:c>
      <x:c r="H645" s="39" t="str">
        <x:v>H13</x:v>
      </x:c>
      <x:c r="I645" s="39" t="str">
        <x:v>P2</x:v>
      </x:c>
      <x:c r="J645" s="39" t="str">
        <x:v>H13</x:v>
      </x:c>
      <x:c r="K645" s="39" t="str">
        <x:v>تطبیق احتمالی با پایه</x:v>
      </x:c>
      <x:c r="L645" s="39" t="str">
        <x:v>MI-0270</x:v>
      </x:c>
      <x:c r="M645" s="39" t="str">
        <x:v>غذای حضرتی مشهد</x:v>
      </x:c>
      <x:c r="N645" s="39" t="str">
        <x:v>1154878548.docx::P1021.1</x:v>
      </x:c>
      <x:c r="O645" s="39"/>
    </x:row>
    <x:row r="646">
      <x:c r="A646" s="34" t="str">
        <x:v>☐</x:v>
      </x:c>
      <x:c r="B646" s="34" t="str">
        <x:v>EX-0618</x:v>
      </x:c>
      <x:c r="C646" s="34" t="str">
        <x:v>۲. حکمرانی سیاسی و امنیت نرم</x:v>
      </x:c>
      <x:c r="D646" s="34" t="str">
        <x:v>POSSIBLE</x:v>
      </x:c>
      <x:c r="E646" s="34" t="str">
        <x:v>85.5</x:v>
      </x:c>
      <x:c r="F646" s="34" t="str">
        <x:v>MI-1513</x:v>
      </x:c>
      <x:c r="G646" s="39" t="str">
        <x:v>تولید و کارآفرینی: توانایی تولید محصول و خدمات و ایجاد شغل.</x:v>
      </x:c>
      <x:c r="H646" s="39" t="str">
        <x:v>H1</x:v>
      </x:c>
      <x:c r="I646" s="39" t="str">
        <x:v>P0</x:v>
      </x:c>
      <x:c r="J646" s="39" t="str">
        <x:v>H1</x:v>
      </x:c>
      <x:c r="K646" s="39" t="str">
        <x:v>تطبیق احتمالی با پایه</x:v>
      </x:c>
      <x:c r="L646" s="39" t="str">
        <x:v>MI-1513</x:v>
      </x:c>
      <x:c r="M646" s="39" t="str">
        <x:v>تولید و کارآفرینی: توانایی تولید محصول و خدمات و ایجاد شغل.</x:v>
      </x:c>
      <x:c r="N646" s="39" t="str">
        <x:v>1154878548.docx::P1022.1</x:v>
      </x:c>
      <x:c r="O646" s="39"/>
    </x:row>
    <x:row r="647">
      <x:c r="A647" s="34" t="str">
        <x:v>☐</x:v>
      </x:c>
      <x:c r="B647" s="34" t="str">
        <x:v>EX-0619</x:v>
      </x:c>
      <x:c r="C647" s="34" t="str">
        <x:v>۲-۱. تحلیل و نقد سیاسی</x:v>
      </x:c>
      <x:c r="D647" s="34" t="str">
        <x:v>POSSIBLE</x:v>
      </x:c>
      <x:c r="E647" s="34" t="str">
        <x:v>85.5</x:v>
      </x:c>
      <x:c r="F647" s="34" t="str">
        <x:v>MI-1513</x:v>
      </x:c>
      <x:c r="G647" s="39" t="str">
        <x:v>تولید و کارآفرینی: توانایی تولید محصول و خدمات و ایجاد شغل.</x:v>
      </x:c>
      <x:c r="H647" s="39" t="str">
        <x:v>H1</x:v>
      </x:c>
      <x:c r="I647" s="39" t="str">
        <x:v>P0</x:v>
      </x:c>
      <x:c r="J647" s="39" t="str">
        <x:v>H1</x:v>
      </x:c>
      <x:c r="K647" s="39" t="str">
        <x:v>تطبیق احتمالی با پایه</x:v>
      </x:c>
      <x:c r="L647" s="39" t="str">
        <x:v>MI-1513</x:v>
      </x:c>
      <x:c r="M647" s="39" t="str">
        <x:v>تولید و کارآفرینی: توانایی تولید محصول و خدمات و ایجاد شغل.</x:v>
      </x:c>
      <x:c r="N647" s="39" t="str">
        <x:v>1154878548.docx::P1023.1</x:v>
      </x:c>
      <x:c r="O647" s="39"/>
    </x:row>
    <x:row r="648">
      <x:c r="A648" s="34" t="str">
        <x:v>☐</x:v>
      </x:c>
      <x:c r="B648" s="34" t="str">
        <x:v>EX-0620</x:v>
      </x:c>
      <x:c r="C648" s="34" t="str">
        <x:v>مفاهیم اقتصادی-سیاسی</x:v>
      </x:c>
      <x:c r="D648" s="34" t="str">
        <x:v>POSSIBLE</x:v>
      </x:c>
      <x:c r="E648" s="34" t="str">
        <x:v>90.0</x:v>
      </x:c>
      <x:c r="F648" s="34" t="str">
        <x:v>MI-0283</x:v>
      </x:c>
      <x:c r="G648" s="39" t="str">
        <x:v>اقتصادی</x:v>
      </x:c>
      <x:c r="H648" s="39" t="str">
        <x:v>H16</x:v>
      </x:c>
      <x:c r="I648" s="39" t="str">
        <x:v>P3/CLARIFY</x:v>
      </x:c>
      <x:c r="J648" s="39" t="str">
        <x:v>H16</x:v>
      </x:c>
      <x:c r="K648" s="39" t="str">
        <x:v>تطبیق احتمالی با پایه</x:v>
      </x:c>
      <x:c r="L648" s="39" t="str">
        <x:v>MI-0283</x:v>
      </x:c>
      <x:c r="M648" s="39" t="str">
        <x:v>اقتصادی</x:v>
      </x:c>
      <x:c r="N648" s="39" t="str">
        <x:v>1154878548.docx::P1024.1</x:v>
      </x:c>
      <x:c r="O648" s="39"/>
    </x:row>
    <x:row r="649">
      <x:c r="A649" s="34" t="str">
        <x:v>☐</x:v>
      </x:c>
      <x:c r="B649" s="34" t="str">
        <x:v>EX-0621</x:v>
      </x:c>
      <x:c r="C649" s="34" t="str">
        <x:v>فرصتسوزی/فرصتسازی/فرصتستیزی</x:v>
      </x:c>
      <x:c r="D649" s="34" t="str">
        <x:v>POSSIBLE</x:v>
      </x:c>
      <x:c r="E649" s="34" t="str">
        <x:v>84.7</x:v>
      </x:c>
      <x:c r="F649" s="34" t="str">
        <x:v>MI-0346</x:v>
      </x:c>
      <x:c r="G649" s="39" t="str">
        <x:v>فرصت سوزی</x:v>
      </x:c>
      <x:c r="H649" s="39" t="str">
        <x:v>H18</x:v>
      </x:c>
      <x:c r="I649" s="39" t="str">
        <x:v>P3/CLARIFY</x:v>
      </x:c>
      <x:c r="J649" s="39" t="str">
        <x:v>H18</x:v>
      </x:c>
      <x:c r="K649" s="39" t="str">
        <x:v>تطبیق احتمالی با پایه</x:v>
      </x:c>
      <x:c r="L649" s="39" t="str">
        <x:v>MI-0346</x:v>
      </x:c>
      <x:c r="M649" s="39" t="str">
        <x:v>فرصت سوزی</x:v>
      </x:c>
      <x:c r="N649" s="39" t="str">
        <x:v>1154878548.docx::P1026.1</x:v>
      </x:c>
      <x:c r="O649" s="39"/>
    </x:row>
    <x:row r="650">
      <x:c r="A650" s="34" t="str">
        <x:v>☐</x:v>
      </x:c>
      <x:c r="B650" s="34" t="str">
        <x:v>EX-0622</x:v>
      </x:c>
      <x:c r="C650" s="34" t="str">
        <x:v>اقتصاد و دولت</x:v>
      </x:c>
      <x:c r="D650" s="34" t="str">
        <x:v>POSSIBLE</x:v>
      </x:c>
      <x:c r="E650" s="34" t="str">
        <x:v>85.5</x:v>
      </x:c>
      <x:c r="F650" s="34" t="str">
        <x:v>MI-1513</x:v>
      </x:c>
      <x:c r="G650" s="39" t="str">
        <x:v>تولید و کارآفرینی: توانایی تولید محصول و خدمات و ایجاد شغل.</x:v>
      </x:c>
      <x:c r="H650" s="39" t="str">
        <x:v>H1</x:v>
      </x:c>
      <x:c r="I650" s="39" t="str">
        <x:v>P0</x:v>
      </x:c>
      <x:c r="J650" s="39" t="str">
        <x:v>H1</x:v>
      </x:c>
      <x:c r="K650" s="39" t="str">
        <x:v>تطبیق احتمالی با پایه</x:v>
      </x:c>
      <x:c r="L650" s="39" t="str">
        <x:v>MI-1513</x:v>
      </x:c>
      <x:c r="M650" s="39" t="str">
        <x:v>تولید و کارآفرینی: توانایی تولید محصول و خدمات و ایجاد شغل.</x:v>
      </x:c>
      <x:c r="N650" s="39" t="str">
        <x:v>1154878548.docx::P1027.1</x:v>
      </x:c>
      <x:c r="O650" s="39"/>
    </x:row>
    <x:row r="651">
      <x:c r="A651" s="34" t="str">
        <x:v>☐</x:v>
      </x:c>
      <x:c r="B651" s="34" t="str">
        <x:v>EX-0623</x:v>
      </x:c>
      <x:c r="C651" s="34" t="str">
        <x:v>اقتصاد دلاریزهشده</x:v>
      </x:c>
      <x:c r="D651" s="34" t="str">
        <x:v>POSSIBLE</x:v>
      </x:c>
      <x:c r="E651" s="34" t="str">
        <x:v>85.5</x:v>
      </x:c>
      <x:c r="F651" s="34" t="str">
        <x:v>MI-2340</x:v>
      </x:c>
      <x:c r="G651" s="39" t="str">
        <x:v>3. کارآفرینی در اقتصاد دریا</x:v>
      </x:c>
      <x:c r="H651" s="39" t="str">
        <x:v>H12</x:v>
      </x:c>
      <x:c r="I651" s="39" t="str">
        <x:v>P2</x:v>
      </x:c>
      <x:c r="J651" s="39" t="str">
        <x:v>H12</x:v>
      </x:c>
      <x:c r="K651" s="39" t="str">
        <x:v>تطبیق احتمالی با پایه</x:v>
      </x:c>
      <x:c r="L651" s="39" t="str">
        <x:v>MI-2340</x:v>
      </x:c>
      <x:c r="M651" s="39" t="str">
        <x:v>3. کارآفرینی در اقتصاد دریا</x:v>
      </x:c>
      <x:c r="N651" s="39" t="str">
        <x:v>1154878548.docx::P1028.1</x:v>
      </x:c>
      <x:c r="O651" s="39"/>
    </x:row>
    <x:row r="652">
      <x:c r="A652" s="34" t="str">
        <x:v>☐</x:v>
      </x:c>
      <x:c r="B652" s="34" t="str">
        <x:v>EX-0624</x:v>
      </x:c>
      <x:c r="C652" s="34" t="str">
        <x:v>خصولتیها (ایرانخودرو، سایپا)</x:v>
      </x:c>
      <x:c r="D652" s="34" t="str">
        <x:v>POSSIBLE</x:v>
      </x:c>
      <x:c r="E652" s="34" t="str">
        <x:v>90.0</x:v>
      </x:c>
      <x:c r="F652" s="34" t="str">
        <x:v>MI-1236</x:v>
      </x:c>
      <x:c r="G652" s="39" t="str">
        <x:v>ایران</x:v>
      </x:c>
      <x:c r="H652" s="39" t="str">
        <x:v>H12</x:v>
      </x:c>
      <x:c r="I652" s="39" t="str">
        <x:v>P2</x:v>
      </x:c>
      <x:c r="J652" s="39" t="str">
        <x:v>H12</x:v>
      </x:c>
      <x:c r="K652" s="39" t="str">
        <x:v>تطبیق احتمالی با پایه</x:v>
      </x:c>
      <x:c r="L652" s="39" t="str">
        <x:v>MI-1236</x:v>
      </x:c>
      <x:c r="M652" s="39" t="str">
        <x:v>ایران</x:v>
      </x:c>
      <x:c r="N652" s="39" t="str">
        <x:v>1154878548.docx::P1029.1</x:v>
      </x:c>
      <x:c r="O652" s="39"/>
    </x:row>
    <x:row r="653">
      <x:c r="A653" s="34" t="str">
        <x:v>☐</x:v>
      </x:c>
      <x:c r="B653" s="34" t="str">
        <x:v>EX-0625</x:v>
      </x:c>
      <x:c r="C653" s="34" t="str">
        <x:v>سیاست و حکومت</x:v>
      </x:c>
      <x:c r="D653" s="34" t="str">
        <x:v>POSSIBLE</x:v>
      </x:c>
      <x:c r="E653" s="34" t="str">
        <x:v>85.5</x:v>
      </x:c>
      <x:c r="F653" s="34" t="str">
        <x:v>MI-1513</x:v>
      </x:c>
      <x:c r="G653" s="39" t="str">
        <x:v>تولید و کارآفرینی: توانایی تولید محصول و خدمات و ایجاد شغل.</x:v>
      </x:c>
      <x:c r="H653" s="39" t="str">
        <x:v>H1</x:v>
      </x:c>
      <x:c r="I653" s="39" t="str">
        <x:v>P0</x:v>
      </x:c>
      <x:c r="J653" s="39" t="str">
        <x:v>H1</x:v>
      </x:c>
      <x:c r="K653" s="39" t="str">
        <x:v>تطبیق احتمالی با پایه</x:v>
      </x:c>
      <x:c r="L653" s="39" t="str">
        <x:v>MI-1513</x:v>
      </x:c>
      <x:c r="M653" s="39" t="str">
        <x:v>تولید و کارآفرینی: توانایی تولید محصول و خدمات و ایجاد شغل.</x:v>
      </x:c>
      <x:c r="N653" s="39" t="str">
        <x:v>1154878548.docx::P1035.1</x:v>
      </x:c>
      <x:c r="O653" s="39"/>
    </x:row>
    <x:row r="654">
      <x:c r="A654" s="34" t="str">
        <x:v>☐</x:v>
      </x:c>
      <x:c r="B654" s="34" t="str">
        <x:v>EX-0626</x:v>
      </x:c>
      <x:c r="C654" s="34" t="str">
        <x:v>عملکرد مجلس ۱۱</x:v>
      </x:c>
      <x:c r="D654" s="34" t="str">
        <x:v>POSSIBLE</x:v>
      </x:c>
      <x:c r="E654" s="34" t="str">
        <x:v>85.7</x:v>
      </x:c>
      <x:c r="F654" s="34" t="str">
        <x:v>MI-0493</x:v>
      </x:c>
      <x:c r="G654" s="39" t="str">
        <x:v>عملکرد مجلس 11</x:v>
      </x:c>
      <x:c r="H654" s="39" t="str">
        <x:v>H18</x:v>
      </x:c>
      <x:c r="I654" s="39" t="str">
        <x:v>BANK</x:v>
      </x:c>
      <x:c r="J654" s="39" t="str">
        <x:v>H18</x:v>
      </x:c>
      <x:c r="K654" s="39" t="str">
        <x:v>تطبیق احتمالی با پایه</x:v>
      </x:c>
      <x:c r="L654" s="39" t="str">
        <x:v>MI-0493</x:v>
      </x:c>
      <x:c r="M654" s="39" t="str">
        <x:v>عملکرد مجلس 11</x:v>
      </x:c>
      <x:c r="N654" s="39" t="str">
        <x:v>1154878548.docx::P1037.1</x:v>
      </x:c>
      <x:c r="O654" s="39"/>
    </x:row>
    <x:row r="655">
      <x:c r="A655" s="34" t="str">
        <x:v>☐</x:v>
      </x:c>
      <x:c r="B655" s="34" t="str">
        <x:v>EX-0627</x:v>
      </x:c>
      <x:c r="C655" s="34" t="str">
        <x:v>قطعنامه ۲۰۳۰-۵۹۸</x:v>
      </x:c>
      <x:c r="D655" s="34" t="str">
        <x:v>UNMAPPED</x:v>
      </x:c>
      <x:c r="E655" s="34" t="str">
        <x:v>60.0</x:v>
      </x:c>
      <x:c r="F655" s="34" t="str">
        <x:v>MI-1567</x:v>
      </x:c>
      <x:c r="G655" s="39" t="str">
        <x:v>وام</x:v>
      </x:c>
      <x:c r="H655" s="39" t="str">
        <x:v>H19</x:v>
      </x:c>
      <x:c r="I655" s="39" t="str">
        <x:v>P3</x:v>
      </x:c>
      <x:c r="J655" s="39" t="str">
        <x:v>H23</x:v>
      </x:c>
      <x:c r="K655" s="39" t="str">
        <x:v>نیازمند پالایش؛ حذف نشده</x:v>
      </x:c>
      <x:c r="L655" s="39"/>
      <x:c r="M655" s="39"/>
      <x:c r="N655" s="39" t="str">
        <x:v>1154878548.docx::P1041.1</x:v>
      </x:c>
      <x:c r="O655" s="39"/>
    </x:row>
    <x:row r="656">
      <x:c r="A656" s="34" t="str">
        <x:v>☐</x:v>
      </x:c>
      <x:c r="B656" s="34" t="str">
        <x:v>EX-0628</x:v>
      </x:c>
      <x:c r="C656" s="34" t="str">
        <x:v>سخنرانی روحانی ۲۳ تیر ۷۸</x:v>
      </x:c>
      <x:c r="D656" s="34" t="str">
        <x:v>POSSIBLE</x:v>
      </x:c>
      <x:c r="E656" s="34" t="str">
        <x:v>85.5</x:v>
      </x:c>
      <x:c r="F656" s="34" t="str">
        <x:v>MI-0468</x:v>
      </x:c>
      <x:c r="G656" s="39" t="str">
        <x:v>مسکن حسن روحانی از 1 میلیون به 300 هزار تا</x:v>
      </x:c>
      <x:c r="H656" s="39" t="str">
        <x:v>H18</x:v>
      </x:c>
      <x:c r="I656" s="39" t="str">
        <x:v>BANK</x:v>
      </x:c>
      <x:c r="J656" s="39" t="str">
        <x:v>H18</x:v>
      </x:c>
      <x:c r="K656" s="39" t="str">
        <x:v>تطبیق احتمالی با پایه</x:v>
      </x:c>
      <x:c r="L656" s="39" t="str">
        <x:v>MI-0468</x:v>
      </x:c>
      <x:c r="M656" s="39" t="str">
        <x:v>مسکن حسن روحانی از 1 میلیون به 300 هزار تا</x:v>
      </x:c>
      <x:c r="N656" s="39" t="str">
        <x:v>1154878548.docx::P1043.1 | 1154878548.docx::P1477.1</x:v>
      </x:c>
      <x:c r="O656" s="39"/>
    </x:row>
    <x:row r="657">
      <x:c r="A657" s="34" t="str">
        <x:v>☐</x:v>
      </x:c>
      <x:c r="B657" s="34" t="str">
        <x:v>EX-0629</x:v>
      </x:c>
      <x:c r="C657" s="34" t="str">
        <x:v>کوی دانشگاه</x:v>
      </x:c>
      <x:c r="D657" s="34" t="str">
        <x:v>POSSIBLE</x:v>
      </x:c>
      <x:c r="E657" s="34" t="str">
        <x:v>90.0</x:v>
      </x:c>
      <x:c r="F657" s="34" t="str">
        <x:v>MI-0490</x:v>
      </x:c>
      <x:c r="G657" s="39" t="str">
        <x:v>ماجرای کوی دانشگاه</x:v>
      </x:c>
      <x:c r="H657" s="39" t="str">
        <x:v>H18</x:v>
      </x:c>
      <x:c r="I657" s="39" t="str">
        <x:v>BANK</x:v>
      </x:c>
      <x:c r="J657" s="39" t="str">
        <x:v>H18</x:v>
      </x:c>
      <x:c r="K657" s="39" t="str">
        <x:v>تطبیق احتمالی با پایه</x:v>
      </x:c>
      <x:c r="L657" s="39" t="str">
        <x:v>MI-0490</x:v>
      </x:c>
      <x:c r="M657" s="39" t="str">
        <x:v>ماجرای کوی دانشگاه</x:v>
      </x:c>
      <x:c r="N657" s="39" t="str">
        <x:v>1154878548.docx::P1044.1 | 1154878548.docx::P4073.1</x:v>
      </x:c>
      <x:c r="O657" s="39"/>
    </x:row>
    <x:row r="658">
      <x:c r="A658" s="34" t="str">
        <x:v>☐</x:v>
      </x:c>
      <x:c r="B658" s="34" t="str">
        <x:v>EX-0630</x:v>
      </x:c>
      <x:c r="C658" s="34" t="str">
        <x:v>شخصیتهای سیاسی</x:v>
      </x:c>
      <x:c r="D658" s="34" t="str">
        <x:v>POSSIBLE</x:v>
      </x:c>
      <x:c r="E658" s="34" t="str">
        <x:v>85.5</x:v>
      </x:c>
      <x:c r="F658" s="34" t="str">
        <x:v>MI-0257</x:v>
      </x:c>
      <x:c r="G658" s="39" t="str">
        <x:v>جهاد تبیین سیاسی و اقتصادی و فرهنگی</x:v>
      </x:c>
      <x:c r="H658" s="39" t="str">
        <x:v>H16</x:v>
      </x:c>
      <x:c r="I658" s="39" t="str">
        <x:v>P3/CLARIFY</x:v>
      </x:c>
      <x:c r="J658" s="39" t="str">
        <x:v>H16</x:v>
      </x:c>
      <x:c r="K658" s="39" t="str">
        <x:v>تطبیق احتمالی با پایه</x:v>
      </x:c>
      <x:c r="L658" s="39" t="str">
        <x:v>MI-0257</x:v>
      </x:c>
      <x:c r="M658" s="39" t="str">
        <x:v>جهاد تبیین سیاسی و اقتصادی و فرهنگی</x:v>
      </x:c>
      <x:c r="N658" s="39" t="str">
        <x:v>1154878548.docx::P1046.1</x:v>
      </x:c>
      <x:c r="O658" s="39"/>
    </x:row>
    <x:row r="659">
      <x:c r="A659" s="34" t="str">
        <x:v>☐</x:v>
      </x:c>
      <x:c r="B659" s="34" t="str">
        <x:v>EX-0631</x:v>
      </x:c>
      <x:c r="C659" s="34" t="str">
        <x:v>تفکرات و اپیتتها</x:v>
      </x:c>
      <x:c r="D659" s="34" t="str">
        <x:v>POSSIBLE</x:v>
      </x:c>
      <x:c r="E659" s="34" t="str">
        <x:v>85.5</x:v>
      </x:c>
      <x:c r="F659" s="34" t="str">
        <x:v>MI-1513</x:v>
      </x:c>
      <x:c r="G659" s="39" t="str">
        <x:v>تولید و کارآفرینی: توانایی تولید محصول و خدمات و ایجاد شغل.</x:v>
      </x:c>
      <x:c r="H659" s="39" t="str">
        <x:v>H1</x:v>
      </x:c>
      <x:c r="I659" s="39" t="str">
        <x:v>P0</x:v>
      </x:c>
      <x:c r="J659" s="39" t="str">
        <x:v>H1</x:v>
      </x:c>
      <x:c r="K659" s="39" t="str">
        <x:v>تطبیق احتمالی با پایه</x:v>
      </x:c>
      <x:c r="L659" s="39" t="str">
        <x:v>MI-1513</x:v>
      </x:c>
      <x:c r="M659" s="39" t="str">
        <x:v>تولید و کارآفرینی: توانایی تولید محصول و خدمات و ایجاد شغل.</x:v>
      </x:c>
      <x:c r="N659" s="39" t="str">
        <x:v>1154878548.docx::P1054.1</x:v>
      </x:c>
      <x:c r="O659" s="39"/>
    </x:row>
    <x:row r="660">
      <x:c r="A660" s="34" t="str">
        <x:v>☐</x:v>
      </x:c>
      <x:c r="B660" s="34" t="str">
        <x:v>EX-0632</x:v>
      </x:c>
      <x:c r="C660" s="34" t="str">
        <x:v>مسائل بینالمللی</x:v>
      </x:c>
      <x:c r="D660" s="34" t="str">
        <x:v>UNMAPPED</x:v>
      </x:c>
      <x:c r="E660" s="34" t="str">
        <x:v>72.0</x:v>
      </x:c>
      <x:c r="F660" s="34" t="str">
        <x:v>MI-0888</x:v>
      </x:c>
      <x:c r="G660" s="39" t="str">
        <x:v>کلی</x:v>
      </x:c>
      <x:c r="H660" s="39" t="str">
        <x:v>H11</x:v>
      </x:c>
      <x:c r="I660" s="39" t="str">
        <x:v>DELEGATE/P2</x:v>
      </x:c>
      <x:c r="J660" s="39" t="str">
        <x:v>H23</x:v>
      </x:c>
      <x:c r="K660" s="39" t="str">
        <x:v>نیازمند پالایش؛ حذف نشده</x:v>
      </x:c>
      <x:c r="L660" s="39"/>
      <x:c r="M660" s="39"/>
      <x:c r="N660" s="39" t="str">
        <x:v>1154878548.docx::P1059.1</x:v>
      </x:c>
      <x:c r="O660" s="39"/>
    </x:row>
    <x:row r="661">
      <x:c r="A661" s="34" t="str">
        <x:v>☐</x:v>
      </x:c>
      <x:c r="B661" s="34" t="str">
        <x:v>EX-0633</x:v>
      </x:c>
      <x:c r="C661" s="34" t="str">
        <x:v>سیاستهای اسرائیل (مظلومیتنمایی)</x:v>
      </x:c>
      <x:c r="D661" s="34" t="str">
        <x:v>UNMAPPED</x:v>
      </x:c>
      <x:c r="E661" s="34" t="str">
        <x:v>80.7</x:v>
      </x:c>
      <x:c r="F661" s="34" t="str">
        <x:v>MI-0351</x:v>
      </x:c>
      <x:c r="G661" s="39" t="str">
        <x:v>سیاست های اسراییل ( مظلومیت نمایی - شکست ناپذیری)</x:v>
      </x:c>
      <x:c r="H661" s="39" t="str">
        <x:v>H16</x:v>
      </x:c>
      <x:c r="I661" s="39" t="str">
        <x:v>BANK</x:v>
      </x:c>
      <x:c r="J661" s="39" t="str">
        <x:v>H23</x:v>
      </x:c>
      <x:c r="K661" s="39" t="str">
        <x:v>نیازمند پالایش؛ حذف نشده</x:v>
      </x:c>
      <x:c r="L661" s="39"/>
      <x:c r="M661" s="39"/>
      <x:c r="N661" s="39" t="str">
        <x:v>1154878548.docx::P1061.1</x:v>
      </x:c>
      <x:c r="O661" s="39"/>
    </x:row>
    <x:row r="662">
      <x:c r="A662" s="34" t="str">
        <x:v>☐</x:v>
      </x:c>
      <x:c r="B662" s="34" t="str">
        <x:v>EX-0634</x:v>
      </x:c>
      <x:c r="C662" s="34" t="str">
        <x:v>۲-۲. رسانه و تحلیل ترندها</x:v>
      </x:c>
      <x:c r="D662" s="34" t="str">
        <x:v>POSSIBLE</x:v>
      </x:c>
      <x:c r="E662" s="34" t="str">
        <x:v>90.0</x:v>
      </x:c>
      <x:c r="F662" s="34" t="str">
        <x:v>MI-0815</x:v>
      </x:c>
      <x:c r="G662" s="39" t="str">
        <x:v>رسانه:</x:v>
      </x:c>
      <x:c r="H662" s="39" t="str">
        <x:v>H11</x:v>
      </x:c>
      <x:c r="I662" s="39" t="str">
        <x:v>DELEGATE/P2</x:v>
      </x:c>
      <x:c r="J662" s="39" t="str">
        <x:v>H11</x:v>
      </x:c>
      <x:c r="K662" s="39" t="str">
        <x:v>تطبیق احتمالی با پایه</x:v>
      </x:c>
      <x:c r="L662" s="39" t="str">
        <x:v>MI-0815</x:v>
      </x:c>
      <x:c r="M662" s="39" t="str">
        <x:v>رسانه:</x:v>
      </x:c>
      <x:c r="N662" s="39" t="str">
        <x:v>1154878548.docx::P1062.1</x:v>
      </x:c>
      <x:c r="O662" s="39"/>
    </x:row>
    <x:row r="663">
      <x:c r="A663" s="34" t="str">
        <x:v>☐</x:v>
      </x:c>
      <x:c r="B663" s="34" t="str">
        <x:v>EX-0635</x:v>
      </x:c>
      <x:c r="C663" s="34" t="str">
        <x:v>Fact</x:v>
      </x:c>
      <x:c r="D663" s="34" t="str">
        <x:v>POSSIBLE</x:v>
      </x:c>
      <x:c r="E663" s="34" t="str">
        <x:v>90.0</x:v>
      </x:c>
      <x:c r="F663" s="34" t="str">
        <x:v>MI-0501</x:v>
      </x:c>
      <x:c r="G663" s="39" t="str">
        <x:v>fact check - راستی آزمایی</x:v>
      </x:c>
      <x:c r="H663" s="39" t="str">
        <x:v>H18</x:v>
      </x:c>
      <x:c r="I663" s="39" t="str">
        <x:v>BANK</x:v>
      </x:c>
      <x:c r="J663" s="39" t="str">
        <x:v>H18</x:v>
      </x:c>
      <x:c r="K663" s="39" t="str">
        <x:v>تطبیق احتمالی با پایه</x:v>
      </x:c>
      <x:c r="L663" s="39" t="str">
        <x:v>MI-0501</x:v>
      </x:c>
      <x:c r="M663" s="39" t="str">
        <x:v>fact check - راستی آزمایی</x:v>
      </x:c>
      <x:c r="N663" s="39" t="str">
        <x:v>1154878548.docx::P1069.1</x:v>
      </x:c>
      <x:c r="O663" s="39"/>
    </x:row>
    <x:row r="664">
      <x:c r="A664" s="34" t="str">
        <x:v>☐</x:v>
      </x:c>
      <x:c r="B664" s="34" t="str">
        <x:v>EX-0636</x:v>
      </x:c>
      <x:c r="C664" s="34" t="str">
        <x:v>check (راستیآزمایی)</x:v>
      </x:c>
      <x:c r="D664" s="34" t="str">
        <x:v>POSSIBLE</x:v>
      </x:c>
      <x:c r="E664" s="34" t="str">
        <x:v>85.0</x:v>
      </x:c>
      <x:c r="F664" s="34" t="str">
        <x:v>MI-0501</x:v>
      </x:c>
      <x:c r="G664" s="39" t="str">
        <x:v>fact check - راستی آزمایی</x:v>
      </x:c>
      <x:c r="H664" s="39" t="str">
        <x:v>H18</x:v>
      </x:c>
      <x:c r="I664" s="39" t="str">
        <x:v>BANK</x:v>
      </x:c>
      <x:c r="J664" s="39" t="str">
        <x:v>H18</x:v>
      </x:c>
      <x:c r="K664" s="39" t="str">
        <x:v>تطبیق احتمالی با پایه</x:v>
      </x:c>
      <x:c r="L664" s="39" t="str">
        <x:v>MI-0501</x:v>
      </x:c>
      <x:c r="M664" s="39" t="str">
        <x:v>fact check - راستی آزمایی</x:v>
      </x:c>
      <x:c r="N664" s="39" t="str">
        <x:v>1154878548.docx::P1069.2</x:v>
      </x:c>
      <x:c r="O664" s="39"/>
    </x:row>
    <x:row r="665">
      <x:c r="A665" s="34" t="str">
        <x:v>☐</x:v>
      </x:c>
      <x:c r="B665" s="34" t="str">
        <x:v>EX-0637</x:v>
      </x:c>
      <x:c r="C665" s="34" t="str">
        <x:v>۲-۳. عملیات نرم و تبیین</x:v>
      </x:c>
      <x:c r="D665" s="34" t="str">
        <x:v>POSSIBLE</x:v>
      </x:c>
      <x:c r="E665" s="34" t="str">
        <x:v>85.5</x:v>
      </x:c>
      <x:c r="F665" s="34" t="str">
        <x:v>MI-1513</x:v>
      </x:c>
      <x:c r="G665" s="39" t="str">
        <x:v>تولید و کارآفرینی: توانایی تولید محصول و خدمات و ایجاد شغل.</x:v>
      </x:c>
      <x:c r="H665" s="39" t="str">
        <x:v>H1</x:v>
      </x:c>
      <x:c r="I665" s="39" t="str">
        <x:v>P0</x:v>
      </x:c>
      <x:c r="J665" s="39" t="str">
        <x:v>H1</x:v>
      </x:c>
      <x:c r="K665" s="39" t="str">
        <x:v>تطبیق احتمالی با پایه</x:v>
      </x:c>
      <x:c r="L665" s="39" t="str">
        <x:v>MI-1513</x:v>
      </x:c>
      <x:c r="M665" s="39" t="str">
        <x:v>تولید و کارآفرینی: توانایی تولید محصول و خدمات و ایجاد شغل.</x:v>
      </x:c>
      <x:c r="N665" s="39" t="str">
        <x:v>1154878548.docx::P1073.1</x:v>
      </x:c>
      <x:c r="O665" s="39"/>
    </x:row>
    <x:row r="666">
      <x:c r="A666" s="34" t="str">
        <x:v>☐</x:v>
      </x:c>
      <x:c r="B666" s="34" t="str">
        <x:v>EX-0638</x:v>
      </x:c>
      <x:c r="C666" s="34" t="str">
        <x:v>جهاد تبیین دانشگاهی (اقتصادی-سیاسی-فرهنگی-آموزشی)</x:v>
      </x:c>
      <x:c r="D666" s="34" t="str">
        <x:v>POSSIBLE</x:v>
      </x:c>
      <x:c r="E666" s="34" t="str">
        <x:v>92.0</x:v>
      </x:c>
      <x:c r="F666" s="34" t="str">
        <x:v>MI-0257</x:v>
      </x:c>
      <x:c r="G666" s="39" t="str">
        <x:v>جهاد تبیین سیاسی و اقتصادی و فرهنگی</x:v>
      </x:c>
      <x:c r="H666" s="39" t="str">
        <x:v>H16</x:v>
      </x:c>
      <x:c r="I666" s="39" t="str">
        <x:v>P3/CLARIFY</x:v>
      </x:c>
      <x:c r="J666" s="39" t="str">
        <x:v>H16</x:v>
      </x:c>
      <x:c r="K666" s="39" t="str">
        <x:v>تطبیق احتمالی با پایه</x:v>
      </x:c>
      <x:c r="L666" s="39" t="str">
        <x:v>MI-0257</x:v>
      </x:c>
      <x:c r="M666" s="39" t="str">
        <x:v>جهاد تبیین سیاسی و اقتصادی و فرهنگی</x:v>
      </x:c>
      <x:c r="N666" s="39" t="str">
        <x:v>1154878548.docx::P1074.1</x:v>
      </x:c>
      <x:c r="O666" s="39"/>
    </x:row>
    <x:row r="667">
      <x:c r="A667" s="34" t="str">
        <x:v>☐</x:v>
      </x:c>
      <x:c r="B667" s="34" t="str">
        <x:v>EX-0639</x:v>
      </x:c>
      <x:c r="C667" s="34" t="str">
        <x:v>ایجاد FOMO</x:v>
      </x:c>
      <x:c r="D667" s="34" t="str">
        <x:v>POSSIBLE</x:v>
      </x:c>
      <x:c r="E667" s="34" t="str">
        <x:v>90.0</x:v>
      </x:c>
      <x:c r="F667" s="34" t="str">
        <x:v>MI-2586</x:v>
      </x:c>
      <x:c r="G667" s="39" t="str">
        <x:v>ایجاد:</x:v>
      </x:c>
      <x:c r="H667" s="39" t="str">
        <x:v>H20</x:v>
      </x:c>
      <x:c r="I667" s="39" t="str">
        <x:v>P3/CLARIFY</x:v>
      </x:c>
      <x:c r="J667" s="39" t="str">
        <x:v>H20</x:v>
      </x:c>
      <x:c r="K667" s="39" t="str">
        <x:v>تطبیق احتمالی با پایه</x:v>
      </x:c>
      <x:c r="L667" s="39" t="str">
        <x:v>MI-2586</x:v>
      </x:c>
      <x:c r="M667" s="39" t="str">
        <x:v>ایجاد:</x:v>
      </x:c>
      <x:c r="N667" s="39" t="str">
        <x:v>1154878548.docx::P1075.1</x:v>
      </x:c>
      <x:c r="O667" s="39"/>
    </x:row>
    <x:row r="668">
      <x:c r="A668" s="34" t="str">
        <x:v>☐</x:v>
      </x:c>
      <x:c r="B668" s="34" t="str">
        <x:v>EX-0640</x:v>
      </x:c>
      <x:c r="C668" s="34" t="str">
        <x:v>کاهش مقاومت ذهنی</x:v>
      </x:c>
      <x:c r="D668" s="34" t="str">
        <x:v>POSSIBLE</x:v>
      </x:c>
      <x:c r="E668" s="34" t="str">
        <x:v>90.0</x:v>
      </x:c>
      <x:c r="F668" s="34" t="str">
        <x:v>MI-0362</x:v>
      </x:c>
      <x:c r="G668" s="39" t="str">
        <x:v>مکانیزم کاهش مقاومت ذهنی مخاطب</x:v>
      </x:c>
      <x:c r="H668" s="39" t="str">
        <x:v>H18</x:v>
      </x:c>
      <x:c r="I668" s="39" t="str">
        <x:v>BANK</x:v>
      </x:c>
      <x:c r="J668" s="39" t="str">
        <x:v>H18</x:v>
      </x:c>
      <x:c r="K668" s="39" t="str">
        <x:v>تطبیق احتمالی با پایه</x:v>
      </x:c>
      <x:c r="L668" s="39" t="str">
        <x:v>MI-0362</x:v>
      </x:c>
      <x:c r="M668" s="39" t="str">
        <x:v>مکانیزم کاهش مقاومت ذهنی مخاطب</x:v>
      </x:c>
      <x:c r="N668" s="39" t="str">
        <x:v>1154878548.docx::P1076.1 | 1154878548.docx::P4034.1</x:v>
      </x:c>
      <x:c r="O668" s="39"/>
    </x:row>
    <x:row r="669">
      <x:c r="A669" s="34" t="str">
        <x:v>☐</x:v>
      </x:c>
      <x:c r="B669" s="34" t="str">
        <x:v>EX-0641</x:v>
      </x:c>
      <x:c r="C669" s="34" t="str">
        <x:v>مانع شنیده شدن صدای حاکمیت</x:v>
      </x:c>
      <x:c r="D669" s="34" t="str">
        <x:v>POSSIBLE</x:v>
      </x:c>
      <x:c r="E669" s="34" t="str">
        <x:v>85.5</x:v>
      </x:c>
      <x:c r="F669" s="34" t="str">
        <x:v>MI-0805</x:v>
      </x:c>
      <x:c r="G669" s="39" t="str">
        <x:v>- پرداخت شدن مبلغ قرار داد به پیمانکار در صورت گرفتن حداقل رضایت بیش از 50 درصد دانشجویان</x:v>
      </x:c>
      <x:c r="H669" s="39" t="str">
        <x:v>H11</x:v>
      </x:c>
      <x:c r="I669" s="39" t="str">
        <x:v>DELEGATE/P2</x:v>
      </x:c>
      <x:c r="J669" s="39" t="str">
        <x:v>H11</x:v>
      </x:c>
      <x:c r="K669" s="39" t="str">
        <x:v>تطبیق احتمالی با پایه</x:v>
      </x:c>
      <x:c r="L669" s="39" t="str">
        <x:v>MI-0805</x:v>
      </x:c>
      <x:c r="M669" s="39" t="str">
        <x:v>- پرداخت شدن مبلغ قرار داد به پیمانکار در صورت گرفتن حداقل رضایت بیش از 50 درصد دانشجویان</x:v>
      </x:c>
      <x:c r="N669" s="39" t="str">
        <x:v>1154878548.docx::P1079.1</x:v>
      </x:c>
      <x:c r="O669" s="39"/>
    </x:row>
    <x:row r="670">
      <x:c r="A670" s="34" t="str">
        <x:v>☐</x:v>
      </x:c>
      <x:c r="B670" s="34" t="str">
        <x:v>EX-0642</x:v>
      </x:c>
      <x:c r="C670" s="34" t="str">
        <x:v>افقیسازی مسکن</x:v>
      </x:c>
      <x:c r="D670" s="34" t="str">
        <x:v>POSSIBLE</x:v>
      </x:c>
      <x:c r="E670" s="34" t="str">
        <x:v>85.5</x:v>
      </x:c>
      <x:c r="F670" s="34" t="str">
        <x:v>MI-0468</x:v>
      </x:c>
      <x:c r="G670" s="39" t="str">
        <x:v>مسکن حسن روحانی از 1 میلیون به 300 هزار تا</x:v>
      </x:c>
      <x:c r="H670" s="39" t="str">
        <x:v>H18</x:v>
      </x:c>
      <x:c r="I670" s="39" t="str">
        <x:v>BANK</x:v>
      </x:c>
      <x:c r="J670" s="39" t="str">
        <x:v>H18</x:v>
      </x:c>
      <x:c r="K670" s="39" t="str">
        <x:v>تطبیق احتمالی با پایه</x:v>
      </x:c>
      <x:c r="L670" s="39" t="str">
        <x:v>MI-0468</x:v>
      </x:c>
      <x:c r="M670" s="39" t="str">
        <x:v>مسکن حسن روحانی از 1 میلیون به 300 هزار تا</x:v>
      </x:c>
      <x:c r="N670" s="39" t="str">
        <x:v>1154878548.docx::P1080.1</x:v>
      </x:c>
      <x:c r="O670" s="39"/>
    </x:row>
    <x:row r="671">
      <x:c r="A671" s="34" t="str">
        <x:v>☐</x:v>
      </x:c>
      <x:c r="B671" s="34" t="str">
        <x:v>EX-0643</x:v>
      </x:c>
      <x:c r="C671" s="34" t="str">
        <x:v>حضور در مدیترانه</x:v>
      </x:c>
      <x:c r="D671" s="34" t="str">
        <x:v>POSSIBLE</x:v>
      </x:c>
      <x:c r="E671" s="34" t="str">
        <x:v>85.5</x:v>
      </x:c>
      <x:c r="F671" s="34" t="str">
        <x:v>MI-0077</x:v>
      </x:c>
      <x:c r="G671" s="39" t="str">
        <x:v>یادگیری هوش هیجانی و قدرت تصمیم گیری بالا در لحظه</x:v>
      </x:c>
      <x:c r="H671" s="39" t="str">
        <x:v>H1</x:v>
      </x:c>
      <x:c r="I671" s="39" t="str">
        <x:v>P0</x:v>
      </x:c>
      <x:c r="J671" s="39" t="str">
        <x:v>H1</x:v>
      </x:c>
      <x:c r="K671" s="39" t="str">
        <x:v>تطبیق احتمالی با پایه</x:v>
      </x:c>
      <x:c r="L671" s="39" t="str">
        <x:v>MI-0077</x:v>
      </x:c>
      <x:c r="M671" s="39" t="str">
        <x:v>یادگیری هوش هیجانی و قدرت تصمیم گیری بالا در لحظه</x:v>
      </x:c>
      <x:c r="N671" s="39" t="str">
        <x:v>1154878548.docx::P1081.1</x:v>
      </x:c>
      <x:c r="O671" s="39"/>
    </x:row>
    <x:row r="672">
      <x:c r="A672" s="34" t="str">
        <x:v>☐</x:v>
      </x:c>
      <x:c r="B672" s="34" t="str">
        <x:v>EX-0644</x:v>
      </x:c>
      <x:c r="C672" s="34" t="str">
        <x:v>۳. حکمرانی علم، آموزش و سرمایه انسانی</x:v>
      </x:c>
      <x:c r="D672" s="34" t="str">
        <x:v>POSSIBLE</x:v>
      </x:c>
      <x:c r="E672" s="34" t="str">
        <x:v>90.0</x:v>
      </x:c>
      <x:c r="F672" s="34" t="str">
        <x:v>MI-1735</x:v>
      </x:c>
      <x:c r="G672" s="39" t="str">
        <x:v>سرمایه</x:v>
      </x:c>
      <x:c r="H672" s="39" t="str">
        <x:v>H8</x:v>
      </x:c>
      <x:c r="I672" s="39" t="str">
        <x:v>P2</x:v>
      </x:c>
      <x:c r="J672" s="39" t="str">
        <x:v>H8</x:v>
      </x:c>
      <x:c r="K672" s="39" t="str">
        <x:v>تطبیق احتمالی با پایه</x:v>
      </x:c>
      <x:c r="L672" s="39" t="str">
        <x:v>MI-1735</x:v>
      </x:c>
      <x:c r="M672" s="39" t="str">
        <x:v>سرمایه</x:v>
      </x:c>
      <x:c r="N672" s="39" t="str">
        <x:v>1154878548.docx::P1082.1</x:v>
      </x:c>
      <x:c r="O672" s="39"/>
    </x:row>
    <x:row r="673">
      <x:c r="A673" s="34" t="str">
        <x:v>☐</x:v>
      </x:c>
      <x:c r="B673" s="34" t="str">
        <x:v>EX-0645</x:v>
      </x:c>
      <x:c r="C673" s="34" t="str">
        <x:v>۳-۱. آموزش رسمی و درسی</x:v>
      </x:c>
      <x:c r="D673" s="34" t="str">
        <x:v>POSSIBLE</x:v>
      </x:c>
      <x:c r="E673" s="34" t="str">
        <x:v>90.0</x:v>
      </x:c>
      <x:c r="F673" s="34" t="str">
        <x:v>MI-2601</x:v>
      </x:c>
      <x:c r="G673" s="39" t="str">
        <x:v>آموزش:</x:v>
      </x:c>
      <x:c r="H673" s="39" t="str">
        <x:v>H20</x:v>
      </x:c>
      <x:c r="I673" s="39" t="str">
        <x:v>P3/CLARIFY</x:v>
      </x:c>
      <x:c r="J673" s="39" t="str">
        <x:v>H20</x:v>
      </x:c>
      <x:c r="K673" s="39" t="str">
        <x:v>تطبیق احتمالی با پایه</x:v>
      </x:c>
      <x:c r="L673" s="39" t="str">
        <x:v>MI-2601</x:v>
      </x:c>
      <x:c r="M673" s="39" t="str">
        <x:v>آموزش:</x:v>
      </x:c>
      <x:c r="N673" s="39" t="str">
        <x:v>1154878548.docx::P1083.1</x:v>
      </x:c>
      <x:c r="O673" s="39"/>
    </x:row>
    <x:row r="674">
      <x:c r="A674" s="34" t="str">
        <x:v>☐</x:v>
      </x:c>
      <x:c r="B674" s="34" t="str">
        <x:v>EX-0646</x:v>
      </x:c>
      <x:c r="C674" s="34" t="str">
        <x:v>ثبتنام</x:v>
      </x:c>
      <x:c r="D674" s="34" t="str">
        <x:v>UNMAPPED</x:v>
      </x:c>
      <x:c r="E674" s="34" t="str">
        <x:v>72.0</x:v>
      </x:c>
      <x:c r="F674" s="34" t="str">
        <x:v>MI-0460</x:v>
      </x:c>
      <x:c r="G674" s="39" t="str">
        <x:v>بردن همه هواپیماهای کشور به ویتنام</x:v>
      </x:c>
      <x:c r="H674" s="39" t="str">
        <x:v>H18</x:v>
      </x:c>
      <x:c r="I674" s="39" t="str">
        <x:v>BANK</x:v>
      </x:c>
      <x:c r="J674" s="39" t="str">
        <x:v>H23</x:v>
      </x:c>
      <x:c r="K674" s="39" t="str">
        <x:v>نیازمند پالایش؛ حذف نشده</x:v>
      </x:c>
      <x:c r="L674" s="39"/>
      <x:c r="M674" s="39"/>
      <x:c r="N674" s="39" t="str">
        <x:v>1154878548.docx::P1084.1</x:v>
      </x:c>
      <x:c r="O674" s="39"/>
    </x:row>
    <x:row r="675">
      <x:c r="A675" s="34" t="str">
        <x:v>☐</x:v>
      </x:c>
      <x:c r="B675" s="34" t="str">
        <x:v>EX-0647</x:v>
      </x:c>
      <x:c r="C675" s="34" t="str">
        <x:v>ظرفیت کافی دروس از ابتدا</x:v>
      </x:c>
      <x:c r="D675" s="34" t="str">
        <x:v>POSSIBLE</x:v>
      </x:c>
      <x:c r="E675" s="34" t="str">
        <x:v>85.5</x:v>
      </x:c>
      <x:c r="F675" s="34" t="str">
        <x:v>MI-0021</x:v>
      </x:c>
      <x:c r="G675" s="39" t="str">
        <x:v>برنامه ریزی بسیار جدی تر برای دروس دانشگاه نوشیروانی بابل</x:v>
      </x:c>
      <x:c r="H675" s="39" t="str">
        <x:v>H1</x:v>
      </x:c>
      <x:c r="I675" s="39" t="str">
        <x:v>P0</x:v>
      </x:c>
      <x:c r="J675" s="39" t="str">
        <x:v>H1</x:v>
      </x:c>
      <x:c r="K675" s="39" t="str">
        <x:v>تطبیق احتمالی با پایه</x:v>
      </x:c>
      <x:c r="L675" s="39" t="str">
        <x:v>MI-0021</x:v>
      </x:c>
      <x:c r="M675" s="39" t="str">
        <x:v>برنامه ریزی بسیار جدی تر برای دروس دانشگاه نوشیروانی بابل</x:v>
      </x:c>
      <x:c r="N675" s="39" t="str">
        <x:v>1154878548.docx::P1087.1</x:v>
      </x:c>
      <x:c r="O675" s="39"/>
    </x:row>
    <x:row r="676">
      <x:c r="A676" s="34" t="str">
        <x:v>☐</x:v>
      </x:c>
      <x:c r="B676" s="34" t="str">
        <x:v>EX-0648</x:v>
      </x:c>
      <x:c r="C676" s="34" t="str">
        <x:v>تعیین دلیل عدم پر شدن گروه استادی</x:v>
      </x:c>
      <x:c r="D676" s="34" t="str">
        <x:v>POSSIBLE</x:v>
      </x:c>
      <x:c r="E676" s="34" t="str">
        <x:v>85.5</x:v>
      </x:c>
      <x:c r="F676" s="34" t="str">
        <x:v>MI-1574</x:v>
      </x:c>
      <x:c r="G676" s="39" t="str">
        <x:v>در این میان باید یه اکادمی مهارت های نرم هم ایجاد بشه که بشه روی مهارت های تیم سازی و مهارت های نرم مورد نیاز جامعه اشتغال کار کنه و افراد بتونن علاوه بر رزومه سازی بتونن از فرصت های شغلی سربلند بیرون بیان در بحص پروژ] گرفتن یا استخدام شدن یا همکاری یا .....</x:v>
      </x:c>
      <x:c r="H676" s="39" t="str">
        <x:v>H3</x:v>
      </x:c>
      <x:c r="I676" s="39" t="str">
        <x:v>P0/P1</x:v>
      </x:c>
      <x:c r="J676" s="39" t="str">
        <x:v>H3</x:v>
      </x:c>
      <x:c r="K676" s="39" t="str">
        <x:v>تطبیق احتمالی با پایه</x:v>
      </x:c>
      <x:c r="L676" s="39" t="str">
        <x:v>MI-1574</x:v>
      </x:c>
      <x:c r="M676" s="39" t="str">
        <x:v>در این میان باید یه اکادمی مهارت های نرم هم ایجاد بشه که بشه روی مهارت های تیم سازی و مهارت های نرم مورد نیاز جامعه اشتغال کار کنه و افراد بتونن علاوه بر رزومه سازی بتونن از فرصت های شغلی سربلند بیرون بیان در بحص پروژ] گرفتن یا استخدام شدن یا همکاری یا .....</x:v>
      </x:c>
      <x:c r="N676" s="39" t="str">
        <x:v>1154878548.docx::P1088.1</x:v>
      </x:c>
      <x:c r="O676" s="39"/>
    </x:row>
    <x:row r="677">
      <x:c r="A677" s="34" t="str">
        <x:v>☐</x:v>
      </x:c>
      <x:c r="B677" s="34" t="str">
        <x:v>EX-0649</x:v>
      </x:c>
      <x:c r="C677" s="34" t="str">
        <x:v>اطلاعرسانی بهموقع (شب قبل انتخاب)</x:v>
      </x:c>
      <x:c r="D677" s="34" t="str">
        <x:v>POSSIBLE</x:v>
      </x:c>
      <x:c r="E677" s="34" t="str">
        <x:v>85.5</x:v>
      </x:c>
      <x:c r="F677" s="34" t="str">
        <x:v>MI-3114</x:v>
      </x:c>
      <x:c r="G677" s="39" t="str">
        <x:v>اگر دیگران بخواهند در حال حاضر شغل شما را انتخاب کنند به آنها چه توصیه ای میکنید؟</x:v>
      </x:c>
      <x:c r="H677" s="39" t="str">
        <x:v>H3</x:v>
      </x:c>
      <x:c r="I677" s="39" t="str">
        <x:v>P3/CLARIFY</x:v>
      </x:c>
      <x:c r="J677" s="39" t="str">
        <x:v>H3</x:v>
      </x:c>
      <x:c r="K677" s="39" t="str">
        <x:v>تطبیق احتمالی با پایه</x:v>
      </x:c>
      <x:c r="L677" s="39" t="str">
        <x:v>MI-3114</x:v>
      </x:c>
      <x:c r="M677" s="39" t="str">
        <x:v>اگر دیگران بخواهند در حال حاضر شغل شما را انتخاب کنند به آنها چه توصیه ای میکنید؟</x:v>
      </x:c>
      <x:c r="N677" s="39" t="str">
        <x:v>1154878548.docx::P1089.1</x:v>
      </x:c>
      <x:c r="O677" s="39"/>
    </x:row>
    <x:row r="678">
      <x:c r="A678" s="34" t="str">
        <x:v>☐</x:v>
      </x:c>
      <x:c r="B678" s="34" t="str">
        <x:v>EX-0650</x:v>
      </x:c>
      <x:c r="C678" s="34" t="str">
        <x:v>کار دانشجویی</x:v>
      </x:c>
      <x:c r="D678" s="34" t="str">
        <x:v>POSSIBLE</x:v>
      </x:c>
      <x:c r="E678" s="34" t="str">
        <x:v>90.0</x:v>
      </x:c>
      <x:c r="F678" s="34" t="str">
        <x:v>MI-0730</x:v>
      </x:c>
      <x:c r="G678" s="39" t="str">
        <x:v>پروپوزال طرح پارکینگ و میزان و نحوه هزینه کرد و کار دانشجویی</x:v>
      </x:c>
      <x:c r="H678" s="39" t="str">
        <x:v>H11</x:v>
      </x:c>
      <x:c r="I678" s="39" t="str">
        <x:v>DELEGATE/P2</x:v>
      </x:c>
      <x:c r="J678" s="39" t="str">
        <x:v>H11</x:v>
      </x:c>
      <x:c r="K678" s="39" t="str">
        <x:v>تطبیق احتمالی با پایه</x:v>
      </x:c>
      <x:c r="L678" s="39" t="str">
        <x:v>MI-0730</x:v>
      </x:c>
      <x:c r="M678" s="39" t="str">
        <x:v>پروپوزال طرح پارکینگ و میزان و نحوه هزینه کرد و کار دانشجویی</x:v>
      </x:c>
      <x:c r="N678" s="39" t="str">
        <x:v>1154878548.docx::P1091.1</x:v>
      </x:c>
      <x:c r="O678" s="39"/>
    </x:row>
    <x:row r="679">
      <x:c r="A679" s="34" t="str">
        <x:v>☐</x:v>
      </x:c>
      <x:c r="B679" s="34" t="str">
        <x:v>EX-0651</x:v>
      </x:c>
      <x:c r="C679" s="34" t="str">
        <x:v>پروژههای درسی</x:v>
      </x:c>
      <x:c r="D679" s="34" t="str">
        <x:v>POSSIBLE</x:v>
      </x:c>
      <x:c r="E679" s="34" t="str">
        <x:v>85.5</x:v>
      </x:c>
      <x:c r="F679" s="34" t="str">
        <x:v>MI-0372</x:v>
      </x:c>
      <x:c r="G679" s="39" t="str">
        <x:v>هوش مصنوعی و پایش وضعیت درسی افراد و انتخاب واحد</x:v>
      </x:c>
      <x:c r="H679" s="39" t="str">
        <x:v>H7</x:v>
      </x:c>
      <x:c r="I679" s="39" t="str">
        <x:v>BANK</x:v>
      </x:c>
      <x:c r="J679" s="39" t="str">
        <x:v>H7</x:v>
      </x:c>
      <x:c r="K679" s="39" t="str">
        <x:v>تطبیق احتمالی با پایه</x:v>
      </x:c>
      <x:c r="L679" s="39" t="str">
        <x:v>MI-0372</x:v>
      </x:c>
      <x:c r="M679" s="39" t="str">
        <x:v>هوش مصنوعی و پایش وضعیت درسی افراد و انتخاب واحد</x:v>
      </x:c>
      <x:c r="N679" s="39" t="str">
        <x:v>1154878548.docx::P1092.1</x:v>
      </x:c>
      <x:c r="O679" s="39"/>
    </x:row>
    <x:row r="680">
      <x:c r="A680" s="34" t="str">
        <x:v>☐</x:v>
      </x:c>
      <x:c r="B680" s="34" t="str">
        <x:v>EX-0652</x:v>
      </x:c>
      <x:c r="C680" s="34" t="str">
        <x:v>۳-۲. معاونت آموزشی و کمیته آموزشی</x:v>
      </x:c>
      <x:c r="D680" s="34" t="str">
        <x:v>POSSIBLE</x:v>
      </x:c>
      <x:c r="E680" s="34" t="str">
        <x:v>90.0</x:v>
      </x:c>
      <x:c r="F680" s="34" t="str">
        <x:v>MI-1047</x:v>
      </x:c>
      <x:c r="G680" s="39" t="str">
        <x:v>معاونت آموزشی</x:v>
      </x:c>
      <x:c r="H680" s="39" t="str">
        <x:v>H11</x:v>
      </x:c>
      <x:c r="I680" s="39" t="str">
        <x:v>DELEGATE/P2</x:v>
      </x:c>
      <x:c r="J680" s="39" t="str">
        <x:v>H11</x:v>
      </x:c>
      <x:c r="K680" s="39" t="str">
        <x:v>تطبیق احتمالی با پایه</x:v>
      </x:c>
      <x:c r="L680" s="39" t="str">
        <x:v>MI-1047</x:v>
      </x:c>
      <x:c r="M680" s="39" t="str">
        <x:v>معاونت آموزشی</x:v>
      </x:c>
      <x:c r="N680" s="39" t="str">
        <x:v>1154878548.docx::P1095.1</x:v>
      </x:c>
      <x:c r="O680" s="39"/>
    </x:row>
    <x:row r="681">
      <x:c r="A681" s="34" t="str">
        <x:v>☐</x:v>
      </x:c>
      <x:c r="B681" s="34" t="str">
        <x:v>EX-0653</x:v>
      </x:c>
      <x:c r="C681" s="34" t="str">
        <x:v>مشخص کردن کاربرد موضوعات یادگیری</x:v>
      </x:c>
      <x:c r="D681" s="34" t="str">
        <x:v>POSSIBLE</x:v>
      </x:c>
      <x:c r="E681" s="34" t="str">
        <x:v>90.0</x:v>
      </x:c>
      <x:c r="F681" s="34" t="str">
        <x:v>MI-0653</x:v>
      </x:c>
      <x:c r="G681" s="39" t="str">
        <x:v>مشخص کردن کاربرد موضوعات یادگیری برای دانشجو در اثنای آموزش جهت تببین در ذهت و تثبیت یادگیری بهتر</x:v>
      </x:c>
      <x:c r="H681" s="39" t="str">
        <x:v>H11</x:v>
      </x:c>
      <x:c r="I681" s="39" t="str">
        <x:v>DELEGATE/P2</x:v>
      </x:c>
      <x:c r="J681" s="39" t="str">
        <x:v>H11</x:v>
      </x:c>
      <x:c r="K681" s="39" t="str">
        <x:v>تطبیق احتمالی با پایه</x:v>
      </x:c>
      <x:c r="L681" s="39" t="str">
        <x:v>MI-0653</x:v>
      </x:c>
      <x:c r="M681" s="39" t="str">
        <x:v>مشخص کردن کاربرد موضوعات یادگیری برای دانشجو در اثنای آموزش جهت تببین در ذهت و تثبیت یادگیری بهتر</x:v>
      </x:c>
      <x:c r="N681" s="39" t="str">
        <x:v>1154878548.docx::P1098.1</x:v>
      </x:c>
      <x:c r="O681" s="39"/>
    </x:row>
    <x:row r="682">
      <x:c r="A682" s="34" t="str">
        <x:v>☐</x:v>
      </x:c>
      <x:c r="B682" s="34" t="str">
        <x:v>EX-0654</x:v>
      </x:c>
      <x:c r="C682" s="34" t="str">
        <x:v>تبیین و تثبیت یادگیری بهتر در ذهن</x:v>
      </x:c>
      <x:c r="D682" s="34" t="str">
        <x:v>POSSIBLE</x:v>
      </x:c>
      <x:c r="E682" s="34" t="str">
        <x:v>85.5</x:v>
      </x:c>
      <x:c r="F682" s="34" t="str">
        <x:v>MI-1513</x:v>
      </x:c>
      <x:c r="G682" s="39" t="str">
        <x:v>تولید و کارآفرینی: توانایی تولید محصول و خدمات و ایجاد شغل.</x:v>
      </x:c>
      <x:c r="H682" s="39" t="str">
        <x:v>H1</x:v>
      </x:c>
      <x:c r="I682" s="39" t="str">
        <x:v>P0</x:v>
      </x:c>
      <x:c r="J682" s="39" t="str">
        <x:v>H1</x:v>
      </x:c>
      <x:c r="K682" s="39" t="str">
        <x:v>تطبیق احتمالی با پایه</x:v>
      </x:c>
      <x:c r="L682" s="39" t="str">
        <x:v>MI-1513</x:v>
      </x:c>
      <x:c r="M682" s="39" t="str">
        <x:v>تولید و کارآفرینی: توانایی تولید محصول و خدمات و ایجاد شغل.</x:v>
      </x:c>
      <x:c r="N682" s="39" t="str">
        <x:v>1154878548.docx::P1099.1</x:v>
      </x:c>
      <x:c r="O682" s="39"/>
    </x:row>
    <x:row r="683">
      <x:c r="A683" s="34" t="str">
        <x:v>☐</x:v>
      </x:c>
      <x:c r="B683" s="34" t="str">
        <x:v>EX-0655</x:v>
      </x:c>
      <x:c r="C683" s="34" t="str">
        <x:v>با نرمافزار</x:v>
      </x:c>
      <x:c r="D683" s="34" t="str">
        <x:v>POSSIBLE</x:v>
      </x:c>
      <x:c r="E683" s="34" t="str">
        <x:v>90.9</x:v>
      </x:c>
      <x:c r="F683" s="34" t="str">
        <x:v>MI-1057</x:v>
      </x:c>
      <x:c r="G683" s="39" t="str">
        <x:v>با نرم فزار</x:v>
      </x:c>
      <x:c r="H683" s="39" t="str">
        <x:v>H11</x:v>
      </x:c>
      <x:c r="I683" s="39" t="str">
        <x:v>DELEGATE/P2</x:v>
      </x:c>
      <x:c r="J683" s="39" t="str">
        <x:v>H11</x:v>
      </x:c>
      <x:c r="K683" s="39" t="str">
        <x:v>تطبیق احتمالی با پایه</x:v>
      </x:c>
      <x:c r="L683" s="39" t="str">
        <x:v>MI-1057</x:v>
      </x:c>
      <x:c r="M683" s="39" t="str">
        <x:v>با نرم فزار</x:v>
      </x:c>
      <x:c r="N683" s="39" t="str">
        <x:v>1154878548.docx::P1103.1</x:v>
      </x:c>
      <x:c r="O683" s="39"/>
    </x:row>
    <x:row r="684">
      <x:c r="A684" s="34" t="str">
        <x:v>☐</x:v>
      </x:c>
      <x:c r="B684" s="34" t="str">
        <x:v>EX-0656</x:v>
      </x:c>
      <x:c r="C684" s="34" t="str">
        <x:v>تطبیق بودجهبندی آموزشی اساتید با هم</x:v>
      </x:c>
      <x:c r="D684" s="34" t="str">
        <x:v>POSSIBLE</x:v>
      </x:c>
      <x:c r="E684" s="34" t="str">
        <x:v>90.0</x:v>
      </x:c>
      <x:c r="F684" s="34" t="str">
        <x:v>MI-2601</x:v>
      </x:c>
      <x:c r="G684" s="39" t="str">
        <x:v>آموزش:</x:v>
      </x:c>
      <x:c r="H684" s="39" t="str">
        <x:v>H20</x:v>
      </x:c>
      <x:c r="I684" s="39" t="str">
        <x:v>P3/CLARIFY</x:v>
      </x:c>
      <x:c r="J684" s="39" t="str">
        <x:v>H20</x:v>
      </x:c>
      <x:c r="K684" s="39" t="str">
        <x:v>تطبیق احتمالی با پایه</x:v>
      </x:c>
      <x:c r="L684" s="39" t="str">
        <x:v>MI-2601</x:v>
      </x:c>
      <x:c r="M684" s="39" t="str">
        <x:v>آموزش:</x:v>
      </x:c>
      <x:c r="N684" s="39" t="str">
        <x:v>1154878548.docx::P1107.1</x:v>
      </x:c>
      <x:c r="O684" s="39"/>
    </x:row>
    <x:row r="685">
      <x:c r="A685" s="34" t="str">
        <x:v>☐</x:v>
      </x:c>
      <x:c r="B685" s="34" t="str">
        <x:v>EX-0657</x:v>
      </x:c>
      <x:c r="C685" s="34" t="str">
        <x:v>یکسانسازی خروجی دانشجو از کلاسهای مختلف</x:v>
      </x:c>
      <x:c r="D685" s="34" t="str">
        <x:v>POSSIBLE</x:v>
      </x:c>
      <x:c r="E685" s="34" t="str">
        <x:v>90.0</x:v>
      </x:c>
      <x:c r="F685" s="34" t="str">
        <x:v>MI-2364</x:v>
      </x:c>
      <x:c r="G685" s="39" t="str">
        <x:v>خروجی:</x:v>
      </x:c>
      <x:c r="H685" s="39" t="str">
        <x:v>H20</x:v>
      </x:c>
      <x:c r="I685" s="39" t="str">
        <x:v>P3/CLARIFY</x:v>
      </x:c>
      <x:c r="J685" s="39" t="str">
        <x:v>H20</x:v>
      </x:c>
      <x:c r="K685" s="39" t="str">
        <x:v>تطبیق احتمالی با پایه</x:v>
      </x:c>
      <x:c r="L685" s="39" t="str">
        <x:v>MI-2364</x:v>
      </x:c>
      <x:c r="M685" s="39" t="str">
        <x:v>خروجی:</x:v>
      </x:c>
      <x:c r="N685" s="39" t="str">
        <x:v>1154878548.docx::P1108.1</x:v>
      </x:c>
      <x:c r="O685" s="39"/>
    </x:row>
    <x:row r="686">
      <x:c r="A686" s="34" t="str">
        <x:v>☐</x:v>
      </x:c>
      <x:c r="B686" s="34" t="str">
        <x:v>EX-0658</x:v>
      </x:c>
      <x:c r="C686" s="34" t="str">
        <x:v>یکسانسازی نمرهدهی (جلوگیری از تفاوت بیش از حد)</x:v>
      </x:c>
      <x:c r="D686" s="34" t="str">
        <x:v>POSSIBLE</x:v>
      </x:c>
      <x:c r="E686" s="34" t="str">
        <x:v>85.5</x:v>
      </x:c>
      <x:c r="F686" s="34" t="str">
        <x:v>MI-1457</x:v>
      </x:c>
      <x:c r="G686" s="39" t="str">
        <x:v>سلامت جسمانی: تغذیه سالم، ورزش منظم، خواب کافی، پیشگیری از بیماری ها.</x:v>
      </x:c>
      <x:c r="H686" s="39" t="str">
        <x:v>H1</x:v>
      </x:c>
      <x:c r="I686" s="39" t="str">
        <x:v>P0</x:v>
      </x:c>
      <x:c r="J686" s="39" t="str">
        <x:v>H1</x:v>
      </x:c>
      <x:c r="K686" s="39" t="str">
        <x:v>تطبیق احتمالی با پایه</x:v>
      </x:c>
      <x:c r="L686" s="39" t="str">
        <x:v>MI-1457</x:v>
      </x:c>
      <x:c r="M686" s="39" t="str">
        <x:v>سلامت جسمانی: تغذیه سالم، ورزش منظم، خواب کافی، پیشگیری از بیماری ها.</x:v>
      </x:c>
      <x:c r="N686" s="39" t="str">
        <x:v>1154878548.docx::P1109.1</x:v>
      </x:c>
      <x:c r="O686" s="39"/>
    </x:row>
    <x:row r="687">
      <x:c r="A687" s="34" t="str">
        <x:v>☐</x:v>
      </x:c>
      <x:c r="B687" s="34" t="str">
        <x:v>EX-0659</x:v>
      </x:c>
      <x:c r="C687" s="34" t="str">
        <x:v>تعیین شرایط و نحوه برگزاری</x:v>
      </x:c>
      <x:c r="D687" s="34" t="str">
        <x:v>POSSIBLE</x:v>
      </x:c>
      <x:c r="E687" s="34" t="str">
        <x:v>85.5</x:v>
      </x:c>
      <x:c r="F687" s="34" t="str">
        <x:v>MI-1513</x:v>
      </x:c>
      <x:c r="G687" s="39" t="str">
        <x:v>تولید و کارآفرینی: توانایی تولید محصول و خدمات و ایجاد شغل.</x:v>
      </x:c>
      <x:c r="H687" s="39" t="str">
        <x:v>H1</x:v>
      </x:c>
      <x:c r="I687" s="39" t="str">
        <x:v>P0</x:v>
      </x:c>
      <x:c r="J687" s="39" t="str">
        <x:v>H1</x:v>
      </x:c>
      <x:c r="K687" s="39" t="str">
        <x:v>تطبیق احتمالی با پایه</x:v>
      </x:c>
      <x:c r="L687" s="39" t="str">
        <x:v>MI-1513</x:v>
      </x:c>
      <x:c r="M687" s="39" t="str">
        <x:v>تولید و کارآفرینی: توانایی تولید محصول و خدمات و ایجاد شغل.</x:v>
      </x:c>
      <x:c r="N687" s="39" t="str">
        <x:v>1154878548.docx::P1113.1</x:v>
      </x:c>
      <x:c r="O687" s="39"/>
    </x:row>
    <x:row r="688">
      <x:c r="A688" s="34" t="str">
        <x:v>☐</x:v>
      </x:c>
      <x:c r="B688" s="34" t="str">
        <x:v>EX-0660</x:v>
      </x:c>
      <x:c r="C688" s="34" t="str">
        <x:v>مشاوره هدایت تحصیلی هر ترم</x:v>
      </x:c>
      <x:c r="D688" s="34" t="str">
        <x:v>POSSIBLE</x:v>
      </x:c>
      <x:c r="E688" s="34" t="str">
        <x:v>90.0</x:v>
      </x:c>
      <x:c r="F688" s="34" t="str">
        <x:v>MI-1059</x:v>
      </x:c>
      <x:c r="G688" s="39" t="str">
        <x:v>هدایت تحصیلی</x:v>
      </x:c>
      <x:c r="H688" s="39" t="str">
        <x:v>H11</x:v>
      </x:c>
      <x:c r="I688" s="39" t="str">
        <x:v>DELEGATE/P2</x:v>
      </x:c>
      <x:c r="J688" s="39" t="str">
        <x:v>H11</x:v>
      </x:c>
      <x:c r="K688" s="39" t="str">
        <x:v>تطبیق احتمالی با پایه</x:v>
      </x:c>
      <x:c r="L688" s="39" t="str">
        <x:v>MI-1059</x:v>
      </x:c>
      <x:c r="M688" s="39" t="str">
        <x:v>هدایت تحصیلی</x:v>
      </x:c>
      <x:c r="N688" s="39" t="str">
        <x:v>1154878548.docx::P1115.1</x:v>
      </x:c>
      <x:c r="O688" s="39"/>
    </x:row>
    <x:row r="689">
      <x:c r="A689" s="34" t="str">
        <x:v>☐</x:v>
      </x:c>
      <x:c r="B689" s="34" t="str">
        <x:v>EX-0661</x:v>
      </x:c>
      <x:c r="C689" s="34" t="str">
        <x:v>پایش وضعیت افراد هر مقطع و گروه (سیستمی)</x:v>
      </x:c>
      <x:c r="D689" s="34" t="str">
        <x:v>POSSIBLE</x:v>
      </x:c>
      <x:c r="E689" s="34" t="str">
        <x:v>90.0</x:v>
      </x:c>
      <x:c r="F689" s="34" t="str">
        <x:v>MI-2997</x:v>
      </x:c>
      <x:c r="G689" s="39" t="str">
        <x:v>افراد</x:v>
      </x:c>
      <x:c r="H689" s="39" t="str">
        <x:v>H14</x:v>
      </x:c>
      <x:c r="I689" s="39" t="str">
        <x:v>P3</x:v>
      </x:c>
      <x:c r="J689" s="39" t="str">
        <x:v>H14</x:v>
      </x:c>
      <x:c r="K689" s="39" t="str">
        <x:v>تطبیق احتمالی با پایه</x:v>
      </x:c>
      <x:c r="L689" s="39" t="str">
        <x:v>MI-2997</x:v>
      </x:c>
      <x:c r="M689" s="39" t="str">
        <x:v>افراد</x:v>
      </x:c>
      <x:c r="N689" s="39" t="str">
        <x:v>1154878548.docx::P1116.1</x:v>
      </x:c>
      <x:c r="O689" s="39"/>
    </x:row>
    <x:row r="690">
      <x:c r="A690" s="34" t="str">
        <x:v>☐</x:v>
      </x:c>
      <x:c r="B690" s="34" t="str">
        <x:v>EX-0662</x:v>
      </x:c>
      <x:c r="C690" s="34" t="str">
        <x:v>توضیح مشروطی ترم اولی</x:v>
      </x:c>
      <x:c r="D690" s="34" t="str">
        <x:v>POSSIBLE</x:v>
      </x:c>
      <x:c r="E690" s="34" t="str">
        <x:v>85.5</x:v>
      </x:c>
      <x:c r="F690" s="34" t="str">
        <x:v>MI-0670</x:v>
      </x:c>
      <x:c r="G690" s="39" t="str">
        <x:v>پادکست رشته ها و توضیح آن برای ورودی ها ، بازار کار، درآمد ، کار ها ، درس ها</x:v>
      </x:c>
      <x:c r="H690" s="39" t="str">
        <x:v>H3</x:v>
      </x:c>
      <x:c r="I690" s="39" t="str">
        <x:v>P0/P1</x:v>
      </x:c>
      <x:c r="J690" s="39" t="str">
        <x:v>H3</x:v>
      </x:c>
      <x:c r="K690" s="39" t="str">
        <x:v>تطبیق احتمالی با پایه</x:v>
      </x:c>
      <x:c r="L690" s="39" t="str">
        <x:v>MI-0670</x:v>
      </x:c>
      <x:c r="M690" s="39" t="str">
        <x:v>پادکست رشته ها و توضیح آن برای ورودی ها ، بازار کار، درآمد ، کار ها ، درس ها</x:v>
      </x:c>
      <x:c r="N690" s="39" t="str">
        <x:v>1154878548.docx::P1117.1</x:v>
      </x:c>
      <x:c r="O690" s="39"/>
    </x:row>
    <x:row r="691">
      <x:c r="A691" s="34" t="str">
        <x:v>☐</x:v>
      </x:c>
      <x:c r="B691" s="34" t="str">
        <x:v>EX-0663</x:v>
      </x:c>
      <x:c r="C691" s="34" t="str">
        <x:v>استخر منابع انسانی (هدایت تحصیلی هوشمند با فنجو)</x:v>
      </x:c>
      <x:c r="D691" s="34" t="str">
        <x:v>POSSIBLE</x:v>
      </x:c>
      <x:c r="E691" s="34" t="str">
        <x:v>90.0</x:v>
      </x:c>
      <x:c r="F691" s="34" t="str">
        <x:v>MI-1059</x:v>
      </x:c>
      <x:c r="G691" s="39" t="str">
        <x:v>هدایت تحصیلی</x:v>
      </x:c>
      <x:c r="H691" s="39" t="str">
        <x:v>H11</x:v>
      </x:c>
      <x:c r="I691" s="39" t="str">
        <x:v>DELEGATE/P2</x:v>
      </x:c>
      <x:c r="J691" s="39" t="str">
        <x:v>H11</x:v>
      </x:c>
      <x:c r="K691" s="39" t="str">
        <x:v>تطبیق احتمالی با پایه</x:v>
      </x:c>
      <x:c r="L691" s="39" t="str">
        <x:v>MI-1059</x:v>
      </x:c>
      <x:c r="M691" s="39" t="str">
        <x:v>هدایت تحصیلی</x:v>
      </x:c>
      <x:c r="N691" s="39" t="str">
        <x:v>1154878548.docx::P1118.1</x:v>
      </x:c>
      <x:c r="O691" s="39"/>
    </x:row>
    <x:row r="692">
      <x:c r="A692" s="34" t="str">
        <x:v>☐</x:v>
      </x:c>
      <x:c r="B692" s="34" t="str">
        <x:v>EX-0664</x:v>
      </x:c>
      <x:c r="C692" s="34" t="str">
        <x:v>جلسات معاونت آموزشی دانشکدهها با صنفی و انجمنهای علمی مربوطه</x:v>
      </x:c>
      <x:c r="D692" s="34" t="str">
        <x:v>POSSIBLE</x:v>
      </x:c>
      <x:c r="E692" s="34" t="str">
        <x:v>91.2</x:v>
      </x:c>
      <x:c r="F692" s="34" t="str">
        <x:v>MI-1068</x:v>
      </x:c>
      <x:c r="G692" s="39" t="str">
        <x:v>جلسات معاونت آموزشی دانشکده ها با صنفی و انجمن علمی های مربوطه اش</x:v>
      </x:c>
      <x:c r="H692" s="39" t="str">
        <x:v>H11</x:v>
      </x:c>
      <x:c r="I692" s="39" t="str">
        <x:v>DELEGATE/P2</x:v>
      </x:c>
      <x:c r="J692" s="39" t="str">
        <x:v>H11</x:v>
      </x:c>
      <x:c r="K692" s="39" t="str">
        <x:v>تطبیق احتمالی با پایه</x:v>
      </x:c>
      <x:c r="L692" s="39" t="str">
        <x:v>MI-1068</x:v>
      </x:c>
      <x:c r="M692" s="39" t="str">
        <x:v>جلسات معاونت آموزشی دانشکده ها با صنفی و انجمن علمی های مربوطه اش</x:v>
      </x:c>
      <x:c r="N692" s="39" t="str">
        <x:v>1154878548.docx::P1121.1 | 1154878548.docx::P1361.1</x:v>
      </x:c>
      <x:c r="O692" s="39"/>
    </x:row>
    <x:row r="693">
      <x:c r="A693" s="34" t="str">
        <x:v>☐</x:v>
      </x:c>
      <x:c r="B693" s="34" t="str">
        <x:v>EX-0665</x:v>
      </x:c>
      <x:c r="C693" s="34" t="str">
        <x:v>۳-۳. آموزش علمی و تحقیقی</x:v>
      </x:c>
      <x:c r="D693" s="34" t="str">
        <x:v>POSSIBLE</x:v>
      </x:c>
      <x:c r="E693" s="34" t="str">
        <x:v>90.0</x:v>
      </x:c>
      <x:c r="F693" s="34" t="str">
        <x:v>MI-2601</x:v>
      </x:c>
      <x:c r="G693" s="39" t="str">
        <x:v>آموزش:</x:v>
      </x:c>
      <x:c r="H693" s="39" t="str">
        <x:v>H20</x:v>
      </x:c>
      <x:c r="I693" s="39" t="str">
        <x:v>P3/CLARIFY</x:v>
      </x:c>
      <x:c r="J693" s="39" t="str">
        <x:v>H20</x:v>
      </x:c>
      <x:c r="K693" s="39" t="str">
        <x:v>تطبیق احتمالی با پایه</x:v>
      </x:c>
      <x:c r="L693" s="39" t="str">
        <x:v>MI-2601</x:v>
      </x:c>
      <x:c r="M693" s="39" t="str">
        <x:v>آموزش:</x:v>
      </x:c>
      <x:c r="N693" s="39" t="str">
        <x:v>1154878548.docx::P1123.1</x:v>
      </x:c>
      <x:c r="O693" s="39"/>
    </x:row>
    <x:row r="694">
      <x:c r="A694" s="34" t="str">
        <x:v>☐</x:v>
      </x:c>
      <x:c r="B694" s="34" t="str">
        <x:v>EX-0666</x:v>
      </x:c>
      <x:c r="C694" s="34" t="str">
        <x:v>حفظ و نگهداری افراد</x:v>
      </x:c>
      <x:c r="D694" s="34" t="str">
        <x:v>POSSIBLE</x:v>
      </x:c>
      <x:c r="E694" s="34" t="str">
        <x:v>90.0</x:v>
      </x:c>
      <x:c r="F694" s="34" t="str">
        <x:v>MI-2997</x:v>
      </x:c>
      <x:c r="G694" s="39" t="str">
        <x:v>افراد</x:v>
      </x:c>
      <x:c r="H694" s="39" t="str">
        <x:v>H14</x:v>
      </x:c>
      <x:c r="I694" s="39" t="str">
        <x:v>P3</x:v>
      </x:c>
      <x:c r="J694" s="39" t="str">
        <x:v>H14</x:v>
      </x:c>
      <x:c r="K694" s="39" t="str">
        <x:v>تطبیق احتمالی با پایه</x:v>
      </x:c>
      <x:c r="L694" s="39" t="str">
        <x:v>MI-2997</x:v>
      </x:c>
      <x:c r="M694" s="39" t="str">
        <x:v>افراد</x:v>
      </x:c>
      <x:c r="N694" s="39" t="str">
        <x:v>1154878548.docx::P1127.1</x:v>
      </x:c>
      <x:c r="O694" s="39"/>
    </x:row>
    <x:row r="695">
      <x:c r="A695" s="34" t="str">
        <x:v>☐</x:v>
      </x:c>
      <x:c r="B695" s="34" t="str">
        <x:v>EX-0667</x:v>
      </x:c>
      <x:c r="C695" s="34" t="str">
        <x:v>لیست کارگاهها و آزمایشگاهها (خانم داداشی/خانم      شیروانی)</x:v>
      </x:c>
      <x:c r="D695" s="34" t="str">
        <x:v>POSSIBLE</x:v>
      </x:c>
      <x:c r="E695" s="34" t="str">
        <x:v>90.0</x:v>
      </x:c>
      <x:c r="F695" s="34" t="str">
        <x:v>MI-1023</x:v>
      </x:c>
      <x:c r="G695" s="39" t="str">
        <x:v>خانم داداشی</x:v>
      </x:c>
      <x:c r="H695" s="39" t="str">
        <x:v>H14</x:v>
      </x:c>
      <x:c r="I695" s="39" t="str">
        <x:v>P3</x:v>
      </x:c>
      <x:c r="J695" s="39" t="str">
        <x:v>H14</x:v>
      </x:c>
      <x:c r="K695" s="39" t="str">
        <x:v>تطبیق احتمالی با پایه</x:v>
      </x:c>
      <x:c r="L695" s="39" t="str">
        <x:v>MI-1023</x:v>
      </x:c>
      <x:c r="M695" s="39" t="str">
        <x:v>خانم داداشی</x:v>
      </x:c>
      <x:c r="N695" s="39" t="str">
        <x:v>1154878548.docx::P1128.1</x:v>
      </x:c>
      <x:c r="O695" s="39"/>
    </x:row>
    <x:row r="696">
      <x:c r="A696" s="34" t="str">
        <x:v>☐</x:v>
      </x:c>
      <x:c r="B696" s="34" t="str">
        <x:v>EX-0668</x:v>
      </x:c>
      <x:c r="C696" s="34" t="str">
        <x:v>تهیه آمار رسمی از اقلام موجود</x:v>
      </x:c>
      <x:c r="D696" s="34" t="str">
        <x:v>POSSIBLE</x:v>
      </x:c>
      <x:c r="E696" s="34" t="str">
        <x:v>90.0</x:v>
      </x:c>
      <x:c r="F696" s="34" t="str">
        <x:v>MI-1021</x:v>
      </x:c>
      <x:c r="G696" s="39" t="str">
        <x:v>جلسه با مسیولین مربوطه جهت تهیه آمار رسمی از اقلام موجود ، نیازمند به تعمیر ، نیازمند به تهیه در پروسه های زمانی مختلف بر حسب اولویت بندی</x:v>
      </x:c>
      <x:c r="H696" s="39" t="str">
        <x:v>H14</x:v>
      </x:c>
      <x:c r="I696" s="39" t="str">
        <x:v>P3</x:v>
      </x:c>
      <x:c r="J696" s="39" t="str">
        <x:v>H14</x:v>
      </x:c>
      <x:c r="K696" s="39" t="str">
        <x:v>تطبیق احتمالی با پایه</x:v>
      </x:c>
      <x:c r="L696" s="39" t="str">
        <x:v>MI-1021</x:v>
      </x:c>
      <x:c r="M696" s="39" t="str">
        <x:v>جلسه با مسیولین مربوطه جهت تهیه آمار رسمی از اقلام موجود ، نیازمند به تعمیر ، نیازمند به تهیه در پروسه های زمانی مختلف بر حسب اولویت بندی</x:v>
      </x:c>
      <x:c r="N696" s="39" t="str">
        <x:v>1154878548.docx::P1129.1</x:v>
      </x:c>
      <x:c r="O696" s="39"/>
    </x:row>
    <x:row r="697">
      <x:c r="A697" s="34" t="str">
        <x:v>☐</x:v>
      </x:c>
      <x:c r="B697" s="34" t="str">
        <x:v>EX-0669</x:v>
      </x:c>
      <x:c r="C697" s="34" t="str">
        <x:v>اقلام نیازمند به تعمیر</x:v>
      </x:c>
      <x:c r="D697" s="34" t="str">
        <x:v>POSSIBLE</x:v>
      </x:c>
      <x:c r="E697" s="34" t="str">
        <x:v>85.5</x:v>
      </x:c>
      <x:c r="F697" s="34" t="str">
        <x:v>MI-1448</x:v>
      </x:c>
      <x:c r="G697" s="39" t="str">
        <x:v>پول هییت قبلا چوقدر هست دست من؟؟؟ قبلا 4,290 بوده . چقدر به سید دادم.</x:v>
      </x:c>
      <x:c r="H697" s="39" t="str">
        <x:v>H1</x:v>
      </x:c>
      <x:c r="I697" s="39" t="str">
        <x:v>P0</x:v>
      </x:c>
      <x:c r="J697" s="39" t="str">
        <x:v>H1</x:v>
      </x:c>
      <x:c r="K697" s="39" t="str">
        <x:v>تطبیق احتمالی با پایه</x:v>
      </x:c>
      <x:c r="L697" s="39" t="str">
        <x:v>MI-1448</x:v>
      </x:c>
      <x:c r="M697" s="39" t="str">
        <x:v>پول هییت قبلا چوقدر هست دست من؟؟؟ قبلا 4,290 بوده . چقدر به سید دادم.</x:v>
      </x:c>
      <x:c r="N697" s="39" t="str">
        <x:v>1154878548.docx::P1130.1</x:v>
      </x:c>
      <x:c r="O697" s="39"/>
    </x:row>
    <x:row r="698">
      <x:c r="A698" s="34" t="str">
        <x:v>☐</x:v>
      </x:c>
      <x:c r="B698" s="34" t="str">
        <x:v>EX-0670</x:v>
      </x:c>
      <x:c r="C698" s="34" t="str">
        <x:v>اقلام نیازمند به تهیه</x:v>
      </x:c>
      <x:c r="D698" s="34" t="str">
        <x:v>POSSIBLE</x:v>
      </x:c>
      <x:c r="E698" s="34" t="str">
        <x:v>85.5</x:v>
      </x:c>
      <x:c r="F698" s="34" t="str">
        <x:v>MI-1448</x:v>
      </x:c>
      <x:c r="G698" s="39" t="str">
        <x:v>پول هییت قبلا چوقدر هست دست من؟؟؟ قبلا 4,290 بوده . چقدر به سید دادم.</x:v>
      </x:c>
      <x:c r="H698" s="39" t="str">
        <x:v>H1</x:v>
      </x:c>
      <x:c r="I698" s="39" t="str">
        <x:v>P0</x:v>
      </x:c>
      <x:c r="J698" s="39" t="str">
        <x:v>H1</x:v>
      </x:c>
      <x:c r="K698" s="39" t="str">
        <x:v>تطبیق احتمالی با پایه</x:v>
      </x:c>
      <x:c r="L698" s="39" t="str">
        <x:v>MI-1448</x:v>
      </x:c>
      <x:c r="M698" s="39" t="str">
        <x:v>پول هییت قبلا چوقدر هست دست من؟؟؟ قبلا 4,290 بوده . چقدر به سید دادم.</x:v>
      </x:c>
      <x:c r="N698" s="39" t="str">
        <x:v>1154878548.docx::P1131.1</x:v>
      </x:c>
      <x:c r="O698" s="39"/>
    </x:row>
    <x:row r="699">
      <x:c r="A699" s="34" t="str">
        <x:v>☐</x:v>
      </x:c>
      <x:c r="B699" s="34" t="str">
        <x:v>EX-0671</x:v>
      </x:c>
      <x:c r="C699" s="34" t="str">
        <x:v>اولویتبندی زمانی</x:v>
      </x:c>
      <x:c r="D699" s="34" t="str">
        <x:v>POSSIBLE</x:v>
      </x:c>
      <x:c r="E699" s="34" t="str">
        <x:v>85.5</x:v>
      </x:c>
      <x:c r="F699" s="34" t="str">
        <x:v>MI-0806</x:v>
      </x:c>
      <x:c r="G699" s="39" t="str">
        <x:v>- تعیین بازه زمانی مناسب برای نگه داشتن غذا در سرخانه</x:v>
      </x:c>
      <x:c r="H699" s="39" t="str">
        <x:v>H11</x:v>
      </x:c>
      <x:c r="I699" s="39" t="str">
        <x:v>DELEGATE/P2</x:v>
      </x:c>
      <x:c r="J699" s="39" t="str">
        <x:v>H11</x:v>
      </x:c>
      <x:c r="K699" s="39" t="str">
        <x:v>تطبیق احتمالی با پایه</x:v>
      </x:c>
      <x:c r="L699" s="39" t="str">
        <x:v>MI-0806</x:v>
      </x:c>
      <x:c r="M699" s="39" t="str">
        <x:v>- تعیین بازه زمانی مناسب برای نگه داشتن غذا در سرخانه</x:v>
      </x:c>
      <x:c r="N699" s="39" t="str">
        <x:v>1154878548.docx::P1132.1</x:v>
      </x:c>
      <x:c r="O699" s="39"/>
    </x:row>
    <x:row r="700">
      <x:c r="A700" s="34" t="str">
        <x:v>☐</x:v>
      </x:c>
      <x:c r="B700" s="34" t="str">
        <x:v>EX-0672</x:v>
      </x:c>
      <x:c r="C700" s="34" t="str">
        <x:v>۴. حکمرانی اقتصادی و معیشت</x:v>
      </x:c>
      <x:c r="D700" s="34" t="str">
        <x:v>POSSIBLE</x:v>
      </x:c>
      <x:c r="E700" s="34" t="str">
        <x:v>90.0</x:v>
      </x:c>
      <x:c r="F700" s="34" t="str">
        <x:v>MI-0283</x:v>
      </x:c>
      <x:c r="G700" s="39" t="str">
        <x:v>اقتصادی</x:v>
      </x:c>
      <x:c r="H700" s="39" t="str">
        <x:v>H16</x:v>
      </x:c>
      <x:c r="I700" s="39" t="str">
        <x:v>P3/CLARIFY</x:v>
      </x:c>
      <x:c r="J700" s="39" t="str">
        <x:v>H16</x:v>
      </x:c>
      <x:c r="K700" s="39" t="str">
        <x:v>تطبیق احتمالی با پایه</x:v>
      </x:c>
      <x:c r="L700" s="39" t="str">
        <x:v>MI-0283</x:v>
      </x:c>
      <x:c r="M700" s="39" t="str">
        <x:v>اقتصادی</x:v>
      </x:c>
      <x:c r="N700" s="39" t="str">
        <x:v>1154878548.docx::P1133.1</x:v>
      </x:c>
      <x:c r="O700" s="39"/>
    </x:row>
    <x:row r="701">
      <x:c r="A701" s="34" t="str">
        <x:v>☐</x:v>
      </x:c>
      <x:c r="B701" s="34" t="str">
        <x:v>EX-0673</x:v>
      </x:c>
      <x:c r="C701" s="34" t="str">
        <x:v>۴-۱. رستورانداری و بازاریابی</x:v>
      </x:c>
      <x:c r="D701" s="34" t="str">
        <x:v>POSSIBLE</x:v>
      </x:c>
      <x:c r="E701" s="34" t="str">
        <x:v>90.0</x:v>
      </x:c>
      <x:c r="F701" s="34" t="str">
        <x:v>MI-2390</x:v>
      </x:c>
      <x:c r="G701" s="39" t="str">
        <x:v>بازار</x:v>
      </x:c>
      <x:c r="H701" s="39" t="str">
        <x:v>H20</x:v>
      </x:c>
      <x:c r="I701" s="39" t="str">
        <x:v>P3/CLARIFY</x:v>
      </x:c>
      <x:c r="J701" s="39" t="str">
        <x:v>H20</x:v>
      </x:c>
      <x:c r="K701" s="39" t="str">
        <x:v>تطبیق احتمالی با پایه</x:v>
      </x:c>
      <x:c r="L701" s="39" t="str">
        <x:v>MI-2390</x:v>
      </x:c>
      <x:c r="M701" s="39" t="str">
        <x:v>بازار</x:v>
      </x:c>
      <x:c r="N701" s="39" t="str">
        <x:v>1154878548.docx::P1134.1</x:v>
      </x:c>
      <x:c r="O701" s="39"/>
    </x:row>
    <x:row r="702">
      <x:c r="A702" s="34" t="str">
        <x:v>☐</x:v>
      </x:c>
      <x:c r="B702" s="34" t="str">
        <x:v>EX-0674</x:v>
      </x:c>
      <x:c r="C702" s="34" t="str">
        <x:v>منو و تنوع غذایی</x:v>
      </x:c>
      <x:c r="D702" s="34" t="str">
        <x:v>POSSIBLE</x:v>
      </x:c>
      <x:c r="E702" s="34" t="str">
        <x:v>90.0</x:v>
      </x:c>
      <x:c r="F702" s="34" t="str">
        <x:v>MI-0862</x:v>
      </x:c>
      <x:c r="G702" s="39" t="str">
        <x:v>تنوع غذا</x:v>
      </x:c>
      <x:c r="H702" s="39" t="str">
        <x:v>H11</x:v>
      </x:c>
      <x:c r="I702" s="39" t="str">
        <x:v>DELEGATE/P2</x:v>
      </x:c>
      <x:c r="J702" s="39" t="str">
        <x:v>H11</x:v>
      </x:c>
      <x:c r="K702" s="39" t="str">
        <x:v>تطبیق احتمالی با پایه</x:v>
      </x:c>
      <x:c r="L702" s="39" t="str">
        <x:v>MI-0862</x:v>
      </x:c>
      <x:c r="M702" s="39" t="str">
        <x:v>تنوع غذا</x:v>
      </x:c>
      <x:c r="N702" s="39" t="str">
        <x:v>1154878548.docx::P1135.1</x:v>
      </x:c>
      <x:c r="O702" s="39"/>
    </x:row>
    <x:row r="703">
      <x:c r="A703" s="34" t="str">
        <x:v>☐</x:v>
      </x:c>
      <x:c r="B703" s="34" t="str">
        <x:v>EX-0675</x:v>
      </x:c>
      <x:c r="C703" s="34" t="str">
        <x:v>فروش اقلام صبحانه</x:v>
      </x:c>
      <x:c r="D703" s="34" t="str">
        <x:v>POSSIBLE</x:v>
      </x:c>
      <x:c r="E703" s="34" t="str">
        <x:v>90.0</x:v>
      </x:c>
      <x:c r="F703" s="34" t="str">
        <x:v>MI-0530</x:v>
      </x:c>
      <x:c r="G703" s="39" t="str">
        <x:v>فروش اقلام صبحانه را نیز بهفعالیت هایتان اضافه کنید.</x:v>
      </x:c>
      <x:c r="H703" s="39" t="str">
        <x:v>H8</x:v>
      </x:c>
      <x:c r="I703" s="39" t="str">
        <x:v>P2</x:v>
      </x:c>
      <x:c r="J703" s="39" t="str">
        <x:v>H8</x:v>
      </x:c>
      <x:c r="K703" s="39" t="str">
        <x:v>تطبیق احتمالی با پایه</x:v>
      </x:c>
      <x:c r="L703" s="39" t="str">
        <x:v>MI-0530</x:v>
      </x:c>
      <x:c r="M703" s="39" t="str">
        <x:v>فروش اقلام صبحانه را نیز بهفعالیت هایتان اضافه کنید.</x:v>
      </x:c>
      <x:c r="N703" s="39" t="str">
        <x:v>1154878548.docx::P1136.1</x:v>
      </x:c>
      <x:c r="O703" s="39"/>
    </x:row>
    <x:row r="704">
      <x:c r="A704" s="34" t="str">
        <x:v>☐</x:v>
      </x:c>
      <x:c r="B704" s="34" t="str">
        <x:v>EX-0676</x:v>
      </x:c>
      <x:c r="C704" s="34" t="str">
        <x:v>کمبود میوه یا میوه نامناسب</x:v>
      </x:c>
      <x:c r="D704" s="34" t="str">
        <x:v>POSSIBLE</x:v>
      </x:c>
      <x:c r="E704" s="34" t="str">
        <x:v>90.0</x:v>
      </x:c>
      <x:c r="F704" s="34" t="str">
        <x:v>MI-2250</x:v>
      </x:c>
      <x:c r="G704" s="39" t="str">
        <x:v>کمبود:</x:v>
      </x:c>
      <x:c r="H704" s="39" t="str">
        <x:v>H20</x:v>
      </x:c>
      <x:c r="I704" s="39" t="str">
        <x:v>P3/CLARIFY</x:v>
      </x:c>
      <x:c r="J704" s="39" t="str">
        <x:v>H20</x:v>
      </x:c>
      <x:c r="K704" s="39" t="str">
        <x:v>تطبیق احتمالی با پایه</x:v>
      </x:c>
      <x:c r="L704" s="39" t="str">
        <x:v>MI-2250</x:v>
      </x:c>
      <x:c r="M704" s="39" t="str">
        <x:v>کمبود:</x:v>
      </x:c>
      <x:c r="N704" s="39" t="str">
        <x:v>1154878548.docx::P1138.1</x:v>
      </x:c>
      <x:c r="O704" s="39"/>
    </x:row>
    <x:row r="705">
      <x:c r="A705" s="34" t="str">
        <x:v>☐</x:v>
      </x:c>
      <x:c r="B705" s="34" t="str">
        <x:v>EX-0677</x:v>
      </x:c>
      <x:c r="C705" s="34" t="str">
        <x:v>ارائه غذاهای جدید در منو</x:v>
      </x:c>
      <x:c r="D705" s="34" t="str">
        <x:v>POSSIBLE</x:v>
      </x:c>
      <x:c r="E705" s="34" t="str">
        <x:v>86.3</x:v>
      </x:c>
      <x:c r="F705" s="34" t="str">
        <x:v>MI-0536</x:v>
      </x:c>
      <x:c r="G705" s="39" t="str">
        <x:v>همچنین ارایه غذاهای جدید در منونیز باعث جذب مشتریان می شود. یک نام</x:v>
      </x:c>
      <x:c r="H705" s="39" t="str">
        <x:v>H8</x:v>
      </x:c>
      <x:c r="I705" s="39" t="str">
        <x:v>P2</x:v>
      </x:c>
      <x:c r="J705" s="39" t="str">
        <x:v>H8</x:v>
      </x:c>
      <x:c r="K705" s="39" t="str">
        <x:v>تطبیق احتمالی با پایه</x:v>
      </x:c>
      <x:c r="L705" s="39" t="str">
        <x:v>MI-0536</x:v>
      </x:c>
      <x:c r="M705" s="39" t="str">
        <x:v>همچنین ارایه غذاهای جدید در منونیز باعث جذب مشتریان می شود. یک نام</x:v>
      </x:c>
      <x:c r="N705" s="39" t="str">
        <x:v>1154878548.docx::P1144.1 | 1154878548.docx::P1166.1</x:v>
      </x:c>
      <x:c r="O705" s="39"/>
    </x:row>
    <x:row r="706">
      <x:c r="A706" s="34" t="str">
        <x:v>☐</x:v>
      </x:c>
      <x:c r="B706" s="34" t="str">
        <x:v>EX-0678</x:v>
      </x:c>
      <x:c r="C706" s="34" t="str">
        <x:v>تعیین بازه زمانی برای نگهداری غذا در سرخانه</x:v>
      </x:c>
      <x:c r="D706" s="34" t="str">
        <x:v>POSSIBLE</x:v>
      </x:c>
      <x:c r="E706" s="34" t="str">
        <x:v>87.2</x:v>
      </x:c>
      <x:c r="F706" s="34" t="str">
        <x:v>MI-0806</x:v>
      </x:c>
      <x:c r="G706" s="39" t="str">
        <x:v>- تعیین بازه زمانی مناسب برای نگه داشتن غذا در سرخانه</x:v>
      </x:c>
      <x:c r="H706" s="39" t="str">
        <x:v>H11</x:v>
      </x:c>
      <x:c r="I706" s="39" t="str">
        <x:v>DELEGATE/P2</x:v>
      </x:c>
      <x:c r="J706" s="39" t="str">
        <x:v>H11</x:v>
      </x:c>
      <x:c r="K706" s="39" t="str">
        <x:v>تطبیق احتمالی با پایه</x:v>
      </x:c>
      <x:c r="L706" s="39" t="str">
        <x:v>MI-0806</x:v>
      </x:c>
      <x:c r="M706" s="39" t="str">
        <x:v>- تعیین بازه زمانی مناسب برای نگه داشتن غذا در سرخانه</x:v>
      </x:c>
      <x:c r="N706" s="39" t="str">
        <x:v>1154878548.docx::P1148.1 | 1154878548.docx::P1170.1</x:v>
      </x:c>
      <x:c r="O706" s="39"/>
    </x:row>
    <x:row r="707">
      <x:c r="A707" s="34" t="str">
        <x:v>☐</x:v>
      </x:c>
      <x:c r="B707" s="34" t="str">
        <x:v>EX-0679</x:v>
      </x:c>
      <x:c r="C707" s="34" t="str">
        <x:v>سلف و بوفه</x:v>
      </x:c>
      <x:c r="D707" s="34" t="str">
        <x:v>POSSIBLE</x:v>
      </x:c>
      <x:c r="E707" s="34" t="str">
        <x:v>90.0</x:v>
      </x:c>
      <x:c r="F707" s="34" t="str">
        <x:v>MI-0788</x:v>
      </x:c>
      <x:c r="G707" s="39" t="str">
        <x:v>- ناظرین سلف و بوفه ها و کارت بهداشت آن ها</x:v>
      </x:c>
      <x:c r="H707" s="39" t="str">
        <x:v>H11</x:v>
      </x:c>
      <x:c r="I707" s="39" t="str">
        <x:v>DELEGATE/P2</x:v>
      </x:c>
      <x:c r="J707" s="39" t="str">
        <x:v>H11</x:v>
      </x:c>
      <x:c r="K707" s="39" t="str">
        <x:v>تطبیق احتمالی با پایه</x:v>
      </x:c>
      <x:c r="L707" s="39" t="str">
        <x:v>MI-0788</x:v>
      </x:c>
      <x:c r="M707" s="39" t="str">
        <x:v>- ناظرین سلف و بوفه ها و کارت بهداشت آن ها</x:v>
      </x:c>
      <x:c r="N707" s="39" t="str">
        <x:v>1154878548.docx::P1149.1 | 1154878548.docx::P1171.1 | 1154878548.docx::T2R1C1.1 | 1154878548.docx::T2R2C1.1 | 1154878548.docx::T2R3C1.1 | 1154878548.docx::T2R4C1.1 | 1154878548.docx::T2R5C1.1 | 1154878548.docx::T2R6C1.1 | 1154878548.docx::T2R7C1.1 | 1154878548.docx::T2R8C1.1 | 1154878548.docx::T2R9C1.1 | 1154878548.docx::T2R10C1.1 | 1154878548.docx::T2R11C1.1 | 1154878548.docx::T2R12C1.1 | 1154878548.docx::T2R13C1.1 | 1154878548.docx::T2R14C1.1 | 1154878548.docx::T2R15C1.1 | 1154878548.docx::T2R16C1.1 | 1154878548.docx::T2R17C1.1 | 1154878548.docx::T2R18C1.1 | 1154878548.docx::T2R19C1.1 | 1154878548.docx::T2R20C1.1 | 1154878548.docx::T2R21C1.1 | 1154878548.docx::T2R22C1.1 | 1154878548.docx::T2R23C1.1 | 1154878548.docx::T2R24C1.1 | 1154878548.docx::T2R25C1.1 | 1154878548.docx::T2R26C1.1 | 1154878548.docx::T2R27C1.1 | 1154878548.docx::T2R28C1.1 | 1154878548.docx::T2R29C1.1 | 1154878548.docx::T2R30C1.1 | 1154878548.docx::T2R31C1.1 | 1154878548.docx::T2R32C1.1 | 1154878548.docx::T2R33C1.1 | 1154878548.docx::T2R34C1.1 | 1154878548.docx::T2R35C1.1 | 1154878548.docx::T2R36C1.1 | 1154878548.docx::T2R37C1.1 | 1154878548.docx::T2R38C1.1 | 1154878548.docx::T2R39C1.1 | 1154878548.docx::T2R40C1.1 | 1154878548.docx::T2R41C1.1 | 1154878548.docx::T2R42C1.1 | 1154878548.docx::T2R43C1.1 | 1154878548.docx::T2R44C1.1 | 1154878548.docx::T2R45C1.1 | 1154878548.docx::T2R46C1.1 | 1154878548.docx::T2R47C1.1 | 1154878548.docx::T2R48C1.1 | 1154878548.docx::T2R49C1.1 | 1154878548.docx::T2R50C1.1</x:v>
      </x:c>
      <x:c r="O707" s="39"/>
    </x:row>
    <x:row r="708">
      <x:c r="A708" s="34" t="str">
        <x:v>☐</x:v>
      </x:c>
      <x:c r="B708" s="34" t="str">
        <x:v>EX-0680</x:v>
      </x:c>
      <x:c r="C708" s="34" t="str">
        <x:v>قرارداد سلف</x:v>
      </x:c>
      <x:c r="D708" s="34" t="str">
        <x:v>POSSIBLE</x:v>
      </x:c>
      <x:c r="E708" s="34" t="str">
        <x:v>90.0</x:v>
      </x:c>
      <x:c r="F708" s="34" t="str">
        <x:v>MI-0852</x:v>
      </x:c>
      <x:c r="G708" s="39" t="str">
        <x:v>سلف</x:v>
      </x:c>
      <x:c r="H708" s="39" t="str">
        <x:v>H11</x:v>
      </x:c>
      <x:c r="I708" s="39" t="str">
        <x:v>BANK</x:v>
      </x:c>
      <x:c r="J708" s="39" t="str">
        <x:v>H11</x:v>
      </x:c>
      <x:c r="K708" s="39" t="str">
        <x:v>تطبیق احتمالی با پایه</x:v>
      </x:c>
      <x:c r="L708" s="39" t="str">
        <x:v>MI-0852</x:v>
      </x:c>
      <x:c r="M708" s="39" t="str">
        <x:v>سلف</x:v>
      </x:c>
      <x:c r="N708" s="39" t="str">
        <x:v>1154878548.docx::P1151.1 | 1154878548.docx::P1173.1</x:v>
      </x:c>
      <x:c r="O708" s="39"/>
    </x:row>
    <x:row r="709">
      <x:c r="A709" s="34" t="str">
        <x:v>☐</x:v>
      </x:c>
      <x:c r="B709" s="34" t="str">
        <x:v>EX-0681</x:v>
      </x:c>
      <x:c r="C709" s="34" t="str">
        <x:v>اختیارات شورای صنفی در موضوع قرارداد</x:v>
      </x:c>
      <x:c r="D709" s="34" t="str">
        <x:v>POSSIBLE</x:v>
      </x:c>
      <x:c r="E709" s="34" t="str">
        <x:v>85.5</x:v>
      </x:c>
      <x:c r="F709" s="34" t="str">
        <x:v>MI-0173</x:v>
      </x:c>
      <x:c r="G709" s="39" t="str">
        <x:v>جستجو در منابع سریع</x:v>
      </x:c>
      <x:c r="H709" s="39" t="str">
        <x:v>H1</x:v>
      </x:c>
      <x:c r="I709" s="39" t="str">
        <x:v>P0</x:v>
      </x:c>
      <x:c r="J709" s="39" t="str">
        <x:v>H1</x:v>
      </x:c>
      <x:c r="K709" s="39" t="str">
        <x:v>تطبیق احتمالی با پایه</x:v>
      </x:c>
      <x:c r="L709" s="39" t="str">
        <x:v>MI-0173</x:v>
      </x:c>
      <x:c r="M709" s="39" t="str">
        <x:v>جستجو در منابع سریع</x:v>
      </x:c>
      <x:c r="N709" s="39" t="str">
        <x:v>1154878548.docx::P1152.1 | 1154878548.docx::P1174.1</x:v>
      </x:c>
      <x:c r="O709" s="39"/>
    </x:row>
    <x:row r="710">
      <x:c r="A710" s="34" t="str">
        <x:v>☐</x:v>
      </x:c>
      <x:c r="B710" s="34" t="str">
        <x:v>EX-0682</x:v>
      </x:c>
      <x:c r="C710" s="34" t="str">
        <x:v>تحویل پیشنویس قرارداد یک هفته قبل از امضا</x:v>
      </x:c>
      <x:c r="D710" s="34" t="str">
        <x:v>POSSIBLE</x:v>
      </x:c>
      <x:c r="E710" s="34" t="str">
        <x:v>85.5</x:v>
      </x:c>
      <x:c r="F710" s="34" t="str">
        <x:v>MI-1457</x:v>
      </x:c>
      <x:c r="G710" s="39" t="str">
        <x:v>سلامت جسمانی: تغذیه سالم، ورزش منظم، خواب کافی، پیشگیری از بیماری ها.</x:v>
      </x:c>
      <x:c r="H710" s="39" t="str">
        <x:v>H1</x:v>
      </x:c>
      <x:c r="I710" s="39" t="str">
        <x:v>P0</x:v>
      </x:c>
      <x:c r="J710" s="39" t="str">
        <x:v>H1</x:v>
      </x:c>
      <x:c r="K710" s="39" t="str">
        <x:v>تطبیق احتمالی با پایه</x:v>
      </x:c>
      <x:c r="L710" s="39" t="str">
        <x:v>MI-1457</x:v>
      </x:c>
      <x:c r="M710" s="39" t="str">
        <x:v>سلامت جسمانی: تغذیه سالم، ورزش منظم، خواب کافی، پیشگیری از بیماری ها.</x:v>
      </x:c>
      <x:c r="N710" s="39" t="str">
        <x:v>1154878548.docx::P1153.1 | 1154878548.docx::P1175.1</x:v>
      </x:c>
      <x:c r="O710" s="39"/>
    </x:row>
    <x:row r="711">
      <x:c r="A711" s="34" t="str">
        <x:v>☐</x:v>
      </x:c>
      <x:c r="B711" s="34" t="str">
        <x:v>EX-0683</x:v>
      </x:c>
      <x:c r="C711" s="34" t="str">
        <x:v>پرداخت مبلغ قرارداد در صورت رضایت ۵۰%+</x:v>
      </x:c>
      <x:c r="D711" s="34" t="str">
        <x:v>POSSIBLE</x:v>
      </x:c>
      <x:c r="E711" s="34" t="str">
        <x:v>85.5</x:v>
      </x:c>
      <x:c r="F711" s="34" t="str">
        <x:v>MI-0173</x:v>
      </x:c>
      <x:c r="G711" s="39" t="str">
        <x:v>جستجو در منابع سریع</x:v>
      </x:c>
      <x:c r="H711" s="39" t="str">
        <x:v>H1</x:v>
      </x:c>
      <x:c r="I711" s="39" t="str">
        <x:v>P0</x:v>
      </x:c>
      <x:c r="J711" s="39" t="str">
        <x:v>H1</x:v>
      </x:c>
      <x:c r="K711" s="39" t="str">
        <x:v>تطبیق احتمالی با پایه</x:v>
      </x:c>
      <x:c r="L711" s="39" t="str">
        <x:v>MI-0173</x:v>
      </x:c>
      <x:c r="M711" s="39" t="str">
        <x:v>جستجو در منابع سریع</x:v>
      </x:c>
      <x:c r="N711" s="39" t="str">
        <x:v>1154878548.docx::P1154.1 | 1154878548.docx::P1176.1</x:v>
      </x:c>
      <x:c r="O711" s="39"/>
    </x:row>
    <x:row r="712">
      <x:c r="A712" s="34" t="str">
        <x:v>☐</x:v>
      </x:c>
      <x:c r="B712" s="34" t="str">
        <x:v>EX-0684</x:v>
      </x:c>
      <x:c r="C712" s="34" t="str">
        <x:v>سایت رزرو سلف</x:v>
      </x:c>
      <x:c r="D712" s="34" t="str">
        <x:v>POSSIBLE</x:v>
      </x:c>
      <x:c r="E712" s="34" t="str">
        <x:v>90.0</x:v>
      </x:c>
      <x:c r="F712" s="34" t="str">
        <x:v>MI-0801</x:v>
      </x:c>
      <x:c r="G712" s="39" t="str">
        <x:v>نظر سنجی در سایت رزرو سلف در مورد دو غذایی که کمترین رای را بیاورد و جایگزینی آن دو</x:v>
      </x:c>
      <x:c r="H712" s="39" t="str">
        <x:v>H11</x:v>
      </x:c>
      <x:c r="I712" s="39" t="str">
        <x:v>BANK</x:v>
      </x:c>
      <x:c r="J712" s="39" t="str">
        <x:v>H11</x:v>
      </x:c>
      <x:c r="K712" s="39" t="str">
        <x:v>تطبیق احتمالی با پایه</x:v>
      </x:c>
      <x:c r="L712" s="39" t="str">
        <x:v>MI-0801</x:v>
      </x:c>
      <x:c r="M712" s="39" t="str">
        <x:v>نظر سنجی در سایت رزرو سلف در مورد دو غذایی که کمترین رای را بیاورد و جایگزینی آن دو</x:v>
      </x:c>
      <x:c r="N712" s="39" t="str">
        <x:v>1154878548.docx::P1156.1 | 1154878548.docx::P1178.1</x:v>
      </x:c>
      <x:c r="O712" s="39"/>
    </x:row>
    <x:row r="713">
      <x:c r="A713" s="34" t="str">
        <x:v>☐</x:v>
      </x:c>
      <x:c r="B713" s="34" t="str">
        <x:v>EX-0685</x:v>
      </x:c>
      <x:c r="C713" s="34" t="str">
        <x:v>جایگزینی دو غذای کمرای</x:v>
      </x:c>
      <x:c r="D713" s="34" t="str">
        <x:v>POSSIBLE</x:v>
      </x:c>
      <x:c r="E713" s="34" t="str">
        <x:v>85.5</x:v>
      </x:c>
      <x:c r="F713" s="34" t="str">
        <x:v>MI-2785</x:v>
      </x:c>
      <x:c r="G713" s="39" t="str">
        <x:v>اگر بخواهی، در مرحله بعد می توانم دو چیز بسیار مهم را هم طراحی کنم که این سند را چند برابر حرفه ای تر و اجرایی تر می کند:</x:v>
      </x:c>
      <x:c r="H713" s="39" t="str">
        <x:v>H3</x:v>
      </x:c>
      <x:c r="I713" s="39" t="str">
        <x:v>P3/CLARIFY</x:v>
      </x:c>
      <x:c r="J713" s="39" t="str">
        <x:v>H3</x:v>
      </x:c>
      <x:c r="K713" s="39" t="str">
        <x:v>تطبیق احتمالی با پایه</x:v>
      </x:c>
      <x:c r="L713" s="39" t="str">
        <x:v>MI-2785</x:v>
      </x:c>
      <x:c r="M713" s="39" t="str">
        <x:v>اگر بخواهی، در مرحله بعد می توانم دو چیز بسیار مهم را هم طراحی کنم که این سند را چند برابر حرفه ای تر و اجرایی تر می کند:</x:v>
      </x:c>
      <x:c r="N713" s="39" t="str">
        <x:v>1154878548.docx::P1157.1 | 1154878548.docx::P1179.1</x:v>
      </x:c>
      <x:c r="O713" s="39"/>
    </x:row>
    <x:row r="714">
      <x:c r="A714" s="34" t="str">
        <x:v>☐</x:v>
      </x:c>
      <x:c r="B714" s="34" t="str">
        <x:v>EX-0686</x:v>
      </x:c>
      <x:c r="C714" s="34" t="str">
        <x:v>کاهش قیمتهای بوفه خوابگاهها      وغییر نوع برنج مصرفی (ایرانی به جای خارجی)</x:v>
      </x:c>
      <x:c r="D714" s="34" t="str">
        <x:v>POSSIBLE</x:v>
      </x:c>
      <x:c r="E714" s="34" t="str">
        <x:v>85.5</x:v>
      </x:c>
      <x:c r="F714" s="34" t="str">
        <x:v>MI-3063</x:v>
      </x:c>
      <x:c r="G714"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714" s="39" t="str">
        <x:v>H1</x:v>
      </x:c>
      <x:c r="I714" s="39" t="str">
        <x:v>P0</x:v>
      </x:c>
      <x:c r="J714" s="39" t="str">
        <x:v>H1</x:v>
      </x:c>
      <x:c r="K714" s="39" t="str">
        <x:v>تطبیق احتمالی با پایه</x:v>
      </x:c>
      <x:c r="L714" s="39" t="str">
        <x:v>MI-3063</x:v>
      </x:c>
      <x:c r="M714"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714" s="39" t="str">
        <x:v>1154878548.docx::P1164.1</x:v>
      </x:c>
      <x:c r="O714" s="39"/>
    </x:row>
    <x:row r="715">
      <x:c r="A715" s="34" t="str">
        <x:v>☐</x:v>
      </x:c>
      <x:c r="B715" s="34" t="str">
        <x:v>EX-0687</x:v>
      </x:c>
      <x:c r="C715" s="34" t="str">
        <x:v>کاهش قیمتهای بوفه خوابگاهها      و دانشگاه</x:v>
      </x:c>
      <x:c r="D715" s="34" t="str">
        <x:v>POSSIBLE</x:v>
      </x:c>
      <x:c r="E715" s="34" t="str">
        <x:v>92.5</x:v>
      </x:c>
      <x:c r="F715" s="34" t="str">
        <x:v>MI-0809</x:v>
      </x:c>
      <x:c r="G715" s="39" t="str">
        <x:v>- کاهش قیمت های بوفه های خوابگاه ها و دانشگاه</x:v>
      </x:c>
      <x:c r="H715" s="39" t="str">
        <x:v>H11</x:v>
      </x:c>
      <x:c r="I715" s="39" t="str">
        <x:v>DELEGATE/P2</x:v>
      </x:c>
      <x:c r="J715" s="39" t="str">
        <x:v>H11</x:v>
      </x:c>
      <x:c r="K715" s="39" t="str">
        <x:v>تطبیق احتمالی با پایه</x:v>
      </x:c>
      <x:c r="L715" s="39" t="str">
        <x:v>MI-0809</x:v>
      </x:c>
      <x:c r="M715" s="39" t="str">
        <x:v>- کاهش قیمت های بوفه های خوابگاه ها و دانشگاه</x:v>
      </x:c>
      <x:c r="N715" s="39" t="str">
        <x:v>1154878548.docx::P1186.1</x:v>
      </x:c>
      <x:c r="O715" s="39"/>
    </x:row>
    <x:row r="716">
      <x:c r="A716" s="34" t="str">
        <x:v>☐</x:v>
      </x:c>
      <x:c r="B716" s="34" t="str">
        <x:v>EX-0688</x:v>
      </x:c>
      <x:c r="C716" s="34" t="str">
        <x:v>نظارت بر قیمتهای بوفه (جلوگیری      از گرانفروشی)</x:v>
      </x:c>
      <x:c r="D716" s="34" t="str">
        <x:v>POSSIBLE</x:v>
      </x:c>
      <x:c r="E716" s="34" t="str">
        <x:v>85.5</x:v>
      </x:c>
      <x:c r="F716" s="34" t="str">
        <x:v>MI-1508</x:v>
      </x:c>
      <x:c r="G716" s="39" t="str">
        <x:v>مهارت های فنی: تسلط بر نرم افزارهای تخصصی، ابزارهای مهندسی، تکنولوژی های جدید.</x:v>
      </x:c>
      <x:c r="H716" s="39" t="str">
        <x:v>H1</x:v>
      </x:c>
      <x:c r="I716" s="39" t="str">
        <x:v>P0</x:v>
      </x:c>
      <x:c r="J716" s="39" t="str">
        <x:v>H1</x:v>
      </x:c>
      <x:c r="K716" s="39" t="str">
        <x:v>تطبیق احتمالی با پایه</x:v>
      </x:c>
      <x:c r="L716" s="39" t="str">
        <x:v>MI-1508</x:v>
      </x:c>
      <x:c r="M716" s="39" t="str">
        <x:v>مهارت های فنی: تسلط بر نرم افزارهای تخصصی، ابزارهای مهندسی، تکنولوژی های جدید.</x:v>
      </x:c>
      <x:c r="N716" s="39" t="str">
        <x:v>1154878548.docx::P1187.1</x:v>
      </x:c>
      <x:c r="O716" s="39"/>
    </x:row>
    <x:row r="717">
      <x:c r="A717" s="34" t="str">
        <x:v>☐</x:v>
      </x:c>
      <x:c r="B717" s="34" t="str">
        <x:v>EX-0689</x:v>
      </x:c>
      <x:c r="C717" s="34" t="str">
        <x:v>تعویض بوفه به فروشگاه برای      تردد بهتر دانشجو</x:v>
      </x:c>
      <x:c r="D717" s="34" t="str">
        <x:v>POSSIBLE</x:v>
      </x:c>
      <x:c r="E717" s="34" t="str">
        <x:v>89.6</x:v>
      </x:c>
      <x:c r="F717" s="34" t="str">
        <x:v>MI-0813</x:v>
      </x:c>
      <x:c r="G717" s="39" t="str">
        <x:v>- تعویض بوفه به فروشگاه جهت تردد دانشجو</x:v>
      </x:c>
      <x:c r="H717" s="39" t="str">
        <x:v>H11</x:v>
      </x:c>
      <x:c r="I717" s="39" t="str">
        <x:v>DELEGATE/P2</x:v>
      </x:c>
      <x:c r="J717" s="39" t="str">
        <x:v>H11</x:v>
      </x:c>
      <x:c r="K717" s="39" t="str">
        <x:v>تطبیق احتمالی با پایه</x:v>
      </x:c>
      <x:c r="L717" s="39" t="str">
        <x:v>MI-0813</x:v>
      </x:c>
      <x:c r="M717" s="39" t="str">
        <x:v>- تعویض بوفه به فروشگاه جهت تردد دانشجو</x:v>
      </x:c>
      <x:c r="N717" s="39" t="str">
        <x:v>1154878548.docx::P1190.1</x:v>
      </x:c>
      <x:c r="O717" s="39"/>
    </x:row>
    <x:row r="718">
      <x:c r="A718" s="34" t="str">
        <x:v>☐</x:v>
      </x:c>
      <x:c r="B718" s="34" t="str">
        <x:v>EX-0690</x:v>
      </x:c>
      <x:c r="C718" s="34" t="str">
        <x:v>تعاملات خارجی</x:v>
      </x:c>
      <x:c r="D718" s="34" t="str">
        <x:v>POSSIBLE</x:v>
      </x:c>
      <x:c r="E718" s="34" t="str">
        <x:v>90.0</x:v>
      </x:c>
      <x:c r="F718" s="34" t="str">
        <x:v>MI-2713</x:v>
      </x:c>
      <x:c r="G718" s="39" t="str">
        <x:v>تعامل</x:v>
      </x:c>
      <x:c r="H718" s="39" t="str">
        <x:v>H4</x:v>
      </x:c>
      <x:c r="I718" s="39" t="str">
        <x:v>P1</x:v>
      </x:c>
      <x:c r="J718" s="39" t="str">
        <x:v>H4</x:v>
      </x:c>
      <x:c r="K718" s="39" t="str">
        <x:v>تطبیق احتمالی با پایه</x:v>
      </x:c>
      <x:c r="L718" s="39" t="str">
        <x:v>MI-2713</x:v>
      </x:c>
      <x:c r="M718" s="39" t="str">
        <x:v>تعامل</x:v>
      </x:c>
      <x:c r="N718" s="39" t="str">
        <x:v>1154878548.docx::P1196.1</x:v>
      </x:c>
      <x:c r="O718" s="39"/>
    </x:row>
    <x:row r="719">
      <x:c r="A719" s="34" t="str">
        <x:v>☐</x:v>
      </x:c>
      <x:c r="B719" s="34" t="str">
        <x:v>EX-0691</x:v>
      </x:c>
      <x:c r="C719" s="34" t="str">
        <x:v>SnappFood (همکاری و فروش آنلاین)</x:v>
      </x:c>
      <x:c r="D719" s="34" t="str">
        <x:v>POSSIBLE</x:v>
      </x:c>
      <x:c r="E719" s="34" t="str">
        <x:v>90.0</x:v>
      </x:c>
      <x:c r="F719" s="34" t="str">
        <x:v>MI-1810</x:v>
      </x:c>
      <x:c r="G719" s="39" t="str">
        <x:v>همکاری</x:v>
      </x:c>
      <x:c r="H719" s="39" t="str">
        <x:v>H20</x:v>
      </x:c>
      <x:c r="I719" s="39" t="str">
        <x:v>P3/CLARIFY</x:v>
      </x:c>
      <x:c r="J719" s="39" t="str">
        <x:v>H20</x:v>
      </x:c>
      <x:c r="K719" s="39" t="str">
        <x:v>تطبیق احتمالی با پایه</x:v>
      </x:c>
      <x:c r="L719" s="39" t="str">
        <x:v>MI-1810</x:v>
      </x:c>
      <x:c r="M719" s="39" t="str">
        <x:v>همکاری</x:v>
      </x:c>
      <x:c r="N719" s="39" t="str">
        <x:v>1154878548.docx::P1197.1</x:v>
      </x:c>
      <x:c r="O719" s="39"/>
    </x:row>
    <x:row r="720">
      <x:c r="A720" s="34" t="str">
        <x:v>☐</x:v>
      </x:c>
      <x:c r="B720" s="34" t="str">
        <x:v>EX-0692</x:v>
      </x:c>
      <x:c r="C720" s="34" t="str">
        <x:v>عمو رحیم</x:v>
      </x:c>
      <x:c r="D720" s="34" t="str">
        <x:v>POSSIBLE</x:v>
      </x:c>
      <x:c r="E720" s="34" t="str">
        <x:v>90.0</x:v>
      </x:c>
      <x:c r="F720" s="34" t="str">
        <x:v>MI-0709</x:v>
      </x:c>
      <x:c r="G720" s="39" t="str">
        <x:v>پیگیری طرح تفاهم نامه باقلوا لذیذ و عمو رحیم</x:v>
      </x:c>
      <x:c r="H720" s="39" t="str">
        <x:v>H11</x:v>
      </x:c>
      <x:c r="I720" s="39" t="str">
        <x:v>DELEGATE/P2</x:v>
      </x:c>
      <x:c r="J720" s="39" t="str">
        <x:v>H11</x:v>
      </x:c>
      <x:c r="K720" s="39" t="str">
        <x:v>تطبیق احتمالی با پایه</x:v>
      </x:c>
      <x:c r="L720" s="39" t="str">
        <x:v>MI-0709</x:v>
      </x:c>
      <x:c r="M720" s="39" t="str">
        <x:v>پیگیری طرح تفاهم نامه باقلوا لذیذ و عمو رحیم</x:v>
      </x:c>
      <x:c r="N720" s="39" t="str">
        <x:v>1154878548.docx::P1200.1</x:v>
      </x:c>
      <x:c r="O720" s="39"/>
    </x:row>
    <x:row r="721">
      <x:c r="A721" s="34" t="str">
        <x:v>☐</x:v>
      </x:c>
      <x:c r="B721" s="34" t="str">
        <x:v>EX-0693</x:v>
      </x:c>
      <x:c r="C721" s="34" t="str">
        <x:v>کیوآرکد زماندار برای      دانشجویانی که غذایشان را نگرفتند</x:v>
      </x:c>
      <x:c r="D721" s="34" t="str">
        <x:v>POSSIBLE</x:v>
      </x:c>
      <x:c r="E721" s="34" t="str">
        <x:v>90.0</x:v>
      </x:c>
      <x:c r="F721" s="34" t="str">
        <x:v>MI-2707</x:v>
      </x:c>
      <x:c r="G721" s="39" t="str">
        <x:v>دانشجویان</x:v>
      </x:c>
      <x:c r="H721" s="39" t="str">
        <x:v>H11</x:v>
      </x:c>
      <x:c r="I721" s="39" t="str">
        <x:v>DELEGATE/P2</x:v>
      </x:c>
      <x:c r="J721" s="39" t="str">
        <x:v>H11</x:v>
      </x:c>
      <x:c r="K721" s="39" t="str">
        <x:v>تطبیق احتمالی با پایه</x:v>
      </x:c>
      <x:c r="L721" s="39" t="str">
        <x:v>MI-2707</x:v>
      </x:c>
      <x:c r="M721" s="39" t="str">
        <x:v>دانشجویان</x:v>
      </x:c>
      <x:c r="N721" s="39" t="str">
        <x:v>1154878548.docx::P1203.1</x:v>
      </x:c>
      <x:c r="O721" s="39"/>
    </x:row>
    <x:row r="722">
      <x:c r="A722" s="34" t="str">
        <x:v>☐</x:v>
      </x:c>
      <x:c r="B722" s="34" t="str">
        <x:v>EX-0694</x:v>
      </x:c>
      <x:c r="C722" s="34" t="str">
        <x:v>کیوآرکد زماندار</x:v>
      </x:c>
      <x:c r="D722" s="34" t="str">
        <x:v>POSSIBLE</x:v>
      </x:c>
      <x:c r="E722" s="34" t="str">
        <x:v>90.0</x:v>
      </x:c>
      <x:c r="F722" s="34" t="str">
        <x:v>MI-0860</x:v>
      </x:c>
      <x:c r="G722" s="39" t="str">
        <x:v>کیوآرکد زماندار طراحی کردن برای دانشجویی که نتوانست غذایش را بگیرد</x:v>
      </x:c>
      <x:c r="H722" s="39" t="str">
        <x:v>H11</x:v>
      </x:c>
      <x:c r="I722" s="39" t="str">
        <x:v>DELEGATE/P2</x:v>
      </x:c>
      <x:c r="J722" s="39" t="str">
        <x:v>H11</x:v>
      </x:c>
      <x:c r="K722" s="39" t="str">
        <x:v>تطبیق احتمالی با پایه</x:v>
      </x:c>
      <x:c r="L722" s="39" t="str">
        <x:v>MI-0860</x:v>
      </x:c>
      <x:c r="M722" s="39" t="str">
        <x:v>کیوآرکد زماندار طراحی کردن برای دانشجویی که نتوانست غذایش را بگیرد</x:v>
      </x:c>
      <x:c r="N722" s="39" t="str">
        <x:v>1154878548.docx::P1209.1</x:v>
      </x:c>
      <x:c r="O722" s="39"/>
    </x:row>
    <x:row r="723">
      <x:c r="A723" s="34" t="str">
        <x:v>☐</x:v>
      </x:c>
      <x:c r="B723" s="34" t="str">
        <x:v>EX-0695</x:v>
      </x:c>
      <x:c r="C723" s="34" t="str">
        <x:v>شکر بستهبندی</x:v>
      </x:c>
      <x:c r="D723" s="34" t="str">
        <x:v>POSSIBLE</x:v>
      </x:c>
      <x:c r="E723" s="34" t="str">
        <x:v>85.5</x:v>
      </x:c>
      <x:c r="F723" s="34" t="str">
        <x:v>MI-0791</x:v>
      </x:c>
      <x:c r="G723" s="39" t="str">
        <x:v>- نبودن شکر برای صبحانه</x:v>
      </x:c>
      <x:c r="H723" s="39" t="str">
        <x:v>H11</x:v>
      </x:c>
      <x:c r="I723" s="39" t="str">
        <x:v>DELEGATE/P2</x:v>
      </x:c>
      <x:c r="J723" s="39" t="str">
        <x:v>H11</x:v>
      </x:c>
      <x:c r="K723" s="39" t="str">
        <x:v>تطبیق احتمالی با پایه</x:v>
      </x:c>
      <x:c r="L723" s="39" t="str">
        <x:v>MI-0791</x:v>
      </x:c>
      <x:c r="M723" s="39" t="str">
        <x:v>- نبودن شکر برای صبحانه</x:v>
      </x:c>
      <x:c r="N723" s="39" t="str">
        <x:v>1154878548.docx::P1210.1</x:v>
      </x:c>
      <x:c r="O723" s="39"/>
    </x:row>
    <x:row r="724">
      <x:c r="A724" s="34" t="str">
        <x:v>☐</x:v>
      </x:c>
      <x:c r="B724" s="34" t="str">
        <x:v>EX-0696</x:v>
      </x:c>
      <x:c r="C724" s="34" t="str">
        <x:v>پک صبحانه</x:v>
      </x:c>
      <x:c r="D724" s="34" t="str">
        <x:v>POSSIBLE</x:v>
      </x:c>
      <x:c r="E724" s="34" t="str">
        <x:v>90.0</x:v>
      </x:c>
      <x:c r="F724" s="34" t="str">
        <x:v>MI-0814</x:v>
      </x:c>
      <x:c r="G724" s="39" t="str">
        <x:v>- طرح پک صبحانه خوابگاهی ها</x:v>
      </x:c>
      <x:c r="H724" s="39" t="str">
        <x:v>H11</x:v>
      </x:c>
      <x:c r="I724" s="39" t="str">
        <x:v>DELEGATE/P2</x:v>
      </x:c>
      <x:c r="J724" s="39" t="str">
        <x:v>H11</x:v>
      </x:c>
      <x:c r="K724" s="39" t="str">
        <x:v>تطبیق احتمالی با پایه</x:v>
      </x:c>
      <x:c r="L724" s="39" t="str">
        <x:v>MI-0814</x:v>
      </x:c>
      <x:c r="M724" s="39" t="str">
        <x:v>- طرح پک صبحانه خوابگاهی ها</x:v>
      </x:c>
      <x:c r="N724" s="39" t="str">
        <x:v>1154878548.docx::P1212.1</x:v>
      </x:c>
      <x:c r="O724" s="39"/>
    </x:row>
    <x:row r="725">
      <x:c r="A725" s="34" t="str">
        <x:v>☐</x:v>
      </x:c>
      <x:c r="B725" s="34" t="str">
        <x:v>EX-0697</x:v>
      </x:c>
      <x:c r="C725" s="34" t="str">
        <x:v>بازاریابی و روابط عمومی</x:v>
      </x:c>
      <x:c r="D725" s="34" t="str">
        <x:v>POSSIBLE</x:v>
      </x:c>
      <x:c r="E725" s="34" t="str">
        <x:v>90.0</x:v>
      </x:c>
      <x:c r="F725" s="34" t="str">
        <x:v>MI-2390</x:v>
      </x:c>
      <x:c r="G725" s="39" t="str">
        <x:v>بازار</x:v>
      </x:c>
      <x:c r="H725" s="39" t="str">
        <x:v>H20</x:v>
      </x:c>
      <x:c r="I725" s="39" t="str">
        <x:v>P3/CLARIFY</x:v>
      </x:c>
      <x:c r="J725" s="39" t="str">
        <x:v>H20</x:v>
      </x:c>
      <x:c r="K725" s="39" t="str">
        <x:v>تطبیق احتمالی با پایه</x:v>
      </x:c>
      <x:c r="L725" s="39" t="str">
        <x:v>MI-2390</x:v>
      </x:c>
      <x:c r="M725" s="39" t="str">
        <x:v>بازار</x:v>
      </x:c>
      <x:c r="N725" s="39" t="str">
        <x:v>1154878548.docx::P1214.1</x:v>
      </x:c>
      <x:c r="O725" s="39"/>
    </x:row>
    <x:row r="726">
      <x:c r="A726" s="34" t="str">
        <x:v>☐</x:v>
      </x:c>
      <x:c r="B726" s="34" t="str">
        <x:v>EX-0698</x:v>
      </x:c>
      <x:c r="C726" s="34" t="str">
        <x:v>بازاریابی دهان به دهان</x:v>
      </x:c>
      <x:c r="D726" s="34" t="str">
        <x:v>POSSIBLE</x:v>
      </x:c>
      <x:c r="E726" s="34" t="str">
        <x:v>90.0</x:v>
      </x:c>
      <x:c r="F726" s="34" t="str">
        <x:v>MI-2390</x:v>
      </x:c>
      <x:c r="G726" s="39" t="str">
        <x:v>بازار</x:v>
      </x:c>
      <x:c r="H726" s="39" t="str">
        <x:v>H20</x:v>
      </x:c>
      <x:c r="I726" s="39" t="str">
        <x:v>P3/CLARIFY</x:v>
      </x:c>
      <x:c r="J726" s="39" t="str">
        <x:v>H20</x:v>
      </x:c>
      <x:c r="K726" s="39" t="str">
        <x:v>تطبیق احتمالی با پایه</x:v>
      </x:c>
      <x:c r="L726" s="39" t="str">
        <x:v>MI-2390</x:v>
      </x:c>
      <x:c r="M726" s="39" t="str">
        <x:v>بازار</x:v>
      </x:c>
      <x:c r="N726" s="39" t="str">
        <x:v>1154878548.docx::P1215.1</x:v>
      </x:c>
      <x:c r="O726" s="39"/>
    </x:row>
    <x:row r="727">
      <x:c r="A727" s="34" t="str">
        <x:v>☐</x:v>
      </x:c>
      <x:c r="B727" s="34" t="str">
        <x:v>EX-0699</x:v>
      </x:c>
      <x:c r="C727" s="34" t="str">
        <x:v>کارت عضویت برای مشتریان</x:v>
      </x:c>
      <x:c r="D727" s="34" t="str">
        <x:v>POSSIBLE</x:v>
      </x:c>
      <x:c r="E727" s="34" t="str">
        <x:v>90.0</x:v>
      </x:c>
      <x:c r="F727" s="34" t="str">
        <x:v>MI-2268</x:v>
      </x:c>
      <x:c r="G727" s="39" t="str">
        <x:v>برای:</x:v>
      </x:c>
      <x:c r="H727" s="39" t="str">
        <x:v>H20</x:v>
      </x:c>
      <x:c r="I727" s="39" t="str">
        <x:v>P3/CLARIFY</x:v>
      </x:c>
      <x:c r="J727" s="39" t="str">
        <x:v>H20</x:v>
      </x:c>
      <x:c r="K727" s="39" t="str">
        <x:v>تطبیق احتمالی با پایه</x:v>
      </x:c>
      <x:c r="L727" s="39" t="str">
        <x:v>MI-2268</x:v>
      </x:c>
      <x:c r="M727" s="39" t="str">
        <x:v>برای:</x:v>
      </x:c>
      <x:c r="N727" s="39" t="str">
        <x:v>1154878548.docx::P1216.1</x:v>
      </x:c>
      <x:c r="O727" s="39"/>
    </x:row>
    <x:row r="728">
      <x:c r="A728" s="34" t="str">
        <x:v>☐</x:v>
      </x:c>
      <x:c r="B728" s="34" t="str">
        <x:v>EX-0700</x:v>
      </x:c>
      <x:c r="C728" s="34" t="str">
        <x:v>ثبت تعداد مراجعات</x:v>
      </x:c>
      <x:c r="D728" s="34" t="str">
        <x:v>POSSIBLE</x:v>
      </x:c>
      <x:c r="E728" s="34" t="str">
        <x:v>85.5</x:v>
      </x:c>
      <x:c r="F728" s="34" t="str">
        <x:v>MI-2485</x:v>
      </x:c>
      <x:c r="G728" s="39" t="str">
        <x:v>ثبت تیم ها</x:v>
      </x:c>
      <x:c r="H728" s="39" t="str">
        <x:v>H10</x:v>
      </x:c>
      <x:c r="I728" s="39" t="str">
        <x:v>P2</x:v>
      </x:c>
      <x:c r="J728" s="39" t="str">
        <x:v>H10</x:v>
      </x:c>
      <x:c r="K728" s="39" t="str">
        <x:v>تطبیق احتمالی با پایه</x:v>
      </x:c>
      <x:c r="L728" s="39" t="str">
        <x:v>MI-2485</x:v>
      </x:c>
      <x:c r="M728" s="39" t="str">
        <x:v>ثبت تیم ها</x:v>
      </x:c>
      <x:c r="N728" s="39" t="str">
        <x:v>1154878548.docx::P1217.1</x:v>
      </x:c>
      <x:c r="O728" s="39"/>
    </x:row>
    <x:row r="729">
      <x:c r="A729" s="34" t="str">
        <x:v>☐</x:v>
      </x:c>
      <x:c r="B729" s="34" t="str">
        <x:v>EX-0701</x:v>
      </x:c>
      <x:c r="C729" s="34" t="str">
        <x:v>پاداش غذای رایگان در رسیدن به حد مشخص</x:v>
      </x:c>
      <x:c r="D729" s="34" t="str">
        <x:v>POSSIBLE</x:v>
      </x:c>
      <x:c r="E729" s="34" t="str">
        <x:v>85.5</x:v>
      </x:c>
      <x:c r="F729" s="34" t="str">
        <x:v>MI-0173</x:v>
      </x:c>
      <x:c r="G729" s="39" t="str">
        <x:v>جستجو در منابع سریع</x:v>
      </x:c>
      <x:c r="H729" s="39" t="str">
        <x:v>H1</x:v>
      </x:c>
      <x:c r="I729" s="39" t="str">
        <x:v>P0</x:v>
      </x:c>
      <x:c r="J729" s="39" t="str">
        <x:v>H1</x:v>
      </x:c>
      <x:c r="K729" s="39" t="str">
        <x:v>تطبیق احتمالی با پایه</x:v>
      </x:c>
      <x:c r="L729" s="39" t="str">
        <x:v>MI-0173</x:v>
      </x:c>
      <x:c r="M729" s="39" t="str">
        <x:v>جستجو در منابع سریع</x:v>
      </x:c>
      <x:c r="N729" s="39" t="str">
        <x:v>1154878548.docx::P1218.1</x:v>
      </x:c>
      <x:c r="O729" s="39"/>
    </x:row>
    <x:row r="730">
      <x:c r="A730" s="34" t="str">
        <x:v>☐</x:v>
      </x:c>
      <x:c r="B730" s="34" t="str">
        <x:v>EX-0702</x:v>
      </x:c>
      <x:c r="C730" s="34" t="str">
        <x:v>ارائه نوشیدنیها و دسرهای رایگان (ارزانتر از       غذاهای اصلی)</x:v>
      </x:c>
      <x:c r="D730" s="34" t="str">
        <x:v>POSSIBLE</x:v>
      </x:c>
      <x:c r="E730" s="34" t="str">
        <x:v>85.5</x:v>
      </x:c>
      <x:c r="F730" s="34" t="str">
        <x:v>MI-0029</x:v>
      </x:c>
      <x:c r="G730" s="39" t="str">
        <x:v>تدریس ریاضی و فیزیک</x:v>
      </x:c>
      <x:c r="H730" s="39" t="str">
        <x:v>H1</x:v>
      </x:c>
      <x:c r="I730" s="39" t="str">
        <x:v>P0</x:v>
      </x:c>
      <x:c r="J730" s="39" t="str">
        <x:v>H1</x:v>
      </x:c>
      <x:c r="K730" s="39" t="str">
        <x:v>تطبیق احتمالی با پایه</x:v>
      </x:c>
      <x:c r="L730" s="39" t="str">
        <x:v>MI-0029</x:v>
      </x:c>
      <x:c r="M730" s="39" t="str">
        <x:v>تدریس ریاضی و فیزیک</x:v>
      </x:c>
      <x:c r="N730" s="39" t="str">
        <x:v>1154878548.docx::P1219.1</x:v>
      </x:c>
      <x:c r="O730" s="39"/>
    </x:row>
    <x:row r="731">
      <x:c r="A731" s="34" t="str">
        <x:v>☐</x:v>
      </x:c>
      <x:c r="B731" s="34" t="str">
        <x:v>EX-0703</x:v>
      </x:c>
      <x:c r="C731" s="34" t="str">
        <x:v>اطلاعرسانی در شبکههای اجتماعی</x:v>
      </x:c>
      <x:c r="D731" s="34" t="str">
        <x:v>POSSIBLE</x:v>
      </x:c>
      <x:c r="E731" s="34" t="str">
        <x:v>90.0</x:v>
      </x:c>
      <x:c r="F731" s="34" t="str">
        <x:v>MI-0288</x:v>
      </x:c>
      <x:c r="G731" s="39" t="str">
        <x:v>اجتماعی</x:v>
      </x:c>
      <x:c r="H731" s="39" t="str">
        <x:v>H15</x:v>
      </x:c>
      <x:c r="I731" s="39" t="str">
        <x:v>P3/CLARIFY</x:v>
      </x:c>
      <x:c r="J731" s="39" t="str">
        <x:v>H15</x:v>
      </x:c>
      <x:c r="K731" s="39" t="str">
        <x:v>تطبیق احتمالی با پایه</x:v>
      </x:c>
      <x:c r="L731" s="39" t="str">
        <x:v>MI-0288</x:v>
      </x:c>
      <x:c r="M731" s="39" t="str">
        <x:v>اجتماعی</x:v>
      </x:c>
      <x:c r="N731" s="39" t="str">
        <x:v>1154878548.docx::P1220.1</x:v>
      </x:c>
      <x:c r="O731" s="39"/>
    </x:row>
    <x:row r="732">
      <x:c r="A732" s="34" t="str">
        <x:v>☐</x:v>
      </x:c>
      <x:c r="B732" s="34" t="str">
        <x:v>EX-0704</x:v>
      </x:c>
      <x:c r="C732" s="34" t="str">
        <x:v>حساب کاربری حرفهای</x:v>
      </x:c>
      <x:c r="D732" s="34" t="str">
        <x:v>POSSIBLE</x:v>
      </x:c>
      <x:c r="E732" s="34" t="str">
        <x:v>90.0</x:v>
      </x:c>
      <x:c r="F732" s="34" t="str">
        <x:v>MI-2545</x:v>
      </x:c>
      <x:c r="G732" s="39" t="str">
        <x:v>کار:</x:v>
      </x:c>
      <x:c r="H732" s="39" t="str">
        <x:v>H20</x:v>
      </x:c>
      <x:c r="I732" s="39" t="str">
        <x:v>P3/CLARIFY</x:v>
      </x:c>
      <x:c r="J732" s="39" t="str">
        <x:v>H20</x:v>
      </x:c>
      <x:c r="K732" s="39" t="str">
        <x:v>تطبیق احتمالی با پایه</x:v>
      </x:c>
      <x:c r="L732" s="39" t="str">
        <x:v>MI-2545</x:v>
      </x:c>
      <x:c r="M732" s="39" t="str">
        <x:v>کار:</x:v>
      </x:c>
      <x:c r="N732" s="39" t="str">
        <x:v>1154878548.docx::P1221.1</x:v>
      </x:c>
      <x:c r="O732" s="39"/>
    </x:row>
    <x:row r="733">
      <x:c r="A733" s="34" t="str">
        <x:v>☐</x:v>
      </x:c>
      <x:c r="B733" s="34" t="str">
        <x:v>EX-0705</x:v>
      </x:c>
      <x:c r="C733" s="34" t="str">
        <x:v>پیشنهادات ویژه و تخفیفهای روزانه</x:v>
      </x:c>
      <x:c r="D733" s="34" t="str">
        <x:v>POSSIBLE</x:v>
      </x:c>
      <x:c r="E733" s="34" t="str">
        <x:v>90.0</x:v>
      </x:c>
      <x:c r="F733" s="34" t="str">
        <x:v>MI-1099</x:v>
      </x:c>
      <x:c r="G733" s="39" t="str">
        <x:v>نهاد</x:v>
      </x:c>
      <x:c r="H733" s="39" t="str">
        <x:v>H23</x:v>
      </x:c>
      <x:c r="I733" s="39" t="str">
        <x:v>P3/CLARIFY</x:v>
      </x:c>
      <x:c r="J733" s="39" t="str">
        <x:v>H23</x:v>
      </x:c>
      <x:c r="K733" s="39" t="str">
        <x:v>تطبیق احتمالی با پایه</x:v>
      </x:c>
      <x:c r="L733" s="39" t="str">
        <x:v>MI-1099</x:v>
      </x:c>
      <x:c r="M733" s="39" t="str">
        <x:v>نهاد</x:v>
      </x:c>
      <x:c r="N733" s="39" t="str">
        <x:v>1154878548.docx::P1222.1</x:v>
      </x:c>
      <x:c r="O733" s="39"/>
    </x:row>
    <x:row r="734">
      <x:c r="A734" s="34" t="str">
        <x:v>☐</x:v>
      </x:c>
      <x:c r="B734" s="34" t="str">
        <x:v>EX-0706</x:v>
      </x:c>
      <x:c r="C734" s="34" t="str">
        <x:v>اطلاعرسانی تعطیلی ناگهانی</x:v>
      </x:c>
      <x:c r="D734" s="34" t="str">
        <x:v>UNMAPPED</x:v>
      </x:c>
      <x:c r="E734" s="34" t="str">
        <x:v>75.5</x:v>
      </x:c>
      <x:c r="F734" s="34" t="str">
        <x:v>MI-1066</x:v>
      </x:c>
      <x:c r="G734" s="39" t="str">
        <x:v>اطلاع رسانی ضعیف</x:v>
      </x:c>
      <x:c r="H734" s="39" t="str">
        <x:v>H11</x:v>
      </x:c>
      <x:c r="I734" s="39" t="str">
        <x:v>DELEGATE/P2</x:v>
      </x:c>
      <x:c r="J734" s="39" t="str">
        <x:v>H23</x:v>
      </x:c>
      <x:c r="K734" s="39" t="str">
        <x:v>نیازمند پالایش؛ حذف نشده</x:v>
      </x:c>
      <x:c r="L734" s="39"/>
      <x:c r="M734" s="39"/>
      <x:c r="N734" s="39" t="str">
        <x:v>1154878548.docx::P1223.1</x:v>
      </x:c>
      <x:c r="O734" s="39"/>
    </x:row>
    <x:row r="735">
      <x:c r="A735" s="34" t="str">
        <x:v>☐</x:v>
      </x:c>
      <x:c r="B735" s="34" t="str">
        <x:v>EX-0707</x:v>
      </x:c>
      <x:c r="C735" s="34" t="str">
        <x:v>عکسهای واقعی وعدههای غذایی</x:v>
      </x:c>
      <x:c r="D735" s="34" t="str">
        <x:v>POSSIBLE</x:v>
      </x:c>
      <x:c r="E735" s="34" t="str">
        <x:v>85.5</x:v>
      </x:c>
      <x:c r="F735" s="34" t="str">
        <x:v>MI-1636</x:v>
      </x:c>
      <x:c r="G735" s="39" t="str">
        <x:v>در این مرحله فرصت های واقعی سرمایه گذاری معرفی می شود.</x:v>
      </x:c>
      <x:c r="H735" s="39" t="str">
        <x:v>H8</x:v>
      </x:c>
      <x:c r="I735" s="39" t="str">
        <x:v>P2</x:v>
      </x:c>
      <x:c r="J735" s="39" t="str">
        <x:v>H8</x:v>
      </x:c>
      <x:c r="K735" s="39" t="str">
        <x:v>تطبیق احتمالی با پایه</x:v>
      </x:c>
      <x:c r="L735" s="39" t="str">
        <x:v>MI-1636</x:v>
      </x:c>
      <x:c r="M735" s="39" t="str">
        <x:v>در این مرحله فرصت های واقعی سرمایه گذاری معرفی می شود.</x:v>
      </x:c>
      <x:c r="N735" s="39" t="str">
        <x:v>1154878548.docx::P1224.1</x:v>
      </x:c>
      <x:c r="O735" s="39"/>
    </x:row>
    <x:row r="736">
      <x:c r="A736" s="34" t="str">
        <x:v>☐</x:v>
      </x:c>
      <x:c r="B736" s="34" t="str">
        <x:v>EX-0708</x:v>
      </x:c>
      <x:c r="C736" s="34" t="str">
        <x:v>عکسهای دکوراسیون و محیط رستوران</x:v>
      </x:c>
      <x:c r="D736" s="34" t="str">
        <x:v>POSSIBLE</x:v>
      </x:c>
      <x:c r="E736" s="34" t="str">
        <x:v>85.5</x:v>
      </x:c>
      <x:c r="F736" s="34" t="str">
        <x:v>MI-1513</x:v>
      </x:c>
      <x:c r="G736" s="39" t="str">
        <x:v>تولید و کارآفرینی: توانایی تولید محصول و خدمات و ایجاد شغل.</x:v>
      </x:c>
      <x:c r="H736" s="39" t="str">
        <x:v>H1</x:v>
      </x:c>
      <x:c r="I736" s="39" t="str">
        <x:v>P0</x:v>
      </x:c>
      <x:c r="J736" s="39" t="str">
        <x:v>H1</x:v>
      </x:c>
      <x:c r="K736" s="39" t="str">
        <x:v>تطبیق احتمالی با پایه</x:v>
      </x:c>
      <x:c r="L736" s="39" t="str">
        <x:v>MI-1513</x:v>
      </x:c>
      <x:c r="M736" s="39" t="str">
        <x:v>تولید و کارآفرینی: توانایی تولید محصول و خدمات و ایجاد شغل.</x:v>
      </x:c>
      <x:c r="N736" s="39" t="str">
        <x:v>1154878548.docx::P1225.1</x:v>
      </x:c>
      <x:c r="O736" s="39"/>
    </x:row>
    <x:row r="737">
      <x:c r="A737" s="34" t="str">
        <x:v>☐</x:v>
      </x:c>
      <x:c r="B737" s="34" t="str">
        <x:v>EX-0709</x:v>
      </x:c>
      <x:c r="C737" s="34" t="str">
        <x:v>سفارش آنلاین</x:v>
      </x:c>
      <x:c r="D737" s="34" t="str">
        <x:v>POSSIBLE</x:v>
      </x:c>
      <x:c r="E737" s="34" t="str">
        <x:v>90.0</x:v>
      </x:c>
      <x:c r="F737" s="34" t="str">
        <x:v>MI-0531</x:v>
      </x:c>
      <x:c r="G737" s="39" t="str">
        <x:v>برای بعضی مشتریان، سفارش آنلاین اغلب راحت تر ازتماس تلفنی است</x:v>
      </x:c>
      <x:c r="H737" s="39" t="str">
        <x:v>H8</x:v>
      </x:c>
      <x:c r="I737" s="39" t="str">
        <x:v>P2</x:v>
      </x:c>
      <x:c r="J737" s="39" t="str">
        <x:v>H8</x:v>
      </x:c>
      <x:c r="K737" s="39" t="str">
        <x:v>تطبیق احتمالی با پایه</x:v>
      </x:c>
      <x:c r="L737" s="39" t="str">
        <x:v>MI-0531</x:v>
      </x:c>
      <x:c r="M737" s="39" t="str">
        <x:v>برای بعضی مشتریان، سفارش آنلاین اغلب راحت تر ازتماس تلفنی است</x:v>
      </x:c>
      <x:c r="N737" s="39" t="str">
        <x:v>1154878548.docx::P1226.1</x:v>
      </x:c>
      <x:c r="O737" s="39"/>
    </x:row>
    <x:row r="738">
      <x:c r="A738" s="34" t="str">
        <x:v>☐</x:v>
      </x:c>
      <x:c r="B738" s="34" t="str">
        <x:v>EX-0710</x:v>
      </x:c>
      <x:c r="C738" s="34" t="str">
        <x:v>پخش موسیقی</x:v>
      </x:c>
      <x:c r="D738" s="34" t="str">
        <x:v>POSSIBLE</x:v>
      </x:c>
      <x:c r="E738" s="34" t="str">
        <x:v>85.5</x:v>
      </x:c>
      <x:c r="F738" s="34" t="str">
        <x:v>MI-1150</x:v>
      </x:c>
      <x:c r="G738" s="39" t="str">
        <x:v>پخش کلیپ بین دو نماز</x:v>
      </x:c>
      <x:c r="H738" s="39" t="str">
        <x:v>H11</x:v>
      </x:c>
      <x:c r="I738" s="39" t="str">
        <x:v>DELEGATE/P2</x:v>
      </x:c>
      <x:c r="J738" s="39" t="str">
        <x:v>H11</x:v>
      </x:c>
      <x:c r="K738" s="39" t="str">
        <x:v>تطبیق احتمالی با پایه</x:v>
      </x:c>
      <x:c r="L738" s="39" t="str">
        <x:v>MI-1150</x:v>
      </x:c>
      <x:c r="M738" s="39" t="str">
        <x:v>پخش کلیپ بین دو نماز</x:v>
      </x:c>
      <x:c r="N738" s="39" t="str">
        <x:v>1154878548.docx::P1227.1</x:v>
      </x:c>
      <x:c r="O738" s="39"/>
    </x:row>
    <x:row r="739">
      <x:c r="A739" s="34" t="str">
        <x:v>☐</x:v>
      </x:c>
      <x:c r="B739" s="34" t="str">
        <x:v>EX-0711</x:v>
      </x:c>
      <x:c r="C739" s="34" t="str">
        <x:v>پذیرایی مراسم خیریه (اختصاص ۱۰% درآمد)</x:v>
      </x:c>
      <x:c r="D739" s="34" t="str">
        <x:v>POSSIBLE</x:v>
      </x:c>
      <x:c r="E739" s="34" t="str">
        <x:v>90.0</x:v>
      </x:c>
      <x:c r="F739" s="34" t="str">
        <x:v>MI-1142</x:v>
      </x:c>
      <x:c r="G739" s="39" t="str">
        <x:v>پذیرایی</x:v>
      </x:c>
      <x:c r="H739" s="39" t="str">
        <x:v>H15</x:v>
      </x:c>
      <x:c r="I739" s="39" t="str">
        <x:v>P3/CLARIFY</x:v>
      </x:c>
      <x:c r="J739" s="39" t="str">
        <x:v>H15</x:v>
      </x:c>
      <x:c r="K739" s="39" t="str">
        <x:v>تطبیق احتمالی با پایه</x:v>
      </x:c>
      <x:c r="L739" s="39" t="str">
        <x:v>MI-1142</x:v>
      </x:c>
      <x:c r="M739" s="39" t="str">
        <x:v>پذیرایی</x:v>
      </x:c>
      <x:c r="N739" s="39" t="str">
        <x:v>1154878548.docx::P1228.1</x:v>
      </x:c>
      <x:c r="O739" s="39"/>
    </x:row>
    <x:row r="740">
      <x:c r="A740" s="34" t="str">
        <x:v>☐</x:v>
      </x:c>
      <x:c r="B740" s="34" t="str">
        <x:v>EX-0712</x:v>
      </x:c>
      <x:c r="C740" s="34" t="str">
        <x:v>۴-۲. رفاه و خدمات دانشجویی</x:v>
      </x:c>
      <x:c r="D740" s="34" t="str">
        <x:v>POSSIBLE</x:v>
      </x:c>
      <x:c r="E740" s="34" t="str">
        <x:v>90.0</x:v>
      </x:c>
      <x:c r="F740" s="34" t="str">
        <x:v>MI-2622</x:v>
      </x:c>
      <x:c r="G740" s="39" t="str">
        <x:v>دانش</x:v>
      </x:c>
      <x:c r="H740" s="39" t="str">
        <x:v>H20</x:v>
      </x:c>
      <x:c r="I740" s="39" t="str">
        <x:v>P3/CLARIFY</x:v>
      </x:c>
      <x:c r="J740" s="39" t="str">
        <x:v>H20</x:v>
      </x:c>
      <x:c r="K740" s="39" t="str">
        <x:v>تطبیق احتمالی با پایه</x:v>
      </x:c>
      <x:c r="L740" s="39" t="str">
        <x:v>MI-2622</x:v>
      </x:c>
      <x:c r="M740" s="39" t="str">
        <x:v>دانش</x:v>
      </x:c>
      <x:c r="N740" s="39" t="str">
        <x:v>1154878548.docx::P1229.1</x:v>
      </x:c>
      <x:c r="O740" s="39"/>
    </x:row>
    <x:row r="741">
      <x:c r="A741" s="34" t="str">
        <x:v>☐</x:v>
      </x:c>
      <x:c r="B741" s="34" t="str">
        <x:v>EX-0713</x:v>
      </x:c>
      <x:c r="C741" s="34" t="str">
        <x:v>افزایش نرخ کار دانشجویی</x:v>
      </x:c>
      <x:c r="D741" s="34" t="str">
        <x:v>POSSIBLE</x:v>
      </x:c>
      <x:c r="E741" s="34" t="str">
        <x:v>90.0</x:v>
      </x:c>
      <x:c r="F741" s="34" t="str">
        <x:v>MI-2545</x:v>
      </x:c>
      <x:c r="G741" s="39" t="str">
        <x:v>کار:</x:v>
      </x:c>
      <x:c r="H741" s="39" t="str">
        <x:v>H20</x:v>
      </x:c>
      <x:c r="I741" s="39" t="str">
        <x:v>P3/CLARIFY</x:v>
      </x:c>
      <x:c r="J741" s="39" t="str">
        <x:v>H20</x:v>
      </x:c>
      <x:c r="K741" s="39" t="str">
        <x:v>تطبیق احتمالی با پایه</x:v>
      </x:c>
      <x:c r="L741" s="39" t="str">
        <x:v>MI-2545</x:v>
      </x:c>
      <x:c r="M741" s="39" t="str">
        <x:v>کار:</x:v>
      </x:c>
      <x:c r="N741" s="39" t="str">
        <x:v>1154878548.docx::P1230.1</x:v>
      </x:c>
      <x:c r="O741" s="39"/>
    </x:row>
    <x:row r="742">
      <x:c r="A742" s="34" t="str">
        <x:v>☐</x:v>
      </x:c>
      <x:c r="B742" s="34" t="str">
        <x:v>EX-0714</x:v>
      </x:c>
      <x:c r="C742" s="34" t="str">
        <x:v>اطلاعرسانی بیمه</x:v>
      </x:c>
      <x:c r="D742" s="34" t="str">
        <x:v>POSSIBLE</x:v>
      </x:c>
      <x:c r="E742" s="34" t="str">
        <x:v>90.0</x:v>
      </x:c>
      <x:c r="F742" s="34" t="str">
        <x:v>MI-1291</x:v>
      </x:c>
      <x:c r="G742" s="39" t="str">
        <x:v>طلا</x:v>
      </x:c>
      <x:c r="H742" s="39" t="str">
        <x:v>H12</x:v>
      </x:c>
      <x:c r="I742" s="39" t="str">
        <x:v>P2</x:v>
      </x:c>
      <x:c r="J742" s="39" t="str">
        <x:v>H12</x:v>
      </x:c>
      <x:c r="K742" s="39" t="str">
        <x:v>تطبیق احتمالی با پایه</x:v>
      </x:c>
      <x:c r="L742" s="39" t="str">
        <x:v>MI-1291</x:v>
      </x:c>
      <x:c r="M742" s="39" t="str">
        <x:v>طلا</x:v>
      </x:c>
      <x:c r="N742" s="39" t="str">
        <x:v>1154878548.docx::P1232.1</x:v>
      </x:c>
      <x:c r="O742" s="39"/>
    </x:row>
    <x:row r="743">
      <x:c r="A743" s="34" t="str">
        <x:v>☐</x:v>
      </x:c>
      <x:c r="B743" s="34" t="str">
        <x:v>EX-0715</x:v>
      </x:c>
      <x:c r="C743" s="34" t="str">
        <x:v>۵. حکمرانی فناوری و نوآوری</x:v>
      </x:c>
      <x:c r="D743" s="34" t="str">
        <x:v>POSSIBLE</x:v>
      </x:c>
      <x:c r="E743" s="34" t="str">
        <x:v>90.0</x:v>
      </x:c>
      <x:c r="F743" s="34" t="str">
        <x:v>MI-2682</x:v>
      </x:c>
      <x:c r="G743" s="39" t="str">
        <x:v>نوآوری</x:v>
      </x:c>
      <x:c r="H743" s="39" t="str">
        <x:v>H20</x:v>
      </x:c>
      <x:c r="I743" s="39" t="str">
        <x:v>P3/CLARIFY</x:v>
      </x:c>
      <x:c r="J743" s="39" t="str">
        <x:v>H20</x:v>
      </x:c>
      <x:c r="K743" s="39" t="str">
        <x:v>تطبیق احتمالی با پایه</x:v>
      </x:c>
      <x:c r="L743" s="39" t="str">
        <x:v>MI-2682</x:v>
      </x:c>
      <x:c r="M743" s="39" t="str">
        <x:v>نوآوری</x:v>
      </x:c>
      <x:c r="N743" s="39" t="str">
        <x:v>1154878548.docx::P1233.1</x:v>
      </x:c>
      <x:c r="O743" s="39"/>
    </x:row>
    <x:row r="744">
      <x:c r="A744" s="34" t="str">
        <x:v>☐</x:v>
      </x:c>
      <x:c r="B744" s="34" t="str">
        <x:v>EX-0716</x:v>
      </x:c>
      <x:c r="C744" s="34" t="str">
        <x:v>۵-۱. سیستمهای کامپیوتری و شبکه</x:v>
      </x:c>
      <x:c r="D744" s="34" t="str">
        <x:v>POSSIBLE</x:v>
      </x:c>
      <x:c r="E744" s="34" t="str">
        <x:v>85.5</x:v>
      </x:c>
      <x:c r="F744" s="34" t="str">
        <x:v>MI-1513</x:v>
      </x:c>
      <x:c r="G744" s="39" t="str">
        <x:v>تولید و کارآفرینی: توانایی تولید محصول و خدمات و ایجاد شغل.</x:v>
      </x:c>
      <x:c r="H744" s="39" t="str">
        <x:v>H1</x:v>
      </x:c>
      <x:c r="I744" s="39" t="str">
        <x:v>P0</x:v>
      </x:c>
      <x:c r="J744" s="39" t="str">
        <x:v>H1</x:v>
      </x:c>
      <x:c r="K744" s="39" t="str">
        <x:v>تطبیق احتمالی با پایه</x:v>
      </x:c>
      <x:c r="L744" s="39" t="str">
        <x:v>MI-1513</x:v>
      </x:c>
      <x:c r="M744" s="39" t="str">
        <x:v>تولید و کارآفرینی: توانایی تولید محصول و خدمات و ایجاد شغل.</x:v>
      </x:c>
      <x:c r="N744" s="39" t="str">
        <x:v>1154878548.docx::P1234.1</x:v>
      </x:c>
      <x:c r="O744" s="39"/>
    </x:row>
    <x:row r="745">
      <x:c r="A745" s="34" t="str">
        <x:v>☐</x:v>
      </x:c>
      <x:c r="B745" s="34" t="str">
        <x:v>EX-0717</x:v>
      </x:c>
      <x:c r="C745" s="34" t="str">
        <x:v>ارتقای سیستمهای کامپیوتری</x:v>
      </x:c>
      <x:c r="D745" s="34" t="str">
        <x:v>POSSIBLE</x:v>
      </x:c>
      <x:c r="E745" s="34" t="str">
        <x:v>86.4</x:v>
      </x:c>
      <x:c r="F745" s="34" t="str">
        <x:v>MI-1002</x:v>
      </x:c>
      <x:c r="G745" s="39" t="str">
        <x:v>ارتقا سیستم های کامپیوتری جهت استفاده از نرم افزار های مهندسی</x:v>
      </x:c>
      <x:c r="H745" s="39" t="str">
        <x:v>H11</x:v>
      </x:c>
      <x:c r="I745" s="39" t="str">
        <x:v>DELEGATE/P2</x:v>
      </x:c>
      <x:c r="J745" s="39" t="str">
        <x:v>H11</x:v>
      </x:c>
      <x:c r="K745" s="39" t="str">
        <x:v>تطبیق احتمالی با پایه</x:v>
      </x:c>
      <x:c r="L745" s="39" t="str">
        <x:v>MI-1002</x:v>
      </x:c>
      <x:c r="M745" s="39" t="str">
        <x:v>ارتقا سیستم های کامپیوتری جهت استفاده از نرم افزار های مهندسی</x:v>
      </x:c>
      <x:c r="N745" s="39" t="str">
        <x:v>1154878548.docx::P1235.1</x:v>
      </x:c>
      <x:c r="O745" s="39"/>
    </x:row>
    <x:row r="746">
      <x:c r="A746" s="34" t="str">
        <x:v>☐</x:v>
      </x:c>
      <x:c r="B746" s="34" t="str">
        <x:v>EX-0718</x:v>
      </x:c>
      <x:c r="C746" s="34" t="str">
        <x:v>استفاده از نرمافزارهای مهندسی</x:v>
      </x:c>
      <x:c r="D746" s="34" t="str">
        <x:v>POSSIBLE</x:v>
      </x:c>
      <x:c r="E746" s="34" t="str">
        <x:v>87.6</x:v>
      </x:c>
      <x:c r="F746" s="34" t="str">
        <x:v>MI-2653</x:v>
      </x:c>
      <x:c r="G746" s="39" t="str">
        <x:v>نرم افزارهای مهندسی</x:v>
      </x:c>
      <x:c r="H746" s="39" t="str">
        <x:v>H20</x:v>
      </x:c>
      <x:c r="I746" s="39" t="str">
        <x:v>P3/CLARIFY</x:v>
      </x:c>
      <x:c r="J746" s="39" t="str">
        <x:v>H20</x:v>
      </x:c>
      <x:c r="K746" s="39" t="str">
        <x:v>تطبیق احتمالی با پایه</x:v>
      </x:c>
      <x:c r="L746" s="39" t="str">
        <x:v>MI-2653</x:v>
      </x:c>
      <x:c r="M746" s="39" t="str">
        <x:v>نرم افزارهای مهندسی</x:v>
      </x:c>
      <x:c r="N746" s="39" t="str">
        <x:v>1154878548.docx::P1236.1</x:v>
      </x:c>
      <x:c r="O746" s="39"/>
    </x:row>
    <x:row r="747">
      <x:c r="A747" s="34" t="str">
        <x:v>☐</x:v>
      </x:c>
      <x:c r="B747" s="34" t="str">
        <x:v>EX-0719</x:v>
      </x:c>
      <x:c r="C747" s="34" t="str">
        <x:v>اینترنت و شبکه</x:v>
      </x:c>
      <x:c r="D747" s="34" t="str">
        <x:v>POSSIBLE</x:v>
      </x:c>
      <x:c r="E747" s="34" t="str">
        <x:v>85.5</x:v>
      </x:c>
      <x:c r="F747" s="34" t="str">
        <x:v>MI-1513</x:v>
      </x:c>
      <x:c r="G747" s="39" t="str">
        <x:v>تولید و کارآفرینی: توانایی تولید محصول و خدمات و ایجاد شغل.</x:v>
      </x:c>
      <x:c r="H747" s="39" t="str">
        <x:v>H1</x:v>
      </x:c>
      <x:c r="I747" s="39" t="str">
        <x:v>P0</x:v>
      </x:c>
      <x:c r="J747" s="39" t="str">
        <x:v>H1</x:v>
      </x:c>
      <x:c r="K747" s="39" t="str">
        <x:v>تطبیق احتمالی با پایه</x:v>
      </x:c>
      <x:c r="L747" s="39" t="str">
        <x:v>MI-1513</x:v>
      </x:c>
      <x:c r="M747" s="39" t="str">
        <x:v>تولید و کارآفرینی: توانایی تولید محصول و خدمات و ایجاد شغل.</x:v>
      </x:c>
      <x:c r="N747" s="39" t="str">
        <x:v>1154878548.docx::P1238.1</x:v>
      </x:c>
      <x:c r="O747" s="39"/>
    </x:row>
    <x:row r="748">
      <x:c r="A748" s="34" t="str">
        <x:v>☐</x:v>
      </x:c>
      <x:c r="B748" s="34" t="str">
        <x:v>EX-0720</x:v>
      </x:c>
      <x:c r="C748" s="34" t="str">
        <x:v>ایجاد راهکارهای جایگزین برای VPN و WiFi</x:v>
      </x:c>
      <x:c r="D748" s="34" t="str">
        <x:v>POSSIBLE</x:v>
      </x:c>
      <x:c r="E748" s="34" t="str">
        <x:v>90.0</x:v>
      </x:c>
      <x:c r="F748" s="34" t="str">
        <x:v>MI-2586</x:v>
      </x:c>
      <x:c r="G748" s="39" t="str">
        <x:v>ایجاد:</x:v>
      </x:c>
      <x:c r="H748" s="39" t="str">
        <x:v>H20</x:v>
      </x:c>
      <x:c r="I748" s="39" t="str">
        <x:v>P3/CLARIFY</x:v>
      </x:c>
      <x:c r="J748" s="39" t="str">
        <x:v>H20</x:v>
      </x:c>
      <x:c r="K748" s="39" t="str">
        <x:v>تطبیق احتمالی با پایه</x:v>
      </x:c>
      <x:c r="L748" s="39" t="str">
        <x:v>MI-2586</x:v>
      </x:c>
      <x:c r="M748" s="39" t="str">
        <x:v>ایجاد:</x:v>
      </x:c>
      <x:c r="N748" s="39" t="str">
        <x:v>1154878548.docx::P1239.1</x:v>
      </x:c>
      <x:c r="O748" s="39"/>
    </x:row>
    <x:row r="749">
      <x:c r="A749" s="34" t="str">
        <x:v>☐</x:v>
      </x:c>
      <x:c r="B749" s="34" t="str">
        <x:v>EX-0721</x:v>
      </x:c>
      <x:c r="C749" s="34" t="str">
        <x:v>افزایش تعداد WiFiها</x:v>
      </x:c>
      <x:c r="D749" s="34" t="str">
        <x:v>POSSIBLE</x:v>
      </x:c>
      <x:c r="E749" s="34" t="str">
        <x:v>85.5</x:v>
      </x:c>
      <x:c r="F749" s="34" t="str">
        <x:v>MI-2677</x:v>
      </x:c>
      <x:c r="G749" s="39" t="str">
        <x:v>افزایش احتمال موفقیت استارتاپ ها</x:v>
      </x:c>
      <x:c r="H749" s="39" t="str">
        <x:v>H8</x:v>
      </x:c>
      <x:c r="I749" s="39" t="str">
        <x:v>P2</x:v>
      </x:c>
      <x:c r="J749" s="39" t="str">
        <x:v>H8</x:v>
      </x:c>
      <x:c r="K749" s="39" t="str">
        <x:v>تطبیق احتمالی با پایه</x:v>
      </x:c>
      <x:c r="L749" s="39" t="str">
        <x:v>MI-2677</x:v>
      </x:c>
      <x:c r="M749" s="39" t="str">
        <x:v>افزایش احتمال موفقیت استارتاپ ها</x:v>
      </x:c>
      <x:c r="N749" s="39" t="str">
        <x:v>1154878548.docx::P1241.1</x:v>
      </x:c>
      <x:c r="O749" s="39"/>
    </x:row>
    <x:row r="750">
      <x:c r="A750" s="34" t="str">
        <x:v>☐</x:v>
      </x:c>
      <x:c r="B750" s="34" t="str">
        <x:v>EX-0722</x:v>
      </x:c>
      <x:c r="C750" s="34" t="str">
        <x:v>WiFiهای خوابگاه امینیان</x:v>
      </x:c>
      <x:c r="D750" s="34" t="str">
        <x:v>POSSIBLE</x:v>
      </x:c>
      <x:c r="E750" s="34" t="str">
        <x:v>85.5</x:v>
      </x:c>
      <x:c r="F750" s="34" t="str">
        <x:v>MI-0759</x:v>
      </x:c>
      <x:c r="G750" s="39" t="str">
        <x:v>تهیه کیو آر کد و نصب در راهرو دانشکده ها و کارگاه ها و سلف و خوابگاه ها</x:v>
      </x:c>
      <x:c r="H750" s="39" t="str">
        <x:v>H11</x:v>
      </x:c>
      <x:c r="I750" s="39" t="str">
        <x:v>DELEGATE/P2</x:v>
      </x:c>
      <x:c r="J750" s="39" t="str">
        <x:v>H11</x:v>
      </x:c>
      <x:c r="K750" s="39" t="str">
        <x:v>تطبیق احتمالی با پایه</x:v>
      </x:c>
      <x:c r="L750" s="39" t="str">
        <x:v>MI-0759</x:v>
      </x:c>
      <x:c r="M750" s="39" t="str">
        <x:v>تهیه کیو آر کد و نصب در راهرو دانشکده ها و کارگاه ها و سلف و خوابگاه ها</x:v>
      </x:c>
      <x:c r="N750" s="39" t="str">
        <x:v>1154878548.docx::P1242.1</x:v>
      </x:c>
      <x:c r="O750" s="39"/>
    </x:row>
    <x:row r="751">
      <x:c r="A751" s="34" t="str">
        <x:v>☐</x:v>
      </x:c>
      <x:c r="B751" s="34" t="str">
        <x:v>EX-0723</x:v>
      </x:c>
      <x:c r="C751" s="34" t="str">
        <x:v>گذاشتن مسئول سرور در خوابگاه</x:v>
      </x:c>
      <x:c r="D751" s="34" t="str">
        <x:v>POSSIBLE</x:v>
      </x:c>
      <x:c r="E751" s="34" t="str">
        <x:v>92.9</x:v>
      </x:c>
      <x:c r="F751" s="34" t="str">
        <x:v>MI-1011</x:v>
      </x:c>
      <x:c r="G751" s="39" t="str">
        <x:v>گزاشتن مسیول سرور در خوابگاه</x:v>
      </x:c>
      <x:c r="H751" s="39" t="str">
        <x:v>H11</x:v>
      </x:c>
      <x:c r="I751" s="39" t="str">
        <x:v>DELEGATE/P2</x:v>
      </x:c>
      <x:c r="J751" s="39" t="str">
        <x:v>H11</x:v>
      </x:c>
      <x:c r="K751" s="39" t="str">
        <x:v>تطبیق احتمالی با پایه</x:v>
      </x:c>
      <x:c r="L751" s="39" t="str">
        <x:v>MI-1011</x:v>
      </x:c>
      <x:c r="M751" s="39" t="str">
        <x:v>گزاشتن مسیول سرور در خوابگاه</x:v>
      </x:c>
      <x:c r="N751" s="39" t="str">
        <x:v>1154878548.docx::P1243.1</x:v>
      </x:c>
      <x:c r="O751" s="39"/>
    </x:row>
    <x:row r="752">
      <x:c r="A752" s="34" t="str">
        <x:v>☐</x:v>
      </x:c>
      <x:c r="B752" s="34" t="str">
        <x:v>EX-0724</x:v>
      </x:c>
      <x:c r="C752" s="34" t="str">
        <x:v>ایمیل دانشجویی</x:v>
      </x:c>
      <x:c r="D752" s="34" t="str">
        <x:v>POSSIBLE</x:v>
      </x:c>
      <x:c r="E752" s="34" t="str">
        <x:v>90.0</x:v>
      </x:c>
      <x:c r="F752" s="34" t="str">
        <x:v>MI-2622</x:v>
      </x:c>
      <x:c r="G752" s="39" t="str">
        <x:v>دانش</x:v>
      </x:c>
      <x:c r="H752" s="39" t="str">
        <x:v>H20</x:v>
      </x:c>
      <x:c r="I752" s="39" t="str">
        <x:v>P3/CLARIFY</x:v>
      </x:c>
      <x:c r="J752" s="39" t="str">
        <x:v>H20</x:v>
      </x:c>
      <x:c r="K752" s="39" t="str">
        <x:v>تطبیق احتمالی با پایه</x:v>
      </x:c>
      <x:c r="L752" s="39" t="str">
        <x:v>MI-2622</x:v>
      </x:c>
      <x:c r="M752" s="39" t="str">
        <x:v>دانش</x:v>
      </x:c>
      <x:c r="N752" s="39" t="str">
        <x:v>1154878548.docx::P1244.1</x:v>
      </x:c>
      <x:c r="O752" s="39"/>
    </x:row>
    <x:row r="753">
      <x:c r="A753" s="34" t="str">
        <x:v>☐</x:v>
      </x:c>
      <x:c r="B753" s="34" t="str">
        <x:v>EX-0725</x:v>
      </x:c>
      <x:c r="C753" s="34" t="str">
        <x:v>شفافسازی شفافیت</x:v>
      </x:c>
      <x:c r="D753" s="34" t="str">
        <x:v>POSSIBLE</x:v>
      </x:c>
      <x:c r="E753" s="34" t="str">
        <x:v>85.5</x:v>
      </x:c>
      <x:c r="F753" s="34" t="str">
        <x:v>MI-0927</x:v>
      </x:c>
      <x:c r="G753" s="39" t="str">
        <x:v>6. هزینه های خوابگاه ها بدون شفافیت افزایش یافته؛ معیار مشخصی برای «درجه اتاق ها» وجود ندا</x:v>
      </x:c>
      <x:c r="H753" s="39" t="str">
        <x:v>H11</x:v>
      </x:c>
      <x:c r="I753" s="39" t="str">
        <x:v>DELEGATE/P2</x:v>
      </x:c>
      <x:c r="J753" s="39" t="str">
        <x:v>H11</x:v>
      </x:c>
      <x:c r="K753" s="39" t="str">
        <x:v>تطبیق احتمالی با پایه</x:v>
      </x:c>
      <x:c r="L753" s="39" t="str">
        <x:v>MI-0927</x:v>
      </x:c>
      <x:c r="M753" s="39" t="str">
        <x:v>6. هزینه های خوابگاه ها بدون شفافیت افزایش یافته؛ معیار مشخصی برای «درجه اتاق ها» وجود ندا</x:v>
      </x:c>
      <x:c r="N753" s="39" t="str">
        <x:v>1154878548.docx::P1245.1</x:v>
      </x:c>
      <x:c r="O753" s="39"/>
    </x:row>
    <x:row r="754">
      <x:c r="A754" s="34" t="str">
        <x:v>☐</x:v>
      </x:c>
      <x:c r="B754" s="34" t="str">
        <x:v>EX-0726</x:v>
      </x:c>
      <x:c r="C754" s="34" t="str">
        <x:v>لایسنس نرمافزارها</x:v>
      </x:c>
      <x:c r="D754" s="34" t="str">
        <x:v>POSSIBLE</x:v>
      </x:c>
      <x:c r="E754" s="34" t="str">
        <x:v>85.7</x:v>
      </x:c>
      <x:c r="F754" s="34" t="str">
        <x:v>MI-1474</x:v>
      </x:c>
      <x:c r="G754" s="39" t="str">
        <x:v>نرم افزارها:</x:v>
      </x:c>
      <x:c r="H754" s="39" t="str">
        <x:v>H1</x:v>
      </x:c>
      <x:c r="I754" s="39" t="str">
        <x:v>P0</x:v>
      </x:c>
      <x:c r="J754" s="39" t="str">
        <x:v>H1</x:v>
      </x:c>
      <x:c r="K754" s="39" t="str">
        <x:v>تطبیق احتمالی با پایه</x:v>
      </x:c>
      <x:c r="L754" s="39" t="str">
        <x:v>MI-1474</x:v>
      </x:c>
      <x:c r="M754" s="39" t="str">
        <x:v>نرم افزارها:</x:v>
      </x:c>
      <x:c r="N754" s="39" t="str">
        <x:v>1154878548.docx::P1246.1</x:v>
      </x:c>
      <x:c r="O754" s="39"/>
    </x:row>
    <x:row r="755">
      <x:c r="A755" s="34" t="str">
        <x:v>☐</x:v>
      </x:c>
      <x:c r="B755" s="34" t="str">
        <x:v>EX-0727</x:v>
      </x:c>
      <x:c r="C755" s="34" t="str">
        <x:v>اکانت دسترسی به مقالات</x:v>
      </x:c>
      <x:c r="D755" s="34" t="str">
        <x:v>POSSIBLE</x:v>
      </x:c>
      <x:c r="E755" s="34" t="str">
        <x:v>90.0</x:v>
      </x:c>
      <x:c r="F755" s="34" t="str">
        <x:v>MI-1007</x:v>
      </x:c>
      <x:c r="G755" s="39" t="str">
        <x:v>ایمیل دانشجویی ، ریاست فناوری موظف به شفاف سازی ، لایسنس نرم افزار ها ، اکانت دسترسی به مقالات و اکانت هوش مصنوعی</x:v>
      </x:c>
      <x:c r="H755" s="39" t="str">
        <x:v>H11</x:v>
      </x:c>
      <x:c r="I755" s="39" t="str">
        <x:v>DELEGATE/P2</x:v>
      </x:c>
      <x:c r="J755" s="39" t="str">
        <x:v>H11</x:v>
      </x:c>
      <x:c r="K755" s="39" t="str">
        <x:v>تطبیق احتمالی با پایه</x:v>
      </x:c>
      <x:c r="L755" s="39" t="str">
        <x:v>MI-1007</x:v>
      </x:c>
      <x:c r="M755" s="39" t="str">
        <x:v>ایمیل دانشجویی ، ریاست فناوری موظف به شفاف سازی ، لایسنس نرم افزار ها ، اکانت دسترسی به مقالات و اکانت هوش مصنوعی</x:v>
      </x:c>
      <x:c r="N755" s="39" t="str">
        <x:v>1154878548.docx::P1247.1</x:v>
      </x:c>
      <x:c r="O755" s="39"/>
    </x:row>
    <x:row r="756">
      <x:c r="A756" s="34" t="str">
        <x:v>☐</x:v>
      </x:c>
      <x:c r="B756" s="34" t="str">
        <x:v>EX-0728</x:v>
      </x:c>
      <x:c r="C756" s="34" t="str">
        <x:v>اکانت هوش مصنوعی</x:v>
      </x:c>
      <x:c r="D756" s="34" t="str">
        <x:v>POSSIBLE</x:v>
      </x:c>
      <x:c r="E756" s="34" t="str">
        <x:v>90.0</x:v>
      </x:c>
      <x:c r="F756" s="34" t="str">
        <x:v>MI-2652</x:v>
      </x:c>
      <x:c r="G756" s="39" t="str">
        <x:v>هوش مصنوعی</x:v>
      </x:c>
      <x:c r="H756" s="39" t="str">
        <x:v>H7</x:v>
      </x:c>
      <x:c r="I756" s="39" t="str">
        <x:v>P1</x:v>
      </x:c>
      <x:c r="J756" s="39" t="str">
        <x:v>H7</x:v>
      </x:c>
      <x:c r="K756" s="39" t="str">
        <x:v>تطبیق احتمالی با پایه</x:v>
      </x:c>
      <x:c r="L756" s="39" t="str">
        <x:v>MI-2652</x:v>
      </x:c>
      <x:c r="M756" s="39" t="str">
        <x:v>هوش مصنوعی</x:v>
      </x:c>
      <x:c r="N756" s="39" t="str">
        <x:v>1154878548.docx::P1248.1</x:v>
      </x:c>
      <x:c r="O756" s="39"/>
    </x:row>
    <x:row r="757">
      <x:c r="A757" s="34" t="str">
        <x:v>☐</x:v>
      </x:c>
      <x:c r="B757" s="34" t="str">
        <x:v>EX-0729</x:v>
      </x:c>
      <x:c r="C757" s="34" t="str">
        <x:v>بررسی نرمافزارهای FTP و استفادههای      دیگر</x:v>
      </x:c>
      <x:c r="D757" s="34" t="str">
        <x:v>POSSIBLE</x:v>
      </x:c>
      <x:c r="E757" s="34" t="str">
        <x:v>92.9</x:v>
      </x:c>
      <x:c r="F757" s="34" t="str">
        <x:v>MI-1008</x:v>
      </x:c>
      <x:c r="G757" s="39" t="str">
        <x:v>بررسی نرم افزار های ftp , , و استفاده های دیگر آن</x:v>
      </x:c>
      <x:c r="H757" s="39" t="str">
        <x:v>H11</x:v>
      </x:c>
      <x:c r="I757" s="39" t="str">
        <x:v>DELEGATE/P2</x:v>
      </x:c>
      <x:c r="J757" s="39" t="str">
        <x:v>H11</x:v>
      </x:c>
      <x:c r="K757" s="39" t="str">
        <x:v>تطبیق احتمالی با پایه</x:v>
      </x:c>
      <x:c r="L757" s="39" t="str">
        <x:v>MI-1008</x:v>
      </x:c>
      <x:c r="M757" s="39" t="str">
        <x:v>بررسی نرم افزار های ftp , , و استفاده های دیگر آن</x:v>
      </x:c>
      <x:c r="N757" s="39" t="str">
        <x:v>1154878548.docx::P1249.1</x:v>
      </x:c>
      <x:c r="O757" s="39"/>
    </x:row>
    <x:row r="758">
      <x:c r="A758" s="34" t="str">
        <x:v>☐</x:v>
      </x:c>
      <x:c r="B758" s="34" t="str">
        <x:v>EX-0730</x:v>
      </x:c>
      <x:c r="C758" s="34" t="str">
        <x:v>۵-۲. سایت و پلتفرمهای دانشگاهی</x:v>
      </x:c>
      <x:c r="D758" s="34" t="str">
        <x:v>POSSIBLE</x:v>
      </x:c>
      <x:c r="E758" s="34" t="str">
        <x:v>90.0</x:v>
      </x:c>
      <x:c r="F758" s="34" t="str">
        <x:v>MI-2622</x:v>
      </x:c>
      <x:c r="G758" s="39" t="str">
        <x:v>دانش</x:v>
      </x:c>
      <x:c r="H758" s="39" t="str">
        <x:v>H20</x:v>
      </x:c>
      <x:c r="I758" s="39" t="str">
        <x:v>P3/CLARIFY</x:v>
      </x:c>
      <x:c r="J758" s="39" t="str">
        <x:v>H20</x:v>
      </x:c>
      <x:c r="K758" s="39" t="str">
        <x:v>تطبیق احتمالی با پایه</x:v>
      </x:c>
      <x:c r="L758" s="39" t="str">
        <x:v>MI-2622</x:v>
      </x:c>
      <x:c r="M758" s="39" t="str">
        <x:v>دانش</x:v>
      </x:c>
      <x:c r="N758" s="39" t="str">
        <x:v>1154878548.docx::P1250.1</x:v>
      </x:c>
      <x:c r="O758" s="39"/>
    </x:row>
    <x:row r="759">
      <x:c r="A759" s="34" t="str">
        <x:v>☐</x:v>
      </x:c>
      <x:c r="B759" s="34" t="str">
        <x:v>EX-0731</x:v>
      </x:c>
      <x:c r="C759" s="34" t="str">
        <x:v>سایت دانشگاه</x:v>
      </x:c>
      <x:c r="D759" s="34" t="str">
        <x:v>POSSIBLE</x:v>
      </x:c>
      <x:c r="E759" s="34" t="str">
        <x:v>90.0</x:v>
      </x:c>
      <x:c r="F759" s="34" t="str">
        <x:v>MI-2622</x:v>
      </x:c>
      <x:c r="G759" s="39" t="str">
        <x:v>دانش</x:v>
      </x:c>
      <x:c r="H759" s="39" t="str">
        <x:v>H20</x:v>
      </x:c>
      <x:c r="I759" s="39" t="str">
        <x:v>P3/CLARIFY</x:v>
      </x:c>
      <x:c r="J759" s="39" t="str">
        <x:v>H20</x:v>
      </x:c>
      <x:c r="K759" s="39" t="str">
        <x:v>تطبیق احتمالی با پایه</x:v>
      </x:c>
      <x:c r="L759" s="39" t="str">
        <x:v>MI-2622</x:v>
      </x:c>
      <x:c r="M759" s="39" t="str">
        <x:v>دانش</x:v>
      </x:c>
      <x:c r="N759" s="39" t="str">
        <x:v>1154878548.docx::P1251.1</x:v>
      </x:c>
      <x:c r="O759" s="39"/>
    </x:row>
    <x:row r="760">
      <x:c r="A760" s="34" t="str">
        <x:v>☐</x:v>
      </x:c>
      <x:c r="B760" s="34" t="str">
        <x:v>EX-0732</x:v>
      </x:c>
      <x:c r="C760" s="34" t="str">
        <x:v>ایجاد پایگاه داده اساتید (دسترسی محلی بدون اینترنت)</x:v>
      </x:c>
      <x:c r="D760" s="34" t="str">
        <x:v>POSSIBLE</x:v>
      </x:c>
      <x:c r="E760" s="34" t="str">
        <x:v>85.5</x:v>
      </x:c>
      <x:c r="F760" s="34" t="str">
        <x:v>MI-1530</x:v>
      </x:c>
      <x:c r="G760" s="39" t="str">
        <x:v>ایجاد ستاد تحول بسیج</x:v>
      </x:c>
      <x:c r="H760" s="39" t="str">
        <x:v>H1</x:v>
      </x:c>
      <x:c r="I760" s="39" t="str">
        <x:v>P0</x:v>
      </x:c>
      <x:c r="J760" s="39" t="str">
        <x:v>H1</x:v>
      </x:c>
      <x:c r="K760" s="39" t="str">
        <x:v>تطبیق احتمالی با پایه</x:v>
      </x:c>
      <x:c r="L760" s="39" t="str">
        <x:v>MI-1530</x:v>
      </x:c>
      <x:c r="M760" s="39" t="str">
        <x:v>ایجاد ستاد تحول بسیج</x:v>
      </x:c>
      <x:c r="N760" s="39" t="str">
        <x:v>1154878548.docx::P1252.1</x:v>
      </x:c>
      <x:c r="O760" s="39"/>
    </x:row>
    <x:row r="761">
      <x:c r="A761" s="34" t="str">
        <x:v>☐</x:v>
      </x:c>
      <x:c r="B761" s="34" t="str">
        <x:v>EX-0733</x:v>
      </x:c>
      <x:c r="C761" s="34" t="str">
        <x:v>جزوات استاد</x:v>
      </x:c>
      <x:c r="D761" s="34" t="str">
        <x:v>POSSIBLE</x:v>
      </x:c>
      <x:c r="E761" s="34" t="str">
        <x:v>85.7</x:v>
      </x:c>
      <x:c r="F761" s="34" t="str">
        <x:v>MI-1074</x:v>
      </x:c>
      <x:c r="G761" s="39" t="str">
        <x:v>جزوه استاد</x:v>
      </x:c>
      <x:c r="H761" s="39" t="str">
        <x:v>H14</x:v>
      </x:c>
      <x:c r="I761" s="39" t="str">
        <x:v>P3</x:v>
      </x:c>
      <x:c r="J761" s="39" t="str">
        <x:v>H14</x:v>
      </x:c>
      <x:c r="K761" s="39" t="str">
        <x:v>تطبیق احتمالی با پایه</x:v>
      </x:c>
      <x:c r="L761" s="39" t="str">
        <x:v>MI-1074</x:v>
      </x:c>
      <x:c r="M761" s="39" t="str">
        <x:v>جزوه استاد</x:v>
      </x:c>
      <x:c r="N761" s="39" t="str">
        <x:v>1154878548.docx::P1253.1</x:v>
      </x:c>
      <x:c r="O761" s="39"/>
    </x:row>
    <x:row r="762">
      <x:c r="A762" s="34" t="str">
        <x:v>☐</x:v>
      </x:c>
      <x:c r="B762" s="34" t="str">
        <x:v>EX-0734</x:v>
      </x:c>
      <x:c r="C762" s="34" t="str">
        <x:v>دسترسی محلی از طریق WiFi</x:v>
      </x:c>
      <x:c r="D762" s="34" t="str">
        <x:v>POSSIBLE</x:v>
      </x:c>
      <x:c r="E762" s="34" t="str">
        <x:v>85.5</x:v>
      </x:c>
      <x:c r="F762" s="34" t="str">
        <x:v>MI-1457</x:v>
      </x:c>
      <x:c r="G762" s="39" t="str">
        <x:v>سلامت جسمانی: تغذیه سالم، ورزش منظم، خواب کافی، پیشگیری از بیماری ها.</x:v>
      </x:c>
      <x:c r="H762" s="39" t="str">
        <x:v>H1</x:v>
      </x:c>
      <x:c r="I762" s="39" t="str">
        <x:v>P0</x:v>
      </x:c>
      <x:c r="J762" s="39" t="str">
        <x:v>H1</x:v>
      </x:c>
      <x:c r="K762" s="39" t="str">
        <x:v>تطبیق احتمالی با پایه</x:v>
      </x:c>
      <x:c r="L762" s="39" t="str">
        <x:v>MI-1457</x:v>
      </x:c>
      <x:c r="M762" s="39" t="str">
        <x:v>سلامت جسمانی: تغذیه سالم، ورزش منظم، خواب کافی، پیشگیری از بیماری ها.</x:v>
      </x:c>
      <x:c r="N762" s="39" t="str">
        <x:v>1154878548.docx::P1256.1</x:v>
      </x:c>
      <x:c r="O762" s="39"/>
    </x:row>
    <x:row r="763">
      <x:c r="A763" s="34" t="str">
        <x:v>☐</x:v>
      </x:c>
      <x:c r="B763" s="34" t="str">
        <x:v>EX-0735</x:v>
      </x:c>
      <x:c r="C763" s="34" t="str">
        <x:v>ارتباط با بخشهای مختلف دانشگاه</x:v>
      </x:c>
      <x:c r="D763" s="34" t="str">
        <x:v>POSSIBLE</x:v>
      </x:c>
      <x:c r="E763" s="34" t="str">
        <x:v>90.0</x:v>
      </x:c>
      <x:c r="F763" s="34" t="str">
        <x:v>MI-2622</x:v>
      </x:c>
      <x:c r="G763" s="39" t="str">
        <x:v>دانش</x:v>
      </x:c>
      <x:c r="H763" s="39" t="str">
        <x:v>H20</x:v>
      </x:c>
      <x:c r="I763" s="39" t="str">
        <x:v>P3/CLARIFY</x:v>
      </x:c>
      <x:c r="J763" s="39" t="str">
        <x:v>H20</x:v>
      </x:c>
      <x:c r="K763" s="39" t="str">
        <x:v>تطبیق احتمالی با پایه</x:v>
      </x:c>
      <x:c r="L763" s="39" t="str">
        <x:v>MI-2622</x:v>
      </x:c>
      <x:c r="M763" s="39" t="str">
        <x:v>دانش</x:v>
      </x:c>
      <x:c r="N763" s="39" t="str">
        <x:v>1154878548.docx::P1258.1</x:v>
      </x:c>
      <x:c r="O763" s="39"/>
    </x:row>
    <x:row r="764">
      <x:c r="A764" s="34" t="str">
        <x:v>☐</x:v>
      </x:c>
      <x:c r="B764" s="34" t="str">
        <x:v>EX-0736</x:v>
      </x:c>
      <x:c r="C764" s="34" t="str">
        <x:v>سیستم تیکت شکایت (در صورت عدم پاسخگویی)</x:v>
      </x:c>
      <x:c r="D764" s="34" t="str">
        <x:v>POSSIBLE</x:v>
      </x:c>
      <x:c r="E764" s="34" t="str">
        <x:v>85.5</x:v>
      </x:c>
      <x:c r="F764" s="34" t="str">
        <x:v>MI-0173</x:v>
      </x:c>
      <x:c r="G764" s="39" t="str">
        <x:v>جستجو در منابع سریع</x:v>
      </x:c>
      <x:c r="H764" s="39" t="str">
        <x:v>H1</x:v>
      </x:c>
      <x:c r="I764" s="39" t="str">
        <x:v>P0</x:v>
      </x:c>
      <x:c r="J764" s="39" t="str">
        <x:v>H1</x:v>
      </x:c>
      <x:c r="K764" s="39" t="str">
        <x:v>تطبیق احتمالی با پایه</x:v>
      </x:c>
      <x:c r="L764" s="39" t="str">
        <x:v>MI-0173</x:v>
      </x:c>
      <x:c r="M764" s="39" t="str">
        <x:v>جستجو در منابع سریع</x:v>
      </x:c>
      <x:c r="N764" s="39" t="str">
        <x:v>1154878548.docx::P1259.1</x:v>
      </x:c>
      <x:c r="O764" s="39"/>
    </x:row>
    <x:row r="765">
      <x:c r="A765" s="34" t="str">
        <x:v>☐</x:v>
      </x:c>
      <x:c r="B765" s="34" t="str">
        <x:v>EX-0737</x:v>
      </x:c>
      <x:c r="C765" s="34" t="str">
        <x:v>نظرسنجی سلف</x:v>
      </x:c>
      <x:c r="D765" s="34" t="str">
        <x:v>POSSIBLE</x:v>
      </x:c>
      <x:c r="E765" s="34" t="str">
        <x:v>90.0</x:v>
      </x:c>
      <x:c r="F765" s="34" t="str">
        <x:v>MI-0852</x:v>
      </x:c>
      <x:c r="G765" s="39" t="str">
        <x:v>سلف</x:v>
      </x:c>
      <x:c r="H765" s="39" t="str">
        <x:v>H11</x:v>
      </x:c>
      <x:c r="I765" s="39" t="str">
        <x:v>BANK</x:v>
      </x:c>
      <x:c r="J765" s="39" t="str">
        <x:v>H11</x:v>
      </x:c>
      <x:c r="K765" s="39" t="str">
        <x:v>تطبیق احتمالی با پایه</x:v>
      </x:c>
      <x:c r="L765" s="39" t="str">
        <x:v>MI-0852</x:v>
      </x:c>
      <x:c r="M765" s="39" t="str">
        <x:v>سلف</x:v>
      </x:c>
      <x:c r="N765" s="39" t="str">
        <x:v>1154878548.docx::P1260.1</x:v>
      </x:c>
      <x:c r="O765" s="39"/>
    </x:row>
    <x:row r="766">
      <x:c r="A766" s="34" t="str">
        <x:v>☐</x:v>
      </x:c>
      <x:c r="B766" s="34" t="str">
        <x:v>EX-0738</x:v>
      </x:c>
      <x:c r="C766" s="34" t="str">
        <x:v>رزرو کمد</x:v>
      </x:c>
      <x:c r="D766" s="34" t="str">
        <x:v>POSSIBLE</x:v>
      </x:c>
      <x:c r="E766" s="34" t="str">
        <x:v>85.5</x:v>
      </x:c>
      <x:c r="F766" s="34" t="str">
        <x:v>MI-0775</x:v>
      </x:c>
      <x:c r="G766" s="39" t="str">
        <x:v>اضافه کردن دورچین به منوی سایت جهت رزرو کردن دانشجویان</x:v>
      </x:c>
      <x:c r="H766" s="39" t="str">
        <x:v>H11</x:v>
      </x:c>
      <x:c r="I766" s="39" t="str">
        <x:v>BANK</x:v>
      </x:c>
      <x:c r="J766" s="39" t="str">
        <x:v>H11</x:v>
      </x:c>
      <x:c r="K766" s="39" t="str">
        <x:v>تطبیق احتمالی با پایه</x:v>
      </x:c>
      <x:c r="L766" s="39" t="str">
        <x:v>MI-0775</x:v>
      </x:c>
      <x:c r="M766" s="39" t="str">
        <x:v>اضافه کردن دورچین به منوی سایت جهت رزرو کردن دانشجویان</x:v>
      </x:c>
      <x:c r="N766" s="39" t="str">
        <x:v>1154878548.docx::P1261.1</x:v>
      </x:c>
      <x:c r="O766" s="39"/>
    </x:row>
    <x:row r="767">
      <x:c r="A767" s="34" t="str">
        <x:v>☐</x:v>
      </x:c>
      <x:c r="B767" s="34" t="str">
        <x:v>EX-0739</x:v>
      </x:c>
      <x:c r="C767" s="34" t="str">
        <x:v>ساخت تصویر سهبعدی (نمای ۳۶۰ درجه)</x:v>
      </x:c>
      <x:c r="D767" s="34" t="str">
        <x:v>POSSIBLE</x:v>
      </x:c>
      <x:c r="E767" s="34" t="str">
        <x:v>85.5</x:v>
      </x:c>
      <x:c r="F767" s="34" t="str">
        <x:v>MI-0095</x:v>
      </x:c>
      <x:c r="G767" s="39" t="str">
        <x:v>ساخت ریزپرنده</x:v>
      </x:c>
      <x:c r="H767" s="39" t="str">
        <x:v>H7</x:v>
      </x:c>
      <x:c r="I767" s="39" t="str">
        <x:v>P1</x:v>
      </x:c>
      <x:c r="J767" s="39" t="str">
        <x:v>H7</x:v>
      </x:c>
      <x:c r="K767" s="39" t="str">
        <x:v>تطبیق احتمالی با پایه</x:v>
      </x:c>
      <x:c r="L767" s="39" t="str">
        <x:v>MI-0095</x:v>
      </x:c>
      <x:c r="M767" s="39" t="str">
        <x:v>ساخت ریزپرنده</x:v>
      </x:c>
      <x:c r="N767" s="39" t="str">
        <x:v>1154878548.docx::P1262.1</x:v>
      </x:c>
      <x:c r="O767" s="39"/>
    </x:row>
    <x:row r="768">
      <x:c r="A768" s="34" t="str">
        <x:v>☐</x:v>
      </x:c>
      <x:c r="B768" s="34" t="str">
        <x:v>EX-0740</x:v>
      </x:c>
      <x:c r="C768" s="34" t="str">
        <x:v>سلف (رزرو و اطلاعات)</x:v>
      </x:c>
      <x:c r="D768" s="34" t="str">
        <x:v>POSSIBLE</x:v>
      </x:c>
      <x:c r="E768" s="34" t="str">
        <x:v>90.0</x:v>
      </x:c>
      <x:c r="F768" s="34" t="str">
        <x:v>MI-0852</x:v>
      </x:c>
      <x:c r="G768" s="39" t="str">
        <x:v>سلف</x:v>
      </x:c>
      <x:c r="H768" s="39" t="str">
        <x:v>H11</x:v>
      </x:c>
      <x:c r="I768" s="39" t="str">
        <x:v>BANK</x:v>
      </x:c>
      <x:c r="J768" s="39" t="str">
        <x:v>H11</x:v>
      </x:c>
      <x:c r="K768" s="39" t="str">
        <x:v>تطبیق احتمالی با پایه</x:v>
      </x:c>
      <x:c r="L768" s="39" t="str">
        <x:v>MI-0852</x:v>
      </x:c>
      <x:c r="M768" s="39" t="str">
        <x:v>سلف</x:v>
      </x:c>
      <x:c r="N768" s="39" t="str">
        <x:v>1154878548.docx::P1268.1</x:v>
      </x:c>
      <x:c r="O768" s="39"/>
    </x:row>
    <x:row r="769">
      <x:c r="A769" s="34" t="str">
        <x:v>☐</x:v>
      </x:c>
      <x:c r="B769" s="34" t="str">
        <x:v>EX-0741</x:v>
      </x:c>
      <x:c r="C769" s="34" t="str">
        <x:v>۵-۳. مهندسی IT و پروتکلهای شبکه</x:v>
      </x:c>
      <x:c r="D769" s="34" t="str">
        <x:v>POSSIBLE</x:v>
      </x:c>
      <x:c r="E769" s="34" t="str">
        <x:v>85.5</x:v>
      </x:c>
      <x:c r="F769" s="34" t="str">
        <x:v>MI-1513</x:v>
      </x:c>
      <x:c r="G769" s="39" t="str">
        <x:v>تولید و کارآفرینی: توانایی تولید محصول و خدمات و ایجاد شغل.</x:v>
      </x:c>
      <x:c r="H769" s="39" t="str">
        <x:v>H1</x:v>
      </x:c>
      <x:c r="I769" s="39" t="str">
        <x:v>P0</x:v>
      </x:c>
      <x:c r="J769" s="39" t="str">
        <x:v>H1</x:v>
      </x:c>
      <x:c r="K769" s="39" t="str">
        <x:v>تطبیق احتمالی با پایه</x:v>
      </x:c>
      <x:c r="L769" s="39" t="str">
        <x:v>MI-1513</x:v>
      </x:c>
      <x:c r="M769" s="39" t="str">
        <x:v>تولید و کارآفرینی: توانایی تولید محصول و خدمات و ایجاد شغل.</x:v>
      </x:c>
      <x:c r="N769" s="39" t="str">
        <x:v>1154878548.docx::P1271.1</x:v>
      </x:c>
      <x:c r="O769" s="39"/>
    </x:row>
    <x:row r="770">
      <x:c r="A770" s="34" t="str">
        <x:v>☐</x:v>
      </x:c>
      <x:c r="B770" s="34" t="str">
        <x:v>EX-0742</x:v>
      </x:c>
      <x:c r="C770" s="34" t="str">
        <x:v>VPN حسابهای دسترسی</x:v>
      </x:c>
      <x:c r="D770" s="34" t="str">
        <x:v>POSSIBLE</x:v>
      </x:c>
      <x:c r="E770" s="34" t="str">
        <x:v>85.5</x:v>
      </x:c>
      <x:c r="F770" s="34" t="str">
        <x:v>MI-0831</x:v>
      </x:c>
      <x:c r="G770" s="39" t="str">
        <x:v>- یک حساب VPN همچون انجمن های علمی به شورای صنفی دانشکده عمران</x:v>
      </x:c>
      <x:c r="H770" s="39" t="str">
        <x:v>H11</x:v>
      </x:c>
      <x:c r="I770" s="39" t="str">
        <x:v>DELEGATE/P2</x:v>
      </x:c>
      <x:c r="J770" s="39" t="str">
        <x:v>H11</x:v>
      </x:c>
      <x:c r="K770" s="39" t="str">
        <x:v>تطبیق احتمالی با پایه</x:v>
      </x:c>
      <x:c r="L770" s="39" t="str">
        <x:v>MI-0831</x:v>
      </x:c>
      <x:c r="M770" s="39" t="str">
        <x:v>- یک حساب VPN همچون انجمن های علمی به شورای صنفی دانشکده عمران</x:v>
      </x:c>
      <x:c r="N770" s="39" t="str">
        <x:v>1154878548.docx::P1272.1</x:v>
      </x:c>
      <x:c r="O770" s="39"/>
    </x:row>
    <x:row r="771">
      <x:c r="A771" s="34" t="str">
        <x:v>☐</x:v>
      </x:c>
      <x:c r="B771" s="34" t="str">
        <x:v>EX-0743</x:v>
      </x:c>
      <x:c r="C771" s="34" t="str">
        <x:v>شورای صنفی دانشکده عمران (مانند انجمنهای علمی)</x:v>
      </x:c>
      <x:c r="D771" s="34" t="str">
        <x:v>POSSIBLE</x:v>
      </x:c>
      <x:c r="E771" s="34" t="str">
        <x:v>85.5</x:v>
      </x:c>
      <x:c r="F771" s="34" t="str">
        <x:v>MI-0219</x:v>
      </x:c>
      <x:c r="G771" s="39" t="str">
        <x:v>طرحها و پروژههای علمی/کاربردی</x:v>
      </x:c>
      <x:c r="H771" s="39" t="str">
        <x:v>H9</x:v>
      </x:c>
      <x:c r="I771" s="39" t="str">
        <x:v>P2</x:v>
      </x:c>
      <x:c r="J771" s="39" t="str">
        <x:v>H9</x:v>
      </x:c>
      <x:c r="K771" s="39" t="str">
        <x:v>تطبیق احتمالی با پایه</x:v>
      </x:c>
      <x:c r="L771" s="39" t="str">
        <x:v>MI-0219</x:v>
      </x:c>
      <x:c r="M771" s="39" t="str">
        <x:v>طرحها و پروژههای علمی/کاربردی</x:v>
      </x:c>
      <x:c r="N771" s="39" t="str">
        <x:v>1154878548.docx::P1273.1</x:v>
      </x:c>
      <x:c r="O771" s="39"/>
    </x:row>
    <x:row r="772">
      <x:c r="A772" s="34" t="str">
        <x:v>☐</x:v>
      </x:c>
      <x:c r="B772" s="34" t="str">
        <x:v>EX-0744</x:v>
      </x:c>
      <x:c r="C772" s="34" t="str">
        <x:v>Sonnofi</x:v>
      </x:c>
      <x:c r="D772" s="34" t="str">
        <x:v>POSSIBLE</x:v>
      </x:c>
      <x:c r="E772" s="34" t="str">
        <x:v>85.5</x:v>
      </x:c>
      <x:c r="F772" s="34" t="str">
        <x:v>MI-0161</x:v>
      </x:c>
      <x:c r="G772" s="39" t="str">
        <x:v>N&amp;N</x:v>
      </x:c>
      <x:c r="H772" s="39" t="str">
        <x:v>H23</x:v>
      </x:c>
      <x:c r="I772" s="39" t="str">
        <x:v>P3/CLARIFY</x:v>
      </x:c>
      <x:c r="J772" s="39" t="str">
        <x:v>H23</x:v>
      </x:c>
      <x:c r="K772" s="39" t="str">
        <x:v>تطبیق احتمالی با پایه</x:v>
      </x:c>
      <x:c r="L772" s="39" t="str">
        <x:v>MI-0161</x:v>
      </x:c>
      <x:c r="M772" s="39" t="str">
        <x:v>N&amp;N</x:v>
      </x:c>
      <x:c r="N772" s="39" t="str">
        <x:v>1154878548.docx::P1274.1</x:v>
      </x:c>
      <x:c r="O772" s="39"/>
    </x:row>
    <x:row r="773">
      <x:c r="A773" s="34" t="str">
        <x:v>☐</x:v>
      </x:c>
      <x:c r="B773" s="34" t="str">
        <x:v>EX-0745</x:v>
      </x:c>
      <x:c r="C773" s="34" t="str">
        <x:v>Site (سایت دانشکده عمران)</x:v>
      </x:c>
      <x:c r="D773" s="34" t="str">
        <x:v>POSSIBLE</x:v>
      </x:c>
      <x:c r="E773" s="34" t="str">
        <x:v>90.0</x:v>
      </x:c>
      <x:c r="F773" s="34" t="str">
        <x:v>MI-0547</x:v>
      </x:c>
      <x:c r="G773" s="39" t="str">
        <x:v>site</x:v>
      </x:c>
      <x:c r="H773" s="39" t="str">
        <x:v>H18</x:v>
      </x:c>
      <x:c r="I773" s="39" t="str">
        <x:v>BANK</x:v>
      </x:c>
      <x:c r="J773" s="39" t="str">
        <x:v>H18</x:v>
      </x:c>
      <x:c r="K773" s="39" t="str">
        <x:v>تطبیق احتمالی با پایه</x:v>
      </x:c>
      <x:c r="L773" s="39" t="str">
        <x:v>MI-0547</x:v>
      </x:c>
      <x:c r="M773" s="39" t="str">
        <x:v>site</x:v>
      </x:c>
      <x:c r="N773" s="39" t="str">
        <x:v>1154878548.docx::P1274.2</x:v>
      </x:c>
      <x:c r="O773" s="39"/>
    </x:row>
    <x:row r="774">
      <x:c r="A774" s="34" t="str">
        <x:v>☐</x:v>
      </x:c>
      <x:c r="B774" s="34" t="str">
        <x:v>EX-0746</x:v>
      </x:c>
      <x:c r="C774" s="34" t="str">
        <x:v>سیستم تیکتینگ</x:v>
      </x:c>
      <x:c r="D774" s="34" t="str">
        <x:v>POSSIBLE</x:v>
      </x:c>
      <x:c r="E774" s="34" t="str">
        <x:v>85.5</x:v>
      </x:c>
      <x:c r="F774" s="34" t="str">
        <x:v>MI-2967</x:v>
      </x:c>
      <x:c r="G774" s="39" t="str">
        <x:v>واحد 3 — سیستم تیم سازی و نوآوری</x:v>
      </x:c>
      <x:c r="H774" s="39" t="str">
        <x:v>H4</x:v>
      </x:c>
      <x:c r="I774" s="39" t="str">
        <x:v>P1</x:v>
      </x:c>
      <x:c r="J774" s="39" t="str">
        <x:v>H4</x:v>
      </x:c>
      <x:c r="K774" s="39" t="str">
        <x:v>تطبیق احتمالی با پایه</x:v>
      </x:c>
      <x:c r="L774" s="39" t="str">
        <x:v>MI-2967</x:v>
      </x:c>
      <x:c r="M774" s="39" t="str">
        <x:v>واحد 3 — سیستم تیم سازی و نوآوری</x:v>
      </x:c>
      <x:c r="N774" s="39" t="str">
        <x:v>1154878548.docx::P1275.1</x:v>
      </x:c>
      <x:c r="O774" s="39"/>
    </x:row>
    <x:row r="775">
      <x:c r="A775" s="34" t="str">
        <x:v>☐</x:v>
      </x:c>
      <x:c r="B775" s="34" t="str">
        <x:v>EX-0747</x:v>
      </x:c>
      <x:c r="C775" s="34" t="str">
        <x:v>سیستم رزرو</x:v>
      </x:c>
      <x:c r="D775" s="34" t="str">
        <x:v>POSSIBLE</x:v>
      </x:c>
      <x:c r="E775" s="34" t="str">
        <x:v>85.5</x:v>
      </x:c>
      <x:c r="F775" s="34" t="str">
        <x:v>MI-2967</x:v>
      </x:c>
      <x:c r="G775" s="39" t="str">
        <x:v>واحد 3 — سیستم تیم سازی و نوآوری</x:v>
      </x:c>
      <x:c r="H775" s="39" t="str">
        <x:v>H4</x:v>
      </x:c>
      <x:c r="I775" s="39" t="str">
        <x:v>P1</x:v>
      </x:c>
      <x:c r="J775" s="39" t="str">
        <x:v>H4</x:v>
      </x:c>
      <x:c r="K775" s="39" t="str">
        <x:v>تطبیق احتمالی با پایه</x:v>
      </x:c>
      <x:c r="L775" s="39" t="str">
        <x:v>MI-2967</x:v>
      </x:c>
      <x:c r="M775" s="39" t="str">
        <x:v>واحد 3 — سیستم تیم سازی و نوآوری</x:v>
      </x:c>
      <x:c r="N775" s="39" t="str">
        <x:v>1154878548.docx::P1276.1</x:v>
      </x:c>
      <x:c r="O775" s="39"/>
    </x:row>
    <x:row r="776">
      <x:c r="A776" s="34" t="str">
        <x:v>☐</x:v>
      </x:c>
      <x:c r="B776" s="34" t="str">
        <x:v>EX-0748</x:v>
      </x:c>
      <x:c r="C776" s="34" t="str">
        <x:v>سیستم شکایات</x:v>
      </x:c>
      <x:c r="D776" s="34" t="str">
        <x:v>POSSIBLE</x:v>
      </x:c>
      <x:c r="E776" s="34" t="str">
        <x:v>85.5</x:v>
      </x:c>
      <x:c r="F776" s="34" t="str">
        <x:v>MI-2967</x:v>
      </x:c>
      <x:c r="G776" s="39" t="str">
        <x:v>واحد 3 — سیستم تیم سازی و نوآوری</x:v>
      </x:c>
      <x:c r="H776" s="39" t="str">
        <x:v>H4</x:v>
      </x:c>
      <x:c r="I776" s="39" t="str">
        <x:v>P1</x:v>
      </x:c>
      <x:c r="J776" s="39" t="str">
        <x:v>H4</x:v>
      </x:c>
      <x:c r="K776" s="39" t="str">
        <x:v>تطبیق احتمالی با پایه</x:v>
      </x:c>
      <x:c r="L776" s="39" t="str">
        <x:v>MI-2967</x:v>
      </x:c>
      <x:c r="M776" s="39" t="str">
        <x:v>واحد 3 — سیستم تیم سازی و نوآوری</x:v>
      </x:c>
      <x:c r="N776" s="39" t="str">
        <x:v>1154878548.docx::P1277.1</x:v>
      </x:c>
      <x:c r="O776" s="39"/>
    </x:row>
    <x:row r="777">
      <x:c r="A777" s="34" t="str">
        <x:v>☐</x:v>
      </x:c>
      <x:c r="B777" s="34" t="str">
        <x:v>EX-0749</x:v>
      </x:c>
      <x:c r="C777" s="34" t="str">
        <x:v>ارتقای پروتکلهای شبکه</x:v>
      </x:c>
      <x:c r="D777" s="34" t="str">
        <x:v>POSSIBLE</x:v>
      </x:c>
      <x:c r="E777" s="34" t="str">
        <x:v>85.5</x:v>
      </x:c>
      <x:c r="F777" s="34" t="str">
        <x:v>MI-0611</x:v>
      </x:c>
      <x:c r="G777" s="39" t="str">
        <x:v>صحبت برای پخش یک مصاحبه از زبان معاونت آموزشی یا رییس دانشگاه از شبکه استانی در باب خبر امتحانات دانشگاهی</x:v>
      </x:c>
      <x:c r="H777" s="39" t="str">
        <x:v>H4</x:v>
      </x:c>
      <x:c r="I777" s="39" t="str">
        <x:v>P1</x:v>
      </x:c>
      <x:c r="J777" s="39" t="str">
        <x:v>H4</x:v>
      </x:c>
      <x:c r="K777" s="39" t="str">
        <x:v>تطبیق احتمالی با پایه</x:v>
      </x:c>
      <x:c r="L777" s="39" t="str">
        <x:v>MI-0611</x:v>
      </x:c>
      <x:c r="M777" s="39" t="str">
        <x:v>صحبت برای پخش یک مصاحبه از زبان معاونت آموزشی یا رییس دانشگاه از شبکه استانی در باب خبر امتحانات دانشگاهی</x:v>
      </x:c>
      <x:c r="N777" s="39" t="str">
        <x:v>1154878548.docx::P1278.1</x:v>
      </x:c>
      <x:c r="O777" s="39"/>
    </x:row>
    <x:row r="778">
      <x:c r="A778" s="34" t="str">
        <x:v>☐</x:v>
      </x:c>
      <x:c r="B778" s="34" t="str">
        <x:v>EX-0750</x:v>
      </x:c>
      <x:c r="C778" s="34" t="str">
        <x:v>تغییر از PPTP به IKEV2</x:v>
      </x:c>
      <x:c r="D778" s="34" t="str">
        <x:v>POSSIBLE</x:v>
      </x:c>
      <x:c r="E778" s="34" t="str">
        <x:v>85.5</x:v>
      </x:c>
      <x:c r="F778" s="34" t="str">
        <x:v>MI-1448</x:v>
      </x:c>
      <x:c r="G778" s="39" t="str">
        <x:v>پول هییت قبلا چوقدر هست دست من؟؟؟ قبلا 4,290 بوده . چقدر به سید دادم.</x:v>
      </x:c>
      <x:c r="H778" s="39" t="str">
        <x:v>H1</x:v>
      </x:c>
      <x:c r="I778" s="39" t="str">
        <x:v>P0</x:v>
      </x:c>
      <x:c r="J778" s="39" t="str">
        <x:v>H1</x:v>
      </x:c>
      <x:c r="K778" s="39" t="str">
        <x:v>تطبیق احتمالی با پایه</x:v>
      </x:c>
      <x:c r="L778" s="39" t="str">
        <x:v>MI-1448</x:v>
      </x:c>
      <x:c r="M778" s="39" t="str">
        <x:v>پول هییت قبلا چوقدر هست دست من؟؟؟ قبلا 4,290 بوده . چقدر به سید دادم.</x:v>
      </x:c>
      <x:c r="N778" s="39" t="str">
        <x:v>1154878548.docx::P1279.1</x:v>
      </x:c>
      <x:c r="O778" s="39"/>
    </x:row>
    <x:row r="779">
      <x:c r="A779" s="34" t="str">
        <x:v>☐</x:v>
      </x:c>
      <x:c r="B779" s="34" t="str">
        <x:v>EX-0751</x:v>
      </x:c>
      <x:c r="C779" s="34" t="str">
        <x:v>۶. حکمرانی رسانه، روایت و افکار عمومی</x:v>
      </x:c>
      <x:c r="D779" s="34" t="str">
        <x:v>POSSIBLE</x:v>
      </x:c>
      <x:c r="E779" s="34" t="str">
        <x:v>90.0</x:v>
      </x:c>
      <x:c r="F779" s="34" t="str">
        <x:v>MI-0815</x:v>
      </x:c>
      <x:c r="G779" s="39" t="str">
        <x:v>رسانه:</x:v>
      </x:c>
      <x:c r="H779" s="39" t="str">
        <x:v>H11</x:v>
      </x:c>
      <x:c r="I779" s="39" t="str">
        <x:v>DELEGATE/P2</x:v>
      </x:c>
      <x:c r="J779" s="39" t="str">
        <x:v>H11</x:v>
      </x:c>
      <x:c r="K779" s="39" t="str">
        <x:v>تطبیق احتمالی با پایه</x:v>
      </x:c>
      <x:c r="L779" s="39" t="str">
        <x:v>MI-0815</x:v>
      </x:c>
      <x:c r="M779" s="39" t="str">
        <x:v>رسانه:</x:v>
      </x:c>
      <x:c r="N779" s="39" t="str">
        <x:v>1154878548.docx::P1281.1</x:v>
      </x:c>
      <x:c r="O779" s="39"/>
    </x:row>
    <x:row r="780">
      <x:c r="A780" s="34" t="str">
        <x:v>☐</x:v>
      </x:c>
      <x:c r="B780" s="34" t="str">
        <x:v>EX-0752</x:v>
      </x:c>
      <x:c r="C780" s="34" t="str">
        <x:v>۶-۱. کارگروه رسانه و اطلاعرسانی</x:v>
      </x:c>
      <x:c r="D780" s="34" t="str">
        <x:v>POSSIBLE</x:v>
      </x:c>
      <x:c r="E780" s="34" t="str">
        <x:v>90.0</x:v>
      </x:c>
      <x:c r="F780" s="34" t="str">
        <x:v>MI-0815</x:v>
      </x:c>
      <x:c r="G780" s="39" t="str">
        <x:v>رسانه:</x:v>
      </x:c>
      <x:c r="H780" s="39" t="str">
        <x:v>H11</x:v>
      </x:c>
      <x:c r="I780" s="39" t="str">
        <x:v>DELEGATE/P2</x:v>
      </x:c>
      <x:c r="J780" s="39" t="str">
        <x:v>H11</x:v>
      </x:c>
      <x:c r="K780" s="39" t="str">
        <x:v>تطبیق احتمالی با پایه</x:v>
      </x:c>
      <x:c r="L780" s="39" t="str">
        <x:v>MI-0815</x:v>
      </x:c>
      <x:c r="M780" s="39" t="str">
        <x:v>رسانه:</x:v>
      </x:c>
      <x:c r="N780" s="39" t="str">
        <x:v>1154878548.docx::P1282.1</x:v>
      </x:c>
      <x:c r="O780" s="39"/>
    </x:row>
    <x:row r="781">
      <x:c r="A781" s="34" t="str">
        <x:v>☐</x:v>
      </x:c>
      <x:c r="B781" s="34" t="str">
        <x:v>EX-0753</x:v>
      </x:c>
      <x:c r="C781" s="34" t="str">
        <x:v>تهیه و انتشار محتوا</x:v>
      </x:c>
      <x:c r="D781" s="34" t="str">
        <x:v>POSSIBLE</x:v>
      </x:c>
      <x:c r="E781" s="34" t="str">
        <x:v>90.0</x:v>
      </x:c>
      <x:c r="F781" s="34" t="str">
        <x:v>MI-0324</x:v>
      </x:c>
      <x:c r="G781" s="39" t="str">
        <x:v>محتوا</x:v>
      </x:c>
      <x:c r="H781" s="39" t="str">
        <x:v>H15</x:v>
      </x:c>
      <x:c r="I781" s="39" t="str">
        <x:v>P3/CLARIFY</x:v>
      </x:c>
      <x:c r="J781" s="39" t="str">
        <x:v>H15</x:v>
      </x:c>
      <x:c r="K781" s="39" t="str">
        <x:v>تطبیق احتمالی با پایه</x:v>
      </x:c>
      <x:c r="L781" s="39" t="str">
        <x:v>MI-0324</x:v>
      </x:c>
      <x:c r="M781" s="39" t="str">
        <x:v>محتوا</x:v>
      </x:c>
      <x:c r="N781" s="39" t="str">
        <x:v>1154878548.docx::P1284.1</x:v>
      </x:c>
      <x:c r="O781" s="39"/>
    </x:row>
    <x:row r="782">
      <x:c r="A782" s="34" t="str">
        <x:v>☐</x:v>
      </x:c>
      <x:c r="B782" s="34" t="str">
        <x:v>EX-0754</x:v>
      </x:c>
      <x:c r="C782" s="34" t="str">
        <x:v>نشریات</x:v>
      </x:c>
      <x:c r="D782" s="34" t="str">
        <x:v>UNMAPPED</x:v>
      </x:c>
      <x:c r="E782" s="34" t="str">
        <x:v>72.7</x:v>
      </x:c>
      <x:c r="F782" s="34" t="str">
        <x:v>MI-0639</x:v>
      </x:c>
      <x:c r="G782" s="39" t="str">
        <x:v>- نشریه</x:v>
      </x:c>
      <x:c r="H782" s="39" t="str">
        <x:v>H11</x:v>
      </x:c>
      <x:c r="I782" s="39" t="str">
        <x:v>DELEGATE/P2</x:v>
      </x:c>
      <x:c r="J782" s="39" t="str">
        <x:v>H23</x:v>
      </x:c>
      <x:c r="K782" s="39" t="str">
        <x:v>نیازمند پالایش؛ حذف نشده</x:v>
      </x:c>
      <x:c r="L782" s="39"/>
      <x:c r="M782" s="39"/>
      <x:c r="N782" s="39" t="str">
        <x:v>1154878548.docx::P1285.1</x:v>
      </x:c>
      <x:c r="O782" s="39"/>
    </x:row>
    <x:row r="783">
      <x:c r="A783" s="34" t="str">
        <x:v>☐</x:v>
      </x:c>
      <x:c r="B783" s="34" t="str">
        <x:v>EX-0755</x:v>
      </x:c>
      <x:c r="C783" s="34" t="str">
        <x:v>وبسایت</x:v>
      </x:c>
      <x:c r="D783" s="34" t="str">
        <x:v>UNMAPPED</x:v>
      </x:c>
      <x:c r="E783" s="34" t="str">
        <x:v>72.0</x:v>
      </x:c>
      <x:c r="F783" s="34" t="str">
        <x:v>MI-0833</x:v>
      </x:c>
      <x:c r="G783" s="39" t="str">
        <x:v>سایت و اینترنت</x:v>
      </x:c>
      <x:c r="H783" s="39" t="str">
        <x:v>H11</x:v>
      </x:c>
      <x:c r="I783" s="39" t="str">
        <x:v>BANK</x:v>
      </x:c>
      <x:c r="J783" s="39" t="str">
        <x:v>H23</x:v>
      </x:c>
      <x:c r="K783" s="39" t="str">
        <x:v>نیازمند پالایش؛ حذف نشده</x:v>
      </x:c>
      <x:c r="L783" s="39"/>
      <x:c r="M783" s="39"/>
      <x:c r="N783" s="39" t="str">
        <x:v>1154878548.docx::P1286.1</x:v>
      </x:c>
      <x:c r="O783" s="39"/>
    </x:row>
    <x:row r="784">
      <x:c r="A784" s="34" t="str">
        <x:v>☐</x:v>
      </x:c>
      <x:c r="B784" s="34" t="str">
        <x:v>EX-0756</x:v>
      </x:c>
      <x:c r="C784" s="34" t="str">
        <x:v>ابزارهای اطلاعرسانی</x:v>
      </x:c>
      <x:c r="D784" s="34" t="str">
        <x:v>POSSIBLE</x:v>
      </x:c>
      <x:c r="E784" s="34" t="str">
        <x:v>90.0</x:v>
      </x:c>
      <x:c r="F784" s="34" t="str">
        <x:v>MI-1291</x:v>
      </x:c>
      <x:c r="G784" s="39" t="str">
        <x:v>طلا</x:v>
      </x:c>
      <x:c r="H784" s="39" t="str">
        <x:v>H12</x:v>
      </x:c>
      <x:c r="I784" s="39" t="str">
        <x:v>P2</x:v>
      </x:c>
      <x:c r="J784" s="39" t="str">
        <x:v>H12</x:v>
      </x:c>
      <x:c r="K784" s="39" t="str">
        <x:v>تطبیق احتمالی با پایه</x:v>
      </x:c>
      <x:c r="L784" s="39" t="str">
        <x:v>MI-1291</x:v>
      </x:c>
      <x:c r="M784" s="39" t="str">
        <x:v>طلا</x:v>
      </x:c>
      <x:c r="N784" s="39" t="str">
        <x:v>1154878548.docx::P1287.1</x:v>
      </x:c>
      <x:c r="O784" s="39"/>
    </x:row>
    <x:row r="785">
      <x:c r="A785" s="34" t="str">
        <x:v>☐</x:v>
      </x:c>
      <x:c r="B785" s="34" t="str">
        <x:v>EX-0757</x:v>
      </x:c>
      <x:c r="C785" s="34" t="str">
        <x:v>کلیپها</x:v>
      </x:c>
      <x:c r="D785" s="34" t="str">
        <x:v>POSSIBLE</x:v>
      </x:c>
      <x:c r="E785" s="34" t="str">
        <x:v>90.0</x:v>
      </x:c>
      <x:c r="F785" s="34" t="str">
        <x:v>MI-0888</x:v>
      </x:c>
      <x:c r="G785" s="39" t="str">
        <x:v>کلی</x:v>
      </x:c>
      <x:c r="H785" s="39" t="str">
        <x:v>H11</x:v>
      </x:c>
      <x:c r="I785" s="39" t="str">
        <x:v>DELEGATE/P2</x:v>
      </x:c>
      <x:c r="J785" s="39" t="str">
        <x:v>H11</x:v>
      </x:c>
      <x:c r="K785" s="39" t="str">
        <x:v>تطبیق احتمالی با پایه</x:v>
      </x:c>
      <x:c r="L785" s="39" t="str">
        <x:v>MI-0888</x:v>
      </x:c>
      <x:c r="M785" s="39" t="str">
        <x:v>کلی</x:v>
      </x:c>
      <x:c r="N785" s="39" t="str">
        <x:v>1154878548.docx::P1288.1</x:v>
      </x:c>
      <x:c r="O785" s="39"/>
    </x:row>
    <x:row r="786">
      <x:c r="A786" s="34" t="str">
        <x:v>☐</x:v>
      </x:c>
      <x:c r="B786" s="34" t="str">
        <x:v>EX-0758</x:v>
      </x:c>
      <x:c r="C786" s="34" t="str">
        <x:v>بازدید سرزده مسئولین با تمام اعضای شورا (یا       نظرسنجی)</x:v>
      </x:c>
      <x:c r="D786" s="34" t="str">
        <x:v>POSSIBLE</x:v>
      </x:c>
      <x:c r="E786" s="34" t="str">
        <x:v>88.9</x:v>
      </x:c>
      <x:c r="F786" s="34" t="str">
        <x:v>MI-0829</x:v>
      </x:c>
      <x:c r="G786" s="39" t="str">
        <x:v>- بازدید سرزده مسیولین به همراه تمامی اعضا شورا و یا نظرسنجی</x:v>
      </x:c>
      <x:c r="H786" s="39" t="str">
        <x:v>H11</x:v>
      </x:c>
      <x:c r="I786" s="39" t="str">
        <x:v>DELEGATE/P2</x:v>
      </x:c>
      <x:c r="J786" s="39" t="str">
        <x:v>H11</x:v>
      </x:c>
      <x:c r="K786" s="39" t="str">
        <x:v>تطبیق احتمالی با پایه</x:v>
      </x:c>
      <x:c r="L786" s="39" t="str">
        <x:v>MI-0829</x:v>
      </x:c>
      <x:c r="M786" s="39" t="str">
        <x:v>- بازدید سرزده مسیولین به همراه تمامی اعضا شورا و یا نظرسنجی</x:v>
      </x:c>
      <x:c r="N786" s="39" t="str">
        <x:v>1154878548.docx::P1291.1</x:v>
      </x:c>
      <x:c r="O786" s="39"/>
    </x:row>
    <x:row r="787">
      <x:c r="A787" s="34" t="str">
        <x:v>☐</x:v>
      </x:c>
      <x:c r="B787" s="34" t="str">
        <x:v>EX-0759</x:v>
      </x:c>
      <x:c r="C787" s="34" t="str">
        <x:v>۶-۲. کانالهای ارتباطی</x:v>
      </x:c>
      <x:c r="D787" s="34" t="str">
        <x:v>POSSIBLE</x:v>
      </x:c>
      <x:c r="E787" s="34" t="str">
        <x:v>85.5</x:v>
      </x:c>
      <x:c r="F787" s="34" t="str">
        <x:v>MI-0757</x:v>
      </x:c>
      <x:c r="G787" s="39" t="str">
        <x:v>تهیه بروشور عملکرد صنفی و ارایه گزارشات و حیطه اختیارات و راه های ارتباطی و عکس اقداماتی انجام شده</x:v>
      </x:c>
      <x:c r="H787" s="39" t="str">
        <x:v>H11</x:v>
      </x:c>
      <x:c r="I787" s="39" t="str">
        <x:v>DELEGATE/P2</x:v>
      </x:c>
      <x:c r="J787" s="39" t="str">
        <x:v>H11</x:v>
      </x:c>
      <x:c r="K787" s="39" t="str">
        <x:v>تطبیق احتمالی با پایه</x:v>
      </x:c>
      <x:c r="L787" s="39" t="str">
        <x:v>MI-0757</x:v>
      </x:c>
      <x:c r="M787" s="39" t="str">
        <x:v>تهیه بروشور عملکرد صنفی و ارایه گزارشات و حیطه اختیارات و راه های ارتباطی و عکس اقداماتی انجام شده</x:v>
      </x:c>
      <x:c r="N787" s="39" t="str">
        <x:v>1154878548.docx::P1293.1</x:v>
      </x:c>
      <x:c r="O787" s="39"/>
    </x:row>
    <x:row r="788">
      <x:c r="A788" s="34" t="str">
        <x:v>☐</x:v>
      </x:c>
      <x:c r="B788" s="34" t="str">
        <x:v>EX-0760</x:v>
      </x:c>
      <x:c r="C788" s="34" t="str">
        <x:v>۶-۳. نظرسنجی و مشاوره</x:v>
      </x:c>
      <x:c r="D788" s="34" t="str">
        <x:v>POSSIBLE</x:v>
      </x:c>
      <x:c r="E788" s="34" t="str">
        <x:v>85.5</x:v>
      </x:c>
      <x:c r="F788" s="34" t="str">
        <x:v>MI-1513</x:v>
      </x:c>
      <x:c r="G788" s="39" t="str">
        <x:v>تولید و کارآفرینی: توانایی تولید محصول و خدمات و ایجاد شغل.</x:v>
      </x:c>
      <x:c r="H788" s="39" t="str">
        <x:v>H1</x:v>
      </x:c>
      <x:c r="I788" s="39" t="str">
        <x:v>P0</x:v>
      </x:c>
      <x:c r="J788" s="39" t="str">
        <x:v>H1</x:v>
      </x:c>
      <x:c r="K788" s="39" t="str">
        <x:v>تطبیق احتمالی با پایه</x:v>
      </x:c>
      <x:c r="L788" s="39" t="str">
        <x:v>MI-1513</x:v>
      </x:c>
      <x:c r="M788" s="39" t="str">
        <x:v>تولید و کارآفرینی: توانایی تولید محصول و خدمات و ایجاد شغل.</x:v>
      </x:c>
      <x:c r="N788" s="39" t="str">
        <x:v>1154878548.docx::P1298.1</x:v>
      </x:c>
      <x:c r="O788" s="39"/>
    </x:row>
    <x:row r="789">
      <x:c r="A789" s="34" t="str">
        <x:v>☐</x:v>
      </x:c>
      <x:c r="B789" s="34" t="str">
        <x:v>EX-0761</x:v>
      </x:c>
      <x:c r="C789" s="34" t="str">
        <x:v>نظرسنجی (عمومی و      تخصصی)</x:v>
      </x:c>
      <x:c r="D789" s="34" t="str">
        <x:v>POSSIBLE</x:v>
      </x:c>
      <x:c r="E789" s="34" t="str">
        <x:v>85.5</x:v>
      </x:c>
      <x:c r="F789" s="34" t="str">
        <x:v>MI-1513</x:v>
      </x:c>
      <x:c r="G789" s="39" t="str">
        <x:v>تولید و کارآفرینی: توانایی تولید محصول و خدمات و ایجاد شغل.</x:v>
      </x:c>
      <x:c r="H789" s="39" t="str">
        <x:v>H1</x:v>
      </x:c>
      <x:c r="I789" s="39" t="str">
        <x:v>P0</x:v>
      </x:c>
      <x:c r="J789" s="39" t="str">
        <x:v>H1</x:v>
      </x:c>
      <x:c r="K789" s="39" t="str">
        <x:v>تطبیق احتمالی با پایه</x:v>
      </x:c>
      <x:c r="L789" s="39" t="str">
        <x:v>MI-1513</x:v>
      </x:c>
      <x:c r="M789" s="39" t="str">
        <x:v>تولید و کارآفرینی: توانایی تولید محصول و خدمات و ایجاد شغل.</x:v>
      </x:c>
      <x:c r="N789" s="39" t="str">
        <x:v>1154878548.docx::P1299.1</x:v>
      </x:c>
      <x:c r="O789" s="39"/>
    </x:row>
    <x:row r="790">
      <x:c r="A790" s="34" t="str">
        <x:v>☐</x:v>
      </x:c>
      <x:c r="B790" s="34" t="str">
        <x:v>EX-0762</x:v>
      </x:c>
      <x:c r="C790" s="34" t="str">
        <x:v>۶-۴. کمپینها و کارزارها</x:v>
      </x:c>
      <x:c r="D790" s="34" t="str">
        <x:v>POSSIBLE</x:v>
      </x:c>
      <x:c r="E790" s="34" t="str">
        <x:v>90.0</x:v>
      </x:c>
      <x:c r="F790" s="34" t="str">
        <x:v>MI-0827</x:v>
      </x:c>
      <x:c r="G790" s="39" t="str">
        <x:v>- کارزار</x:v>
      </x:c>
      <x:c r="H790" s="39" t="str">
        <x:v>H11</x:v>
      </x:c>
      <x:c r="I790" s="39" t="str">
        <x:v>DELEGATE/P2</x:v>
      </x:c>
      <x:c r="J790" s="39" t="str">
        <x:v>H11</x:v>
      </x:c>
      <x:c r="K790" s="39" t="str">
        <x:v>تطبیق احتمالی با پایه</x:v>
      </x:c>
      <x:c r="L790" s="39" t="str">
        <x:v>MI-0827</x:v>
      </x:c>
      <x:c r="M790" s="39" t="str">
        <x:v>- کارزار</x:v>
      </x:c>
      <x:c r="N790" s="39" t="str">
        <x:v>1154878548.docx::P1303.1</x:v>
      </x:c>
      <x:c r="O790" s="39"/>
    </x:row>
    <x:row r="791">
      <x:c r="A791" s="34" t="str">
        <x:v>☐</x:v>
      </x:c>
      <x:c r="B791" s="34" t="str">
        <x:v>EX-0763</x:v>
      </x:c>
      <x:c r="C791" s="34" t="str">
        <x:v>۷. حکمرانی سازمانی و شبکه انسانی</x:v>
      </x:c>
      <x:c r="D791" s="34" t="str">
        <x:v>POSSIBLE</x:v>
      </x:c>
      <x:c r="E791" s="34" t="str">
        <x:v>85.5</x:v>
      </x:c>
      <x:c r="F791" s="34" t="str">
        <x:v>MI-1513</x:v>
      </x:c>
      <x:c r="G791" s="39" t="str">
        <x:v>تولید و کارآفرینی: توانایی تولید محصول و خدمات و ایجاد شغل.</x:v>
      </x:c>
      <x:c r="H791" s="39" t="str">
        <x:v>H1</x:v>
      </x:c>
      <x:c r="I791" s="39" t="str">
        <x:v>P0</x:v>
      </x:c>
      <x:c r="J791" s="39" t="str">
        <x:v>H1</x:v>
      </x:c>
      <x:c r="K791" s="39" t="str">
        <x:v>تطبیق احتمالی با پایه</x:v>
      </x:c>
      <x:c r="L791" s="39" t="str">
        <x:v>MI-1513</x:v>
      </x:c>
      <x:c r="M791" s="39" t="str">
        <x:v>تولید و کارآفرینی: توانایی تولید محصول و خدمات و ایجاد شغل.</x:v>
      </x:c>
      <x:c r="N791" s="39" t="str">
        <x:v>1154878548.docx::P1306.1</x:v>
      </x:c>
      <x:c r="O791" s="39"/>
    </x:row>
    <x:row r="792">
      <x:c r="A792" s="34" t="str">
        <x:v>☐</x:v>
      </x:c>
      <x:c r="B792" s="34" t="str">
        <x:v>EX-0764</x:v>
      </x:c>
      <x:c r="C792" s="34" t="str">
        <x:v>۷-۱. ساختار سازمانی و نقشها</x:v>
      </x:c>
      <x:c r="D792" s="34" t="str">
        <x:v>POSSIBLE</x:v>
      </x:c>
      <x:c r="E792" s="34" t="str">
        <x:v>85.5</x:v>
      </x:c>
      <x:c r="F792" s="34" t="str">
        <x:v>MI-1513</x:v>
      </x:c>
      <x:c r="G792" s="39" t="str">
        <x:v>تولید و کارآفرینی: توانایی تولید محصول و خدمات و ایجاد شغل.</x:v>
      </x:c>
      <x:c r="H792" s="39" t="str">
        <x:v>H1</x:v>
      </x:c>
      <x:c r="I792" s="39" t="str">
        <x:v>P0</x:v>
      </x:c>
      <x:c r="J792" s="39" t="str">
        <x:v>H1</x:v>
      </x:c>
      <x:c r="K792" s="39" t="str">
        <x:v>تطبیق احتمالی با پایه</x:v>
      </x:c>
      <x:c r="L792" s="39" t="str">
        <x:v>MI-1513</x:v>
      </x:c>
      <x:c r="M792" s="39" t="str">
        <x:v>تولید و کارآفرینی: توانایی تولید محصول و خدمات و ایجاد شغل.</x:v>
      </x:c>
      <x:c r="N792" s="39" t="str">
        <x:v>1154878548.docx::P1307.1</x:v>
      </x:c>
      <x:c r="O792" s="39"/>
    </x:row>
    <x:row r="793">
      <x:c r="A793" s="34" t="str">
        <x:v>☐</x:v>
      </x:c>
      <x:c r="B793" s="34" t="str">
        <x:v>EX-0765</x:v>
      </x:c>
      <x:c r="C793" s="34" t="str">
        <x:v>سراج (مرکز توسعه)</x:v>
      </x:c>
      <x:c r="D793" s="34" t="str">
        <x:v>POSSIBLE</x:v>
      </x:c>
      <x:c r="E793" s="34" t="str">
        <x:v>90.0</x:v>
      </x:c>
      <x:c r="F793" s="34" t="str">
        <x:v>MI-0634</x:v>
      </x:c>
      <x:c r="G793" s="39" t="str">
        <x:v>سراج</x:v>
      </x:c>
      <x:c r="H793" s="39" t="str">
        <x:v>H14</x:v>
      </x:c>
      <x:c r="I793" s="39" t="str">
        <x:v>P3</x:v>
      </x:c>
      <x:c r="J793" s="39" t="str">
        <x:v>H14</x:v>
      </x:c>
      <x:c r="K793" s="39" t="str">
        <x:v>تطبیق احتمالی با پایه</x:v>
      </x:c>
      <x:c r="L793" s="39" t="str">
        <x:v>MI-0634</x:v>
      </x:c>
      <x:c r="M793" s="39" t="str">
        <x:v>سراج</x:v>
      </x:c>
      <x:c r="N793" s="39" t="str">
        <x:v>1154878548.docx::P1308.1</x:v>
      </x:c>
      <x:c r="O793" s="39"/>
    </x:row>
    <x:row r="794">
      <x:c r="A794" s="34" t="str">
        <x:v>☐</x:v>
      </x:c>
      <x:c r="B794" s="34" t="str">
        <x:v>EX-0766</x:v>
      </x:c>
      <x:c r="C794" s="34" t="str">
        <x:v>رئیس مالی</x:v>
      </x:c>
      <x:c r="D794" s="34" t="str">
        <x:v>POSSIBLE</x:v>
      </x:c>
      <x:c r="E794" s="34" t="str">
        <x:v>85.5</x:v>
      </x:c>
      <x:c r="F794" s="34" t="str">
        <x:v>MI-1510</x:v>
      </x:c>
      <x:c r="G794" s="39" t="str">
        <x:v>دانش مالی: درک مفاهیم مالی، آشنایی با انواع سرمایه گذاری ها.</x:v>
      </x:c>
      <x:c r="H794" s="39" t="str">
        <x:v>H1</x:v>
      </x:c>
      <x:c r="I794" s="39" t="str">
        <x:v>P0</x:v>
      </x:c>
      <x:c r="J794" s="39" t="str">
        <x:v>H1</x:v>
      </x:c>
      <x:c r="K794" s="39" t="str">
        <x:v>تطبیق احتمالی با پایه</x:v>
      </x:c>
      <x:c r="L794" s="39" t="str">
        <x:v>MI-1510</x:v>
      </x:c>
      <x:c r="M794" s="39" t="str">
        <x:v>دانش مالی: درک مفاهیم مالی، آشنایی با انواع سرمایه گذاری ها.</x:v>
      </x:c>
      <x:c r="N794" s="39" t="str">
        <x:v>1154878548.docx::P1309.1</x:v>
      </x:c>
      <x:c r="O794" s="39"/>
    </x:row>
    <x:row r="795">
      <x:c r="A795" s="34" t="str">
        <x:v>☐</x:v>
      </x:c>
      <x:c r="B795" s="34" t="str">
        <x:v>EX-0767</x:v>
      </x:c>
      <x:c r="C795" s="34" t="str">
        <x:v>رئیس روابط عمومی</x:v>
      </x:c>
      <x:c r="D795" s="34" t="str">
        <x:v>POSSIBLE</x:v>
      </x:c>
      <x:c r="E795" s="34" t="str">
        <x:v>85.5</x:v>
      </x:c>
      <x:c r="F795" s="34" t="str">
        <x:v>MI-0765</x:v>
      </x:c>
      <x:c r="G795" s="39" t="str">
        <x:v>ادمین شدن روابط عمومی در کانال</x:v>
      </x:c>
      <x:c r="H795" s="39" t="str">
        <x:v>H11</x:v>
      </x:c>
      <x:c r="I795" s="39" t="str">
        <x:v>DELEGATE/P2</x:v>
      </x:c>
      <x:c r="J795" s="39" t="str">
        <x:v>H11</x:v>
      </x:c>
      <x:c r="K795" s="39" t="str">
        <x:v>تطبیق احتمالی با پایه</x:v>
      </x:c>
      <x:c r="L795" s="39" t="str">
        <x:v>MI-0765</x:v>
      </x:c>
      <x:c r="M795" s="39" t="str">
        <x:v>ادمین شدن روابط عمومی در کانال</x:v>
      </x:c>
      <x:c r="N795" s="39" t="str">
        <x:v>1154878548.docx::P1310.1</x:v>
      </x:c>
      <x:c r="O795" s="39"/>
    </x:row>
    <x:row r="796">
      <x:c r="A796" s="34" t="str">
        <x:v>☐</x:v>
      </x:c>
      <x:c r="B796" s="34" t="str">
        <x:v>EX-0768</x:v>
      </x:c>
      <x:c r="C796" s="34" t="str">
        <x:v>رئیس اجرایی</x:v>
      </x:c>
      <x:c r="D796" s="34" t="str">
        <x:v>POSSIBLE</x:v>
      </x:c>
      <x:c r="E796" s="34" t="str">
        <x:v>85.5</x:v>
      </x:c>
      <x:c r="F796" s="34" t="str">
        <x:v>MI-1496</x:v>
      </x:c>
      <x:c r="G796" s="39" t="str">
        <x:v>مدیریت اجرایی: اجرای استراتژی ها، تصمیم گیری، حل مسیله.</x:v>
      </x:c>
      <x:c r="H796" s="39" t="str">
        <x:v>H1</x:v>
      </x:c>
      <x:c r="I796" s="39" t="str">
        <x:v>P0</x:v>
      </x:c>
      <x:c r="J796" s="39" t="str">
        <x:v>H1</x:v>
      </x:c>
      <x:c r="K796" s="39" t="str">
        <x:v>تطبیق احتمالی با پایه</x:v>
      </x:c>
      <x:c r="L796" s="39" t="str">
        <x:v>MI-1496</x:v>
      </x:c>
      <x:c r="M796" s="39" t="str">
        <x:v>مدیریت اجرایی: اجرای استراتژی ها، تصمیم گیری، حل مسیله.</x:v>
      </x:c>
      <x:c r="N796" s="39" t="str">
        <x:v>1154878548.docx::P1311.1</x:v>
      </x:c>
      <x:c r="O796" s="39"/>
    </x:row>
    <x:row r="797">
      <x:c r="A797" s="34" t="str">
        <x:v>☐</x:v>
      </x:c>
      <x:c r="B797" s="34" t="str">
        <x:v>EX-0769</x:v>
      </x:c>
      <x:c r="C797" s="34" t="str">
        <x:v>رئیس اداری</x:v>
      </x:c>
      <x:c r="D797" s="34" t="str">
        <x:v>POSSIBLE</x:v>
      </x:c>
      <x:c r="E797" s="34" t="str">
        <x:v>85.5</x:v>
      </x:c>
      <x:c r="F797" s="34" t="str">
        <x:v>MI-0646</x:v>
      </x:c>
      <x:c r="G797" s="39" t="str">
        <x:v>مسیول امور اداری</x:v>
      </x:c>
      <x:c r="H797" s="39" t="str">
        <x:v>H11</x:v>
      </x:c>
      <x:c r="I797" s="39" t="str">
        <x:v>DELEGATE/P2</x:v>
      </x:c>
      <x:c r="J797" s="39" t="str">
        <x:v>H11</x:v>
      </x:c>
      <x:c r="K797" s="39" t="str">
        <x:v>تطبیق احتمالی با پایه</x:v>
      </x:c>
      <x:c r="L797" s="39" t="str">
        <x:v>MI-0646</x:v>
      </x:c>
      <x:c r="M797" s="39" t="str">
        <x:v>مسیول امور اداری</x:v>
      </x:c>
      <x:c r="N797" s="39" t="str">
        <x:v>1154878548.docx::P1312.1</x:v>
      </x:c>
      <x:c r="O797" s="39"/>
    </x:row>
    <x:row r="798">
      <x:c r="A798" s="34" t="str">
        <x:v>☐</x:v>
      </x:c>
      <x:c r="B798" s="34" t="str">
        <x:v>EX-0770</x:v>
      </x:c>
      <x:c r="C798" s="34" t="str">
        <x:v>رئیس پژوهشی</x:v>
      </x:c>
      <x:c r="D798" s="34" t="str">
        <x:v>POSSIBLE</x:v>
      </x:c>
      <x:c r="E798" s="34" t="str">
        <x:v>90.0</x:v>
      </x:c>
      <x:c r="F798" s="34" t="str">
        <x:v>MI-2192</x:v>
      </x:c>
      <x:c r="G798" s="39" t="str">
        <x:v>پژوهش</x:v>
      </x:c>
      <x:c r="H798" s="39" t="str">
        <x:v>H9</x:v>
      </x:c>
      <x:c r="I798" s="39" t="str">
        <x:v>P2</x:v>
      </x:c>
      <x:c r="J798" s="39" t="str">
        <x:v>H9</x:v>
      </x:c>
      <x:c r="K798" s="39" t="str">
        <x:v>تطبیق احتمالی با پایه</x:v>
      </x:c>
      <x:c r="L798" s="39" t="str">
        <x:v>MI-2192</x:v>
      </x:c>
      <x:c r="M798" s="39" t="str">
        <x:v>پژوهش</x:v>
      </x:c>
      <x:c r="N798" s="39" t="str">
        <x:v>1154878548.docx::P1313.1</x:v>
      </x:c>
      <x:c r="O798" s="39"/>
    </x:row>
    <x:row r="799">
      <x:c r="A799" s="34" t="str">
        <x:v>☐</x:v>
      </x:c>
      <x:c r="B799" s="34" t="str">
        <x:v>EX-0771</x:v>
      </x:c>
      <x:c r="C799" s="34" t="str">
        <x:v>رئیس کارگاه</x:v>
      </x:c>
      <x:c r="D799" s="34" t="str">
        <x:v>POSSIBLE</x:v>
      </x:c>
      <x:c r="E799" s="34" t="str">
        <x:v>90.0</x:v>
      </x:c>
      <x:c r="F799" s="34" t="str">
        <x:v>MI-2545</x:v>
      </x:c>
      <x:c r="G799" s="39" t="str">
        <x:v>کار:</x:v>
      </x:c>
      <x:c r="H799" s="39" t="str">
        <x:v>H20</x:v>
      </x:c>
      <x:c r="I799" s="39" t="str">
        <x:v>P3/CLARIFY</x:v>
      </x:c>
      <x:c r="J799" s="39" t="str">
        <x:v>H20</x:v>
      </x:c>
      <x:c r="K799" s="39" t="str">
        <x:v>تطبیق احتمالی با پایه</x:v>
      </x:c>
      <x:c r="L799" s="39" t="str">
        <x:v>MI-2545</x:v>
      </x:c>
      <x:c r="M799" s="39" t="str">
        <x:v>کار:</x:v>
      </x:c>
      <x:c r="N799" s="39" t="str">
        <x:v>1154878548.docx::P1314.1</x:v>
      </x:c>
      <x:c r="O799" s="39"/>
    </x:row>
    <x:row r="800">
      <x:c r="A800" s="34" t="str">
        <x:v>☐</x:v>
      </x:c>
      <x:c r="B800" s="34" t="str">
        <x:v>EX-0772</x:v>
      </x:c>
      <x:c r="C800" s="34" t="str">
        <x:v>علاقهمندی Dr. وحیدی (هوش مصنوعی)</x:v>
      </x:c>
      <x:c r="D800" s="34" t="str">
        <x:v>POSSIBLE</x:v>
      </x:c>
      <x:c r="E800" s="34" t="str">
        <x:v>90.0</x:v>
      </x:c>
      <x:c r="F800" s="34" t="str">
        <x:v>MI-2652</x:v>
      </x:c>
      <x:c r="G800" s="39" t="str">
        <x:v>هوش مصنوعی</x:v>
      </x:c>
      <x:c r="H800" s="39" t="str">
        <x:v>H7</x:v>
      </x:c>
      <x:c r="I800" s="39" t="str">
        <x:v>P1</x:v>
      </x:c>
      <x:c r="J800" s="39" t="str">
        <x:v>H7</x:v>
      </x:c>
      <x:c r="K800" s="39" t="str">
        <x:v>تطبیق احتمالی با پایه</x:v>
      </x:c>
      <x:c r="L800" s="39" t="str">
        <x:v>MI-2652</x:v>
      </x:c>
      <x:c r="M800" s="39" t="str">
        <x:v>هوش مصنوعی</x:v>
      </x:c>
      <x:c r="N800" s="39" t="str">
        <x:v>1154878548.docx::P1315.1</x:v>
      </x:c>
      <x:c r="O800" s="39"/>
    </x:row>
    <x:row r="801">
      <x:c r="A801" s="34" t="str">
        <x:v>☐</x:v>
      </x:c>
      <x:c r="B801" s="34" t="str">
        <x:v>EX-0773</x:v>
      </x:c>
      <x:c r="C801" s="34" t="str">
        <x:v>علاقهمندی Dr. یعقوبی (ورزش)</x:v>
      </x:c>
      <x:c r="D801" s="34" t="str">
        <x:v>POSSIBLE</x:v>
      </x:c>
      <x:c r="E801" s="34" t="str">
        <x:v>85.5</x:v>
      </x:c>
      <x:c r="F801" s="34" t="str">
        <x:v>MI-1457</x:v>
      </x:c>
      <x:c r="G801" s="39" t="str">
        <x:v>سلامت جسمانی: تغذیه سالم، ورزش منظم، خواب کافی، پیشگیری از بیماری ها.</x:v>
      </x:c>
      <x:c r="H801" s="39" t="str">
        <x:v>H1</x:v>
      </x:c>
      <x:c r="I801" s="39" t="str">
        <x:v>P0</x:v>
      </x:c>
      <x:c r="J801" s="39" t="str">
        <x:v>H1</x:v>
      </x:c>
      <x:c r="K801" s="39" t="str">
        <x:v>تطبیق احتمالی با پایه</x:v>
      </x:c>
      <x:c r="L801" s="39" t="str">
        <x:v>MI-1457</x:v>
      </x:c>
      <x:c r="M801" s="39" t="str">
        <x:v>سلامت جسمانی: تغذیه سالم، ورزش منظم، خواب کافی، پیشگیری از بیماری ها.</x:v>
      </x:c>
      <x:c r="N801" s="39" t="str">
        <x:v>1154878548.docx::P1316.1</x:v>
      </x:c>
      <x:c r="O801" s="39"/>
    </x:row>
    <x:row r="802">
      <x:c r="A802" s="34" t="str">
        <x:v>☐</x:v>
      </x:c>
      <x:c r="B802" s="34" t="str">
        <x:v>EX-0774</x:v>
      </x:c>
      <x:c r="C802" s="34" t="str">
        <x:v>توزیع ویتامین D</x:v>
      </x:c>
      <x:c r="D802" s="34" t="str">
        <x:v>POSSIBLE</x:v>
      </x:c>
      <x:c r="E802" s="34" t="str">
        <x:v>85.5</x:v>
      </x:c>
      <x:c r="F802" s="34" t="str">
        <x:v>MI-0795</x:v>
      </x:c>
      <x:c r="G802" s="39" t="str">
        <x:v>- توزیع صبحانه همراه با شام و یا به صورت جیره هفتگی</x:v>
      </x:c>
      <x:c r="H802" s="39" t="str">
        <x:v>H11</x:v>
      </x:c>
      <x:c r="I802" s="39" t="str">
        <x:v>DELEGATE/P2</x:v>
      </x:c>
      <x:c r="J802" s="39" t="str">
        <x:v>H11</x:v>
      </x:c>
      <x:c r="K802" s="39" t="str">
        <x:v>تطبیق احتمالی با پایه</x:v>
      </x:c>
      <x:c r="L802" s="39" t="str">
        <x:v>MI-0795</x:v>
      </x:c>
      <x:c r="M802" s="39" t="str">
        <x:v>- توزیع صبحانه همراه با شام و یا به صورت جیره هفتگی</x:v>
      </x:c>
      <x:c r="N802" s="39" t="str">
        <x:v>1154878548.docx::P1319.1</x:v>
      </x:c>
      <x:c r="O802" s="39"/>
    </x:row>
    <x:row r="803">
      <x:c r="A803" s="34" t="str">
        <x:v>☐</x:v>
      </x:c>
      <x:c r="B803" s="34" t="str">
        <x:v>EX-0775</x:v>
      </x:c>
      <x:c r="C803" s="34" t="str">
        <x:v>حضور پزشک در خوابگاه</x:v>
      </x:c>
      <x:c r="D803" s="34" t="str">
        <x:v>POSSIBLE</x:v>
      </x:c>
      <x:c r="E803" s="34" t="str">
        <x:v>85.5</x:v>
      </x:c>
      <x:c r="F803" s="34" t="str">
        <x:v>MI-0077</x:v>
      </x:c>
      <x:c r="G803" s="39" t="str">
        <x:v>یادگیری هوش هیجانی و قدرت تصمیم گیری بالا در لحظه</x:v>
      </x:c>
      <x:c r="H803" s="39" t="str">
        <x:v>H1</x:v>
      </x:c>
      <x:c r="I803" s="39" t="str">
        <x:v>P0</x:v>
      </x:c>
      <x:c r="J803" s="39" t="str">
        <x:v>H1</x:v>
      </x:c>
      <x:c r="K803" s="39" t="str">
        <x:v>تطبیق احتمالی با پایه</x:v>
      </x:c>
      <x:c r="L803" s="39" t="str">
        <x:v>MI-0077</x:v>
      </x:c>
      <x:c r="M803" s="39" t="str">
        <x:v>یادگیری هوش هیجانی و قدرت تصمیم گیری بالا در لحظه</x:v>
      </x:c>
      <x:c r="N803" s="39" t="str">
        <x:v>1154878548.docx::P1320.1</x:v>
      </x:c>
      <x:c r="O803" s="39"/>
    </x:row>
    <x:row r="804">
      <x:c r="A804" s="34" t="str">
        <x:v>☐</x:v>
      </x:c>
      <x:c r="B804" s="34" t="str">
        <x:v>EX-0776</x:v>
      </x:c>
      <x:c r="C804" s="34" t="str">
        <x:v>برگزاری سمینار</x:v>
      </x:c>
      <x:c r="D804" s="34" t="str">
        <x:v>POSSIBLE</x:v>
      </x:c>
      <x:c r="E804" s="34" t="str">
        <x:v>90.0</x:v>
      </x:c>
      <x:c r="F804" s="34" t="str">
        <x:v>MI-0624</x:v>
      </x:c>
      <x:c r="G804" s="39" t="str">
        <x:v>برگزاری سمینار مشاوره اساتید مطرح</x:v>
      </x:c>
      <x:c r="H804" s="39" t="str">
        <x:v>H13</x:v>
      </x:c>
      <x:c r="I804" s="39" t="str">
        <x:v>P2</x:v>
      </x:c>
      <x:c r="J804" s="39" t="str">
        <x:v>H13</x:v>
      </x:c>
      <x:c r="K804" s="39" t="str">
        <x:v>تطبیق احتمالی با پایه</x:v>
      </x:c>
      <x:c r="L804" s="39" t="str">
        <x:v>MI-0624</x:v>
      </x:c>
      <x:c r="M804" s="39" t="str">
        <x:v>برگزاری سمینار مشاوره اساتید مطرح</x:v>
      </x:c>
      <x:c r="N804" s="39" t="str">
        <x:v>1154878548.docx::P1321.1</x:v>
      </x:c>
      <x:c r="O804" s="39"/>
    </x:row>
    <x:row r="805">
      <x:c r="A805" s="34" t="str">
        <x:v>☐</x:v>
      </x:c>
      <x:c r="B805" s="34" t="str">
        <x:v>EX-0777</x:v>
      </x:c>
      <x:c r="C805" s="34" t="str">
        <x:v>شیفتهای شبانه کلینیک در خوابگاهها</x:v>
      </x:c>
      <x:c r="D805" s="34" t="str">
        <x:v>POSSIBLE</x:v>
      </x:c>
      <x:c r="E805" s="34" t="str">
        <x:v>85.5</x:v>
      </x:c>
      <x:c r="F805" s="34" t="str">
        <x:v>MI-0173</x:v>
      </x:c>
      <x:c r="G805" s="39" t="str">
        <x:v>جستجو در منابع سریع</x:v>
      </x:c>
      <x:c r="H805" s="39" t="str">
        <x:v>H1</x:v>
      </x:c>
      <x:c r="I805" s="39" t="str">
        <x:v>P0</x:v>
      </x:c>
      <x:c r="J805" s="39" t="str">
        <x:v>H1</x:v>
      </x:c>
      <x:c r="K805" s="39" t="str">
        <x:v>تطبیق احتمالی با پایه</x:v>
      </x:c>
      <x:c r="L805" s="39" t="str">
        <x:v>MI-0173</x:v>
      </x:c>
      <x:c r="M805" s="39" t="str">
        <x:v>جستجو در منابع سریع</x:v>
      </x:c>
      <x:c r="N805" s="39" t="str">
        <x:v>1154878548.docx::P1322.1</x:v>
      </x:c>
      <x:c r="O805" s="39"/>
    </x:row>
    <x:row r="806">
      <x:c r="A806" s="34" t="str">
        <x:v>☐</x:v>
      </x:c>
      <x:c r="B806" s="34" t="str">
        <x:v>EX-0778</x:v>
      </x:c>
      <x:c r="C806" s="34" t="str">
        <x:v>پیوند اساتید به درخواستهای تامینکننده (RFPs)</x:v>
      </x:c>
      <x:c r="D806" s="34" t="str">
        <x:v>POSSIBLE</x:v>
      </x:c>
      <x:c r="E806" s="34" t="str">
        <x:v>85.5</x:v>
      </x:c>
      <x:c r="F806" s="34" t="str">
        <x:v>MI-1448</x:v>
      </x:c>
      <x:c r="G806" s="39" t="str">
        <x:v>پول هییت قبلا چوقدر هست دست من؟؟؟ قبلا 4,290 بوده . چقدر به سید دادم.</x:v>
      </x:c>
      <x:c r="H806" s="39" t="str">
        <x:v>H1</x:v>
      </x:c>
      <x:c r="I806" s="39" t="str">
        <x:v>P0</x:v>
      </x:c>
      <x:c r="J806" s="39" t="str">
        <x:v>H1</x:v>
      </x:c>
      <x:c r="K806" s="39" t="str">
        <x:v>تطبیق احتمالی با پایه</x:v>
      </x:c>
      <x:c r="L806" s="39" t="str">
        <x:v>MI-1448</x:v>
      </x:c>
      <x:c r="M806" s="39" t="str">
        <x:v>پول هییت قبلا چوقدر هست دست من؟؟؟ قبلا 4,290 بوده . چقدر به سید دادم.</x:v>
      </x:c>
      <x:c r="N806" s="39" t="str">
        <x:v>1154878548.docx::P1324.1</x:v>
      </x:c>
      <x:c r="O806" s="39"/>
    </x:row>
    <x:row r="807">
      <x:c r="A807" s="34" t="str">
        <x:v>☐</x:v>
      </x:c>
      <x:c r="B807" s="34" t="str">
        <x:v>EX-0779</x:v>
      </x:c>
      <x:c r="C807" s="34" t="str">
        <x:v>راهنمایی تکنیکی</x:v>
      </x:c>
      <x:c r="D807" s="34" t="str">
        <x:v>POSSIBLE</x:v>
      </x:c>
      <x:c r="E807" s="34" t="str">
        <x:v>85.5</x:v>
      </x:c>
      <x:c r="F807" s="34" t="str">
        <x:v>MI-2369</x:v>
      </x:c>
      <x:c r="G807" s="39" t="str">
        <x:v>تیم ها را راهنمایی می کند</x:v>
      </x:c>
      <x:c r="H807" s="39" t="str">
        <x:v>H10</x:v>
      </x:c>
      <x:c r="I807" s="39" t="str">
        <x:v>P2</x:v>
      </x:c>
      <x:c r="J807" s="39" t="str">
        <x:v>H10</x:v>
      </x:c>
      <x:c r="K807" s="39" t="str">
        <x:v>تطبیق احتمالی با پایه</x:v>
      </x:c>
      <x:c r="L807" s="39" t="str">
        <x:v>MI-2369</x:v>
      </x:c>
      <x:c r="M807" s="39" t="str">
        <x:v>تیم ها را راهنمایی می کند</x:v>
      </x:c>
      <x:c r="N807" s="39" t="str">
        <x:v>1154878548.docx::P1325.1</x:v>
      </x:c>
      <x:c r="O807" s="39"/>
    </x:row>
    <x:row r="808">
      <x:c r="A808" s="34" t="str">
        <x:v>☐</x:v>
      </x:c>
      <x:c r="B808" s="34" t="str">
        <x:v>EX-0780</x:v>
      </x:c>
      <x:c r="C808" s="34" t="str">
        <x:v>تماس مستقیم با تامینکننده</x:v>
      </x:c>
      <x:c r="D808" s="34" t="str">
        <x:v>POSSIBLE</x:v>
      </x:c>
      <x:c r="E808" s="34" t="str">
        <x:v>85.5</x:v>
      </x:c>
      <x:c r="F808" s="34" t="str">
        <x:v>MI-1501</x:v>
      </x:c>
      <x:c r="G808" s="39" t="str">
        <x:v>مدیریت ریسک: شناسایی ریسک ها، ارزیابی اثرات، تدوین برنامه های مقابله با ریسک ها.</x:v>
      </x:c>
      <x:c r="H808" s="39" t="str">
        <x:v>H1</x:v>
      </x:c>
      <x:c r="I808" s="39" t="str">
        <x:v>P0</x:v>
      </x:c>
      <x:c r="J808" s="39" t="str">
        <x:v>H1</x:v>
      </x:c>
      <x:c r="K808" s="39" t="str">
        <x:v>تطبیق احتمالی با پایه</x:v>
      </x:c>
      <x:c r="L808" s="39" t="str">
        <x:v>MI-1501</x:v>
      </x:c>
      <x:c r="M808" s="39" t="str">
        <x:v>مدیریت ریسک: شناسایی ریسک ها، ارزیابی اثرات، تدوین برنامه های مقابله با ریسک ها.</x:v>
      </x:c>
      <x:c r="N808" s="39" t="str">
        <x:v>1154878548.docx::P1326.1</x:v>
      </x:c>
      <x:c r="O808" s="39"/>
    </x:row>
    <x:row r="809">
      <x:c r="A809" s="34" t="str">
        <x:v>☐</x:v>
      </x:c>
      <x:c r="B809" s="34" t="str">
        <x:v>EX-0781</x:v>
      </x:c>
      <x:c r="C809" s="34" t="str">
        <x:v>پخش مصاحبهها</x:v>
      </x:c>
      <x:c r="D809" s="34" t="str">
        <x:v>POSSIBLE</x:v>
      </x:c>
      <x:c r="E809" s="34" t="str">
        <x:v>85.5</x:v>
      </x:c>
      <x:c r="F809" s="34" t="str">
        <x:v>MI-1150</x:v>
      </x:c>
      <x:c r="G809" s="39" t="str">
        <x:v>پخش کلیپ بین دو نماز</x:v>
      </x:c>
      <x:c r="H809" s="39" t="str">
        <x:v>H11</x:v>
      </x:c>
      <x:c r="I809" s="39" t="str">
        <x:v>DELEGATE/P2</x:v>
      </x:c>
      <x:c r="J809" s="39" t="str">
        <x:v>H11</x:v>
      </x:c>
      <x:c r="K809" s="39" t="str">
        <x:v>تطبیق احتمالی با پایه</x:v>
      </x:c>
      <x:c r="L809" s="39" t="str">
        <x:v>MI-1150</x:v>
      </x:c>
      <x:c r="M809" s="39" t="str">
        <x:v>پخش کلیپ بین دو نماز</x:v>
      </x:c>
      <x:c r="N809" s="39" t="str">
        <x:v>1154878548.docx::P1328.1</x:v>
      </x:c>
      <x:c r="O809" s="39"/>
    </x:row>
    <x:row r="810">
      <x:c r="A810" s="34" t="str">
        <x:v>☐</x:v>
      </x:c>
      <x:c r="B810" s="34" t="str">
        <x:v>EX-0782</x:v>
      </x:c>
      <x:c r="C810" s="34" t="str">
        <x:v>ایجاد فضای گالری/استودیو</x:v>
      </x:c>
      <x:c r="D810" s="34" t="str">
        <x:v>POSSIBLE</x:v>
      </x:c>
      <x:c r="E810" s="34" t="str">
        <x:v>90.0</x:v>
      </x:c>
      <x:c r="F810" s="34" t="str">
        <x:v>MI-2586</x:v>
      </x:c>
      <x:c r="G810" s="39" t="str">
        <x:v>ایجاد:</x:v>
      </x:c>
      <x:c r="H810" s="39" t="str">
        <x:v>H20</x:v>
      </x:c>
      <x:c r="I810" s="39" t="str">
        <x:v>P3/CLARIFY</x:v>
      </x:c>
      <x:c r="J810" s="39" t="str">
        <x:v>H20</x:v>
      </x:c>
      <x:c r="K810" s="39" t="str">
        <x:v>تطبیق احتمالی با پایه</x:v>
      </x:c>
      <x:c r="L810" s="39" t="str">
        <x:v>MI-2586</x:v>
      </x:c>
      <x:c r="M810" s="39" t="str">
        <x:v>ایجاد:</x:v>
      </x:c>
      <x:c r="N810" s="39" t="str">
        <x:v>1154878548.docx::P1329.1</x:v>
      </x:c>
      <x:c r="O810" s="39"/>
    </x:row>
    <x:row r="811">
      <x:c r="A811" s="34" t="str">
        <x:v>☐</x:v>
      </x:c>
      <x:c r="B811" s="34" t="str">
        <x:v>EX-0783</x:v>
      </x:c>
      <x:c r="C811" s="34" t="str">
        <x:v>بیمه سرقت و الکترونیکی دانشجویان</x:v>
      </x:c>
      <x:c r="D811" s="34" t="str">
        <x:v>POSSIBLE</x:v>
      </x:c>
      <x:c r="E811" s="34" t="str">
        <x:v>90.0</x:v>
      </x:c>
      <x:c r="F811" s="34" t="str">
        <x:v>MI-2707</x:v>
      </x:c>
      <x:c r="G811" s="39" t="str">
        <x:v>دانشجویان</x:v>
      </x:c>
      <x:c r="H811" s="39" t="str">
        <x:v>H11</x:v>
      </x:c>
      <x:c r="I811" s="39" t="str">
        <x:v>DELEGATE/P2</x:v>
      </x:c>
      <x:c r="J811" s="39" t="str">
        <x:v>H11</x:v>
      </x:c>
      <x:c r="K811" s="39" t="str">
        <x:v>تطبیق احتمالی با پایه</x:v>
      </x:c>
      <x:c r="L811" s="39" t="str">
        <x:v>MI-2707</x:v>
      </x:c>
      <x:c r="M811" s="39" t="str">
        <x:v>دانشجویان</x:v>
      </x:c>
      <x:c r="N811" s="39" t="str">
        <x:v>1154878548.docx::P1330.1 | 1154878548.docx::P1430.1</x:v>
      </x:c>
      <x:c r="O811" s="39"/>
    </x:row>
    <x:row r="812">
      <x:c r="A812" s="34" t="str">
        <x:v>☐</x:v>
      </x:c>
      <x:c r="B812" s="34" t="str">
        <x:v>EX-0784</x:v>
      </x:c>
      <x:c r="C812" s="34" t="str">
        <x:v>فقدان سیستم ارتباطی آفلاین</x:v>
      </x:c>
      <x:c r="D812" s="34" t="str">
        <x:v>POSSIBLE</x:v>
      </x:c>
      <x:c r="E812" s="34" t="str">
        <x:v>85.5</x:v>
      </x:c>
      <x:c r="F812" s="34" t="str">
        <x:v>MI-0388</x:v>
      </x:c>
      <x:c r="G812" s="39" t="str">
        <x:v>صنایع سیستم</x:v>
      </x:c>
      <x:c r="H812" s="39" t="str">
        <x:v>H6</x:v>
      </x:c>
      <x:c r="I812" s="39" t="str">
        <x:v>BANK</x:v>
      </x:c>
      <x:c r="J812" s="39" t="str">
        <x:v>H6</x:v>
      </x:c>
      <x:c r="K812" s="39" t="str">
        <x:v>تطبیق احتمالی با پایه</x:v>
      </x:c>
      <x:c r="L812" s="39" t="str">
        <x:v>MI-0388</x:v>
      </x:c>
      <x:c r="M812" s="39" t="str">
        <x:v>صنایع سیستم</x:v>
      </x:c>
      <x:c r="N812" s="39" t="str">
        <x:v>1154878548.docx::P1332.1 | 1154878548.docx::P1423.1</x:v>
      </x:c>
      <x:c r="O812" s="39"/>
    </x:row>
    <x:row r="813">
      <x:c r="A813" s="34" t="str">
        <x:v>☐</x:v>
      </x:c>
      <x:c r="B813" s="34" t="str">
        <x:v>EX-0785</x:v>
      </x:c>
      <x:c r="C813" s="34" t="str">
        <x:v>برنامهریزی حملونقل در بحران</x:v>
      </x:c>
      <x:c r="D813" s="34" t="str">
        <x:v>POSSIBLE</x:v>
      </x:c>
      <x:c r="E813" s="34" t="str">
        <x:v>85.5</x:v>
      </x:c>
      <x:c r="F813" s="34" t="str">
        <x:v>MI-0077</x:v>
      </x:c>
      <x:c r="G813" s="39" t="str">
        <x:v>یادگیری هوش هیجانی و قدرت تصمیم گیری بالا در لحظه</x:v>
      </x:c>
      <x:c r="H813" s="39" t="str">
        <x:v>H1</x:v>
      </x:c>
      <x:c r="I813" s="39" t="str">
        <x:v>P0</x:v>
      </x:c>
      <x:c r="J813" s="39" t="str">
        <x:v>H1</x:v>
      </x:c>
      <x:c r="K813" s="39" t="str">
        <x:v>تطبیق احتمالی با پایه</x:v>
      </x:c>
      <x:c r="L813" s="39" t="str">
        <x:v>MI-0077</x:v>
      </x:c>
      <x:c r="M813" s="39" t="str">
        <x:v>یادگیری هوش هیجانی و قدرت تصمیم گیری بالا در لحظه</x:v>
      </x:c>
      <x:c r="N813" s="39" t="str">
        <x:v>1154878548.docx::P1333.1 | 1154878548.docx::P1425.1</x:v>
      </x:c>
      <x:c r="O813" s="39"/>
    </x:row>
    <x:row r="814">
      <x:c r="A814" s="34" t="str">
        <x:v>☐</x:v>
      </x:c>
      <x:c r="B814" s="34" t="str">
        <x:v>EX-0786</x:v>
      </x:c>
      <x:c r="C814" s="34" t="str">
        <x:v>۷-۲. شبکه سراج و صنفی</x:v>
      </x:c>
      <x:c r="D814" s="34" t="str">
        <x:v>POSSIBLE</x:v>
      </x:c>
      <x:c r="E814" s="34" t="str">
        <x:v>90.0</x:v>
      </x:c>
      <x:c r="F814" s="34" t="str">
        <x:v>MI-0684</x:v>
      </x:c>
      <x:c r="G814" s="39" t="str">
        <x:v>صنفی</x:v>
      </x:c>
      <x:c r="H814" s="39" t="str">
        <x:v>H11</x:v>
      </x:c>
      <x:c r="I814" s="39" t="str">
        <x:v>DELEGATE/P2</x:v>
      </x:c>
      <x:c r="J814" s="39" t="str">
        <x:v>H11</x:v>
      </x:c>
      <x:c r="K814" s="39" t="str">
        <x:v>تطبیق احتمالی با پایه</x:v>
      </x:c>
      <x:c r="L814" s="39" t="str">
        <x:v>MI-0684</x:v>
      </x:c>
      <x:c r="M814" s="39" t="str">
        <x:v>صنفی</x:v>
      </x:c>
      <x:c r="N814" s="39" t="str">
        <x:v>1154878548.docx::P1334.1</x:v>
      </x:c>
      <x:c r="O814" s="39"/>
    </x:row>
    <x:row r="815">
      <x:c r="A815" s="34" t="str">
        <x:v>☐</x:v>
      </x:c>
      <x:c r="B815" s="34" t="str">
        <x:v>EX-0787</x:v>
      </x:c>
      <x:c r="C815" s="34" t="str">
        <x:v>اطلاعیه نتایج جلسات</x:v>
      </x:c>
      <x:c r="D815" s="34" t="str">
        <x:v>POSSIBLE</x:v>
      </x:c>
      <x:c r="E815" s="34" t="str">
        <x:v>90.0</x:v>
      </x:c>
      <x:c r="F815" s="34" t="str">
        <x:v>MI-1291</x:v>
      </x:c>
      <x:c r="G815" s="39" t="str">
        <x:v>طلا</x:v>
      </x:c>
      <x:c r="H815" s="39" t="str">
        <x:v>H12</x:v>
      </x:c>
      <x:c r="I815" s="39" t="str">
        <x:v>P2</x:v>
      </x:c>
      <x:c r="J815" s="39" t="str">
        <x:v>H12</x:v>
      </x:c>
      <x:c r="K815" s="39" t="str">
        <x:v>تطبیق احتمالی با پایه</x:v>
      </x:c>
      <x:c r="L815" s="39" t="str">
        <x:v>MI-1291</x:v>
      </x:c>
      <x:c r="M815" s="39" t="str">
        <x:v>طلا</x:v>
      </x:c>
      <x:c r="N815" s="39" t="str">
        <x:v>1154878548.docx::P1337.1</x:v>
      </x:c>
      <x:c r="O815" s="39"/>
    </x:row>
    <x:row r="816">
      <x:c r="A816" s="34" t="str">
        <x:v>☐</x:v>
      </x:c>
      <x:c r="B816" s="34" t="str">
        <x:v>EX-0788</x:v>
      </x:c>
      <x:c r="C816" s="34" t="str">
        <x:v>معرفی صنفی دانشکدهها</x:v>
      </x:c>
      <x:c r="D816" s="34" t="str">
        <x:v>POSSIBLE</x:v>
      </x:c>
      <x:c r="E816" s="34" t="str">
        <x:v>90.0</x:v>
      </x:c>
      <x:c r="F816" s="34" t="str">
        <x:v>MI-0684</x:v>
      </x:c>
      <x:c r="G816" s="39" t="str">
        <x:v>صنفی</x:v>
      </x:c>
      <x:c r="H816" s="39" t="str">
        <x:v>H11</x:v>
      </x:c>
      <x:c r="I816" s="39" t="str">
        <x:v>DELEGATE/P2</x:v>
      </x:c>
      <x:c r="J816" s="39" t="str">
        <x:v>H11</x:v>
      </x:c>
      <x:c r="K816" s="39" t="str">
        <x:v>تطبیق احتمالی با پایه</x:v>
      </x:c>
      <x:c r="L816" s="39" t="str">
        <x:v>MI-0684</x:v>
      </x:c>
      <x:c r="M816" s="39" t="str">
        <x:v>صنفی</x:v>
      </x:c>
      <x:c r="N816" s="39" t="str">
        <x:v>1154878548.docx::P1339.1</x:v>
      </x:c>
      <x:c r="O816" s="39"/>
    </x:row>
    <x:row r="817">
      <x:c r="A817" s="34" t="str">
        <x:v>☐</x:v>
      </x:c>
      <x:c r="B817" s="34" t="str">
        <x:v>EX-0789</x:v>
      </x:c>
      <x:c r="C817" s="34" t="str">
        <x:v>استعدادیابی برای کار و همکاری میدانی</x:v>
      </x:c>
      <x:c r="D817" s="34" t="str">
        <x:v>POSSIBLE</x:v>
      </x:c>
      <x:c r="E817" s="34" t="str">
        <x:v>90.0</x:v>
      </x:c>
      <x:c r="F817" s="34" t="str">
        <x:v>MI-1732</x:v>
      </x:c>
      <x:c r="G817" s="39" t="str">
        <x:v>استعداد</x:v>
      </x:c>
      <x:c r="H817" s="39" t="str">
        <x:v>H10</x:v>
      </x:c>
      <x:c r="I817" s="39" t="str">
        <x:v>P2</x:v>
      </x:c>
      <x:c r="J817" s="39" t="str">
        <x:v>H10</x:v>
      </x:c>
      <x:c r="K817" s="39" t="str">
        <x:v>تطبیق احتمالی با پایه</x:v>
      </x:c>
      <x:c r="L817" s="39" t="str">
        <x:v>MI-1732</x:v>
      </x:c>
      <x:c r="M817" s="39" t="str">
        <x:v>استعداد</x:v>
      </x:c>
      <x:c r="N817" s="39" t="str">
        <x:v>1154878548.docx::P1341.1</x:v>
      </x:c>
      <x:c r="O817" s="39"/>
    </x:row>
    <x:row r="818">
      <x:c r="A818" s="34" t="str">
        <x:v>☐</x:v>
      </x:c>
      <x:c r="B818" s="34" t="str">
        <x:v>EX-0790</x:v>
      </x:c>
      <x:c r="C818" s="34" t="str">
        <x:v>جلسات با شورای صنفی دانشکدهها</x:v>
      </x:c>
      <x:c r="D818" s="34" t="str">
        <x:v>POSSIBLE</x:v>
      </x:c>
      <x:c r="E818" s="34" t="str">
        <x:v>90.0</x:v>
      </x:c>
      <x:c r="F818" s="34" t="str">
        <x:v>MI-0684</x:v>
      </x:c>
      <x:c r="G818" s="39" t="str">
        <x:v>صنفی</x:v>
      </x:c>
      <x:c r="H818" s="39" t="str">
        <x:v>H11</x:v>
      </x:c>
      <x:c r="I818" s="39" t="str">
        <x:v>DELEGATE/P2</x:v>
      </x:c>
      <x:c r="J818" s="39" t="str">
        <x:v>H11</x:v>
      </x:c>
      <x:c r="K818" s="39" t="str">
        <x:v>تطبیق احتمالی با پایه</x:v>
      </x:c>
      <x:c r="L818" s="39" t="str">
        <x:v>MI-0684</x:v>
      </x:c>
      <x:c r="M818" s="39" t="str">
        <x:v>صنفی</x:v>
      </x:c>
      <x:c r="N818" s="39" t="str">
        <x:v>1154878548.docx::P1343.1</x:v>
      </x:c>
      <x:c r="O818" s="39"/>
    </x:row>
    <x:row r="819">
      <x:c r="A819" s="34" t="str">
        <x:v>☐</x:v>
      </x:c>
      <x:c r="B819" s="34" t="str">
        <x:v>EX-0791</x:v>
      </x:c>
      <x:c r="C819" s="34" t="str">
        <x:v>تعیین نمایندهی مستقیم دانشجویان در خوابگاههای       خصوصی</x:v>
      </x:c>
      <x:c r="D819" s="34" t="str">
        <x:v>POSSIBLE</x:v>
      </x:c>
      <x:c r="E819" s="34" t="str">
        <x:v>90.9</x:v>
      </x:c>
      <x:c r="F819" s="34" t="str">
        <x:v>MI-0878</x:v>
      </x:c>
      <x:c r="G819" s="39" t="str">
        <x:v>تعیین نماینده مستقیم دانشجویان در خوابگاههای خصوصی (خودگردان).</x:v>
      </x:c>
      <x:c r="H819" s="39" t="str">
        <x:v>H11</x:v>
      </x:c>
      <x:c r="I819" s="39" t="str">
        <x:v>DELEGATE/P2</x:v>
      </x:c>
      <x:c r="J819" s="39" t="str">
        <x:v>H11</x:v>
      </x:c>
      <x:c r="K819" s="39" t="str">
        <x:v>تطبیق احتمالی با پایه</x:v>
      </x:c>
      <x:c r="L819" s="39" t="str">
        <x:v>MI-0878</x:v>
      </x:c>
      <x:c r="M819" s="39" t="str">
        <x:v>تعیین نماینده مستقیم دانشجویان در خوابگاههای خصوصی (خودگردان).</x:v>
      </x:c>
      <x:c r="N819" s="39" t="str">
        <x:v>1154878548.docx::P1344.1</x:v>
      </x:c>
      <x:c r="O819" s="39"/>
    </x:row>
    <x:row r="820">
      <x:c r="A820" s="34" t="str">
        <x:v>☐</x:v>
      </x:c>
      <x:c r="B820" s="34" t="str">
        <x:v>EX-0792</x:v>
      </x:c>
      <x:c r="C820" s="34" t="str">
        <x:v>تشکیل گروههای مختلف</x:v>
      </x:c>
      <x:c r="D820" s="34" t="str">
        <x:v>POSSIBLE</x:v>
      </x:c>
      <x:c r="E820" s="34" t="str">
        <x:v>85.5</x:v>
      </x:c>
      <x:c r="F820" s="34" t="str">
        <x:v>MI-1716</x:v>
      </x:c>
      <x:c r="G820" s="39" t="str">
        <x:v>خروجی: امضای تفاهم نامه ها، تعریف پایلوت ها، تشکیل تیم ها.</x:v>
      </x:c>
      <x:c r="H820" s="39" t="str">
        <x:v>H10</x:v>
      </x:c>
      <x:c r="I820" s="39" t="str">
        <x:v>P2</x:v>
      </x:c>
      <x:c r="J820" s="39" t="str">
        <x:v>H10</x:v>
      </x:c>
      <x:c r="K820" s="39" t="str">
        <x:v>تطبیق احتمالی با پایه</x:v>
      </x:c>
      <x:c r="L820" s="39" t="str">
        <x:v>MI-1716</x:v>
      </x:c>
      <x:c r="M820" s="39" t="str">
        <x:v>خروجی: امضای تفاهم نامه ها، تعریف پایلوت ها، تشکیل تیم ها.</x:v>
      </x:c>
      <x:c r="N820" s="39" t="str">
        <x:v>1154878548.docx::P1345.1</x:v>
      </x:c>
      <x:c r="O820" s="39"/>
    </x:row>
    <x:row r="821">
      <x:c r="A821" s="34" t="str">
        <x:v>☐</x:v>
      </x:c>
      <x:c r="B821" s="34" t="str">
        <x:v>EX-0793</x:v>
      </x:c>
      <x:c r="C821" s="34" t="str">
        <x:v>گروه دبیر دبیران صنفی، دبیران خوابگاهها، مسئول      تاسیسات، مسئول خدمات</x:v>
      </x:c>
      <x:c r="D821" s="34" t="str">
        <x:v>POSSIBLE</x:v>
      </x:c>
      <x:c r="E821" s="34" t="str">
        <x:v>85.5</x:v>
      </x:c>
      <x:c r="F821" s="34" t="str">
        <x:v>MI-1532</x:v>
      </x:c>
      <x:c r="G821" s="39" t="str">
        <x:v>راه اندازی سایت و گروه های اجتماعی</x:v>
      </x:c>
      <x:c r="H821" s="39" t="str">
        <x:v>H1</x:v>
      </x:c>
      <x:c r="I821" s="39" t="str">
        <x:v>BANK</x:v>
      </x:c>
      <x:c r="J821" s="39" t="str">
        <x:v>H1</x:v>
      </x:c>
      <x:c r="K821" s="39" t="str">
        <x:v>تطبیق احتمالی با پایه</x:v>
      </x:c>
      <x:c r="L821" s="39" t="str">
        <x:v>MI-1532</x:v>
      </x:c>
      <x:c r="M821" s="39" t="str">
        <x:v>راه اندازی سایت و گروه های اجتماعی</x:v>
      </x:c>
      <x:c r="N821" s="39" t="str">
        <x:v>1154878548.docx::P1346.1</x:v>
      </x:c>
      <x:c r="O821" s="39"/>
    </x:row>
    <x:row r="822">
      <x:c r="A822" s="34" t="str">
        <x:v>☐</x:v>
      </x:c>
      <x:c r="B822" s="34" t="str">
        <x:v>EX-0794</x:v>
      </x:c>
      <x:c r="C822" s="34" t="str">
        <x:v>گروه اعضا صنفی دختران با سرپرستهای خانمها و خدماتیها</x:v>
      </x:c>
      <x:c r="D822" s="34" t="str">
        <x:v>POSSIBLE</x:v>
      </x:c>
      <x:c r="E822" s="34" t="str">
        <x:v>85.5</x:v>
      </x:c>
      <x:c r="F822" s="34" t="str">
        <x:v>MI-1501</x:v>
      </x:c>
      <x:c r="G822" s="39" t="str">
        <x:v>مدیریت ریسک: شناسایی ریسک ها، ارزیابی اثرات، تدوین برنامه های مقابله با ریسک ها.</x:v>
      </x:c>
      <x:c r="H822" s="39" t="str">
        <x:v>H1</x:v>
      </x:c>
      <x:c r="I822" s="39" t="str">
        <x:v>P0</x:v>
      </x:c>
      <x:c r="J822" s="39" t="str">
        <x:v>H1</x:v>
      </x:c>
      <x:c r="K822" s="39" t="str">
        <x:v>تطبیق احتمالی با پایه</x:v>
      </x:c>
      <x:c r="L822" s="39" t="str">
        <x:v>MI-1501</x:v>
      </x:c>
      <x:c r="M822" s="39" t="str">
        <x:v>مدیریت ریسک: شناسایی ریسک ها، ارزیابی اثرات، تدوین برنامه های مقابله با ریسک ها.</x:v>
      </x:c>
      <x:c r="N822" s="39" t="str">
        <x:v>1154878548.docx::P1347.1</x:v>
      </x:c>
      <x:c r="O822" s="39"/>
    </x:row>
    <x:row r="823">
      <x:c r="A823" s="34" t="str">
        <x:v>☐</x:v>
      </x:c>
      <x:c r="B823" s="34" t="str">
        <x:v>EX-0795</x:v>
      </x:c>
      <x:c r="C823" s="34" t="str">
        <x:v>نظرسنجی غذا و بررسی کامنتها</x:v>
      </x:c>
      <x:c r="D823" s="34" t="str">
        <x:v>POSSIBLE</x:v>
      </x:c>
      <x:c r="E823" s="34" t="str">
        <x:v>85.5</x:v>
      </x:c>
      <x:c r="F823" s="34" t="str">
        <x:v>MI-1513</x:v>
      </x:c>
      <x:c r="G823" s="39" t="str">
        <x:v>تولید و کارآفرینی: توانایی تولید محصول و خدمات و ایجاد شغل.</x:v>
      </x:c>
      <x:c r="H823" s="39" t="str">
        <x:v>H1</x:v>
      </x:c>
      <x:c r="I823" s="39" t="str">
        <x:v>P0</x:v>
      </x:c>
      <x:c r="J823" s="39" t="str">
        <x:v>H1</x:v>
      </x:c>
      <x:c r="K823" s="39" t="str">
        <x:v>تطبیق احتمالی با پایه</x:v>
      </x:c>
      <x:c r="L823" s="39" t="str">
        <x:v>MI-1513</x:v>
      </x:c>
      <x:c r="M823" s="39" t="str">
        <x:v>تولید و کارآفرینی: توانایی تولید محصول و خدمات و ایجاد شغل.</x:v>
      </x:c>
      <x:c r="N823" s="39" t="str">
        <x:v>1154878548.docx::P1348.1</x:v>
      </x:c>
      <x:c r="O823" s="39"/>
    </x:row>
    <x:row r="824">
      <x:c r="A824" s="34" t="str">
        <x:v>☐</x:v>
      </x:c>
      <x:c r="B824" s="34" t="str">
        <x:v>EX-0796</x:v>
      </x:c>
      <x:c r="C824" s="34" t="str">
        <x:v>نماینده شورای صنفی در جلسات آموزشی</x:v>
      </x:c>
      <x:c r="D824" s="34" t="str">
        <x:v>POSSIBLE</x:v>
      </x:c>
      <x:c r="E824" s="34" t="str">
        <x:v>92.5</x:v>
      </x:c>
      <x:c r="F824" s="34" t="str">
        <x:v>MI-0688</x:v>
      </x:c>
      <x:c r="G824" s="39" t="str">
        <x:v>نماینده شورای صنفی در حلسه آموزشی</x:v>
      </x:c>
      <x:c r="H824" s="39" t="str">
        <x:v>H11</x:v>
      </x:c>
      <x:c r="I824" s="39" t="str">
        <x:v>DELEGATE/P2</x:v>
      </x:c>
      <x:c r="J824" s="39" t="str">
        <x:v>H11</x:v>
      </x:c>
      <x:c r="K824" s="39" t="str">
        <x:v>تطبیق احتمالی با پایه</x:v>
      </x:c>
      <x:c r="L824" s="39" t="str">
        <x:v>MI-0688</x:v>
      </x:c>
      <x:c r="M824" s="39" t="str">
        <x:v>نماینده شورای صنفی در حلسه آموزشی</x:v>
      </x:c>
      <x:c r="N824" s="39" t="str">
        <x:v>1154878548.docx::P1350.1 | 1154878548.docx::P1362.1</x:v>
      </x:c>
      <x:c r="O824" s="39"/>
    </x:row>
    <x:row r="825">
      <x:c r="A825" s="34" t="str">
        <x:v>☐</x:v>
      </x:c>
      <x:c r="B825" s="34" t="str">
        <x:v>EX-0797</x:v>
      </x:c>
      <x:c r="C825" s="34" t="str">
        <x:v>۷-۳. منابع انسانی و تطویر</x:v>
      </x:c>
      <x:c r="D825" s="34" t="str">
        <x:v>POSSIBLE</x:v>
      </x:c>
      <x:c r="E825" s="34" t="str">
        <x:v>90.0</x:v>
      </x:c>
      <x:c r="F825" s="34" t="str">
        <x:v>MI-2797</x:v>
      </x:c>
      <x:c r="G825" s="39" t="str">
        <x:v>منابع:</x:v>
      </x:c>
      <x:c r="H825" s="39" t="str">
        <x:v>H20</x:v>
      </x:c>
      <x:c r="I825" s="39" t="str">
        <x:v>P3/CLARIFY</x:v>
      </x:c>
      <x:c r="J825" s="39" t="str">
        <x:v>H20</x:v>
      </x:c>
      <x:c r="K825" s="39" t="str">
        <x:v>تطبیق احتمالی با پایه</x:v>
      </x:c>
      <x:c r="L825" s="39" t="str">
        <x:v>MI-2797</x:v>
      </x:c>
      <x:c r="M825" s="39" t="str">
        <x:v>منابع:</x:v>
      </x:c>
      <x:c r="N825" s="39" t="str">
        <x:v>1154878548.docx::P1351.1</x:v>
      </x:c>
      <x:c r="O825" s="39"/>
    </x:row>
    <x:row r="826">
      <x:c r="A826" s="34" t="str">
        <x:v>☐</x:v>
      </x:c>
      <x:c r="B826" s="34" t="str">
        <x:v>EX-0798</x:v>
      </x:c>
      <x:c r="C826" s="34" t="str">
        <x:v>تعریف آییننامه برای همیار سرپرستها</x:v>
      </x:c>
      <x:c r="D826" s="34" t="str">
        <x:v>POSSIBLE</x:v>
      </x:c>
      <x:c r="E826" s="34" t="str">
        <x:v>85.5</x:v>
      </x:c>
      <x:c r="F826" s="34" t="str">
        <x:v>MI-0021</x:v>
      </x:c>
      <x:c r="G826" s="39" t="str">
        <x:v>برنامه ریزی بسیار جدی تر برای دروس دانشگاه نوشیروانی بابل</x:v>
      </x:c>
      <x:c r="H826" s="39" t="str">
        <x:v>H1</x:v>
      </x:c>
      <x:c r="I826" s="39" t="str">
        <x:v>P0</x:v>
      </x:c>
      <x:c r="J826" s="39" t="str">
        <x:v>H1</x:v>
      </x:c>
      <x:c r="K826" s="39" t="str">
        <x:v>تطبیق احتمالی با پایه</x:v>
      </x:c>
      <x:c r="L826" s="39" t="str">
        <x:v>MI-0021</x:v>
      </x:c>
      <x:c r="M826" s="39" t="str">
        <x:v>برنامه ریزی بسیار جدی تر برای دروس دانشگاه نوشیروانی بابل</x:v>
      </x:c>
      <x:c r="N826" s="39" t="str">
        <x:v>1154878548.docx::P1352.1</x:v>
      </x:c>
      <x:c r="O826" s="39"/>
    </x:row>
    <x:row r="827">
      <x:c r="A827" s="34" t="str">
        <x:v>☐</x:v>
      </x:c>
      <x:c r="B827" s="34" t="str">
        <x:v>EX-0799</x:v>
      </x:c>
      <x:c r="C827" s="34" t="str">
        <x:v>معرفی مکان برای      گذاشتن وسایل دانشجویان</x:v>
      </x:c>
      <x:c r="D827" s="34" t="str">
        <x:v>POSSIBLE</x:v>
      </x:c>
      <x:c r="E827" s="34" t="str">
        <x:v>90.0</x:v>
      </x:c>
      <x:c r="F827" s="34" t="str">
        <x:v>MI-2707</x:v>
      </x:c>
      <x:c r="G827" s="39" t="str">
        <x:v>دانشجویان</x:v>
      </x:c>
      <x:c r="H827" s="39" t="str">
        <x:v>H11</x:v>
      </x:c>
      <x:c r="I827" s="39" t="str">
        <x:v>DELEGATE/P2</x:v>
      </x:c>
      <x:c r="J827" s="39" t="str">
        <x:v>H11</x:v>
      </x:c>
      <x:c r="K827" s="39" t="str">
        <x:v>تطبیق احتمالی با پایه</x:v>
      </x:c>
      <x:c r="L827" s="39" t="str">
        <x:v>MI-2707</x:v>
      </x:c>
      <x:c r="M827" s="39" t="str">
        <x:v>دانشجویان</x:v>
      </x:c>
      <x:c r="N827" s="39" t="str">
        <x:v>1154878548.docx::P1353.1</x:v>
      </x:c>
      <x:c r="O827" s="39"/>
    </x:row>
    <x:row r="828">
      <x:c r="A828" s="34" t="str">
        <x:v>☐</x:v>
      </x:c>
      <x:c r="B828" s="34" t="str">
        <x:v>EX-0800</x:v>
      </x:c>
      <x:c r="C828" s="34" t="str">
        <x:v>تعیین اعضای دانشجویی شورای انضباطی</x:v>
      </x:c>
      <x:c r="D828" s="34" t="str">
        <x:v>POSSIBLE</x:v>
      </x:c>
      <x:c r="E828" s="34" t="str">
        <x:v>90.0</x:v>
      </x:c>
      <x:c r="F828" s="34" t="str">
        <x:v>MI-0896</x:v>
      </x:c>
      <x:c r="G828" s="39"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H828" s="39" t="str">
        <x:v>H11</x:v>
      </x:c>
      <x:c r="I828" s="39" t="str">
        <x:v>DELEGATE/P2</x:v>
      </x:c>
      <x:c r="J828" s="39" t="str">
        <x:v>H11</x:v>
      </x:c>
      <x:c r="K828" s="39" t="str">
        <x:v>تطبیق احتمالی با پایه</x:v>
      </x:c>
      <x:c r="L828" s="39" t="str">
        <x:v>MI-0896</x:v>
      </x:c>
      <x:c r="M828" s="39"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N828" s="39" t="str">
        <x:v>1154878548.docx::P1354.1</x:v>
      </x:c>
      <x:c r="O828" s="39"/>
    </x:row>
    <x:row r="829">
      <x:c r="A829" s="34" t="str">
        <x:v>☐</x:v>
      </x:c>
      <x:c r="B829" s="34" t="str">
        <x:v>EX-0801</x:v>
      </x:c>
      <x:c r="C829" s="34" t="str">
        <x:v>ایجاد سایت معرفی کارمندان و نحوه      ارتباط</x:v>
      </x:c>
      <x:c r="D829" s="34" t="str">
        <x:v>POSSIBLE</x:v>
      </x:c>
      <x:c r="E829" s="34" t="str">
        <x:v>90.0</x:v>
      </x:c>
      <x:c r="F829" s="34" t="str">
        <x:v>MI-2586</x:v>
      </x:c>
      <x:c r="G829" s="39" t="str">
        <x:v>ایجاد:</x:v>
      </x:c>
      <x:c r="H829" s="39" t="str">
        <x:v>H20</x:v>
      </x:c>
      <x:c r="I829" s="39" t="str">
        <x:v>P3/CLARIFY</x:v>
      </x:c>
      <x:c r="J829" s="39" t="str">
        <x:v>H20</x:v>
      </x:c>
      <x:c r="K829" s="39" t="str">
        <x:v>تطبیق احتمالی با پایه</x:v>
      </x:c>
      <x:c r="L829" s="39" t="str">
        <x:v>MI-2586</x:v>
      </x:c>
      <x:c r="M829" s="39" t="str">
        <x:v>ایجاد:</x:v>
      </x:c>
      <x:c r="N829" s="39" t="str">
        <x:v>1154878548.docx::P1355.1</x:v>
      </x:c>
      <x:c r="O829" s="39"/>
    </x:row>
    <x:row r="830">
      <x:c r="A830" s="34" t="str">
        <x:v>☐</x:v>
      </x:c>
      <x:c r="B830" s="34" t="str">
        <x:v>EX-0802</x:v>
      </x:c>
      <x:c r="C830" s="34" t="str">
        <x:v>۷-۴. دفتر امام جمعه و ارتباطات</x:v>
      </x:c>
      <x:c r="D830" s="34" t="str">
        <x:v>POSSIBLE</x:v>
      </x:c>
      <x:c r="E830" s="34" t="str">
        <x:v>90.0</x:v>
      </x:c>
      <x:c r="F830" s="34" t="str">
        <x:v>MI-2498</x:v>
      </x:c>
      <x:c r="G830" s="39" t="str">
        <x:v>ارتباطات</x:v>
      </x:c>
      <x:c r="H830" s="39" t="str">
        <x:v>H4</x:v>
      </x:c>
      <x:c r="I830" s="39" t="str">
        <x:v>P1</x:v>
      </x:c>
      <x:c r="J830" s="39" t="str">
        <x:v>H4</x:v>
      </x:c>
      <x:c r="K830" s="39" t="str">
        <x:v>تطبیق احتمالی با پایه</x:v>
      </x:c>
      <x:c r="L830" s="39" t="str">
        <x:v>MI-2498</x:v>
      </x:c>
      <x:c r="M830" s="39" t="str">
        <x:v>ارتباطات</x:v>
      </x:c>
      <x:c r="N830" s="39" t="str">
        <x:v>1154878548.docx::P1356.1</x:v>
      </x:c>
      <x:c r="O830" s="39"/>
    </x:row>
    <x:row r="831">
      <x:c r="A831" s="34" t="str">
        <x:v>☐</x:v>
      </x:c>
      <x:c r="B831" s="34" t="str">
        <x:v>EX-0803</x:v>
      </x:c>
      <x:c r="C831" s="34" t="str">
        <x:v>استفاده از دانشجویان در      جریانات و تصمیمگیریها و مشورت</x:v>
      </x:c>
      <x:c r="D831" s="34" t="str">
        <x:v>POSSIBLE</x:v>
      </x:c>
      <x:c r="E831" s="34" t="str">
        <x:v>90.4</x:v>
      </x:c>
      <x:c r="F831" s="34" t="str">
        <x:v>MI-1016</x:v>
      </x:c>
      <x:c r="G831" s="39" t="str">
        <x:v>استفاده از دانشجویان دانشگاه در جریانات و تصمیم گیری ها ومشورت</x:v>
      </x:c>
      <x:c r="H831" s="39" t="str">
        <x:v>H11</x:v>
      </x:c>
      <x:c r="I831" s="39" t="str">
        <x:v>DELEGATE/P2</x:v>
      </x:c>
      <x:c r="J831" s="39" t="str">
        <x:v>H11</x:v>
      </x:c>
      <x:c r="K831" s="39" t="str">
        <x:v>تطبیق احتمالی با پایه</x:v>
      </x:c>
      <x:c r="L831" s="39" t="str">
        <x:v>MI-1016</x:v>
      </x:c>
      <x:c r="M831" s="39" t="str">
        <x:v>استفاده از دانشجویان دانشگاه در جریانات و تصمیم گیری ها ومشورت</x:v>
      </x:c>
      <x:c r="N831" s="39" t="str">
        <x:v>1154878548.docx::P1359.1</x:v>
      </x:c>
      <x:c r="O831" s="39"/>
    </x:row>
    <x:row r="832">
      <x:c r="A832" s="34" t="str">
        <x:v>☐</x:v>
      </x:c>
      <x:c r="B832" s="34" t="str">
        <x:v>EX-0804</x:v>
      </x:c>
      <x:c r="C832" s="34" t="str">
        <x:v>۷-۵. ارتباطات دانشکدهای</x:v>
      </x:c>
      <x:c r="D832" s="34" t="str">
        <x:v>POSSIBLE</x:v>
      </x:c>
      <x:c r="E832" s="34" t="str">
        <x:v>90.0</x:v>
      </x:c>
      <x:c r="F832" s="34" t="str">
        <x:v>MI-2498</x:v>
      </x:c>
      <x:c r="G832" s="39" t="str">
        <x:v>ارتباطات</x:v>
      </x:c>
      <x:c r="H832" s="39" t="str">
        <x:v>H4</x:v>
      </x:c>
      <x:c r="I832" s="39" t="str">
        <x:v>P1</x:v>
      </x:c>
      <x:c r="J832" s="39" t="str">
        <x:v>H4</x:v>
      </x:c>
      <x:c r="K832" s="39" t="str">
        <x:v>تطبیق احتمالی با پایه</x:v>
      </x:c>
      <x:c r="L832" s="39" t="str">
        <x:v>MI-2498</x:v>
      </x:c>
      <x:c r="M832" s="39" t="str">
        <x:v>ارتباطات</x:v>
      </x:c>
      <x:c r="N832" s="39" t="str">
        <x:v>1154878548.docx::P1360.1</x:v>
      </x:c>
      <x:c r="O832" s="39"/>
    </x:row>
    <x:row r="833">
      <x:c r="A833" s="34" t="str">
        <x:v>☐</x:v>
      </x:c>
      <x:c r="B833" s="34" t="str">
        <x:v>EX-0805</x:v>
      </x:c>
      <x:c r="C833" s="34" t="str">
        <x:v>۸. حکمرانی رفاه، خدمات و زندگی اجتماعی</x:v>
      </x:c>
      <x:c r="D833" s="34" t="str">
        <x:v>POSSIBLE</x:v>
      </x:c>
      <x:c r="E833" s="34" t="str">
        <x:v>90.0</x:v>
      </x:c>
      <x:c r="F833" s="34" t="str">
        <x:v>MI-0288</x:v>
      </x:c>
      <x:c r="G833" s="39" t="str">
        <x:v>اجتماعی</x:v>
      </x:c>
      <x:c r="H833" s="39" t="str">
        <x:v>H15</x:v>
      </x:c>
      <x:c r="I833" s="39" t="str">
        <x:v>P3/CLARIFY</x:v>
      </x:c>
      <x:c r="J833" s="39" t="str">
        <x:v>H15</x:v>
      </x:c>
      <x:c r="K833" s="39" t="str">
        <x:v>تطبیق احتمالی با پایه</x:v>
      </x:c>
      <x:c r="L833" s="39" t="str">
        <x:v>MI-0288</x:v>
      </x:c>
      <x:c r="M833" s="39" t="str">
        <x:v>اجتماعی</x:v>
      </x:c>
      <x:c r="N833" s="39" t="str">
        <x:v>1154878548.docx::P1363.1</x:v>
      </x:c>
      <x:c r="O833" s="39"/>
    </x:row>
    <x:row r="834">
      <x:c r="A834" s="34" t="str">
        <x:v>☐</x:v>
      </x:c>
      <x:c r="B834" s="34" t="str">
        <x:v>EX-0806</x:v>
      </x:c>
      <x:c r="C834" s="34" t="str">
        <x:v>۸-۱. خوابگاهها و تسهیلات مسکونی</x:v>
      </x:c>
      <x:c r="D834" s="34" t="str">
        <x:v>POSSIBLE</x:v>
      </x:c>
      <x:c r="E834" s="34" t="str">
        <x:v>85.5</x:v>
      </x:c>
      <x:c r="F834" s="34" t="str">
        <x:v>MI-1513</x:v>
      </x:c>
      <x:c r="G834" s="39" t="str">
        <x:v>تولید و کارآفرینی: توانایی تولید محصول و خدمات و ایجاد شغل.</x:v>
      </x:c>
      <x:c r="H834" s="39" t="str">
        <x:v>H1</x:v>
      </x:c>
      <x:c r="I834" s="39" t="str">
        <x:v>P0</x:v>
      </x:c>
      <x:c r="J834" s="39" t="str">
        <x:v>H1</x:v>
      </x:c>
      <x:c r="K834" s="39" t="str">
        <x:v>تطبیق احتمالی با پایه</x:v>
      </x:c>
      <x:c r="L834" s="39" t="str">
        <x:v>MI-1513</x:v>
      </x:c>
      <x:c r="M834" s="39" t="str">
        <x:v>تولید و کارآفرینی: توانایی تولید محصول و خدمات و ایجاد شغل.</x:v>
      </x:c>
      <x:c r="N834" s="39" t="str">
        <x:v>1154878548.docx::P1364.1</x:v>
      </x:c>
      <x:c r="O834" s="39"/>
    </x:row>
    <x:row r="835">
      <x:c r="A835" s="34" t="str">
        <x:v>☐</x:v>
      </x:c>
      <x:c r="B835" s="34" t="str">
        <x:v>EX-0807</x:v>
      </x:c>
      <x:c r="C835" s="34" t="str">
        <x:v>تعمیرات و نگهداری</x:v>
      </x:c>
      <x:c r="D835" s="34" t="str">
        <x:v>POSSIBLE</x:v>
      </x:c>
      <x:c r="E835" s="34" t="str">
        <x:v>85.5</x:v>
      </x:c>
      <x:c r="F835" s="34" t="str">
        <x:v>MI-1513</x:v>
      </x:c>
      <x:c r="G835" s="39" t="str">
        <x:v>تولید و کارآفرینی: توانایی تولید محصول و خدمات و ایجاد شغل.</x:v>
      </x:c>
      <x:c r="H835" s="39" t="str">
        <x:v>H1</x:v>
      </x:c>
      <x:c r="I835" s="39" t="str">
        <x:v>P0</x:v>
      </x:c>
      <x:c r="J835" s="39" t="str">
        <x:v>H1</x:v>
      </x:c>
      <x:c r="K835" s="39" t="str">
        <x:v>تطبیق احتمالی با پایه</x:v>
      </x:c>
      <x:c r="L835" s="39" t="str">
        <x:v>MI-1513</x:v>
      </x:c>
      <x:c r="M835" s="39" t="str">
        <x:v>تولید و کارآفرینی: توانایی تولید محصول و خدمات و ایجاد شغل.</x:v>
      </x:c>
      <x:c r="N835" s="39" t="str">
        <x:v>1154878548.docx::P1365.1</x:v>
      </x:c>
      <x:c r="O835" s="39"/>
    </x:row>
    <x:row r="836">
      <x:c r="A836" s="34" t="str">
        <x:v>☐</x:v>
      </x:c>
      <x:c r="B836" s="34" t="str">
        <x:v>EX-0808</x:v>
      </x:c>
      <x:c r="C836" s="34" t="str">
        <x:v>تعمیر شعلههای گاز آشپزخانهها</x:v>
      </x:c>
      <x:c r="D836" s="34" t="str">
        <x:v>POSSIBLE</x:v>
      </x:c>
      <x:c r="E836" s="34" t="str">
        <x:v>90.3</x:v>
      </x:c>
      <x:c r="F836" s="34" t="str">
        <x:v>MI-0839</x:v>
      </x:c>
      <x:c r="G836" s="39" t="str">
        <x:v>- تعمیر شعله های گاز های آشپزخانه ها</x:v>
      </x:c>
      <x:c r="H836" s="39" t="str">
        <x:v>H11</x:v>
      </x:c>
      <x:c r="I836" s="39" t="str">
        <x:v>DELEGATE/P2</x:v>
      </x:c>
      <x:c r="J836" s="39" t="str">
        <x:v>H11</x:v>
      </x:c>
      <x:c r="K836" s="39" t="str">
        <x:v>تطبیق احتمالی با پایه</x:v>
      </x:c>
      <x:c r="L836" s="39" t="str">
        <x:v>MI-0839</x:v>
      </x:c>
      <x:c r="M836" s="39" t="str">
        <x:v>- تعمیر شعله های گاز های آشپزخانه ها</x:v>
      </x:c>
      <x:c r="N836" s="39" t="str">
        <x:v>1154878548.docx::P1366.1</x:v>
      </x:c>
      <x:c r="O836" s="39"/>
    </x:row>
    <x:row r="837">
      <x:c r="A837" s="34" t="str">
        <x:v>☐</x:v>
      </x:c>
      <x:c r="B837" s="34" t="str">
        <x:v>EX-0809</x:v>
      </x:c>
      <x:c r="C837" s="34" t="str">
        <x:v>سردوشهای حمام خوابگاهها</x:v>
      </x:c>
      <x:c r="D837" s="34" t="str">
        <x:v>POSSIBLE</x:v>
      </x:c>
      <x:c r="E837" s="34" t="str">
        <x:v>88.7</x:v>
      </x:c>
      <x:c r="F837" s="34" t="str">
        <x:v>MI-0964</x:v>
      </x:c>
      <x:c r="G837" s="39" t="str">
        <x:v>سردوش های حمام های خوابگاه</x:v>
      </x:c>
      <x:c r="H837" s="39" t="str">
        <x:v>H11</x:v>
      </x:c>
      <x:c r="I837" s="39" t="str">
        <x:v>DELEGATE/P2</x:v>
      </x:c>
      <x:c r="J837" s="39" t="str">
        <x:v>H11</x:v>
      </x:c>
      <x:c r="K837" s="39" t="str">
        <x:v>تطبیق احتمالی با پایه</x:v>
      </x:c>
      <x:c r="L837" s="39" t="str">
        <x:v>MI-0964</x:v>
      </x:c>
      <x:c r="M837" s="39" t="str">
        <x:v>سردوش های حمام های خوابگاه</x:v>
      </x:c>
      <x:c r="N837" s="39" t="str">
        <x:v>1154878548.docx::P1369.1</x:v>
      </x:c>
      <x:c r="O837" s="39"/>
    </x:row>
    <x:row r="838">
      <x:c r="A838" s="34" t="str">
        <x:v>☐</x:v>
      </x:c>
      <x:c r="B838" s="34" t="str">
        <x:v>EX-0810</x:v>
      </x:c>
      <x:c r="C838" s="34" t="str">
        <x:v>نظافت (پیمانکاری، ۵شنبه و جمعه)</x:v>
      </x:c>
      <x:c r="D838" s="34" t="str">
        <x:v>POSSIBLE</x:v>
      </x:c>
      <x:c r="E838" s="34" t="str">
        <x:v>90.0</x:v>
      </x:c>
      <x:c r="F838" s="34" t="str">
        <x:v>MI-0946</x:v>
      </x:c>
      <x:c r="G838" s="39" t="str">
        <x:v>نظافت پیمانکاری</x:v>
      </x:c>
      <x:c r="H838" s="39" t="str">
        <x:v>H11</x:v>
      </x:c>
      <x:c r="I838" s="39" t="str">
        <x:v>DELEGATE/P2</x:v>
      </x:c>
      <x:c r="J838" s="39" t="str">
        <x:v>H11</x:v>
      </x:c>
      <x:c r="K838" s="39" t="str">
        <x:v>تطبیق احتمالی با پایه</x:v>
      </x:c>
      <x:c r="L838" s="39" t="str">
        <x:v>MI-0946</x:v>
      </x:c>
      <x:c r="M838" s="39" t="str">
        <x:v>نظافت پیمانکاری</x:v>
      </x:c>
      <x:c r="N838" s="39" t="str">
        <x:v>1154878548.docx::P1370.1</x:v>
      </x:c>
      <x:c r="O838" s="39"/>
    </x:row>
    <x:row r="839">
      <x:c r="A839" s="34" t="str">
        <x:v>☐</x:v>
      </x:c>
      <x:c r="B839" s="34" t="str">
        <x:v>EX-0811</x:v>
      </x:c>
      <x:c r="C839" s="34" t="str">
        <x:v>مصوبات جدید برای سنواتیها</x:v>
      </x:c>
      <x:c r="D839" s="34" t="str">
        <x:v>POSSIBLE</x:v>
      </x:c>
      <x:c r="E839" s="34" t="str">
        <x:v>90.0</x:v>
      </x:c>
      <x:c r="F839" s="34" t="str">
        <x:v>MI-2268</x:v>
      </x:c>
      <x:c r="G839" s="39" t="str">
        <x:v>برای:</x:v>
      </x:c>
      <x:c r="H839" s="39" t="str">
        <x:v>H20</x:v>
      </x:c>
      <x:c r="I839" s="39" t="str">
        <x:v>P3/CLARIFY</x:v>
      </x:c>
      <x:c r="J839" s="39" t="str">
        <x:v>H20</x:v>
      </x:c>
      <x:c r="K839" s="39" t="str">
        <x:v>تطبیق احتمالی با پایه</x:v>
      </x:c>
      <x:c r="L839" s="39" t="str">
        <x:v>MI-2268</x:v>
      </x:c>
      <x:c r="M839" s="39" t="str">
        <x:v>برای:</x:v>
      </x:c>
      <x:c r="N839" s="39" t="str">
        <x:v>1154878548.docx::P1371.1</x:v>
      </x:c>
      <x:c r="O839" s="39"/>
    </x:row>
    <x:row r="840">
      <x:c r="A840" s="34" t="str">
        <x:v>☐</x:v>
      </x:c>
      <x:c r="B840" s="34" t="str">
        <x:v>EX-0812</x:v>
      </x:c>
      <x:c r="C840" s="34" t="str">
        <x:v>فرم پذیرش مهمان خوابگاهها</x:v>
      </x:c>
      <x:c r="D840" s="34" t="str">
        <x:v>POSSIBLE</x:v>
      </x:c>
      <x:c r="E840" s="34" t="str">
        <x:v>85.5</x:v>
      </x:c>
      <x:c r="F840" s="34" t="str">
        <x:v>MI-0898</x:v>
      </x:c>
      <x:c r="G840" s="39" t="str">
        <x:v>فرم پذیرش میهمان برای خوابگاه پسرانه و دخترانه حد اکثر 24 ساعت یا کمتر از چند ساعت</x:v>
      </x:c>
      <x:c r="H840" s="39" t="str">
        <x:v>H11</x:v>
      </x:c>
      <x:c r="I840" s="39" t="str">
        <x:v>DELEGATE/P2</x:v>
      </x:c>
      <x:c r="J840" s="39" t="str">
        <x:v>H11</x:v>
      </x:c>
      <x:c r="K840" s="39" t="str">
        <x:v>تطبیق احتمالی با پایه</x:v>
      </x:c>
      <x:c r="L840" s="39" t="str">
        <x:v>MI-0898</x:v>
      </x:c>
      <x:c r="M840" s="39" t="str">
        <x:v>فرم پذیرش میهمان برای خوابگاه پسرانه و دخترانه حد اکثر 24 ساعت یا کمتر از چند ساعت</x:v>
      </x:c>
      <x:c r="N840" s="39" t="str">
        <x:v>1154878548.docx::P1372.1</x:v>
      </x:c>
      <x:c r="O840" s="39"/>
    </x:row>
    <x:row r="841">
      <x:c r="A841" s="34" t="str">
        <x:v>☐</x:v>
      </x:c>
      <x:c r="B841" s="34" t="str">
        <x:v>EX-0813</x:v>
      </x:c>
      <x:c r="C841" s="34" t="str">
        <x:v>واقعسازی خوابگاههای متاهلی</x:v>
      </x:c>
      <x:c r="D841" s="34" t="str">
        <x:v>POSSIBLE</x:v>
      </x:c>
      <x:c r="E841" s="34" t="str">
        <x:v>85.5</x:v>
      </x:c>
      <x:c r="F841" s="34" t="str">
        <x:v>MI-0728</x:v>
      </x:c>
      <x:c r="G841" s="39" t="str">
        <x:v>خوابگاه متاهلی</x:v>
      </x:c>
      <x:c r="H841" s="39" t="str">
        <x:v>H11</x:v>
      </x:c>
      <x:c r="I841" s="39" t="str">
        <x:v>DELEGATE/P2</x:v>
      </x:c>
      <x:c r="J841" s="39" t="str">
        <x:v>H11</x:v>
      </x:c>
      <x:c r="K841" s="39" t="str">
        <x:v>تطبیق احتمالی با پایه</x:v>
      </x:c>
      <x:c r="L841" s="39" t="str">
        <x:v>MI-0728</x:v>
      </x:c>
      <x:c r="M841" s="39" t="str">
        <x:v>خوابگاه متاهلی</x:v>
      </x:c>
      <x:c r="N841" s="39" t="str">
        <x:v>1154878548.docx::P1373.1</x:v>
      </x:c>
      <x:c r="O841" s="39"/>
    </x:row>
    <x:row r="842">
      <x:c r="A842" s="34" t="str">
        <x:v>☐</x:v>
      </x:c>
      <x:c r="B842" s="34" t="str">
        <x:v>EX-0814</x:v>
      </x:c>
      <x:c r="C842" s="34" t="str">
        <x:v>۸-۲. تسهیلات و خدمات عمومی</x:v>
      </x:c>
      <x:c r="D842" s="34" t="str">
        <x:v>POSSIBLE</x:v>
      </x:c>
      <x:c r="E842" s="34" t="str">
        <x:v>85.5</x:v>
      </x:c>
      <x:c r="F842" s="34" t="str">
        <x:v>MI-1513</x:v>
      </x:c>
      <x:c r="G842" s="39" t="str">
        <x:v>تولید و کارآفرینی: توانایی تولید محصول و خدمات و ایجاد شغل.</x:v>
      </x:c>
      <x:c r="H842" s="39" t="str">
        <x:v>H1</x:v>
      </x:c>
      <x:c r="I842" s="39" t="str">
        <x:v>P0</x:v>
      </x:c>
      <x:c r="J842" s="39" t="str">
        <x:v>H1</x:v>
      </x:c>
      <x:c r="K842" s="39" t="str">
        <x:v>تطبیق احتمالی با پایه</x:v>
      </x:c>
      <x:c r="L842" s="39" t="str">
        <x:v>MI-1513</x:v>
      </x:c>
      <x:c r="M842" s="39" t="str">
        <x:v>تولید و کارآفرینی: توانایی تولید محصول و خدمات و ایجاد شغل.</x:v>
      </x:c>
      <x:c r="N842" s="39" t="str">
        <x:v>1154878548.docx::P1374.1</x:v>
      </x:c>
      <x:c r="O842" s="39"/>
    </x:row>
    <x:row r="843">
      <x:c r="A843" s="34" t="str">
        <x:v>☐</x:v>
      </x:c>
      <x:c r="B843" s="34" t="str">
        <x:v>EX-0815</x:v>
      </x:c>
      <x:c r="C843" s="34" t="str">
        <x:v>آبگرمکن سرویسهای بهداشتی</x:v>
      </x:c>
      <x:c r="D843" s="34" t="str">
        <x:v>POSSIBLE</x:v>
      </x:c>
      <x:c r="E843" s="34" t="str">
        <x:v>85.5</x:v>
      </x:c>
      <x:c r="F843" s="34" t="str">
        <x:v>MI-0936</x:v>
      </x:c>
      <x:c r="G843" s="39" t="str">
        <x:v>نامه به تمامی روسای دانشگاه ها مبنی بر آب گرمکن سرویس های بهداشتی</x:v>
      </x:c>
      <x:c r="H843" s="39" t="str">
        <x:v>H11</x:v>
      </x:c>
      <x:c r="I843" s="39" t="str">
        <x:v>DELEGATE/P2</x:v>
      </x:c>
      <x:c r="J843" s="39" t="str">
        <x:v>H11</x:v>
      </x:c>
      <x:c r="K843" s="39" t="str">
        <x:v>تطبیق احتمالی با پایه</x:v>
      </x:c>
      <x:c r="L843" s="39" t="str">
        <x:v>MI-0936</x:v>
      </x:c>
      <x:c r="M843" s="39" t="str">
        <x:v>نامه به تمامی روسای دانشگاه ها مبنی بر آب گرمکن سرویس های بهداشتی</x:v>
      </x:c>
      <x:c r="N843" s="39" t="str">
        <x:v>1154878548.docx::P1376.1</x:v>
      </x:c>
      <x:c r="O843" s="39"/>
    </x:row>
    <x:row r="844">
      <x:c r="A844" s="34" t="str">
        <x:v>☐</x:v>
      </x:c>
      <x:c r="B844" s="34" t="str">
        <x:v>EX-0816</x:v>
      </x:c>
      <x:c r="C844" s="34" t="str">
        <x:v>مسجد دانشگاه</x:v>
      </x:c>
      <x:c r="D844" s="34" t="str">
        <x:v>POSSIBLE</x:v>
      </x:c>
      <x:c r="E844" s="34" t="str">
        <x:v>90.0</x:v>
      </x:c>
      <x:c r="F844" s="34" t="str">
        <x:v>MI-0955</x:v>
      </x:c>
      <x:c r="G844" s="39" t="str">
        <x:v>ابگرمکن سرویس بهداشتی مسجد دانشگاه</x:v>
      </x:c>
      <x:c r="H844" s="39" t="str">
        <x:v>H11</x:v>
      </x:c>
      <x:c r="I844" s="39" t="str">
        <x:v>DELEGATE/P2</x:v>
      </x:c>
      <x:c r="J844" s="39" t="str">
        <x:v>H11</x:v>
      </x:c>
      <x:c r="K844" s="39" t="str">
        <x:v>تطبیق احتمالی با پایه</x:v>
      </x:c>
      <x:c r="L844" s="39" t="str">
        <x:v>MI-0955</x:v>
      </x:c>
      <x:c r="M844" s="39" t="str">
        <x:v>ابگرمکن سرویس بهداشتی مسجد دانشگاه</x:v>
      </x:c>
      <x:c r="N844" s="39" t="str">
        <x:v>1154878548.docx::P1377.1</x:v>
      </x:c>
      <x:c r="O844" s="39"/>
    </x:row>
    <x:row r="845">
      <x:c r="A845" s="34" t="str">
        <x:v>☐</x:v>
      </x:c>
      <x:c r="B845" s="34" t="str">
        <x:v>EX-0817</x:v>
      </x:c>
      <x:c r="C845" s="34" t="str">
        <x:v>مبارزه با سوسکها (بهبود      عملکرد)</x:v>
      </x:c>
      <x:c r="D845" s="34" t="str">
        <x:v>POSSIBLE</x:v>
      </x:c>
      <x:c r="E845" s="34" t="str">
        <x:v>85.5</x:v>
      </x:c>
      <x:c r="F845" s="34" t="str">
        <x:v>MI-1501</x:v>
      </x:c>
      <x:c r="G845" s="39" t="str">
        <x:v>مدیریت ریسک: شناسایی ریسک ها، ارزیابی اثرات، تدوین برنامه های مقابله با ریسک ها.</x:v>
      </x:c>
      <x:c r="H845" s="39" t="str">
        <x:v>H1</x:v>
      </x:c>
      <x:c r="I845" s="39" t="str">
        <x:v>P0</x:v>
      </x:c>
      <x:c r="J845" s="39" t="str">
        <x:v>H1</x:v>
      </x:c>
      <x:c r="K845" s="39" t="str">
        <x:v>تطبیق احتمالی با پایه</x:v>
      </x:c>
      <x:c r="L845" s="39" t="str">
        <x:v>MI-1501</x:v>
      </x:c>
      <x:c r="M845" s="39" t="str">
        <x:v>مدیریت ریسک: شناسایی ریسک ها، ارزیابی اثرات، تدوین برنامه های مقابله با ریسک ها.</x:v>
      </x:c>
      <x:c r="N845" s="39" t="str">
        <x:v>1154878548.docx::P1380.1</x:v>
      </x:c>
      <x:c r="O845" s="39"/>
    </x:row>
    <x:row r="846">
      <x:c r="A846" s="34" t="str">
        <x:v>☐</x:v>
      </x:c>
      <x:c r="B846" s="34" t="str">
        <x:v>EX-0818</x:v>
      </x:c>
      <x:c r="C846" s="34" t="str">
        <x:v>درب بطری و کار خیر ویلچر (کانون      محیطزیست)</x:v>
      </x:c>
      <x:c r="D846" s="34" t="str">
        <x:v>POSSIBLE</x:v>
      </x:c>
      <x:c r="E846" s="34" t="str">
        <x:v>90.0</x:v>
      </x:c>
      <x:c r="F846" s="34" t="str">
        <x:v>MI-1030</x:v>
      </x:c>
      <x:c r="G846" s="39" t="str">
        <x:v>درب بطری و کار خیر ویلچر</x:v>
      </x:c>
      <x:c r="H846" s="39" t="str">
        <x:v>H14</x:v>
      </x:c>
      <x:c r="I846" s="39" t="str">
        <x:v>P3</x:v>
      </x:c>
      <x:c r="J846" s="39" t="str">
        <x:v>H14</x:v>
      </x:c>
      <x:c r="K846" s="39" t="str">
        <x:v>تطبیق احتمالی با پایه</x:v>
      </x:c>
      <x:c r="L846" s="39" t="str">
        <x:v>MI-1030</x:v>
      </x:c>
      <x:c r="M846" s="39" t="str">
        <x:v>درب بطری و کار خیر ویلچر</x:v>
      </x:c>
      <x:c r="N846" s="39" t="str">
        <x:v>1154878548.docx::P1381.1</x:v>
      </x:c>
      <x:c r="O846" s="39"/>
    </x:row>
    <x:row r="847">
      <x:c r="A847" s="34" t="str">
        <x:v>☐</x:v>
      </x:c>
      <x:c r="B847" s="34" t="str">
        <x:v>EX-0819</x:v>
      </x:c>
      <x:c r="C847" s="34" t="str">
        <x:v>۸-۳. ورزش و تفریح</x:v>
      </x:c>
      <x:c r="D847" s="34" t="str">
        <x:v>POSSIBLE</x:v>
      </x:c>
      <x:c r="E847" s="34" t="str">
        <x:v>85.5</x:v>
      </x:c>
      <x:c r="F847" s="34" t="str">
        <x:v>MI-1513</x:v>
      </x:c>
      <x:c r="G847" s="39" t="str">
        <x:v>تولید و کارآفرینی: توانایی تولید محصول و خدمات و ایجاد شغل.</x:v>
      </x:c>
      <x:c r="H847" s="39" t="str">
        <x:v>H1</x:v>
      </x:c>
      <x:c r="I847" s="39" t="str">
        <x:v>P0</x:v>
      </x:c>
      <x:c r="J847" s="39" t="str">
        <x:v>H1</x:v>
      </x:c>
      <x:c r="K847" s="39" t="str">
        <x:v>تطبیق احتمالی با پایه</x:v>
      </x:c>
      <x:c r="L847" s="39" t="str">
        <x:v>MI-1513</x:v>
      </x:c>
      <x:c r="M847" s="39" t="str">
        <x:v>تولید و کارآفرینی: توانایی تولید محصول و خدمات و ایجاد شغل.</x:v>
      </x:c>
      <x:c r="N847" s="39" t="str">
        <x:v>1154878548.docx::P1383.1</x:v>
      </x:c>
      <x:c r="O847" s="39"/>
    </x:row>
    <x:row r="848">
      <x:c r="A848" s="34" t="str">
        <x:v>☐</x:v>
      </x:c>
      <x:c r="B848" s="34" t="str">
        <x:v>EX-0820</x:v>
      </x:c>
      <x:c r="C848" s="34" t="str">
        <x:v>زمین چمن (وضعیت      طبیعی)</x:v>
      </x:c>
      <x:c r="D848" s="34" t="str">
        <x:v>POSSIBLE</x:v>
      </x:c>
      <x:c r="E848" s="34" t="str">
        <x:v>90.0</x:v>
      </x:c>
      <x:c r="F848" s="34" t="str">
        <x:v>MI-1034</x:v>
      </x:c>
      <x:c r="G848" s="39" t="str">
        <x:v>زمین چمن</x:v>
      </x:c>
      <x:c r="H848" s="39" t="str">
        <x:v>H14</x:v>
      </x:c>
      <x:c r="I848" s="39" t="str">
        <x:v>P3</x:v>
      </x:c>
      <x:c r="J848" s="39" t="str">
        <x:v>H14</x:v>
      </x:c>
      <x:c r="K848" s="39" t="str">
        <x:v>تطبیق احتمالی با پایه</x:v>
      </x:c>
      <x:c r="L848" s="39" t="str">
        <x:v>MI-1034</x:v>
      </x:c>
      <x:c r="M848" s="39" t="str">
        <x:v>زمین چمن</x:v>
      </x:c>
      <x:c r="N848" s="39" t="str">
        <x:v>1154878548.docx::P1385.1</x:v>
      </x:c>
      <x:c r="O848" s="39"/>
    </x:row>
    <x:row r="849">
      <x:c r="A849" s="34" t="str">
        <x:v>☐</x:v>
      </x:c>
      <x:c r="B849" s="34" t="str">
        <x:v>EX-0821</x:v>
      </x:c>
      <x:c r="C849" s="34" t="str">
        <x:v>اتاق بازی و PS</x:v>
      </x:c>
      <x:c r="D849" s="34" t="str">
        <x:v>POSSIBLE</x:v>
      </x:c>
      <x:c r="E849" s="34" t="str">
        <x:v>90.0</x:v>
      </x:c>
      <x:c r="F849" s="34" t="str">
        <x:v>MI-0734</x:v>
      </x:c>
      <x:c r="G849" s="39" t="str">
        <x:v>اتاق بازی</x:v>
      </x:c>
      <x:c r="H849" s="39" t="str">
        <x:v>H11</x:v>
      </x:c>
      <x:c r="I849" s="39" t="str">
        <x:v>DELEGATE/P2</x:v>
      </x:c>
      <x:c r="J849" s="39" t="str">
        <x:v>H11</x:v>
      </x:c>
      <x:c r="K849" s="39" t="str">
        <x:v>تطبیق احتمالی با پایه</x:v>
      </x:c>
      <x:c r="L849" s="39" t="str">
        <x:v>MI-0734</x:v>
      </x:c>
      <x:c r="M849" s="39" t="str">
        <x:v>اتاق بازی</x:v>
      </x:c>
      <x:c r="N849" s="39" t="str">
        <x:v>1154878548.docx::P1387.1</x:v>
      </x:c>
      <x:c r="O849" s="39"/>
    </x:row>
    <x:row r="850">
      <x:c r="A850" s="34" t="str">
        <x:v>☐</x:v>
      </x:c>
      <x:c r="B850" s="34" t="str">
        <x:v>EX-0822</x:v>
      </x:c>
      <x:c r="C850" s="34" t="str">
        <x:v>۸-۴. امور محیطزیست و پسماند</x:v>
      </x:c>
      <x:c r="D850" s="34" t="str">
        <x:v>POSSIBLE</x:v>
      </x:c>
      <x:c r="E850" s="34" t="str">
        <x:v>85.5</x:v>
      </x:c>
      <x:c r="F850" s="34" t="str">
        <x:v>MI-1513</x:v>
      </x:c>
      <x:c r="G850" s="39" t="str">
        <x:v>تولید و کارآفرینی: توانایی تولید محصول و خدمات و ایجاد شغل.</x:v>
      </x:c>
      <x:c r="H850" s="39" t="str">
        <x:v>H1</x:v>
      </x:c>
      <x:c r="I850" s="39" t="str">
        <x:v>P0</x:v>
      </x:c>
      <x:c r="J850" s="39" t="str">
        <x:v>H1</x:v>
      </x:c>
      <x:c r="K850" s="39" t="str">
        <x:v>تطبیق احتمالی با پایه</x:v>
      </x:c>
      <x:c r="L850" s="39" t="str">
        <x:v>MI-1513</x:v>
      </x:c>
      <x:c r="M850" s="39" t="str">
        <x:v>تولید و کارآفرینی: توانایی تولید محصول و خدمات و ایجاد شغل.</x:v>
      </x:c>
      <x:c r="N850" s="39" t="str">
        <x:v>1154878548.docx::P1390.1</x:v>
      </x:c>
      <x:c r="O850" s="39"/>
    </x:row>
    <x:row r="851">
      <x:c r="A851" s="34" t="str">
        <x:v>☐</x:v>
      </x:c>
      <x:c r="B851" s="34" t="str">
        <x:v>EX-0823</x:v>
      </x:c>
      <x:c r="C851" s="34" t="str">
        <x:v>تفکیک زباله و پسماند</x:v>
      </x:c>
      <x:c r="D851" s="34" t="str">
        <x:v>POSSIBLE</x:v>
      </x:c>
      <x:c r="E851" s="34" t="str">
        <x:v>90.0</x:v>
      </x:c>
      <x:c r="F851" s="34" t="str">
        <x:v>MI-1028</x:v>
      </x:c>
      <x:c r="G851" s="39" t="str">
        <x:v>تفکیک زباله و پسماند و ارایه طرح های نوین</x:v>
      </x:c>
      <x:c r="H851" s="39" t="str">
        <x:v>H12</x:v>
      </x:c>
      <x:c r="I851" s="39" t="str">
        <x:v>P2</x:v>
      </x:c>
      <x:c r="J851" s="39" t="str">
        <x:v>H12</x:v>
      </x:c>
      <x:c r="K851" s="39" t="str">
        <x:v>تطبیق احتمالی با پایه</x:v>
      </x:c>
      <x:c r="L851" s="39" t="str">
        <x:v>MI-1028</x:v>
      </x:c>
      <x:c r="M851" s="39" t="str">
        <x:v>تفکیک زباله و پسماند و ارایه طرح های نوین</x:v>
      </x:c>
      <x:c r="N851" s="39" t="str">
        <x:v>1154878548.docx::P1391.1</x:v>
      </x:c>
      <x:c r="O851" s="39"/>
    </x:row>
    <x:row r="852">
      <x:c r="A852" s="34" t="str">
        <x:v>☐</x:v>
      </x:c>
      <x:c r="B852" s="34" t="str">
        <x:v>EX-0824</x:v>
      </x:c>
      <x:c r="C852" s="34" t="str">
        <x:v>ارائه طرحهای نوین</x:v>
      </x:c>
      <x:c r="D852" s="34" t="str">
        <x:v>POSSIBLE</x:v>
      </x:c>
      <x:c r="E852" s="34" t="str">
        <x:v>85.5</x:v>
      </x:c>
      <x:c r="F852" s="34" t="str">
        <x:v>MI-1028</x:v>
      </x:c>
      <x:c r="G852" s="39" t="str">
        <x:v>تفکیک زباله و پسماند و ارایه طرح های نوین</x:v>
      </x:c>
      <x:c r="H852" s="39" t="str">
        <x:v>H12</x:v>
      </x:c>
      <x:c r="I852" s="39" t="str">
        <x:v>P2</x:v>
      </x:c>
      <x:c r="J852" s="39" t="str">
        <x:v>H12</x:v>
      </x:c>
      <x:c r="K852" s="39" t="str">
        <x:v>تطبیق احتمالی با پایه</x:v>
      </x:c>
      <x:c r="L852" s="39" t="str">
        <x:v>MI-1028</x:v>
      </x:c>
      <x:c r="M852" s="39" t="str">
        <x:v>تفکیک زباله و پسماند و ارایه طرح های نوین</x:v>
      </x:c>
      <x:c r="N852" s="39" t="str">
        <x:v>1154878548.docx::P1392.1</x:v>
      </x:c>
      <x:c r="O852" s="39"/>
    </x:row>
    <x:row r="853">
      <x:c r="A853" s="34" t="str">
        <x:v>☐</x:v>
      </x:c>
      <x:c r="B853" s="34" t="str">
        <x:v>EX-0825</x:v>
      </x:c>
      <x:c r="C853" s="34" t="str">
        <x:v>۸-۵. پروژههای عمرانی و ساختمانی</x:v>
      </x:c>
      <x:c r="D853" s="34" t="str">
        <x:v>POSSIBLE</x:v>
      </x:c>
      <x:c r="E853" s="34" t="str">
        <x:v>90.0</x:v>
      </x:c>
      <x:c r="F853" s="34" t="str">
        <x:v>MI-0297</x:v>
      </x:c>
      <x:c r="G853" s="39" t="str">
        <x:v>عمرانی</x:v>
      </x:c>
      <x:c r="H853" s="39" t="str">
        <x:v>H11</x:v>
      </x:c>
      <x:c r="I853" s="39" t="str">
        <x:v>DELEGATE/P2</x:v>
      </x:c>
      <x:c r="J853" s="39" t="str">
        <x:v>H11</x:v>
      </x:c>
      <x:c r="K853" s="39" t="str">
        <x:v>تطبیق احتمالی با پایه</x:v>
      </x:c>
      <x:c r="L853" s="39" t="str">
        <x:v>MI-0297</x:v>
      </x:c>
      <x:c r="M853" s="39" t="str">
        <x:v>عمرانی</x:v>
      </x:c>
      <x:c r="N853" s="39" t="str">
        <x:v>1154878548.docx::P1395.1</x:v>
      </x:c>
      <x:c r="O853" s="39"/>
    </x:row>
    <x:row r="854">
      <x:c r="A854" s="34" t="str">
        <x:v>☐</x:v>
      </x:c>
      <x:c r="B854" s="34" t="str">
        <x:v>EX-0826</x:v>
      </x:c>
      <x:c r="C854" s="34" t="str">
        <x:v>مرکز رشد و ساختمان عسگرنژاد</x:v>
      </x:c>
      <x:c r="D854" s="34" t="str">
        <x:v>POSSIBLE</x:v>
      </x:c>
      <x:c r="E854" s="34" t="str">
        <x:v>90.0</x:v>
      </x:c>
      <x:c r="F854" s="34" t="str">
        <x:v>MI-1422</x:v>
      </x:c>
      <x:c r="G854" s="39" t="str">
        <x:v>مرکز رشد</x:v>
      </x:c>
      <x:c r="H854" s="39" t="str">
        <x:v>H10</x:v>
      </x:c>
      <x:c r="I854" s="39" t="str">
        <x:v>P2</x:v>
      </x:c>
      <x:c r="J854" s="39" t="str">
        <x:v>H10</x:v>
      </x:c>
      <x:c r="K854" s="39" t="str">
        <x:v>تطبیق احتمالی با پایه</x:v>
      </x:c>
      <x:c r="L854" s="39" t="str">
        <x:v>MI-1422</x:v>
      </x:c>
      <x:c r="M854" s="39" t="str">
        <x:v>مرکز رشد</x:v>
      </x:c>
      <x:c r="N854" s="39" t="str">
        <x:v>1154878548.docx::P1399.1</x:v>
      </x:c>
      <x:c r="O854" s="39"/>
    </x:row>
    <x:row r="855">
      <x:c r="A855" s="34" t="str">
        <x:v>☐</x:v>
      </x:c>
      <x:c r="B855" s="34" t="str">
        <x:v>EX-0827</x:v>
      </x:c>
      <x:c r="C855" s="34" t="str">
        <x:v>۸-۶. امنیت و حفاظت</x:v>
      </x:c>
      <x:c r="D855" s="34" t="str">
        <x:v>POSSIBLE</x:v>
      </x:c>
      <x:c r="E855" s="34" t="str">
        <x:v>85.5</x:v>
      </x:c>
      <x:c r="F855" s="34" t="str">
        <x:v>MI-1513</x:v>
      </x:c>
      <x:c r="G855" s="39" t="str">
        <x:v>تولید و کارآفرینی: توانایی تولید محصول و خدمات و ایجاد شغل.</x:v>
      </x:c>
      <x:c r="H855" s="39" t="str">
        <x:v>H1</x:v>
      </x:c>
      <x:c r="I855" s="39" t="str">
        <x:v>P0</x:v>
      </x:c>
      <x:c r="J855" s="39" t="str">
        <x:v>H1</x:v>
      </x:c>
      <x:c r="K855" s="39" t="str">
        <x:v>تطبیق احتمالی با پایه</x:v>
      </x:c>
      <x:c r="L855" s="39" t="str">
        <x:v>MI-1513</x:v>
      </x:c>
      <x:c r="M855" s="39" t="str">
        <x:v>تولید و کارآفرینی: توانایی تولید محصول و خدمات و ایجاد شغل.</x:v>
      </x:c>
      <x:c r="N855" s="39" t="str">
        <x:v>1154878548.docx::P1400.1</x:v>
      </x:c>
      <x:c r="O855" s="39"/>
    </x:row>
    <x:row r="856">
      <x:c r="A856" s="34" t="str">
        <x:v>☐</x:v>
      </x:c>
      <x:c r="B856" s="34" t="str">
        <x:v>EX-0828</x:v>
      </x:c>
      <x:c r="C856" s="34" t="str">
        <x:v>نصب دوربین در کتابخانهها و سالنهای مطالعاتی</x:v>
      </x:c>
      <x:c r="D856" s="34" t="str">
        <x:v>POSSIBLE</x:v>
      </x:c>
      <x:c r="E856" s="34" t="str">
        <x:v>85.8</x:v>
      </x:c>
      <x:c r="F856" s="34" t="str">
        <x:v>MI-0694</x:v>
      </x:c>
      <x:c r="G856" s="39" t="str">
        <x:v>نصب دوربین در کتابخانه ها و سالن های مطالعاتی جهت افزایش امنیت و اطمینان خاطر دانشجویان در صورت توافق اعضا مثال دزدیده شدن لپ تاپ سالن مطالعاتی بلوک3 دزدیده شدن صندلی به جای هزینه جوشکاری و شما دوربین رو بزاری دیگه علاوه بر صندلی الباقی وسایل هم امنیتشون حفظ میشه دانشجو دیگه علاوه بر استرس امتحان و بقیه موارد لاقال استرس وسایلش رو نداره</x:v>
      </x:c>
      <x:c r="H856" s="39" t="str">
        <x:v>H11</x:v>
      </x:c>
      <x:c r="I856" s="39" t="str">
        <x:v>BANK</x:v>
      </x:c>
      <x:c r="J856" s="39" t="str">
        <x:v>H11</x:v>
      </x:c>
      <x:c r="K856" s="39" t="str">
        <x:v>تطبیق احتمالی با پایه</x:v>
      </x:c>
      <x:c r="L856" s="39" t="str">
        <x:v>MI-0694</x:v>
      </x:c>
      <x:c r="M856" s="39" t="str">
        <x:v>نصب دوربین در کتابخانه ها و سالن های مطالعاتی جهت افزایش امنیت و اطمینان خاطر دانشجویان در صورت توافق اعضا مثال دزدیده شدن لپ تاپ سالن مطالعاتی بلوک3 دزدیده شدن صندلی به جای هزینه جوشکاری و شما دوربین رو بزاری دیگه علاوه بر صندلی الباقی وسایل هم امنیتشون حفظ میشه دانشجو دیگه علاوه بر استرس امتحان و بقیه موارد لاقال استرس وسایلش رو نداره</x:v>
      </x:c>
      <x:c r="N856" s="39" t="str">
        <x:v>1154878548.docx::P1401.1 | 1154878548.docx::P1431.1</x:v>
      </x:c>
      <x:c r="O856" s="39"/>
    </x:row>
    <x:row r="857">
      <x:c r="A857" s="34" t="str">
        <x:v>☐</x:v>
      </x:c>
      <x:c r="B857" s="34" t="str">
        <x:v>EX-0829</x:v>
      </x:c>
      <x:c r="C857" s="34" t="str">
        <x:v>جلوگیری از سرقت لپتاپ</x:v>
      </x:c>
      <x:c r="D857" s="34" t="str">
        <x:v>POSSIBLE</x:v>
      </x:c>
      <x:c r="E857" s="34" t="str">
        <x:v>85.5</x:v>
      </x:c>
      <x:c r="F857" s="34" t="str">
        <x:v>MI-1457</x:v>
      </x:c>
      <x:c r="G857" s="39" t="str">
        <x:v>سلامت جسمانی: تغذیه سالم، ورزش منظم، خواب کافی، پیشگیری از بیماری ها.</x:v>
      </x:c>
      <x:c r="H857" s="39" t="str">
        <x:v>H1</x:v>
      </x:c>
      <x:c r="I857" s="39" t="str">
        <x:v>P0</x:v>
      </x:c>
      <x:c r="J857" s="39" t="str">
        <x:v>H1</x:v>
      </x:c>
      <x:c r="K857" s="39" t="str">
        <x:v>تطبیق احتمالی با پایه</x:v>
      </x:c>
      <x:c r="L857" s="39" t="str">
        <x:v>MI-1457</x:v>
      </x:c>
      <x:c r="M857" s="39" t="str">
        <x:v>سلامت جسمانی: تغذیه سالم، ورزش منظم، خواب کافی، پیشگیری از بیماری ها.</x:v>
      </x:c>
      <x:c r="N857" s="39" t="str">
        <x:v>1154878548.docx::P1402.1</x:v>
      </x:c>
      <x:c r="O857" s="39"/>
    </x:row>
    <x:row r="858">
      <x:c r="A858" s="34" t="str">
        <x:v>☐</x:v>
      </x:c>
      <x:c r="B858" s="34" t="str">
        <x:v>EX-0830</x:v>
      </x:c>
      <x:c r="C858" s="34" t="str">
        <x:v>جلوگیری از سرقت صندلی و وسایل</x:v>
      </x:c>
      <x:c r="D858" s="34" t="str">
        <x:v>POSSIBLE</x:v>
      </x:c>
      <x:c r="E858" s="34" t="str">
        <x:v>85.5</x:v>
      </x:c>
      <x:c r="F858" s="34" t="str">
        <x:v>MI-1513</x:v>
      </x:c>
      <x:c r="G858" s="39" t="str">
        <x:v>تولید و کارآفرینی: توانایی تولید محصول و خدمات و ایجاد شغل.</x:v>
      </x:c>
      <x:c r="H858" s="39" t="str">
        <x:v>H1</x:v>
      </x:c>
      <x:c r="I858" s="39" t="str">
        <x:v>P0</x:v>
      </x:c>
      <x:c r="J858" s="39" t="str">
        <x:v>H1</x:v>
      </x:c>
      <x:c r="K858" s="39" t="str">
        <x:v>تطبیق احتمالی با پایه</x:v>
      </x:c>
      <x:c r="L858" s="39" t="str">
        <x:v>MI-1513</x:v>
      </x:c>
      <x:c r="M858" s="39" t="str">
        <x:v>تولید و کارآفرینی: توانایی تولید محصول و خدمات و ایجاد شغل.</x:v>
      </x:c>
      <x:c r="N858" s="39" t="str">
        <x:v>1154878548.docx::P1403.1</x:v>
      </x:c>
      <x:c r="O858" s="39"/>
    </x:row>
    <x:row r="859">
      <x:c r="A859" s="34" t="str">
        <x:v>☐</x:v>
      </x:c>
      <x:c r="B859" s="34" t="str">
        <x:v>EX-0831</x:v>
      </x:c>
      <x:c r="C859" s="34" t="str">
        <x:v>کاهش استرس دانشجو</x:v>
      </x:c>
      <x:c r="D859" s="34" t="str">
        <x:v>POSSIBLE</x:v>
      </x:c>
      <x:c r="E859" s="34" t="str">
        <x:v>90.0</x:v>
      </x:c>
      <x:c r="F859" s="34" t="str">
        <x:v>MI-2622</x:v>
      </x:c>
      <x:c r="G859" s="39" t="str">
        <x:v>دانش</x:v>
      </x:c>
      <x:c r="H859" s="39" t="str">
        <x:v>H20</x:v>
      </x:c>
      <x:c r="I859" s="39" t="str">
        <x:v>P3/CLARIFY</x:v>
      </x:c>
      <x:c r="J859" s="39" t="str">
        <x:v>H20</x:v>
      </x:c>
      <x:c r="K859" s="39" t="str">
        <x:v>تطبیق احتمالی با پایه</x:v>
      </x:c>
      <x:c r="L859" s="39" t="str">
        <x:v>MI-2622</x:v>
      </x:c>
      <x:c r="M859" s="39" t="str">
        <x:v>دانش</x:v>
      </x:c>
      <x:c r="N859" s="39" t="str">
        <x:v>1154878548.docx::P1404.1</x:v>
      </x:c>
      <x:c r="O859" s="39"/>
    </x:row>
    <x:row r="860">
      <x:c r="A860" s="34" t="str">
        <x:v>☐</x:v>
      </x:c>
      <x:c r="B860" s="34" t="str">
        <x:v>EX-0832</x:v>
      </x:c>
      <x:c r="C860" s="34" t="str">
        <x:v>۸-۷. جلسات و نشستهای تخصصی</x:v>
      </x:c>
      <x:c r="D860" s="34" t="str">
        <x:v>POSSIBLE</x:v>
      </x:c>
      <x:c r="E860" s="34" t="str">
        <x:v>86.7</x:v>
      </x:c>
      <x:c r="F860" s="34" t="str">
        <x:v>MI-1999</x:v>
      </x:c>
      <x:c r="G860" s="39" t="str">
        <x:v>نشست های تخصصی</x:v>
      </x:c>
      <x:c r="H860" s="39" t="str">
        <x:v>H20</x:v>
      </x:c>
      <x:c r="I860" s="39" t="str">
        <x:v>P3/CLARIFY</x:v>
      </x:c>
      <x:c r="J860" s="39" t="str">
        <x:v>H20</x:v>
      </x:c>
      <x:c r="K860" s="39" t="str">
        <x:v>تطبیق احتمالی با پایه</x:v>
      </x:c>
      <x:c r="L860" s="39" t="str">
        <x:v>MI-1999</x:v>
      </x:c>
      <x:c r="M860" s="39" t="str">
        <x:v>نشست های تخصصی</x:v>
      </x:c>
      <x:c r="N860" s="39" t="str">
        <x:v>1154878548.docx::P1409.1</x:v>
      </x:c>
      <x:c r="O860" s="39"/>
    </x:row>
    <x:row r="861">
      <x:c r="A861" s="34" t="str">
        <x:v>☐</x:v>
      </x:c>
      <x:c r="B861" s="34" t="str">
        <x:v>EX-0833</x:v>
      </x:c>
      <x:c r="C861" s="34" t="str">
        <x:v>تعریف آییننامه همیار سرپرستها</x:v>
      </x:c>
      <x:c r="D861" s="34" t="str">
        <x:v>POSSIBLE</x:v>
      </x:c>
      <x:c r="E861" s="34" t="str">
        <x:v>85.5</x:v>
      </x:c>
      <x:c r="F861" s="34" t="str">
        <x:v>MI-1716</x:v>
      </x:c>
      <x:c r="G861" s="39" t="str">
        <x:v>خروجی: امضای تفاهم نامه ها، تعریف پایلوت ها، تشکیل تیم ها.</x:v>
      </x:c>
      <x:c r="H861" s="39" t="str">
        <x:v>H10</x:v>
      </x:c>
      <x:c r="I861" s="39" t="str">
        <x:v>P2</x:v>
      </x:c>
      <x:c r="J861" s="39" t="str">
        <x:v>H10</x:v>
      </x:c>
      <x:c r="K861" s="39" t="str">
        <x:v>تطبیق احتمالی با پایه</x:v>
      </x:c>
      <x:c r="L861" s="39" t="str">
        <x:v>MI-1716</x:v>
      </x:c>
      <x:c r="M861" s="39" t="str">
        <x:v>خروجی: امضای تفاهم نامه ها، تعریف پایلوت ها، تشکیل تیم ها.</x:v>
      </x:c>
      <x:c r="N861" s="39" t="str">
        <x:v>1154878548.docx::P1411.1</x:v>
      </x:c>
      <x:c r="O861" s="39"/>
    </x:row>
    <x:row r="862">
      <x:c r="A862" s="34" t="str">
        <x:v>☐</x:v>
      </x:c>
      <x:c r="B862" s="34" t="str">
        <x:v>EX-0834</x:v>
      </x:c>
      <x:c r="C862" s="34" t="str">
        <x:v>مکان گذاشتن وسایل دانشجویان</x:v>
      </x:c>
      <x:c r="D862" s="34" t="str">
        <x:v>POSSIBLE</x:v>
      </x:c>
      <x:c r="E862" s="34" t="str">
        <x:v>90.0</x:v>
      </x:c>
      <x:c r="F862" s="34" t="str">
        <x:v>MI-2707</x:v>
      </x:c>
      <x:c r="G862" s="39" t="str">
        <x:v>دانشجویان</x:v>
      </x:c>
      <x:c r="H862" s="39" t="str">
        <x:v>H11</x:v>
      </x:c>
      <x:c r="I862" s="39" t="str">
        <x:v>DELEGATE/P2</x:v>
      </x:c>
      <x:c r="J862" s="39" t="str">
        <x:v>H11</x:v>
      </x:c>
      <x:c r="K862" s="39" t="str">
        <x:v>تطبیق احتمالی با پایه</x:v>
      </x:c>
      <x:c r="L862" s="39" t="str">
        <x:v>MI-2707</x:v>
      </x:c>
      <x:c r="M862" s="39" t="str">
        <x:v>دانشجویان</x:v>
      </x:c>
      <x:c r="N862" s="39" t="str">
        <x:v>1154878548.docx::P1412.1</x:v>
      </x:c>
      <x:c r="O862" s="39"/>
    </x:row>
    <x:row r="863">
      <x:c r="A863" s="34" t="str">
        <x:v>☐</x:v>
      </x:c>
      <x:c r="B863" s="34" t="str">
        <x:v>EX-0835</x:v>
      </x:c>
      <x:c r="C863" s="34" t="str">
        <x:v>شورای انضباطی</x:v>
      </x:c>
      <x:c r="D863" s="34" t="str">
        <x:v>POSSIBLE</x:v>
      </x:c>
      <x:c r="E863" s="34" t="str">
        <x:v>85.5</x:v>
      </x:c>
      <x:c r="F863" s="34" t="str">
        <x:v>MI-0800</x:v>
      </x:c>
      <x:c r="G863" s="39" t="str">
        <x:v>- قرار دادن اختیاراتی به شورای صنفی در موضوع قرار داد سلف به پیمانکار</x:v>
      </x:c>
      <x:c r="H863" s="39" t="str">
        <x:v>H11</x:v>
      </x:c>
      <x:c r="I863" s="39" t="str">
        <x:v>DELEGATE/P2</x:v>
      </x:c>
      <x:c r="J863" s="39" t="str">
        <x:v>H11</x:v>
      </x:c>
      <x:c r="K863" s="39" t="str">
        <x:v>تطبیق احتمالی با پایه</x:v>
      </x:c>
      <x:c r="L863" s="39" t="str">
        <x:v>MI-0800</x:v>
      </x:c>
      <x:c r="M863" s="39" t="str">
        <x:v>- قرار دادن اختیاراتی به شورای صنفی در موضوع قرار داد سلف به پیمانکار</x:v>
      </x:c>
      <x:c r="N863" s="39" t="str">
        <x:v>1154878548.docx::P1413.1</x:v>
      </x:c>
      <x:c r="O863" s="39"/>
    </x:row>
    <x:row r="864">
      <x:c r="A864" s="34" t="str">
        <x:v>☐</x:v>
      </x:c>
      <x:c r="B864" s="34" t="str">
        <x:v>EX-0836</x:v>
      </x:c>
      <x:c r="C864" s="34" t="str">
        <x:v>زمین چمن طبیعی</x:v>
      </x:c>
      <x:c r="D864" s="34" t="str">
        <x:v>POSSIBLE</x:v>
      </x:c>
      <x:c r="E864" s="34" t="str">
        <x:v>90.0</x:v>
      </x:c>
      <x:c r="F864" s="34" t="str">
        <x:v>MI-0913</x:v>
      </x:c>
      <x:c r="G864" s="39" t="str">
        <x:v>جلسه با مسیول باشگاه و منعمی برای کمبود وسایل و نظافت و ... و همچنین تعیین ساعات زمین چمن طبیعی برای استفاده بچه ها</x:v>
      </x:c>
      <x:c r="H864" s="39" t="str">
        <x:v>H11</x:v>
      </x:c>
      <x:c r="I864" s="39" t="str">
        <x:v>DELEGATE/P2</x:v>
      </x:c>
      <x:c r="J864" s="39" t="str">
        <x:v>H11</x:v>
      </x:c>
      <x:c r="K864" s="39" t="str">
        <x:v>تطبیق احتمالی با پایه</x:v>
      </x:c>
      <x:c r="L864" s="39" t="str">
        <x:v>MI-0913</x:v>
      </x:c>
      <x:c r="M864" s="39" t="str">
        <x:v>جلسه با مسیول باشگاه و منعمی برای کمبود وسایل و نظافت و ... و همچنین تعیین ساعات زمین چمن طبیعی برای استفاده بچه ها</x:v>
      </x:c>
      <x:c r="N864" s="39" t="str">
        <x:v>1154878548.docx::P1414.1</x:v>
      </x:c>
      <x:c r="O864" s="39"/>
    </x:row>
    <x:row r="865">
      <x:c r="A865" s="34" t="str">
        <x:v>☐</x:v>
      </x:c>
      <x:c r="B865" s="34" t="str">
        <x:v>EX-0837</x:v>
      </x:c>
      <x:c r="C865" s="34" t="str">
        <x:v>فرم پذیرش مهمان</x:v>
      </x:c>
      <x:c r="D865" s="34" t="str">
        <x:v>POSSIBLE</x:v>
      </x:c>
      <x:c r="E865" s="34" t="str">
        <x:v>90.0</x:v>
      </x:c>
      <x:c r="F865" s="34" t="str">
        <x:v>MI-2896</x:v>
      </x:c>
      <x:c r="G865" s="39" t="str">
        <x:v>مهم:</x:v>
      </x:c>
      <x:c r="H865" s="39" t="str">
        <x:v>H20</x:v>
      </x:c>
      <x:c r="I865" s="39" t="str">
        <x:v>P3/CLARIFY</x:v>
      </x:c>
      <x:c r="J865" s="39" t="str">
        <x:v>H20</x:v>
      </x:c>
      <x:c r="K865" s="39" t="str">
        <x:v>تطبیق احتمالی با پایه</x:v>
      </x:c>
      <x:c r="L865" s="39" t="str">
        <x:v>MI-2896</x:v>
      </x:c>
      <x:c r="M865" s="39" t="str">
        <x:v>مهم:</x:v>
      </x:c>
      <x:c r="N865" s="39" t="str">
        <x:v>1154878548.docx::P1415.1</x:v>
      </x:c>
      <x:c r="O865" s="39"/>
    </x:row>
    <x:row r="866">
      <x:c r="A866" s="34" t="str">
        <x:v>☐</x:v>
      </x:c>
      <x:c r="B866" s="34" t="str">
        <x:v>EX-0838</x:v>
      </x:c>
      <x:c r="C866" s="34" t="str">
        <x:v>تفاهمنامه با قنادیها</x:v>
      </x:c>
      <x:c r="D866" s="34" t="str">
        <x:v>POSSIBLE</x:v>
      </x:c>
      <x:c r="E866" s="34" t="str">
        <x:v>85.5</x:v>
      </x:c>
      <x:c r="F866" s="34" t="str">
        <x:v>MI-1501</x:v>
      </x:c>
      <x:c r="G866" s="39" t="str">
        <x:v>مدیریت ریسک: شناسایی ریسک ها، ارزیابی اثرات، تدوین برنامه های مقابله با ریسک ها.</x:v>
      </x:c>
      <x:c r="H866" s="39" t="str">
        <x:v>H1</x:v>
      </x:c>
      <x:c r="I866" s="39" t="str">
        <x:v>P0</x:v>
      </x:c>
      <x:c r="J866" s="39" t="str">
        <x:v>H1</x:v>
      </x:c>
      <x:c r="K866" s="39" t="str">
        <x:v>تطبیق احتمالی با پایه</x:v>
      </x:c>
      <x:c r="L866" s="39" t="str">
        <x:v>MI-1501</x:v>
      </x:c>
      <x:c r="M866" s="39" t="str">
        <x:v>مدیریت ریسک: شناسایی ریسک ها، ارزیابی اثرات، تدوین برنامه های مقابله با ریسک ها.</x:v>
      </x:c>
      <x:c r="N866" s="39" t="str">
        <x:v>1154878548.docx::P1416.1</x:v>
      </x:c>
      <x:c r="O866" s="39"/>
    </x:row>
    <x:row r="867">
      <x:c r="A867" s="34" t="str">
        <x:v>☐</x:v>
      </x:c>
      <x:c r="B867" s="34" t="str">
        <x:v>EX-0839</x:v>
      </x:c>
      <x:c r="C867" s="34" t="str">
        <x:v>بهبود مبارزه با سوسکها</x:v>
      </x:c>
      <x:c r="D867" s="34" t="str">
        <x:v>POSSIBLE</x:v>
      </x:c>
      <x:c r="E867" s="34" t="str">
        <x:v>85.5</x:v>
      </x:c>
      <x:c r="F867" s="34" t="str">
        <x:v>MI-1501</x:v>
      </x:c>
      <x:c r="G867" s="39" t="str">
        <x:v>مدیریت ریسک: شناسایی ریسک ها، ارزیابی اثرات، تدوین برنامه های مقابله با ریسک ها.</x:v>
      </x:c>
      <x:c r="H867" s="39" t="str">
        <x:v>H1</x:v>
      </x:c>
      <x:c r="I867" s="39" t="str">
        <x:v>P0</x:v>
      </x:c>
      <x:c r="J867" s="39" t="str">
        <x:v>H1</x:v>
      </x:c>
      <x:c r="K867" s="39" t="str">
        <x:v>تطبیق احتمالی با پایه</x:v>
      </x:c>
      <x:c r="L867" s="39" t="str">
        <x:v>MI-1501</x:v>
      </x:c>
      <x:c r="M867" s="39" t="str">
        <x:v>مدیریت ریسک: شناسایی ریسک ها، ارزیابی اثرات، تدوین برنامه های مقابله با ریسک ها.</x:v>
      </x:c>
      <x:c r="N867" s="39" t="str">
        <x:v>1154878548.docx::P1417.1</x:v>
      </x:c>
      <x:c r="O867" s="39"/>
    </x:row>
    <x:row r="868">
      <x:c r="A868" s="34" t="str">
        <x:v>☐</x:v>
      </x:c>
      <x:c r="B868" s="34" t="str">
        <x:v>EX-0840</x:v>
      </x:c>
      <x:c r="C868" s="34" t="str">
        <x:v>نرخ کار دانشجویی</x:v>
      </x:c>
      <x:c r="D868" s="34" t="str">
        <x:v>POSSIBLE</x:v>
      </x:c>
      <x:c r="E868" s="34" t="str">
        <x:v>90.0</x:v>
      </x:c>
      <x:c r="F868" s="34" t="str">
        <x:v>MI-2545</x:v>
      </x:c>
      <x:c r="G868" s="39" t="str">
        <x:v>کار:</x:v>
      </x:c>
      <x:c r="H868" s="39" t="str">
        <x:v>H20</x:v>
      </x:c>
      <x:c r="I868" s="39" t="str">
        <x:v>P3/CLARIFY</x:v>
      </x:c>
      <x:c r="J868" s="39" t="str">
        <x:v>H20</x:v>
      </x:c>
      <x:c r="K868" s="39" t="str">
        <x:v>تطبیق احتمالی با پایه</x:v>
      </x:c>
      <x:c r="L868" s="39" t="str">
        <x:v>MI-2545</x:v>
      </x:c>
      <x:c r="M868" s="39" t="str">
        <x:v>کار:</x:v>
      </x:c>
      <x:c r="N868" s="39" t="str">
        <x:v>1154878548.docx::P1418.1</x:v>
      </x:c>
      <x:c r="O868" s="39"/>
    </x:row>
    <x:row r="869">
      <x:c r="A869" s="34" t="str">
        <x:v>☐</x:v>
      </x:c>
      <x:c r="B869" s="34" t="str">
        <x:v>EX-0841</x:v>
      </x:c>
      <x:c r="C869" s="34" t="str">
        <x:v>۹. حکمرانی امنیت، بحران و تابآوری</x:v>
      </x:c>
      <x:c r="D869" s="34" t="str">
        <x:v>POSSIBLE</x:v>
      </x:c>
      <x:c r="E869" s="34" t="str">
        <x:v>85.5</x:v>
      </x:c>
      <x:c r="F869" s="34" t="str">
        <x:v>MI-1513</x:v>
      </x:c>
      <x:c r="G869" s="39" t="str">
        <x:v>تولید و کارآفرینی: توانایی تولید محصول و خدمات و ایجاد شغل.</x:v>
      </x:c>
      <x:c r="H869" s="39" t="str">
        <x:v>H1</x:v>
      </x:c>
      <x:c r="I869" s="39" t="str">
        <x:v>P0</x:v>
      </x:c>
      <x:c r="J869" s="39" t="str">
        <x:v>H1</x:v>
      </x:c>
      <x:c r="K869" s="39" t="str">
        <x:v>تطبیق احتمالی با پایه</x:v>
      </x:c>
      <x:c r="L869" s="39" t="str">
        <x:v>MI-1513</x:v>
      </x:c>
      <x:c r="M869" s="39" t="str">
        <x:v>تولید و کارآفرینی: توانایی تولید محصول و خدمات و ایجاد شغل.</x:v>
      </x:c>
      <x:c r="N869" s="39" t="str">
        <x:v>1154878548.docx::P1420.1</x:v>
      </x:c>
      <x:c r="O869" s="39"/>
    </x:row>
    <x:row r="870">
      <x:c r="A870" s="34" t="str">
        <x:v>☐</x:v>
      </x:c>
      <x:c r="B870" s="34" t="str">
        <x:v>EX-0842</x:v>
      </x:c>
      <x:c r="C870" s="34" t="str">
        <x:v>۹-۱. مدیریت بحران و اضطرار</x:v>
      </x:c>
      <x:c r="D870" s="34" t="str">
        <x:v>POSSIBLE</x:v>
      </x:c>
      <x:c r="E870" s="34" t="str">
        <x:v>85.5</x:v>
      </x:c>
      <x:c r="F870" s="34" t="str">
        <x:v>MI-1501</x:v>
      </x:c>
      <x:c r="G870" s="39" t="str">
        <x:v>مدیریت ریسک: شناسایی ریسک ها، ارزیابی اثرات، تدوین برنامه های مقابله با ریسک ها.</x:v>
      </x:c>
      <x:c r="H870" s="39" t="str">
        <x:v>H1</x:v>
      </x:c>
      <x:c r="I870" s="39" t="str">
        <x:v>P0</x:v>
      </x:c>
      <x:c r="J870" s="39" t="str">
        <x:v>H1</x:v>
      </x:c>
      <x:c r="K870" s="39" t="str">
        <x:v>تطبیق احتمالی با پایه</x:v>
      </x:c>
      <x:c r="L870" s="39" t="str">
        <x:v>MI-1501</x:v>
      </x:c>
      <x:c r="M870" s="39" t="str">
        <x:v>مدیریت ریسک: شناسایی ریسک ها، ارزیابی اثرات، تدوین برنامه های مقابله با ریسک ها.</x:v>
      </x:c>
      <x:c r="N870" s="39" t="str">
        <x:v>1154878548.docx::P1421.1</x:v>
      </x:c>
      <x:c r="O870" s="39"/>
    </x:row>
    <x:row r="871">
      <x:c r="A871" s="34" t="str">
        <x:v>☐</x:v>
      </x:c>
      <x:c r="B871" s="34" t="str">
        <x:v>EX-0843</x:v>
      </x:c>
      <x:c r="C871" s="34" t="str">
        <x:v>سیستمهای ارتباطی در بحران</x:v>
      </x:c>
      <x:c r="D871" s="34" t="str">
        <x:v>POSSIBLE</x:v>
      </x:c>
      <x:c r="E871" s="34" t="str">
        <x:v>85.5</x:v>
      </x:c>
      <x:c r="F871" s="34" t="str">
        <x:v>MI-0077</x:v>
      </x:c>
      <x:c r="G871" s="39" t="str">
        <x:v>یادگیری هوش هیجانی و قدرت تصمیم گیری بالا در لحظه</x:v>
      </x:c>
      <x:c r="H871" s="39" t="str">
        <x:v>H1</x:v>
      </x:c>
      <x:c r="I871" s="39" t="str">
        <x:v>P0</x:v>
      </x:c>
      <x:c r="J871" s="39" t="str">
        <x:v>H1</x:v>
      </x:c>
      <x:c r="K871" s="39" t="str">
        <x:v>تطبیق احتمالی با پایه</x:v>
      </x:c>
      <x:c r="L871" s="39" t="str">
        <x:v>MI-0077</x:v>
      </x:c>
      <x:c r="M871" s="39" t="str">
        <x:v>یادگیری هوش هیجانی و قدرت تصمیم گیری بالا در لحظه</x:v>
      </x:c>
      <x:c r="N871" s="39" t="str">
        <x:v>1154878548.docx::P1422.1</x:v>
      </x:c>
      <x:c r="O871" s="39"/>
    </x:row>
    <x:row r="872">
      <x:c r="A872" s="34" t="str">
        <x:v>☐</x:v>
      </x:c>
      <x:c r="B872" s="34" t="str">
        <x:v>EX-0844</x:v>
      </x:c>
      <x:c r="C872" s="34" t="str">
        <x:v>نیاز به سیستم جایگزین</x:v>
      </x:c>
      <x:c r="D872" s="34" t="str">
        <x:v>POSSIBLE</x:v>
      </x:c>
      <x:c r="E872" s="34" t="str">
        <x:v>90.0</x:v>
      </x:c>
      <x:c r="F872" s="34" t="str">
        <x:v>MI-2252</x:v>
      </x:c>
      <x:c r="G872" s="39" t="str">
        <x:v>نیاز به:</x:v>
      </x:c>
      <x:c r="H872" s="39" t="str">
        <x:v>H20</x:v>
      </x:c>
      <x:c r="I872" s="39" t="str">
        <x:v>P3/CLARIFY</x:v>
      </x:c>
      <x:c r="J872" s="39" t="str">
        <x:v>H20</x:v>
      </x:c>
      <x:c r="K872" s="39" t="str">
        <x:v>تطبیق احتمالی با پایه</x:v>
      </x:c>
      <x:c r="L872" s="39" t="str">
        <x:v>MI-2252</x:v>
      </x:c>
      <x:c r="M872" s="39" t="str">
        <x:v>نیاز به:</x:v>
      </x:c>
      <x:c r="N872" s="39" t="str">
        <x:v>1154878548.docx::P1424.1</x:v>
      </x:c>
      <x:c r="O872" s="39"/>
    </x:row>
    <x:row r="873">
      <x:c r="A873" s="34" t="str">
        <x:v>☐</x:v>
      </x:c>
      <x:c r="B873" s="34" t="str">
        <x:v>EX-0845</x:v>
      </x:c>
      <x:c r="C873" s="34" t="str">
        <x:v>بررسی قرارداد با اسنپ/تپسی</x:v>
      </x:c>
      <x:c r="D873" s="34" t="str">
        <x:v>POSSIBLE</x:v>
      </x:c>
      <x:c r="E873" s="34" t="str">
        <x:v>85.5</x:v>
      </x:c>
      <x:c r="F873" s="34" t="str">
        <x:v>MI-1501</x:v>
      </x:c>
      <x:c r="G873" s="39" t="str">
        <x:v>مدیریت ریسک: شناسایی ریسک ها، ارزیابی اثرات، تدوین برنامه های مقابله با ریسک ها.</x:v>
      </x:c>
      <x:c r="H873" s="39" t="str">
        <x:v>H1</x:v>
      </x:c>
      <x:c r="I873" s="39" t="str">
        <x:v>P0</x:v>
      </x:c>
      <x:c r="J873" s="39" t="str">
        <x:v>H1</x:v>
      </x:c>
      <x:c r="K873" s="39" t="str">
        <x:v>تطبیق احتمالی با پایه</x:v>
      </x:c>
      <x:c r="L873" s="39" t="str">
        <x:v>MI-1501</x:v>
      </x:c>
      <x:c r="M873" s="39" t="str">
        <x:v>مدیریت ریسک: شناسایی ریسک ها، ارزیابی اثرات، تدوین برنامه های مقابله با ریسک ها.</x:v>
      </x:c>
      <x:c r="N873" s="39" t="str">
        <x:v>1154878548.docx::P1426.1</x:v>
      </x:c>
      <x:c r="O873" s="39"/>
    </x:row>
    <x:row r="874">
      <x:c r="A874" s="34" t="str">
        <x:v>☐</x:v>
      </x:c>
      <x:c r="B874" s="34" t="str">
        <x:v>EX-0846</x:v>
      </x:c>
      <x:c r="C874" s="34" t="str">
        <x:v>تخفیف هزینه جابجایی بومیها</x:v>
      </x:c>
      <x:c r="D874" s="34" t="str">
        <x:v>POSSIBLE</x:v>
      </x:c>
      <x:c r="E874" s="34" t="str">
        <x:v>85.5</x:v>
      </x:c>
      <x:c r="F874" s="34" t="str">
        <x:v>MI-1500</x:v>
      </x:c>
      <x:c r="G874" s="39" t="str">
        <x:v>مدیریت مالی: تخصیص منابع، کنترل هزینه ها، گزارش دهی مالی.</x:v>
      </x:c>
      <x:c r="H874" s="39" t="str">
        <x:v>H1</x:v>
      </x:c>
      <x:c r="I874" s="39" t="str">
        <x:v>P0</x:v>
      </x:c>
      <x:c r="J874" s="39" t="str">
        <x:v>H1</x:v>
      </x:c>
      <x:c r="K874" s="39" t="str">
        <x:v>تطبیق احتمالی با پایه</x:v>
      </x:c>
      <x:c r="L874" s="39" t="str">
        <x:v>MI-1500</x:v>
      </x:c>
      <x:c r="M874" s="39" t="str">
        <x:v>مدیریت مالی: تخصیص منابع، کنترل هزینه ها، گزارش دهی مالی.</x:v>
      </x:c>
      <x:c r="N874" s="39" t="str">
        <x:v>1154878548.docx::P1427.1</x:v>
      </x:c>
      <x:c r="O874" s="39"/>
    </x:row>
    <x:row r="875">
      <x:c r="A875" s="34" t="str">
        <x:v>☐</x:v>
      </x:c>
      <x:c r="B875" s="34" t="str">
        <x:v>EX-0847</x:v>
      </x:c>
      <x:c r="C875" s="34" t="str">
        <x:v>تفکیک سرویسهای ساری و قائمشهر</x:v>
      </x:c>
      <x:c r="D875" s="34" t="str">
        <x:v>POSSIBLE</x:v>
      </x:c>
      <x:c r="E875" s="34" t="str">
        <x:v>85.5</x:v>
      </x:c>
      <x:c r="F875" s="34" t="str">
        <x:v>MI-1513</x:v>
      </x:c>
      <x:c r="G875" s="39" t="str">
        <x:v>تولید و کارآفرینی: توانایی تولید محصول و خدمات و ایجاد شغل.</x:v>
      </x:c>
      <x:c r="H875" s="39" t="str">
        <x:v>H1</x:v>
      </x:c>
      <x:c r="I875" s="39" t="str">
        <x:v>P0</x:v>
      </x:c>
      <x:c r="J875" s="39" t="str">
        <x:v>H1</x:v>
      </x:c>
      <x:c r="K875" s="39" t="str">
        <x:v>تطبیق احتمالی با پایه</x:v>
      </x:c>
      <x:c r="L875" s="39" t="str">
        <x:v>MI-1513</x:v>
      </x:c>
      <x:c r="M875" s="39" t="str">
        <x:v>تولید و کارآفرینی: توانایی تولید محصول و خدمات و ایجاد شغل.</x:v>
      </x:c>
      <x:c r="N875" s="39" t="str">
        <x:v>1154878548.docx::P1428.1</x:v>
      </x:c>
      <x:c r="O875" s="39"/>
    </x:row>
    <x:row r="876">
      <x:c r="A876" s="34" t="str">
        <x:v>☐</x:v>
      </x:c>
      <x:c r="B876" s="34" t="str">
        <x:v>EX-0848</x:v>
      </x:c>
      <x:c r="C876" s="34" t="str">
        <x:v>۹-۲. امنیت فیزیکی و الکترونیکی</x:v>
      </x:c>
      <x:c r="D876" s="34" t="str">
        <x:v>POSSIBLE</x:v>
      </x:c>
      <x:c r="E876" s="34" t="str">
        <x:v>90.0</x:v>
      </x:c>
      <x:c r="F876" s="34" t="str">
        <x:v>MI-1171</x:v>
      </x:c>
      <x:c r="G876" s="39" t="str">
        <x:v>فیزیک</x:v>
      </x:c>
      <x:c r="H876" s="39" t="str">
        <x:v>H11</x:v>
      </x:c>
      <x:c r="I876" s="39" t="str">
        <x:v>DELEGATE/P2</x:v>
      </x:c>
      <x:c r="J876" s="39" t="str">
        <x:v>H11</x:v>
      </x:c>
      <x:c r="K876" s="39" t="str">
        <x:v>تطبیق احتمالی با پایه</x:v>
      </x:c>
      <x:c r="L876" s="39" t="str">
        <x:v>MI-1171</x:v>
      </x:c>
      <x:c r="M876" s="39" t="str">
        <x:v>فیزیک</x:v>
      </x:c>
      <x:c r="N876" s="39" t="str">
        <x:v>1154878548.docx::P1429.1</x:v>
      </x:c>
      <x:c r="O876" s="39"/>
    </x:row>
    <x:row r="877">
      <x:c r="A877" s="34" t="str">
        <x:v>☐</x:v>
      </x:c>
      <x:c r="B877" s="34" t="str">
        <x:v>EX-0849</x:v>
      </x:c>
      <x:c r="C877" s="34" t="str">
        <x:v>سیستمهای حفاظتی خوابگاه</x:v>
      </x:c>
      <x:c r="D877" s="34" t="str">
        <x:v>POSSIBLE</x:v>
      </x:c>
      <x:c r="E877" s="34" t="str">
        <x:v>85.5</x:v>
      </x:c>
      <x:c r="F877" s="34" t="str">
        <x:v>MI-0759</x:v>
      </x:c>
      <x:c r="G877" s="39" t="str">
        <x:v>تهیه کیو آر کد و نصب در راهرو دانشکده ها و کارگاه ها و سلف و خوابگاه ها</x:v>
      </x:c>
      <x:c r="H877" s="39" t="str">
        <x:v>H11</x:v>
      </x:c>
      <x:c r="I877" s="39" t="str">
        <x:v>DELEGATE/P2</x:v>
      </x:c>
      <x:c r="J877" s="39" t="str">
        <x:v>H11</x:v>
      </x:c>
      <x:c r="K877" s="39" t="str">
        <x:v>تطبیق احتمالی با پایه</x:v>
      </x:c>
      <x:c r="L877" s="39" t="str">
        <x:v>MI-0759</x:v>
      </x:c>
      <x:c r="M877" s="39" t="str">
        <x:v>تهیه کیو آر کد و نصب در راهرو دانشکده ها و کارگاه ها و سلف و خوابگاه ها</x:v>
      </x:c>
      <x:c r="N877" s="39" t="str">
        <x:v>1154878548.docx::P1433.1</x:v>
      </x:c>
      <x:c r="O877" s="39"/>
    </x:row>
    <x:row r="878">
      <x:c r="A878" s="34" t="str">
        <x:v>☐</x:v>
      </x:c>
      <x:c r="B878" s="34" t="str">
        <x:v>EX-0850</x:v>
      </x:c>
      <x:c r="C878" s="34" t="str">
        <x:v>۹-۳. تحلیل ریسک و پیشگیری</x:v>
      </x:c>
      <x:c r="D878" s="34" t="str">
        <x:v>POSSIBLE</x:v>
      </x:c>
      <x:c r="E878" s="34" t="str">
        <x:v>85.5</x:v>
      </x:c>
      <x:c r="F878" s="34" t="str">
        <x:v>MI-1501</x:v>
      </x:c>
      <x:c r="G878" s="39" t="str">
        <x:v>مدیریت ریسک: شناسایی ریسک ها، ارزیابی اثرات، تدوین برنامه های مقابله با ریسک ها.</x:v>
      </x:c>
      <x:c r="H878" s="39" t="str">
        <x:v>H1</x:v>
      </x:c>
      <x:c r="I878" s="39" t="str">
        <x:v>P0</x:v>
      </x:c>
      <x:c r="J878" s="39" t="str">
        <x:v>H1</x:v>
      </x:c>
      <x:c r="K878" s="39" t="str">
        <x:v>تطبیق احتمالی با پایه</x:v>
      </x:c>
      <x:c r="L878" s="39" t="str">
        <x:v>MI-1501</x:v>
      </x:c>
      <x:c r="M878" s="39" t="str">
        <x:v>مدیریت ریسک: شناسایی ریسک ها، ارزیابی اثرات، تدوین برنامه های مقابله با ریسک ها.</x:v>
      </x:c>
      <x:c r="N878" s="39" t="str">
        <x:v>1154878548.docx::P1434.1</x:v>
      </x:c>
      <x:c r="O878" s="39"/>
    </x:row>
    <x:row r="879">
      <x:c r="A879" s="34" t="str">
        <x:v>☐</x:v>
      </x:c>
      <x:c r="B879" s="34" t="str">
        <x:v>EX-0851</x:v>
      </x:c>
      <x:c r="C879" s="34" t="str">
        <x:v>پایش خوابگاهها</x:v>
      </x:c>
      <x:c r="D879" s="34" t="str">
        <x:v>POSSIBLE</x:v>
      </x:c>
      <x:c r="E879" s="34" t="str">
        <x:v>85.5</x:v>
      </x:c>
      <x:c r="F879" s="34" t="str">
        <x:v>MI-0372</x:v>
      </x:c>
      <x:c r="G879" s="39" t="str">
        <x:v>هوش مصنوعی و پایش وضعیت درسی افراد و انتخاب واحد</x:v>
      </x:c>
      <x:c r="H879" s="39" t="str">
        <x:v>H7</x:v>
      </x:c>
      <x:c r="I879" s="39" t="str">
        <x:v>BANK</x:v>
      </x:c>
      <x:c r="J879" s="39" t="str">
        <x:v>H7</x:v>
      </x:c>
      <x:c r="K879" s="39" t="str">
        <x:v>تطبیق احتمالی با پایه</x:v>
      </x:c>
      <x:c r="L879" s="39" t="str">
        <x:v>MI-0372</x:v>
      </x:c>
      <x:c r="M879" s="39" t="str">
        <x:v>هوش مصنوعی و پایش وضعیت درسی افراد و انتخاب واحد</x:v>
      </x:c>
      <x:c r="N879" s="39" t="str">
        <x:v>1154878548.docx::P1435.1</x:v>
      </x:c>
      <x:c r="O879" s="39"/>
    </x:row>
    <x:row r="880">
      <x:c r="A880" s="34" t="str">
        <x:v>☐</x:v>
      </x:c>
      <x:c r="B880" s="34" t="str">
        <x:v>EX-0852</x:v>
      </x:c>
      <x:c r="C880" s="34" t="str">
        <x:v>پایش دانشکدهها</x:v>
      </x:c>
      <x:c r="D880" s="34" t="str">
        <x:v>POSSIBLE</x:v>
      </x:c>
      <x:c r="E880" s="34" t="str">
        <x:v>90.0</x:v>
      </x:c>
      <x:c r="F880" s="34" t="str">
        <x:v>MI-2622</x:v>
      </x:c>
      <x:c r="G880" s="39" t="str">
        <x:v>دانش</x:v>
      </x:c>
      <x:c r="H880" s="39" t="str">
        <x:v>H20</x:v>
      </x:c>
      <x:c r="I880" s="39" t="str">
        <x:v>P3/CLARIFY</x:v>
      </x:c>
      <x:c r="J880" s="39" t="str">
        <x:v>H20</x:v>
      </x:c>
      <x:c r="K880" s="39" t="str">
        <x:v>تطبیق احتمالی با پایه</x:v>
      </x:c>
      <x:c r="L880" s="39" t="str">
        <x:v>MI-2622</x:v>
      </x:c>
      <x:c r="M880" s="39" t="str">
        <x:v>دانش</x:v>
      </x:c>
      <x:c r="N880" s="39" t="str">
        <x:v>1154878548.docx::P1436.1</x:v>
      </x:c>
      <x:c r="O880" s="39"/>
    </x:row>
    <x:row r="881">
      <x:c r="A881" s="34" t="str">
        <x:v>☐</x:v>
      </x:c>
      <x:c r="B881" s="34" t="str">
        <x:v>EX-0853</x:v>
      </x:c>
      <x:c r="C881" s="34" t="str">
        <x:v>۱۰. بایگانی دانش / کتابها / مطالعات (فوقدستهای)</x:v>
      </x:c>
      <x:c r="D881" s="34" t="str">
        <x:v>POSSIBLE</x:v>
      </x:c>
      <x:c r="E881" s="34" t="str">
        <x:v>85.5</x:v>
      </x:c>
      <x:c r="F881" s="34" t="str">
        <x:v>MI-1575</x:v>
      </x:c>
      <x:c r="G881" s="39" t="str">
        <x:v>همچنین اکادمی مهارت های سخت همچون نرم افزار های حوزه های خاص باید شکل بگیره که بشه دانش نرم افزاری رو متناسب با اونچه تیم نیاز داره یا فرصت های شغلی موجود هستند برای اون رشته رو نمایان کنه و اکادمی به سمت تولید اون محتوا بره</x:v>
      </x:c>
      <x:c r="H881" s="39" t="str">
        <x:v>H3</x:v>
      </x:c>
      <x:c r="I881" s="39" t="str">
        <x:v>P3/CLARIFY</x:v>
      </x:c>
      <x:c r="J881" s="39" t="str">
        <x:v>H3</x:v>
      </x:c>
      <x:c r="K881" s="39" t="str">
        <x:v>تطبیق احتمالی با پایه</x:v>
      </x:c>
      <x:c r="L881" s="39" t="str">
        <x:v>MI-1575</x:v>
      </x:c>
      <x:c r="M881" s="39" t="str">
        <x:v>همچنین اکادمی مهارت های سخت همچون نرم افزار های حوزه های خاص باید شکل بگیره که بشه دانش نرم افزاری رو متناسب با اونچه تیم نیاز داره یا فرصت های شغلی موجود هستند برای اون رشته رو نمایان کنه و اکادمی به سمت تولید اون محتوا بره</x:v>
      </x:c>
      <x:c r="N881" s="39" t="str">
        <x:v>1154878548.docx::P1438.1</x:v>
      </x:c>
      <x:c r="O881" s="39"/>
    </x:row>
    <x:row r="882">
      <x:c r="A882" s="34" t="str">
        <x:v>☐</x:v>
      </x:c>
      <x:c r="B882" s="34" t="str">
        <x:v>EX-0854</x:v>
      </x:c>
      <x:c r="C882" s="34" t="str">
        <x:v>۱۰-۱. نویسندگان و پروژههای تحقیقی</x:v>
      </x:c>
      <x:c r="D882" s="34" t="str">
        <x:v>POSSIBLE</x:v>
      </x:c>
      <x:c r="E882" s="34" t="str">
        <x:v>85.5</x:v>
      </x:c>
      <x:c r="F882" s="34" t="str">
        <x:v>MI-1513</x:v>
      </x:c>
      <x:c r="G882" s="39" t="str">
        <x:v>تولید و کارآفرینی: توانایی تولید محصول و خدمات و ایجاد شغل.</x:v>
      </x:c>
      <x:c r="H882" s="39" t="str">
        <x:v>H1</x:v>
      </x:c>
      <x:c r="I882" s="39" t="str">
        <x:v>P0</x:v>
      </x:c>
      <x:c r="J882" s="39" t="str">
        <x:v>H1</x:v>
      </x:c>
      <x:c r="K882" s="39" t="str">
        <x:v>تطبیق احتمالی با پایه</x:v>
      </x:c>
      <x:c r="L882" s="39" t="str">
        <x:v>MI-1513</x:v>
      </x:c>
      <x:c r="M882" s="39" t="str">
        <x:v>تولید و کارآفرینی: توانایی تولید محصول و خدمات و ایجاد شغل.</x:v>
      </x:c>
      <x:c r="N882" s="39" t="str">
        <x:v>1154878548.docx::P1439.1</x:v>
      </x:c>
      <x:c r="O882" s="39"/>
    </x:row>
    <x:row r="883">
      <x:c r="A883" s="34" t="str">
        <x:v>☐</x:v>
      </x:c>
      <x:c r="B883" s="34" t="str">
        <x:v>EX-0855</x:v>
      </x:c>
      <x:c r="C883" s="34" t="str">
        <x:v>محمدرضا رجبی و مقالات</x:v>
      </x:c>
      <x:c r="D883" s="34" t="str">
        <x:v>POSSIBLE</x:v>
      </x:c>
      <x:c r="E883" s="34" t="str">
        <x:v>92.7</x:v>
      </x:c>
      <x:c r="F883" s="34" t="str">
        <x:v>MI-0540</x:v>
      </x:c>
      <x:c r="G883" s="39" t="str">
        <x:v>محمدرضا رجبی و مقاله</x:v>
      </x:c>
      <x:c r="H883" s="39" t="str">
        <x:v>H18</x:v>
      </x:c>
      <x:c r="I883" s="39" t="str">
        <x:v>BANK</x:v>
      </x:c>
      <x:c r="J883" s="39" t="str">
        <x:v>H18</x:v>
      </x:c>
      <x:c r="K883" s="39" t="str">
        <x:v>تطبیق احتمالی با پایه</x:v>
      </x:c>
      <x:c r="L883" s="39" t="str">
        <x:v>MI-0540</x:v>
      </x:c>
      <x:c r="M883" s="39" t="str">
        <x:v>محمدرضا رجبی و مقاله</x:v>
      </x:c>
      <x:c r="N883" s="39" t="str">
        <x:v>1154878548.docx::P1440.1</x:v>
      </x:c>
      <x:c r="O883" s="39"/>
    </x:row>
    <x:row r="884">
      <x:c r="A884" s="34" t="str">
        <x:v>☐</x:v>
      </x:c>
      <x:c r="B884" s="34" t="str">
        <x:v>EX-0856</x:v>
      </x:c>
      <x:c r="C884" s="34" t="str">
        <x:v>۱۰-۲. منابع علمی و مقالات</x:v>
      </x:c>
      <x:c r="D884" s="34" t="str">
        <x:v>POSSIBLE</x:v>
      </x:c>
      <x:c r="E884" s="34" t="str">
        <x:v>90.0</x:v>
      </x:c>
      <x:c r="F884" s="34" t="str">
        <x:v>MI-2797</x:v>
      </x:c>
      <x:c r="G884" s="39" t="str">
        <x:v>منابع:</x:v>
      </x:c>
      <x:c r="H884" s="39" t="str">
        <x:v>H20</x:v>
      </x:c>
      <x:c r="I884" s="39" t="str">
        <x:v>P3/CLARIFY</x:v>
      </x:c>
      <x:c r="J884" s="39" t="str">
        <x:v>H20</x:v>
      </x:c>
      <x:c r="K884" s="39" t="str">
        <x:v>تطبیق احتمالی با پایه</x:v>
      </x:c>
      <x:c r="L884" s="39" t="str">
        <x:v>MI-2797</x:v>
      </x:c>
      <x:c r="M884" s="39" t="str">
        <x:v>منابع:</x:v>
      </x:c>
      <x:c r="N884" s="39" t="str">
        <x:v>1154878548.docx::P1442.1</x:v>
      </x:c>
      <x:c r="O884" s="39"/>
    </x:row>
    <x:row r="885">
      <x:c r="A885" s="34" t="str">
        <x:v>☐</x:v>
      </x:c>
      <x:c r="B885" s="34" t="str">
        <x:v>EX-0857</x:v>
      </x:c>
      <x:c r="C885" s="34" t="str">
        <x:v>Civilica</x:v>
      </x:c>
      <x:c r="D885" s="34" t="str">
        <x:v>POSSIBLE</x:v>
      </x:c>
      <x:c r="E885" s="34" t="str">
        <x:v>87.5</x:v>
      </x:c>
      <x:c r="F885" s="34" t="str">
        <x:v>MI-0545</x:v>
      </x:c>
      <x:c r="G885" s="39" t="str">
        <x:v>cibilica</x:v>
      </x:c>
      <x:c r="H885" s="39" t="str">
        <x:v>H18</x:v>
      </x:c>
      <x:c r="I885" s="39" t="str">
        <x:v>BANK</x:v>
      </x:c>
      <x:c r="J885" s="39" t="str">
        <x:v>H18</x:v>
      </x:c>
      <x:c r="K885" s="39" t="str">
        <x:v>تطبیق احتمالی با پایه</x:v>
      </x:c>
      <x:c r="L885" s="39" t="str">
        <x:v>MI-0545</x:v>
      </x:c>
      <x:c r="M885" s="39" t="str">
        <x:v>cibilica</x:v>
      </x:c>
      <x:c r="N885" s="39" t="str">
        <x:v>1154878548.docx::P1447.1 | 1154878548.docx::P4134.1 | 1154878548.docx::P4750.1</x:v>
      </x:c>
      <x:c r="O885" s="39"/>
    </x:row>
    <x:row r="886">
      <x:c r="A886" s="34" t="str">
        <x:v>☐</x:v>
      </x:c>
      <x:c r="B886" s="34" t="str">
        <x:v>EX-0858</x:v>
      </x:c>
      <x:c r="C886" s="34" t="str">
        <x:v>Google Scholar (دکپلیکیت)</x:v>
      </x:c>
      <x:c r="D886" s="34" t="str">
        <x:v>POSSIBLE</x:v>
      </x:c>
      <x:c r="E886" s="34" t="str">
        <x:v>90.0</x:v>
      </x:c>
      <x:c r="F886" s="34" t="str">
        <x:v>MI-0543</x:v>
      </x:c>
      <x:c r="G886" s="39" t="str">
        <x:v>google scholar</x:v>
      </x:c>
      <x:c r="H886" s="39" t="str">
        <x:v>H9</x:v>
      </x:c>
      <x:c r="I886" s="39" t="str">
        <x:v>BANK</x:v>
      </x:c>
      <x:c r="J886" s="39" t="str">
        <x:v>H9</x:v>
      </x:c>
      <x:c r="K886" s="39" t="str">
        <x:v>تطبیق احتمالی با پایه</x:v>
      </x:c>
      <x:c r="L886" s="39" t="str">
        <x:v>MI-0543</x:v>
      </x:c>
      <x:c r="M886" s="39" t="str">
        <x:v>google scholar</x:v>
      </x:c>
      <x:c r="N886" s="39" t="str">
        <x:v>1154878548.docx::P1448.1</x:v>
      </x:c>
      <x:c r="O886" s="39"/>
    </x:row>
    <x:row r="887">
      <x:c r="A887" s="34" t="str">
        <x:v>☐</x:v>
      </x:c>
      <x:c r="B887" s="34" t="str">
        <x:v>EX-0859</x:v>
      </x:c>
      <x:c r="C887" s="34" t="str">
        <x:v>Site (جستجو محدود)</x:v>
      </x:c>
      <x:c r="D887" s="34" t="str">
        <x:v>POSSIBLE</x:v>
      </x:c>
      <x:c r="E887" s="34" t="str">
        <x:v>90.0</x:v>
      </x:c>
      <x:c r="F887" s="34" t="str">
        <x:v>MI-0547</x:v>
      </x:c>
      <x:c r="G887" s="39" t="str">
        <x:v>site</x:v>
      </x:c>
      <x:c r="H887" s="39" t="str">
        <x:v>H18</x:v>
      </x:c>
      <x:c r="I887" s="39" t="str">
        <x:v>BANK</x:v>
      </x:c>
      <x:c r="J887" s="39" t="str">
        <x:v>H18</x:v>
      </x:c>
      <x:c r="K887" s="39" t="str">
        <x:v>تطبیق احتمالی با پایه</x:v>
      </x:c>
      <x:c r="L887" s="39" t="str">
        <x:v>MI-0547</x:v>
      </x:c>
      <x:c r="M887" s="39" t="str">
        <x:v>site</x:v>
      </x:c>
      <x:c r="N887" s="39" t="str">
        <x:v>1154878548.docx::P1449.1</x:v>
      </x:c>
      <x:c r="O887" s="39"/>
    </x:row>
    <x:row r="888">
      <x:c r="A888" s="34" t="str">
        <x:v>☐</x:v>
      </x:c>
      <x:c r="B888" s="34" t="str">
        <x:v>EX-0860</x:v>
      </x:c>
      <x:c r="C888" s="34" t="str">
        <x:v>۱۰-۳. کتب تاریخی و سیاسی</x:v>
      </x:c>
      <x:c r="D888" s="34" t="str">
        <x:v>POSSIBLE</x:v>
      </x:c>
      <x:c r="E888" s="34" t="str">
        <x:v>90.0</x:v>
      </x:c>
      <x:c r="F888" s="34" t="str">
        <x:v>MI-1417</x:v>
      </x:c>
      <x:c r="G888" s="39" t="str">
        <x:v>تاریخی</x:v>
      </x:c>
      <x:c r="H888" s="39" t="str">
        <x:v>H15</x:v>
      </x:c>
      <x:c r="I888" s="39" t="str">
        <x:v>BANK</x:v>
      </x:c>
      <x:c r="J888" s="39" t="str">
        <x:v>H15</x:v>
      </x:c>
      <x:c r="K888" s="39" t="str">
        <x:v>تطبیق احتمالی با پایه</x:v>
      </x:c>
      <x:c r="L888" s="39" t="str">
        <x:v>MI-1417</x:v>
      </x:c>
      <x:c r="M888" s="39" t="str">
        <x:v>تاریخی</x:v>
      </x:c>
      <x:c r="N888" s="39" t="str">
        <x:v>1154878548.docx::P1452.1</x:v>
      </x:c>
      <x:c r="O888" s="39"/>
    </x:row>
    <x:row r="889">
      <x:c r="A889" s="34" t="str">
        <x:v>☐</x:v>
      </x:c>
      <x:c r="B889" s="34" t="str">
        <x:v>EX-0861</x:v>
      </x:c>
      <x:c r="C889" s="34" t="str">
        <x:v>سیاسی و اقتصادی</x:v>
      </x:c>
      <x:c r="D889" s="34" t="str">
        <x:v>POSSIBLE</x:v>
      </x:c>
      <x:c r="E889" s="34" t="str">
        <x:v>90.0</x:v>
      </x:c>
      <x:c r="F889" s="34" t="str">
        <x:v>MI-0257</x:v>
      </x:c>
      <x:c r="G889" s="39" t="str">
        <x:v>جهاد تبیین سیاسی و اقتصادی و فرهنگی</x:v>
      </x:c>
      <x:c r="H889" s="39" t="str">
        <x:v>H16</x:v>
      </x:c>
      <x:c r="I889" s="39" t="str">
        <x:v>P3/CLARIFY</x:v>
      </x:c>
      <x:c r="J889" s="39" t="str">
        <x:v>H16</x:v>
      </x:c>
      <x:c r="K889" s="39" t="str">
        <x:v>تطبیق احتمالی با پایه</x:v>
      </x:c>
      <x:c r="L889" s="39" t="str">
        <x:v>MI-0257</x:v>
      </x:c>
      <x:c r="M889" s="39" t="str">
        <x:v>جهاد تبیین سیاسی و اقتصادی و فرهنگی</x:v>
      </x:c>
      <x:c r="N889" s="39" t="str">
        <x:v>1154878548.docx::P1453.1</x:v>
      </x:c>
      <x:c r="O889" s="39"/>
    </x:row>
    <x:row r="890">
      <x:c r="A890" s="34" t="str">
        <x:v>☐</x:v>
      </x:c>
      <x:c r="B890" s="34" t="str">
        <x:v>EX-0862</x:v>
      </x:c>
      <x:c r="C890" s="34" t="str">
        <x:v>روانشناسی و توسعه شخصی</x:v>
      </x:c>
      <x:c r="D890" s="34" t="str">
        <x:v>POSSIBLE</x:v>
      </x:c>
      <x:c r="E890" s="34" t="str">
        <x:v>85.5</x:v>
      </x:c>
      <x:c r="F890" s="34" t="str">
        <x:v>MI-1513</x:v>
      </x:c>
      <x:c r="G890" s="39" t="str">
        <x:v>تولید و کارآفرینی: توانایی تولید محصول و خدمات و ایجاد شغل.</x:v>
      </x:c>
      <x:c r="H890" s="39" t="str">
        <x:v>H1</x:v>
      </x:c>
      <x:c r="I890" s="39" t="str">
        <x:v>P0</x:v>
      </x:c>
      <x:c r="J890" s="39" t="str">
        <x:v>H1</x:v>
      </x:c>
      <x:c r="K890" s="39" t="str">
        <x:v>تطبیق احتمالی با پایه</x:v>
      </x:c>
      <x:c r="L890" s="39" t="str">
        <x:v>MI-1513</x:v>
      </x:c>
      <x:c r="M890" s="39" t="str">
        <x:v>تولید و کارآفرینی: توانایی تولید محصول و خدمات و ایجاد شغل.</x:v>
      </x:c>
      <x:c r="N890" s="39" t="str">
        <x:v>1154878548.docx::P1457.1</x:v>
      </x:c>
      <x:c r="O890" s="39"/>
    </x:row>
    <x:row r="891">
      <x:c r="A891" s="34" t="str">
        <x:v>☐</x:v>
      </x:c>
      <x:c r="B891" s="34" t="str">
        <x:v>EX-0863</x:v>
      </x:c>
      <x:c r="C891" s="34" t="str">
        <x:v>دیل کارنگی - public speaking and influencing</x:v>
      </x:c>
      <x:c r="D891" s="34" t="str">
        <x:v>POSSIBLE</x:v>
      </x:c>
      <x:c r="E891" s="34" t="str">
        <x:v>85.5</x:v>
      </x:c>
      <x:c r="F891" s="34" t="str">
        <x:v>MI-0552</x:v>
      </x:c>
      <x:c r="G891" s="39" t="str">
        <x:v>دیل کارنگی و کتاب public speaking an influencing men in bussiness</x:v>
      </x:c>
      <x:c r="H891" s="39" t="str">
        <x:v>H18</x:v>
      </x:c>
      <x:c r="I891" s="39" t="str">
        <x:v>BANK</x:v>
      </x:c>
      <x:c r="J891" s="39" t="str">
        <x:v>H18</x:v>
      </x:c>
      <x:c r="K891" s="39" t="str">
        <x:v>تطبیق احتمالی با پایه</x:v>
      </x:c>
      <x:c r="L891" s="39" t="str">
        <x:v>MI-0552</x:v>
      </x:c>
      <x:c r="M891" s="39" t="str">
        <x:v>دیل کارنگی و کتاب public speaking an influencing men in bussiness</x:v>
      </x:c>
      <x:c r="N891" s="39" t="str">
        <x:v>1154878548.docx::P1458.1</x:v>
      </x:c>
      <x:c r="O891" s="39"/>
    </x:row>
    <x:row r="892">
      <x:c r="A892" s="34" t="str">
        <x:v>☐</x:v>
      </x:c>
      <x:c r="B892" s="34" t="str">
        <x:v>EX-0864</x:v>
      </x:c>
      <x:c r="C892" s="34" t="str">
        <x:v>men in business</x:v>
      </x:c>
      <x:c r="D892" s="34" t="str">
        <x:v>POSSIBLE</x:v>
      </x:c>
      <x:c r="E892" s="34" t="str">
        <x:v>85.5</x:v>
      </x:c>
      <x:c r="F892" s="34" t="str">
        <x:v>MI-1627</x:v>
      </x:c>
      <x:c r="G892" s="39" t="str">
        <x:v>Entrepreneur in Residence + Investment Attraction</x:v>
      </x:c>
      <x:c r="H892" s="39" t="str">
        <x:v>H6</x:v>
      </x:c>
      <x:c r="I892" s="39" t="str">
        <x:v>P3/CLARIFY</x:v>
      </x:c>
      <x:c r="J892" s="39" t="str">
        <x:v>H6</x:v>
      </x:c>
      <x:c r="K892" s="39" t="str">
        <x:v>تطبیق احتمالی با پایه</x:v>
      </x:c>
      <x:c r="L892" s="39" t="str">
        <x:v>MI-1627</x:v>
      </x:c>
      <x:c r="M892" s="39" t="str">
        <x:v>Entrepreneur in Residence + Investment Attraction</x:v>
      </x:c>
      <x:c r="N892" s="39" t="str">
        <x:v>1154878548.docx::P1459.1</x:v>
      </x:c>
      <x:c r="O892" s="39"/>
    </x:row>
    <x:row r="893">
      <x:c r="A893" s="34" t="str">
        <x:v>☐</x:v>
      </x:c>
      <x:c r="B893" s="34" t="str">
        <x:v>EX-0865</x:v>
      </x:c>
      <x:c r="C893" s="34" t="str">
        <x:v>ماجراهای فکر آوینی (بابک نوری)</x:v>
      </x:c>
      <x:c r="D893" s="34" t="str">
        <x:v>POSSIBLE</x:v>
      </x:c>
      <x:c r="E893" s="34" t="str">
        <x:v>90.0</x:v>
      </x:c>
      <x:c r="F893" s="34" t="str">
        <x:v>MI-0554</x:v>
      </x:c>
      <x:c r="G893" s="39" t="str">
        <x:v>ماجراهای فکر آوینی</x:v>
      </x:c>
      <x:c r="H893" s="39" t="str">
        <x:v>H18</x:v>
      </x:c>
      <x:c r="I893" s="39" t="str">
        <x:v>BANK</x:v>
      </x:c>
      <x:c r="J893" s="39" t="str">
        <x:v>H18</x:v>
      </x:c>
      <x:c r="K893" s="39" t="str">
        <x:v>تطبیق احتمالی با پایه</x:v>
      </x:c>
      <x:c r="L893" s="39" t="str">
        <x:v>MI-0554</x:v>
      </x:c>
      <x:c r="M893" s="39" t="str">
        <x:v>ماجراهای فکر آوینی</x:v>
      </x:c>
      <x:c r="N893" s="39" t="str">
        <x:v>1154878548.docx::P1461.1</x:v>
      </x:c>
      <x:c r="O893" s="39"/>
    </x:row>
    <x:row r="894">
      <x:c r="A894" s="34" t="str">
        <x:v>☐</x:v>
      </x:c>
      <x:c r="B894" s="34" t="str">
        <x:v>EX-0866</x:v>
      </x:c>
      <x:c r="C894" s="34" t="str">
        <x:v>فلسفه و معنویت</x:v>
      </x:c>
      <x:c r="D894" s="34" t="str">
        <x:v>POSSIBLE</x:v>
      </x:c>
      <x:c r="E894" s="34" t="str">
        <x:v>85.5</x:v>
      </x:c>
      <x:c r="F894" s="34" t="str">
        <x:v>MI-1513</x:v>
      </x:c>
      <x:c r="G894" s="39" t="str">
        <x:v>تولید و کارآفرینی: توانایی تولید محصول و خدمات و ایجاد شغل.</x:v>
      </x:c>
      <x:c r="H894" s="39" t="str">
        <x:v>H1</x:v>
      </x:c>
      <x:c r="I894" s="39" t="str">
        <x:v>P0</x:v>
      </x:c>
      <x:c r="J894" s="39" t="str">
        <x:v>H1</x:v>
      </x:c>
      <x:c r="K894" s="39" t="str">
        <x:v>تطبیق احتمالی با پایه</x:v>
      </x:c>
      <x:c r="L894" s="39" t="str">
        <x:v>MI-1513</x:v>
      </x:c>
      <x:c r="M894" s="39" t="str">
        <x:v>تولید و کارآفرینی: توانایی تولید محصول و خدمات و ایجاد شغل.</x:v>
      </x:c>
      <x:c r="N894" s="39" t="str">
        <x:v>1154878548.docx::P1463.1</x:v>
      </x:c>
      <x:c r="O894" s="39"/>
    </x:row>
    <x:row r="895">
      <x:c r="A895" s="34" t="str">
        <x:v>☐</x:v>
      </x:c>
      <x:c r="B895" s="34" t="str">
        <x:v>EX-0867</x:v>
      </x:c>
      <x:c r="C895" s="34" t="str">
        <x:v>جاسوسی و سیاسی</x:v>
      </x:c>
      <x:c r="D895" s="34" t="str">
        <x:v>POSSIBLE</x:v>
      </x:c>
      <x:c r="E895" s="34" t="str">
        <x:v>85.5</x:v>
      </x:c>
      <x:c r="F895" s="34" t="str">
        <x:v>MI-1513</x:v>
      </x:c>
      <x:c r="G895" s="39" t="str">
        <x:v>تولید و کارآفرینی: توانایی تولید محصول و خدمات و ایجاد شغل.</x:v>
      </x:c>
      <x:c r="H895" s="39" t="str">
        <x:v>H1</x:v>
      </x:c>
      <x:c r="I895" s="39" t="str">
        <x:v>P0</x:v>
      </x:c>
      <x:c r="J895" s="39" t="str">
        <x:v>H1</x:v>
      </x:c>
      <x:c r="K895" s="39" t="str">
        <x:v>تطبیق احتمالی با پایه</x:v>
      </x:c>
      <x:c r="L895" s="39" t="str">
        <x:v>MI-1513</x:v>
      </x:c>
      <x:c r="M895" s="39" t="str">
        <x:v>تولید و کارآفرینی: توانایی تولید محصول و خدمات و ایجاد شغل.</x:v>
      </x:c>
      <x:c r="N895" s="39" t="str">
        <x:v>1154878548.docx::P1469.1</x:v>
      </x:c>
      <x:c r="O895" s="39"/>
    </x:row>
    <x:row r="896">
      <x:c r="A896" s="34" t="str">
        <x:v>☐</x:v>
      </x:c>
      <x:c r="B896" s="34" t="str">
        <x:v>EX-0868</x:v>
      </x:c>
      <x:c r="C896" s="34" t="str">
        <x:v>کف خیابان ۱ و ۲</x:v>
      </x:c>
      <x:c r="D896" s="34" t="str">
        <x:v>POSSIBLE</x:v>
      </x:c>
      <x:c r="E896" s="34" t="str">
        <x:v>85.5</x:v>
      </x:c>
      <x:c r="F896" s="34" t="str">
        <x:v>MI-1513</x:v>
      </x:c>
      <x:c r="G896" s="39" t="str">
        <x:v>تولید و کارآفرینی: توانایی تولید محصول و خدمات و ایجاد شغل.</x:v>
      </x:c>
      <x:c r="H896" s="39" t="str">
        <x:v>H1</x:v>
      </x:c>
      <x:c r="I896" s="39" t="str">
        <x:v>P0</x:v>
      </x:c>
      <x:c r="J896" s="39" t="str">
        <x:v>H1</x:v>
      </x:c>
      <x:c r="K896" s="39" t="str">
        <x:v>تطبیق احتمالی با پایه</x:v>
      </x:c>
      <x:c r="L896" s="39" t="str">
        <x:v>MI-1513</x:v>
      </x:c>
      <x:c r="M896" s="39" t="str">
        <x:v>تولید و کارآفرینی: توانایی تولید محصول و خدمات و ایجاد شغل.</x:v>
      </x:c>
      <x:c r="N896" s="39" t="str">
        <x:v>1154878548.docx::P1471.1</x:v>
      </x:c>
      <x:c r="O896" s="39"/>
    </x:row>
    <x:row r="897">
      <x:c r="A897" s="34" t="str">
        <x:v>☐</x:v>
      </x:c>
      <x:c r="B897" s="34" t="str">
        <x:v>EX-0869</x:v>
      </x:c>
      <x:c r="C897" s="34" t="str">
        <x:v>۱۰-۴. مقالات و منابع متنوع</x:v>
      </x:c>
      <x:c r="D897" s="34" t="str">
        <x:v>POSSIBLE</x:v>
      </x:c>
      <x:c r="E897" s="34" t="str">
        <x:v>90.0</x:v>
      </x:c>
      <x:c r="F897" s="34" t="str">
        <x:v>MI-2797</x:v>
      </x:c>
      <x:c r="G897" s="39" t="str">
        <x:v>منابع:</x:v>
      </x:c>
      <x:c r="H897" s="39" t="str">
        <x:v>H20</x:v>
      </x:c>
      <x:c r="I897" s="39" t="str">
        <x:v>P3/CLARIFY</x:v>
      </x:c>
      <x:c r="J897" s="39" t="str">
        <x:v>H20</x:v>
      </x:c>
      <x:c r="K897" s="39" t="str">
        <x:v>تطبیق احتمالی با پایه</x:v>
      </x:c>
      <x:c r="L897" s="39" t="str">
        <x:v>MI-2797</x:v>
      </x:c>
      <x:c r="M897" s="39" t="str">
        <x:v>منابع:</x:v>
      </x:c>
      <x:c r="N897" s="39" t="str">
        <x:v>1154878548.docx::P1474.1</x:v>
      </x:c>
      <x:c r="O897" s="39"/>
    </x:row>
    <x:row r="898">
      <x:c r="A898" s="34" t="str">
        <x:v>☐</x:v>
      </x:c>
      <x:c r="B898" s="34" t="str">
        <x:v>EX-0870</x:v>
      </x:c>
      <x:c r="C898" s="34" t="str">
        <x:v>۱۰-۵. متون و منابع آنلاین</x:v>
      </x:c>
      <x:c r="D898" s="34" t="str">
        <x:v>POSSIBLE</x:v>
      </x:c>
      <x:c r="E898" s="34" t="str">
        <x:v>90.0</x:v>
      </x:c>
      <x:c r="F898" s="34" t="str">
        <x:v>MI-2797</x:v>
      </x:c>
      <x:c r="G898" s="39" t="str">
        <x:v>منابع:</x:v>
      </x:c>
      <x:c r="H898" s="39" t="str">
        <x:v>H20</x:v>
      </x:c>
      <x:c r="I898" s="39" t="str">
        <x:v>P3/CLARIFY</x:v>
      </x:c>
      <x:c r="J898" s="39" t="str">
        <x:v>H20</x:v>
      </x:c>
      <x:c r="K898" s="39" t="str">
        <x:v>تطبیق احتمالی با پایه</x:v>
      </x:c>
      <x:c r="L898" s="39" t="str">
        <x:v>MI-2797</x:v>
      </x:c>
      <x:c r="M898" s="39" t="str">
        <x:v>منابع:</x:v>
      </x:c>
      <x:c r="N898" s="39" t="str">
        <x:v>1154878548.docx::P1478.1</x:v>
      </x:c>
      <x:c r="O898" s="39"/>
    </x:row>
    <x:row r="899">
      <x:c r="A899" s="34" t="str">
        <x:v>☐</x:v>
      </x:c>
      <x:c r="B899" s="34" t="str">
        <x:v>EX-0871</x:v>
      </x:c>
      <x:c r="C899" s="34" t="str">
        <x:v>فایلهای دیجیتال و کتب الکترونیکی</x:v>
      </x:c>
      <x:c r="D899" s="34" t="str">
        <x:v>POSSIBLE</x:v>
      </x:c>
      <x:c r="E899" s="34" t="str">
        <x:v>85.5</x:v>
      </x:c>
      <x:c r="F899" s="34" t="str">
        <x:v>MI-1513</x:v>
      </x:c>
      <x:c r="G899" s="39" t="str">
        <x:v>تولید و کارآفرینی: توانایی تولید محصول و خدمات و ایجاد شغل.</x:v>
      </x:c>
      <x:c r="H899" s="39" t="str">
        <x:v>H1</x:v>
      </x:c>
      <x:c r="I899" s="39" t="str">
        <x:v>P0</x:v>
      </x:c>
      <x:c r="J899" s="39" t="str">
        <x:v>H1</x:v>
      </x:c>
      <x:c r="K899" s="39" t="str">
        <x:v>تطبیق احتمالی با پایه</x:v>
      </x:c>
      <x:c r="L899" s="39" t="str">
        <x:v>MI-1513</x:v>
      </x:c>
      <x:c r="M899" s="39" t="str">
        <x:v>تولید و کارآفرینی: توانایی تولید محصول و خدمات و ایجاد شغل.</x:v>
      </x:c>
      <x:c r="N899" s="39" t="str">
        <x:v>1154878548.docx::P1480.1</x:v>
      </x:c>
      <x:c r="O899" s="39"/>
    </x:row>
    <x:row r="900">
      <x:c r="A900" s="34" t="str">
        <x:v>☐</x:v>
      </x:c>
      <x:c r="B900" s="34" t="str">
        <x:v>EX-0872</x:v>
      </x:c>
      <x:c r="C900" s="34" t="str">
        <x:v>۱۰-۶. سایر منابع و ابزارها</x:v>
      </x:c>
      <x:c r="D900" s="34" t="str">
        <x:v>POSSIBLE</x:v>
      </x:c>
      <x:c r="E900" s="34" t="str">
        <x:v>90.0</x:v>
      </x:c>
      <x:c r="F900" s="34" t="str">
        <x:v>MI-2797</x:v>
      </x:c>
      <x:c r="G900" s="39" t="str">
        <x:v>منابع:</x:v>
      </x:c>
      <x:c r="H900" s="39" t="str">
        <x:v>H20</x:v>
      </x:c>
      <x:c r="I900" s="39" t="str">
        <x:v>P3/CLARIFY</x:v>
      </x:c>
      <x:c r="J900" s="39" t="str">
        <x:v>H20</x:v>
      </x:c>
      <x:c r="K900" s="39" t="str">
        <x:v>تطبیق احتمالی با پایه</x:v>
      </x:c>
      <x:c r="L900" s="39" t="str">
        <x:v>MI-2797</x:v>
      </x:c>
      <x:c r="M900" s="39" t="str">
        <x:v>منابع:</x:v>
      </x:c>
      <x:c r="N900" s="39" t="str">
        <x:v>1154878548.docx::P1481.1</x:v>
      </x:c>
      <x:c r="O900" s="39"/>
    </x:row>
    <x:row r="901">
      <x:c r="A901" s="34" t="str">
        <x:v>☐</x:v>
      </x:c>
      <x:c r="B901" s="34" t="str">
        <x:v>EX-0873</x:v>
      </x:c>
      <x:c r="C901" s="34" t="str">
        <x:v>نشریات متنوع</x:v>
      </x:c>
      <x:c r="D901" s="34" t="str">
        <x:v>UNMAPPED</x:v>
      </x:c>
      <x:c r="E901" s="34" t="str">
        <x:v>80.0</x:v>
      </x:c>
      <x:c r="F901" s="34" t="str">
        <x:v>MI-0639</x:v>
      </x:c>
      <x:c r="G901" s="39" t="str">
        <x:v>- نشریه</x:v>
      </x:c>
      <x:c r="H901" s="39" t="str">
        <x:v>H11</x:v>
      </x:c>
      <x:c r="I901" s="39" t="str">
        <x:v>DELEGATE/P2</x:v>
      </x:c>
      <x:c r="J901" s="39" t="str">
        <x:v>H23</x:v>
      </x:c>
      <x:c r="K901" s="39" t="str">
        <x:v>نیازمند پالایش؛ حذف نشده</x:v>
      </x:c>
      <x:c r="L901" s="39"/>
      <x:c r="M901" s="39"/>
      <x:c r="N901" s="39" t="str">
        <x:v>1154878548.docx::P1483.1</x:v>
      </x:c>
      <x:c r="O901" s="39"/>
    </x:row>
    <x:row r="902">
      <x:c r="A902" s="34" t="str">
        <x:v>☐</x:v>
      </x:c>
      <x:c r="B902" s="34" t="str">
        <x:v>EX-0874</x:v>
      </x:c>
      <x:c r="C902" s="34" t="str">
        <x:v>وبسایتها و پلتفرمهای جستجو</x:v>
      </x:c>
      <x:c r="D902" s="34" t="str">
        <x:v>POSSIBLE</x:v>
      </x:c>
      <x:c r="E902" s="34" t="str">
        <x:v>85.5</x:v>
      </x:c>
      <x:c r="F902" s="34" t="str">
        <x:v>MI-1513</x:v>
      </x:c>
      <x:c r="G902" s="39" t="str">
        <x:v>تولید و کارآفرینی: توانایی تولید محصول و خدمات و ایجاد شغل.</x:v>
      </x:c>
      <x:c r="H902" s="39" t="str">
        <x:v>H1</x:v>
      </x:c>
      <x:c r="I902" s="39" t="str">
        <x:v>P0</x:v>
      </x:c>
      <x:c r="J902" s="39" t="str">
        <x:v>H1</x:v>
      </x:c>
      <x:c r="K902" s="39" t="str">
        <x:v>تطبیق احتمالی با پایه</x:v>
      </x:c>
      <x:c r="L902" s="39" t="str">
        <x:v>MI-1513</x:v>
      </x:c>
      <x:c r="M902" s="39" t="str">
        <x:v>تولید و کارآفرینی: توانایی تولید محصول و خدمات و ایجاد شغل.</x:v>
      </x:c>
      <x:c r="N902" s="39" t="str">
        <x:v>1154878548.docx::P1484.1</x:v>
      </x:c>
      <x:c r="O902" s="39"/>
    </x:row>
    <x:row r="903">
      <x:c r="A903" s="34" t="str">
        <x:v>☐</x:v>
      </x:c>
      <x:c r="B903" s="34" t="str">
        <x:v>EX-0875</x:v>
      </x:c>
      <x:c r="C903" s="34" t="str">
        <x:v>ماتریس جامع تحلیل قدرت و توسعه فردی (The Grand Unified Matrix)</x:v>
      </x:c>
      <x:c r="D903" s="34" t="str">
        <x:v>POSSIBLE</x:v>
      </x:c>
      <x:c r="E903" s="34" t="str">
        <x:v>85.5</x:v>
      </x:c>
      <x:c r="F903" s="34" t="str">
        <x:v>MI-0023</x:v>
      </x:c>
      <x:c r="G903" s="39" t="str">
        <x:v>برنامه ریزی دقیق و علمگرا هییت دانشگاه</x:v>
      </x:c>
      <x:c r="H903" s="39" t="str">
        <x:v>H1</x:v>
      </x:c>
      <x:c r="I903" s="39" t="str">
        <x:v>P0</x:v>
      </x:c>
      <x:c r="J903" s="39" t="str">
        <x:v>H1</x:v>
      </x:c>
      <x:c r="K903" s="39" t="str">
        <x:v>تطبیق احتمالی با پایه</x:v>
      </x:c>
      <x:c r="L903" s="39" t="str">
        <x:v>MI-0023</x:v>
      </x:c>
      <x:c r="M903" s="39" t="str">
        <x:v>برنامه ریزی دقیق و علمگرا هییت دانشگاه</x:v>
      </x:c>
      <x:c r="N903" s="39" t="str">
        <x:v>1154878548.docx::P1504.1 | 1154878548.docx::P1789.1</x:v>
      </x:c>
      <x:c r="O903" s="39"/>
    </x:row>
    <x:row r="904">
      <x:c r="A904" s="34" t="str">
        <x:v>☐</x:v>
      </x:c>
      <x:c r="B904" s="34" t="str">
        <x:v>EX-0876</x:v>
      </x:c>
      <x:c r="C904" s="34" t="str">
        <x:v>۱. ژئواستراتژی و معماری قدرت (Geostrategy)</x:v>
      </x:c>
      <x:c r="D904" s="34" t="str">
        <x:v>POSSIBLE</x:v>
      </x:c>
      <x:c r="E904" s="34" t="str">
        <x:v>85.5</x:v>
      </x:c>
      <x:c r="F904" s="34" t="str">
        <x:v>MI-0029</x:v>
      </x:c>
      <x:c r="G904" s="39" t="str">
        <x:v>تدریس ریاضی و فیزیک</x:v>
      </x:c>
      <x:c r="H904" s="39" t="str">
        <x:v>H1</x:v>
      </x:c>
      <x:c r="I904" s="39" t="str">
        <x:v>P0</x:v>
      </x:c>
      <x:c r="J904" s="39" t="str">
        <x:v>H1</x:v>
      </x:c>
      <x:c r="K904" s="39" t="str">
        <x:v>تطبیق احتمالی با پایه</x:v>
      </x:c>
      <x:c r="L904" s="39" t="str">
        <x:v>MI-0029</x:v>
      </x:c>
      <x:c r="M904" s="39" t="str">
        <x:v>تدریس ریاضی و فیزیک</x:v>
      </x:c>
      <x:c r="N904" s="39" t="str">
        <x:v>1154878548.docx::P1505.1 | 1154878548.docx::P1790.1</x:v>
      </x:c>
      <x:c r="O904" s="39"/>
    </x:row>
    <x:row r="905">
      <x:c r="A905" s="34" t="str">
        <x:v>☐</x:v>
      </x:c>
      <x:c r="B905" s="34" t="str">
        <x:v>EX-0877</x:v>
      </x:c>
      <x:c r="C905" s="34" t="str">
        <x:v>تمرکز: بقا، جایگاه، تئوریهای کلان و بازیگران</x:v>
      </x:c>
      <x:c r="D905" s="34" t="str">
        <x:v>POSSIBLE</x:v>
      </x:c>
      <x:c r="E905" s="34" t="str">
        <x:v>85.5</x:v>
      </x:c>
      <x:c r="F905" s="34" t="str">
        <x:v>MI-0029</x:v>
      </x:c>
      <x:c r="G905" s="39" t="str">
        <x:v>تدریس ریاضی و فیزیک</x:v>
      </x:c>
      <x:c r="H905" s="39" t="str">
        <x:v>H1</x:v>
      </x:c>
      <x:c r="I905" s="39" t="str">
        <x:v>P0</x:v>
      </x:c>
      <x:c r="J905" s="39" t="str">
        <x:v>H1</x:v>
      </x:c>
      <x:c r="K905" s="39" t="str">
        <x:v>تطبیق احتمالی با پایه</x:v>
      </x:c>
      <x:c r="L905" s="39" t="str">
        <x:v>MI-0029</x:v>
      </x:c>
      <x:c r="M905" s="39" t="str">
        <x:v>تدریس ریاضی و فیزیک</x:v>
      </x:c>
      <x:c r="N905" s="39" t="str">
        <x:v>1154878548.docx::P1506.1 | 1154878548.docx::P1791.1</x:v>
      </x:c>
      <x:c r="O905" s="39"/>
    </x:row>
    <x:row r="906">
      <x:c r="A906" s="34" t="str">
        <x:v>☐</x:v>
      </x:c>
      <x:c r="B906" s="34" t="str">
        <x:v>EX-0878</x:v>
      </x:c>
      <x:c r="C906" s="34" t="str">
        <x:v>۱-۱. تئوریهای بنیادی: هارتلند (Heartland)، ریملند (Rimland)، ژئوپلیتیک فضا (Astropolitics).</x:v>
      </x:c>
      <x:c r="D906" s="34" t="str">
        <x:v>POSSIBLE</x:v>
      </x:c>
      <x:c r="E906" s="34" t="str">
        <x:v>85.5</x:v>
      </x:c>
      <x:c r="F906" s="34" t="str">
        <x:v>MI-3063</x:v>
      </x:c>
      <x:c r="G906"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906" s="39" t="str">
        <x:v>H1</x:v>
      </x:c>
      <x:c r="I906" s="39" t="str">
        <x:v>P0</x:v>
      </x:c>
      <x:c r="J906" s="39" t="str">
        <x:v>H1</x:v>
      </x:c>
      <x:c r="K906" s="39" t="str">
        <x:v>تطبیق احتمالی با پایه</x:v>
      </x:c>
      <x:c r="L906" s="39" t="str">
        <x:v>MI-3063</x:v>
      </x:c>
      <x:c r="M906"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906" s="39" t="str">
        <x:v>1154878548.docx::P1507.1 | 1154878548.docx::P1792.1</x:v>
      </x:c>
      <x:c r="O906" s="39"/>
    </x:row>
    <x:row r="907">
      <x:c r="A907" s="34" t="str">
        <x:v>☐</x:v>
      </x:c>
      <x:c r="B907" s="34" t="str">
        <x:v>EX-0879</x:v>
      </x:c>
      <x:c r="C907" s="34" t="str">
        <x:v>۱-۲. نظمهای نوین: نظم پسا-آمریکایی، جهان «جی-صفر» (G-Zero)، چندقطبی شدن.</x:v>
      </x:c>
      <x:c r="D907" s="34" t="str">
        <x:v>POSSIBLE</x:v>
      </x:c>
      <x:c r="E907" s="34" t="str">
        <x:v>85.5</x:v>
      </x:c>
      <x:c r="F907" s="34" t="str">
        <x:v>MI-3063</x:v>
      </x:c>
      <x:c r="G907"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907" s="39" t="str">
        <x:v>H1</x:v>
      </x:c>
      <x:c r="I907" s="39" t="str">
        <x:v>P0</x:v>
      </x:c>
      <x:c r="J907" s="39" t="str">
        <x:v>H1</x:v>
      </x:c>
      <x:c r="K907" s="39" t="str">
        <x:v>تطبیق احتمالی با پایه</x:v>
      </x:c>
      <x:c r="L907" s="39" t="str">
        <x:v>MI-3063</x:v>
      </x:c>
      <x:c r="M907"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907" s="39" t="str">
        <x:v>1154878548.docx::P1508.1 | 1154878548.docx::P1793.1</x:v>
      </x:c>
      <x:c r="O907" s="39"/>
    </x:row>
    <x:row r="908">
      <x:c r="A908" s="34" t="str">
        <x:v>☐</x:v>
      </x:c>
      <x:c r="B908" s="34" t="str">
        <x:v>EX-0880</x:v>
      </x:c>
      <x:c r="C908" s="34" t="str">
        <x:v>۱-۳. سناریوهای آینده ایران: هاب ترانزیتی، بالکانیزه شدن، حمله زنبوری، کریدورها (شمال-جنوب/کمربند-جاده).</x:v>
      </x:c>
      <x:c r="D908" s="34" t="str">
        <x:v>POSSIBLE</x:v>
      </x:c>
      <x:c r="E908" s="34" t="str">
        <x:v>85.5</x:v>
      </x:c>
      <x:c r="F908" s="34" t="str">
        <x:v>MI-2204</x:v>
      </x:c>
      <x:c r="G908" s="39" t="str">
        <x:v>لجستیک و حمل ونقل شمال</x:v>
      </x:c>
      <x:c r="H908" s="39" t="str">
        <x:v>H6</x:v>
      </x:c>
      <x:c r="I908" s="39" t="str">
        <x:v>P3/CLARIFY</x:v>
      </x:c>
      <x:c r="J908" s="39" t="str">
        <x:v>H6</x:v>
      </x:c>
      <x:c r="K908" s="39" t="str">
        <x:v>تطبیق احتمالی با پایه</x:v>
      </x:c>
      <x:c r="L908" s="39" t="str">
        <x:v>MI-2204</x:v>
      </x:c>
      <x:c r="M908" s="39" t="str">
        <x:v>لجستیک و حمل ونقل شمال</x:v>
      </x:c>
      <x:c r="N908" s="39" t="str">
        <x:v>1154878548.docx::P1509.1 | 1154878548.docx::P1794.1</x:v>
      </x:c>
      <x:c r="O908" s="39"/>
    </x:row>
    <x:row r="909">
      <x:c r="A909" s="34" t="str">
        <x:v>☐</x:v>
      </x:c>
      <x:c r="B909" s="34" t="str">
        <x:v>EX-0881</x:v>
      </x:c>
      <x:c r="C909" s="34" t="str">
        <x:v>۱-۴. نهادها: بریکس پلاس، شانگهای، AIIB.</x:v>
      </x:c>
      <x:c r="D909" s="34" t="str">
        <x:v>POSSIBLE</x:v>
      </x:c>
      <x:c r="E909" s="34" t="str">
        <x:v>85.5</x:v>
      </x:c>
      <x:c r="F909" s="34" t="str">
        <x:v>MI-2623</x:v>
      </x:c>
      <x:c r="G909" s="39" t="str">
        <x:v>این جریان ها از طریق مجموعه ای از نهادها و زیرساخت ها به یکدیگر متصل می شوند:</x:v>
      </x:c>
      <x:c r="H909" s="39" t="str">
        <x:v>H20</x:v>
      </x:c>
      <x:c r="I909" s="39" t="str">
        <x:v>P3/CLARIFY</x:v>
      </x:c>
      <x:c r="J909" s="39" t="str">
        <x:v>H20</x:v>
      </x:c>
      <x:c r="K909" s="39" t="str">
        <x:v>تطبیق احتمالی با پایه</x:v>
      </x:c>
      <x:c r="L909" s="39" t="str">
        <x:v>MI-2623</x:v>
      </x:c>
      <x:c r="M909" s="39" t="str">
        <x:v>این جریان ها از طریق مجموعه ای از نهادها و زیرساخت ها به یکدیگر متصل می شوند:</x:v>
      </x:c>
      <x:c r="N909" s="39" t="str">
        <x:v>1154878548.docx::P1510.1 | 1154878548.docx::P1795.1</x:v>
      </x:c>
      <x:c r="O909" s="39"/>
    </x:row>
    <x:row r="910">
      <x:c r="A910" s="34" t="str">
        <x:v>☐</x:v>
      </x:c>
      <x:c r="B910" s="34" t="str">
        <x:v>EX-0882</x:v>
      </x:c>
      <x:c r="C910" s="34" t="str">
        <x:v>۱-۵. شخصیتشناسی: کیسینجر، برژینسکی، قذافی، پینوشه، (چیتسازیان، تقوی، تاجزاده).</x:v>
      </x:c>
      <x:c r="D910" s="34" t="str">
        <x:v>POSSIBLE</x:v>
      </x:c>
      <x:c r="E910" s="34" t="str">
        <x:v>85.5</x:v>
      </x:c>
      <x:c r="F910" s="34" t="str">
        <x:v>MI-0520</x:v>
      </x:c>
      <x:c r="G910" s="39" t="str">
        <x:v>خانم منصوری و آقای تاجزاده</x:v>
      </x:c>
      <x:c r="H910" s="39" t="str">
        <x:v>H14</x:v>
      </x:c>
      <x:c r="I910" s="39" t="str">
        <x:v>BANK</x:v>
      </x:c>
      <x:c r="J910" s="39" t="str">
        <x:v>H14</x:v>
      </x:c>
      <x:c r="K910" s="39" t="str">
        <x:v>تطبیق احتمالی با پایه</x:v>
      </x:c>
      <x:c r="L910" s="39" t="str">
        <x:v>MI-0520</x:v>
      </x:c>
      <x:c r="M910" s="39" t="str">
        <x:v>خانم منصوری و آقای تاجزاده</x:v>
      </x:c>
      <x:c r="N910" s="39" t="str">
        <x:v>1154878548.docx::P1511.1 | 1154878548.docx::P1796.1</x:v>
      </x:c>
      <x:c r="O910" s="39"/>
    </x:row>
    <x:row r="911">
      <x:c r="A911" s="34" t="str">
        <x:v>☐</x:v>
      </x:c>
      <x:c r="B911" s="34" t="str">
        <x:v>EX-0883</x:v>
      </x:c>
      <x:c r="C911" s="34" t="str">
        <x:v>۱-۶. شاخصها و شکستها: HDI، KAPI، فروپاشی شوروی، اشغال عراق.</x:v>
      </x:c>
      <x:c r="D911" s="34" t="str">
        <x:v>POSSIBLE</x:v>
      </x:c>
      <x:c r="E911" s="34" t="str">
        <x:v>85.5</x:v>
      </x:c>
      <x:c r="F911" s="34" t="str">
        <x:v>MI-0029</x:v>
      </x:c>
      <x:c r="G911" s="39" t="str">
        <x:v>تدریس ریاضی و فیزیک</x:v>
      </x:c>
      <x:c r="H911" s="39" t="str">
        <x:v>H1</x:v>
      </x:c>
      <x:c r="I911" s="39" t="str">
        <x:v>P0</x:v>
      </x:c>
      <x:c r="J911" s="39" t="str">
        <x:v>H1</x:v>
      </x:c>
      <x:c r="K911" s="39" t="str">
        <x:v>تطبیق احتمالی با پایه</x:v>
      </x:c>
      <x:c r="L911" s="39" t="str">
        <x:v>MI-0029</x:v>
      </x:c>
      <x:c r="M911" s="39" t="str">
        <x:v>تدریس ریاضی و فیزیک</x:v>
      </x:c>
      <x:c r="N911" s="39" t="str">
        <x:v>1154878548.docx::P1512.1 | 1154878548.docx::P1797.1</x:v>
      </x:c>
      <x:c r="O911" s="39"/>
    </x:row>
    <x:row r="912">
      <x:c r="A912" s="34" t="str">
        <x:v>☐</x:v>
      </x:c>
      <x:c r="B912" s="34" t="str">
        <x:v>EX-0884</x:v>
      </x:c>
      <x:c r="C912" s="34" t="str">
        <x:v>۱-۷. تفکر استراتژیک (لایه فردی):</x:v>
      </x:c>
      <x:c r="D912" s="34" t="str">
        <x:v>POSSIBLE</x:v>
      </x:c>
      <x:c r="E912" s="34" t="str">
        <x:v>85.5</x:v>
      </x:c>
      <x:c r="F912" s="34" t="str">
        <x:v>MI-1506</x:v>
      </x:c>
      <x:c r="G912" s="39" t="str">
        <x:v>خلاقیت و نوآوری: تفکر خارج از چارچوب، تولید ایده های جدید.</x:v>
      </x:c>
      <x:c r="H912" s="39" t="str">
        <x:v>H1</x:v>
      </x:c>
      <x:c r="I912" s="39" t="str">
        <x:v>P0</x:v>
      </x:c>
      <x:c r="J912" s="39" t="str">
        <x:v>H1</x:v>
      </x:c>
      <x:c r="K912" s="39" t="str">
        <x:v>تطبیق احتمالی با پایه</x:v>
      </x:c>
      <x:c r="L912" s="39" t="str">
        <x:v>MI-1506</x:v>
      </x:c>
      <x:c r="M912" s="39" t="str">
        <x:v>خلاقیت و نوآوری: تفکر خارج از چارچوب، تولید ایده های جدید.</x:v>
      </x:c>
      <x:c r="N912" s="39" t="str">
        <x:v>1154878548.docx::P1513.1 | 1154878548.docx::P1798.1</x:v>
      </x:c>
      <x:c r="O912" s="39"/>
    </x:row>
    <x:row r="913">
      <x:c r="A913" s="34" t="str">
        <x:v>☐</x:v>
      </x:c>
      <x:c r="B913" s="34" t="str">
        <x:v>EX-0885</x:v>
      </x:c>
      <x:c r="C913" s="34" t="str">
        <x:v>آشنایی با سیاستهای اسرائیل (مظلومنمایی - شکستناپذیری).</x:v>
      </x:c>
      <x:c r="D913" s="34" t="str">
        <x:v>POSSIBLE</x:v>
      </x:c>
      <x:c r="E913" s="34" t="str">
        <x:v>85.5</x:v>
      </x:c>
      <x:c r="F913" s="34" t="str">
        <x:v>MI-1501</x:v>
      </x:c>
      <x:c r="G913" s="39" t="str">
        <x:v>مدیریت ریسک: شناسایی ریسک ها، ارزیابی اثرات، تدوین برنامه های مقابله با ریسک ها.</x:v>
      </x:c>
      <x:c r="H913" s="39" t="str">
        <x:v>H1</x:v>
      </x:c>
      <x:c r="I913" s="39" t="str">
        <x:v>P0</x:v>
      </x:c>
      <x:c r="J913" s="39" t="str">
        <x:v>H1</x:v>
      </x:c>
      <x:c r="K913" s="39" t="str">
        <x:v>تطبیق احتمالی با پایه</x:v>
      </x:c>
      <x:c r="L913" s="39" t="str">
        <x:v>MI-1501</x:v>
      </x:c>
      <x:c r="M913" s="39" t="str">
        <x:v>مدیریت ریسک: شناسایی ریسک ها، ارزیابی اثرات، تدوین برنامه های مقابله با ریسک ها.</x:v>
      </x:c>
      <x:c r="N913" s="39" t="str">
        <x:v>1154878548.docx::P1514.1 | 1154878548.docx::P1799.1</x:v>
      </x:c>
      <x:c r="O913" s="39"/>
    </x:row>
    <x:row r="914">
      <x:c r="A914" s="34" t="str">
        <x:v>☐</x:v>
      </x:c>
      <x:c r="B914" s="34" t="str">
        <x:v>EX-0886</x:v>
      </x:c>
      <x:c r="C914" s="34" t="str">
        <x:v>تحلیل کلافهای پیچدرپیچ سیاسی (پیدا کردن سرنخ).</x:v>
      </x:c>
      <x:c r="D914" s="34" t="str">
        <x:v>POSSIBLE</x:v>
      </x:c>
      <x:c r="E914" s="34" t="str">
        <x:v>85.5</x:v>
      </x:c>
      <x:c r="F914" s="34" t="str">
        <x:v>MI-1531</x:v>
      </x:c>
      <x:c r="G914" s="39" t="str">
        <x:v>باز کردن دفتر بسیج خوابگاه</x:v>
      </x:c>
      <x:c r="H914" s="39" t="str">
        <x:v>H1</x:v>
      </x:c>
      <x:c r="I914" s="39" t="str">
        <x:v>P0</x:v>
      </x:c>
      <x:c r="J914" s="39" t="str">
        <x:v>H1</x:v>
      </x:c>
      <x:c r="K914" s="39" t="str">
        <x:v>تطبیق احتمالی با پایه</x:v>
      </x:c>
      <x:c r="L914" s="39" t="str">
        <x:v>MI-1531</x:v>
      </x:c>
      <x:c r="M914" s="39" t="str">
        <x:v>باز کردن دفتر بسیج خوابگاه</x:v>
      </x:c>
      <x:c r="N914" s="39" t="str">
        <x:v>1154878548.docx::P1515.1 | 1154878548.docx::P1800.1</x:v>
      </x:c>
      <x:c r="O914" s="39"/>
    </x:row>
    <x:row r="915">
      <x:c r="A915" s="34" t="str">
        <x:v>☐</x:v>
      </x:c>
      <x:c r="B915" s="34" t="str">
        <x:v>EX-0887</x:v>
      </x:c>
      <x:c r="C915" s="34" t="str">
        <x:v>درک فرصتسوزیها و تنفس مصنوعی به جریانهای سیاسی.</x:v>
      </x:c>
      <x:c r="D915" s="34" t="str">
        <x:v>POSSIBLE</x:v>
      </x:c>
      <x:c r="E915" s="34" t="str">
        <x:v>85.5</x:v>
      </x:c>
      <x:c r="F915" s="34" t="str">
        <x:v>MI-0029</x:v>
      </x:c>
      <x:c r="G915" s="39" t="str">
        <x:v>تدریس ریاضی و فیزیک</x:v>
      </x:c>
      <x:c r="H915" s="39" t="str">
        <x:v>H1</x:v>
      </x:c>
      <x:c r="I915" s="39" t="str">
        <x:v>P0</x:v>
      </x:c>
      <x:c r="J915" s="39" t="str">
        <x:v>H1</x:v>
      </x:c>
      <x:c r="K915" s="39" t="str">
        <x:v>تطبیق احتمالی با پایه</x:v>
      </x:c>
      <x:c r="L915" s="39" t="str">
        <x:v>MI-0029</x:v>
      </x:c>
      <x:c r="M915" s="39" t="str">
        <x:v>تدریس ریاضی و فیزیک</x:v>
      </x:c>
      <x:c r="N915" s="39" t="str">
        <x:v>1154878548.docx::P1516.1 | 1154878548.docx::P1801.1</x:v>
      </x:c>
      <x:c r="O915" s="39"/>
    </x:row>
    <x:row r="916">
      <x:c r="A916" s="34" t="str">
        <x:v>☐</x:v>
      </x:c>
      <x:c r="B916" s="34" t="str">
        <x:v>EX-0888</x:v>
      </x:c>
      <x:c r="C916" s="34" t="str">
        <x:v>نگاه انتقادی به سیستم: تحلیل وضعیت ۲۱۰۰ دانشگاه کشور (بازدهی پایین، هیئت علمی کم، دانشجو زیاد).</x:v>
      </x:c>
      <x:c r="D916" s="34" t="str">
        <x:v>POSSIBLE</x:v>
      </x:c>
      <x:c r="E916" s="34" t="str">
        <x:v>85.5</x:v>
      </x:c>
      <x:c r="F916" s="34" t="str">
        <x:v>MI-0021</x:v>
      </x:c>
      <x:c r="G916" s="39" t="str">
        <x:v>برنامه ریزی بسیار جدی تر برای دروس دانشگاه نوشیروانی بابل</x:v>
      </x:c>
      <x:c r="H916" s="39" t="str">
        <x:v>H1</x:v>
      </x:c>
      <x:c r="I916" s="39" t="str">
        <x:v>P0</x:v>
      </x:c>
      <x:c r="J916" s="39" t="str">
        <x:v>H1</x:v>
      </x:c>
      <x:c r="K916" s="39" t="str">
        <x:v>تطبیق احتمالی با پایه</x:v>
      </x:c>
      <x:c r="L916" s="39" t="str">
        <x:v>MI-0021</x:v>
      </x:c>
      <x:c r="M916" s="39" t="str">
        <x:v>برنامه ریزی بسیار جدی تر برای دروس دانشگاه نوشیروانی بابل</x:v>
      </x:c>
      <x:c r="N916" s="39" t="str">
        <x:v>1154878548.docx::P1517.1 | 1154878548.docx::P1802.1</x:v>
      </x:c>
      <x:c r="O916" s="39"/>
    </x:row>
    <x:row r="917">
      <x:c r="A917" s="34" t="str">
        <x:v>☐</x:v>
      </x:c>
      <x:c r="B917" s="34" t="str">
        <x:v>EX-0889</x:v>
      </x:c>
      <x:c r="C917" s="34" t="str">
        <x:v>استراتژی مسکن: نقد عمودیسازی و پیشنهاد افقیسازی مسکن.</x:v>
      </x:c>
      <x:c r="D917" s="34" t="str">
        <x:v>POSSIBLE</x:v>
      </x:c>
      <x:c r="E917" s="34" t="str">
        <x:v>85.5</x:v>
      </x:c>
      <x:c r="F917" s="34" t="str">
        <x:v>MI-0029</x:v>
      </x:c>
      <x:c r="G917" s="39" t="str">
        <x:v>تدریس ریاضی و فیزیک</x:v>
      </x:c>
      <x:c r="H917" s="39" t="str">
        <x:v>H1</x:v>
      </x:c>
      <x:c r="I917" s="39" t="str">
        <x:v>P0</x:v>
      </x:c>
      <x:c r="J917" s="39" t="str">
        <x:v>H1</x:v>
      </x:c>
      <x:c r="K917" s="39" t="str">
        <x:v>تطبیق احتمالی با پایه</x:v>
      </x:c>
      <x:c r="L917" s="39" t="str">
        <x:v>MI-0029</x:v>
      </x:c>
      <x:c r="M917" s="39" t="str">
        <x:v>تدریس ریاضی و فیزیک</x:v>
      </x:c>
      <x:c r="N917" s="39" t="str">
        <x:v>1154878548.docx::P1518.1 | 1154878548.docx::P1803.1</x:v>
      </x:c>
      <x:c r="O917" s="39"/>
    </x:row>
    <x:row r="918">
      <x:c r="A918" s="34" t="str">
        <x:v>☐</x:v>
      </x:c>
      <x:c r="B918" s="34" t="str">
        <x:v>EX-0890</x:v>
      </x:c>
      <x:c r="C918" s="34" t="str">
        <x:v>۲. امنیت، جنگ و اطلاعات (Security &amp; Intelligence)</x:v>
      </x:c>
      <x:c r="D918" s="34" t="str">
        <x:v>POSSIBLE</x:v>
      </x:c>
      <x:c r="E918" s="34" t="str">
        <x:v>90.0</x:v>
      </x:c>
      <x:c r="F918" s="34" t="str">
        <x:v>MI-1733</x:v>
      </x:c>
      <x:c r="G918" s="39" t="str">
        <x:v>اطلاعات</x:v>
      </x:c>
      <x:c r="H918" s="39" t="str">
        <x:v>H20</x:v>
      </x:c>
      <x:c r="I918" s="39" t="str">
        <x:v>P3/CLARIFY</x:v>
      </x:c>
      <x:c r="J918" s="39" t="str">
        <x:v>H20</x:v>
      </x:c>
      <x:c r="K918" s="39" t="str">
        <x:v>تطبیق احتمالی با پایه</x:v>
      </x:c>
      <x:c r="L918" s="39" t="str">
        <x:v>MI-1733</x:v>
      </x:c>
      <x:c r="M918" s="39" t="str">
        <x:v>اطلاعات</x:v>
      </x:c>
      <x:c r="N918" s="39" t="str">
        <x:v>1154878548.docx::P1519.1 | 1154878548.docx::P1804.1</x:v>
      </x:c>
      <x:c r="O918" s="39"/>
    </x:row>
    <x:row r="919">
      <x:c r="A919" s="34" t="str">
        <x:v>☐</x:v>
      </x:c>
      <x:c r="B919" s="34" t="str">
        <x:v>EX-0891</x:v>
      </x:c>
      <x:c r="C919" s="34" t="str">
        <x:v>تمرکز: دکترین نظامی و حفاظت اطلاعات</x:v>
      </x:c>
      <x:c r="D919" s="34" t="str">
        <x:v>POSSIBLE</x:v>
      </x:c>
      <x:c r="E919" s="34" t="str">
        <x:v>90.0</x:v>
      </x:c>
      <x:c r="F919" s="34" t="str">
        <x:v>MI-1733</x:v>
      </x:c>
      <x:c r="G919" s="39" t="str">
        <x:v>اطلاعات</x:v>
      </x:c>
      <x:c r="H919" s="39" t="str">
        <x:v>H20</x:v>
      </x:c>
      <x:c r="I919" s="39" t="str">
        <x:v>P3/CLARIFY</x:v>
      </x:c>
      <x:c r="J919" s="39" t="str">
        <x:v>H20</x:v>
      </x:c>
      <x:c r="K919" s="39" t="str">
        <x:v>تطبیق احتمالی با پایه</x:v>
      </x:c>
      <x:c r="L919" s="39" t="str">
        <x:v>MI-1733</x:v>
      </x:c>
      <x:c r="M919" s="39" t="str">
        <x:v>اطلاعات</x:v>
      </x:c>
      <x:c r="N919" s="39" t="str">
        <x:v>1154878548.docx::P1520.1 | 1154878548.docx::P1805.1</x:v>
      </x:c>
      <x:c r="O919" s="39"/>
    </x:row>
    <x:row r="920">
      <x:c r="A920" s="34" t="str">
        <x:v>☐</x:v>
      </x:c>
      <x:c r="B920" s="34" t="str">
        <x:v>EX-0892</x:v>
      </x:c>
      <x:c r="C920" s="34" t="str">
        <x:v>۲-۱. دکترینها: جنگ نسل ششم، سایبر-فیزیکی، هیبریدی، آفند برقآسا.</x:v>
      </x:c>
      <x:c r="D920" s="34" t="str">
        <x:v>POSSIBLE</x:v>
      </x:c>
      <x:c r="E920" s="34" t="str">
        <x:v>85.5</x:v>
      </x:c>
      <x:c r="F920" s="34" t="str">
        <x:v>MI-2591</x:v>
      </x:c>
      <x:c r="G920" s="39" t="str">
        <x:v>ساخت نسل آینده اکوسیستم.</x:v>
      </x:c>
      <x:c r="H920" s="39" t="str">
        <x:v>H10</x:v>
      </x:c>
      <x:c r="I920" s="39" t="str">
        <x:v>P2</x:v>
      </x:c>
      <x:c r="J920" s="39" t="str">
        <x:v>H10</x:v>
      </x:c>
      <x:c r="K920" s="39" t="str">
        <x:v>تطبیق احتمالی با پایه</x:v>
      </x:c>
      <x:c r="L920" s="39" t="str">
        <x:v>MI-2591</x:v>
      </x:c>
      <x:c r="M920" s="39" t="str">
        <x:v>ساخت نسل آینده اکوسیستم.</x:v>
      </x:c>
      <x:c r="N920" s="39" t="str">
        <x:v>1154878548.docx::P1521.1 | 1154878548.docx::P1806.1</x:v>
      </x:c>
      <x:c r="O920" s="39"/>
    </x:row>
    <x:row r="921">
      <x:c r="A921" s="34" t="str">
        <x:v>☐</x:v>
      </x:c>
      <x:c r="B921" s="34" t="str">
        <x:v>EX-0893</x:v>
      </x:c>
      <x:c r="C921" s="34" t="str">
        <x:v>۲-۲. تسلیحات: پاتریوت، تاد، گنبد آهنین، باور ۳۷۳، پهپاد انتحاری، تسلیحات AI.</x:v>
      </x:c>
      <x:c r="D921" s="34" t="str">
        <x:v>UNMAPPED</x:v>
      </x:c>
      <x:c r="E921" s="34" t="str">
        <x:v>60.0</x:v>
      </x:c>
      <x:c r="F921" s="34" t="str">
        <x:v>MI-1419</x:v>
      </x:c>
      <x:c r="G921" s="39" t="str">
        <x:v>تاریخ اسلامی</x:v>
      </x:c>
      <x:c r="H921" s="39" t="str">
        <x:v>H15</x:v>
      </x:c>
      <x:c r="I921" s="39" t="str">
        <x:v>BANK</x:v>
      </x:c>
      <x:c r="J921" s="39" t="str">
        <x:v>H23</x:v>
      </x:c>
      <x:c r="K921" s="39" t="str">
        <x:v>نیازمند پالایش؛ حذف نشده</x:v>
      </x:c>
      <x:c r="L921" s="39"/>
      <x:c r="M921" s="39"/>
      <x:c r="N921" s="39" t="str">
        <x:v>1154878548.docx::P1522.1 | 1154878548.docx::P1807.1</x:v>
      </x:c>
      <x:c r="O921" s="39"/>
    </x:row>
    <x:row r="922">
      <x:c r="A922" s="34" t="str">
        <x:v>☐</x:v>
      </x:c>
      <x:c r="B922" s="34" t="str">
        <x:v>EX-0894</x:v>
      </x:c>
      <x:c r="C922" s="34" t="str">
        <x:v>۲-۳. اطلاعات و نفوذ: مدل KGB، پرستوها، باجگیری، عملیات چکش نیمهشب، نفوذ نخبگانی.</x:v>
      </x:c>
      <x:c r="D922" s="34" t="str">
        <x:v>POSSIBLE</x:v>
      </x:c>
      <x:c r="E922" s="34" t="str">
        <x:v>85.5</x:v>
      </x:c>
      <x:c r="F922" s="34" t="str">
        <x:v>MI-0023</x:v>
      </x:c>
      <x:c r="G922" s="39" t="str">
        <x:v>برنامه ریزی دقیق و علمگرا هییت دانشگاه</x:v>
      </x:c>
      <x:c r="H922" s="39" t="str">
        <x:v>H1</x:v>
      </x:c>
      <x:c r="I922" s="39" t="str">
        <x:v>P0</x:v>
      </x:c>
      <x:c r="J922" s="39" t="str">
        <x:v>H1</x:v>
      </x:c>
      <x:c r="K922" s="39" t="str">
        <x:v>تطبیق احتمالی با پایه</x:v>
      </x:c>
      <x:c r="L922" s="39" t="str">
        <x:v>MI-0023</x:v>
      </x:c>
      <x:c r="M922" s="39" t="str">
        <x:v>برنامه ریزی دقیق و علمگرا هییت دانشگاه</x:v>
      </x:c>
      <x:c r="N922" s="39" t="str">
        <x:v>1154878548.docx::P1523.1 | 1154878548.docx::P1808.1</x:v>
      </x:c>
      <x:c r="O922" s="39"/>
    </x:row>
    <x:row r="923">
      <x:c r="A923" s="34" t="str">
        <x:v>☐</x:v>
      </x:c>
      <x:c r="B923" s="34" t="str">
        <x:v>EX-0895</x:v>
      </x:c>
      <x:c r="C923" s="34" t="str">
        <x:v>۲-۴. مهارتهای امنیتی فردی:</x:v>
      </x:c>
      <x:c r="D923" s="34" t="str">
        <x:v>POSSIBLE</x:v>
      </x:c>
      <x:c r="E923" s="34" t="str">
        <x:v>85.5</x:v>
      </x:c>
      <x:c r="F923" s="34" t="str">
        <x:v>MI-3067</x:v>
      </x:c>
      <x:c r="G923" s="39" t="str">
        <x:v>فردی که خیلی قبولش دارید و رول مدل شماست چه کسی می باشد و دلیل انتخاب ایشان چیست؟</x:v>
      </x:c>
      <x:c r="H923" s="39" t="str">
        <x:v>H21</x:v>
      </x:c>
      <x:c r="I923" s="39" t="str">
        <x:v>P3/CLARIFY</x:v>
      </x:c>
      <x:c r="J923" s="39" t="str">
        <x:v>H21</x:v>
      </x:c>
      <x:c r="K923" s="39" t="str">
        <x:v>تطبیق احتمالی با پایه</x:v>
      </x:c>
      <x:c r="L923" s="39" t="str">
        <x:v>MI-3067</x:v>
      </x:c>
      <x:c r="M923" s="39" t="str">
        <x:v>فردی که خیلی قبولش دارید و رول مدل شماست چه کسی می باشد و دلیل انتخاب ایشان چیست؟</x:v>
      </x:c>
      <x:c r="N923" s="39" t="str">
        <x:v>1154878548.docx::P1524.1 | 1154878548.docx::P1809.1</x:v>
      </x:c>
      <x:c r="O923" s="39"/>
    </x:row>
    <x:row r="924">
      <x:c r="A924" s="34" t="str">
        <x:v>☐</x:v>
      </x:c>
      <x:c r="B924" s="34" t="str">
        <x:v>EX-0896</x:v>
      </x:c>
      <x:c r="C924" s="34" t="str">
        <x:v>روانشناسی تاریک در مذاکره (Dark Psychology).</x:v>
      </x:c>
      <x:c r="D924" s="34" t="str">
        <x:v>POSSIBLE</x:v>
      </x:c>
      <x:c r="E924" s="34" t="str">
        <x:v>90.0</x:v>
      </x:c>
      <x:c r="F924" s="34" t="str">
        <x:v>MI-0040</x:v>
      </x:c>
      <x:c r="G924" s="39" t="str">
        <x:v>روانشناسی تاریک در مذاکره</x:v>
      </x:c>
      <x:c r="H924" s="39" t="str">
        <x:v>H1</x:v>
      </x:c>
      <x:c r="I924" s="39" t="str">
        <x:v>P0</x:v>
      </x:c>
      <x:c r="J924" s="39" t="str">
        <x:v>H1</x:v>
      </x:c>
      <x:c r="K924" s="39" t="str">
        <x:v>تطبیق احتمالی با پایه</x:v>
      </x:c>
      <x:c r="L924" s="39" t="str">
        <x:v>MI-0040</x:v>
      </x:c>
      <x:c r="M924" s="39" t="str">
        <x:v>روانشناسی تاریک در مذاکره</x:v>
      </x:c>
      <x:c r="N924" s="39" t="str">
        <x:v>1154878548.docx::P1525.1 | 1154878548.docx::P1810.1</x:v>
      </x:c>
      <x:c r="O924" s="39"/>
    </x:row>
    <x:row r="925">
      <x:c r="A925" s="34" t="str">
        <x:v>☐</x:v>
      </x:c>
      <x:c r="B925" s="34" t="str">
        <x:v>EX-0897</x:v>
      </x:c>
      <x:c r="C925" s="34" t="str">
        <x:v>حفاظت گفتار و رفتار (اصول و فنون مذاکره امنیتی).</x:v>
      </x:c>
      <x:c r="D925" s="34" t="str">
        <x:v>POSSIBLE</x:v>
      </x:c>
      <x:c r="E925" s="34" t="str">
        <x:v>90.0</x:v>
      </x:c>
      <x:c r="F925" s="34" t="str">
        <x:v>MI-2500</x:v>
      </x:c>
      <x:c r="G925" s="39" t="str">
        <x:v>مذاکره</x:v>
      </x:c>
      <x:c r="H925" s="39" t="str">
        <x:v>H4</x:v>
      </x:c>
      <x:c r="I925" s="39" t="str">
        <x:v>P1</x:v>
      </x:c>
      <x:c r="J925" s="39" t="str">
        <x:v>H4</x:v>
      </x:c>
      <x:c r="K925" s="39" t="str">
        <x:v>تطبیق احتمالی با پایه</x:v>
      </x:c>
      <x:c r="L925" s="39" t="str">
        <x:v>MI-2500</x:v>
      </x:c>
      <x:c r="M925" s="39" t="str">
        <x:v>مذاکره</x:v>
      </x:c>
      <x:c r="N925" s="39" t="str">
        <x:v>1154878548.docx::P1526.1 | 1154878548.docx::P1811.1</x:v>
      </x:c>
      <x:c r="O925" s="39"/>
    </x:row>
    <x:row r="926">
      <x:c r="A926" s="34" t="str">
        <x:v>☐</x:v>
      </x:c>
      <x:c r="B926" s="34" t="str">
        <x:v>EX-0898</x:v>
      </x:c>
      <x:c r="C926" s="34" t="str">
        <x:v>آشنایی با قوانین عمومی، مدنی و مجلس (به عنوان سپر دفاعی).</x:v>
      </x:c>
      <x:c r="D926" s="34" t="str">
        <x:v>POSSIBLE</x:v>
      </x:c>
      <x:c r="E926" s="34" t="str">
        <x:v>85.5</x:v>
      </x:c>
      <x:c r="F926" s="34" t="str">
        <x:v>MI-0019</x:v>
      </x:c>
      <x:c r="G926" s="39" t="str">
        <x:v>آشنایی با نرم افزار املاک</x:v>
      </x:c>
      <x:c r="H926" s="39" t="str">
        <x:v>H1</x:v>
      </x:c>
      <x:c r="I926" s="39" t="str">
        <x:v>P0</x:v>
      </x:c>
      <x:c r="J926" s="39" t="str">
        <x:v>H1</x:v>
      </x:c>
      <x:c r="K926" s="39" t="str">
        <x:v>تطبیق احتمالی با پایه</x:v>
      </x:c>
      <x:c r="L926" s="39" t="str">
        <x:v>MI-0019</x:v>
      </x:c>
      <x:c r="M926" s="39" t="str">
        <x:v>آشنایی با نرم افزار املاک</x:v>
      </x:c>
      <x:c r="N926" s="39" t="str">
        <x:v>1154878548.docx::P1527.1 | 1154878548.docx::P1812.1</x:v>
      </x:c>
      <x:c r="O926" s="39"/>
    </x:row>
    <x:row r="927">
      <x:c r="A927" s="34" t="str">
        <x:v>☐</x:v>
      </x:c>
      <x:c r="B927" s="34" t="str">
        <x:v>EX-0899</x:v>
      </x:c>
      <x:c r="C927" s="34" t="str">
        <x:v>شبکه ارتباطی امن: طرح اشتراک آنتندهی موبایل در جادهها (به جای دکل زدن).</x:v>
      </x:c>
      <x:c r="D927" s="34" t="str">
        <x:v>POSSIBLE</x:v>
      </x:c>
      <x:c r="E927" s="34" t="str">
        <x:v>85.5</x:v>
      </x:c>
      <x:c r="F927" s="34" t="str">
        <x:v>MI-0090</x:v>
      </x:c>
      <x:c r="G927" s="39" t="str">
        <x:v>مهارت شبکه سازی</x:v>
      </x:c>
      <x:c r="H927" s="39" t="str">
        <x:v>H1</x:v>
      </x:c>
      <x:c r="I927" s="39" t="str">
        <x:v>P0</x:v>
      </x:c>
      <x:c r="J927" s="39" t="str">
        <x:v>H1</x:v>
      </x:c>
      <x:c r="K927" s="39" t="str">
        <x:v>تطبیق احتمالی با پایه</x:v>
      </x:c>
      <x:c r="L927" s="39" t="str">
        <x:v>MI-0090</x:v>
      </x:c>
      <x:c r="M927" s="39" t="str">
        <x:v>مهارت شبکه سازی</x:v>
      </x:c>
      <x:c r="N927" s="39" t="str">
        <x:v>1154878548.docx::P1528.1 | 1154878548.docx::P1813.1</x:v>
      </x:c>
      <x:c r="O927" s="39"/>
    </x:row>
    <x:row r="928">
      <x:c r="A928" s="34" t="str">
        <x:v>☐</x:v>
      </x:c>
      <x:c r="B928" s="34" t="str">
        <x:v>EX-0900</x:v>
      </x:c>
      <x:c r="C928" s="34" t="str">
        <x:v>۳. ژئواکونومی و مدیریت مالی (Geoeconomics &amp; Finance)</x:v>
      </x:c>
      <x:c r="D928" s="34" t="str">
        <x:v>POSSIBLE</x:v>
      </x:c>
      <x:c r="E928" s="34" t="str">
        <x:v>85.5</x:v>
      </x:c>
      <x:c r="F928" s="34" t="str">
        <x:v>MI-1501</x:v>
      </x:c>
      <x:c r="G928" s="39" t="str">
        <x:v>مدیریت ریسک: شناسایی ریسک ها، ارزیابی اثرات، تدوین برنامه های مقابله با ریسک ها.</x:v>
      </x:c>
      <x:c r="H928" s="39" t="str">
        <x:v>H1</x:v>
      </x:c>
      <x:c r="I928" s="39" t="str">
        <x:v>P0</x:v>
      </x:c>
      <x:c r="J928" s="39" t="str">
        <x:v>H1</x:v>
      </x:c>
      <x:c r="K928" s="39" t="str">
        <x:v>تطبیق احتمالی با پایه</x:v>
      </x:c>
      <x:c r="L928" s="39" t="str">
        <x:v>MI-1501</x:v>
      </x:c>
      <x:c r="M928" s="39" t="str">
        <x:v>مدیریت ریسک: شناسایی ریسک ها، ارزیابی اثرات، تدوین برنامه های مقابله با ریسک ها.</x:v>
      </x:c>
      <x:c r="N928" s="39" t="str">
        <x:v>1154878548.docx::P1529.1 | 1154878548.docx::P1814.1</x:v>
      </x:c>
      <x:c r="O928" s="39"/>
    </x:row>
    <x:row r="929">
      <x:c r="A929" s="34" t="str">
        <x:v>☐</x:v>
      </x:c>
      <x:c r="B929" s="34" t="str">
        <x:v>EX-0901</x:v>
      </x:c>
      <x:c r="C929" s="34" t="str">
        <x:v>تمرکز: اقتصاد سیاسی و مدیریت ثروت شخصی</x:v>
      </x:c>
      <x:c r="D929" s="34" t="str">
        <x:v>POSSIBLE</x:v>
      </x:c>
      <x:c r="E929" s="34" t="str">
        <x:v>85.5</x:v>
      </x:c>
      <x:c r="F929" s="34" t="str">
        <x:v>MI-1501</x:v>
      </x:c>
      <x:c r="G929" s="39" t="str">
        <x:v>مدیریت ریسک: شناسایی ریسک ها، ارزیابی اثرات، تدوین برنامه های مقابله با ریسک ها.</x:v>
      </x:c>
      <x:c r="H929" s="39" t="str">
        <x:v>H1</x:v>
      </x:c>
      <x:c r="I929" s="39" t="str">
        <x:v>P0</x:v>
      </x:c>
      <x:c r="J929" s="39" t="str">
        <x:v>H1</x:v>
      </x:c>
      <x:c r="K929" s="39" t="str">
        <x:v>تطبیق احتمالی با پایه</x:v>
      </x:c>
      <x:c r="L929" s="39" t="str">
        <x:v>MI-1501</x:v>
      </x:c>
      <x:c r="M929" s="39" t="str">
        <x:v>مدیریت ریسک: شناسایی ریسک ها، ارزیابی اثرات، تدوین برنامه های مقابله با ریسک ها.</x:v>
      </x:c>
      <x:c r="N929" s="39" t="str">
        <x:v>1154878548.docx::P1530.1 | 1154878548.docx::P1815.1</x:v>
      </x:c>
      <x:c r="O929" s="39"/>
    </x:row>
    <x:row r="930">
      <x:c r="A930" s="34" t="str">
        <x:v>☐</x:v>
      </x:c>
      <x:c r="B930" s="34" t="str">
        <x:v>EX-0902</x:v>
      </x:c>
      <x:c r="C930" s="34" t="str">
        <x:v>۳-۱. اقتصاد کلان: اقتصاد سایه، بیماری هلندی، زنجیره ارزش جهانی (GVC).</x:v>
      </x:c>
      <x:c r="D930" s="34" t="str">
        <x:v>POSSIBLE</x:v>
      </x:c>
      <x:c r="E930" s="34" t="str">
        <x:v>85.5</x:v>
      </x:c>
      <x:c r="F930" s="34" t="str">
        <x:v>MI-3147</x:v>
      </x:c>
      <x:c r="G930" s="39" t="str">
        <x:v>ارزش 7: مهارت و توسعه فردی</x:v>
      </x:c>
      <x:c r="H930" s="39" t="str">
        <x:v>H1</x:v>
      </x:c>
      <x:c r="I930" s="39" t="str">
        <x:v>P0</x:v>
      </x:c>
      <x:c r="J930" s="39" t="str">
        <x:v>H1</x:v>
      </x:c>
      <x:c r="K930" s="39" t="str">
        <x:v>تطبیق احتمالی با پایه</x:v>
      </x:c>
      <x:c r="L930" s="39" t="str">
        <x:v>MI-3147</x:v>
      </x:c>
      <x:c r="M930" s="39" t="str">
        <x:v>ارزش 7: مهارت و توسعه فردی</x:v>
      </x:c>
      <x:c r="N930" s="39" t="str">
        <x:v>1154878548.docx::P1531.1 | 1154878548.docx::P1816.1</x:v>
      </x:c>
      <x:c r="O930" s="39"/>
    </x:row>
    <x:row r="931">
      <x:c r="A931" s="34" t="str">
        <x:v>☐</x:v>
      </x:c>
      <x:c r="B931" s="34" t="str">
        <x:v>EX-0903</x:v>
      </x:c>
      <x:c r="C931" s="34" t="str">
        <x:v>۳-۲. تحریم و ارز: STS، کماظهاری (Undervoicing)، حواله ۲.۰، دلارزدایی، سوآپ.</x:v>
      </x:c>
      <x:c r="D931" s="34" t="str">
        <x:v>POSSIBLE</x:v>
      </x:c>
      <x:c r="E931" s="34" t="str">
        <x:v>85.5</x:v>
      </x:c>
      <x:c r="F931" s="34" t="str">
        <x:v>MI-0023</x:v>
      </x:c>
      <x:c r="G931" s="39" t="str">
        <x:v>برنامه ریزی دقیق و علمگرا هییت دانشگاه</x:v>
      </x:c>
      <x:c r="H931" s="39" t="str">
        <x:v>H1</x:v>
      </x:c>
      <x:c r="I931" s="39" t="str">
        <x:v>P0</x:v>
      </x:c>
      <x:c r="J931" s="39" t="str">
        <x:v>H1</x:v>
      </x:c>
      <x:c r="K931" s="39" t="str">
        <x:v>تطبیق احتمالی با پایه</x:v>
      </x:c>
      <x:c r="L931" s="39" t="str">
        <x:v>MI-0023</x:v>
      </x:c>
      <x:c r="M931" s="39" t="str">
        <x:v>برنامه ریزی دقیق و علمگرا هییت دانشگاه</x:v>
      </x:c>
      <x:c r="N931" s="39" t="str">
        <x:v>1154878548.docx::P1532.1 | 1154878548.docx::P1817.1</x:v>
      </x:c>
      <x:c r="O931" s="39"/>
    </x:row>
    <x:row r="932">
      <x:c r="A932" s="34" t="str">
        <x:v>☐</x:v>
      </x:c>
      <x:c r="B932" s="34" t="str">
        <x:v>EX-0904</x:v>
      </x:c>
      <x:c r="C932" s="34" t="str">
        <x:v>۳-۳. مالی و اداری (برنامه شخصی):</x:v>
      </x:c>
      <x:c r="D932" s="34" t="str">
        <x:v>POSSIBLE</x:v>
      </x:c>
      <x:c r="E932" s="34" t="str">
        <x:v>85.5</x:v>
      </x:c>
      <x:c r="F932" s="34" t="str">
        <x:v>MI-0179</x:v>
      </x:c>
      <x:c r="G932" s="39" t="str">
        <x:v>برنامه ریزی شهری</x:v>
      </x:c>
      <x:c r="H932" s="39" t="str">
        <x:v>H1</x:v>
      </x:c>
      <x:c r="I932" s="39" t="str">
        <x:v>P0</x:v>
      </x:c>
      <x:c r="J932" s="39" t="str">
        <x:v>H1</x:v>
      </x:c>
      <x:c r="K932" s="39" t="str">
        <x:v>تطبیق احتمالی با پایه</x:v>
      </x:c>
      <x:c r="L932" s="39" t="str">
        <x:v>MI-0179</x:v>
      </x:c>
      <x:c r="M932" s="39" t="str">
        <x:v>برنامه ریزی شهری</x:v>
      </x:c>
      <x:c r="N932" s="39" t="str">
        <x:v>1154878548.docx::P1533.1 | 1154878548.docx::P1818.1</x:v>
      </x:c>
      <x:c r="O932" s="39"/>
    </x:row>
    <x:row r="933">
      <x:c r="A933" s="34" t="str">
        <x:v>☐</x:v>
      </x:c>
      <x:c r="B933" s="34" t="str">
        <x:v>EX-0905</x:v>
      </x:c>
      <x:c r="C933" s="34" t="str">
        <x:v>بورس و سرمایه: آشنایی با بورس داخلی، مفاهیم علوم اقتصادی.</x:v>
      </x:c>
      <x:c r="D933" s="34" t="str">
        <x:v>POSSIBLE</x:v>
      </x:c>
      <x:c r="E933" s="34" t="str">
        <x:v>90.0</x:v>
      </x:c>
      <x:c r="F933" s="34" t="str">
        <x:v>MI-0200</x:v>
      </x:c>
      <x:c r="G933" s="39" t="str">
        <x:v>علوم اقتصادی</x:v>
      </x:c>
      <x:c r="H933" s="39" t="str">
        <x:v>H16</x:v>
      </x:c>
      <x:c r="I933" s="39" t="str">
        <x:v>P3/CLARIFY</x:v>
      </x:c>
      <x:c r="J933" s="39" t="str">
        <x:v>H16</x:v>
      </x:c>
      <x:c r="K933" s="39" t="str">
        <x:v>تطبیق احتمالی با پایه</x:v>
      </x:c>
      <x:c r="L933" s="39" t="str">
        <x:v>MI-0200</x:v>
      </x:c>
      <x:c r="M933" s="39" t="str">
        <x:v>علوم اقتصادی</x:v>
      </x:c>
      <x:c r="N933" s="39" t="str">
        <x:v>1154878548.docx::P1534.1 | 1154878548.docx::P1819.1</x:v>
      </x:c>
      <x:c r="O933" s="39"/>
    </x:row>
    <x:row r="934">
      <x:c r="A934" s="34" t="str">
        <x:v>☐</x:v>
      </x:c>
      <x:c r="B934" s="34" t="str">
        <x:v>EX-0906</x:v>
      </x:c>
      <x:c r="C934" s="34" t="str">
        <x:v>ابزارهای مالی: یادگیری نرمافزار حسابداری (هلو یا سپیدار).</x:v>
      </x:c>
      <x:c r="D934" s="34" t="str">
        <x:v>POSSIBLE</x:v>
      </x:c>
      <x:c r="E934" s="34" t="str">
        <x:v>90.0</x:v>
      </x:c>
      <x:c r="F934" s="34" t="str">
        <x:v>MI-2970</x:v>
      </x:c>
      <x:c r="G934" s="39" t="str">
        <x:v>ابزارها:</x:v>
      </x:c>
      <x:c r="H934" s="39" t="str">
        <x:v>H20</x:v>
      </x:c>
      <x:c r="I934" s="39" t="str">
        <x:v>P3/CLARIFY</x:v>
      </x:c>
      <x:c r="J934" s="39" t="str">
        <x:v>H20</x:v>
      </x:c>
      <x:c r="K934" s="39" t="str">
        <x:v>تطبیق احتمالی با پایه</x:v>
      </x:c>
      <x:c r="L934" s="39" t="str">
        <x:v>MI-2970</x:v>
      </x:c>
      <x:c r="M934" s="39" t="str">
        <x:v>ابزارها:</x:v>
      </x:c>
      <x:c r="N934" s="39" t="str">
        <x:v>1154878548.docx::P1535.1 | 1154878548.docx::P1820.1</x:v>
      </x:c>
      <x:c r="O934" s="39"/>
    </x:row>
    <x:row r="935">
      <x:c r="A935" s="34" t="str">
        <x:v>☐</x:v>
      </x:c>
      <x:c r="B935" s="34" t="str">
        <x:v>EX-0907</x:v>
      </x:c>
      <x:c r="C935" s="34" t="str">
        <x:v>۳-۴. کریپتو و فینتک: بلاکچین، CBDC، رمزارز در تحریم.</x:v>
      </x:c>
      <x:c r="D935" s="34" t="str">
        <x:v>POSSIBLE</x:v>
      </x:c>
      <x:c r="E935" s="34" t="str">
        <x:v>85.5</x:v>
      </x:c>
      <x:c r="F935" s="34" t="str">
        <x:v>MI-0029</x:v>
      </x:c>
      <x:c r="G935" s="39" t="str">
        <x:v>تدریس ریاضی و فیزیک</x:v>
      </x:c>
      <x:c r="H935" s="39" t="str">
        <x:v>H1</x:v>
      </x:c>
      <x:c r="I935" s="39" t="str">
        <x:v>P0</x:v>
      </x:c>
      <x:c r="J935" s="39" t="str">
        <x:v>H1</x:v>
      </x:c>
      <x:c r="K935" s="39" t="str">
        <x:v>تطبیق احتمالی با پایه</x:v>
      </x:c>
      <x:c r="L935" s="39" t="str">
        <x:v>MI-0029</x:v>
      </x:c>
      <x:c r="M935" s="39" t="str">
        <x:v>تدریس ریاضی و فیزیک</x:v>
      </x:c>
      <x:c r="N935" s="39" t="str">
        <x:v>1154878548.docx::P1537.1 | 1154878548.docx::P1822.1</x:v>
      </x:c>
      <x:c r="O935" s="39"/>
    </x:row>
    <x:row r="936">
      <x:c r="A936" s="34" t="str">
        <x:v>☐</x:v>
      </x:c>
      <x:c r="B936" s="34" t="str">
        <x:v>EX-0908</x:v>
      </x:c>
      <x:c r="C936" s="34" t="str">
        <x:v>۴. حقوق و دیپلماسی تجاری (Law &amp; Business Diplomacy)</x:v>
      </x:c>
      <x:c r="D936" s="34" t="str">
        <x:v>POSSIBLE</x:v>
      </x:c>
      <x:c r="E936" s="34" t="str">
        <x:v>85.5</x:v>
      </x:c>
      <x:c r="F936" s="34" t="str">
        <x:v>MI-0029</x:v>
      </x:c>
      <x:c r="G936" s="39" t="str">
        <x:v>تدریس ریاضی و فیزیک</x:v>
      </x:c>
      <x:c r="H936" s="39" t="str">
        <x:v>H1</x:v>
      </x:c>
      <x:c r="I936" s="39" t="str">
        <x:v>P0</x:v>
      </x:c>
      <x:c r="J936" s="39" t="str">
        <x:v>H1</x:v>
      </x:c>
      <x:c r="K936" s="39" t="str">
        <x:v>تطبیق احتمالی با پایه</x:v>
      </x:c>
      <x:c r="L936" s="39" t="str">
        <x:v>MI-0029</x:v>
      </x:c>
      <x:c r="M936" s="39" t="str">
        <x:v>تدریس ریاضی و فیزیک</x:v>
      </x:c>
      <x:c r="N936" s="39" t="str">
        <x:v>1154878548.docx::P1538.1 | 1154878548.docx::P1823.1</x:v>
      </x:c>
      <x:c r="O936" s="39"/>
    </x:row>
    <x:row r="937">
      <x:c r="A937" s="34" t="str">
        <x:v>☐</x:v>
      </x:c>
      <x:c r="B937" s="34" t="str">
        <x:v>EX-0909</x:v>
      </x:c>
      <x:c r="C937" s="34" t="str">
        <x:v>تمرکز: جنگ حقوقی و قراردادها</x:v>
      </x:c>
      <x:c r="D937" s="34" t="str">
        <x:v>POSSIBLE</x:v>
      </x:c>
      <x:c r="E937" s="34" t="str">
        <x:v>90.0</x:v>
      </x:c>
      <x:c r="F937" s="34" t="str">
        <x:v>MI-1308</x:v>
      </x:c>
      <x:c r="G937" s="39" t="str">
        <x:v>حقوقی</x:v>
      </x:c>
      <x:c r="H937" s="39" t="str">
        <x:v>H12</x:v>
      </x:c>
      <x:c r="I937" s="39" t="str">
        <x:v>P2</x:v>
      </x:c>
      <x:c r="J937" s="39" t="str">
        <x:v>H12</x:v>
      </x:c>
      <x:c r="K937" s="39" t="str">
        <x:v>تطبیق احتمالی با پایه</x:v>
      </x:c>
      <x:c r="L937" s="39" t="str">
        <x:v>MI-1308</x:v>
      </x:c>
      <x:c r="M937" s="39" t="str">
        <x:v>حقوقی</x:v>
      </x:c>
      <x:c r="N937" s="39" t="str">
        <x:v>1154878548.docx::P1539.1 | 1154878548.docx::P1824.1</x:v>
      </x:c>
      <x:c r="O937" s="39"/>
    </x:row>
    <x:row r="938">
      <x:c r="A938" s="34" t="str">
        <x:v>☐</x:v>
      </x:c>
      <x:c r="B938" s="34" t="str">
        <x:v>EX-0910</x:v>
      </x:c>
      <x:c r="C938" s="34" t="str">
        <x:v>۴-۱. جنگ حقوقی (Lawfare): FATF، ICC، پرونده کرسنت، پرونده SFO.</x:v>
      </x:c>
      <x:c r="D938" s="34" t="str">
        <x:v>POSSIBLE</x:v>
      </x:c>
      <x:c r="E938" s="34" t="str">
        <x:v>85.5</x:v>
      </x:c>
      <x:c r="F938" s="34" t="str">
        <x:v>MI-1524</x:v>
      </x:c>
      <x:c r="G938" s="39" t="str">
        <x:v>حقوقی و مدنی:</x:v>
      </x:c>
      <x:c r="H938" s="39" t="str">
        <x:v>H1</x:v>
      </x:c>
      <x:c r="I938" s="39" t="str">
        <x:v>P0</x:v>
      </x:c>
      <x:c r="J938" s="39" t="str">
        <x:v>H1</x:v>
      </x:c>
      <x:c r="K938" s="39" t="str">
        <x:v>تطبیق احتمالی با پایه</x:v>
      </x:c>
      <x:c r="L938" s="39" t="str">
        <x:v>MI-1524</x:v>
      </x:c>
      <x:c r="M938" s="39" t="str">
        <x:v>حقوقی و مدنی:</x:v>
      </x:c>
      <x:c r="N938" s="39" t="str">
        <x:v>1154878548.docx::P1540.1 | 1154878548.docx::P1825.1</x:v>
      </x:c>
      <x:c r="O938" s="39"/>
    </x:row>
    <x:row r="939">
      <x:c r="A939" s="34" t="str">
        <x:v>☐</x:v>
      </x:c>
      <x:c r="B939" s="34" t="str">
        <x:v>EX-0911</x:v>
      </x:c>
      <x:c r="C939" s="34" t="str">
        <x:v>۴-۲. حقوق مدرن: قراردادهای هوشمند، حقوق سایبری، NDA.</x:v>
      </x:c>
      <x:c r="D939" s="34" t="str">
        <x:v>POSSIBLE</x:v>
      </x:c>
      <x:c r="E939" s="34" t="str">
        <x:v>85.5</x:v>
      </x:c>
      <x:c r="F939" s="34" t="str">
        <x:v>MI-1640</x:v>
      </x:c>
      <x:c r="G939" s="39" t="str">
        <x:v>• گلخانه و کشاورزی مدرن</x:v>
      </x:c>
      <x:c r="H939" s="39" t="str">
        <x:v>H12</x:v>
      </x:c>
      <x:c r="I939" s="39" t="str">
        <x:v>P2</x:v>
      </x:c>
      <x:c r="J939" s="39" t="str">
        <x:v>H12</x:v>
      </x:c>
      <x:c r="K939" s="39" t="str">
        <x:v>تطبیق احتمالی با پایه</x:v>
      </x:c>
      <x:c r="L939" s="39" t="str">
        <x:v>MI-1640</x:v>
      </x:c>
      <x:c r="M939" s="39" t="str">
        <x:v>• گلخانه و کشاورزی مدرن</x:v>
      </x:c>
      <x:c r="N939" s="39" t="str">
        <x:v>1154878548.docx::P1541.1 | 1154878548.docx::P1826.1</x:v>
      </x:c>
      <x:c r="O939" s="39"/>
    </x:row>
    <x:row r="940">
      <x:c r="A940" s="34" t="str">
        <x:v>☐</x:v>
      </x:c>
      <x:c r="B940" s="34" t="str">
        <x:v>EX-0912</x:v>
      </x:c>
      <x:c r="C940" s="34" t="str">
        <x:v>۴-۳. مهارتهای حقوقی کسبوکـار:</x:v>
      </x:c>
      <x:c r="D940" s="34" t="str">
        <x:v>POSSIBLE</x:v>
      </x:c>
      <x:c r="E940" s="34" t="str">
        <x:v>90.0</x:v>
      </x:c>
      <x:c r="F940" s="34" t="str">
        <x:v>MI-1308</x:v>
      </x:c>
      <x:c r="G940" s="39" t="str">
        <x:v>حقوقی</x:v>
      </x:c>
      <x:c r="H940" s="39" t="str">
        <x:v>H12</x:v>
      </x:c>
      <x:c r="I940" s="39" t="str">
        <x:v>P2</x:v>
      </x:c>
      <x:c r="J940" s="39" t="str">
        <x:v>H12</x:v>
      </x:c>
      <x:c r="K940" s="39" t="str">
        <x:v>تطبیق احتمالی با پایه</x:v>
      </x:c>
      <x:c r="L940" s="39" t="str">
        <x:v>MI-1308</x:v>
      </x:c>
      <x:c r="M940" s="39" t="str">
        <x:v>حقوقی</x:v>
      </x:c>
      <x:c r="N940" s="39" t="str">
        <x:v>1154878548.docx::P1542.1 | 1154878548.docx::P1827.1</x:v>
      </x:c>
      <x:c r="O940" s="39"/>
    </x:row>
    <x:row r="941">
      <x:c r="A941" s="34" t="str">
        <x:v>☐</x:v>
      </x:c>
      <x:c r="B941" s="34" t="str">
        <x:v>EX-0913</x:v>
      </x:c>
      <x:c r="C941" s="34" t="str">
        <x:v>قوانین صادرات و واردات.</x:v>
      </x:c>
      <x:c r="D941" s="34" t="str">
        <x:v>POSSIBLE</x:v>
      </x:c>
      <x:c r="E941" s="34" t="str">
        <x:v>90.0</x:v>
      </x:c>
      <x:c r="F941" s="34" t="str">
        <x:v>MI-2603</x:v>
      </x:c>
      <x:c r="G941" s="39" t="str">
        <x:v>صادرات</x:v>
      </x:c>
      <x:c r="H941" s="39" t="str">
        <x:v>H8</x:v>
      </x:c>
      <x:c r="I941" s="39" t="str">
        <x:v>P2</x:v>
      </x:c>
      <x:c r="J941" s="39" t="str">
        <x:v>H8</x:v>
      </x:c>
      <x:c r="K941" s="39" t="str">
        <x:v>افزوده جدید</x:v>
      </x:c>
      <x:c r="L941" s="39" t="str">
        <x:v>N115-0035</x:v>
      </x:c>
      <x:c r="M941" s="39" t="str">
        <x:v>قوانین صادرات و واردات</x:v>
      </x:c>
      <x:c r="N941" s="39" t="str">
        <x:v>1154878548.docx::P1543.1 | 1154878548.docx::P1828.1</x:v>
      </x:c>
      <x:c r="O941" s="39"/>
    </x:row>
    <x:row r="942">
      <x:c r="A942" s="34" t="str">
        <x:v>☐</x:v>
      </x:c>
      <x:c r="B942" s="34" t="str">
        <x:v>EX-0914</x:v>
      </x:c>
      <x:c r="C942" s="34" t="str">
        <x:v>تنظیم قراردادهای تجاری و پیمانکاری.</x:v>
      </x:c>
      <x:c r="D942" s="34" t="str">
        <x:v>POSSIBLE</x:v>
      </x:c>
      <x:c r="E942" s="34" t="str">
        <x:v>85.5</x:v>
      </x:c>
      <x:c r="F942" s="34" t="str">
        <x:v>MI-1513</x:v>
      </x:c>
      <x:c r="G942" s="39" t="str">
        <x:v>تولید و کارآفرینی: توانایی تولید محصول و خدمات و ایجاد شغل.</x:v>
      </x:c>
      <x:c r="H942" s="39" t="str">
        <x:v>H1</x:v>
      </x:c>
      <x:c r="I942" s="39" t="str">
        <x:v>P0</x:v>
      </x:c>
      <x:c r="J942" s="39" t="str">
        <x:v>H8</x:v>
      </x:c>
      <x:c r="K942" s="39" t="str">
        <x:v>افزوده جدید</x:v>
      </x:c>
      <x:c r="L942" s="39" t="str">
        <x:v>N115-0036</x:v>
      </x:c>
      <x:c r="M942" s="39" t="str">
        <x:v>تنظیم قراردادهای تجاری و پیمانکاری</x:v>
      </x:c>
      <x:c r="N942" s="39" t="str">
        <x:v>1154878548.docx::P1544.1 | 1154878548.docx::P1829.1</x:v>
      </x:c>
      <x:c r="O942" s="39"/>
    </x:row>
    <x:row r="943">
      <x:c r="A943" s="34" t="str">
        <x:v>☐</x:v>
      </x:c>
      <x:c r="B943" s="34" t="str">
        <x:v>EX-0915</x:v>
      </x:c>
      <x:c r="C943" s="34" t="str">
        <x:v>۵. جنگ شناختی، رسانه و هنر (Cognitive Warfare &amp; Media Art)</x:v>
      </x:c>
      <x:c r="D943" s="34" t="str">
        <x:v>POSSIBLE</x:v>
      </x:c>
      <x:c r="E943" s="34" t="str">
        <x:v>85.5</x:v>
      </x:c>
      <x:c r="F943" s="34" t="str">
        <x:v>MI-0029</x:v>
      </x:c>
      <x:c r="G943" s="39" t="str">
        <x:v>تدریس ریاضی و فیزیک</x:v>
      </x:c>
      <x:c r="H943" s="39" t="str">
        <x:v>H1</x:v>
      </x:c>
      <x:c r="I943" s="39" t="str">
        <x:v>P0</x:v>
      </x:c>
      <x:c r="J943" s="39" t="str">
        <x:v>H1</x:v>
      </x:c>
      <x:c r="K943" s="39" t="str">
        <x:v>تطبیق احتمالی با پایه</x:v>
      </x:c>
      <x:c r="L943" s="39" t="str">
        <x:v>MI-0029</x:v>
      </x:c>
      <x:c r="M943" s="39" t="str">
        <x:v>تدریس ریاضی و فیزیک</x:v>
      </x:c>
      <x:c r="N943" s="39" t="str">
        <x:v>1154878548.docx::P1545.1 | 1154878548.docx::P1830.1</x:v>
      </x:c>
      <x:c r="O943" s="39"/>
    </x:row>
    <x:row r="944">
      <x:c r="A944" s="34" t="str">
        <x:v>☐</x:v>
      </x:c>
      <x:c r="B944" s="34" t="str">
        <x:v>EX-0916</x:v>
      </x:c>
      <x:c r="C944" s="34" t="str">
        <x:v>تمرکز: مهندسی ذهن، تولید محتوا و بلاغت</x:v>
      </x:c>
      <x:c r="D944" s="34" t="str">
        <x:v>POSSIBLE</x:v>
      </x:c>
      <x:c r="E944" s="34" t="str">
        <x:v>90.0</x:v>
      </x:c>
      <x:c r="F944" s="34" t="str">
        <x:v>MI-0673</x:v>
      </x:c>
      <x:c r="G944" s="39" t="str">
        <x:v>تولید محتوا</x:v>
      </x:c>
      <x:c r="H944" s="39" t="str">
        <x:v>H12</x:v>
      </x:c>
      <x:c r="I944" s="39" t="str">
        <x:v>P2</x:v>
      </x:c>
      <x:c r="J944" s="39" t="str">
        <x:v>H12</x:v>
      </x:c>
      <x:c r="K944" s="39" t="str">
        <x:v>تطبیق احتمالی با پایه</x:v>
      </x:c>
      <x:c r="L944" s="39" t="str">
        <x:v>MI-0673</x:v>
      </x:c>
      <x:c r="M944" s="39" t="str">
        <x:v>تولید محتوا</x:v>
      </x:c>
      <x:c r="N944" s="39" t="str">
        <x:v>1154878548.docx::P1546.1 | 1154878548.docx::P1831.1</x:v>
      </x:c>
      <x:c r="O944" s="39"/>
    </x:row>
    <x:row r="945">
      <x:c r="A945" s="34" t="str">
        <x:v>☐</x:v>
      </x:c>
      <x:c r="B945" s="34" t="str">
        <x:v>EX-0917</x:v>
      </x:c>
      <x:c r="C945" s="34" t="str">
        <x:v>۵-۱. تکنیکهای تأثیرگذاری: FOMO، مارپیچ سکوت، استعمار الگوریتمی، مثلث تخریب (اندلسسازی).</x:v>
      </x:c>
      <x:c r="D945" s="34" t="str">
        <x:v>POSSIBLE</x:v>
      </x:c>
      <x:c r="E945" s="34" t="str">
        <x:v>85.5</x:v>
      </x:c>
      <x:c r="F945" s="34" t="str">
        <x:v>MI-1395</x:v>
      </x:c>
      <x:c r="G945" s="39" t="str">
        <x:v>امروزه، نسل جدیدی از پلاستیک های تجزیه پذیر، ساخته شده از پلیمرهای زیستی، مانند نشاسته ذرت، در حال تولید است تا جایگزین پلی کربنات شود. این پلاستیک ها، پس از مصرف، به کمپوست (کود) تبدیل می شود و به همین دلیل، در اصطلاح، به آن ها زیست تخریب پذیر (Compostable) گفته می شود. این پلاستیک ها نیز در گروه شماره 7 گنجانده شده اند که می تواند برای مصرف کننده، گیج کننده باشد. در نزدیکی نماد بازیافت، در پشت ظرف هایی از این دست، حروف PLA و در برخی موارد هم عبارت Compostable درج شده است.</x:v>
      </x:c>
      <x:c r="H945" s="39" t="str">
        <x:v>H12</x:v>
      </x:c>
      <x:c r="I945" s="39" t="str">
        <x:v>P2</x:v>
      </x:c>
      <x:c r="J945" s="39" t="str">
        <x:v>H12</x:v>
      </x:c>
      <x:c r="K945" s="39" t="str">
        <x:v>تطبیق احتمالی با پایه</x:v>
      </x:c>
      <x:c r="L945" s="39" t="str">
        <x:v>MI-1395</x:v>
      </x:c>
      <x:c r="M945" s="39" t="str">
        <x:v>امروزه، نسل جدیدی از پلاستیک های تجزیه پذیر، ساخته شده از پلیمرهای زیستی، مانند نشاسته ذرت، در حال تولید است تا جایگزین پلی کربنات شود. این پلاستیک ها، پس از مصرف، به کمپوست (کود) تبدیل می شود و به همین دلیل، در اصطلاح، به آن ها زیست تخریب پذیر (Compostable) گفته می شود. این پلاستیک ها نیز در گروه شماره 7 گنجانده شده اند که می تواند برای مصرف کننده، گیج کننده باشد. در نزدیکی نماد بازیافت، در پشت ظرف هایی از این دست، حروف PLA و در برخی موارد هم عبارت Compostable درج شده است.</x:v>
      </x:c>
      <x:c r="N945" s="39" t="str">
        <x:v>1154878548.docx::P1547.1 | 1154878548.docx::P1832.1</x:v>
      </x:c>
      <x:c r="O945" s="39"/>
    </x:row>
    <x:row r="946">
      <x:c r="A946" s="34" t="str">
        <x:v>☐</x:v>
      </x:c>
      <x:c r="B946" s="34" t="str">
        <x:v>EX-0918</x:v>
      </x:c>
      <x:c r="C946" s="34" t="str">
        <x:v>۵-۲. ابزارهای رسانهای پیشرفته: دیپفیک، انسان-رسانه، باتفارمها.</x:v>
      </x:c>
      <x:c r="D946" s="34" t="str">
        <x:v>POSSIBLE</x:v>
      </x:c>
      <x:c r="E946" s="34" t="str">
        <x:v>90.0</x:v>
      </x:c>
      <x:c r="F946" s="34" t="str">
        <x:v>MI-0503</x:v>
      </x:c>
      <x:c r="G946" s="39" t="str">
        <x:v>انسان رسانه</x:v>
      </x:c>
      <x:c r="H946" s="39" t="str">
        <x:v>H18</x:v>
      </x:c>
      <x:c r="I946" s="39" t="str">
        <x:v>BANK</x:v>
      </x:c>
      <x:c r="J946" s="39" t="str">
        <x:v>H18</x:v>
      </x:c>
      <x:c r="K946" s="39" t="str">
        <x:v>تطبیق احتمالی با پایه</x:v>
      </x:c>
      <x:c r="L946" s="39" t="str">
        <x:v>MI-0503</x:v>
      </x:c>
      <x:c r="M946" s="39" t="str">
        <x:v>انسان رسانه</x:v>
      </x:c>
      <x:c r="N946" s="39" t="str">
        <x:v>1154878548.docx::P1548.1 | 1154878548.docx::P1833.1</x:v>
      </x:c>
      <x:c r="O946" s="39"/>
    </x:row>
    <x:row r="947">
      <x:c r="A947" s="34" t="str">
        <x:v>☐</x:v>
      </x:c>
      <x:c r="B947" s="34" t="str">
        <x:v>EX-0919</x:v>
      </x:c>
      <x:c r="C947" s="34" t="str">
        <x:v>۵-۳. مهارتهای تولید محتوا (برنامه شخصی):</x:v>
      </x:c>
      <x:c r="D947" s="34" t="str">
        <x:v>POSSIBLE</x:v>
      </x:c>
      <x:c r="E947" s="34" t="str">
        <x:v>90.0</x:v>
      </x:c>
      <x:c r="F947" s="34" t="str">
        <x:v>MI-0673</x:v>
      </x:c>
      <x:c r="G947" s="39" t="str">
        <x:v>تولید محتوا</x:v>
      </x:c>
      <x:c r="H947" s="39" t="str">
        <x:v>H12</x:v>
      </x:c>
      <x:c r="I947" s="39" t="str">
        <x:v>P2</x:v>
      </x:c>
      <x:c r="J947" s="39" t="str">
        <x:v>H12</x:v>
      </x:c>
      <x:c r="K947" s="39" t="str">
        <x:v>تطبیق احتمالی با پایه</x:v>
      </x:c>
      <x:c r="L947" s="39" t="str">
        <x:v>MI-0673</x:v>
      </x:c>
      <x:c r="M947" s="39" t="str">
        <x:v>تولید محتوا</x:v>
      </x:c>
      <x:c r="N947" s="39" t="str">
        <x:v>1154878548.docx::P1549.1 | 1154878548.docx::P1834.1</x:v>
      </x:c>
      <x:c r="O947" s="39"/>
    </x:row>
    <x:row r="948">
      <x:c r="A948" s="34" t="str">
        <x:v>☐</x:v>
      </x:c>
      <x:c r="B948" s="34" t="str">
        <x:v>EX-0920</x:v>
      </x:c>
      <x:c r="C948" s="34" t="str">
        <x:v>تصویر و تدوین: Corel Video Studio، Unreal Engine (آنریل انجین)، After Effects.</x:v>
      </x:c>
      <x:c r="D948" s="34" t="str">
        <x:v>POSSIBLE</x:v>
      </x:c>
      <x:c r="E948" s="34" t="str">
        <x:v>90.0</x:v>
      </x:c>
      <x:c r="F948" s="34" t="str">
        <x:v>MI-1480</x:v>
      </x:c>
      <x:c r="G948" s="39" t="str">
        <x:v>Corel Video Studio</x:v>
      </x:c>
      <x:c r="H948" s="39" t="str">
        <x:v>H1</x:v>
      </x:c>
      <x:c r="I948" s="39" t="str">
        <x:v>P0</x:v>
      </x:c>
      <x:c r="J948" s="39" t="str">
        <x:v>H1</x:v>
      </x:c>
      <x:c r="K948" s="39" t="str">
        <x:v>تطبیق احتمالی با پایه</x:v>
      </x:c>
      <x:c r="L948" s="39" t="str">
        <x:v>MI-1480</x:v>
      </x:c>
      <x:c r="M948" s="39" t="str">
        <x:v>Corel Video Studio</x:v>
      </x:c>
      <x:c r="N948" s="39" t="str">
        <x:v>1154878548.docx::P1550.1 | 1154878548.docx::P1835.1</x:v>
      </x:c>
      <x:c r="O948" s="39"/>
    </x:row>
    <x:row r="949">
      <x:c r="A949" s="34" t="str">
        <x:v>☐</x:v>
      </x:c>
      <x:c r="B949" s="34" t="str">
        <x:v>EX-0921</x:v>
      </x:c>
      <x:c r="C949" s="34" t="str">
        <x:v>صدا و بیان: گویندگی و اجرا، هوش مصنوعی و دوبله، فن بیان و سخنوری.</x:v>
      </x:c>
      <x:c r="D949" s="34" t="str">
        <x:v>POSSIBLE</x:v>
      </x:c>
      <x:c r="E949" s="34" t="str">
        <x:v>90.0</x:v>
      </x:c>
      <x:c r="F949" s="34" t="str">
        <x:v>MI-2652</x:v>
      </x:c>
      <x:c r="G949" s="39" t="str">
        <x:v>هوش مصنوعی</x:v>
      </x:c>
      <x:c r="H949" s="39" t="str">
        <x:v>H7</x:v>
      </x:c>
      <x:c r="I949" s="39" t="str">
        <x:v>P1</x:v>
      </x:c>
      <x:c r="J949" s="39" t="str">
        <x:v>H7</x:v>
      </x:c>
      <x:c r="K949" s="39" t="str">
        <x:v>تطبیق احتمالی با پایه</x:v>
      </x:c>
      <x:c r="L949" s="39" t="str">
        <x:v>MI-2652</x:v>
      </x:c>
      <x:c r="M949" s="39" t="str">
        <x:v>هوش مصنوعی</x:v>
      </x:c>
      <x:c r="N949" s="39" t="str">
        <x:v>1154878548.docx::P1551.1 | 1154878548.docx::P1836.1</x:v>
      </x:c>
      <x:c r="O949" s="39"/>
    </x:row>
    <x:row r="950">
      <x:c r="A950" s="34" t="str">
        <x:v>☐</x:v>
      </x:c>
      <x:c r="B950" s="34" t="str">
        <x:v>EX-0922</x:v>
      </x:c>
      <x:c r="C950" s="34" t="str">
        <x:v>پروژهها: راهاندازی رادیو تب (پارت همدردی)، ساخت اپلیکیشن خلاصه کتب.</x:v>
      </x:c>
      <x:c r="D950" s="34" t="str">
        <x:v>POSSIBLE</x:v>
      </x:c>
      <x:c r="E950" s="34" t="str">
        <x:v>85.5</x:v>
      </x:c>
      <x:c r="F950" s="34" t="str">
        <x:v>MI-3063</x:v>
      </x:c>
      <x:c r="G950"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950" s="39" t="str">
        <x:v>H1</x:v>
      </x:c>
      <x:c r="I950" s="39" t="str">
        <x:v>P0</x:v>
      </x:c>
      <x:c r="J950" s="39" t="str">
        <x:v>H1</x:v>
      </x:c>
      <x:c r="K950" s="39" t="str">
        <x:v>تطبیق احتمالی با پایه</x:v>
      </x:c>
      <x:c r="L950" s="39" t="str">
        <x:v>MI-3063</x:v>
      </x:c>
      <x:c r="M950"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950" s="39" t="str">
        <x:v>1154878548.docx::P1552.1 | 1154878548.docx::P1837.1</x:v>
      </x:c>
      <x:c r="O950" s="39"/>
    </x:row>
    <x:row r="951">
      <x:c r="A951" s="34" t="str">
        <x:v>☐</x:v>
      </x:c>
      <x:c r="B951" s="34" t="str">
        <x:v>EX-0923</x:v>
      </x:c>
      <x:c r="C951" s="34" t="str">
        <x:v>۵-۴. زرادخانه کلامی و جملات ناب (اختصاصی):</x:v>
      </x:c>
      <x:c r="D951" s="34" t="str">
        <x:v>POSSIBLE</x:v>
      </x:c>
      <x:c r="E951" s="34" t="str">
        <x:v>90.0</x:v>
      </x:c>
      <x:c r="F951" s="34" t="str">
        <x:v>MI-0325</x:v>
      </x:c>
      <x:c r="G951" s="39" t="str">
        <x:v>جملات ناب:</x:v>
      </x:c>
      <x:c r="H951" s="39" t="str">
        <x:v>H18</x:v>
      </x:c>
      <x:c r="I951" s="39" t="str">
        <x:v>P3/CLARIFY</x:v>
      </x:c>
      <x:c r="J951" s="39" t="str">
        <x:v>H18</x:v>
      </x:c>
      <x:c r="K951" s="39" t="str">
        <x:v>تطبیق احتمالی با پایه</x:v>
      </x:c>
      <x:c r="L951" s="39" t="str">
        <x:v>MI-0325</x:v>
      </x:c>
      <x:c r="M951" s="39" t="str">
        <x:v>جملات ناب:</x:v>
      </x:c>
      <x:c r="N951" s="39" t="str">
        <x:v>1154878548.docx::P1553.1 | 1154878548.docx::P1838.1</x:v>
      </x:c>
      <x:c r="O951" s="39"/>
    </x:row>
    <x:row r="952">
      <x:c r="A952" s="34" t="str">
        <x:v>☐</x:v>
      </x:c>
      <x:c r="B952" s="34" t="str">
        <x:v>EX-0924</x:v>
      </x:c>
      <x:c r="C952" s="34" t="str">
        <x:v>«بلند پرواز باش ولی پله پله پرواز کن…»</x:v>
      </x:c>
      <x:c r="D952" s="34" t="str">
        <x:v>POSSIBLE</x:v>
      </x:c>
      <x:c r="E952" s="34" t="str">
        <x:v>90.0</x:v>
      </x:c>
      <x:c r="F952" s="34" t="str">
        <x:v>MI-0338</x:v>
      </x:c>
      <x:c r="G952" s="39" t="str">
        <x:v>بلند پرواز باش ولی پله پله پرواز کن اگه یه دفهبری بالا یه دفه با کله سقوط میکنی نابود میشی ولی اکه مده پله بری بالا جاتو سفتمیکنی هیچ چیز دکیه ای تمیتونه تگونت بده</x:v>
      </x:c>
      <x:c r="H952" s="39" t="str">
        <x:v>H18</x:v>
      </x:c>
      <x:c r="I952" s="39" t="str">
        <x:v>P3/CLARIFY</x:v>
      </x:c>
      <x:c r="J952" s="39" t="str">
        <x:v>H18</x:v>
      </x:c>
      <x:c r="K952" s="39" t="str">
        <x:v>تطبیق احتمالی با پایه</x:v>
      </x:c>
      <x:c r="L952" s="39" t="str">
        <x:v>MI-0338</x:v>
      </x:c>
      <x:c r="M952" s="39" t="str">
        <x:v>بلند پرواز باش ولی پله پله پرواز کن اگه یه دفهبری بالا یه دفه با کله سقوط میکنی نابود میشی ولی اکه مده پله بری بالا جاتو سفتمیکنی هیچ چیز دکیه ای تمیتونه تگونت بده</x:v>
      </x:c>
      <x:c r="N952" s="39" t="str">
        <x:v>1154878548.docx::P1557.1 | 1154878548.docx::P1842.1</x:v>
      </x:c>
      <x:c r="O952" s="39"/>
    </x:row>
    <x:row r="953">
      <x:c r="A953" s="34" t="str">
        <x:v>☐</x:v>
      </x:c>
      <x:c r="B953" s="34" t="str">
        <x:v>EX-0925</x:v>
      </x:c>
      <x:c r="C953" s="34" t="str">
        <x:v>«با غرور و نِخوت.» / «غائله ختم شد.»</x:v>
      </x:c>
      <x:c r="D953" s="34" t="str">
        <x:v>POSSIBLE</x:v>
      </x:c>
      <x:c r="E953" s="34" t="str">
        <x:v>90.0</x:v>
      </x:c>
      <x:c r="F953" s="34" t="str">
        <x:v>MI-0355</x:v>
      </x:c>
      <x:c r="G953" s="39" t="str">
        <x:v>با غرور و نِخوت</x:v>
      </x:c>
      <x:c r="H953" s="39" t="str">
        <x:v>H18</x:v>
      </x:c>
      <x:c r="I953" s="39" t="str">
        <x:v>P3/CLARIFY</x:v>
      </x:c>
      <x:c r="J953" s="39" t="str">
        <x:v>H18</x:v>
      </x:c>
      <x:c r="K953" s="39" t="str">
        <x:v>تطبیق احتمالی با پایه</x:v>
      </x:c>
      <x:c r="L953" s="39" t="str">
        <x:v>MI-0355</x:v>
      </x:c>
      <x:c r="M953" s="39" t="str">
        <x:v>با غرور و نِخوت</x:v>
      </x:c>
      <x:c r="N953" s="39" t="str">
        <x:v>1154878548.docx::P1562.1 | 1154878548.docx::P1847.1</x:v>
      </x:c>
      <x:c r="O953" s="39"/>
    </x:row>
    <x:row r="954">
      <x:c r="A954" s="34" t="str">
        <x:v>☐</x:v>
      </x:c>
      <x:c r="B954" s="34" t="str">
        <x:v>EX-0926</x:v>
      </x:c>
      <x:c r="C954" s="34" t="str">
        <x:v>«در نطفه آن را خفه کردیم.» / «تلویحاً قبول کرد.»</x:v>
      </x:c>
      <x:c r="D954" s="34" t="str">
        <x:v>POSSIBLE</x:v>
      </x:c>
      <x:c r="E954" s="34" t="str">
        <x:v>90.0</x:v>
      </x:c>
      <x:c r="F954" s="34" t="str">
        <x:v>MI-0328</x:v>
      </x:c>
      <x:c r="G954" s="39" t="str">
        <x:v>تلویحاً قبول کرد</x:v>
      </x:c>
      <x:c r="H954" s="39" t="str">
        <x:v>H18</x:v>
      </x:c>
      <x:c r="I954" s="39" t="str">
        <x:v>P3/CLARIFY</x:v>
      </x:c>
      <x:c r="J954" s="39" t="str">
        <x:v>H18</x:v>
      </x:c>
      <x:c r="K954" s="39" t="str">
        <x:v>تطبیق احتمالی با پایه</x:v>
      </x:c>
      <x:c r="L954" s="39" t="str">
        <x:v>MI-0328</x:v>
      </x:c>
      <x:c r="M954" s="39" t="str">
        <x:v>تلویحاً قبول کرد</x:v>
      </x:c>
      <x:c r="N954" s="39" t="str">
        <x:v>1154878548.docx::P1563.1 | 1154878548.docx::P1848.1</x:v>
      </x:c>
      <x:c r="O954" s="39"/>
    </x:row>
    <x:row r="955">
      <x:c r="A955" s="34" t="str">
        <x:v>☐</x:v>
      </x:c>
      <x:c r="B955" s="34" t="str">
        <x:v>EX-0927</x:v>
      </x:c>
      <x:c r="C955" s="34" t="str">
        <x:v>کافه جریان: محمد عرفان (جریانسازی، جریانسوزی).</x:v>
      </x:c>
      <x:c r="D955" s="34" t="str">
        <x:v>POSSIBLE</x:v>
      </x:c>
      <x:c r="E955" s="34" t="str">
        <x:v>90.0</x:v>
      </x:c>
      <x:c r="F955" s="34" t="str">
        <x:v>MI-1232</x:v>
      </x:c>
      <x:c r="G955" s="39" t="str">
        <x:v>کافه جریان</x:v>
      </x:c>
      <x:c r="H955" s="39" t="str">
        <x:v>H23</x:v>
      </x:c>
      <x:c r="I955" s="39" t="str">
        <x:v>P3/CLARIFY</x:v>
      </x:c>
      <x:c r="J955" s="39" t="str">
        <x:v>H23</x:v>
      </x:c>
      <x:c r="K955" s="39" t="str">
        <x:v>تطبیق احتمالی با پایه</x:v>
      </x:c>
      <x:c r="L955" s="39" t="str">
        <x:v>MI-1232</x:v>
      </x:c>
      <x:c r="M955" s="39" t="str">
        <x:v>کافه جریان</x:v>
      </x:c>
      <x:c r="N955" s="39" t="str">
        <x:v>1154878548.docx::P1564.1 | 1154878548.docx::P1849.1</x:v>
      </x:c>
      <x:c r="O955" s="39"/>
    </x:row>
    <x:row r="956">
      <x:c r="A956" s="34" t="str">
        <x:v>☐</x:v>
      </x:c>
      <x:c r="B956" s="34" t="str">
        <x:v>EX-0928</x:v>
      </x:c>
      <x:c r="C956" s="34" t="str">
        <x:v>کانال تولید محتوا: پادکست جهاد تبیین، تاریخ اسلام، کلیپهای پاسخگویی شرعی (برای نهاد).</x:v>
      </x:c>
      <x:c r="D956" s="34" t="str">
        <x:v>POSSIBLE</x:v>
      </x:c>
      <x:c r="E956" s="34" t="str">
        <x:v>90.0</x:v>
      </x:c>
      <x:c r="F956" s="34" t="str">
        <x:v>MI-1234</x:v>
      </x:c>
      <x:c r="G956" s="39" t="str">
        <x:v>کانال تولید محتوا</x:v>
      </x:c>
      <x:c r="H956" s="39" t="str">
        <x:v>H12</x:v>
      </x:c>
      <x:c r="I956" s="39" t="str">
        <x:v>P2</x:v>
      </x:c>
      <x:c r="J956" s="39" t="str">
        <x:v>H12</x:v>
      </x:c>
      <x:c r="K956" s="39" t="str">
        <x:v>تطبیق احتمالی با پایه</x:v>
      </x:c>
      <x:c r="L956" s="39" t="str">
        <x:v>MI-1234</x:v>
      </x:c>
      <x:c r="M956" s="39" t="str">
        <x:v>کانال تولید محتوا</x:v>
      </x:c>
      <x:c r="N956" s="39" t="str">
        <x:v>1154878548.docx::P1565.1 | 1154878548.docx::P1850.1</x:v>
      </x:c>
      <x:c r="O956" s="39"/>
    </x:row>
    <x:row r="957">
      <x:c r="A957" s="34" t="str">
        <x:v>☐</x:v>
      </x:c>
      <x:c r="B957" s="34" t="str">
        <x:v>EX-0929</x:v>
      </x:c>
      <x:c r="C957" s="34" t="str">
        <x:v>معرفی کتب و پادکستهای بیانیه گام دوم / حکمرانی حلقه میانی.</x:v>
      </x:c>
      <x:c r="D957" s="34" t="str">
        <x:v>POSSIBLE</x:v>
      </x:c>
      <x:c r="E957" s="34" t="str">
        <x:v>90.0</x:v>
      </x:c>
      <x:c r="F957" s="34" t="str">
        <x:v>MI-1411</x:v>
      </x:c>
      <x:c r="G957" s="39" t="str">
        <x:v>بیانیه گام دوم</x:v>
      </x:c>
      <x:c r="H957" s="39" t="str">
        <x:v>H15</x:v>
      </x:c>
      <x:c r="I957" s="39" t="str">
        <x:v>P3/CLARIFY</x:v>
      </x:c>
      <x:c r="J957" s="39" t="str">
        <x:v>H15</x:v>
      </x:c>
      <x:c r="K957" s="39" t="str">
        <x:v>تطبیق احتمالی با پایه</x:v>
      </x:c>
      <x:c r="L957" s="39" t="str">
        <x:v>MI-1411</x:v>
      </x:c>
      <x:c r="M957" s="39" t="str">
        <x:v>بیانیه گام دوم</x:v>
      </x:c>
      <x:c r="N957" s="39" t="str">
        <x:v>1154878548.docx::P1566.1 | 1154878548.docx::P1851.1</x:v>
      </x:c>
      <x:c r="O957" s="39"/>
    </x:row>
    <x:row r="958">
      <x:c r="A958" s="34" t="str">
        <x:v>☐</x:v>
      </x:c>
      <x:c r="B958" s="34" t="str">
        <x:v>EX-0930</x:v>
      </x:c>
      <x:c r="C958" s="34" t="str">
        <x:v>۶. الهیات سیاسی و مطالعات فرهنگی (Political Theology &amp; Culture)</x:v>
      </x:c>
      <x:c r="D958" s="34" t="str">
        <x:v>POSSIBLE</x:v>
      </x:c>
      <x:c r="E958" s="34" t="str">
        <x:v>85.5</x:v>
      </x:c>
      <x:c r="F958" s="34" t="str">
        <x:v>MI-0023</x:v>
      </x:c>
      <x:c r="G958" s="39" t="str">
        <x:v>برنامه ریزی دقیق و علمگرا هییت دانشگاه</x:v>
      </x:c>
      <x:c r="H958" s="39" t="str">
        <x:v>H1</x:v>
      </x:c>
      <x:c r="I958" s="39" t="str">
        <x:v>P0</x:v>
      </x:c>
      <x:c r="J958" s="39" t="str">
        <x:v>H1</x:v>
      </x:c>
      <x:c r="K958" s="39" t="str">
        <x:v>تطبیق احتمالی با پایه</x:v>
      </x:c>
      <x:c r="L958" s="39" t="str">
        <x:v>MI-0023</x:v>
      </x:c>
      <x:c r="M958" s="39" t="str">
        <x:v>برنامه ریزی دقیق و علمگرا هییت دانشگاه</x:v>
      </x:c>
      <x:c r="N958" s="39" t="str">
        <x:v>1154878548.docx::P1567.1 | 1154878548.docx::P1852.1</x:v>
      </x:c>
      <x:c r="O958" s="39"/>
    </x:row>
    <x:row r="959">
      <x:c r="A959" s="34" t="str">
        <x:v>☐</x:v>
      </x:c>
      <x:c r="B959" s="34" t="str">
        <x:v>EX-0931</x:v>
      </x:c>
      <x:c r="C959" s="34" t="str">
        <x:v>تمرکز: دین، ایدئولوژی و مطالعات</x:v>
      </x:c>
      <x:c r="D959" s="34" t="str">
        <x:v>POSSIBLE</x:v>
      </x:c>
      <x:c r="E959" s="34" t="str">
        <x:v>85.5</x:v>
      </x:c>
      <x:c r="F959" s="34" t="str">
        <x:v>MI-1513</x:v>
      </x:c>
      <x:c r="G959" s="39" t="str">
        <x:v>تولید و کارآفرینی: توانایی تولید محصول و خدمات و ایجاد شغل.</x:v>
      </x:c>
      <x:c r="H959" s="39" t="str">
        <x:v>H1</x:v>
      </x:c>
      <x:c r="I959" s="39" t="str">
        <x:v>P0</x:v>
      </x:c>
      <x:c r="J959" s="39" t="str">
        <x:v>H1</x:v>
      </x:c>
      <x:c r="K959" s="39" t="str">
        <x:v>تطبیق احتمالی با پایه</x:v>
      </x:c>
      <x:c r="L959" s="39" t="str">
        <x:v>MI-1513</x:v>
      </x:c>
      <x:c r="M959" s="39" t="str">
        <x:v>تولید و کارآفرینی: توانایی تولید محصول و خدمات و ایجاد شغل.</x:v>
      </x:c>
      <x:c r="N959" s="39" t="str">
        <x:v>1154878548.docx::P1568.1 | 1154878548.docx::P1853.1</x:v>
      </x:c>
      <x:c r="O959" s="39"/>
    </x:row>
    <x:row r="960">
      <x:c r="A960" s="34" t="str">
        <x:v>☐</x:v>
      </x:c>
      <x:c r="B960" s="34" t="str">
        <x:v>EX-0932</x:v>
      </x:c>
      <x:c r="C960" s="34" t="str">
        <x:v>۶-۱. مبانی نظری: الهیات سیاسی، فقه حکومتی، ماکیاولیسم دینی.</x:v>
      </x:c>
      <x:c r="D960" s="34" t="str">
        <x:v>POSSIBLE</x:v>
      </x:c>
      <x:c r="E960" s="34" t="str">
        <x:v>85.5</x:v>
      </x:c>
      <x:c r="F960" s="34" t="str">
        <x:v>MI-1520</x:v>
      </x:c>
      <x:c r="G960" s="39" t="str">
        <x:v>مبانی کارآفرینی:</x:v>
      </x:c>
      <x:c r="H960" s="39" t="str">
        <x:v>H8</x:v>
      </x:c>
      <x:c r="I960" s="39" t="str">
        <x:v>P2</x:v>
      </x:c>
      <x:c r="J960" s="39" t="str">
        <x:v>H8</x:v>
      </x:c>
      <x:c r="K960" s="39" t="str">
        <x:v>تطبیق احتمالی با پایه</x:v>
      </x:c>
      <x:c r="L960" s="39" t="str">
        <x:v>MI-1520</x:v>
      </x:c>
      <x:c r="M960" s="39" t="str">
        <x:v>مبانی کارآفرینی:</x:v>
      </x:c>
      <x:c r="N960" s="39" t="str">
        <x:v>1154878548.docx::P1569.1 | 1154878548.docx::P1854.1</x:v>
      </x:c>
      <x:c r="O960" s="39"/>
    </x:row>
    <x:row r="961">
      <x:c r="A961" s="34" t="str">
        <x:v>☐</x:v>
      </x:c>
      <x:c r="B961" s="34" t="str">
        <x:v>EX-0933</x:v>
      </x:c>
      <x:c r="C961" s="34" t="str">
        <x:v>۶-۲. مطالعات مذهبی و تاریخی (برنامه شخصی):</x:v>
      </x:c>
      <x:c r="D961" s="34" t="str">
        <x:v>POSSIBLE</x:v>
      </x:c>
      <x:c r="E961" s="34" t="str">
        <x:v>90.0</x:v>
      </x:c>
      <x:c r="F961" s="34" t="str">
        <x:v>MI-1417</x:v>
      </x:c>
      <x:c r="G961" s="39" t="str">
        <x:v>تاریخی</x:v>
      </x:c>
      <x:c r="H961" s="39" t="str">
        <x:v>H15</x:v>
      </x:c>
      <x:c r="I961" s="39" t="str">
        <x:v>BANK</x:v>
      </x:c>
      <x:c r="J961" s="39" t="str">
        <x:v>H15</x:v>
      </x:c>
      <x:c r="K961" s="39" t="str">
        <x:v>تطبیق احتمالی با پایه</x:v>
      </x:c>
      <x:c r="L961" s="39" t="str">
        <x:v>MI-1417</x:v>
      </x:c>
      <x:c r="M961" s="39" t="str">
        <x:v>تاریخی</x:v>
      </x:c>
      <x:c r="N961" s="39" t="str">
        <x:v>1154878548.docx::P1570.1 | 1154878548.docx::P1855.1</x:v>
      </x:c>
      <x:c r="O961" s="39"/>
    </x:row>
    <x:row r="962">
      <x:c r="A962" s="34" t="str">
        <x:v>☐</x:v>
      </x:c>
      <x:c r="B962" s="34" t="str">
        <x:v>EX-0934</x:v>
      </x:c>
      <x:c r="C962" s="34" t="str">
        <x:v>خوانش و بررسی دقیق نهجالبلاغه.</x:v>
      </x:c>
      <x:c r="D962" s="34" t="str">
        <x:v>POSSIBLE</x:v>
      </x:c>
      <x:c r="E962" s="34" t="str">
        <x:v>85.5</x:v>
      </x:c>
      <x:c r="F962" s="34" t="str">
        <x:v>MI-1513</x:v>
      </x:c>
      <x:c r="G962" s="39" t="str">
        <x:v>تولید و کارآفرینی: توانایی تولید محصول و خدمات و ایجاد شغل.</x:v>
      </x:c>
      <x:c r="H962" s="39" t="str">
        <x:v>H1</x:v>
      </x:c>
      <x:c r="I962" s="39" t="str">
        <x:v>P0</x:v>
      </x:c>
      <x:c r="J962" s="39" t="str">
        <x:v>H1</x:v>
      </x:c>
      <x:c r="K962" s="39" t="str">
        <x:v>تطبیق احتمالی با پایه</x:v>
      </x:c>
      <x:c r="L962" s="39" t="str">
        <x:v>MI-1513</x:v>
      </x:c>
      <x:c r="M962" s="39" t="str">
        <x:v>تولید و کارآفرینی: توانایی تولید محصول و خدمات و ایجاد شغل.</x:v>
      </x:c>
      <x:c r="N962" s="39" t="str">
        <x:v>1154878548.docx::P1571.1 | 1154878548.docx::P1856.1</x:v>
      </x:c>
      <x:c r="O962" s="39"/>
    </x:row>
    <x:row r="963">
      <x:c r="A963" s="34" t="str">
        <x:v>☐</x:v>
      </x:c>
      <x:c r="B963" s="34" t="str">
        <x:v>EX-0935</x:v>
      </x:c>
      <x:c r="C963" s="34" t="str">
        <x:v>جمعآوری روایات و داستانهای پیامبران.</x:v>
      </x:c>
      <x:c r="D963" s="34" t="str">
        <x:v>POSSIBLE</x:v>
      </x:c>
      <x:c r="E963" s="34" t="str">
        <x:v>85.5</x:v>
      </x:c>
      <x:c r="F963" s="34" t="str">
        <x:v>MI-1513</x:v>
      </x:c>
      <x:c r="G963" s="39" t="str">
        <x:v>تولید و کارآفرینی: توانایی تولید محصول و خدمات و ایجاد شغل.</x:v>
      </x:c>
      <x:c r="H963" s="39" t="str">
        <x:v>H1</x:v>
      </x:c>
      <x:c r="I963" s="39" t="str">
        <x:v>P0</x:v>
      </x:c>
      <x:c r="J963" s="39" t="str">
        <x:v>H1</x:v>
      </x:c>
      <x:c r="K963" s="39" t="str">
        <x:v>تطبیق احتمالی با پایه</x:v>
      </x:c>
      <x:c r="L963" s="39" t="str">
        <x:v>MI-1513</x:v>
      </x:c>
      <x:c r="M963" s="39" t="str">
        <x:v>تولید و کارآفرینی: توانایی تولید محصول و خدمات و ایجاد شغل.</x:v>
      </x:c>
      <x:c r="N963" s="39" t="str">
        <x:v>1154878548.docx::P1572.1 | 1154878548.docx::P1857.1 | 1154878548.docx::P2242.1</x:v>
      </x:c>
      <x:c r="O963" s="39"/>
    </x:row>
    <x:row r="964">
      <x:c r="A964" s="34" t="str">
        <x:v>☐</x:v>
      </x:c>
      <x:c r="B964" s="34" t="str">
        <x:v>EX-0936</x:v>
      </x:c>
      <x:c r="C964" s="34" t="str">
        <x:v>خواندن تاریخ اسلام و ایران (تحلیل حضور کوروش در مدیترانه).</x:v>
      </x:c>
      <x:c r="D964" s="34" t="str">
        <x:v>POSSIBLE</x:v>
      </x:c>
      <x:c r="E964" s="34" t="str">
        <x:v>90.0</x:v>
      </x:c>
      <x:c r="F964" s="34" t="str">
        <x:v>MI-0032</x:v>
      </x:c>
      <x:c r="G964" s="39" t="str">
        <x:v>خواندن تاریخ اسلام</x:v>
      </x:c>
      <x:c r="H964" s="39" t="str">
        <x:v>H15</x:v>
      </x:c>
      <x:c r="I964" s="39" t="str">
        <x:v>BANK</x:v>
      </x:c>
      <x:c r="J964" s="39" t="str">
        <x:v>H15</x:v>
      </x:c>
      <x:c r="K964" s="39" t="str">
        <x:v>تطبیق احتمالی با پایه</x:v>
      </x:c>
      <x:c r="L964" s="39" t="str">
        <x:v>MI-0032</x:v>
      </x:c>
      <x:c r="M964" s="39" t="str">
        <x:v>خواندن تاریخ اسلام</x:v>
      </x:c>
      <x:c r="N964" s="39" t="str">
        <x:v>1154878548.docx::P1573.1 | 1154878548.docx::P1858.1</x:v>
      </x:c>
      <x:c r="O964" s="39"/>
    </x:row>
    <x:row r="965">
      <x:c r="A965" s="34" t="str">
        <x:v>☐</x:v>
      </x:c>
      <x:c r="B965" s="34" t="str">
        <x:v>EX-0937</x:v>
      </x:c>
      <x:c r="C965" s="34" t="str">
        <x:v>مطالعه جامعهشناسی سیاسی-فرهنگی نظری.</x:v>
      </x:c>
      <x:c r="D965" s="34" t="str">
        <x:v>POSSIBLE</x:v>
      </x:c>
      <x:c r="E965" s="34" t="str">
        <x:v>90.0</x:v>
      </x:c>
      <x:c r="F965" s="34" t="str">
        <x:v>MI-0289</x:v>
      </x:c>
      <x:c r="G965" s="39" t="str">
        <x:v>فرهنگی</x:v>
      </x:c>
      <x:c r="H965" s="39" t="str">
        <x:v>H15</x:v>
      </x:c>
      <x:c r="I965" s="39" t="str">
        <x:v>P3/CLARIFY</x:v>
      </x:c>
      <x:c r="J965" s="39" t="str">
        <x:v>H15</x:v>
      </x:c>
      <x:c r="K965" s="39" t="str">
        <x:v>تطبیق احتمالی با پایه</x:v>
      </x:c>
      <x:c r="L965" s="39" t="str">
        <x:v>MI-0289</x:v>
      </x:c>
      <x:c r="M965" s="39" t="str">
        <x:v>فرهنگی</x:v>
      </x:c>
      <x:c r="N965" s="39" t="str">
        <x:v>1154878548.docx::P1574.1 | 1154878548.docx::P1859.1</x:v>
      </x:c>
      <x:c r="O965" s="39"/>
    </x:row>
    <x:row r="966">
      <x:c r="A966" s="34" t="str">
        <x:v>☐</x:v>
      </x:c>
      <x:c r="B966" s="34" t="str">
        <x:v>EX-0938</x:v>
      </x:c>
      <x:c r="C966" s="34" t="str">
        <x:v>۶-۳. جنسیت و خانواده: جایگاه زن در اسلام vs غرب.</x:v>
      </x:c>
      <x:c r="D966" s="34" t="str">
        <x:v>POSSIBLE</x:v>
      </x:c>
      <x:c r="E966" s="34" t="str">
        <x:v>85.5</x:v>
      </x:c>
      <x:c r="F966" s="34" t="str">
        <x:v>MI-0029</x:v>
      </x:c>
      <x:c r="G966" s="39" t="str">
        <x:v>تدریس ریاضی و فیزیک</x:v>
      </x:c>
      <x:c r="H966" s="39" t="str">
        <x:v>H1</x:v>
      </x:c>
      <x:c r="I966" s="39" t="str">
        <x:v>P0</x:v>
      </x:c>
      <x:c r="J966" s="39" t="str">
        <x:v>H1</x:v>
      </x:c>
      <x:c r="K966" s="39" t="str">
        <x:v>تطبیق احتمالی با پایه</x:v>
      </x:c>
      <x:c r="L966" s="39" t="str">
        <x:v>MI-0029</x:v>
      </x:c>
      <x:c r="M966" s="39" t="str">
        <x:v>تدریس ریاضی و فیزیک</x:v>
      </x:c>
      <x:c r="N966" s="39" t="str">
        <x:v>1154878548.docx::P1575.1 | 1154878548.docx::P1860.1</x:v>
      </x:c>
      <x:c r="O966" s="39"/>
    </x:row>
    <x:row r="967">
      <x:c r="A967" s="34" t="str">
        <x:v>☐</x:v>
      </x:c>
      <x:c r="B967" s="34" t="str">
        <x:v>EX-0939</x:v>
      </x:c>
      <x:c r="C967" s="34" t="str">
        <x:v>6-4. عملیات فرهنگی و مذهبی (لایه اجرایی):</x:v>
      </x:c>
      <x:c r="D967" s="34" t="str">
        <x:v>POSSIBLE</x:v>
      </x:c>
      <x:c r="E967" s="34" t="str">
        <x:v>90.0</x:v>
      </x:c>
      <x:c r="F967" s="34" t="str">
        <x:v>MI-1416</x:v>
      </x:c>
      <x:c r="G967" s="39" t="str">
        <x:v>مذهبی</x:v>
      </x:c>
      <x:c r="H967" s="39" t="str">
        <x:v>H15</x:v>
      </x:c>
      <x:c r="I967" s="39" t="str">
        <x:v>P3/CLARIFY</x:v>
      </x:c>
      <x:c r="J967" s="39" t="str">
        <x:v>H15</x:v>
      </x:c>
      <x:c r="K967" s="39" t="str">
        <x:v>تطبیق احتمالی با پایه</x:v>
      </x:c>
      <x:c r="L967" s="39" t="str">
        <x:v>MI-1416</x:v>
      </x:c>
      <x:c r="M967" s="39" t="str">
        <x:v>مذهبی</x:v>
      </x:c>
      <x:c r="N967" s="39" t="str">
        <x:v>1154878548.docx::P1576.1 | 1154878548.docx::P1861.1</x:v>
      </x:c>
      <x:c r="O967" s="39"/>
    </x:row>
    <x:row r="968">
      <x:c r="A968" s="34" t="str">
        <x:v>☐</x:v>
      </x:c>
      <x:c r="B968" s="34" t="str">
        <x:v>EX-0940</x:v>
      </x:c>
      <x:c r="C968" s="34" t="str">
        <x:v>مدیریت مسجد و هیئت: نظافت مسجد، سرویس سیستم صوتی، پخش اذان در خوابگاه (امینیان).</x:v>
      </x:c>
      <x:c r="D968" s="34" t="str">
        <x:v>POSSIBLE</x:v>
      </x:c>
      <x:c r="E968" s="34" t="str">
        <x:v>85.5</x:v>
      </x:c>
      <x:c r="F968" s="34" t="str">
        <x:v>MI-1503</x:v>
      </x:c>
      <x:c r="G968" s="39" t="str">
        <x:v>مدیریت زمان: اولویت بندی، برنامه ریزی، تمرکز.</x:v>
      </x:c>
      <x:c r="H968" s="39" t="str">
        <x:v>H1</x:v>
      </x:c>
      <x:c r="I968" s="39" t="str">
        <x:v>P0</x:v>
      </x:c>
      <x:c r="J968" s="39" t="str">
        <x:v>H1</x:v>
      </x:c>
      <x:c r="K968" s="39" t="str">
        <x:v>تطبیق احتمالی با پایه</x:v>
      </x:c>
      <x:c r="L968" s="39" t="str">
        <x:v>MI-1503</x:v>
      </x:c>
      <x:c r="M968" s="39" t="str">
        <x:v>مدیریت زمان: اولویت بندی، برنامه ریزی، تمرکز.</x:v>
      </x:c>
      <x:c r="N968" s="39" t="str">
        <x:v>1154878548.docx::P1577.1 | 1154878548.docx::P1862.1</x:v>
      </x:c>
      <x:c r="O968" s="39"/>
    </x:row>
    <x:row r="969">
      <x:c r="A969" s="34" t="str">
        <x:v>☐</x:v>
      </x:c>
      <x:c r="B969" s="34" t="str">
        <x:v>EX-0941</x:v>
      </x:c>
      <x:c r="C969" s="34" t="str">
        <x:v>مناسبتها: برنامهریزی اعتکاف، نیمه شعبان، استقبال از پرچم حضرت رضا، سهشنبههای مهدوی (خانم بابایی).</x:v>
      </x:c>
      <x:c r="D969" s="34" t="str">
        <x:v>POSSIBLE</x:v>
      </x:c>
      <x:c r="E969" s="34" t="str">
        <x:v>90.0</x:v>
      </x:c>
      <x:c r="F969" s="34" t="str">
        <x:v>MI-1137</x:v>
      </x:c>
      <x:c r="G969" s="39" t="str">
        <x:v>پرچم حضرت رضا:</x:v>
      </x:c>
      <x:c r="H969" s="39" t="str">
        <x:v>H23</x:v>
      </x:c>
      <x:c r="I969" s="39" t="str">
        <x:v>P3/CLARIFY</x:v>
      </x:c>
      <x:c r="J969" s="39" t="str">
        <x:v>H23</x:v>
      </x:c>
      <x:c r="K969" s="39" t="str">
        <x:v>تطبیق احتمالی با پایه</x:v>
      </x:c>
      <x:c r="L969" s="39" t="str">
        <x:v>MI-1137</x:v>
      </x:c>
      <x:c r="M969" s="39" t="str">
        <x:v>پرچم حضرت رضا:</x:v>
      </x:c>
      <x:c r="N969" s="39" t="str">
        <x:v>1154878548.docx::P1578.1 | 1154878548.docx::P1863.1</x:v>
      </x:c>
      <x:c r="O969" s="39"/>
    </x:row>
    <x:row r="970">
      <x:c r="A970" s="34" t="str">
        <x:v>☐</x:v>
      </x:c>
      <x:c r="B970" s="34" t="str">
        <x:v>EX-0942</x:v>
      </x:c>
      <x:c r="C970" s="34" t="str">
        <x:v>فضاسازی: تجهیز مقبره شهدا، تجهیز قفسه کتاب مسجد، ذکر مناجات در خوابگاهها.</x:v>
      </x:c>
      <x:c r="D970" s="34" t="str">
        <x:v>POSSIBLE</x:v>
      </x:c>
      <x:c r="E970" s="34" t="str">
        <x:v>90.0</x:v>
      </x:c>
      <x:c r="F970" s="34" t="str">
        <x:v>MI-1140</x:v>
      </x:c>
      <x:c r="G970" s="39" t="str">
        <x:v>تجهیز مقبره شهدا</x:v>
      </x:c>
      <x:c r="H970" s="39" t="str">
        <x:v>H23</x:v>
      </x:c>
      <x:c r="I970" s="39" t="str">
        <x:v>P3/CLARIFY</x:v>
      </x:c>
      <x:c r="J970" s="39" t="str">
        <x:v>H23</x:v>
      </x:c>
      <x:c r="K970" s="39" t="str">
        <x:v>تطبیق احتمالی با پایه</x:v>
      </x:c>
      <x:c r="L970" s="39" t="str">
        <x:v>MI-1140</x:v>
      </x:c>
      <x:c r="M970" s="39" t="str">
        <x:v>تجهیز مقبره شهدا</x:v>
      </x:c>
      <x:c r="N970" s="39" t="str">
        <x:v>1154878548.docx::P1579.1 | 1154878548.docx::P1864.1</x:v>
      </x:c>
      <x:c r="O970" s="39"/>
    </x:row>
    <x:row r="971">
      <x:c r="A971" s="34" t="str">
        <x:v>☐</x:v>
      </x:c>
      <x:c r="B971" s="34" t="str">
        <x:v>EX-0943</x:v>
      </x:c>
      <x:c r="C971" s="34" t="str">
        <x:v>پروژههای دینی: نمازخوانی علمداری، گروه معارف (طرح بحث و مناظره در کلاس).</x:v>
      </x:c>
      <x:c r="D971" s="34" t="str">
        <x:v>POSSIBLE</x:v>
      </x:c>
      <x:c r="E971" s="34" t="str">
        <x:v>90.0</x:v>
      </x:c>
      <x:c r="F971" s="34" t="str">
        <x:v>MI-1408</x:v>
      </x:c>
      <x:c r="G971" s="39" t="str">
        <x:v>گروه معارف</x:v>
      </x:c>
      <x:c r="H971" s="39" t="str">
        <x:v>H23</x:v>
      </x:c>
      <x:c r="I971" s="39" t="str">
        <x:v>P3/CLARIFY</x:v>
      </x:c>
      <x:c r="J971" s="39" t="str">
        <x:v>H23</x:v>
      </x:c>
      <x:c r="K971" s="39" t="str">
        <x:v>تطبیق احتمالی با پایه</x:v>
      </x:c>
      <x:c r="L971" s="39" t="str">
        <x:v>MI-1408</x:v>
      </x:c>
      <x:c r="M971" s="39" t="str">
        <x:v>گروه معارف</x:v>
      </x:c>
      <x:c r="N971" s="39" t="str">
        <x:v>1154878548.docx::P1580.1 | 1154878548.docx::P1865.1</x:v>
      </x:c>
      <x:c r="O971" s="39"/>
    </x:row>
    <x:row r="972">
      <x:c r="A972" s="34" t="str">
        <x:v>☐</x:v>
      </x:c>
      <x:c r="B972" s="34" t="str">
        <x:v>EX-0944</x:v>
      </x:c>
      <x:c r="C972" s="34" t="str">
        <x:v>برون دانشگاهی: روایتگری مقبره، همکاری با مسجد امام حسن مجتبی(ع) و مسجد محدثین.</x:v>
      </x:c>
      <x:c r="D972" s="34" t="str">
        <x:v>POSSIBLE</x:v>
      </x:c>
      <x:c r="E972" s="34" t="str">
        <x:v>90.0</x:v>
      </x:c>
      <x:c r="F972" s="34" t="str">
        <x:v>MI-0233</x:v>
      </x:c>
      <x:c r="G972" s="39" t="str">
        <x:v>برون دانشگاهی</x:v>
      </x:c>
      <x:c r="H972" s="39" t="str">
        <x:v>H11</x:v>
      </x:c>
      <x:c r="I972" s="39" t="str">
        <x:v>DELEGATE/P2</x:v>
      </x:c>
      <x:c r="J972" s="39" t="str">
        <x:v>H11</x:v>
      </x:c>
      <x:c r="K972" s="39" t="str">
        <x:v>تطبیق احتمالی با پایه</x:v>
      </x:c>
      <x:c r="L972" s="39" t="str">
        <x:v>MI-0233</x:v>
      </x:c>
      <x:c r="M972" s="39" t="str">
        <x:v>برون دانشگاهی</x:v>
      </x:c>
      <x:c r="N972" s="39" t="str">
        <x:v>1154878548.docx::P1581.1 | 1154878548.docx::P1866.1</x:v>
      </x:c>
      <x:c r="O972" s="39"/>
    </x:row>
    <x:row r="973">
      <x:c r="A973" s="34" t="str">
        <x:v>☐</x:v>
      </x:c>
      <x:c r="B973" s="34" t="str">
        <x:v>EX-0945</x:v>
      </x:c>
      <x:c r="C973" s="34" t="str">
        <x:v>۷. تاریخ و حافظه جمعی (History &amp; Memory)</x:v>
      </x:c>
      <x:c r="D973" s="34" t="str">
        <x:v>POSSIBLE</x:v>
      </x:c>
      <x:c r="E973" s="34" t="str">
        <x:v>85.5</x:v>
      </x:c>
      <x:c r="F973" s="34" t="str">
        <x:v>MI-1513</x:v>
      </x:c>
      <x:c r="G973" s="39" t="str">
        <x:v>تولید و کارآفرینی: توانایی تولید محصول و خدمات و ایجاد شغل.</x:v>
      </x:c>
      <x:c r="H973" s="39" t="str">
        <x:v>H1</x:v>
      </x:c>
      <x:c r="I973" s="39" t="str">
        <x:v>P0</x:v>
      </x:c>
      <x:c r="J973" s="39" t="str">
        <x:v>H1</x:v>
      </x:c>
      <x:c r="K973" s="39" t="str">
        <x:v>تطبیق احتمالی با پایه</x:v>
      </x:c>
      <x:c r="L973" s="39" t="str">
        <x:v>MI-1513</x:v>
      </x:c>
      <x:c r="M973" s="39" t="str">
        <x:v>تولید و کارآفرینی: توانایی تولید محصول و خدمات و ایجاد شغل.</x:v>
      </x:c>
      <x:c r="N973" s="39" t="str">
        <x:v>1154878548.docx::P1582.1 | 1154878548.docx::P1867.1</x:v>
      </x:c>
      <x:c r="O973" s="39"/>
    </x:row>
    <x:row r="974">
      <x:c r="A974" s="34" t="str">
        <x:v>☐</x:v>
      </x:c>
      <x:c r="B974" s="34" t="str">
        <x:v>EX-0946</x:v>
      </x:c>
      <x:c r="C974" s="34" t="str">
        <x:v>تمرکز: عبرتها و روایتها</x:v>
      </x:c>
      <x:c r="D974" s="34" t="str">
        <x:v>POSSIBLE</x:v>
      </x:c>
      <x:c r="E974" s="34" t="str">
        <x:v>85.5</x:v>
      </x:c>
      <x:c r="F974" s="34" t="str">
        <x:v>MI-1503</x:v>
      </x:c>
      <x:c r="G974" s="39" t="str">
        <x:v>مدیریت زمان: اولویت بندی، برنامه ریزی، تمرکز.</x:v>
      </x:c>
      <x:c r="H974" s="39" t="str">
        <x:v>H1</x:v>
      </x:c>
      <x:c r="I974" s="39" t="str">
        <x:v>P0</x:v>
      </x:c>
      <x:c r="J974" s="39" t="str">
        <x:v>H1</x:v>
      </x:c>
      <x:c r="K974" s="39" t="str">
        <x:v>تطبیق احتمالی با پایه</x:v>
      </x:c>
      <x:c r="L974" s="39" t="str">
        <x:v>MI-1503</x:v>
      </x:c>
      <x:c r="M974" s="39" t="str">
        <x:v>مدیریت زمان: اولویت بندی، برنامه ریزی، تمرکز.</x:v>
      </x:c>
      <x:c r="N974" s="39" t="str">
        <x:v>1154878548.docx::P1583.1 | 1154878548.docx::P1868.1</x:v>
      </x:c>
      <x:c r="O974" s="39"/>
    </x:row>
    <x:row r="975">
      <x:c r="A975" s="34" t="str">
        <x:v>☐</x:v>
      </x:c>
      <x:c r="B975" s="34" t="str">
        <x:v>EX-0947</x:v>
      </x:c>
      <x:c r="C975" s="34" t="str">
        <x:v>۷-۱. رویدادها: دوره پهلوی، کودتای نوژه، کوی دانشگاه.</x:v>
      </x:c>
      <x:c r="D975" s="34" t="str">
        <x:v>POSSIBLE</x:v>
      </x:c>
      <x:c r="E975" s="34" t="str">
        <x:v>90.0</x:v>
      </x:c>
      <x:c r="F975" s="34" t="str">
        <x:v>MI-2951</x:v>
      </x:c>
      <x:c r="G975" s="39" t="str">
        <x:v>رویدادها</x:v>
      </x:c>
      <x:c r="H975" s="39" t="str">
        <x:v>H20</x:v>
      </x:c>
      <x:c r="I975" s="39" t="str">
        <x:v>P3/CLARIFY</x:v>
      </x:c>
      <x:c r="J975" s="39" t="str">
        <x:v>H20</x:v>
      </x:c>
      <x:c r="K975" s="39" t="str">
        <x:v>تطبیق احتمالی با پایه</x:v>
      </x:c>
      <x:c r="L975" s="39" t="str">
        <x:v>MI-2951</x:v>
      </x:c>
      <x:c r="M975" s="39" t="str">
        <x:v>رویدادها</x:v>
      </x:c>
      <x:c r="N975" s="39" t="str">
        <x:v>1154878548.docx::P1584.1 | 1154878548.docx::P1869.1</x:v>
      </x:c>
      <x:c r="O975" s="39"/>
    </x:row>
    <x:row r="976">
      <x:c r="A976" s="34" t="str">
        <x:v>☐</x:v>
      </x:c>
      <x:c r="B976" s="34" t="str">
        <x:v>EX-0948</x:v>
      </x:c>
      <x:c r="C976" s="34" t="str">
        <x:v>۷-۲. مدیریت روایت: تروماهای جمعی، بازسازی تاریخی.</x:v>
      </x:c>
      <x:c r="D976" s="34" t="str">
        <x:v>POSSIBLE</x:v>
      </x:c>
      <x:c r="E976" s="34" t="str">
        <x:v>90.0</x:v>
      </x:c>
      <x:c r="F976" s="34" t="str">
        <x:v>MI-1417</x:v>
      </x:c>
      <x:c r="G976" s="39" t="str">
        <x:v>تاریخی</x:v>
      </x:c>
      <x:c r="H976" s="39" t="str">
        <x:v>H15</x:v>
      </x:c>
      <x:c r="I976" s="39" t="str">
        <x:v>BANK</x:v>
      </x:c>
      <x:c r="J976" s="39" t="str">
        <x:v>H15</x:v>
      </x:c>
      <x:c r="K976" s="39" t="str">
        <x:v>تطبیق احتمالی با پایه</x:v>
      </x:c>
      <x:c r="L976" s="39" t="str">
        <x:v>MI-1417</x:v>
      </x:c>
      <x:c r="M976" s="39" t="str">
        <x:v>تاریخی</x:v>
      </x:c>
      <x:c r="N976" s="39" t="str">
        <x:v>1154878548.docx::P1585.1 | 1154878548.docx::P1870.1</x:v>
      </x:c>
      <x:c r="O976" s="39"/>
    </x:row>
    <x:row r="977">
      <x:c r="A977" s="34" t="str">
        <x:v>☐</x:v>
      </x:c>
      <x:c r="B977" s="34" t="str">
        <x:v>EX-0949</x:v>
      </x:c>
      <x:c r="C977" s="34" t="str">
        <x:v>۷-۳. تحلیل وضعیت موجود (جملات و مشاهدات):</x:v>
      </x:c>
      <x:c r="D977" s="34" t="str">
        <x:v>POSSIBLE</x:v>
      </x:c>
      <x:c r="E977" s="34" t="str">
        <x:v>85.5</x:v>
      </x:c>
      <x:c r="F977" s="34" t="str">
        <x:v>MI-1513</x:v>
      </x:c>
      <x:c r="G977" s="39" t="str">
        <x:v>تولید و کارآفرینی: توانایی تولید محصول و خدمات و ایجاد شغل.</x:v>
      </x:c>
      <x:c r="H977" s="39" t="str">
        <x:v>H1</x:v>
      </x:c>
      <x:c r="I977" s="39" t="str">
        <x:v>P0</x:v>
      </x:c>
      <x:c r="J977" s="39" t="str">
        <x:v>H1</x:v>
      </x:c>
      <x:c r="K977" s="39" t="str">
        <x:v>تطبیق احتمالی با پایه</x:v>
      </x:c>
      <x:c r="L977" s="39" t="str">
        <x:v>MI-1513</x:v>
      </x:c>
      <x:c r="M977" s="39" t="str">
        <x:v>تولید و کارآفرینی: توانایی تولید محصول و خدمات و ایجاد شغل.</x:v>
      </x:c>
      <x:c r="N977" s="39" t="str">
        <x:v>1154878548.docx::P1586.1 | 1154878548.docx::P1871.1</x:v>
      </x:c>
      <x:c r="O977" s="39"/>
    </x:row>
    <x:row r="978">
      <x:c r="A978" s="34" t="str">
        <x:v>☐</x:v>
      </x:c>
      <x:c r="B978" s="34" t="str">
        <x:v>EX-0950</x:v>
      </x:c>
      <x:c r="C978" s="34" t="str">
        <x:v>«جای خصوصیسازی، خودمانیسازی کرده.»</x:v>
      </x:c>
      <x:c r="D978" s="34" t="str">
        <x:v>POSSIBLE</x:v>
      </x:c>
      <x:c r="E978" s="34" t="str">
        <x:v>87.9</x:v>
      </x:c>
      <x:c r="F978" s="34" t="str">
        <x:v>MI-0337</x:v>
      </x:c>
      <x:c r="G978" s="39" t="str">
        <x:v>به جای خصوصی سازی خودمونی سازی کرده</x:v>
      </x:c>
      <x:c r="H978" s="39" t="str">
        <x:v>H18</x:v>
      </x:c>
      <x:c r="I978" s="39" t="str">
        <x:v>P3/CLARIFY</x:v>
      </x:c>
      <x:c r="J978" s="39" t="str">
        <x:v>H18</x:v>
      </x:c>
      <x:c r="K978" s="39" t="str">
        <x:v>تطبیق احتمالی با پایه</x:v>
      </x:c>
      <x:c r="L978" s="39" t="str">
        <x:v>MI-0337</x:v>
      </x:c>
      <x:c r="M978" s="39" t="str">
        <x:v>به جای خصوصی سازی خودمونی سازی کرده</x:v>
      </x:c>
      <x:c r="N978" s="39" t="str">
        <x:v>1154878548.docx::P1587.1 | 1154878548.docx::P1872.1</x:v>
      </x:c>
      <x:c r="O978" s="39"/>
    </x:row>
    <x:row r="979">
      <x:c r="A979" s="34" t="str">
        <x:v>☐</x:v>
      </x:c>
      <x:c r="B979" s="34" t="str">
        <x:v>EX-0951</x:v>
      </x:c>
      <x:c r="C979" s="34" t="str">
        <x:v>«مریض اقتصادی.» / «فرصت سوزی.»</x:v>
      </x:c>
      <x:c r="D979" s="34" t="str">
        <x:v>POSSIBLE</x:v>
      </x:c>
      <x:c r="E979" s="34" t="str">
        <x:v>90.0</x:v>
      </x:c>
      <x:c r="F979" s="34" t="str">
        <x:v>MI-0283</x:v>
      </x:c>
      <x:c r="G979" s="39" t="str">
        <x:v>اقتصادی</x:v>
      </x:c>
      <x:c r="H979" s="39" t="str">
        <x:v>H16</x:v>
      </x:c>
      <x:c r="I979" s="39" t="str">
        <x:v>P3/CLARIFY</x:v>
      </x:c>
      <x:c r="J979" s="39" t="str">
        <x:v>H16</x:v>
      </x:c>
      <x:c r="K979" s="39" t="str">
        <x:v>تطبیق احتمالی با پایه</x:v>
      </x:c>
      <x:c r="L979" s="39" t="str">
        <x:v>MI-0283</x:v>
      </x:c>
      <x:c r="M979" s="39" t="str">
        <x:v>اقتصادی</x:v>
      </x:c>
      <x:c r="N979" s="39" t="str">
        <x:v>1154878548.docx::P1588.1 | 1154878548.docx::P1873.1</x:v>
      </x:c>
      <x:c r="O979" s="39"/>
    </x:row>
    <x:row r="980">
      <x:c r="A980" s="34" t="str">
        <x:v>☐</x:v>
      </x:c>
      <x:c r="B980" s="34" t="str">
        <x:v>EX-0952</x:v>
      </x:c>
      <x:c r="C980" s="34" t="str">
        <x:v>الگوبرداری از شیوه عملیاتی ائمه (امام سجاد، هادی، عسکری، جواد).</x:v>
      </x:c>
      <x:c r="D980" s="34" t="str">
        <x:v>POSSIBLE</x:v>
      </x:c>
      <x:c r="E980" s="34" t="str">
        <x:v>90.0</x:v>
      </x:c>
      <x:c r="F980" s="34" t="str">
        <x:v>MI-1240</x:v>
      </x:c>
      <x:c r="G980" s="39" t="str">
        <x:v>امام سجاد</x:v>
      </x:c>
      <x:c r="H980" s="39" t="str">
        <x:v>H23</x:v>
      </x:c>
      <x:c r="I980" s="39" t="str">
        <x:v>P3/CLARIFY</x:v>
      </x:c>
      <x:c r="J980" s="39" t="str">
        <x:v>H23</x:v>
      </x:c>
      <x:c r="K980" s="39" t="str">
        <x:v>تطبیق احتمالی با پایه</x:v>
      </x:c>
      <x:c r="L980" s="39" t="str">
        <x:v>MI-1240</x:v>
      </x:c>
      <x:c r="M980" s="39" t="str">
        <x:v>امام سجاد</x:v>
      </x:c>
      <x:c r="N980" s="39" t="str">
        <x:v>1154878548.docx::P1590.1 | 1154878548.docx::P1875.1</x:v>
      </x:c>
      <x:c r="O980" s="39"/>
    </x:row>
    <x:row r="981">
      <x:c r="A981" s="34" t="str">
        <x:v>☐</x:v>
      </x:c>
      <x:c r="B981" s="34" t="str">
        <x:v>EX-0953</x:v>
      </x:c>
      <x:c r="C981" s="34" t="str">
        <x:v>۸. علم، فناوری و هوش مصنوعی (Science, Tech &amp; AI)</x:v>
      </x:c>
      <x:c r="D981" s="34" t="str">
        <x:v>POSSIBLE</x:v>
      </x:c>
      <x:c r="E981" s="34" t="str">
        <x:v>90.0</x:v>
      </x:c>
      <x:c r="F981" s="34" t="str">
        <x:v>MI-2652</x:v>
      </x:c>
      <x:c r="G981" s="39" t="str">
        <x:v>هوش مصنوعی</x:v>
      </x:c>
      <x:c r="H981" s="39" t="str">
        <x:v>H7</x:v>
      </x:c>
      <x:c r="I981" s="39" t="str">
        <x:v>P1</x:v>
      </x:c>
      <x:c r="J981" s="39" t="str">
        <x:v>H7</x:v>
      </x:c>
      <x:c r="K981" s="39" t="str">
        <x:v>تطبیق احتمالی با پایه</x:v>
      </x:c>
      <x:c r="L981" s="39" t="str">
        <x:v>MI-2652</x:v>
      </x:c>
      <x:c r="M981" s="39" t="str">
        <x:v>هوش مصنوعی</x:v>
      </x:c>
      <x:c r="N981" s="39" t="str">
        <x:v>1154878548.docx::P1592.1 | 1154878548.docx::P1877.1</x:v>
      </x:c>
      <x:c r="O981" s="39"/>
    </x:row>
    <x:row r="982">
      <x:c r="A982" s="34" t="str">
        <x:v>☐</x:v>
      </x:c>
      <x:c r="B982" s="34" t="str">
        <x:v>EX-0954</x:v>
      </x:c>
      <x:c r="C982" s="34" t="str">
        <x:v>تمرکز: لبه دانش و ابزارهای محاسباتی (ادغام شده با بخش IT برنامه شخصی)</x:v>
      </x:c>
      <x:c r="D982" s="34" t="str">
        <x:v>POSSIBLE</x:v>
      </x:c>
      <x:c r="E982" s="34" t="str">
        <x:v>85.5</x:v>
      </x:c>
      <x:c r="F982" s="34" t="str">
        <x:v>MI-0179</x:v>
      </x:c>
      <x:c r="G982" s="39" t="str">
        <x:v>برنامه ریزی شهری</x:v>
      </x:c>
      <x:c r="H982" s="39" t="str">
        <x:v>H1</x:v>
      </x:c>
      <x:c r="I982" s="39" t="str">
        <x:v>P0</x:v>
      </x:c>
      <x:c r="J982" s="39" t="str">
        <x:v>H1</x:v>
      </x:c>
      <x:c r="K982" s="39" t="str">
        <x:v>تطبیق احتمالی با پایه</x:v>
      </x:c>
      <x:c r="L982" s="39" t="str">
        <x:v>MI-0179</x:v>
      </x:c>
      <x:c r="M982" s="39" t="str">
        <x:v>برنامه ریزی شهری</x:v>
      </x:c>
      <x:c r="N982" s="39" t="str">
        <x:v>1154878548.docx::P1593.1 | 1154878548.docx::P1878.1</x:v>
      </x:c>
      <x:c r="O982" s="39"/>
    </x:row>
    <x:row r="983">
      <x:c r="A983" s="34" t="str">
        <x:v>☐</x:v>
      </x:c>
      <x:c r="B983" s="34" t="str">
        <x:v>EX-0955</x:v>
      </x:c>
      <x:c r="C983" s="34" t="str">
        <x:v>پژوهش و انجمنهای علمی</x:v>
      </x:c>
      <x:c r="D983" s="34" t="str">
        <x:v>POSSIBLE</x:v>
      </x:c>
      <x:c r="E983" s="34" t="str">
        <x:v>90.0</x:v>
      </x:c>
      <x:c r="F983" s="34" t="str">
        <x:v>MI-2192</x:v>
      </x:c>
      <x:c r="G983" s="39" t="str">
        <x:v>پژوهش</x:v>
      </x:c>
      <x:c r="H983" s="39" t="str">
        <x:v>H9</x:v>
      </x:c>
      <x:c r="I983" s="39" t="str">
        <x:v>P2</x:v>
      </x:c>
      <x:c r="J983" s="39" t="str">
        <x:v>H9</x:v>
      </x:c>
      <x:c r="K983" s="39" t="str">
        <x:v>تطبیق احتمالی با پایه</x:v>
      </x:c>
      <x:c r="L983" s="39" t="str">
        <x:v>MI-2192</x:v>
      </x:c>
      <x:c r="M983" s="39" t="str">
        <x:v>پژوهش</x:v>
      </x:c>
      <x:c r="N983" s="39" t="str">
        <x:v>1154878548.docx::P1594.1 | 1154878548.docx::P1879.1</x:v>
      </x:c>
      <x:c r="O983" s="39"/>
    </x:row>
    <x:row r="984">
      <x:c r="A984" s="34" t="str">
        <x:v>☐</x:v>
      </x:c>
      <x:c r="B984" s="34" t="str">
        <x:v>EX-0956</x:v>
      </x:c>
      <x:c r="C984" s="34" t="str">
        <x:v>همکاری با انجمنهای علمی (ریاضی، فیزیک، علم و فناوری).</x:v>
      </x:c>
      <x:c r="D984" s="34" t="str">
        <x:v>POSSIBLE</x:v>
      </x:c>
      <x:c r="E984" s="34" t="str">
        <x:v>90.0</x:v>
      </x:c>
      <x:c r="F984" s="34" t="str">
        <x:v>MI-1172</x:v>
      </x:c>
      <x:c r="G984" s="39" t="str">
        <x:v>علم و فناوری</x:v>
      </x:c>
      <x:c r="H984" s="39" t="str">
        <x:v>H11</x:v>
      </x:c>
      <x:c r="I984" s="39" t="str">
        <x:v>DELEGATE/P2</x:v>
      </x:c>
      <x:c r="J984" s="39" t="str">
        <x:v>H11</x:v>
      </x:c>
      <x:c r="K984" s="39" t="str">
        <x:v>تطبیق احتمالی با پایه</x:v>
      </x:c>
      <x:c r="L984" s="39" t="str">
        <x:v>MI-1172</x:v>
      </x:c>
      <x:c r="M984" s="39" t="str">
        <x:v>علم و فناوری</x:v>
      </x:c>
      <x:c r="N984" s="39" t="str">
        <x:v>1154878548.docx::P1595.1 | 1154878548.docx::P1880.1</x:v>
      </x:c>
      <x:c r="O984" s="39"/>
    </x:row>
    <x:row r="985">
      <x:c r="A985" s="34" t="str">
        <x:v>☐</x:v>
      </x:c>
      <x:c r="B985" s="34" t="str">
        <x:v>EX-0957</x:v>
      </x:c>
      <x:c r="C985" s="34" t="str">
        <x:v>افراد کلیدی: معین، جعفری، صادقی، چراغعلی، اسدی.</x:v>
      </x:c>
      <x:c r="D985" s="34" t="str">
        <x:v>POSSIBLE</x:v>
      </x:c>
      <x:c r="E985" s="34" t="str">
        <x:v>90.0</x:v>
      </x:c>
      <x:c r="F985" s="34" t="str">
        <x:v>MI-1176</x:v>
      </x:c>
      <x:c r="G985" s="39" t="str">
        <x:v>چراغعلی</x:v>
      </x:c>
      <x:c r="H985" s="39" t="str">
        <x:v>H11</x:v>
      </x:c>
      <x:c r="I985" s="39" t="str">
        <x:v>DELEGATE/P2</x:v>
      </x:c>
      <x:c r="J985" s="39" t="str">
        <x:v>H11</x:v>
      </x:c>
      <x:c r="K985" s="39" t="str">
        <x:v>تطبیق احتمالی با پایه</x:v>
      </x:c>
      <x:c r="L985" s="39" t="str">
        <x:v>MI-1176</x:v>
      </x:c>
      <x:c r="M985" s="39" t="str">
        <x:v>چراغعلی</x:v>
      </x:c>
      <x:c r="N985" s="39" t="str">
        <x:v>1154878548.docx::P1596.1 | 1154878548.docx::P1881.1</x:v>
      </x:c>
      <x:c r="O985" s="39"/>
    </x:row>
    <x:row r="986">
      <x:c r="A986" s="34" t="str">
        <x:v>☐</x:v>
      </x:c>
      <x:c r="B986" s="34" t="str">
        <x:v>EX-0958</x:v>
      </x:c>
      <x:c r="C986" s="34" t="str">
        <x:v>۸-۱. فناوریهای همگرا (NBIC): نانو، بیو، شناختی.</x:v>
      </x:c>
      <x:c r="D986" s="34" t="str">
        <x:v>UNMAPPED</x:v>
      </x:c>
      <x:c r="E986" s="34" t="str">
        <x:v>67.5</x:v>
      </x:c>
      <x:c r="F986" s="34" t="str">
        <x:v>MI-2791</x:v>
      </x:c>
      <x:c r="G986" s="39" t="str">
        <x:v>اینو برو</x:v>
      </x:c>
      <x:c r="H986" s="39" t="str">
        <x:v>H20</x:v>
      </x:c>
      <x:c r="I986" s="39" t="str">
        <x:v>P3/CLARIFY</x:v>
      </x:c>
      <x:c r="J986" s="39" t="str">
        <x:v>H23</x:v>
      </x:c>
      <x:c r="K986" s="39" t="str">
        <x:v>نیازمند پالایش؛ حذف نشده</x:v>
      </x:c>
      <x:c r="L986" s="39"/>
      <x:c r="M986" s="39"/>
      <x:c r="N986" s="39" t="str">
        <x:v>1154878548.docx::P1598.1 | 1154878548.docx::P1883.1</x:v>
      </x:c>
      <x:c r="O986" s="39"/>
    </x:row>
    <x:row r="987">
      <x:c r="A987" s="34" t="str">
        <x:v>☐</x:v>
      </x:c>
      <x:c r="B987" s="34" t="str">
        <x:v>EX-0959</x:v>
      </x:c>
      <x:c r="C987" s="34" t="str">
        <x:v>۸-۲. هوش مصنوعی و داده (AI &amp; Data):</x:v>
      </x:c>
      <x:c r="D987" s="34" t="str">
        <x:v>POSSIBLE</x:v>
      </x:c>
      <x:c r="E987" s="34" t="str">
        <x:v>90.0</x:v>
      </x:c>
      <x:c r="F987" s="34" t="str">
        <x:v>MI-2652</x:v>
      </x:c>
      <x:c r="G987" s="39" t="str">
        <x:v>هوش مصنوعی</x:v>
      </x:c>
      <x:c r="H987" s="39" t="str">
        <x:v>H7</x:v>
      </x:c>
      <x:c r="I987" s="39" t="str">
        <x:v>P1</x:v>
      </x:c>
      <x:c r="J987" s="39" t="str">
        <x:v>H7</x:v>
      </x:c>
      <x:c r="K987" s="39" t="str">
        <x:v>تطبیق احتمالی با پایه</x:v>
      </x:c>
      <x:c r="L987" s="39" t="str">
        <x:v>MI-2652</x:v>
      </x:c>
      <x:c r="M987" s="39" t="str">
        <x:v>هوش مصنوعی</x:v>
      </x:c>
      <x:c r="N987" s="39" t="str">
        <x:v>1154878548.docx::P1599.1 | 1154878548.docx::P1884.1</x:v>
      </x:c>
      <x:c r="O987" s="39"/>
    </x:row>
    <x:row r="988">
      <x:c r="A988" s="34" t="str">
        <x:v>☐</x:v>
      </x:c>
      <x:c r="B988" s="34" t="str">
        <x:v>EX-0960</x:v>
      </x:c>
      <x:c r="C988" s="34" t="str">
        <x:v>الگوریتمها: YOLO, CNN, NLP, CVAT.</x:v>
      </x:c>
      <x:c r="D988" s="34" t="str">
        <x:v>POSSIBLE</x:v>
      </x:c>
      <x:c r="E988" s="34" t="str">
        <x:v>90.0</x:v>
      </x:c>
      <x:c r="F988" s="34" t="str">
        <x:v>MI-0128</x:v>
      </x:c>
      <x:c r="G988" s="39" t="str">
        <x:v>yolo</x:v>
      </x:c>
      <x:c r="H988" s="39" t="str">
        <x:v>H7</x:v>
      </x:c>
      <x:c r="I988" s="39" t="str">
        <x:v>P1</x:v>
      </x:c>
      <x:c r="J988" s="39" t="str">
        <x:v>H7</x:v>
      </x:c>
      <x:c r="K988" s="39" t="str">
        <x:v>تطبیق احتمالی با پایه</x:v>
      </x:c>
      <x:c r="L988" s="39" t="str">
        <x:v>MI-0128</x:v>
      </x:c>
      <x:c r="M988" s="39" t="str">
        <x:v>yolo</x:v>
      </x:c>
      <x:c r="N988" s="39" t="str">
        <x:v>1154878548.docx::P1600.1 | 1154878548.docx::P1885.1</x:v>
      </x:c>
      <x:c r="O988" s="39"/>
    </x:row>
    <x:row r="989">
      <x:c r="A989" s="34" t="str">
        <x:v>☐</x:v>
      </x:c>
      <x:c r="B989" s="34" t="str">
        <x:v>EX-0961</x:v>
      </x:c>
      <x:c r="C989" s="34" t="str">
        <x:v>ابزارها: JupyterLab, Python, Power BI.</x:v>
      </x:c>
      <x:c r="D989" s="34" t="str">
        <x:v>POSSIBLE</x:v>
      </x:c>
      <x:c r="E989" s="34" t="str">
        <x:v>90.0</x:v>
      </x:c>
      <x:c r="F989" s="34" t="str">
        <x:v>MI-0189</x:v>
      </x:c>
      <x:c r="G989" s="39" t="str">
        <x:v>POWER BI</x:v>
      </x:c>
      <x:c r="H989" s="39" t="str">
        <x:v>H7</x:v>
      </x:c>
      <x:c r="I989" s="39" t="str">
        <x:v>P1</x:v>
      </x:c>
      <x:c r="J989" s="39" t="str">
        <x:v>H7</x:v>
      </x:c>
      <x:c r="K989" s="39" t="str">
        <x:v>تطبیق احتمالی با پایه</x:v>
      </x:c>
      <x:c r="L989" s="39" t="str">
        <x:v>MI-0189</x:v>
      </x:c>
      <x:c r="M989" s="39" t="str">
        <x:v>POWER BI</x:v>
      </x:c>
      <x:c r="N989" s="39" t="str">
        <x:v>1154878548.docx::P1601.1 | 1154878548.docx::P1886.1</x:v>
      </x:c>
      <x:c r="O989" s="39"/>
    </x:row>
    <x:row r="990">
      <x:c r="A990" s="34" t="str">
        <x:v>☐</x:v>
      </x:c>
      <x:c r="B990" s="34" t="str">
        <x:v>EX-0962</x:v>
      </x:c>
      <x:c r="C990" s="34" t="str">
        <x:v>دیتاماینینگ: کاوش در پایگاه داده اختراعات (ClickHouse).</x:v>
      </x:c>
      <x:c r="D990" s="34" t="str">
        <x:v>POSSIBLE</x:v>
      </x:c>
      <x:c r="E990" s="34" t="str">
        <x:v>85.7</x:v>
      </x:c>
      <x:c r="F990" s="34" t="str">
        <x:v>MI-0091</x:v>
      </x:c>
      <x:c r="G990" s="39" t="str">
        <x:v>click house</x:v>
      </x:c>
      <x:c r="H990" s="39" t="str">
        <x:v>H7</x:v>
      </x:c>
      <x:c r="I990" s="39" t="str">
        <x:v>P1</x:v>
      </x:c>
      <x:c r="J990" s="39" t="str">
        <x:v>H7</x:v>
      </x:c>
      <x:c r="K990" s="39" t="str">
        <x:v>تطبیق احتمالی با پایه</x:v>
      </x:c>
      <x:c r="L990" s="39" t="str">
        <x:v>MI-0091</x:v>
      </x:c>
      <x:c r="M990" s="39" t="str">
        <x:v>click house</x:v>
      </x:c>
      <x:c r="N990" s="39" t="str">
        <x:v>1154878548.docx::P1602.1 | 1154878548.docx::P1887.1</x:v>
      </x:c>
      <x:c r="O990" s="39"/>
    </x:row>
    <x:row r="991">
      <x:c r="A991" s="34" t="str">
        <x:v>☐</x:v>
      </x:c>
      <x:c r="B991" s="34" t="str">
        <x:v>EX-0963</x:v>
      </x:c>
      <x:c r="C991" s="34" t="str">
        <x:v>پروژه: ساخت دستیار صوتی فارسی (کنترل فشار خون سالمندان).</x:v>
      </x:c>
      <x:c r="D991" s="34" t="str">
        <x:v>POSSIBLE</x:v>
      </x:c>
      <x:c r="E991" s="34" t="str">
        <x:v>85.5</x:v>
      </x:c>
      <x:c r="F991" s="34" t="str">
        <x:v>MI-1459</x:v>
      </x:c>
      <x:c r="G991" s="39" t="str">
        <x:v>روانشناسی کنترل خشم و استرس</x:v>
      </x:c>
      <x:c r="H991" s="39" t="str">
        <x:v>H1</x:v>
      </x:c>
      <x:c r="I991" s="39" t="str">
        <x:v>P0</x:v>
      </x:c>
      <x:c r="J991" s="39" t="str">
        <x:v>H1</x:v>
      </x:c>
      <x:c r="K991" s="39" t="str">
        <x:v>تطبیق احتمالی با پایه</x:v>
      </x:c>
      <x:c r="L991" s="39" t="str">
        <x:v>MI-1459</x:v>
      </x:c>
      <x:c r="M991" s="39" t="str">
        <x:v>روانشناسی کنترل خشم و استرس</x:v>
      </x:c>
      <x:c r="N991" s="39" t="str">
        <x:v>1154878548.docx::P1603.1 | 1154878548.docx::P1888.1</x:v>
      </x:c>
      <x:c r="O991" s="39"/>
    </x:row>
    <x:row r="992">
      <x:c r="A992" s="34" t="str">
        <x:v>☐</x:v>
      </x:c>
      <x:c r="B992" s="34" t="str">
        <x:v>EX-0964</x:v>
      </x:c>
      <x:c r="C992" s="34" t="str">
        <x:v>۸-۳. برنامه نویسی و وب:</x:v>
      </x:c>
      <x:c r="D992" s="34" t="str">
        <x:v>POSSIBLE</x:v>
      </x:c>
      <x:c r="E992" s="34" t="str">
        <x:v>90.0</x:v>
      </x:c>
      <x:c r="F992" s="34" t="str">
        <x:v>MI-1482</x:v>
      </x:c>
      <x:c r="G992" s="39" t="str">
        <x:v>برنامه نویسی:</x:v>
      </x:c>
      <x:c r="H992" s="39" t="str">
        <x:v>H1</x:v>
      </x:c>
      <x:c r="I992" s="39" t="str">
        <x:v>P0</x:v>
      </x:c>
      <x:c r="J992" s="39" t="str">
        <x:v>H1</x:v>
      </x:c>
      <x:c r="K992" s="39" t="str">
        <x:v>تطبیق احتمالی با پایه</x:v>
      </x:c>
      <x:c r="L992" s="39" t="str">
        <x:v>MI-1482</x:v>
      </x:c>
      <x:c r="M992" s="39" t="str">
        <x:v>برنامه نویسی:</x:v>
      </x:c>
      <x:c r="N992" s="39" t="str">
        <x:v>1154878548.docx::P1604.1 | 1154878548.docx::P1889.1</x:v>
      </x:c>
      <x:c r="O992" s="39"/>
    </x:row>
    <x:row r="993">
      <x:c r="A993" s="34" t="str">
        <x:v>☐</x:v>
      </x:c>
      <x:c r="B993" s="34" t="str">
        <x:v>EX-0965</x:v>
      </x:c>
      <x:c r="C993" s="34" t="str">
        <x:v>WordPress (المنتور پرو)، MVC، ASP Life Cycle.</x:v>
      </x:c>
      <x:c r="D993" s="34" t="str">
        <x:v>POSSIBLE</x:v>
      </x:c>
      <x:c r="E993" s="34" t="str">
        <x:v>90.0</x:v>
      </x:c>
      <x:c r="F993" s="34" t="str">
        <x:v>MI-1475</x:v>
      </x:c>
      <x:c r="G993" s="39" t="str">
        <x:v>Wordpress</x:v>
      </x:c>
      <x:c r="H993" s="39" t="str">
        <x:v>H1</x:v>
      </x:c>
      <x:c r="I993" s="39" t="str">
        <x:v>P0</x:v>
      </x:c>
      <x:c r="J993" s="39" t="str">
        <x:v>H1</x:v>
      </x:c>
      <x:c r="K993" s="39" t="str">
        <x:v>تطبیق احتمالی با پایه</x:v>
      </x:c>
      <x:c r="L993" s="39" t="str">
        <x:v>MI-1475</x:v>
      </x:c>
      <x:c r="M993" s="39" t="str">
        <x:v>Wordpress</x:v>
      </x:c>
      <x:c r="N993" s="39" t="str">
        <x:v>1154878548.docx::P1605.1 | 1154878548.docx::P1890.1</x:v>
      </x:c>
      <x:c r="O993" s="39"/>
    </x:row>
    <x:row r="994">
      <x:c r="A994" s="34" t="str">
        <x:v>☐</x:v>
      </x:c>
      <x:c r="B994" s="34" t="str">
        <x:v>EX-0966</x:v>
      </x:c>
      <x:c r="C994" s="34" t="str">
        <x:v>برنامهنویسی اندروید، FORTRAN.</x:v>
      </x:c>
      <x:c r="D994" s="34" t="str">
        <x:v>POSSIBLE</x:v>
      </x:c>
      <x:c r="E994" s="34" t="str">
        <x:v>90.0</x:v>
      </x:c>
      <x:c r="F994" s="34" t="str">
        <x:v>MI-0168</x:v>
      </x:c>
      <x:c r="G994" s="39" t="str">
        <x:v>FORTRAN</x:v>
      </x:c>
      <x:c r="H994" s="39" t="str">
        <x:v>H6</x:v>
      </x:c>
      <x:c r="I994" s="39" t="str">
        <x:v>P3/CLARIFY</x:v>
      </x:c>
      <x:c r="J994" s="39" t="str">
        <x:v>H6</x:v>
      </x:c>
      <x:c r="K994" s="39" t="str">
        <x:v>تطبیق احتمالی با پایه</x:v>
      </x:c>
      <x:c r="L994" s="39" t="str">
        <x:v>MI-0168</x:v>
      </x:c>
      <x:c r="M994" s="39" t="str">
        <x:v>FORTRAN</x:v>
      </x:c>
      <x:c r="N994" s="39" t="str">
        <x:v>1154878548.docx::P1606.1 | 1154878548.docx::P1891.1</x:v>
      </x:c>
      <x:c r="O994" s="39"/>
    </x:row>
    <x:row r="995">
      <x:c r="A995" s="34" t="str">
        <x:v>☐</x:v>
      </x:c>
      <x:c r="B995" s="34" t="str">
        <x:v>EX-0967</x:v>
      </x:c>
      <x:c r="C995" s="34" t="str">
        <x:v>۸-۴. شبیهسازی علمی (Scientific Sim):</x:v>
      </x:c>
      <x:c r="D995" s="34" t="str">
        <x:v>POSSIBLE</x:v>
      </x:c>
      <x:c r="E995" s="34" t="str">
        <x:v>85.5</x:v>
      </x:c>
      <x:c r="F995" s="34" t="str">
        <x:v>MI-2695</x:v>
      </x:c>
      <x:c r="G995" s="39" t="str">
        <x:v>پروژه های علمی</x:v>
      </x:c>
      <x:c r="H995" s="39" t="str">
        <x:v>H9</x:v>
      </x:c>
      <x:c r="I995" s="39" t="str">
        <x:v>P2</x:v>
      </x:c>
      <x:c r="J995" s="39" t="str">
        <x:v>H9</x:v>
      </x:c>
      <x:c r="K995" s="39" t="str">
        <x:v>تطبیق احتمالی با پایه</x:v>
      </x:c>
      <x:c r="L995" s="39" t="str">
        <x:v>MI-2695</x:v>
      </x:c>
      <x:c r="M995" s="39" t="str">
        <x:v>پروژه های علمی</x:v>
      </x:c>
      <x:c r="N995" s="39" t="str">
        <x:v>1154878548.docx::P1607.1 | 1154878548.docx::P1892.1</x:v>
      </x:c>
      <x:c r="O995" s="39"/>
    </x:row>
    <x:row r="996">
      <x:c r="A996" s="34" t="str">
        <x:v>☐</x:v>
      </x:c>
      <x:c r="B996" s="34" t="str">
        <x:v>EX-0968</x:v>
      </x:c>
      <x:c r="C996" s="34" t="str">
        <x:v>COMSOL (کامسول)، حل معادلات با پایتون.</x:v>
      </x:c>
      <x:c r="D996" s="34" t="str">
        <x:v>POSSIBLE</x:v>
      </x:c>
      <x:c r="E996" s="34" t="str">
        <x:v>90.0</x:v>
      </x:c>
      <x:c r="F996" s="34" t="str">
        <x:v>MI-0121</x:v>
      </x:c>
      <x:c r="G996" s="39" t="str">
        <x:v>کامسول</x:v>
      </x:c>
      <x:c r="H996" s="39" t="str">
        <x:v>H18</x:v>
      </x:c>
      <x:c r="I996" s="39" t="str">
        <x:v>BANK</x:v>
      </x:c>
      <x:c r="J996" s="39" t="str">
        <x:v>H18</x:v>
      </x:c>
      <x:c r="K996" s="39" t="str">
        <x:v>تطبیق احتمالی با پایه</x:v>
      </x:c>
      <x:c r="L996" s="39" t="str">
        <x:v>MI-0121</x:v>
      </x:c>
      <x:c r="M996" s="39" t="str">
        <x:v>کامسول</x:v>
      </x:c>
      <x:c r="N996" s="39" t="str">
        <x:v>1154878548.docx::P1608.1 | 1154878548.docx::P1893.1</x:v>
      </x:c>
      <x:c r="O996" s="39"/>
    </x:row>
    <x:row r="997">
      <x:c r="A997" s="34" t="str">
        <x:v>☐</x:v>
      </x:c>
      <x:c r="B997" s="34" t="str">
        <x:v>EX-0969</x:v>
      </x:c>
      <x:c r="C997" s="34" t="str">
        <x:v>CST (الکترومغناطیس)، Zemax (اپتیک).</x:v>
      </x:c>
      <x:c r="D997" s="34" t="str">
        <x:v>POSSIBLE</x:v>
      </x:c>
      <x:c r="E997" s="34" t="str">
        <x:v>90.0</x:v>
      </x:c>
      <x:c r="F997" s="34" t="str">
        <x:v>MI-0114</x:v>
      </x:c>
      <x:c r="G997" s="39" t="str">
        <x:v>zemax</x:v>
      </x:c>
      <x:c r="H997" s="39" t="str">
        <x:v>H6</x:v>
      </x:c>
      <x:c r="I997" s="39" t="str">
        <x:v>P3/CLARIFY</x:v>
      </x:c>
      <x:c r="J997" s="39" t="str">
        <x:v>H6</x:v>
      </x:c>
      <x:c r="K997" s="39" t="str">
        <x:v>تطبیق احتمالی با پایه</x:v>
      </x:c>
      <x:c r="L997" s="39" t="str">
        <x:v>MI-0114</x:v>
      </x:c>
      <x:c r="M997" s="39" t="str">
        <x:v>zemax</x:v>
      </x:c>
      <x:c r="N997" s="39" t="str">
        <x:v>1154878548.docx::P1609.1 | 1154878548.docx::P1894.1</x:v>
      </x:c>
      <x:c r="O997" s="39"/>
    </x:row>
    <x:row r="998">
      <x:c r="A998" s="34" t="str">
        <x:v>☐</x:v>
      </x:c>
      <x:c r="B998" s="34" t="str">
        <x:v>EX-0970</x:v>
      </x:c>
      <x:c r="C998" s="34" t="str">
        <x:v>ترجمه صوتی فیلم با لحن اصلی بازیگر اما به زبان دیگر (AI Dubbing).</x:v>
      </x:c>
      <x:c r="D998" s="34" t="str">
        <x:v>POSSIBLE</x:v>
      </x:c>
      <x:c r="E998" s="34" t="str">
        <x:v>85.5</x:v>
      </x:c>
      <x:c r="F998" s="34" t="str">
        <x:v>MI-0019</x:v>
      </x:c>
      <x:c r="G998" s="39" t="str">
        <x:v>آشنایی با نرم افزار املاک</x:v>
      </x:c>
      <x:c r="H998" s="39" t="str">
        <x:v>H1</x:v>
      </x:c>
      <x:c r="I998" s="39" t="str">
        <x:v>P0</x:v>
      </x:c>
      <x:c r="J998" s="39" t="str">
        <x:v>H1</x:v>
      </x:c>
      <x:c r="K998" s="39" t="str">
        <x:v>تطبیق احتمالی با پایه</x:v>
      </x:c>
      <x:c r="L998" s="39" t="str">
        <x:v>MI-0019</x:v>
      </x:c>
      <x:c r="M998" s="39" t="str">
        <x:v>آشنایی با نرم افزار املاک</x:v>
      </x:c>
      <x:c r="N998" s="39" t="str">
        <x:v>1154878548.docx::P1612.1 | 1154878548.docx::P1897.1</x:v>
      </x:c>
      <x:c r="O998" s="39"/>
    </x:row>
    <x:row r="999">
      <x:c r="A999" s="34" t="str">
        <x:v>☐</x:v>
      </x:c>
      <x:c r="B999" s="34" t="str">
        <x:v>EX-0971</x:v>
      </x:c>
      <x:c r="C999" s="34" t="str">
        <x:v>پروژه «فنجو» (Fanjo): هدایت تحصیلی هوشمند، پایش وضعیت درسی با AI (مرتبط با فرهودی).</x:v>
      </x:c>
      <x:c r="D999" s="34" t="str">
        <x:v>POSSIBLE</x:v>
      </x:c>
      <x:c r="E999" s="34" t="str">
        <x:v>90.0</x:v>
      </x:c>
      <x:c r="F999" s="34" t="str">
        <x:v>MI-1059</x:v>
      </x:c>
      <x:c r="G999" s="39" t="str">
        <x:v>هدایت تحصیلی</x:v>
      </x:c>
      <x:c r="H999" s="39" t="str">
        <x:v>H11</x:v>
      </x:c>
      <x:c r="I999" s="39" t="str">
        <x:v>DELEGATE/P2</x:v>
      </x:c>
      <x:c r="J999" s="39" t="str">
        <x:v>H11</x:v>
      </x:c>
      <x:c r="K999" s="39" t="str">
        <x:v>تطبیق احتمالی با پایه</x:v>
      </x:c>
      <x:c r="L999" s="39" t="str">
        <x:v>MI-1059</x:v>
      </x:c>
      <x:c r="M999" s="39" t="str">
        <x:v>هدایت تحصیلی</x:v>
      </x:c>
      <x:c r="N999" s="39" t="str">
        <x:v>1154878548.docx::P1613.1 | 1154878548.docx::P1898.1</x:v>
      </x:c>
      <x:c r="O999" s="39"/>
    </x:row>
    <x:row r="1000">
      <x:c r="A1000" s="34" t="str">
        <x:v>☐</x:v>
      </x:c>
      <x:c r="B1000" s="34" t="str">
        <x:v>EX-0972</x:v>
      </x:c>
      <x:c r="C1000" s="34" t="str">
        <x:v>پروژه دستیار صوتی و ترجمه هوشمند.</x:v>
      </x:c>
      <x:c r="D1000" s="34" t="str">
        <x:v>POSSIBLE</x:v>
      </x:c>
      <x:c r="E1000" s="34" t="str">
        <x:v>90.0</x:v>
      </x:c>
      <x:c r="F1000" s="34" t="str">
        <x:v>MI-1087</x:v>
      </x:c>
      <x:c r="G1000" s="39" t="str">
        <x:v>هوشمند</x:v>
      </x:c>
      <x:c r="H1000" s="39" t="str">
        <x:v>H14</x:v>
      </x:c>
      <x:c r="I1000" s="39" t="str">
        <x:v>P3</x:v>
      </x:c>
      <x:c r="J1000" s="39" t="str">
        <x:v>H14</x:v>
      </x:c>
      <x:c r="K1000" s="39" t="str">
        <x:v>تطبیق احتمالی با پایه</x:v>
      </x:c>
      <x:c r="L1000" s="39" t="str">
        <x:v>MI-1087</x:v>
      </x:c>
      <x:c r="M1000" s="39" t="str">
        <x:v>هوشمند</x:v>
      </x:c>
      <x:c r="N1000" s="39" t="str">
        <x:v>1154878548.docx::P1614.1 | 1154878548.docx::P1899.1</x:v>
      </x:c>
      <x:c r="O1000" s="39"/>
    </x:row>
    <x:row r="1001">
      <x:c r="A1001" s="34" t="str">
        <x:v>☐</x:v>
      </x:c>
      <x:c r="B1001" s="34" t="str">
        <x:v>EX-0973</x:v>
      </x:c>
      <x:c r="C1001" s="34" t="str">
        <x:v>۹. هنر عملیاتی و توسعه فردی (Operational Art &amp; Self-Dev)</x:v>
      </x:c>
      <x:c r="D1001" s="34" t="str">
        <x:v>POSSIBLE</x:v>
      </x:c>
      <x:c r="E1001" s="34" t="str">
        <x:v>85.5</x:v>
      </x:c>
      <x:c r="F1001" s="34" t="str">
        <x:v>MI-0029</x:v>
      </x:c>
      <x:c r="G1001" s="39" t="str">
        <x:v>تدریس ریاضی و فیزیک</x:v>
      </x:c>
      <x:c r="H1001" s="39" t="str">
        <x:v>H1</x:v>
      </x:c>
      <x:c r="I1001" s="39" t="str">
        <x:v>P0</x:v>
      </x:c>
      <x:c r="J1001" s="39" t="str">
        <x:v>H1</x:v>
      </x:c>
      <x:c r="K1001" s="39" t="str">
        <x:v>تطبیق احتمالی با پایه</x:v>
      </x:c>
      <x:c r="L1001" s="39" t="str">
        <x:v>MI-0029</x:v>
      </x:c>
      <x:c r="M1001" s="39" t="str">
        <x:v>تدریس ریاضی و فیزیک</x:v>
      </x:c>
      <x:c r="N1001" s="39" t="str">
        <x:v>1154878548.docx::P1615.1 | 1154878548.docx::P1900.1</x:v>
      </x:c>
      <x:c r="O1001" s="39"/>
    </x:row>
    <x:row r="1002">
      <x:c r="A1002" s="34" t="str">
        <x:v>☐</x:v>
      </x:c>
      <x:c r="B1002" s="34" t="str">
        <x:v>EX-0974</x:v>
      </x:c>
      <x:c r="C1002" s="34" t="str">
        <x:v>تمرکز: مدیریت خود و مدیریت بحران</x:v>
      </x:c>
      <x:c r="D1002" s="34" t="str">
        <x:v>POSSIBLE</x:v>
      </x:c>
      <x:c r="E1002" s="34" t="str">
        <x:v>85.5</x:v>
      </x:c>
      <x:c r="F1002" s="34" t="str">
        <x:v>MI-1501</x:v>
      </x:c>
      <x:c r="G1002" s="39" t="str">
        <x:v>مدیریت ریسک: شناسایی ریسک ها، ارزیابی اثرات، تدوین برنامه های مقابله با ریسک ها.</x:v>
      </x:c>
      <x:c r="H1002" s="39" t="str">
        <x:v>H1</x:v>
      </x:c>
      <x:c r="I1002" s="39" t="str">
        <x:v>P0</x:v>
      </x:c>
      <x:c r="J1002" s="39" t="str">
        <x:v>H1</x:v>
      </x:c>
      <x:c r="K1002" s="39" t="str">
        <x:v>تطبیق احتمالی با پایه</x:v>
      </x:c>
      <x:c r="L1002" s="39" t="str">
        <x:v>MI-1501</x:v>
      </x:c>
      <x:c r="M1002" s="39" t="str">
        <x:v>مدیریت ریسک: شناسایی ریسک ها، ارزیابی اثرات، تدوین برنامه های مقابله با ریسک ها.</x:v>
      </x:c>
      <x:c r="N1002" s="39" t="str">
        <x:v>1154878548.docx::P1616.1 | 1154878548.docx::P1901.1</x:v>
      </x:c>
      <x:c r="O1002" s="39"/>
    </x:row>
    <x:row r="1003">
      <x:c r="A1003" s="34" t="str">
        <x:v>☐</x:v>
      </x:c>
      <x:c r="B1003" s="34" t="str">
        <x:v>EX-0975</x:v>
      </x:c>
      <x:c r="C1003" s="34" t="str">
        <x:v>۹-۱. روانشناسی و خودکنترلی (برنامه شخصی):</x:v>
      </x:c>
      <x:c r="D1003" s="34" t="str">
        <x:v>POSSIBLE</x:v>
      </x:c>
      <x:c r="E1003" s="34" t="str">
        <x:v>85.5</x:v>
      </x:c>
      <x:c r="F1003" s="34" t="str">
        <x:v>MI-0179</x:v>
      </x:c>
      <x:c r="G1003" s="39" t="str">
        <x:v>برنامه ریزی شهری</x:v>
      </x:c>
      <x:c r="H1003" s="39" t="str">
        <x:v>H1</x:v>
      </x:c>
      <x:c r="I1003" s="39" t="str">
        <x:v>P0</x:v>
      </x:c>
      <x:c r="J1003" s="39" t="str">
        <x:v>H1</x:v>
      </x:c>
      <x:c r="K1003" s="39" t="str">
        <x:v>تطبیق احتمالی با پایه</x:v>
      </x:c>
      <x:c r="L1003" s="39" t="str">
        <x:v>MI-0179</x:v>
      </x:c>
      <x:c r="M1003" s="39" t="str">
        <x:v>برنامه ریزی شهری</x:v>
      </x:c>
      <x:c r="N1003" s="39" t="str">
        <x:v>1154878548.docx::P1617.1 | 1154878548.docx::P1902.1</x:v>
      </x:c>
      <x:c r="O1003" s="39"/>
    </x:row>
    <x:row r="1004">
      <x:c r="A1004" s="34" t="str">
        <x:v>☐</x:v>
      </x:c>
      <x:c r="B1004" s="34" t="str">
        <x:v>EX-0976</x:v>
      </x:c>
      <x:c r="C1004" s="34" t="str">
        <x:v>هوش هیجانی (EQ) و تصمیمگیری در لحظه.</x:v>
      </x:c>
      <x:c r="D1004" s="34" t="str">
        <x:v>POSSIBLE</x:v>
      </x:c>
      <x:c r="E1004" s="34" t="str">
        <x:v>85.5</x:v>
      </x:c>
      <x:c r="F1004" s="34" t="str">
        <x:v>MI-1513</x:v>
      </x:c>
      <x:c r="G1004" s="39" t="str">
        <x:v>تولید و کارآفرینی: توانایی تولید محصول و خدمات و ایجاد شغل.</x:v>
      </x:c>
      <x:c r="H1004" s="39" t="str">
        <x:v>H1</x:v>
      </x:c>
      <x:c r="I1004" s="39" t="str">
        <x:v>P0</x:v>
      </x:c>
      <x:c r="J1004" s="39" t="str">
        <x:v>H1</x:v>
      </x:c>
      <x:c r="K1004" s="39" t="str">
        <x:v>تطبیق احتمالی با پایه</x:v>
      </x:c>
      <x:c r="L1004" s="39" t="str">
        <x:v>MI-1513</x:v>
      </x:c>
      <x:c r="M1004" s="39" t="str">
        <x:v>تولید و کارآفرینی: توانایی تولید محصول و خدمات و ایجاد شغل.</x:v>
      </x:c>
      <x:c r="N1004" s="39" t="str">
        <x:v>1154878548.docx::P1618.1 | 1154878548.docx::P1903.1</x:v>
      </x:c>
      <x:c r="O1004" s="39"/>
    </x:row>
    <x:row r="1005">
      <x:c r="A1005" s="34" t="str">
        <x:v>☐</x:v>
      </x:c>
      <x:c r="B1005" s="34" t="str">
        <x:v>EX-0977</x:v>
      </x:c>
      <x:c r="C1005" s="34" t="str">
        <x:v>کنترل خشم، استرس، تحمل و صبر.</x:v>
      </x:c>
      <x:c r="D1005" s="34" t="str">
        <x:v>POSSIBLE</x:v>
      </x:c>
      <x:c r="E1005" s="34" t="str">
        <x:v>90.0</x:v>
      </x:c>
      <x:c r="F1005" s="34" t="str">
        <x:v>MI-1460</x:v>
      </x:c>
      <x:c r="G1005" s="39" t="str">
        <x:v>تحمل و صبر</x:v>
      </x:c>
      <x:c r="H1005" s="39" t="str">
        <x:v>H1</x:v>
      </x:c>
      <x:c r="I1005" s="39" t="str">
        <x:v>P0</x:v>
      </x:c>
      <x:c r="J1005" s="39" t="str">
        <x:v>H1</x:v>
      </x:c>
      <x:c r="K1005" s="39" t="str">
        <x:v>تطبیق احتمالی با پایه</x:v>
      </x:c>
      <x:c r="L1005" s="39" t="str">
        <x:v>MI-1460</x:v>
      </x:c>
      <x:c r="M1005" s="39" t="str">
        <x:v>تحمل و صبر</x:v>
      </x:c>
      <x:c r="N1005" s="39" t="str">
        <x:v>1154878548.docx::P1619.1 | 1154878548.docx::P1904.1</x:v>
      </x:c>
      <x:c r="O1005" s="39"/>
    </x:row>
    <x:row r="1006">
      <x:c r="A1006" s="34" t="str">
        <x:v>☐</x:v>
      </x:c>
      <x:c r="B1006" s="34" t="str">
        <x:v>EX-0978</x:v>
      </x:c>
      <x:c r="C1006" s="34" t="str">
        <x:v>جملات کلیدی: «مسخ ایشان در اخلاق بودیم».</x:v>
      </x:c>
      <x:c r="D1006" s="34" t="str">
        <x:v>POSSIBLE</x:v>
      </x:c>
      <x:c r="E1006" s="34" t="str">
        <x:v>89.4</x:v>
      </x:c>
      <x:c r="F1006" s="34" t="str">
        <x:v>MI-0334</x:v>
      </x:c>
      <x:c r="G1006" s="39" t="str">
        <x:v>ما مسخ ایشان در اخلاق بودیم</x:v>
      </x:c>
      <x:c r="H1006" s="39" t="str">
        <x:v>H18</x:v>
      </x:c>
      <x:c r="I1006" s="39" t="str">
        <x:v>P3/CLARIFY</x:v>
      </x:c>
      <x:c r="J1006" s="39" t="str">
        <x:v>H18</x:v>
      </x:c>
      <x:c r="K1006" s="39" t="str">
        <x:v>تطبیق احتمالی با پایه</x:v>
      </x:c>
      <x:c r="L1006" s="39" t="str">
        <x:v>MI-0334</x:v>
      </x:c>
      <x:c r="M1006" s="39" t="str">
        <x:v>ما مسخ ایشان در اخلاق بودیم</x:v>
      </x:c>
      <x:c r="N1006" s="39" t="str">
        <x:v>1154878548.docx::P1620.1 | 1154878548.docx::P1905.1</x:v>
      </x:c>
      <x:c r="O1006" s="39"/>
    </x:row>
    <x:row r="1007">
      <x:c r="A1007" s="34" t="str">
        <x:v>☐</x:v>
      </x:c>
      <x:c r="B1007" s="34" t="str">
        <x:v>EX-0979</x:v>
      </x:c>
      <x:c r="C1007" s="34" t="str">
        <x:v>۹-۲. عادات و سبک زندگی:</x:v>
      </x:c>
      <x:c r="D1007" s="34" t="str">
        <x:v>POSSIBLE</x:v>
      </x:c>
      <x:c r="E1007" s="34" t="str">
        <x:v>90.0</x:v>
      </x:c>
      <x:c r="F1007" s="34" t="str">
        <x:v>MI-1450</x:v>
      </x:c>
      <x:c r="G1007" s="39" t="str">
        <x:v>سبک زندگی:</x:v>
      </x:c>
      <x:c r="H1007" s="39" t="str">
        <x:v>H1</x:v>
      </x:c>
      <x:c r="I1007" s="39" t="str">
        <x:v>P0</x:v>
      </x:c>
      <x:c r="J1007" s="39" t="str">
        <x:v>H1</x:v>
      </x:c>
      <x:c r="K1007" s="39" t="str">
        <x:v>تطبیق احتمالی با پایه</x:v>
      </x:c>
      <x:c r="L1007" s="39" t="str">
        <x:v>MI-1450</x:v>
      </x:c>
      <x:c r="M1007" s="39" t="str">
        <x:v>سبک زندگی:</x:v>
      </x:c>
      <x:c r="N1007" s="39" t="str">
        <x:v>1154878548.docx::P1621.1 | 1154878548.docx::P1906.1</x:v>
      </x:c>
      <x:c r="O1007" s="39"/>
    </x:row>
    <x:row r="1008">
      <x:c r="A1008" s="34" t="str">
        <x:v>☐</x:v>
      </x:c>
      <x:c r="B1008" s="34" t="str">
        <x:v>EX-0980</x:v>
      </x:c>
      <x:c r="C1008" s="34" t="str">
        <x:v>کتابخوانی: حداقل یک کتاب در روز + پارت کتابخوانی.</x:v>
      </x:c>
      <x:c r="D1008" s="34" t="str">
        <x:v>POSSIBLE</x:v>
      </x:c>
      <x:c r="E1008" s="34" t="str">
        <x:v>90.0</x:v>
      </x:c>
      <x:c r="F1008" s="34" t="str">
        <x:v>MI-0026</x:v>
      </x:c>
      <x:c r="G1008" s="39" t="str">
        <x:v>پارت کتابخوانی</x:v>
      </x:c>
      <x:c r="H1008" s="39" t="str">
        <x:v>H15</x:v>
      </x:c>
      <x:c r="I1008" s="39" t="str">
        <x:v>BANK</x:v>
      </x:c>
      <x:c r="J1008" s="39" t="str">
        <x:v>H15</x:v>
      </x:c>
      <x:c r="K1008" s="39" t="str">
        <x:v>تطبیق احتمالی با پایه</x:v>
      </x:c>
      <x:c r="L1008" s="39" t="str">
        <x:v>MI-0026</x:v>
      </x:c>
      <x:c r="M1008" s="39" t="str">
        <x:v>پارت کتابخوانی</x:v>
      </x:c>
      <x:c r="N1008" s="39" t="str">
        <x:v>1154878548.docx::P1623.1 | 1154878548.docx::P1908.1</x:v>
      </x:c>
      <x:c r="O1008" s="39"/>
    </x:row>
    <x:row r="1009">
      <x:c r="A1009" s="34" t="str">
        <x:v>☐</x:v>
      </x:c>
      <x:c r="B1009" s="34" t="str">
        <x:v>EX-0981</x:v>
      </x:c>
      <x:c r="C1009" s="34" t="str">
        <x:v>خلاقیت و ایدهپردازی / برنامه زندگی (Life Plan).</x:v>
      </x:c>
      <x:c r="D1009" s="34" t="str">
        <x:v>POSSIBLE</x:v>
      </x:c>
      <x:c r="E1009" s="34" t="str">
        <x:v>87.7</x:v>
      </x:c>
      <x:c r="F1009" s="34" t="str">
        <x:v>MI-0110</x:v>
      </x:c>
      <x:c r="G1009" s="39" t="str">
        <x:v>خلاقیت و ایده پردازی</x:v>
      </x:c>
      <x:c r="H1009" s="39" t="str">
        <x:v>H1</x:v>
      </x:c>
      <x:c r="I1009" s="39" t="str">
        <x:v>P0</x:v>
      </x:c>
      <x:c r="J1009" s="39" t="str">
        <x:v>H1</x:v>
      </x:c>
      <x:c r="K1009" s="39" t="str">
        <x:v>تطبیق احتمالی با پایه</x:v>
      </x:c>
      <x:c r="L1009" s="39" t="str">
        <x:v>MI-0110</x:v>
      </x:c>
      <x:c r="M1009" s="39" t="str">
        <x:v>خلاقیت و ایده پردازی</x:v>
      </x:c>
      <x:c r="N1009" s="39" t="str">
        <x:v>1154878548.docx::P1624.1 | 1154878548.docx::P1909.1</x:v>
      </x:c>
      <x:c r="O1009" s="39"/>
    </x:row>
    <x:row r="1010">
      <x:c r="A1010" s="34" t="str">
        <x:v>☐</x:v>
      </x:c>
      <x:c r="B1010" s="34" t="str">
        <x:v>EX-0982</x:v>
      </x:c>
      <x:c r="C1010" s="34" t="str">
        <x:v>تفریح: قرار دوستانه دبیرستانی، کوهنوردی (نمادین).</x:v>
      </x:c>
      <x:c r="D1010" s="34" t="str">
        <x:v>POSSIBLE</x:v>
      </x:c>
      <x:c r="E1010" s="34" t="str">
        <x:v>85.5</x:v>
      </x:c>
      <x:c r="F1010" s="34" t="str">
        <x:v>MI-0049</x:v>
      </x:c>
      <x:c r="G1010" s="39" t="str">
        <x:v>گذاشتن قرار دوستانه دبیرستانی</x:v>
      </x:c>
      <x:c r="H1010" s="39" t="str">
        <x:v>H1</x:v>
      </x:c>
      <x:c r="I1010" s="39" t="str">
        <x:v>P0</x:v>
      </x:c>
      <x:c r="J1010" s="39" t="str">
        <x:v>H1</x:v>
      </x:c>
      <x:c r="K1010" s="39" t="str">
        <x:v>تطبیق احتمالی با پایه</x:v>
      </x:c>
      <x:c r="L1010" s="39" t="str">
        <x:v>MI-0049</x:v>
      </x:c>
      <x:c r="M1010" s="39" t="str">
        <x:v>گذاشتن قرار دوستانه دبیرستانی</x:v>
      </x:c>
      <x:c r="N1010" s="39" t="str">
        <x:v>1154878548.docx::P1625.1 | 1154878548.docx::P1910.1</x:v>
      </x:c>
      <x:c r="O1010" s="39"/>
    </x:row>
    <x:row r="1011">
      <x:c r="A1011" s="34" t="str">
        <x:v>☐</x:v>
      </x:c>
      <x:c r="B1011" s="34" t="str">
        <x:v>EX-0983</x:v>
      </x:c>
      <x:c r="C1011" s="34" t="str">
        <x:v>۹-۳. مدیریت بحران: رهبری در آشوب، مدیریت سیستمهای پیچیده.</x:v>
      </x:c>
      <x:c r="D1011" s="34" t="str">
        <x:v>POSSIBLE</x:v>
      </x:c>
      <x:c r="E1011" s="34" t="str">
        <x:v>85.5</x:v>
      </x:c>
      <x:c r="F1011" s="34" t="str">
        <x:v>MI-0173</x:v>
      </x:c>
      <x:c r="G1011" s="39" t="str">
        <x:v>جستجو در منابع سریع</x:v>
      </x:c>
      <x:c r="H1011" s="39" t="str">
        <x:v>H1</x:v>
      </x:c>
      <x:c r="I1011" s="39" t="str">
        <x:v>P0</x:v>
      </x:c>
      <x:c r="J1011" s="39" t="str">
        <x:v>H1</x:v>
      </x:c>
      <x:c r="K1011" s="39" t="str">
        <x:v>تطبیق احتمالی با پایه</x:v>
      </x:c>
      <x:c r="L1011" s="39" t="str">
        <x:v>MI-0173</x:v>
      </x:c>
      <x:c r="M1011" s="39" t="str">
        <x:v>جستجو در منابع سریع</x:v>
      </x:c>
      <x:c r="N1011" s="39" t="str">
        <x:v>1154878548.docx::P1626.1 | 1154878548.docx::P1911.1</x:v>
      </x:c>
      <x:c r="O1011" s="39"/>
    </x:row>
    <x:row r="1012">
      <x:c r="A1012" s="34" t="str">
        <x:v>☐</x:v>
      </x:c>
      <x:c r="B1012" s="34" t="str">
        <x:v>EX-0984</x:v>
      </x:c>
      <x:c r="C1012" s="34" t="str">
        <x:v>نکات اخلاقی</x:v>
      </x:c>
      <x:c r="D1012" s="34" t="str">
        <x:v>POSSIBLE</x:v>
      </x:c>
      <x:c r="E1012" s="34" t="str">
        <x:v>85.5</x:v>
      </x:c>
      <x:c r="F1012" s="34" t="str">
        <x:v>MI-1559</x:v>
      </x:c>
      <x:c r="G1012" s="39" t="str">
        <x:v>جهاد اخلاقی ( جهاد با نفس)</x:v>
      </x:c>
      <x:c r="H1012" s="39" t="str">
        <x:v>H23</x:v>
      </x:c>
      <x:c r="I1012" s="39" t="str">
        <x:v>P3/CLARIFY</x:v>
      </x:c>
      <x:c r="J1012" s="39" t="str">
        <x:v>H23</x:v>
      </x:c>
      <x:c r="K1012" s="39" t="str">
        <x:v>تطبیق احتمالی با پایه</x:v>
      </x:c>
      <x:c r="L1012" s="39" t="str">
        <x:v>MI-1559</x:v>
      </x:c>
      <x:c r="M1012" s="39" t="str">
        <x:v>جهاد اخلاقی ( جهاد با نفس)</x:v>
      </x:c>
      <x:c r="N1012" s="39" t="str">
        <x:v>1154878548.docx::P1627.1 | 1154878548.docx::P1912.1</x:v>
      </x:c>
      <x:c r="O1012" s="39"/>
    </x:row>
    <x:row r="1013">
      <x:c r="A1013" s="34" t="str">
        <x:v>☐</x:v>
      </x:c>
      <x:c r="B1013" s="34" t="str">
        <x:v>EX-0985</x:v>
      </x:c>
      <x:c r="C1013" s="34" t="str">
        <x:v>دلسوز بودن و پای کار آمدن با نیت خالص.</x:v>
      </x:c>
      <x:c r="D1013" s="34" t="str">
        <x:v>POSSIBLE</x:v>
      </x:c>
      <x:c r="E1013" s="34" t="str">
        <x:v>85.5</x:v>
      </x:c>
      <x:c r="F1013" s="34" t="str">
        <x:v>MI-1501</x:v>
      </x:c>
      <x:c r="G1013" s="39" t="str">
        <x:v>مدیریت ریسک: شناسایی ریسک ها، ارزیابی اثرات، تدوین برنامه های مقابله با ریسک ها.</x:v>
      </x:c>
      <x:c r="H1013" s="39" t="str">
        <x:v>H1</x:v>
      </x:c>
      <x:c r="I1013" s="39" t="str">
        <x:v>P0</x:v>
      </x:c>
      <x:c r="J1013" s="39" t="str">
        <x:v>H1</x:v>
      </x:c>
      <x:c r="K1013" s="39" t="str">
        <x:v>تطبیق احتمالی با پایه</x:v>
      </x:c>
      <x:c r="L1013" s="39" t="str">
        <x:v>MI-1501</x:v>
      </x:c>
      <x:c r="M1013" s="39" t="str">
        <x:v>مدیریت ریسک: شناسایی ریسک ها، ارزیابی اثرات، تدوین برنامه های مقابله با ریسک ها.</x:v>
      </x:c>
      <x:c r="N1013" s="39" t="str">
        <x:v>1154878548.docx::P1628.1 | 1154878548.docx::P1913.1</x:v>
      </x:c>
      <x:c r="O1013" s="39"/>
    </x:row>
    <x:row r="1014">
      <x:c r="A1014" s="34" t="str">
        <x:v>☐</x:v>
      </x:c>
      <x:c r="B1014" s="34" t="str">
        <x:v>EX-0986</x:v>
      </x:c>
      <x:c r="C1014" s="34" t="str">
        <x:v>همپوشانی در کارها و پرهیز از موازیکاری.</x:v>
      </x:c>
      <x:c r="D1014" s="34" t="str">
        <x:v>POSSIBLE</x:v>
      </x:c>
      <x:c r="E1014" s="34" t="str">
        <x:v>85.5</x:v>
      </x:c>
      <x:c r="F1014" s="34" t="str">
        <x:v>MI-1513</x:v>
      </x:c>
      <x:c r="G1014" s="39" t="str">
        <x:v>تولید و کارآفرینی: توانایی تولید محصول و خدمات و ایجاد شغل.</x:v>
      </x:c>
      <x:c r="H1014" s="39" t="str">
        <x:v>H1</x:v>
      </x:c>
      <x:c r="I1014" s="39" t="str">
        <x:v>P0</x:v>
      </x:c>
      <x:c r="J1014" s="39" t="str">
        <x:v>H1</x:v>
      </x:c>
      <x:c r="K1014" s="39" t="str">
        <x:v>تطبیق احتمالی با پایه</x:v>
      </x:c>
      <x:c r="L1014" s="39" t="str">
        <x:v>MI-1513</x:v>
      </x:c>
      <x:c r="M1014" s="39" t="str">
        <x:v>تولید و کارآفرینی: توانایی تولید محصول و خدمات و ایجاد شغل.</x:v>
      </x:c>
      <x:c r="N1014" s="39" t="str">
        <x:v>1154878548.docx::P1630.1 | 1154878548.docx::P1915.1</x:v>
      </x:c>
      <x:c r="O1014" s="39"/>
    </x:row>
    <x:row r="1015">
      <x:c r="A1015" s="34" t="str">
        <x:v>☐</x:v>
      </x:c>
      <x:c r="B1015" s="34" t="str">
        <x:v>EX-0987</x:v>
      </x:c>
      <x:c r="C1015" s="34" t="str">
        <x:v>۱۰. فرادانش و آموزش آکادمیک (Meta-Knowledge &amp; Education)</x:v>
      </x:c>
      <x:c r="D1015" s="34" t="str">
        <x:v>POSSIBLE</x:v>
      </x:c>
      <x:c r="E1015" s="34" t="str">
        <x:v>85.5</x:v>
      </x:c>
      <x:c r="F1015" s="34" t="str">
        <x:v>MI-0029</x:v>
      </x:c>
      <x:c r="G1015" s="39" t="str">
        <x:v>تدریس ریاضی و فیزیک</x:v>
      </x:c>
      <x:c r="H1015" s="39" t="str">
        <x:v>H1</x:v>
      </x:c>
      <x:c r="I1015" s="39" t="str">
        <x:v>P0</x:v>
      </x:c>
      <x:c r="J1015" s="39" t="str">
        <x:v>H1</x:v>
      </x:c>
      <x:c r="K1015" s="39" t="str">
        <x:v>تطبیق احتمالی با پایه</x:v>
      </x:c>
      <x:c r="L1015" s="39" t="str">
        <x:v>MI-0029</x:v>
      </x:c>
      <x:c r="M1015" s="39" t="str">
        <x:v>تدریس ریاضی و فیزیک</x:v>
      </x:c>
      <x:c r="N1015" s="39" t="str">
        <x:v>1154878548.docx::P1631.1 | 1154878548.docx::P1916.1</x:v>
      </x:c>
      <x:c r="O1015" s="39"/>
    </x:row>
    <x:row r="1016">
      <x:c r="A1016" s="34" t="str">
        <x:v>☐</x:v>
      </x:c>
      <x:c r="B1016" s="34" t="str">
        <x:v>EX-0988</x:v>
      </x:c>
      <x:c r="C1016" s="34" t="str">
        <x:v>تمرکز: تحصیلات، تدریس و پژوهش</x:v>
      </x:c>
      <x:c r="D1016" s="34" t="str">
        <x:v>POSSIBLE</x:v>
      </x:c>
      <x:c r="E1016" s="34" t="str">
        <x:v>90.0</x:v>
      </x:c>
      <x:c r="F1016" s="34" t="str">
        <x:v>MI-2192</x:v>
      </x:c>
      <x:c r="G1016" s="39" t="str">
        <x:v>پژوهش</x:v>
      </x:c>
      <x:c r="H1016" s="39" t="str">
        <x:v>H9</x:v>
      </x:c>
      <x:c r="I1016" s="39" t="str">
        <x:v>P2</x:v>
      </x:c>
      <x:c r="J1016" s="39" t="str">
        <x:v>H9</x:v>
      </x:c>
      <x:c r="K1016" s="39" t="str">
        <x:v>تطبیق احتمالی با پایه</x:v>
      </x:c>
      <x:c r="L1016" s="39" t="str">
        <x:v>MI-2192</x:v>
      </x:c>
      <x:c r="M1016" s="39" t="str">
        <x:v>پژوهش</x:v>
      </x:c>
      <x:c r="N1016" s="39" t="str">
        <x:v>1154878548.docx::P1632.1 | 1154878548.docx::P1917.1</x:v>
      </x:c>
      <x:c r="O1016" s="39"/>
    </x:row>
    <x:row r="1017">
      <x:c r="A1017" s="34" t="str">
        <x:v>☐</x:v>
      </x:c>
      <x:c r="B1017" s="34" t="str">
        <x:v>EX-0989</x:v>
      </x:c>
      <x:c r="C1017" s="34" t="str">
        <x:v>۱۰-۱. منابع: IEEE، Springer، CPDI، Google Scholar، PubMed.</x:v>
      </x:c>
      <x:c r="D1017" s="34" t="str">
        <x:v>POSSIBLE</x:v>
      </x:c>
      <x:c r="E1017" s="34" t="str">
        <x:v>90.0</x:v>
      </x:c>
      <x:c r="F1017" s="34" t="str">
        <x:v>MI-0542</x:v>
      </x:c>
      <x:c r="G1017" s="39" t="str">
        <x:v>springer</x:v>
      </x:c>
      <x:c r="H1017" s="39" t="str">
        <x:v>H9</x:v>
      </x:c>
      <x:c r="I1017" s="39" t="str">
        <x:v>BANK</x:v>
      </x:c>
      <x:c r="J1017" s="39" t="str">
        <x:v>H9</x:v>
      </x:c>
      <x:c r="K1017" s="39" t="str">
        <x:v>تطبیق احتمالی با پایه</x:v>
      </x:c>
      <x:c r="L1017" s="39" t="str">
        <x:v>MI-0542</x:v>
      </x:c>
      <x:c r="M1017" s="39" t="str">
        <x:v>springer</x:v>
      </x:c>
      <x:c r="N1017" s="39" t="str">
        <x:v>1154878548.docx::P1633.1 | 1154878548.docx::P1918.1</x:v>
      </x:c>
      <x:c r="O1017" s="39"/>
    </x:row>
    <x:row r="1018">
      <x:c r="A1018" s="34" t="str">
        <x:v>☐</x:v>
      </x:c>
      <x:c r="B1018" s="34" t="str">
        <x:v>EX-0990</x:v>
      </x:c>
      <x:c r="C1018" s="34" t="str">
        <x:v>۱۰-۲. برنامه تحصیلی (برنامه شخصی):</x:v>
      </x:c>
      <x:c r="D1018" s="34" t="str">
        <x:v>POSSIBLE</x:v>
      </x:c>
      <x:c r="E1018" s="34" t="str">
        <x:v>90.0</x:v>
      </x:c>
      <x:c r="F1018" s="34" t="str">
        <x:v>MI-1206</x:v>
      </x:c>
      <x:c r="G1018" s="39" t="str">
        <x:v>تحصیلی</x:v>
      </x:c>
      <x:c r="H1018" s="39" t="str">
        <x:v>H23</x:v>
      </x:c>
      <x:c r="I1018" s="39" t="str">
        <x:v>P3/CLARIFY</x:v>
      </x:c>
      <x:c r="J1018" s="39" t="str">
        <x:v>H23</x:v>
      </x:c>
      <x:c r="K1018" s="39" t="str">
        <x:v>تطبیق احتمالی با پایه</x:v>
      </x:c>
      <x:c r="L1018" s="39" t="str">
        <x:v>MI-1206</x:v>
      </x:c>
      <x:c r="M1018" s="39" t="str">
        <x:v>تحصیلی</x:v>
      </x:c>
      <x:c r="N1018" s="39" t="str">
        <x:v>1154878548.docx::P1634.1 | 1154878548.docx::P1919.1</x:v>
      </x:c>
      <x:c r="O1018" s="39"/>
    </x:row>
    <x:row r="1019">
      <x:c r="A1019" s="34" t="str">
        <x:v>☐</x:v>
      </x:c>
      <x:c r="B1019" s="34" t="str">
        <x:v>EX-0991</x:v>
      </x:c>
      <x:c r="C1019" s="34" t="str">
        <x:v>ارشد: تسلط بر دروس مکانیک جامدات (دانشگاه نوشیروانی بابل).</x:v>
      </x:c>
      <x:c r="D1019" s="34" t="str">
        <x:v>POSSIBLE</x:v>
      </x:c>
      <x:c r="E1019" s="34" t="str">
        <x:v>90.0</x:v>
      </x:c>
      <x:c r="F1019" s="34" t="str">
        <x:v>MI-3031</x:v>
      </x:c>
      <x:c r="G1019" s="39" t="str">
        <x:v>دانشگاه نوشیروانی بابل</x:v>
      </x:c>
      <x:c r="H1019" s="39" t="str">
        <x:v>H11</x:v>
      </x:c>
      <x:c r="I1019" s="39" t="str">
        <x:v>DELEGATE/P2</x:v>
      </x:c>
      <x:c r="J1019" s="39" t="str">
        <x:v>H11</x:v>
      </x:c>
      <x:c r="K1019" s="39" t="str">
        <x:v>تطبیق احتمالی با پایه</x:v>
      </x:c>
      <x:c r="L1019" s="39" t="str">
        <x:v>MI-3031</x:v>
      </x:c>
      <x:c r="M1019" s="39" t="str">
        <x:v>دانشگاه نوشیروانی بابل</x:v>
      </x:c>
      <x:c r="N1019" s="39" t="str">
        <x:v>1154878548.docx::P1635.1 | 1154878548.docx::P1920.1</x:v>
      </x:c>
      <x:c r="O1019" s="39"/>
    </x:row>
    <x:row r="1020">
      <x:c r="A1020" s="34" t="str">
        <x:v>☐</x:v>
      </x:c>
      <x:c r="B1020" s="34" t="str">
        <x:v>EX-0992</x:v>
      </x:c>
      <x:c r="C1020" s="34" t="str">
        <x:v>کارشناسی: مهندسی صنایع (پیام نور).</x:v>
      </x:c>
      <x:c r="D1020" s="34" t="str">
        <x:v>POSSIBLE</x:v>
      </x:c>
      <x:c r="E1020" s="34" t="str">
        <x:v>85.5</x:v>
      </x:c>
      <x:c r="F1020" s="34" t="str">
        <x:v>MI-1462</x:v>
      </x:c>
      <x:c r="G1020" s="39" t="str">
        <x:v>مهندسی اجتماعی</x:v>
      </x:c>
      <x:c r="H1020" s="39" t="str">
        <x:v>H1</x:v>
      </x:c>
      <x:c r="I1020" s="39" t="str">
        <x:v>P0</x:v>
      </x:c>
      <x:c r="J1020" s="39" t="str">
        <x:v>H1</x:v>
      </x:c>
      <x:c r="K1020" s="39" t="str">
        <x:v>تطبیق احتمالی با پایه</x:v>
      </x:c>
      <x:c r="L1020" s="39" t="str">
        <x:v>MI-1462</x:v>
      </x:c>
      <x:c r="M1020" s="39" t="str">
        <x:v>مهندسی اجتماعی</x:v>
      </x:c>
      <x:c r="N1020" s="39" t="str">
        <x:v>1154878548.docx::P1636.1 | 1154878548.docx::P1921.1</x:v>
      </x:c>
      <x:c r="O1020" s="39"/>
    </x:row>
    <x:row r="1021">
      <x:c r="A1021" s="34" t="str">
        <x:v>☐</x:v>
      </x:c>
      <x:c r="B1021" s="34" t="str">
        <x:v>EX-0993</x:v>
      </x:c>
      <x:c r="C1021" s="34" t="str">
        <x:v>کنکور: کنکور زبان.</x:v>
      </x:c>
      <x:c r="D1021" s="34" t="str">
        <x:v>POSSIBLE</x:v>
      </x:c>
      <x:c r="E1021" s="34" t="str">
        <x:v>90.0</x:v>
      </x:c>
      <x:c r="F1021" s="34" t="str">
        <x:v>MI-0083</x:v>
      </x:c>
      <x:c r="G1021" s="39" t="str">
        <x:v>کنکور زبان</x:v>
      </x:c>
      <x:c r="H1021" s="39" t="str">
        <x:v>H2</x:v>
      </x:c>
      <x:c r="I1021" s="39" t="str">
        <x:v>P3/CLARIFY</x:v>
      </x:c>
      <x:c r="J1021" s="39" t="str">
        <x:v>H2</x:v>
      </x:c>
      <x:c r="K1021" s="39" t="str">
        <x:v>تطبیق احتمالی با پایه</x:v>
      </x:c>
      <x:c r="L1021" s="39" t="str">
        <x:v>MI-0083</x:v>
      </x:c>
      <x:c r="M1021" s="39" t="str">
        <x:v>کنکور زبان</x:v>
      </x:c>
      <x:c r="N1021" s="39" t="str">
        <x:v>1154878548.docx::P1637.1 | 1154878548.docx::P1922.1</x:v>
      </x:c>
      <x:c r="O1021" s="39"/>
    </x:row>
    <x:row r="1022">
      <x:c r="A1022" s="34" t="str">
        <x:v>☐</x:v>
      </x:c>
      <x:c r="B1022" s="34" t="str">
        <x:v>EX-0994</x:v>
      </x:c>
      <x:c r="C1022" s="34" t="str">
        <x:v>۱۰-۳. تدریس و پژوهش:</x:v>
      </x:c>
      <x:c r="D1022" s="34" t="str">
        <x:v>POSSIBLE</x:v>
      </x:c>
      <x:c r="E1022" s="34" t="str">
        <x:v>90.0</x:v>
      </x:c>
      <x:c r="F1022" s="34" t="str">
        <x:v>MI-2192</x:v>
      </x:c>
      <x:c r="G1022" s="39" t="str">
        <x:v>پژوهش</x:v>
      </x:c>
      <x:c r="H1022" s="39" t="str">
        <x:v>H9</x:v>
      </x:c>
      <x:c r="I1022" s="39" t="str">
        <x:v>P2</x:v>
      </x:c>
      <x:c r="J1022" s="39" t="str">
        <x:v>H9</x:v>
      </x:c>
      <x:c r="K1022" s="39" t="str">
        <x:v>تطبیق احتمالی با پایه</x:v>
      </x:c>
      <x:c r="L1022" s="39" t="str">
        <x:v>MI-2192</x:v>
      </x:c>
      <x:c r="M1022" s="39" t="str">
        <x:v>پژوهش</x:v>
      </x:c>
      <x:c r="N1022" s="39" t="str">
        <x:v>1154878548.docx::P1638.1 | 1154878548.docx::P1923.1</x:v>
      </x:c>
      <x:c r="O1022" s="39"/>
    </x:row>
    <x:row r="1023">
      <x:c r="A1023" s="34" t="str">
        <x:v>☐</x:v>
      </x:c>
      <x:c r="B1023" s="34" t="str">
        <x:v>EX-0995</x:v>
      </x:c>
      <x:c r="C1023" s="34" t="str">
        <x:v>عضو هیأت علمی دانشگاه آیتالله بروجردی.</x:v>
      </x:c>
      <x:c r="D1023" s="34" t="str">
        <x:v>POSSIBLE</x:v>
      </x:c>
      <x:c r="E1023" s="34" t="str">
        <x:v>85.5</x:v>
      </x:c>
      <x:c r="F1023" s="34" t="str">
        <x:v>MI-0021</x:v>
      </x:c>
      <x:c r="G1023" s="39" t="str">
        <x:v>برنامه ریزی بسیار جدی تر برای دروس دانشگاه نوشیروانی بابل</x:v>
      </x:c>
      <x:c r="H1023" s="39" t="str">
        <x:v>H1</x:v>
      </x:c>
      <x:c r="I1023" s="39" t="str">
        <x:v>P0</x:v>
      </x:c>
      <x:c r="J1023" s="39" t="str">
        <x:v>H1</x:v>
      </x:c>
      <x:c r="K1023" s="39" t="str">
        <x:v>تطبیق احتمالی با پایه</x:v>
      </x:c>
      <x:c r="L1023" s="39" t="str">
        <x:v>MI-0021</x:v>
      </x:c>
      <x:c r="M1023" s="39" t="str">
        <x:v>برنامه ریزی بسیار جدی تر برای دروس دانشگاه نوشیروانی بابل</x:v>
      </x:c>
      <x:c r="N1023" s="39" t="str">
        <x:v>1154878548.docx::P1640.1 | 1154878548.docx::P1925.1 | 1154878548.docx::P2099.1</x:v>
      </x:c>
      <x:c r="O1023" s="39"/>
    </x:row>
    <x:row r="1024">
      <x:c r="A1024" s="34" t="str">
        <x:v>☐</x:v>
      </x:c>
      <x:c r="B1024" s="34" t="str">
        <x:v>EX-0996</x:v>
      </x:c>
      <x:c r="C1024" s="34" t="str">
        <x:v>تدریس ریاضی و فیزیک (تدوین جزوات).</x:v>
      </x:c>
      <x:c r="D1024" s="34" t="str">
        <x:v>POSSIBLE</x:v>
      </x:c>
      <x:c r="E1024" s="34" t="str">
        <x:v>90.0</x:v>
      </x:c>
      <x:c r="F1024" s="34" t="str">
        <x:v>MI-0029</x:v>
      </x:c>
      <x:c r="G1024" s="39" t="str">
        <x:v>تدریس ریاضی و فیزیک</x:v>
      </x:c>
      <x:c r="H1024" s="39" t="str">
        <x:v>H1</x:v>
      </x:c>
      <x:c r="I1024" s="39" t="str">
        <x:v>P0</x:v>
      </x:c>
      <x:c r="J1024" s="39" t="str">
        <x:v>H1</x:v>
      </x:c>
      <x:c r="K1024" s="39" t="str">
        <x:v>تطبیق احتمالی با پایه</x:v>
      </x:c>
      <x:c r="L1024" s="39" t="str">
        <x:v>MI-0029</x:v>
      </x:c>
      <x:c r="M1024" s="39" t="str">
        <x:v>تدریس ریاضی و فیزیک</x:v>
      </x:c>
      <x:c r="N1024" s="39" t="str">
        <x:v>1154878548.docx::P1641.1 | 1154878548.docx::P1926.1</x:v>
      </x:c>
      <x:c r="O1024" s="39"/>
    </x:row>
    <x:row r="1025">
      <x:c r="A1025" s="34" t="str">
        <x:v>☐</x:v>
      </x:c>
      <x:c r="B1025" s="34" t="str">
        <x:v>EX-0997</x:v>
      </x:c>
      <x:c r="C1025" s="34" t="str">
        <x:v>مقاله نویسی و گزارش نویسی علمی.</x:v>
      </x:c>
      <x:c r="D1025" s="34" t="str">
        <x:v>POSSIBLE</x:v>
      </x:c>
      <x:c r="E1025" s="34" t="str">
        <x:v>90.0</x:v>
      </x:c>
      <x:c r="F1025" s="34" t="str">
        <x:v>MI-0151</x:v>
      </x:c>
      <x:c r="G1025" s="39" t="str">
        <x:v>مقاله نویسی</x:v>
      </x:c>
      <x:c r="H1025" s="39" t="str">
        <x:v>H1</x:v>
      </x:c>
      <x:c r="I1025" s="39" t="str">
        <x:v>BANK</x:v>
      </x:c>
      <x:c r="J1025" s="39" t="str">
        <x:v>H1</x:v>
      </x:c>
      <x:c r="K1025" s="39" t="str">
        <x:v>تطبیق احتمالی با پایه</x:v>
      </x:c>
      <x:c r="L1025" s="39" t="str">
        <x:v>MI-0151</x:v>
      </x:c>
      <x:c r="M1025" s="39" t="str">
        <x:v>مقاله نویسی</x:v>
      </x:c>
      <x:c r="N1025" s="39" t="str">
        <x:v>1154878548.docx::P1642.1 | 1154878548.docx::P1927.1</x:v>
      </x:c>
      <x:c r="O1025" s="39"/>
    </x:row>
    <x:row r="1026">
      <x:c r="A1026" s="34" t="str">
        <x:v>☐</x:v>
      </x:c>
      <x:c r="B1026" s="34" t="str">
        <x:v>EX-0998</x:v>
      </x:c>
      <x:c r="C1026" s="34" t="str">
        <x:v>هدایت تحصیلی افراد ( استخر منابع اسلامی)</x:v>
      </x:c>
      <x:c r="D1026" s="34" t="str">
        <x:v>POSSIBLE</x:v>
      </x:c>
      <x:c r="E1026" s="34" t="str">
        <x:v>90.0</x:v>
      </x:c>
      <x:c r="F1026" s="34" t="str">
        <x:v>MI-1059</x:v>
      </x:c>
      <x:c r="G1026" s="39" t="str">
        <x:v>هدایت تحصیلی</x:v>
      </x:c>
      <x:c r="H1026" s="39" t="str">
        <x:v>H11</x:v>
      </x:c>
      <x:c r="I1026" s="39" t="str">
        <x:v>DELEGATE/P2</x:v>
      </x:c>
      <x:c r="J1026" s="39" t="str">
        <x:v>H11</x:v>
      </x:c>
      <x:c r="K1026" s="39" t="str">
        <x:v>تطبیق احتمالی با پایه</x:v>
      </x:c>
      <x:c r="L1026" s="39" t="str">
        <x:v>MI-1059</x:v>
      </x:c>
      <x:c r="M1026" s="39" t="str">
        <x:v>هدایت تحصیلی</x:v>
      </x:c>
      <x:c r="N1026" s="39" t="str">
        <x:v>1154878548.docx::P1643.1 | 1154878548.docx::P1928.1</x:v>
      </x:c>
      <x:c r="O1026" s="39"/>
    </x:row>
    <x:row r="1027">
      <x:c r="A1027" s="34" t="str">
        <x:v>☐</x:v>
      </x:c>
      <x:c r="B1027" s="34" t="str">
        <x:v>EX-0999</x:v>
      </x:c>
      <x:c r="C1027" s="34" t="str">
        <x:v>۱۱. دیپلماسی عمومی و زبانها (Public Diplomacy &amp; Languages)</x:v>
      </x:c>
      <x:c r="D1027" s="34" t="str">
        <x:v>POSSIBLE</x:v>
      </x:c>
      <x:c r="E1027" s="34" t="str">
        <x:v>85.5</x:v>
      </x:c>
      <x:c r="F1027" s="34" t="str">
        <x:v>MI-0029</x:v>
      </x:c>
      <x:c r="G1027" s="39" t="str">
        <x:v>تدریس ریاضی و فیزیک</x:v>
      </x:c>
      <x:c r="H1027" s="39" t="str">
        <x:v>H1</x:v>
      </x:c>
      <x:c r="I1027" s="39" t="str">
        <x:v>P0</x:v>
      </x:c>
      <x:c r="J1027" s="39" t="str">
        <x:v>H1</x:v>
      </x:c>
      <x:c r="K1027" s="39" t="str">
        <x:v>تطبیق احتمالی با پایه</x:v>
      </x:c>
      <x:c r="L1027" s="39" t="str">
        <x:v>MI-0029</x:v>
      </x:c>
      <x:c r="M1027" s="39" t="str">
        <x:v>تدریس ریاضی و فیزیک</x:v>
      </x:c>
      <x:c r="N1027" s="39" t="str">
        <x:v>1154878548.docx::P1644.1 | 1154878548.docx::P1929.1</x:v>
      </x:c>
      <x:c r="O1027" s="39"/>
    </x:row>
    <x:row r="1028">
      <x:c r="A1028" s="34" t="str">
        <x:v>☐</x:v>
      </x:c>
      <x:c r="B1028" s="34" t="str">
        <x:v>EX-1000</x:v>
      </x:c>
      <x:c r="C1028" s="34" t="str">
        <x:v>تمرکز: ارتباطات بینالملل و ابزارهای زبانی</x:v>
      </x:c>
      <x:c r="D1028" s="34" t="str">
        <x:v>POSSIBLE</x:v>
      </x:c>
      <x:c r="E1028" s="34" t="str">
        <x:v>90.0</x:v>
      </x:c>
      <x:c r="F1028" s="34" t="str">
        <x:v>MI-2498</x:v>
      </x:c>
      <x:c r="G1028" s="39" t="str">
        <x:v>ارتباطات</x:v>
      </x:c>
      <x:c r="H1028" s="39" t="str">
        <x:v>H4</x:v>
      </x:c>
      <x:c r="I1028" s="39" t="str">
        <x:v>P1</x:v>
      </x:c>
      <x:c r="J1028" s="39" t="str">
        <x:v>H4</x:v>
      </x:c>
      <x:c r="K1028" s="39" t="str">
        <x:v>تطبیق احتمالی با پایه</x:v>
      </x:c>
      <x:c r="L1028" s="39" t="str">
        <x:v>MI-2498</x:v>
      </x:c>
      <x:c r="M1028" s="39" t="str">
        <x:v>ارتباطات</x:v>
      </x:c>
      <x:c r="N1028" s="39" t="str">
        <x:v>1154878548.docx::P1645.1 | 1154878548.docx::P1930.1</x:v>
      </x:c>
      <x:c r="O1028" s="39"/>
    </x:row>
    <x:row r="1029">
      <x:c r="A1029" s="34" t="str">
        <x:v>☐</x:v>
      </x:c>
      <x:c r="B1029" s="34" t="str">
        <x:v>EX-1001</x:v>
      </x:c>
      <x:c r="C1029" s="34" t="str">
        <x:v>۱۱-۱. زبان انگلیسی:</x:v>
      </x:c>
      <x:c r="D1029" s="34" t="str">
        <x:v>POSSIBLE</x:v>
      </x:c>
      <x:c r="E1029" s="34" t="str">
        <x:v>85.5</x:v>
      </x:c>
      <x:c r="F1029" s="34" t="str">
        <x:v>MI-0068</x:v>
      </x:c>
      <x:c r="G1029" s="39" t="str">
        <x:v>یادگیری زبان برنامه نویسی اندروید</x:v>
      </x:c>
      <x:c r="H1029" s="39" t="str">
        <x:v>H1</x:v>
      </x:c>
      <x:c r="I1029" s="39" t="str">
        <x:v>P0</x:v>
      </x:c>
      <x:c r="J1029" s="39" t="str">
        <x:v>H1</x:v>
      </x:c>
      <x:c r="K1029" s="39" t="str">
        <x:v>تطبیق احتمالی با پایه</x:v>
      </x:c>
      <x:c r="L1029" s="39" t="str">
        <x:v>MI-0068</x:v>
      </x:c>
      <x:c r="M1029" s="39" t="str">
        <x:v>یادگیری زبان برنامه نویسی اندروید</x:v>
      </x:c>
      <x:c r="N1029" s="39" t="str">
        <x:v>1154878548.docx::P1646.1 | 1154878548.docx::P1931.1</x:v>
      </x:c>
      <x:c r="O1029" s="39"/>
    </x:row>
    <x:row r="1030">
      <x:c r="A1030" s="34" t="str">
        <x:v>☐</x:v>
      </x:c>
      <x:c r="B1030" s="34" t="str">
        <x:v>EX-1002</x:v>
      </x:c>
      <x:c r="C1030" s="34" t="str">
        <x:v>مدرک آیلتس (IELTS).</x:v>
      </x:c>
      <x:c r="D1030" s="34" t="str">
        <x:v>POSSIBLE</x:v>
      </x:c>
      <x:c r="E1030" s="34" t="str">
        <x:v>85.5</x:v>
      </x:c>
      <x:c r="F1030" s="34" t="str">
        <x:v>MI-0055</x:v>
      </x:c>
      <x:c r="G1030" s="39" t="str">
        <x:v>گرفتن مدرک تکنسین داروخانه</x:v>
      </x:c>
      <x:c r="H1030" s="39" t="str">
        <x:v>H1</x:v>
      </x:c>
      <x:c r="I1030" s="39" t="str">
        <x:v>P0</x:v>
      </x:c>
      <x:c r="J1030" s="39" t="str">
        <x:v>H1</x:v>
      </x:c>
      <x:c r="K1030" s="39" t="str">
        <x:v>تطبیق احتمالی با پایه</x:v>
      </x:c>
      <x:c r="L1030" s="39" t="str">
        <x:v>MI-0055</x:v>
      </x:c>
      <x:c r="M1030" s="39" t="str">
        <x:v>گرفتن مدرک تکنسین داروخانه</x:v>
      </x:c>
      <x:c r="N1030" s="39" t="str">
        <x:v>1154878548.docx::P1647.1 | 1154878548.docx::P1932.1</x:v>
      </x:c>
      <x:c r="O1030" s="39"/>
    </x:row>
    <x:row r="1031">
      <x:c r="A1031" s="34" t="str">
        <x:v>☐</x:v>
      </x:c>
      <x:c r="B1031" s="34" t="str">
        <x:v>EX-1003</x:v>
      </x:c>
      <x:c r="C1031" s="34" t="str">
        <x:v>افزایش دایره لغات (کتب لولبندی شده).</x:v>
      </x:c>
      <x:c r="D1031" s="34" t="str">
        <x:v>POSSIBLE</x:v>
      </x:c>
      <x:c r="E1031" s="34" t="str">
        <x:v>85.5</x:v>
      </x:c>
      <x:c r="F1031" s="34" t="str">
        <x:v>MI-1455</x:v>
      </x:c>
      <x:c r="G1031" s="39" t="str">
        <x:v>افزایش صبر و تحمل</x:v>
      </x:c>
      <x:c r="H1031" s="39" t="str">
        <x:v>H1</x:v>
      </x:c>
      <x:c r="I1031" s="39" t="str">
        <x:v>P0</x:v>
      </x:c>
      <x:c r="J1031" s="39" t="str">
        <x:v>H1</x:v>
      </x:c>
      <x:c r="K1031" s="39" t="str">
        <x:v>تطبیق احتمالی با پایه</x:v>
      </x:c>
      <x:c r="L1031" s="39" t="str">
        <x:v>MI-1455</x:v>
      </x:c>
      <x:c r="M1031" s="39" t="str">
        <x:v>افزایش صبر و تحمل</x:v>
      </x:c>
      <x:c r="N1031" s="39" t="str">
        <x:v>1154878548.docx::P1648.1 | 1154878548.docx::P1933.1</x:v>
      </x:c>
      <x:c r="O1031" s="39"/>
    </x:row>
    <x:row r="1032">
      <x:c r="A1032" s="34" t="str">
        <x:v>☐</x:v>
      </x:c>
      <x:c r="B1032" s="34" t="str">
        <x:v>EX-1004</x:v>
      </x:c>
      <x:c r="C1032" s="34" t="str">
        <x:v>۱۱-۲. سایر زبانها:</x:v>
      </x:c>
      <x:c r="D1032" s="34" t="str">
        <x:v>POSSIBLE</x:v>
      </x:c>
      <x:c r="E1032" s="34" t="str">
        <x:v>85.5</x:v>
      </x:c>
      <x:c r="F1032" s="34" t="str">
        <x:v>MI-1512</x:v>
      </x:c>
      <x:c r="G1032" s="39" t="str">
        <x:v>بازار سرمایه: آشنایی با بازار سهام، اوراق قرضه، و سایر ابزارهای مالی.</x:v>
      </x:c>
      <x:c r="H1032" s="39" t="str">
        <x:v>H1</x:v>
      </x:c>
      <x:c r="I1032" s="39" t="str">
        <x:v>P0</x:v>
      </x:c>
      <x:c r="J1032" s="39" t="str">
        <x:v>H1</x:v>
      </x:c>
      <x:c r="K1032" s="39" t="str">
        <x:v>تطبیق احتمالی با پایه</x:v>
      </x:c>
      <x:c r="L1032" s="39" t="str">
        <x:v>MI-1512</x:v>
      </x:c>
      <x:c r="M1032" s="39" t="str">
        <x:v>بازار سرمایه: آشنایی با بازار سهام، اوراق قرضه، و سایر ابزارهای مالی.</x:v>
      </x:c>
      <x:c r="N1032" s="39" t="str">
        <x:v>1154878548.docx::P1651.1 | 1154878548.docx::P1936.1</x:v>
      </x:c>
      <x:c r="O1032" s="39"/>
    </x:row>
    <x:row r="1033">
      <x:c r="A1033" s="34" t="str">
        <x:v>☐</x:v>
      </x:c>
      <x:c r="B1033" s="34" t="str">
        <x:v>EX-1005</x:v>
      </x:c>
      <x:c r="C1033" s="34" t="str">
        <x:v>عربی (لهجه خمسه عراق - دبی).</x:v>
      </x:c>
      <x:c r="D1033" s="34" t="str">
        <x:v>POSSIBLE</x:v>
      </x:c>
      <x:c r="E1033" s="34" t="str">
        <x:v>85.5</x:v>
      </x:c>
      <x:c r="F1033" s="34" t="str">
        <x:v>MI-1225</x:v>
      </x:c>
      <x:c r="G1033" s="39" t="str">
        <x:v>طراحی برنامه گفتگوی فارسی و عربی عراقی</x:v>
      </x:c>
      <x:c r="H1033" s="39" t="str">
        <x:v>H5</x:v>
      </x:c>
      <x:c r="I1033" s="39" t="str">
        <x:v>P1</x:v>
      </x:c>
      <x:c r="J1033" s="39" t="str">
        <x:v>H5</x:v>
      </x:c>
      <x:c r="K1033" s="39" t="str">
        <x:v>تطبیق احتمالی با پایه</x:v>
      </x:c>
      <x:c r="L1033" s="39" t="str">
        <x:v>MI-1225</x:v>
      </x:c>
      <x:c r="M1033" s="39" t="str">
        <x:v>طراحی برنامه گفتگوی فارسی و عربی عراقی</x:v>
      </x:c>
      <x:c r="N1033" s="39" t="str">
        <x:v>1154878548.docx::P1652.1 | 1154878548.docx::P1937.1</x:v>
      </x:c>
      <x:c r="O1033" s="39"/>
    </x:row>
    <x:row r="1034">
      <x:c r="A1034" s="34" t="str">
        <x:v>☐</x:v>
      </x:c>
      <x:c r="B1034" s="34" t="str">
        <x:v>EX-1006</x:v>
      </x:c>
      <x:c r="C1034" s="34" t="str">
        <x:v>ترکی استانبولی.</x:v>
      </x:c>
      <x:c r="D1034" s="34" t="str">
        <x:v>POSSIBLE</x:v>
      </x:c>
      <x:c r="E1034" s="34" t="str">
        <x:v>90.0</x:v>
      </x:c>
      <x:c r="F1034" s="34" t="str">
        <x:v>MI-0063</x:v>
      </x:c>
      <x:c r="G1034" s="39" t="str">
        <x:v>یادگیری ترکی استانبولی</x:v>
      </x:c>
      <x:c r="H1034" s="39" t="str">
        <x:v>H5</x:v>
      </x:c>
      <x:c r="I1034" s="39" t="str">
        <x:v>P1</x:v>
      </x:c>
      <x:c r="J1034" s="39" t="str">
        <x:v>H5</x:v>
      </x:c>
      <x:c r="K1034" s="39" t="str">
        <x:v>تطبیق احتمالی با پایه</x:v>
      </x:c>
      <x:c r="L1034" s="39" t="str">
        <x:v>MI-0063</x:v>
      </x:c>
      <x:c r="M1034" s="39" t="str">
        <x:v>یادگیری ترکی استانبولی</x:v>
      </x:c>
      <x:c r="N1034" s="39" t="str">
        <x:v>1154878548.docx::P1653.1 | 1154878548.docx::P1938.1 | 1154878548.docx::P4256.1</x:v>
      </x:c>
      <x:c r="O1034" s="39"/>
    </x:row>
    <x:row r="1035">
      <x:c r="A1035" s="34" t="str">
        <x:v>☐</x:v>
      </x:c>
      <x:c r="B1035" s="34" t="str">
        <x:v>EX-1007</x:v>
      </x:c>
      <x:c r="C1035" s="34" t="str">
        <x:v>۱۱-۳. ابزارها: دیپلماسی علمی، قدرت نرم، نفوذ زبانی.</x:v>
      </x:c>
      <x:c r="D1035" s="34" t="str">
        <x:v>POSSIBLE</x:v>
      </x:c>
      <x:c r="E1035" s="34" t="str">
        <x:v>90.0</x:v>
      </x:c>
      <x:c r="F1035" s="34" t="str">
        <x:v>MI-2970</x:v>
      </x:c>
      <x:c r="G1035" s="39" t="str">
        <x:v>ابزارها:</x:v>
      </x:c>
      <x:c r="H1035" s="39" t="str">
        <x:v>H20</x:v>
      </x:c>
      <x:c r="I1035" s="39" t="str">
        <x:v>P3/CLARIFY</x:v>
      </x:c>
      <x:c r="J1035" s="39" t="str">
        <x:v>H20</x:v>
      </x:c>
      <x:c r="K1035" s="39" t="str">
        <x:v>تطبیق احتمالی با پایه</x:v>
      </x:c>
      <x:c r="L1035" s="39" t="str">
        <x:v>MI-2970</x:v>
      </x:c>
      <x:c r="M1035" s="39" t="str">
        <x:v>ابزارها:</x:v>
      </x:c>
      <x:c r="N1035" s="39" t="str">
        <x:v>1154878548.docx::P1654.1 | 1154878548.docx::P1939.1</x:v>
      </x:c>
      <x:c r="O1035" s="39"/>
    </x:row>
    <x:row r="1036">
      <x:c r="A1036" s="34" t="str">
        <x:v>☐</x:v>
      </x:c>
      <x:c r="B1036" s="34" t="str">
        <x:v>EX-1008</x:v>
      </x:c>
      <x:c r="C1036" s="34" t="str">
        <x:v>۱۲. اکولوژی و کشاورزی (Ecology &amp; Agriculture)</x:v>
      </x:c>
      <x:c r="D1036" s="34" t="str">
        <x:v>POSSIBLE</x:v>
      </x:c>
      <x:c r="E1036" s="34" t="str">
        <x:v>90.0</x:v>
      </x:c>
      <x:c r="F1036" s="34" t="str">
        <x:v>MI-2219</x:v>
      </x:c>
      <x:c r="G1036" s="39" t="str">
        <x:v>کشاورزی</x:v>
      </x:c>
      <x:c r="H1036" s="39" t="str">
        <x:v>H12</x:v>
      </x:c>
      <x:c r="I1036" s="39" t="str">
        <x:v>P2</x:v>
      </x:c>
      <x:c r="J1036" s="39" t="str">
        <x:v>H12</x:v>
      </x:c>
      <x:c r="K1036" s="39" t="str">
        <x:v>تطبیق احتمالی با پایه</x:v>
      </x:c>
      <x:c r="L1036" s="39" t="str">
        <x:v>MI-2219</x:v>
      </x:c>
      <x:c r="M1036" s="39" t="str">
        <x:v>کشاورزی</x:v>
      </x:c>
      <x:c r="N1036" s="39" t="str">
        <x:v>1154878548.docx::P1655.1 | 1154878548.docx::P1940.1</x:v>
      </x:c>
      <x:c r="O1036" s="39"/>
    </x:row>
    <x:row r="1037">
      <x:c r="A1037" s="34" t="str">
        <x:v>☐</x:v>
      </x:c>
      <x:c r="B1037" s="34" t="str">
        <x:v>EX-1009</x:v>
      </x:c>
      <x:c r="C1037" s="34" t="str">
        <x:v>تمرکز: امنیت غذایی و محیط زیست</x:v>
      </x:c>
      <x:c r="D1037" s="34" t="str">
        <x:v>POSSIBLE</x:v>
      </x:c>
      <x:c r="E1037" s="34" t="str">
        <x:v>90.0</x:v>
      </x:c>
      <x:c r="F1037" s="34" t="str">
        <x:v>MI-1309</x:v>
      </x:c>
      <x:c r="G1037" s="39" t="str">
        <x:v>محیط زیست</x:v>
      </x:c>
      <x:c r="H1037" s="39" t="str">
        <x:v>H12</x:v>
      </x:c>
      <x:c r="I1037" s="39" t="str">
        <x:v>P2</x:v>
      </x:c>
      <x:c r="J1037" s="39" t="str">
        <x:v>H12</x:v>
      </x:c>
      <x:c r="K1037" s="39" t="str">
        <x:v>تطبیق احتمالی با پایه</x:v>
      </x:c>
      <x:c r="L1037" s="39" t="str">
        <x:v>MI-1309</x:v>
      </x:c>
      <x:c r="M1037" s="39" t="str">
        <x:v>محیط زیست</x:v>
      </x:c>
      <x:c r="N1037" s="39" t="str">
        <x:v>1154878548.docx::P1656.1 | 1154878548.docx::P1941.1</x:v>
      </x:c>
      <x:c r="O1037" s="39"/>
    </x:row>
    <x:row r="1038">
      <x:c r="A1038" s="34" t="str">
        <x:v>☐</x:v>
      </x:c>
      <x:c r="B1038" s="34" t="str">
        <x:v>EX-1010</x:v>
      </x:c>
      <x:c r="C1038" s="34" t="str">
        <x:v>۱۲-۱. ژئوپلیتیک: جنگ آب، امنیت خاک.</x:v>
      </x:c>
      <x:c r="D1038" s="34" t="str">
        <x:v>POSSIBLE</x:v>
      </x:c>
      <x:c r="E1038" s="34" t="str">
        <x:v>85.5</x:v>
      </x:c>
      <x:c r="F1038" s="34" t="str">
        <x:v>MI-1485</x:v>
      </x:c>
      <x:c r="G1038" s="39" t="str">
        <x:v>شبکه سازی و امنیت:</x:v>
      </x:c>
      <x:c r="H1038" s="39" t="str">
        <x:v>H4</x:v>
      </x:c>
      <x:c r="I1038" s="39" t="str">
        <x:v>P1</x:v>
      </x:c>
      <x:c r="J1038" s="39" t="str">
        <x:v>H4</x:v>
      </x:c>
      <x:c r="K1038" s="39" t="str">
        <x:v>تطبیق احتمالی با پایه</x:v>
      </x:c>
      <x:c r="L1038" s="39" t="str">
        <x:v>MI-1485</x:v>
      </x:c>
      <x:c r="M1038" s="39" t="str">
        <x:v>شبکه سازی و امنیت:</x:v>
      </x:c>
      <x:c r="N1038" s="39" t="str">
        <x:v>1154878548.docx::P1657.1 | 1154878548.docx::P1942.1</x:v>
      </x:c>
      <x:c r="O1038" s="39"/>
    </x:row>
    <x:row r="1039">
      <x:c r="A1039" s="34" t="str">
        <x:v>☐</x:v>
      </x:c>
      <x:c r="B1039" s="34" t="str">
        <x:v>EX-1011</x:v>
      </x:c>
      <x:c r="C1039" s="34" t="str">
        <x:v>۱۲-۲. پروژههای کشاورزی و غذایی (برنامه شخصی):</x:v>
      </x:c>
      <x:c r="D1039" s="34" t="str">
        <x:v>POSSIBLE</x:v>
      </x:c>
      <x:c r="E1039" s="34" t="str">
        <x:v>90.0</x:v>
      </x:c>
      <x:c r="F1039" s="34" t="str">
        <x:v>MI-2219</x:v>
      </x:c>
      <x:c r="G1039" s="39" t="str">
        <x:v>کشاورزی</x:v>
      </x:c>
      <x:c r="H1039" s="39" t="str">
        <x:v>H12</x:v>
      </x:c>
      <x:c r="I1039" s="39" t="str">
        <x:v>P2</x:v>
      </x:c>
      <x:c r="J1039" s="39" t="str">
        <x:v>H12</x:v>
      </x:c>
      <x:c r="K1039" s="39" t="str">
        <x:v>تطبیق احتمالی با پایه</x:v>
      </x:c>
      <x:c r="L1039" s="39" t="str">
        <x:v>MI-2219</x:v>
      </x:c>
      <x:c r="M1039" s="39" t="str">
        <x:v>کشاورزی</x:v>
      </x:c>
      <x:c r="N1039" s="39" t="str">
        <x:v>1154878548.docx::P1659.1 | 1154878548.docx::P1944.1</x:v>
      </x:c>
      <x:c r="O1039" s="39"/>
    </x:row>
    <x:row r="1040">
      <x:c r="A1040" s="34" t="str">
        <x:v>☐</x:v>
      </x:c>
      <x:c r="B1040" s="34" t="str">
        <x:v>EX-1012</x:v>
      </x:c>
      <x:c r="C1040" s="34" t="str">
        <x:v>طرحریزی کارخانه تولید مرکبات و نوشیدنی.</x:v>
      </x:c>
      <x:c r="D1040" s="34" t="str">
        <x:v>POSSIBLE</x:v>
      </x:c>
      <x:c r="E1040" s="34" t="str">
        <x:v>87.6</x:v>
      </x:c>
      <x:c r="F1040" s="34" t="str">
        <x:v>MI-0047</x:v>
      </x:c>
      <x:c r="G1040" s="39" t="str">
        <x:v>طرح ریزی کارخانه تولید مرکبات و نوشیدنی ها از اضافات و محصولات روی دست مانده کشاورزان</x:v>
      </x:c>
      <x:c r="H1040" s="39" t="str">
        <x:v>H12</x:v>
      </x:c>
      <x:c r="I1040" s="39" t="str">
        <x:v>P2</x:v>
      </x:c>
      <x:c r="J1040" s="39" t="str">
        <x:v>H12</x:v>
      </x:c>
      <x:c r="K1040" s="39" t="str">
        <x:v>تطبیق احتمالی با پایه</x:v>
      </x:c>
      <x:c r="L1040" s="39" t="str">
        <x:v>MI-0047</x:v>
      </x:c>
      <x:c r="M1040" s="39" t="str">
        <x:v>طرح ریزی کارخانه تولید مرکبات و نوشیدنی ها از اضافات و محصولات روی دست مانده کشاورزان</x:v>
      </x:c>
      <x:c r="N1040" s="39" t="str">
        <x:v>1154878548.docx::P1660.1 | 1154878548.docx::P1945.1 | 1154878548.docx::P2186.1</x:v>
      </x:c>
      <x:c r="O1040" s="39"/>
    </x:row>
    <x:row r="1041">
      <x:c r="A1041" s="34" t="str">
        <x:v>☐</x:v>
      </x:c>
      <x:c r="B1041" s="34" t="str">
        <x:v>EX-1013</x:v>
      </x:c>
      <x:c r="C1041" s="34" t="str">
        <x:v>دستگاههای تخصصی صنایع غذایی.</x:v>
      </x:c>
      <x:c r="D1041" s="34" t="str">
        <x:v>POSSIBLE</x:v>
      </x:c>
      <x:c r="E1041" s="34" t="str">
        <x:v>90.0</x:v>
      </x:c>
      <x:c r="F1041" s="34" t="str">
        <x:v>MI-0093</x:v>
      </x:c>
      <x:c r="G1041" s="39" t="str">
        <x:v>دستگاه های تخصصی رشته صنایع غذایی</x:v>
      </x:c>
      <x:c r="H1041" s="39" t="str">
        <x:v>H12</x:v>
      </x:c>
      <x:c r="I1041" s="39" t="str">
        <x:v>P2</x:v>
      </x:c>
      <x:c r="J1041" s="39" t="str">
        <x:v>H12</x:v>
      </x:c>
      <x:c r="K1041" s="39" t="str">
        <x:v>تطبیق احتمالی با پایه</x:v>
      </x:c>
      <x:c r="L1041" s="39" t="str">
        <x:v>MI-0093</x:v>
      </x:c>
      <x:c r="M1041" s="39" t="str">
        <x:v>دستگاه های تخصصی رشته صنایع غذایی</x:v>
      </x:c>
      <x:c r="N1041" s="39" t="str">
        <x:v>1154878548.docx::P1662.1 | 1154878548.docx::P1947.1 | 1154878548.docx::P2188.1</x:v>
      </x:c>
      <x:c r="O1041" s="39"/>
    </x:row>
    <x:row r="1042">
      <x:c r="A1042" s="34" t="str">
        <x:v>☐</x:v>
      </x:c>
      <x:c r="B1042" s="34" t="str">
        <x:v>EX-1014</x:v>
      </x:c>
      <x:c r="C1042" s="34" t="str">
        <x:v>طرحریزی کارخانه بازیافت و تولید پرک.</x:v>
      </x:c>
      <x:c r="D1042" s="34" t="str">
        <x:v>POSSIBLE</x:v>
      </x:c>
      <x:c r="E1042" s="34" t="str">
        <x:v>90.0</x:v>
      </x:c>
      <x:c r="F1042" s="34" t="str">
        <x:v>MI-0232</x:v>
      </x:c>
      <x:c r="G1042" s="39" t="str">
        <x:v>بازیافت</x:v>
      </x:c>
      <x:c r="H1042" s="39" t="str">
        <x:v>H12</x:v>
      </x:c>
      <x:c r="I1042" s="39" t="str">
        <x:v>P2</x:v>
      </x:c>
      <x:c r="J1042" s="39" t="str">
        <x:v>H12</x:v>
      </x:c>
      <x:c r="K1042" s="39" t="str">
        <x:v>تطبیق احتمالی با پایه</x:v>
      </x:c>
      <x:c r="L1042" s="39" t="str">
        <x:v>MI-0232</x:v>
      </x:c>
      <x:c r="M1042" s="39" t="str">
        <x:v>بازیافت</x:v>
      </x:c>
      <x:c r="N1042" s="39" t="str">
        <x:v>1154878548.docx::P1663.1 | 1154878548.docx::P1948.1 | 1154878548.docx::P2190.1</x:v>
      </x:c>
      <x:c r="O1042" s="39"/>
    </x:row>
    <x:row r="1043">
      <x:c r="A1043" s="34" t="str">
        <x:v>☐</x:v>
      </x:c>
      <x:c r="B1043" s="34" t="str">
        <x:v>EX-1015</x:v>
      </x:c>
      <x:c r="C1043" s="34" t="str">
        <x:v>Plant Products &amp; Gandery (اشاره شده در فایل).</x:v>
      </x:c>
      <x:c r="D1043" s="34" t="str">
        <x:v>POSSIBLE</x:v>
      </x:c>
      <x:c r="E1043" s="34" t="str">
        <x:v>90.0</x:v>
      </x:c>
      <x:c r="F1043" s="34" t="str">
        <x:v>MI-1223</x:v>
      </x:c>
      <x:c r="G1043" s="39" t="str">
        <x:v>gandery</x:v>
      </x:c>
      <x:c r="H1043" s="39" t="str">
        <x:v>H23</x:v>
      </x:c>
      <x:c r="I1043" s="39" t="str">
        <x:v>P3/CLARIFY</x:v>
      </x:c>
      <x:c r="J1043" s="39" t="str">
        <x:v>H23</x:v>
      </x:c>
      <x:c r="K1043" s="39" t="str">
        <x:v>تطبیق احتمالی با پایه</x:v>
      </x:c>
      <x:c r="L1043" s="39" t="str">
        <x:v>MI-1223</x:v>
      </x:c>
      <x:c r="M1043" s="39" t="str">
        <x:v>gandery</x:v>
      </x:c>
      <x:c r="N1043" s="39" t="str">
        <x:v>1154878548.docx::P1666.1 | 1154878548.docx::P1951.1</x:v>
      </x:c>
      <x:c r="O1043" s="39"/>
    </x:row>
    <x:row r="1044">
      <x:c r="A1044" s="34" t="str">
        <x:v>☐</x:v>
      </x:c>
      <x:c r="B1044" s="34" t="str">
        <x:v>EX-1016</x:v>
      </x:c>
      <x:c r="C1044" s="34" t="str">
        <x:v>۱۳. سرمایه اجتماعی و شبکه سازی (Social Capital &amp; Networking)</x:v>
      </x:c>
      <x:c r="D1044" s="34" t="str">
        <x:v>POSSIBLE</x:v>
      </x:c>
      <x:c r="E1044" s="34" t="str">
        <x:v>90.0</x:v>
      </x:c>
      <x:c r="F1044" s="34" t="str">
        <x:v>MI-1741</x:v>
      </x:c>
      <x:c r="G1044" s="39" t="str">
        <x:v>شبکه سازی</x:v>
      </x:c>
      <x:c r="H1044" s="39" t="str">
        <x:v>H4</x:v>
      </x:c>
      <x:c r="I1044" s="39" t="str">
        <x:v>P1</x:v>
      </x:c>
      <x:c r="J1044" s="39" t="str">
        <x:v>H4</x:v>
      </x:c>
      <x:c r="K1044" s="39" t="str">
        <x:v>تطبیق احتمالی با پایه</x:v>
      </x:c>
      <x:c r="L1044" s="39" t="str">
        <x:v>MI-1741</x:v>
      </x:c>
      <x:c r="M1044" s="39" t="str">
        <x:v>شبکه سازی</x:v>
      </x:c>
      <x:c r="N1044" s="39" t="str">
        <x:v>1154878548.docx::P1667.1 | 1154878548.docx::P1952.1</x:v>
      </x:c>
      <x:c r="O1044" s="39"/>
    </x:row>
    <x:row r="1045">
      <x:c r="A1045" s="34" t="str">
        <x:v>☐</x:v>
      </x:c>
      <x:c r="B1045" s="34" t="str">
        <x:v>EX-1017</x:v>
      </x:c>
      <x:c r="C1045" s="34" t="str">
        <x:v>تمرکز: ارتباطات و تشکیلات</x:v>
      </x:c>
      <x:c r="D1045" s="34" t="str">
        <x:v>POSSIBLE</x:v>
      </x:c>
      <x:c r="E1045" s="34" t="str">
        <x:v>90.0</x:v>
      </x:c>
      <x:c r="F1045" s="34" t="str">
        <x:v>MI-2498</x:v>
      </x:c>
      <x:c r="G1045" s="39" t="str">
        <x:v>ارتباطات</x:v>
      </x:c>
      <x:c r="H1045" s="39" t="str">
        <x:v>H4</x:v>
      </x:c>
      <x:c r="I1045" s="39" t="str">
        <x:v>P1</x:v>
      </x:c>
      <x:c r="J1045" s="39" t="str">
        <x:v>H4</x:v>
      </x:c>
      <x:c r="K1045" s="39" t="str">
        <x:v>تطبیق احتمالی با پایه</x:v>
      </x:c>
      <x:c r="L1045" s="39" t="str">
        <x:v>MI-2498</x:v>
      </x:c>
      <x:c r="M1045" s="39" t="str">
        <x:v>ارتباطات</x:v>
      </x:c>
      <x:c r="N1045" s="39" t="str">
        <x:v>1154878548.docx::P1668.1 | 1154878548.docx::P1953.1</x:v>
      </x:c>
      <x:c r="O1045" s="39"/>
    </x:row>
    <x:row r="1046">
      <x:c r="A1046" s="34" t="str">
        <x:v>☐</x:v>
      </x:c>
      <x:c r="B1046" s="34" t="str">
        <x:v>EX-1018</x:v>
      </x:c>
      <x:c r="C1046" s="34" t="str">
        <x:v>۱۳-۱. مهارتهای ارتباطی:</x:v>
      </x:c>
      <x:c r="D1046" s="34" t="str">
        <x:v>POSSIBLE</x:v>
      </x:c>
      <x:c r="E1046" s="34" t="str">
        <x:v>85.5</x:v>
      </x:c>
      <x:c r="F1046" s="34" t="str">
        <x:v>MI-0757</x:v>
      </x:c>
      <x:c r="G1046" s="39" t="str">
        <x:v>تهیه بروشور عملکرد صنفی و ارایه گزارشات و حیطه اختیارات و راه های ارتباطی و عکس اقداماتی انجام شده</x:v>
      </x:c>
      <x:c r="H1046" s="39" t="str">
        <x:v>H11</x:v>
      </x:c>
      <x:c r="I1046" s="39" t="str">
        <x:v>DELEGATE/P2</x:v>
      </x:c>
      <x:c r="J1046" s="39" t="str">
        <x:v>H11</x:v>
      </x:c>
      <x:c r="K1046" s="39" t="str">
        <x:v>تطبیق احتمالی با پایه</x:v>
      </x:c>
      <x:c r="L1046" s="39" t="str">
        <x:v>MI-0757</x:v>
      </x:c>
      <x:c r="M1046" s="39" t="str">
        <x:v>تهیه بروشور عملکرد صنفی و ارایه گزارشات و حیطه اختیارات و راه های ارتباطی و عکس اقداماتی انجام شده</x:v>
      </x:c>
      <x:c r="N1046" s="39" t="str">
        <x:v>1154878548.docx::P1669.1 | 1154878548.docx::P1954.1</x:v>
      </x:c>
      <x:c r="O1046" s="39"/>
    </x:row>
    <x:row r="1047">
      <x:c r="A1047" s="34" t="str">
        <x:v>☐</x:v>
      </x:c>
      <x:c r="B1047" s="34" t="str">
        <x:v>EX-1019</x:v>
      </x:c>
      <x:c r="C1047" s="34" t="str">
        <x:v>شبکهسازی (Networking).</x:v>
      </x:c>
      <x:c r="D1047" s="34" t="str">
        <x:v>POSSIBLE</x:v>
      </x:c>
      <x:c r="E1047" s="34" t="str">
        <x:v>85.5</x:v>
      </x:c>
      <x:c r="F1047" s="34" t="str">
        <x:v>MI-0161</x:v>
      </x:c>
      <x:c r="G1047" s="39" t="str">
        <x:v>N&amp;N</x:v>
      </x:c>
      <x:c r="H1047" s="39" t="str">
        <x:v>H23</x:v>
      </x:c>
      <x:c r="I1047" s="39" t="str">
        <x:v>P3/CLARIFY</x:v>
      </x:c>
      <x:c r="J1047" s="39" t="str">
        <x:v>H23</x:v>
      </x:c>
      <x:c r="K1047" s="39" t="str">
        <x:v>تطبیق احتمالی با پایه</x:v>
      </x:c>
      <x:c r="L1047" s="39" t="str">
        <x:v>MI-0161</x:v>
      </x:c>
      <x:c r="M1047" s="39" t="str">
        <x:v>N&amp;N</x:v>
      </x:c>
      <x:c r="N1047" s="39" t="str">
        <x:v>1154878548.docx::P1670.1 | 1154878548.docx::P1955.1</x:v>
      </x:c>
      <x:c r="O1047" s="39"/>
    </x:row>
    <x:row r="1048">
      <x:c r="A1048" s="34" t="str">
        <x:v>☐</x:v>
      </x:c>
      <x:c r="B1048" s="34" t="str">
        <x:v>EX-1020</x:v>
      </x:c>
      <x:c r="C1048" s="34" t="str">
        <x:v>تعامل با افراد گوناگون.</x:v>
      </x:c>
      <x:c r="D1048" s="34" t="str">
        <x:v>POSSIBLE</x:v>
      </x:c>
      <x:c r="E1048" s="34" t="str">
        <x:v>90.0</x:v>
      </x:c>
      <x:c r="F1048" s="34" t="str">
        <x:v>MI-0067</x:v>
      </x:c>
      <x:c r="G1048" s="39" t="str">
        <x:v>یادگیری روش تعامل با افراد گوناگون</x:v>
      </x:c>
      <x:c r="H1048" s="39" t="str">
        <x:v>H1</x:v>
      </x:c>
      <x:c r="I1048" s="39" t="str">
        <x:v>P0</x:v>
      </x:c>
      <x:c r="J1048" s="39" t="str">
        <x:v>H1</x:v>
      </x:c>
      <x:c r="K1048" s="39" t="str">
        <x:v>تطبیق احتمالی با پایه</x:v>
      </x:c>
      <x:c r="L1048" s="39" t="str">
        <x:v>MI-0067</x:v>
      </x:c>
      <x:c r="M1048" s="39" t="str">
        <x:v>یادگیری روش تعامل با افراد گوناگون</x:v>
      </x:c>
      <x:c r="N1048" s="39" t="str">
        <x:v>1154878548.docx::P1671.1 | 1154878548.docx::P1956.1</x:v>
      </x:c>
      <x:c r="O1048" s="39"/>
    </x:row>
    <x:row r="1049">
      <x:c r="A1049" s="34" t="str">
        <x:v>☐</x:v>
      </x:c>
      <x:c r="B1049" s="34" t="str">
        <x:v>EX-1021</x:v>
      </x:c>
      <x:c r="C1049" s="34" t="str">
        <x:v>برنامه گفتوگو محور.</x:v>
      </x:c>
      <x:c r="D1049" s="34" t="str">
        <x:v>POSSIBLE</x:v>
      </x:c>
      <x:c r="E1049" s="34" t="str">
        <x:v>85.5</x:v>
      </x:c>
      <x:c r="F1049" s="34" t="str">
        <x:v>MI-1501</x:v>
      </x:c>
      <x:c r="G1049" s="39" t="str">
        <x:v>مدیریت ریسک: شناسایی ریسک ها، ارزیابی اثرات، تدوین برنامه های مقابله با ریسک ها.</x:v>
      </x:c>
      <x:c r="H1049" s="39" t="str">
        <x:v>H1</x:v>
      </x:c>
      <x:c r="I1049" s="39" t="str">
        <x:v>P0</x:v>
      </x:c>
      <x:c r="J1049" s="39" t="str">
        <x:v>H1</x:v>
      </x:c>
      <x:c r="K1049" s="39" t="str">
        <x:v>تطبیق احتمالی با پایه</x:v>
      </x:c>
      <x:c r="L1049" s="39" t="str">
        <x:v>MI-1501</x:v>
      </x:c>
      <x:c r="M1049" s="39" t="str">
        <x:v>مدیریت ریسک: شناسایی ریسک ها، ارزیابی اثرات، تدوین برنامه های مقابله با ریسک ها.</x:v>
      </x:c>
      <x:c r="N1049" s="39" t="str">
        <x:v>1154878548.docx::P1672.1 | 1154878548.docx::P1957.1 | 1154878548.docx::P4425.1</x:v>
      </x:c>
      <x:c r="O1049" s="39"/>
    </x:row>
    <x:row r="1050">
      <x:c r="A1050" s="34" t="str">
        <x:v>☐</x:v>
      </x:c>
      <x:c r="B1050" s="34" t="str">
        <x:v>EX-1022</x:v>
      </x:c>
      <x:c r="C1050" s="34" t="str">
        <x:v>۱۳-۲. فعالیتهای تشکیلاتی (برنامه شخصی):</x:v>
      </x:c>
      <x:c r="D1050" s="34" t="str">
        <x:v>POSSIBLE</x:v>
      </x:c>
      <x:c r="E1050" s="34" t="str">
        <x:v>85.5</x:v>
      </x:c>
      <x:c r="F1050" s="34" t="str">
        <x:v>MI-0179</x:v>
      </x:c>
      <x:c r="G1050" s="39" t="str">
        <x:v>برنامه ریزی شهری</x:v>
      </x:c>
      <x:c r="H1050" s="39" t="str">
        <x:v>H1</x:v>
      </x:c>
      <x:c r="I1050" s="39" t="str">
        <x:v>P0</x:v>
      </x:c>
      <x:c r="J1050" s="39" t="str">
        <x:v>H1</x:v>
      </x:c>
      <x:c r="K1050" s="39" t="str">
        <x:v>تطبیق احتمالی با پایه</x:v>
      </x:c>
      <x:c r="L1050" s="39" t="str">
        <x:v>MI-0179</x:v>
      </x:c>
      <x:c r="M1050" s="39" t="str">
        <x:v>برنامه ریزی شهری</x:v>
      </x:c>
      <x:c r="N1050" s="39" t="str">
        <x:v>1154878548.docx::P1673.1 | 1154878548.docx::P1958.1</x:v>
      </x:c>
      <x:c r="O1050" s="39"/>
    </x:row>
    <x:row r="1051">
      <x:c r="A1051" s="34" t="str">
        <x:v>☐</x:v>
      </x:c>
      <x:c r="B1051" s="34" t="str">
        <x:v>EX-1023</x:v>
      </x:c>
      <x:c r="C1051" s="34" t="str">
        <x:v>ارتباط بیندانشگاهی (بابل، بروجرد، تهران، اراک).</x:v>
      </x:c>
      <x:c r="D1051" s="34" t="str">
        <x:v>POSSIBLE</x:v>
      </x:c>
      <x:c r="E1051" s="34" t="str">
        <x:v>85.5</x:v>
      </x:c>
      <x:c r="F1051" s="34" t="str">
        <x:v>MI-0819</x:v>
      </x:c>
      <x:c r="G1051" s="39" t="str">
        <x:v>- ارتباط با دانشجویان</x:v>
      </x:c>
      <x:c r="H1051" s="39" t="str">
        <x:v>H11</x:v>
      </x:c>
      <x:c r="I1051" s="39" t="str">
        <x:v>DELEGATE/P2</x:v>
      </x:c>
      <x:c r="J1051" s="39" t="str">
        <x:v>H11</x:v>
      </x:c>
      <x:c r="K1051" s="39" t="str">
        <x:v>تطبیق احتمالی با پایه</x:v>
      </x:c>
      <x:c r="L1051" s="39" t="str">
        <x:v>MI-0819</x:v>
      </x:c>
      <x:c r="M1051" s="39" t="str">
        <x:v>- ارتباط با دانشجویان</x:v>
      </x:c>
      <x:c r="N1051" s="39" t="str">
        <x:v>1154878548.docx::P1675.1 | 1154878548.docx::P1960.1</x:v>
      </x:c>
      <x:c r="O1051" s="39"/>
    </x:row>
    <x:row r="1052">
      <x:c r="A1052" s="34" t="str">
        <x:v>☐</x:v>
      </x:c>
      <x:c r="B1052" s="34" t="str">
        <x:v>EX-1024</x:v>
      </x:c>
      <x:c r="C1052" s="34" t="str">
        <x:v>ارتباط با صنعت دانشگاه.</x:v>
      </x:c>
      <x:c r="D1052" s="34" t="str">
        <x:v>POSSIBLE</x:v>
      </x:c>
      <x:c r="E1052" s="34" t="str">
        <x:v>90.0</x:v>
      </x:c>
      <x:c r="F1052" s="34" t="str">
        <x:v>MI-0956</x:v>
      </x:c>
      <x:c r="G1052" s="39" t="str">
        <x:v>ارتباط با صنعت دانشگاه را با معاونت پژوهشی جلو ببریم و درخواست از سمت انجمن علمی ها باشه.</x:v>
      </x:c>
      <x:c r="H1052" s="39" t="str">
        <x:v>H11</x:v>
      </x:c>
      <x:c r="I1052" s="39" t="str">
        <x:v>DELEGATE/P2</x:v>
      </x:c>
      <x:c r="J1052" s="39" t="str">
        <x:v>H11</x:v>
      </x:c>
      <x:c r="K1052" s="39" t="str">
        <x:v>تطبیق احتمالی با پایه</x:v>
      </x:c>
      <x:c r="L1052" s="39" t="str">
        <x:v>MI-0956</x:v>
      </x:c>
      <x:c r="M1052" s="39" t="str">
        <x:v>ارتباط با صنعت دانشگاه را با معاونت پژوهشی جلو ببریم و درخواست از سمت انجمن علمی ها باشه.</x:v>
      </x:c>
      <x:c r="N1052" s="39" t="str">
        <x:v>1154878548.docx::P1676.1 | 1154878548.docx::P1961.1</x:v>
      </x:c>
      <x:c r="O1052" s="39"/>
    </x:row>
    <x:row r="1053">
      <x:c r="A1053" s="34" t="str">
        <x:v>☐</x:v>
      </x:c>
      <x:c r="B1053" s="34" t="str">
        <x:v>EX-1025</x:v>
      </x:c>
      <x:c r="C1053" s="34" t="str">
        <x:v>عضویت در کتابخانه ملی تهران.</x:v>
      </x:c>
      <x:c r="D1053" s="34" t="str">
        <x:v>POSSIBLE</x:v>
      </x:c>
      <x:c r="E1053" s="34" t="str">
        <x:v>90.0</x:v>
      </x:c>
      <x:c r="F1053" s="34" t="str">
        <x:v>MI-0056</x:v>
      </x:c>
      <x:c r="G1053" s="39" t="str">
        <x:v>گرفتن مدرک کارشناسی پیام نور و اقدام سریع برای عضویت در کتابخانه ملی تهران</x:v>
      </x:c>
      <x:c r="H1053" s="39" t="str">
        <x:v>H2</x:v>
      </x:c>
      <x:c r="I1053" s="39" t="str">
        <x:v>BANK</x:v>
      </x:c>
      <x:c r="J1053" s="39" t="str">
        <x:v>H2</x:v>
      </x:c>
      <x:c r="K1053" s="39" t="str">
        <x:v>تطبیق احتمالی با پایه</x:v>
      </x:c>
      <x:c r="L1053" s="39" t="str">
        <x:v>MI-0056</x:v>
      </x:c>
      <x:c r="M1053" s="39" t="str">
        <x:v>گرفتن مدرک کارشناسی پیام نور و اقدام سریع برای عضویت در کتابخانه ملی تهران</x:v>
      </x:c>
      <x:c r="N1053" s="39" t="str">
        <x:v>1154878548.docx::P1677.1 | 1154878548.docx::P1962.1 | 1154878548.docx::P2249.1 | 1154878548.docx::P4199.1</x:v>
      </x:c>
      <x:c r="O1053" s="39"/>
    </x:row>
    <x:row r="1054">
      <x:c r="A1054" s="34" t="str">
        <x:v>☐</x:v>
      </x:c>
      <x:c r="B1054" s="34" t="str">
        <x:v>EX-1026</x:v>
      </x:c>
      <x:c r="C1054" s="34" t="str">
        <x:v>آشنایی با مسئولین اردوهای جهادی.</x:v>
      </x:c>
      <x:c r="D1054" s="34" t="str">
        <x:v>POSSIBLE</x:v>
      </x:c>
      <x:c r="E1054" s="34" t="str">
        <x:v>90.0</x:v>
      </x:c>
      <x:c r="F1054" s="34" t="str">
        <x:v>MI-1539</x:v>
      </x:c>
      <x:c r="G1054" s="39" t="str">
        <x:v>جهادی</x:v>
      </x:c>
      <x:c r="H1054" s="39" t="str">
        <x:v>H23</x:v>
      </x:c>
      <x:c r="I1054" s="39" t="str">
        <x:v>P3/CLARIFY</x:v>
      </x:c>
      <x:c r="J1054" s="39" t="str">
        <x:v>H23</x:v>
      </x:c>
      <x:c r="K1054" s="39" t="str">
        <x:v>تطبیق احتمالی با پایه</x:v>
      </x:c>
      <x:c r="L1054" s="39" t="str">
        <x:v>MI-1539</x:v>
      </x:c>
      <x:c r="M1054" s="39" t="str">
        <x:v>جهادی</x:v>
      </x:c>
      <x:c r="N1054" s="39" t="str">
        <x:v>1154878548.docx::P1678.1 | 1154878548.docx::P1963.1 | 1154878548.docx::P2247.1</x:v>
      </x:c>
      <x:c r="O1054" s="39"/>
    </x:row>
    <x:row r="1055">
      <x:c r="A1055" s="34" t="str">
        <x:v>☐</x:v>
      </x:c>
      <x:c r="B1055" s="34" t="str">
        <x:v>EX-1027</x:v>
      </x:c>
      <x:c r="C1055" s="34" t="str">
        <x:v>سلسله نشستهای هیئات دانشجویی استان.</x:v>
      </x:c>
      <x:c r="D1055" s="34" t="str">
        <x:v>POSSIBLE</x:v>
      </x:c>
      <x:c r="E1055" s="34" t="str">
        <x:v>85.5</x:v>
      </x:c>
      <x:c r="F1055" s="34" t="str">
        <x:v>MI-2242</x:v>
      </x:c>
      <x:c r="G1055" s="39" t="str">
        <x:v>اتاق بازرگانی استان</x:v>
      </x:c>
      <x:c r="H1055" s="39" t="str">
        <x:v>H8</x:v>
      </x:c>
      <x:c r="I1055" s="39" t="str">
        <x:v>P2</x:v>
      </x:c>
      <x:c r="J1055" s="39" t="str">
        <x:v>H8</x:v>
      </x:c>
      <x:c r="K1055" s="39" t="str">
        <x:v>تطبیق احتمالی با پایه</x:v>
      </x:c>
      <x:c r="L1055" s="39" t="str">
        <x:v>MI-2242</x:v>
      </x:c>
      <x:c r="M1055" s="39" t="str">
        <x:v>اتاق بازرگانی استان</x:v>
      </x:c>
      <x:c r="N1055" s="39" t="str">
        <x:v>1154878548.docx::P1679.1 | 1154878548.docx::P1964.1</x:v>
      </x:c>
      <x:c r="O1055" s="39"/>
    </x:row>
    <x:row r="1056">
      <x:c r="A1056" s="34" t="str">
        <x:v>☐</x:v>
      </x:c>
      <x:c r="B1056" s="34" t="str">
        <x:v>EX-1028</x:v>
      </x:c>
      <x:c r="C1056" s="34" t="str">
        <x:v>حوزه هوایی: امیرمحمد محمدی، حیدری (پروپوزال جام هوایی).</x:v>
      </x:c>
      <x:c r="D1056" s="34" t="str">
        <x:v>POSSIBLE</x:v>
      </x:c>
      <x:c r="E1056" s="34" t="str">
        <x:v>85.5</x:v>
      </x:c>
      <x:c r="F1056" s="34" t="str">
        <x:v>MI-1575</x:v>
      </x:c>
      <x:c r="G1056" s="39" t="str">
        <x:v>همچنین اکادمی مهارت های سخت همچون نرم افزار های حوزه های خاص باید شکل بگیره که بشه دانش نرم افزاری رو متناسب با اونچه تیم نیاز داره یا فرصت های شغلی موجود هستند برای اون رشته رو نمایان کنه و اکادمی به سمت تولید اون محتوا بره</x:v>
      </x:c>
      <x:c r="H1056" s="39" t="str">
        <x:v>H3</x:v>
      </x:c>
      <x:c r="I1056" s="39" t="str">
        <x:v>P3/CLARIFY</x:v>
      </x:c>
      <x:c r="J1056" s="39" t="str">
        <x:v>H3</x:v>
      </x:c>
      <x:c r="K1056" s="39" t="str">
        <x:v>تطبیق احتمالی با پایه</x:v>
      </x:c>
      <x:c r="L1056" s="39" t="str">
        <x:v>MI-1575</x:v>
      </x:c>
      <x:c r="M1056" s="39" t="str">
        <x:v>همچنین اکادمی مهارت های سخت همچون نرم افزار های حوزه های خاص باید شکل بگیره که بشه دانش نرم افزاری رو متناسب با اونچه تیم نیاز داره یا فرصت های شغلی موجود هستند برای اون رشته رو نمایان کنه و اکادمی به سمت تولید اون محتوا بره</x:v>
      </x:c>
      <x:c r="N1056" s="39" t="str">
        <x:v>1154878548.docx::P1681.1 | 1154878548.docx::P1966.1</x:v>
      </x:c>
      <x:c r="O1056" s="39"/>
    </x:row>
    <x:row r="1057">
      <x:c r="A1057" s="34" t="str">
        <x:v>☐</x:v>
      </x:c>
      <x:c r="B1057" s="34" t="str">
        <x:v>EX-1029</x:v>
      </x:c>
      <x:c r="C1057" s="34" t="str">
        <x:v>حوزه رشد: فرهودی (فنجو).</x:v>
      </x:c>
      <x:c r="D1057" s="34" t="str">
        <x:v>POSSIBLE</x:v>
      </x:c>
      <x:c r="E1057" s="34" t="str">
        <x:v>90.0</x:v>
      </x:c>
      <x:c r="F1057" s="34" t="str">
        <x:v>MI-1163</x:v>
      </x:c>
      <x:c r="G1057" s="39" t="str">
        <x:v>حوزه رشد</x:v>
      </x:c>
      <x:c r="H1057" s="39" t="str">
        <x:v>H11</x:v>
      </x:c>
      <x:c r="I1057" s="39" t="str">
        <x:v>DELEGATE/P2</x:v>
      </x:c>
      <x:c r="J1057" s="39" t="str">
        <x:v>H11</x:v>
      </x:c>
      <x:c r="K1057" s="39" t="str">
        <x:v>تطبیق احتمالی با پایه</x:v>
      </x:c>
      <x:c r="L1057" s="39" t="str">
        <x:v>MI-1163</x:v>
      </x:c>
      <x:c r="M1057" s="39" t="str">
        <x:v>حوزه رشد</x:v>
      </x:c>
      <x:c r="N1057" s="39" t="str">
        <x:v>1154878548.docx::P1683.1 | 1154878548.docx::P1968.1</x:v>
      </x:c>
      <x:c r="O1057" s="39"/>
    </x:row>
    <x:row r="1058">
      <x:c r="A1058" s="34" t="str">
        <x:v>☐</x:v>
      </x:c>
      <x:c r="B1058" s="34" t="str">
        <x:v>EX-1030</x:v>
      </x:c>
      <x:c r="C1058" s="34" t="str">
        <x:v>حوزه خیریه: رئیسی (نامه غذای نیک).</x:v>
      </x:c>
      <x:c r="D1058" s="34" t="str">
        <x:v>POSSIBLE</x:v>
      </x:c>
      <x:c r="E1058" s="34" t="str">
        <x:v>90.0</x:v>
      </x:c>
      <x:c r="F1058" s="34" t="str">
        <x:v>MI-1168</x:v>
      </x:c>
      <x:c r="G1058" s="39" t="str">
        <x:v>نامه غذای نیک</x:v>
      </x:c>
      <x:c r="H1058" s="39" t="str">
        <x:v>H11</x:v>
      </x:c>
      <x:c r="I1058" s="39" t="str">
        <x:v>DELEGATE/P2</x:v>
      </x:c>
      <x:c r="J1058" s="39" t="str">
        <x:v>H11</x:v>
      </x:c>
      <x:c r="K1058" s="39" t="str">
        <x:v>تطبیق احتمالی با پایه</x:v>
      </x:c>
      <x:c r="L1058" s="39" t="str">
        <x:v>MI-1168</x:v>
      </x:c>
      <x:c r="M1058" s="39" t="str">
        <x:v>نامه غذای نیک</x:v>
      </x:c>
      <x:c r="N1058" s="39" t="str">
        <x:v>1154878548.docx::P1684.1 | 1154878548.docx::P1969.1</x:v>
      </x:c>
      <x:c r="O1058" s="39"/>
    </x:row>
    <x:row r="1059">
      <x:c r="A1059" s="34" t="str">
        <x:v>☐</x:v>
      </x:c>
      <x:c r="B1059" s="34" t="str">
        <x:v>EX-1031</x:v>
      </x:c>
      <x:c r="C1059" s="34" t="str">
        <x:v>حوزه سراج: متین رضایی (مدیریت پروژه)، کوروش.</x:v>
      </x:c>
      <x:c r="D1059" s="34" t="str">
        <x:v>POSSIBLE</x:v>
      </x:c>
      <x:c r="E1059" s="34" t="str">
        <x:v>90.0</x:v>
      </x:c>
      <x:c r="F1059" s="34" t="str">
        <x:v>MI-0103</x:v>
      </x:c>
      <x:c r="G1059" s="39" t="str">
        <x:v>مدیریت پروژه</x:v>
      </x:c>
      <x:c r="H1059" s="39" t="str">
        <x:v>H6</x:v>
      </x:c>
      <x:c r="I1059" s="39" t="str">
        <x:v>P3/CLARIFY</x:v>
      </x:c>
      <x:c r="J1059" s="39" t="str">
        <x:v>H6</x:v>
      </x:c>
      <x:c r="K1059" s="39" t="str">
        <x:v>تطبیق احتمالی با پایه</x:v>
      </x:c>
      <x:c r="L1059" s="39" t="str">
        <x:v>MI-0103</x:v>
      </x:c>
      <x:c r="M1059" s="39" t="str">
        <x:v>مدیریت پروژه</x:v>
      </x:c>
      <x:c r="N1059" s="39" t="str">
        <x:v>1154878548.docx::P1685.1 | 1154878548.docx::P1970.1</x:v>
      </x:c>
      <x:c r="O1059" s="39"/>
    </x:row>
    <x:row r="1060">
      <x:c r="A1060" s="34" t="str">
        <x:v>☐</x:v>
      </x:c>
      <x:c r="B1060" s="34" t="str">
        <x:v>EX-1032</x:v>
      </x:c>
      <x:c r="C1060" s="34" t="str">
        <x:v>حوزه برنامه رودررو: جاوید، ایمان واثق، حسنزاده.</x:v>
      </x:c>
      <x:c r="D1060" s="34" t="str">
        <x:v>POSSIBLE</x:v>
      </x:c>
      <x:c r="E1060" s="34" t="str">
        <x:v>90.0</x:v>
      </x:c>
      <x:c r="F1060" s="34" t="str">
        <x:v>MI-1185</x:v>
      </x:c>
      <x:c r="G1060" s="39" t="str">
        <x:v>حوزه برنامه رودررو</x:v>
      </x:c>
      <x:c r="H1060" s="39" t="str">
        <x:v>H11</x:v>
      </x:c>
      <x:c r="I1060" s="39" t="str">
        <x:v>DELEGATE/P2</x:v>
      </x:c>
      <x:c r="J1060" s="39" t="str">
        <x:v>H11</x:v>
      </x:c>
      <x:c r="K1060" s="39" t="str">
        <x:v>تطبیق احتمالی با پایه</x:v>
      </x:c>
      <x:c r="L1060" s="39" t="str">
        <x:v>MI-1185</x:v>
      </x:c>
      <x:c r="M1060" s="39" t="str">
        <x:v>حوزه برنامه رودررو</x:v>
      </x:c>
      <x:c r="N1060" s="39" t="str">
        <x:v>1154878548.docx::P1686.1 | 1154878548.docx::P1971.1</x:v>
      </x:c>
      <x:c r="O1060" s="39"/>
    </x:row>
    <x:row r="1061">
      <x:c r="A1061" s="34" t="str">
        <x:v>☐</x:v>
      </x:c>
      <x:c r="B1061" s="34" t="str">
        <x:v>EX-1033</x:v>
      </x:c>
      <x:c r="C1061" s="34" t="str">
        <x:v>۱۴. فضای سایبر و الکترونیک (Cyber &amp; Electronics)</x:v>
      </x:c>
      <x:c r="D1061" s="34" t="str">
        <x:v>POSSIBLE</x:v>
      </x:c>
      <x:c r="E1061" s="34" t="str">
        <x:v>85.5</x:v>
      </x:c>
      <x:c r="F1061" s="34" t="str">
        <x:v>MI-0029</x:v>
      </x:c>
      <x:c r="G1061" s="39" t="str">
        <x:v>تدریس ریاضی و فیزیک</x:v>
      </x:c>
      <x:c r="H1061" s="39" t="str">
        <x:v>H1</x:v>
      </x:c>
      <x:c r="I1061" s="39" t="str">
        <x:v>P0</x:v>
      </x:c>
      <x:c r="J1061" s="39" t="str">
        <x:v>H1</x:v>
      </x:c>
      <x:c r="K1061" s="39" t="str">
        <x:v>تطبیق احتمالی با پایه</x:v>
      </x:c>
      <x:c r="L1061" s="39" t="str">
        <x:v>MI-0029</x:v>
      </x:c>
      <x:c r="M1061" s="39" t="str">
        <x:v>تدریس ریاضی و فیزیک</x:v>
      </x:c>
      <x:c r="N1061" s="39" t="str">
        <x:v>1154878548.docx::P1687.1 | 1154878548.docx::P1972.1</x:v>
      </x:c>
      <x:c r="O1061" s="39"/>
    </x:row>
    <x:row r="1062">
      <x:c r="A1062" s="34" t="str">
        <x:v>☐</x:v>
      </x:c>
      <x:c r="B1062" s="34" t="str">
        <x:v>EX-1034</x:v>
      </x:c>
      <x:c r="C1062" s="34" t="str">
        <x:v>تمرکز: زیرساخت و سختافزار (بخش سختافزاری برنامه شخصی)</x:v>
      </x:c>
      <x:c r="D1062" s="34" t="str">
        <x:v>POSSIBLE</x:v>
      </x:c>
      <x:c r="E1062" s="34" t="str">
        <x:v>85.5</x:v>
      </x:c>
      <x:c r="F1062" s="34" t="str">
        <x:v>MI-0179</x:v>
      </x:c>
      <x:c r="G1062" s="39" t="str">
        <x:v>برنامه ریزی شهری</x:v>
      </x:c>
      <x:c r="H1062" s="39" t="str">
        <x:v>H1</x:v>
      </x:c>
      <x:c r="I1062" s="39" t="str">
        <x:v>P0</x:v>
      </x:c>
      <x:c r="J1062" s="39" t="str">
        <x:v>H1</x:v>
      </x:c>
      <x:c r="K1062" s="39" t="str">
        <x:v>تطبیق احتمالی با پایه</x:v>
      </x:c>
      <x:c r="L1062" s="39" t="str">
        <x:v>MI-0179</x:v>
      </x:c>
      <x:c r="M1062" s="39" t="str">
        <x:v>برنامه ریزی شهری</x:v>
      </x:c>
      <x:c r="N1062" s="39" t="str">
        <x:v>1154878548.docx::P1688.1 | 1154878548.docx::P1973.1</x:v>
      </x:c>
      <x:c r="O1062" s="39"/>
    </x:row>
    <x:row r="1063">
      <x:c r="A1063" s="34" t="str">
        <x:v>☐</x:v>
      </x:c>
      <x:c r="B1063" s="34" t="str">
        <x:v>EX-1035</x:v>
      </x:c>
      <x:c r="C1063" s="34" t="str">
        <x:v>۱۴-۱. امنیت سایبر: APT، استاکسنت، امنیت SCADA.</x:v>
      </x:c>
      <x:c r="D1063" s="34" t="str">
        <x:v>POSSIBLE</x:v>
      </x:c>
      <x:c r="E1063" s="34" t="str">
        <x:v>85.5</x:v>
      </x:c>
      <x:c r="F1063" s="34" t="str">
        <x:v>MI-1485</x:v>
      </x:c>
      <x:c r="G1063" s="39" t="str">
        <x:v>شبکه سازی و امنیت:</x:v>
      </x:c>
      <x:c r="H1063" s="39" t="str">
        <x:v>H4</x:v>
      </x:c>
      <x:c r="I1063" s="39" t="str">
        <x:v>P1</x:v>
      </x:c>
      <x:c r="J1063" s="39" t="str">
        <x:v>H4</x:v>
      </x:c>
      <x:c r="K1063" s="39" t="str">
        <x:v>تطبیق احتمالی با پایه</x:v>
      </x:c>
      <x:c r="L1063" s="39" t="str">
        <x:v>MI-1485</x:v>
      </x:c>
      <x:c r="M1063" s="39" t="str">
        <x:v>شبکه سازی و امنیت:</x:v>
      </x:c>
      <x:c r="N1063" s="39" t="str">
        <x:v>1154878548.docx::P1689.1 | 1154878548.docx::P1974.1</x:v>
      </x:c>
      <x:c r="O1063" s="39"/>
    </x:row>
    <x:row r="1064">
      <x:c r="A1064" s="34" t="str">
        <x:v>☐</x:v>
      </x:c>
      <x:c r="B1064" s="34" t="str">
        <x:v>EX-1036</x:v>
      </x:c>
      <x:c r="C1064" s="34" t="str">
        <x:v>۱۴-۲. الکترونیک و کنترل (برنامه شخصی):</x:v>
      </x:c>
      <x:c r="D1064" s="34" t="str">
        <x:v>POSSIBLE</x:v>
      </x:c>
      <x:c r="E1064" s="34" t="str">
        <x:v>85.5</x:v>
      </x:c>
      <x:c r="F1064" s="34" t="str">
        <x:v>MI-0179</x:v>
      </x:c>
      <x:c r="G1064" s="39" t="str">
        <x:v>برنامه ریزی شهری</x:v>
      </x:c>
      <x:c r="H1064" s="39" t="str">
        <x:v>H1</x:v>
      </x:c>
      <x:c r="I1064" s="39" t="str">
        <x:v>P0</x:v>
      </x:c>
      <x:c r="J1064" s="39" t="str">
        <x:v>H1</x:v>
      </x:c>
      <x:c r="K1064" s="39" t="str">
        <x:v>تطبیق احتمالی با پایه</x:v>
      </x:c>
      <x:c r="L1064" s="39" t="str">
        <x:v>MI-0179</x:v>
      </x:c>
      <x:c r="M1064" s="39" t="str">
        <x:v>برنامه ریزی شهری</x:v>
      </x:c>
      <x:c r="N1064" s="39" t="str">
        <x:v>1154878548.docx::P1690.1 | 1154878548.docx::P1975.1</x:v>
      </x:c>
      <x:c r="O1064" s="39"/>
    </x:row>
    <x:row r="1065">
      <x:c r="A1065" s="34" t="str">
        <x:v>☐</x:v>
      </x:c>
      <x:c r="B1065" s="34" t="str">
        <x:v>EX-1037</x:v>
      </x:c>
      <x:c r="C1065" s="34" t="str">
        <x:v>Arduino, Proteus, Verilog, Fritzing.</x:v>
      </x:c>
      <x:c r="D1065" s="34" t="str">
        <x:v>POSSIBLE</x:v>
      </x:c>
      <x:c r="E1065" s="34" t="str">
        <x:v>90.0</x:v>
      </x:c>
      <x:c r="F1065" s="34" t="str">
        <x:v>MI-1484</x:v>
      </x:c>
      <x:c r="G1065" s="39" t="str">
        <x:v>Verilog</x:v>
      </x:c>
      <x:c r="H1065" s="39" t="str">
        <x:v>H1</x:v>
      </x:c>
      <x:c r="I1065" s="39" t="str">
        <x:v>P0</x:v>
      </x:c>
      <x:c r="J1065" s="39" t="str">
        <x:v>H1</x:v>
      </x:c>
      <x:c r="K1065" s="39" t="str">
        <x:v>تطبیق احتمالی با پایه</x:v>
      </x:c>
      <x:c r="L1065" s="39" t="str">
        <x:v>MI-1484</x:v>
      </x:c>
      <x:c r="M1065" s="39" t="str">
        <x:v>Verilog</x:v>
      </x:c>
      <x:c r="N1065" s="39" t="str">
        <x:v>1154878548.docx::P1691.1 | 1154878548.docx::P1976.1 | 1154878548.docx::P2182.1</x:v>
      </x:c>
      <x:c r="O1065" s="39"/>
    </x:row>
    <x:row r="1066">
      <x:c r="A1066" s="34" t="str">
        <x:v>☐</x:v>
      </x:c>
      <x:c r="B1066" s="34" t="str">
        <x:v>EX-1038</x:v>
      </x:c>
      <x:c r="C1066" s="34" t="str">
        <x:v>Simulink, NI Multisim.</x:v>
      </x:c>
      <x:c r="D1066" s="34" t="str">
        <x:v>POSSIBLE</x:v>
      </x:c>
      <x:c r="E1066" s="34" t="str">
        <x:v>90.0</x:v>
      </x:c>
      <x:c r="F1066" s="34" t="str">
        <x:v>MI-0162</x:v>
      </x:c>
      <x:c r="G1066" s="39" t="str">
        <x:v>SIMULINK</x:v>
      </x:c>
      <x:c r="H1066" s="39" t="str">
        <x:v>H1</x:v>
      </x:c>
      <x:c r="I1066" s="39" t="str">
        <x:v>P0</x:v>
      </x:c>
      <x:c r="J1066" s="39" t="str">
        <x:v>H1</x:v>
      </x:c>
      <x:c r="K1066" s="39" t="str">
        <x:v>تطبیق احتمالی با پایه</x:v>
      </x:c>
      <x:c r="L1066" s="39" t="str">
        <x:v>MI-0162</x:v>
      </x:c>
      <x:c r="M1066" s="39" t="str">
        <x:v>SIMULINK</x:v>
      </x:c>
      <x:c r="N1066" s="39" t="str">
        <x:v>1154878548.docx::P1692.1 | 1154878548.docx::P1977.1</x:v>
      </x:c>
      <x:c r="O1066" s="39"/>
    </x:row>
    <x:row r="1067">
      <x:c r="A1067" s="34" t="str">
        <x:v>☐</x:v>
      </x:c>
      <x:c r="B1067" s="34" t="str">
        <x:v>EX-1039</x:v>
      </x:c>
      <x:c r="C1067" s="34" t="str">
        <x:v>۱۴-۳. حکمرانی: اینترانت ملی، حاکمیت داده.</x:v>
      </x:c>
      <x:c r="D1067" s="34" t="str">
        <x:v>POSSIBLE</x:v>
      </x:c>
      <x:c r="E1067" s="34" t="str">
        <x:v>85.5</x:v>
      </x:c>
      <x:c r="F1067" s="34" t="str">
        <x:v>MI-3110</x:v>
      </x:c>
      <x:c r="G1067" s="39" t="str">
        <x:v>تلاشهایی که تا به الان برای رسیدن به شغل مطلوب خود انجام داده اید چه بوده است؟</x:v>
      </x:c>
      <x:c r="H1067" s="39" t="str">
        <x:v>H3</x:v>
      </x:c>
      <x:c r="I1067" s="39" t="str">
        <x:v>P3/CLARIFY</x:v>
      </x:c>
      <x:c r="J1067" s="39" t="str">
        <x:v>H3</x:v>
      </x:c>
      <x:c r="K1067" s="39" t="str">
        <x:v>تطبیق احتمالی با پایه</x:v>
      </x:c>
      <x:c r="L1067" s="39" t="str">
        <x:v>MI-3110</x:v>
      </x:c>
      <x:c r="M1067" s="39" t="str">
        <x:v>تلاشهایی که تا به الان برای رسیدن به شغل مطلوب خود انجام داده اید چه بوده است؟</x:v>
      </x:c>
      <x:c r="N1067" s="39" t="str">
        <x:v>1154878548.docx::P1695.1 | 1154878548.docx::P1980.1</x:v>
      </x:c>
      <x:c r="O1067" s="39"/>
    </x:row>
    <x:row r="1068">
      <x:c r="A1068" s="34" t="str">
        <x:v>☐</x:v>
      </x:c>
      <x:c r="B1068" s="34" t="str">
        <x:v>EX-1040</x:v>
      </x:c>
      <x:c r="C1068" s="34" t="str">
        <x:v>۱۵. روانشناسی اجتماعی و سیاسی (Social Psychology)</x:v>
      </x:c>
      <x:c r="D1068" s="34" t="str">
        <x:v>POSSIBLE</x:v>
      </x:c>
      <x:c r="E1068" s="34" t="str">
        <x:v>90.0</x:v>
      </x:c>
      <x:c r="F1068" s="34" t="str">
        <x:v>MI-0288</x:v>
      </x:c>
      <x:c r="G1068" s="39" t="str">
        <x:v>اجتماعی</x:v>
      </x:c>
      <x:c r="H1068" s="39" t="str">
        <x:v>H15</x:v>
      </x:c>
      <x:c r="I1068" s="39" t="str">
        <x:v>P3/CLARIFY</x:v>
      </x:c>
      <x:c r="J1068" s="39" t="str">
        <x:v>H15</x:v>
      </x:c>
      <x:c r="K1068" s="39" t="str">
        <x:v>تطبیق احتمالی با پایه</x:v>
      </x:c>
      <x:c r="L1068" s="39" t="str">
        <x:v>MI-0288</x:v>
      </x:c>
      <x:c r="M1068" s="39" t="str">
        <x:v>اجتماعی</x:v>
      </x:c>
      <x:c r="N1068" s="39" t="str">
        <x:v>1154878548.docx::P1696.1 | 1154878548.docx::P1981.1</x:v>
      </x:c>
      <x:c r="O1068" s="39"/>
    </x:row>
    <x:row r="1069">
      <x:c r="A1069" s="34" t="str">
        <x:v>☐</x:v>
      </x:c>
      <x:c r="B1069" s="34" t="str">
        <x:v>EX-1041</x:v>
      </x:c>
      <x:c r="C1069" s="34" t="str">
        <x:v>تمرکز: رفتار جمعی و سازمانی</x:v>
      </x:c>
      <x:c r="D1069" s="34" t="str">
        <x:v>POSSIBLE</x:v>
      </x:c>
      <x:c r="E1069" s="34" t="str">
        <x:v>85.5</x:v>
      </x:c>
      <x:c r="F1069" s="34" t="str">
        <x:v>MI-1503</x:v>
      </x:c>
      <x:c r="G1069" s="39" t="str">
        <x:v>مدیریت زمان: اولویت بندی، برنامه ریزی، تمرکز.</x:v>
      </x:c>
      <x:c r="H1069" s="39" t="str">
        <x:v>H1</x:v>
      </x:c>
      <x:c r="I1069" s="39" t="str">
        <x:v>P0</x:v>
      </x:c>
      <x:c r="J1069" s="39" t="str">
        <x:v>H1</x:v>
      </x:c>
      <x:c r="K1069" s="39" t="str">
        <x:v>تطبیق احتمالی با پایه</x:v>
      </x:c>
      <x:c r="L1069" s="39" t="str">
        <x:v>MI-1503</x:v>
      </x:c>
      <x:c r="M1069" s="39" t="str">
        <x:v>مدیریت زمان: اولویت بندی، برنامه ریزی، تمرکز.</x:v>
      </x:c>
      <x:c r="N1069" s="39" t="str">
        <x:v>1154878548.docx::P1697.1 | 1154878548.docx::P1982.1</x:v>
      </x:c>
      <x:c r="O1069" s="39"/>
    </x:row>
    <x:row r="1070">
      <x:c r="A1070" s="34" t="str">
        <x:v>☐</x:v>
      </x:c>
      <x:c r="B1070" s="34" t="str">
        <x:v>EX-1042</x:v>
      </x:c>
      <x:c r="C1070" s="34" t="str">
        <x:v>۱۵-۱. مفاهیم: پوپولیسم، گروهزدگی، اتاق پژواک.</x:v>
      </x:c>
      <x:c r="D1070" s="34" t="str">
        <x:v>POSSIBLE</x:v>
      </x:c>
      <x:c r="E1070" s="34" t="str">
        <x:v>85.5</x:v>
      </x:c>
      <x:c r="F1070" s="34" t="str">
        <x:v>MI-0617</x:v>
      </x:c>
      <x:c r="G1070" s="39" t="str">
        <x:v>تجهیز اتاق استودیو برای ضبط</x:v>
      </x:c>
      <x:c r="H1070" s="39" t="str">
        <x:v>H4</x:v>
      </x:c>
      <x:c r="I1070" s="39" t="str">
        <x:v>P1</x:v>
      </x:c>
      <x:c r="J1070" s="39" t="str">
        <x:v>H4</x:v>
      </x:c>
      <x:c r="K1070" s="39" t="str">
        <x:v>تطبیق احتمالی با پایه</x:v>
      </x:c>
      <x:c r="L1070" s="39" t="str">
        <x:v>MI-0617</x:v>
      </x:c>
      <x:c r="M1070" s="39" t="str">
        <x:v>تجهیز اتاق استودیو برای ضبط</x:v>
      </x:c>
      <x:c r="N1070" s="39" t="str">
        <x:v>1154878548.docx::P1698.1 | 1154878548.docx::P1983.1</x:v>
      </x:c>
      <x:c r="O1070" s="39"/>
    </x:row>
    <x:row r="1071">
      <x:c r="A1071" s="34" t="str">
        <x:v>☐</x:v>
      </x:c>
      <x:c r="B1071" s="34" t="str">
        <x:v>EX-1043</x:v>
      </x:c>
      <x:c r="C1071" s="34" t="str">
        <x:v>۱۵-۲. رفتارشناسی ایرانی:</x:v>
      </x:c>
      <x:c r="D1071" s="34" t="str">
        <x:v>POSSIBLE</x:v>
      </x:c>
      <x:c r="E1071" s="34" t="str">
        <x:v>90.0</x:v>
      </x:c>
      <x:c r="F1071" s="34" t="str">
        <x:v>MI-1236</x:v>
      </x:c>
      <x:c r="G1071" s="39" t="str">
        <x:v>ایران</x:v>
      </x:c>
      <x:c r="H1071" s="39" t="str">
        <x:v>H12</x:v>
      </x:c>
      <x:c r="I1071" s="39" t="str">
        <x:v>P2</x:v>
      </x:c>
      <x:c r="J1071" s="39" t="str">
        <x:v>H12</x:v>
      </x:c>
      <x:c r="K1071" s="39" t="str">
        <x:v>تطبیق احتمالی با پایه</x:v>
      </x:c>
      <x:c r="L1071" s="39" t="str">
        <x:v>MI-1236</x:v>
      </x:c>
      <x:c r="M1071" s="39" t="str">
        <x:v>ایران</x:v>
      </x:c>
      <x:c r="N1071" s="39" t="str">
        <x:v>1154878548.docx::P1699.1 | 1154878548.docx::P1984.1</x:v>
      </x:c>
      <x:c r="O1071" s="39"/>
    </x:row>
    <x:row r="1072">
      <x:c r="A1072" s="34" t="str">
        <x:v>☐</x:v>
      </x:c>
      <x:c r="B1072" s="34" t="str">
        <x:v>EX-1044</x:v>
      </x:c>
      <x:c r="C1072" s="34" t="str">
        <x:v>تفکرات دُگم و متعصب.</x:v>
      </x:c>
      <x:c r="D1072" s="34" t="str">
        <x:v>POSSIBLE</x:v>
      </x:c>
      <x:c r="E1072" s="34" t="str">
        <x:v>85.5</x:v>
      </x:c>
      <x:c r="F1072" s="34" t="str">
        <x:v>MI-1513</x:v>
      </x:c>
      <x:c r="G1072" s="39" t="str">
        <x:v>تولید و کارآفرینی: توانایی تولید محصول و خدمات و ایجاد شغل.</x:v>
      </x:c>
      <x:c r="H1072" s="39" t="str">
        <x:v>H1</x:v>
      </x:c>
      <x:c r="I1072" s="39" t="str">
        <x:v>P0</x:v>
      </x:c>
      <x:c r="J1072" s="39" t="str">
        <x:v>H1</x:v>
      </x:c>
      <x:c r="K1072" s="39" t="str">
        <x:v>تطبیق احتمالی با پایه</x:v>
      </x:c>
      <x:c r="L1072" s="39" t="str">
        <x:v>MI-1513</x:v>
      </x:c>
      <x:c r="M1072" s="39" t="str">
        <x:v>تولید و کارآفرینی: توانایی تولید محصول و خدمات و ایجاد شغل.</x:v>
      </x:c>
      <x:c r="N1072" s="39" t="str">
        <x:v>1154878548.docx::P1700.1 | 1154878548.docx::P1985.1</x:v>
      </x:c>
      <x:c r="O1072" s="39"/>
    </x:row>
    <x:row r="1073">
      <x:c r="A1073" s="34" t="str">
        <x:v>☐</x:v>
      </x:c>
      <x:c r="B1073" s="34" t="str">
        <x:v>EX-1045</x:v>
      </x:c>
      <x:c r="C1073" s="34" t="str">
        <x:v>نوشتههای پرطمطراق.</x:v>
      </x:c>
      <x:c r="D1073" s="34" t="str">
        <x:v>POSSIBLE</x:v>
      </x:c>
      <x:c r="E1073" s="34" t="str">
        <x:v>90.3</x:v>
      </x:c>
      <x:c r="F1073" s="34" t="str">
        <x:v>MI-0353</x:v>
      </x:c>
      <x:c r="G1073" s="39" t="str">
        <x:v>نوشته پرطمطراق</x:v>
      </x:c>
      <x:c r="H1073" s="39" t="str">
        <x:v>H18</x:v>
      </x:c>
      <x:c r="I1073" s="39" t="str">
        <x:v>P3/CLARIFY</x:v>
      </x:c>
      <x:c r="J1073" s="39" t="str">
        <x:v>H18</x:v>
      </x:c>
      <x:c r="K1073" s="39" t="str">
        <x:v>تطبیق احتمالی با پایه</x:v>
      </x:c>
      <x:c r="L1073" s="39" t="str">
        <x:v>MI-0353</x:v>
      </x:c>
      <x:c r="M1073" s="39" t="str">
        <x:v>نوشته پرطمطراق</x:v>
      </x:c>
      <x:c r="N1073" s="39" t="str">
        <x:v>1154878548.docx::P1701.1 | 1154878548.docx::P1986.1</x:v>
      </x:c>
      <x:c r="O1073" s="39"/>
    </x:row>
    <x:row r="1074">
      <x:c r="A1074" s="34" t="str">
        <x:v>☐</x:v>
      </x:c>
      <x:c r="B1074" s="34" t="str">
        <x:v>EX-1046</x:v>
      </x:c>
      <x:c r="C1074" s="34" t="str">
        <x:v>تحلیل وضعیت دانشگاهها (۲۱۰۰ دانشگاه با بازدهی پایین).</x:v>
      </x:c>
      <x:c r="D1074" s="34" t="str">
        <x:v>POSSIBLE</x:v>
      </x:c>
      <x:c r="E1074" s="34" t="str">
        <x:v>85.5</x:v>
      </x:c>
      <x:c r="F1074" s="34" t="str">
        <x:v>MI-1501</x:v>
      </x:c>
      <x:c r="G1074" s="39" t="str">
        <x:v>مدیریت ریسک: شناسایی ریسک ها، ارزیابی اثرات، تدوین برنامه های مقابله با ریسک ها.</x:v>
      </x:c>
      <x:c r="H1074" s="39" t="str">
        <x:v>H1</x:v>
      </x:c>
      <x:c r="I1074" s="39" t="str">
        <x:v>P0</x:v>
      </x:c>
      <x:c r="J1074" s="39" t="str">
        <x:v>H1</x:v>
      </x:c>
      <x:c r="K1074" s="39" t="str">
        <x:v>تطبیق احتمالی با پایه</x:v>
      </x:c>
      <x:c r="L1074" s="39" t="str">
        <x:v>MI-1501</x:v>
      </x:c>
      <x:c r="M1074" s="39" t="str">
        <x:v>مدیریت ریسک: شناسایی ریسک ها، ارزیابی اثرات، تدوین برنامه های مقابله با ریسک ها.</x:v>
      </x:c>
      <x:c r="N1074" s="39" t="str">
        <x:v>1154878548.docx::P1702.1 | 1154878548.docx::P1987.1</x:v>
      </x:c>
      <x:c r="O1074" s="39"/>
    </x:row>
    <x:row r="1075">
      <x:c r="A1075" s="34" t="str">
        <x:v>☐</x:v>
      </x:c>
      <x:c r="B1075" s="34" t="str">
        <x:v>EX-1047</x:v>
      </x:c>
      <x:c r="C1075" s="34" t="str">
        <x:v>مطالبات صنفی و رفاهی</x:v>
      </x:c>
      <x:c r="D1075" s="34" t="str">
        <x:v>POSSIBLE</x:v>
      </x:c>
      <x:c r="E1075" s="34" t="str">
        <x:v>90.0</x:v>
      </x:c>
      <x:c r="F1075" s="34" t="str">
        <x:v>MI-0684</x:v>
      </x:c>
      <x:c r="G1075" s="39" t="str">
        <x:v>صنفی</x:v>
      </x:c>
      <x:c r="H1075" s="39" t="str">
        <x:v>H11</x:v>
      </x:c>
      <x:c r="I1075" s="39" t="str">
        <x:v>DELEGATE/P2</x:v>
      </x:c>
      <x:c r="J1075" s="39" t="str">
        <x:v>H11</x:v>
      </x:c>
      <x:c r="K1075" s="39" t="str">
        <x:v>تطبیق احتمالی با پایه</x:v>
      </x:c>
      <x:c r="L1075" s="39" t="str">
        <x:v>MI-0684</x:v>
      </x:c>
      <x:c r="M1075" s="39" t="str">
        <x:v>صنفی</x:v>
      </x:c>
      <x:c r="N1075" s="39" t="str">
        <x:v>1154878548.docx::P1703.1 | 1154878548.docx::P1988.1</x:v>
      </x:c>
      <x:c r="O1075" s="39"/>
    </x:row>
    <x:row r="1076">
      <x:c r="A1076" s="34" t="str">
        <x:v>☐</x:v>
      </x:c>
      <x:c r="B1076" s="34" t="str">
        <x:v>EX-1048</x:v>
      </x:c>
      <x:c r="C1076" s="34" t="str">
        <x:v>شورای صنفی: تشکیل گروه متشکل از دبیران خوابگاه، مسئول تاسیسات و خدمات.</x:v>
      </x:c>
      <x:c r="D1076" s="34" t="str">
        <x:v>POSSIBLE</x:v>
      </x:c>
      <x:c r="E1076" s="34" t="str">
        <x:v>85.5</x:v>
      </x:c>
      <x:c r="F1076" s="34" t="str">
        <x:v>MI-0023</x:v>
      </x:c>
      <x:c r="G1076" s="39" t="str">
        <x:v>برنامه ریزی دقیق و علمگرا هییت دانشگاه</x:v>
      </x:c>
      <x:c r="H1076" s="39" t="str">
        <x:v>H1</x:v>
      </x:c>
      <x:c r="I1076" s="39" t="str">
        <x:v>P0</x:v>
      </x:c>
      <x:c r="J1076" s="39" t="str">
        <x:v>H1</x:v>
      </x:c>
      <x:c r="K1076" s="39" t="str">
        <x:v>تطبیق احتمالی با پایه</x:v>
      </x:c>
      <x:c r="L1076" s="39" t="str">
        <x:v>MI-0023</x:v>
      </x:c>
      <x:c r="M1076" s="39" t="str">
        <x:v>برنامه ریزی دقیق و علمگرا هییت دانشگاه</x:v>
      </x:c>
      <x:c r="N1076" s="39" t="str">
        <x:v>1154878548.docx::P1704.1 | 1154878548.docx::P1989.1</x:v>
      </x:c>
      <x:c r="O1076" s="39"/>
    </x:row>
    <x:row r="1077">
      <x:c r="A1077" s="34" t="str">
        <x:v>☐</x:v>
      </x:c>
      <x:c r="B1077" s="34" t="str">
        <x:v>EX-1049</x:v>
      </x:c>
      <x:c r="C1077" s="34" t="str">
        <x:v>خوابگاهها: امینیان (بستههای پستی، پخش اذان)، کوثر (اطلاعرسانی غذا)، عسگرنژاد (وضعیت ساختمان).</x:v>
      </x:c>
      <x:c r="D1077" s="34" t="str">
        <x:v>POSSIBLE</x:v>
      </x:c>
      <x:c r="E1077" s="34" t="str">
        <x:v>85.5</x:v>
      </x:c>
      <x:c r="F1077" s="34" t="str">
        <x:v>MI-3063</x:v>
      </x:c>
      <x:c r="G1077"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1077" s="39" t="str">
        <x:v>H1</x:v>
      </x:c>
      <x:c r="I1077" s="39" t="str">
        <x:v>P0</x:v>
      </x:c>
      <x:c r="J1077" s="39" t="str">
        <x:v>H1</x:v>
      </x:c>
      <x:c r="K1077" s="39" t="str">
        <x:v>تطبیق احتمالی با پایه</x:v>
      </x:c>
      <x:c r="L1077" s="39" t="str">
        <x:v>MI-3063</x:v>
      </x:c>
      <x:c r="M1077"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1077" s="39" t="str">
        <x:v>1154878548.docx::P1705.1 | 1154878548.docx::P1990.1</x:v>
      </x:c>
      <x:c r="O1077" s="39"/>
    </x:row>
    <x:row r="1078">
      <x:c r="A1078" s="34" t="str">
        <x:v>☐</x:v>
      </x:c>
      <x:c r="B1078" s="34" t="str">
        <x:v>EX-1050</x:v>
      </x:c>
      <x:c r="C1078" s="34" t="str">
        <x:v>تغذیه: نظرسنجی غذا، تنوع غذا، دورچین، وعده دوم میوه، پست سلف مکمل (دکتر پایدار).</x:v>
      </x:c>
      <x:c r="D1078" s="34" t="str">
        <x:v>POSSIBLE</x:v>
      </x:c>
      <x:c r="E1078" s="34" t="str">
        <x:v>90.0</x:v>
      </x:c>
      <x:c r="F1078" s="34" t="str">
        <x:v>MI-1200</x:v>
      </x:c>
      <x:c r="G1078" s="39" t="str">
        <x:v>وعده دوم میوه</x:v>
      </x:c>
      <x:c r="H1078" s="39" t="str">
        <x:v>H11</x:v>
      </x:c>
      <x:c r="I1078" s="39" t="str">
        <x:v>DELEGATE/P2</x:v>
      </x:c>
      <x:c r="J1078" s="39" t="str">
        <x:v>H11</x:v>
      </x:c>
      <x:c r="K1078" s="39" t="str">
        <x:v>تطبیق احتمالی با پایه</x:v>
      </x:c>
      <x:c r="L1078" s="39" t="str">
        <x:v>MI-1200</x:v>
      </x:c>
      <x:c r="M1078" s="39" t="str">
        <x:v>وعده دوم میوه</x:v>
      </x:c>
      <x:c r="N1078" s="39" t="str">
        <x:v>1154878548.docx::P1706.1 | 1154878548.docx::P1991.1</x:v>
      </x:c>
      <x:c r="O1078" s="39"/>
    </x:row>
    <x:row r="1079">
      <x:c r="A1079" s="34" t="str">
        <x:v>☐</x:v>
      </x:c>
      <x:c r="B1079" s="34" t="str">
        <x:v>EX-1051</x:v>
      </x:c>
      <x:c r="C1079" s="34" t="str">
        <x:v>افراد صنفی: فرهاد یاس، سامان، حسین بینایی، علمداری.</x:v>
      </x:c>
      <x:c r="D1079" s="34" t="str">
        <x:v>POSSIBLE</x:v>
      </x:c>
      <x:c r="E1079" s="34" t="str">
        <x:v>90.0</x:v>
      </x:c>
      <x:c r="F1079" s="34" t="str">
        <x:v>MI-0612</x:v>
      </x:c>
      <x:c r="G1079" s="39" t="str">
        <x:v>علمداری</x:v>
      </x:c>
      <x:c r="H1079" s="39" t="str">
        <x:v>H11</x:v>
      </x:c>
      <x:c r="I1079" s="39" t="str">
        <x:v>DELEGATE/P2</x:v>
      </x:c>
      <x:c r="J1079" s="39" t="str">
        <x:v>H11</x:v>
      </x:c>
      <x:c r="K1079" s="39" t="str">
        <x:v>تطبیق احتمالی با پایه</x:v>
      </x:c>
      <x:c r="L1079" s="39" t="str">
        <x:v>MI-0612</x:v>
      </x:c>
      <x:c r="M1079" s="39" t="str">
        <x:v>علمداری</x:v>
      </x:c>
      <x:c r="N1079" s="39" t="str">
        <x:v>1154878548.docx::P1707.1 | 1154878548.docx::P1992.1</x:v>
      </x:c>
      <x:c r="O1079" s="39"/>
    </x:row>
    <x:row r="1080">
      <x:c r="A1080" s="34" t="str">
        <x:v>☐</x:v>
      </x:c>
      <x:c r="B1080" s="34" t="str">
        <x:v>EX-1052</x:v>
      </x:c>
      <x:c r="C1080" s="34" t="str">
        <x:v>۱۶. حکمرانی و مدیریت کسبوکـار (Governance &amp; Business Mgmt)</x:v>
      </x:c>
      <x:c r="D1080" s="34" t="str">
        <x:v>POSSIBLE</x:v>
      </x:c>
      <x:c r="E1080" s="34" t="str">
        <x:v>85.5</x:v>
      </x:c>
      <x:c r="F1080" s="34" t="str">
        <x:v>MI-0029</x:v>
      </x:c>
      <x:c r="G1080" s="39" t="str">
        <x:v>تدریس ریاضی و فیزیک</x:v>
      </x:c>
      <x:c r="H1080" s="39" t="str">
        <x:v>H1</x:v>
      </x:c>
      <x:c r="I1080" s="39" t="str">
        <x:v>P0</x:v>
      </x:c>
      <x:c r="J1080" s="39" t="str">
        <x:v>H1</x:v>
      </x:c>
      <x:c r="K1080" s="39" t="str">
        <x:v>تطبیق احتمالی با پایه</x:v>
      </x:c>
      <x:c r="L1080" s="39" t="str">
        <x:v>MI-0029</x:v>
      </x:c>
      <x:c r="M1080" s="39" t="str">
        <x:v>تدریس ریاضی و فیزیک</x:v>
      </x:c>
      <x:c r="N1080" s="39" t="str">
        <x:v>1154878548.docx::P1708.1 | 1154878548.docx::P1993.1</x:v>
      </x:c>
      <x:c r="O1080" s="39"/>
    </x:row>
    <x:row r="1081">
      <x:c r="A1081" s="34" t="str">
        <x:v>☐</x:v>
      </x:c>
      <x:c r="B1081" s="34" t="str">
        <x:v>EX-1053</x:v>
      </x:c>
      <x:c r="C1081" s="34" t="str">
        <x:v>تمرکز: مدیریت سازمان، فروش و استراتژی (بخش بیزینس برنامه شخصی)</x:v>
      </x:c>
      <x:c r="D1081" s="34" t="str">
        <x:v>POSSIBLE</x:v>
      </x:c>
      <x:c r="E1081" s="34" t="str">
        <x:v>85.5</x:v>
      </x:c>
      <x:c r="F1081" s="34" t="str">
        <x:v>MI-0179</x:v>
      </x:c>
      <x:c r="G1081" s="39" t="str">
        <x:v>برنامه ریزی شهری</x:v>
      </x:c>
      <x:c r="H1081" s="39" t="str">
        <x:v>H1</x:v>
      </x:c>
      <x:c r="I1081" s="39" t="str">
        <x:v>P0</x:v>
      </x:c>
      <x:c r="J1081" s="39" t="str">
        <x:v>H1</x:v>
      </x:c>
      <x:c r="K1081" s="39" t="str">
        <x:v>تطبیق احتمالی با پایه</x:v>
      </x:c>
      <x:c r="L1081" s="39" t="str">
        <x:v>MI-0179</x:v>
      </x:c>
      <x:c r="M1081" s="39" t="str">
        <x:v>برنامه ریزی شهری</x:v>
      </x:c>
      <x:c r="N1081" s="39" t="str">
        <x:v>1154878548.docx::P1709.1 | 1154878548.docx::P1994.1</x:v>
      </x:c>
      <x:c r="O1081" s="39"/>
    </x:row>
    <x:row r="1082">
      <x:c r="A1082" s="34" t="str">
        <x:v>☐</x:v>
      </x:c>
      <x:c r="B1082" s="34" t="str">
        <x:v>EX-1054</x:v>
      </x:c>
      <x:c r="C1082" s="34" t="str">
        <x:v>۱۶-۱. مدیریت و استراتژی:</x:v>
      </x:c>
      <x:c r="D1082" s="34" t="str">
        <x:v>POSSIBLE</x:v>
      </x:c>
      <x:c r="E1082" s="34" t="str">
        <x:v>85.5</x:v>
      </x:c>
      <x:c r="F1082" s="34" t="str">
        <x:v>MI-1501</x:v>
      </x:c>
      <x:c r="G1082" s="39" t="str">
        <x:v>مدیریت ریسک: شناسایی ریسک ها، ارزیابی اثرات، تدوین برنامه های مقابله با ریسک ها.</x:v>
      </x:c>
      <x:c r="H1082" s="39" t="str">
        <x:v>H1</x:v>
      </x:c>
      <x:c r="I1082" s="39" t="str">
        <x:v>P0</x:v>
      </x:c>
      <x:c r="J1082" s="39" t="str">
        <x:v>H1</x:v>
      </x:c>
      <x:c r="K1082" s="39" t="str">
        <x:v>تطبیق احتمالی با پایه</x:v>
      </x:c>
      <x:c r="L1082" s="39" t="str">
        <x:v>MI-1501</x:v>
      </x:c>
      <x:c r="M1082" s="39" t="str">
        <x:v>مدیریت ریسک: شناسایی ریسک ها، ارزیابی اثرات، تدوین برنامه های مقابله با ریسک ها.</x:v>
      </x:c>
      <x:c r="N1082" s="39" t="str">
        <x:v>1154878548.docx::P1710.1 | 1154878548.docx::P1995.1</x:v>
      </x:c>
      <x:c r="O1082" s="39"/>
    </x:row>
    <x:row r="1083">
      <x:c r="A1083" s="34" t="str">
        <x:v>☐</x:v>
      </x:c>
      <x:c r="B1083" s="34" t="str">
        <x:v>EX-1055</x:v>
      </x:c>
      <x:c r="C1083" s="34" t="str">
        <x:v>مدرک MBA.</x:v>
      </x:c>
      <x:c r="D1083" s="34" t="str">
        <x:v>POSSIBLE</x:v>
      </x:c>
      <x:c r="E1083" s="34" t="str">
        <x:v>90.0</x:v>
      </x:c>
      <x:c r="F1083" s="34" t="str">
        <x:v>MI-0052</x:v>
      </x:c>
      <x:c r="G1083" s="39" t="str">
        <x:v>گرفتن مدرک MBA</x:v>
      </x:c>
      <x:c r="H1083" s="39" t="str">
        <x:v>H8</x:v>
      </x:c>
      <x:c r="I1083" s="39" t="str">
        <x:v>P2</x:v>
      </x:c>
      <x:c r="J1083" s="39" t="str">
        <x:v>H8</x:v>
      </x:c>
      <x:c r="K1083" s="39" t="str">
        <x:v>تطبیق احتمالی با پایه</x:v>
      </x:c>
      <x:c r="L1083" s="39" t="str">
        <x:v>MI-0052</x:v>
      </x:c>
      <x:c r="M1083" s="39" t="str">
        <x:v>گرفتن مدرک MBA</x:v>
      </x:c>
      <x:c r="N1083" s="39" t="str">
        <x:v>1154878548.docx::P1711.1 | 1154878548.docx::P1996.1</x:v>
      </x:c>
      <x:c r="O1083" s="39"/>
    </x:row>
    <x:row r="1084">
      <x:c r="A1084" s="34" t="str">
        <x:v>☐</x:v>
      </x:c>
      <x:c r="B1084" s="34" t="str">
        <x:v>EX-1056</x:v>
      </x:c>
      <x:c r="C1084" s="34" t="str">
        <x:v>مدیریت پروژه (MSP) و پروژههای چندمرحلهای.</x:v>
      </x:c>
      <x:c r="D1084" s="34" t="str">
        <x:v>POSSIBLE</x:v>
      </x:c>
      <x:c r="E1084" s="34" t="str">
        <x:v>90.0</x:v>
      </x:c>
      <x:c r="F1084" s="34" t="str">
        <x:v>MI-0103</x:v>
      </x:c>
      <x:c r="G1084" s="39" t="str">
        <x:v>مدیریت پروژه</x:v>
      </x:c>
      <x:c r="H1084" s="39" t="str">
        <x:v>H6</x:v>
      </x:c>
      <x:c r="I1084" s="39" t="str">
        <x:v>P3/CLARIFY</x:v>
      </x:c>
      <x:c r="J1084" s="39" t="str">
        <x:v>H6</x:v>
      </x:c>
      <x:c r="K1084" s="39" t="str">
        <x:v>تطبیق احتمالی با پایه</x:v>
      </x:c>
      <x:c r="L1084" s="39" t="str">
        <x:v>MI-0103</x:v>
      </x:c>
      <x:c r="M1084" s="39" t="str">
        <x:v>مدیریت پروژه</x:v>
      </x:c>
      <x:c r="N1084" s="39" t="str">
        <x:v>1154878548.docx::P1712.1 | 1154878548.docx::P1997.1</x:v>
      </x:c>
      <x:c r="O1084" s="39"/>
    </x:row>
    <x:row r="1085">
      <x:c r="A1085" s="34" t="str">
        <x:v>☐</x:v>
      </x:c>
      <x:c r="B1085" s="34" t="str">
        <x:v>EX-1057</x:v>
      </x:c>
      <x:c r="C1085" s="34" t="str">
        <x:v>مدیریت راهبردی، اجرایی و دولتی.</x:v>
      </x:c>
      <x:c r="D1085" s="34" t="str">
        <x:v>POSSIBLE</x:v>
      </x:c>
      <x:c r="E1085" s="34" t="str">
        <x:v>90.0</x:v>
      </x:c>
      <x:c r="F1085" s="34" t="str">
        <x:v>MI-0105</x:v>
      </x:c>
      <x:c r="G1085" s="39" t="str">
        <x:v>راهبر</x:v>
      </x:c>
      <x:c r="H1085" s="39" t="str">
        <x:v>H6</x:v>
      </x:c>
      <x:c r="I1085" s="39" t="str">
        <x:v>P3/CLARIFY</x:v>
      </x:c>
      <x:c r="J1085" s="39" t="str">
        <x:v>H6</x:v>
      </x:c>
      <x:c r="K1085" s="39" t="str">
        <x:v>تطبیق احتمالی با پایه</x:v>
      </x:c>
      <x:c r="L1085" s="39" t="str">
        <x:v>MI-0105</x:v>
      </x:c>
      <x:c r="M1085" s="39" t="str">
        <x:v>راهبر</x:v>
      </x:c>
      <x:c r="N1085" s="39" t="str">
        <x:v>1154878548.docx::P1713.1 | 1154878548.docx::P1998.1</x:v>
      </x:c>
      <x:c r="O1085" s="39"/>
    </x:row>
    <x:row r="1086">
      <x:c r="A1086" s="34" t="str">
        <x:v>☐</x:v>
      </x:c>
      <x:c r="B1086" s="34" t="str">
        <x:v>EX-1058</x:v>
      </x:c>
      <x:c r="C1086" s="34" t="str">
        <x:v>دیجیتال مارکتینگ (Google Ads, Analytics, SEO).</x:v>
      </x:c>
      <x:c r="D1086" s="34" t="str">
        <x:v>POSSIBLE</x:v>
      </x:c>
      <x:c r="E1086" s="34" t="str">
        <x:v>85.5</x:v>
      </x:c>
      <x:c r="F1086" s="34" t="str">
        <x:v>MI-1473</x:v>
      </x:c>
      <x:c r="G1086" s="39" t="str">
        <x:v>مهارت های فنی و دیجیتال</x:v>
      </x:c>
      <x:c r="H1086" s="39" t="str">
        <x:v>H1</x:v>
      </x:c>
      <x:c r="I1086" s="39" t="str">
        <x:v>P0</x:v>
      </x:c>
      <x:c r="J1086" s="39" t="str">
        <x:v>H1</x:v>
      </x:c>
      <x:c r="K1086" s="39" t="str">
        <x:v>تطبیق احتمالی با پایه</x:v>
      </x:c>
      <x:c r="L1086" s="39" t="str">
        <x:v>MI-1473</x:v>
      </x:c>
      <x:c r="M1086" s="39" t="str">
        <x:v>مهارت های فنی و دیجیتال</x:v>
      </x:c>
      <x:c r="N1086" s="39" t="str">
        <x:v>1154878548.docx::P1716.1 | 1154878548.docx::P2001.1</x:v>
      </x:c>
      <x:c r="O1086" s="39"/>
    </x:row>
    <x:row r="1087">
      <x:c r="A1087" s="34" t="str">
        <x:v>☐</x:v>
      </x:c>
      <x:c r="B1087" s="34" t="str">
        <x:v>EX-1059</x:v>
      </x:c>
      <x:c r="C1087" s="34" t="str">
        <x:v>سیستم CRM و نرمافزار Odoo.</x:v>
      </x:c>
      <x:c r="D1087" s="34" t="str">
        <x:v>POSSIBLE</x:v>
      </x:c>
      <x:c r="E1087" s="34" t="str">
        <x:v>90.0</x:v>
      </x:c>
      <x:c r="F1087" s="34" t="str">
        <x:v>MI-0122</x:v>
      </x:c>
      <x:c r="G1087" s="39" t="str">
        <x:v>odoo</x:v>
      </x:c>
      <x:c r="H1087" s="39" t="str">
        <x:v>H1</x:v>
      </x:c>
      <x:c r="I1087" s="39" t="str">
        <x:v>P0</x:v>
      </x:c>
      <x:c r="J1087" s="39" t="str">
        <x:v>H1</x:v>
      </x:c>
      <x:c r="K1087" s="39" t="str">
        <x:v>تطبیق احتمالی با پایه</x:v>
      </x:c>
      <x:c r="L1087" s="39" t="str">
        <x:v>MI-0122</x:v>
      </x:c>
      <x:c r="M1087" s="39" t="str">
        <x:v>odoo</x:v>
      </x:c>
      <x:c r="N1087" s="39" t="str">
        <x:v>1154878548.docx::P1717.1 | 1154878548.docx::P2002.1</x:v>
      </x:c>
      <x:c r="O1087" s="39"/>
    </x:row>
    <x:row r="1088">
      <x:c r="A1088" s="34" t="str">
        <x:v>☐</x:v>
      </x:c>
      <x:c r="B1088" s="34" t="str">
        <x:v>EX-1060</x:v>
      </x:c>
      <x:c r="C1088" s="34" t="str">
        <x:v>مدیریت فروش در رکود بازار ایران.</x:v>
      </x:c>
      <x:c r="D1088" s="34" t="str">
        <x:v>POSSIBLE</x:v>
      </x:c>
      <x:c r="E1088" s="34" t="str">
        <x:v>90.0</x:v>
      </x:c>
      <x:c r="F1088" s="34" t="str">
        <x:v>MI-1236</x:v>
      </x:c>
      <x:c r="G1088" s="39" t="str">
        <x:v>ایران</x:v>
      </x:c>
      <x:c r="H1088" s="39" t="str">
        <x:v>H12</x:v>
      </x:c>
      <x:c r="I1088" s="39" t="str">
        <x:v>P2</x:v>
      </x:c>
      <x:c r="J1088" s="39" t="str">
        <x:v>H12</x:v>
      </x:c>
      <x:c r="K1088" s="39" t="str">
        <x:v>تطبیق احتمالی با پایه</x:v>
      </x:c>
      <x:c r="L1088" s="39" t="str">
        <x:v>MI-1236</x:v>
      </x:c>
      <x:c r="M1088" s="39" t="str">
        <x:v>ایران</x:v>
      </x:c>
      <x:c r="N1088" s="39" t="str">
        <x:v>1154878548.docx::P1718.1 | 1154878548.docx::P2003.1</x:v>
      </x:c>
      <x:c r="O1088" s="39"/>
    </x:row>
    <x:row r="1089">
      <x:c r="A1089" s="34" t="str">
        <x:v>☐</x:v>
      </x:c>
      <x:c r="B1089" s="34" t="str">
        <x:v>EX-1061</x:v>
      </x:c>
      <x:c r="C1089" s="34" t="str">
        <x:v>مهارت فروش بینالملل و صادرات محور.</x:v>
      </x:c>
      <x:c r="D1089" s="34" t="str">
        <x:v>POSSIBLE</x:v>
      </x:c>
      <x:c r="E1089" s="34" t="str">
        <x:v>90.0</x:v>
      </x:c>
      <x:c r="F1089" s="34" t="str">
        <x:v>MI-2603</x:v>
      </x:c>
      <x:c r="G1089" s="39" t="str">
        <x:v>صادرات</x:v>
      </x:c>
      <x:c r="H1089" s="39" t="str">
        <x:v>H8</x:v>
      </x:c>
      <x:c r="I1089" s="39" t="str">
        <x:v>P2</x:v>
      </x:c>
      <x:c r="J1089" s="39" t="str">
        <x:v>H8</x:v>
      </x:c>
      <x:c r="K1089" s="39" t="str">
        <x:v>تطبیق احتمالی با پایه</x:v>
      </x:c>
      <x:c r="L1089" s="39" t="str">
        <x:v>MI-2603</x:v>
      </x:c>
      <x:c r="M1089" s="39" t="str">
        <x:v>صادرات</x:v>
      </x:c>
      <x:c r="N1089" s="39" t="str">
        <x:v>1154878548.docx::P1719.1 | 1154878548.docx::P2004.1</x:v>
      </x:c>
      <x:c r="O1089" s="39"/>
    </x:row>
    <x:row r="1090">
      <x:c r="A1090" s="34" t="str">
        <x:v>☐</x:v>
      </x:c>
      <x:c r="B1090" s="34" t="str">
        <x:v>EX-1062</x:v>
      </x:c>
      <x:c r="C1090" s="34" t="str">
        <x:v>۱۶-۳. آسیبشناسی: فساد سیستماتیک، شکست در هماهنگی، تکنوکراسی.</x:v>
      </x:c>
      <x:c r="D1090" s="34" t="str">
        <x:v>POSSIBLE</x:v>
      </x:c>
      <x:c r="E1090" s="34" t="str">
        <x:v>85.5</x:v>
      </x:c>
      <x:c r="F1090" s="34" t="str">
        <x:v>MI-0173</x:v>
      </x:c>
      <x:c r="G1090" s="39" t="str">
        <x:v>جستجو در منابع سریع</x:v>
      </x:c>
      <x:c r="H1090" s="39" t="str">
        <x:v>H1</x:v>
      </x:c>
      <x:c r="I1090" s="39" t="str">
        <x:v>P0</x:v>
      </x:c>
      <x:c r="J1090" s="39" t="str">
        <x:v>H1</x:v>
      </x:c>
      <x:c r="K1090" s="39" t="str">
        <x:v>تطبیق احتمالی با پایه</x:v>
      </x:c>
      <x:c r="L1090" s="39" t="str">
        <x:v>MI-0173</x:v>
      </x:c>
      <x:c r="M1090" s="39" t="str">
        <x:v>جستجو در منابع سریع</x:v>
      </x:c>
      <x:c r="N1090" s="39" t="str">
        <x:v>1154878548.docx::P1720.1 | 1154878548.docx::P2005.1</x:v>
      </x:c>
      <x:c r="O1090" s="39"/>
    </x:row>
    <x:row r="1091">
      <x:c r="A1091" s="34" t="str">
        <x:v>☐</x:v>
      </x:c>
      <x:c r="B1091" s="34" t="str">
        <x:v>EX-1063</x:v>
      </x:c>
      <x:c r="C1091" s="34" t="str">
        <x:v>۱۷. مهندسی مکانیک و طراحی صنعتی (Mechanical Eng. &amp; Design)</x:v>
      </x:c>
      <x:c r="D1091" s="34" t="str">
        <x:v>POSSIBLE</x:v>
      </x:c>
      <x:c r="E1091" s="34" t="str">
        <x:v>85.5</x:v>
      </x:c>
      <x:c r="F1091" s="34" t="str">
        <x:v>MI-0029</x:v>
      </x:c>
      <x:c r="G1091" s="39" t="str">
        <x:v>تدریس ریاضی و فیزیک</x:v>
      </x:c>
      <x:c r="H1091" s="39" t="str">
        <x:v>H1</x:v>
      </x:c>
      <x:c r="I1091" s="39" t="str">
        <x:v>P0</x:v>
      </x:c>
      <x:c r="J1091" s="39" t="str">
        <x:v>H1</x:v>
      </x:c>
      <x:c r="K1091" s="39" t="str">
        <x:v>تطبیق احتمالی با پایه</x:v>
      </x:c>
      <x:c r="L1091" s="39" t="str">
        <x:v>MI-0029</x:v>
      </x:c>
      <x:c r="M1091" s="39" t="str">
        <x:v>تدریس ریاضی و فیزیک</x:v>
      </x:c>
      <x:c r="N1091" s="39" t="str">
        <x:v>1154878548.docx::P1721.1 | 1154878548.docx::P2006.1</x:v>
      </x:c>
      <x:c r="O1091" s="39"/>
    </x:row>
    <x:row r="1092">
      <x:c r="A1092" s="34" t="str">
        <x:v>☐</x:v>
      </x:c>
      <x:c r="B1092" s="34" t="str">
        <x:v>EX-1064</x:v>
      </x:c>
      <x:c r="C1092" s="34" t="str">
        <x:v>فصل جدید: ادغام بخش مهندسی برنامه شخصی</x:v>
      </x:c>
      <x:c r="D1092" s="34" t="str">
        <x:v>POSSIBLE</x:v>
      </x:c>
      <x:c r="E1092" s="34" t="str">
        <x:v>85.5</x:v>
      </x:c>
      <x:c r="F1092" s="34" t="str">
        <x:v>MI-0179</x:v>
      </x:c>
      <x:c r="G1092" s="39" t="str">
        <x:v>برنامه ریزی شهری</x:v>
      </x:c>
      <x:c r="H1092" s="39" t="str">
        <x:v>H1</x:v>
      </x:c>
      <x:c r="I1092" s="39" t="str">
        <x:v>P0</x:v>
      </x:c>
      <x:c r="J1092" s="39" t="str">
        <x:v>H1</x:v>
      </x:c>
      <x:c r="K1092" s="39" t="str">
        <x:v>تطبیق احتمالی با پایه</x:v>
      </x:c>
      <x:c r="L1092" s="39" t="str">
        <x:v>MI-0179</x:v>
      </x:c>
      <x:c r="M1092" s="39" t="str">
        <x:v>برنامه ریزی شهری</x:v>
      </x:c>
      <x:c r="N1092" s="39" t="str">
        <x:v>1154878548.docx::P1722.1 | 1154878548.docx::P2007.1</x:v>
      </x:c>
      <x:c r="O1092" s="39"/>
    </x:row>
    <x:row r="1093">
      <x:c r="A1093" s="34" t="str">
        <x:v>☐</x:v>
      </x:c>
      <x:c r="B1093" s="34" t="str">
        <x:v>EX-1065</x:v>
      </x:c>
      <x:c r="C1093" s="34" t="str">
        <x:v>۱۷-۱. طراحی و نقشهکشی (CAD):</x:v>
      </x:c>
      <x:c r="D1093" s="34" t="str">
        <x:v>POSSIBLE</x:v>
      </x:c>
      <x:c r="E1093" s="34" t="str">
        <x:v>85.5</x:v>
      </x:c>
      <x:c r="F1093" s="34" t="str">
        <x:v>MI-1513</x:v>
      </x:c>
      <x:c r="G1093" s="39" t="str">
        <x:v>تولید و کارآفرینی: توانایی تولید محصول و خدمات و ایجاد شغل.</x:v>
      </x:c>
      <x:c r="H1093" s="39" t="str">
        <x:v>H1</x:v>
      </x:c>
      <x:c r="I1093" s="39" t="str">
        <x:v>P0</x:v>
      </x:c>
      <x:c r="J1093" s="39" t="str">
        <x:v>H1</x:v>
      </x:c>
      <x:c r="K1093" s="39" t="str">
        <x:v>تطبیق احتمالی با پایه</x:v>
      </x:c>
      <x:c r="L1093" s="39" t="str">
        <x:v>MI-1513</x:v>
      </x:c>
      <x:c r="M1093" s="39" t="str">
        <x:v>تولید و کارآفرینی: توانایی تولید محصول و خدمات و ایجاد شغل.</x:v>
      </x:c>
      <x:c r="N1093" s="39" t="str">
        <x:v>1154878548.docx::P1723.1 | 1154878548.docx::P2008.1</x:v>
      </x:c>
      <x:c r="O1093" s="39"/>
    </x:row>
    <x:row r="1094">
      <x:c r="A1094" s="34" t="str">
        <x:v>☐</x:v>
      </x:c>
      <x:c r="B1094" s="34" t="str">
        <x:v>EX-1066</x:v>
      </x:c>
      <x:c r="C1094" s="34" t="str">
        <x:v>SolidWorks (سالیدورک)، Catia.</x:v>
      </x:c>
      <x:c r="D1094" s="34" t="str">
        <x:v>POSSIBLE</x:v>
      </x:c>
      <x:c r="E1094" s="34" t="str">
        <x:v>90.0</x:v>
      </x:c>
      <x:c r="F1094" s="34" t="str">
        <x:v>MI-1477</x:v>
      </x:c>
      <x:c r="G1094" s="39" t="str">
        <x:v>SolidWorks</x:v>
      </x:c>
      <x:c r="H1094" s="39" t="str">
        <x:v>H1</x:v>
      </x:c>
      <x:c r="I1094" s="39" t="str">
        <x:v>P0</x:v>
      </x:c>
      <x:c r="J1094" s="39" t="str">
        <x:v>H1</x:v>
      </x:c>
      <x:c r="K1094" s="39" t="str">
        <x:v>تطبیق احتمالی با پایه</x:v>
      </x:c>
      <x:c r="L1094" s="39" t="str">
        <x:v>MI-1477</x:v>
      </x:c>
      <x:c r="M1094" s="39" t="str">
        <x:v>SolidWorks</x:v>
      </x:c>
      <x:c r="N1094" s="39" t="str">
        <x:v>1154878548.docx::P1724.1 | 1154878548.docx::P2009.1</x:v>
      </x:c>
      <x:c r="O1094" s="39"/>
    </x:row>
    <x:row r="1095">
      <x:c r="A1095" s="34" t="str">
        <x:v>☐</x:v>
      </x:c>
      <x:c r="B1095" s="34" t="str">
        <x:v>EX-1067</x:v>
      </x:c>
      <x:c r="C1095" s="34" t="str">
        <x:v>۱۷-۲. ساخت و تولید (CAM/Manufacturing):</x:v>
      </x:c>
      <x:c r="D1095" s="34" t="str">
        <x:v>POSSIBLE</x:v>
      </x:c>
      <x:c r="E1095" s="34" t="str">
        <x:v>85.5</x:v>
      </x:c>
      <x:c r="F1095" s="34" t="str">
        <x:v>MI-1513</x:v>
      </x:c>
      <x:c r="G1095" s="39" t="str">
        <x:v>تولید و کارآفرینی: توانایی تولید محصول و خدمات و ایجاد شغل.</x:v>
      </x:c>
      <x:c r="H1095" s="39" t="str">
        <x:v>H1</x:v>
      </x:c>
      <x:c r="I1095" s="39" t="str">
        <x:v>P0</x:v>
      </x:c>
      <x:c r="J1095" s="39" t="str">
        <x:v>H1</x:v>
      </x:c>
      <x:c r="K1095" s="39" t="str">
        <x:v>تطبیق احتمالی با پایه</x:v>
      </x:c>
      <x:c r="L1095" s="39" t="str">
        <x:v>MI-1513</x:v>
      </x:c>
      <x:c r="M1095" s="39" t="str">
        <x:v>تولید و کارآفرینی: توانایی تولید محصول و خدمات و ایجاد شغل.</x:v>
      </x:c>
      <x:c r="N1095" s="39" t="str">
        <x:v>1154878548.docx::P1727.1 | 1154878548.docx::P2012.1</x:v>
      </x:c>
      <x:c r="O1095" s="39"/>
    </x:row>
    <x:row r="1096">
      <x:c r="A1096" s="34" t="str">
        <x:v>☐</x:v>
      </x:c>
      <x:c r="B1096" s="34" t="str">
        <x:v>EX-1068</x:v>
      </x:c>
      <x:c r="C1096" s="34" t="str">
        <x:v>PowerMill (پاورمیل).</x:v>
      </x:c>
      <x:c r="D1096" s="34" t="str">
        <x:v>POSSIBLE</x:v>
      </x:c>
      <x:c r="E1096" s="34" t="str">
        <x:v>90.0</x:v>
      </x:c>
      <x:c r="F1096" s="34" t="str">
        <x:v>MI-0155</x:v>
      </x:c>
      <x:c r="G1096" s="39" t="str">
        <x:v>پاورمیل</x:v>
      </x:c>
      <x:c r="H1096" s="39" t="str">
        <x:v>H6</x:v>
      </x:c>
      <x:c r="I1096" s="39" t="str">
        <x:v>P3/CLARIFY</x:v>
      </x:c>
      <x:c r="J1096" s="39" t="str">
        <x:v>H6</x:v>
      </x:c>
      <x:c r="K1096" s="39" t="str">
        <x:v>تطبیق احتمالی با پایه</x:v>
      </x:c>
      <x:c r="L1096" s="39" t="str">
        <x:v>MI-0155</x:v>
      </x:c>
      <x:c r="M1096" s="39" t="str">
        <x:v>پاورمیل</x:v>
      </x:c>
      <x:c r="N1096" s="39" t="str">
        <x:v>1154878548.docx::P1728.1 | 1154878548.docx::P2013.1 | 1154878548.docx::P2138.1</x:v>
      </x:c>
      <x:c r="O1096" s="39"/>
    </x:row>
    <x:row r="1097">
      <x:c r="A1097" s="34" t="str">
        <x:v>☐</x:v>
      </x:c>
      <x:c r="B1097" s="34" t="str">
        <x:v>EX-1069</x:v>
      </x:c>
      <x:c r="C1097" s="34" t="str">
        <x:v>CNC و G-Code.</x:v>
      </x:c>
      <x:c r="D1097" s="34" t="str">
        <x:v>POSSIBLE</x:v>
      </x:c>
      <x:c r="E1097" s="34" t="str">
        <x:v>90.0</x:v>
      </x:c>
      <x:c r="F1097" s="34" t="str">
        <x:v>MI-0130</x:v>
      </x:c>
      <x:c r="G1097" s="39" t="str">
        <x:v>cnc</x:v>
      </x:c>
      <x:c r="H1097" s="39" t="str">
        <x:v>H6</x:v>
      </x:c>
      <x:c r="I1097" s="39" t="str">
        <x:v>P3/CLARIFY</x:v>
      </x:c>
      <x:c r="J1097" s="39" t="str">
        <x:v>H6</x:v>
      </x:c>
      <x:c r="K1097" s="39" t="str">
        <x:v>تطبیق احتمالی با پایه</x:v>
      </x:c>
      <x:c r="L1097" s="39" t="str">
        <x:v>MI-0130</x:v>
      </x:c>
      <x:c r="M1097" s="39" t="str">
        <x:v>cnc</x:v>
      </x:c>
      <x:c r="N1097" s="39" t="str">
        <x:v>1154878548.docx::P1729.1 | 1154878548.docx::P2014.1 | 1154878548.docx::P2137.1</x:v>
      </x:c>
      <x:c r="O1097" s="39"/>
    </x:row>
    <x:row r="1098">
      <x:c r="A1098" s="34" t="str">
        <x:v>☐</x:v>
      </x:c>
      <x:c r="B1098" s="34" t="str">
        <x:v>EX-1070</x:v>
      </x:c>
      <x:c r="C1098" s="34" t="str">
        <x:v>جوشکاری، برش و تراشکاری.</x:v>
      </x:c>
      <x:c r="D1098" s="34" t="str">
        <x:v>POSSIBLE</x:v>
      </x:c>
      <x:c r="E1098" s="34" t="str">
        <x:v>90.0</x:v>
      </x:c>
      <x:c r="F1098" s="34" t="str">
        <x:v>MI-2545</x:v>
      </x:c>
      <x:c r="G1098" s="39" t="str">
        <x:v>کار:</x:v>
      </x:c>
      <x:c r="H1098" s="39" t="str">
        <x:v>H20</x:v>
      </x:c>
      <x:c r="I1098" s="39" t="str">
        <x:v>P3/CLARIFY</x:v>
      </x:c>
      <x:c r="J1098" s="39" t="str">
        <x:v>H20</x:v>
      </x:c>
      <x:c r="K1098" s="39" t="str">
        <x:v>تطبیق احتمالی با پایه</x:v>
      </x:c>
      <x:c r="L1098" s="39" t="str">
        <x:v>MI-2545</x:v>
      </x:c>
      <x:c r="M1098" s="39" t="str">
        <x:v>کار:</x:v>
      </x:c>
      <x:c r="N1098" s="39" t="str">
        <x:v>1154878548.docx::P1730.1 | 1154878548.docx::P2015.1 | 1154878548.docx::P2159.1</x:v>
      </x:c>
      <x:c r="O1098" s="39"/>
    </x:row>
    <x:row r="1099">
      <x:c r="A1099" s="34" t="str">
        <x:v>☐</x:v>
      </x:c>
      <x:c r="B1099" s="34" t="str">
        <x:v>EX-1071</x:v>
      </x:c>
      <x:c r="C1099" s="34" t="str">
        <x:v>۱۷-۳. تحلیل مهندسی (CAE):</x:v>
      </x:c>
      <x:c r="D1099" s="34" t="str">
        <x:v>POSSIBLE</x:v>
      </x:c>
      <x:c r="E1099" s="34" t="str">
        <x:v>85.5</x:v>
      </x:c>
      <x:c r="F1099" s="34" t="str">
        <x:v>MI-1462</x:v>
      </x:c>
      <x:c r="G1099" s="39" t="str">
        <x:v>مهندسی اجتماعی</x:v>
      </x:c>
      <x:c r="H1099" s="39" t="str">
        <x:v>H1</x:v>
      </x:c>
      <x:c r="I1099" s="39" t="str">
        <x:v>P0</x:v>
      </x:c>
      <x:c r="J1099" s="39" t="str">
        <x:v>H1</x:v>
      </x:c>
      <x:c r="K1099" s="39" t="str">
        <x:v>تطبیق احتمالی با پایه</x:v>
      </x:c>
      <x:c r="L1099" s="39" t="str">
        <x:v>MI-1462</x:v>
      </x:c>
      <x:c r="M1099" s="39" t="str">
        <x:v>مهندسی اجتماعی</x:v>
      </x:c>
      <x:c r="N1099" s="39" t="str">
        <x:v>1154878548.docx::P1731.1 | 1154878548.docx::P2016.1</x:v>
      </x:c>
      <x:c r="O1099" s="39"/>
    </x:row>
    <x:row r="1100">
      <x:c r="A1100" s="34" t="str">
        <x:v>☐</x:v>
      </x:c>
      <x:c r="B1100" s="34" t="str">
        <x:v>EX-1072</x:v>
      </x:c>
      <x:c r="C1100" s="34" t="str">
        <x:v>Gambit (مشبندی)، FEM (اجزای محدود).</x:v>
      </x:c>
      <x:c r="D1100" s="34" t="str">
        <x:v>POSSIBLE</x:v>
      </x:c>
      <x:c r="E1100" s="34" t="str">
        <x:v>90.0</x:v>
      </x:c>
      <x:c r="F1100" s="34" t="str">
        <x:v>MI-0144</x:v>
      </x:c>
      <x:c r="G1100" s="39" t="str">
        <x:v>gambit</x:v>
      </x:c>
      <x:c r="H1100" s="39" t="str">
        <x:v>H7</x:v>
      </x:c>
      <x:c r="I1100" s="39" t="str">
        <x:v>P1</x:v>
      </x:c>
      <x:c r="J1100" s="39" t="str">
        <x:v>H7</x:v>
      </x:c>
      <x:c r="K1100" s="39" t="str">
        <x:v>تطبیق احتمالی با پایه</x:v>
      </x:c>
      <x:c r="L1100" s="39" t="str">
        <x:v>MI-0144</x:v>
      </x:c>
      <x:c r="M1100" s="39" t="str">
        <x:v>gambit</x:v>
      </x:c>
      <x:c r="N1100" s="39" t="str">
        <x:v>1154878548.docx::P1733.1 | 1154878548.docx::P2018.1</x:v>
      </x:c>
      <x:c r="O1100" s="39"/>
    </x:row>
    <x:row r="1101">
      <x:c r="A1101" s="34" t="str">
        <x:v>☐</x:v>
      </x:c>
      <x:c r="B1101" s="34" t="str">
        <x:v>EX-1073</x:v>
      </x:c>
      <x:c r="C1101" s="34" t="str">
        <x:v>۱۷-۴. تأسیسات:</x:v>
      </x:c>
      <x:c r="D1101" s="34" t="str">
        <x:v>POSSIBLE</x:v>
      </x:c>
      <x:c r="E1101" s="34" t="str">
        <x:v>85.5</x:v>
      </x:c>
      <x:c r="F1101" s="34" t="str">
        <x:v>MI-0880</x:v>
      </x:c>
      <x:c r="G1101" s="39" t="str">
        <x:v>تشکیل گروه متشکل از دبیر دبیران صنفی ، دبیران خوابگاه ها ، مسیول تاسیسات و مسیول خدمات</x:v>
      </x:c>
      <x:c r="H1101" s="39" t="str">
        <x:v>H11</x:v>
      </x:c>
      <x:c r="I1101" s="39" t="str">
        <x:v>DELEGATE/P2</x:v>
      </x:c>
      <x:c r="J1101" s="39" t="str">
        <x:v>H11</x:v>
      </x:c>
      <x:c r="K1101" s="39" t="str">
        <x:v>تطبیق احتمالی با پایه</x:v>
      </x:c>
      <x:c r="L1101" s="39" t="str">
        <x:v>MI-0880</x:v>
      </x:c>
      <x:c r="M1101" s="39" t="str">
        <x:v>تشکیل گروه متشکل از دبیر دبیران صنفی ، دبیران خوابگاه ها ، مسیول تاسیسات و مسیول خدمات</x:v>
      </x:c>
      <x:c r="N1101" s="39" t="str">
        <x:v>1154878548.docx::P1734.1 | 1154878548.docx::P2019.1</x:v>
      </x:c>
      <x:c r="O1101" s="39"/>
    </x:row>
    <x:row r="1102">
      <x:c r="A1102" s="34" t="str">
        <x:v>☐</x:v>
      </x:c>
      <x:c r="B1102" s="34" t="str">
        <x:v>EX-1074</x:v>
      </x:c>
      <x:c r="C1102" s="34" t="str">
        <x:v>Piping (لولهکشی صنعتی).</x:v>
      </x:c>
      <x:c r="D1102" s="34" t="str">
        <x:v>POSSIBLE</x:v>
      </x:c>
      <x:c r="E1102" s="34" t="str">
        <x:v>90.0</x:v>
      </x:c>
      <x:c r="F1102" s="34" t="str">
        <x:v>MI-0108</x:v>
      </x:c>
      <x:c r="G1102" s="39" t="str">
        <x:v>piping</x:v>
      </x:c>
      <x:c r="H1102" s="39" t="str">
        <x:v>H6</x:v>
      </x:c>
      <x:c r="I1102" s="39" t="str">
        <x:v>P3/CLARIFY</x:v>
      </x:c>
      <x:c r="J1102" s="39" t="str">
        <x:v>H6</x:v>
      </x:c>
      <x:c r="K1102" s="39" t="str">
        <x:v>تطبیق احتمالی با پایه</x:v>
      </x:c>
      <x:c r="L1102" s="39" t="str">
        <x:v>MI-0108</x:v>
      </x:c>
      <x:c r="M1102" s="39" t="str">
        <x:v>piping</x:v>
      </x:c>
      <x:c r="N1102" s="39" t="str">
        <x:v>1154878548.docx::P1735.1 | 1154878548.docx::P2020.1 | 1154878548.docx::P2161.1</x:v>
      </x:c>
      <x:c r="O1102" s="39"/>
    </x:row>
    <x:row r="1103">
      <x:c r="A1103" s="34" t="str">
        <x:v>☐</x:v>
      </x:c>
      <x:c r="B1103" s="34" t="str">
        <x:v>EX-1075</x:v>
      </x:c>
      <x:c r="C1103" s="34" t="str">
        <x:v>تهویه مطبوع (HVAC).</x:v>
      </x:c>
      <x:c r="D1103" s="34" t="str">
        <x:v>POSSIBLE</x:v>
      </x:c>
      <x:c r="E1103" s="34" t="str">
        <x:v>90.0</x:v>
      </x:c>
      <x:c r="F1103" s="34" t="str">
        <x:v>MI-1207</x:v>
      </x:c>
      <x:c r="G1103" s="39" t="str">
        <x:v>تهویه</x:v>
      </x:c>
      <x:c r="H1103" s="39" t="str">
        <x:v>H6</x:v>
      </x:c>
      <x:c r="I1103" s="39" t="str">
        <x:v>P3/CLARIFY</x:v>
      </x:c>
      <x:c r="J1103" s="39" t="str">
        <x:v>H6</x:v>
      </x:c>
      <x:c r="K1103" s="39" t="str">
        <x:v>تطبیق احتمالی با پایه</x:v>
      </x:c>
      <x:c r="L1103" s="39" t="str">
        <x:v>MI-1207</x:v>
      </x:c>
      <x:c r="M1103" s="39" t="str">
        <x:v>تهویه</x:v>
      </x:c>
      <x:c r="N1103" s="39" t="str">
        <x:v>1154878548.docx::P1736.1 | 1154878548.docx::P2021.1</x:v>
      </x:c>
      <x:c r="O1103" s="39"/>
    </x:row>
    <x:row r="1104">
      <x:c r="A1104" s="34" t="str">
        <x:v>☐</x:v>
      </x:c>
      <x:c r="B1104" s="34" t="str">
        <x:v>EX-1076</x:v>
      </x:c>
      <x:c r="C1104" s="34" t="str">
        <x:v>۱۸. مهندسی صنایع و سیستمها (Industrial Engineering)</x:v>
      </x:c>
      <x:c r="D1104" s="34" t="str">
        <x:v>POSSIBLE</x:v>
      </x:c>
      <x:c r="E1104" s="34" t="str">
        <x:v>85.5</x:v>
      </x:c>
      <x:c r="F1104" s="34" t="str">
        <x:v>MI-0029</x:v>
      </x:c>
      <x:c r="G1104" s="39" t="str">
        <x:v>تدریس ریاضی و فیزیک</x:v>
      </x:c>
      <x:c r="H1104" s="39" t="str">
        <x:v>H1</x:v>
      </x:c>
      <x:c r="I1104" s="39" t="str">
        <x:v>P0</x:v>
      </x:c>
      <x:c r="J1104" s="39" t="str">
        <x:v>H1</x:v>
      </x:c>
      <x:c r="K1104" s="39" t="str">
        <x:v>تطبیق احتمالی با پایه</x:v>
      </x:c>
      <x:c r="L1104" s="39" t="str">
        <x:v>MI-0029</x:v>
      </x:c>
      <x:c r="M1104" s="39" t="str">
        <x:v>تدریس ریاضی و فیزیک</x:v>
      </x:c>
      <x:c r="N1104" s="39" t="str">
        <x:v>1154878548.docx::P1738.1 | 1154878548.docx::P2023.1</x:v>
      </x:c>
      <x:c r="O1104" s="39"/>
    </x:row>
    <x:row r="1105">
      <x:c r="A1105" s="34" t="str">
        <x:v>☐</x:v>
      </x:c>
      <x:c r="B1105" s="34" t="str">
        <x:v>EX-1077</x:v>
      </x:c>
      <x:c r="C1105" s="34" t="str">
        <x:v>فصل جدید: تمرکز بر فرآیندها و بهرهوری</x:v>
      </x:c>
      <x:c r="D1105" s="34" t="str">
        <x:v>POSSIBLE</x:v>
      </x:c>
      <x:c r="E1105" s="34" t="str">
        <x:v>90.0</x:v>
      </x:c>
      <x:c r="F1105" s="34" t="str">
        <x:v>MI-2973</x:v>
      </x:c>
      <x:c r="G1105" s="39" t="str">
        <x:v>فرآیند:</x:v>
      </x:c>
      <x:c r="H1105" s="39" t="str">
        <x:v>H20</x:v>
      </x:c>
      <x:c r="I1105" s="39" t="str">
        <x:v>P3/CLARIFY</x:v>
      </x:c>
      <x:c r="J1105" s="39" t="str">
        <x:v>H20</x:v>
      </x:c>
      <x:c r="K1105" s="39" t="str">
        <x:v>تطبیق احتمالی با پایه</x:v>
      </x:c>
      <x:c r="L1105" s="39" t="str">
        <x:v>MI-2973</x:v>
      </x:c>
      <x:c r="M1105" s="39" t="str">
        <x:v>فرآیند:</x:v>
      </x:c>
      <x:c r="N1105" s="39" t="str">
        <x:v>1154878548.docx::P1739.1 | 1154878548.docx::P2024.1</x:v>
      </x:c>
      <x:c r="O1105" s="39"/>
    </x:row>
    <x:row r="1106">
      <x:c r="A1106" s="34" t="str">
        <x:v>☐</x:v>
      </x:c>
      <x:c r="B1106" s="34" t="str">
        <x:v>EX-1078</x:v>
      </x:c>
      <x:c r="C1106" s="34" t="str">
        <x:v>۱۸-۱. مدیریت سیستم:</x:v>
      </x:c>
      <x:c r="D1106" s="34" t="str">
        <x:v>POSSIBLE</x:v>
      </x:c>
      <x:c r="E1106" s="34" t="str">
        <x:v>85.5</x:v>
      </x:c>
      <x:c r="F1106" s="34" t="str">
        <x:v>MI-1501</x:v>
      </x:c>
      <x:c r="G1106" s="39" t="str">
        <x:v>مدیریت ریسک: شناسایی ریسک ها، ارزیابی اثرات، تدوین برنامه های مقابله با ریسک ها.</x:v>
      </x:c>
      <x:c r="H1106" s="39" t="str">
        <x:v>H1</x:v>
      </x:c>
      <x:c r="I1106" s="39" t="str">
        <x:v>P0</x:v>
      </x:c>
      <x:c r="J1106" s="39" t="str">
        <x:v>H1</x:v>
      </x:c>
      <x:c r="K1106" s="39" t="str">
        <x:v>تطبیق احتمالی با پایه</x:v>
      </x:c>
      <x:c r="L1106" s="39" t="str">
        <x:v>MI-1501</x:v>
      </x:c>
      <x:c r="M1106" s="39" t="str">
        <x:v>مدیریت ریسک: شناسایی ریسک ها، ارزیابی اثرات، تدوین برنامه های مقابله با ریسک ها.</x:v>
      </x:c>
      <x:c r="N1106" s="39" t="str">
        <x:v>1154878548.docx::P1740.1 | 1154878548.docx::P2025.1</x:v>
      </x:c>
      <x:c r="O1106" s="39"/>
    </x:row>
    <x:row r="1107">
      <x:c r="A1107" s="34" t="str">
        <x:v>☐</x:v>
      </x:c>
      <x:c r="B1107" s="34" t="str">
        <x:v>EX-1079</x:v>
      </x:c>
      <x:c r="C1107" s="34" t="str">
        <x:v>کنترل کیفیت و بهرهوری.</x:v>
      </x:c>
      <x:c r="D1107" s="34" t="str">
        <x:v>POSSIBLE</x:v>
      </x:c>
      <x:c r="E1107" s="34" t="str">
        <x:v>90.0</x:v>
      </x:c>
      <x:c r="F1107" s="34" t="str">
        <x:v>MI-0720</x:v>
      </x:c>
      <x:c r="G1107" s="39" t="str">
        <x:v>کیفیت</x:v>
      </x:c>
      <x:c r="H1107" s="39" t="str">
        <x:v>H11</x:v>
      </x:c>
      <x:c r="I1107" s="39" t="str">
        <x:v>DELEGATE/P2</x:v>
      </x:c>
      <x:c r="J1107" s="39" t="str">
        <x:v>H11</x:v>
      </x:c>
      <x:c r="K1107" s="39" t="str">
        <x:v>تطبیق احتمالی با پایه</x:v>
      </x:c>
      <x:c r="L1107" s="39" t="str">
        <x:v>MI-0720</x:v>
      </x:c>
      <x:c r="M1107" s="39" t="str">
        <x:v>کیفیت</x:v>
      </x:c>
      <x:c r="N1107" s="39" t="str">
        <x:v>1154878548.docx::P1742.1 | 1154878548.docx::P2027.1</x:v>
      </x:c>
      <x:c r="O1107" s="39"/>
    </x:row>
    <x:row r="1108">
      <x:c r="A1108" s="34" t="str">
        <x:v>☐</x:v>
      </x:c>
      <x:c r="B1108" s="34" t="str">
        <x:v>EX-1080</x:v>
      </x:c>
      <x:c r="C1108" s="34" t="str">
        <x:v>۱۸-۲. توسعه و استاندارد:</x:v>
      </x:c>
      <x:c r="D1108" s="34" t="str">
        <x:v>POSSIBLE</x:v>
      </x:c>
      <x:c r="E1108" s="34" t="str">
        <x:v>85.5</x:v>
      </x:c>
      <x:c r="F1108" s="34" t="str">
        <x:v>MI-1513</x:v>
      </x:c>
      <x:c r="G1108" s="39" t="str">
        <x:v>تولید و کارآفرینی: توانایی تولید محصول و خدمات و ایجاد شغل.</x:v>
      </x:c>
      <x:c r="H1108" s="39" t="str">
        <x:v>H1</x:v>
      </x:c>
      <x:c r="I1108" s="39" t="str">
        <x:v>P0</x:v>
      </x:c>
      <x:c r="J1108" s="39" t="str">
        <x:v>H1</x:v>
      </x:c>
      <x:c r="K1108" s="39" t="str">
        <x:v>تطبیق احتمالی با پایه</x:v>
      </x:c>
      <x:c r="L1108" s="39" t="str">
        <x:v>MI-1513</x:v>
      </x:c>
      <x:c r="M1108" s="39" t="str">
        <x:v>تولید و کارآفرینی: توانایی تولید محصول و خدمات و ایجاد شغل.</x:v>
      </x:c>
      <x:c r="N1108" s="39" t="str">
        <x:v>1154878548.docx::P1745.1 | 1154878548.docx::P2030.1</x:v>
      </x:c>
      <x:c r="O1108" s="39"/>
    </x:row>
    <x:row r="1109">
      <x:c r="A1109" s="34" t="str">
        <x:v>☐</x:v>
      </x:c>
      <x:c r="B1109" s="34" t="str">
        <x:v>EX-1081</x:v>
      </x:c>
      <x:c r="C1109" s="34" t="str">
        <x:v>مستندسازی نیازهای فناورانه.</x:v>
      </x:c>
      <x:c r="D1109" s="34" t="str">
        <x:v>POSSIBLE</x:v>
      </x:c>
      <x:c r="E1109" s="34" t="str">
        <x:v>88.1</x:v>
      </x:c>
      <x:c r="F1109" s="34" t="str">
        <x:v>MI-0180</x:v>
      </x:c>
      <x:c r="G1109" s="39" t="str">
        <x:v>مستند سازی نیازهای فناورانه صنعتی</x:v>
      </x:c>
      <x:c r="H1109" s="39" t="str">
        <x:v>H18</x:v>
      </x:c>
      <x:c r="I1109" s="39" t="str">
        <x:v>BANK</x:v>
      </x:c>
      <x:c r="J1109" s="39" t="str">
        <x:v>H18</x:v>
      </x:c>
      <x:c r="K1109" s="39" t="str">
        <x:v>تطبیق احتمالی با پایه</x:v>
      </x:c>
      <x:c r="L1109" s="39" t="str">
        <x:v>MI-0180</x:v>
      </x:c>
      <x:c r="M1109" s="39" t="str">
        <x:v>مستند سازی نیازهای فناورانه صنعتی</x:v>
      </x:c>
      <x:c r="N1109" s="39" t="str">
        <x:v>1154878548.docx::P1747.1 | 1154878548.docx::P2032.1 | 1154878548.docx::P2154.1 | 1154878548.docx::P4231.1</x:v>
      </x:c>
      <x:c r="O1109" s="39"/>
    </x:row>
    <x:row r="1110">
      <x:c r="A1110" s="34" t="str">
        <x:v>☐</x:v>
      </x:c>
      <x:c r="B1110" s="34" t="str">
        <x:v>EX-1082</x:v>
      </x:c>
      <x:c r="C1110" s="34" t="str">
        <x:v>HSE (ایمنی و بهداشت).</x:v>
      </x:c>
      <x:c r="D1110" s="34" t="str">
        <x:v>POSSIBLE</x:v>
      </x:c>
      <x:c r="E1110" s="34" t="str">
        <x:v>85.5</x:v>
      </x:c>
      <x:c r="F1110" s="34" t="str">
        <x:v>MI-1513</x:v>
      </x:c>
      <x:c r="G1110" s="39" t="str">
        <x:v>تولید و کارآفرینی: توانایی تولید محصول و خدمات و ایجاد شغل.</x:v>
      </x:c>
      <x:c r="H1110" s="39" t="str">
        <x:v>H1</x:v>
      </x:c>
      <x:c r="I1110" s="39" t="str">
        <x:v>P0</x:v>
      </x:c>
      <x:c r="J1110" s="39" t="str">
        <x:v>H1</x:v>
      </x:c>
      <x:c r="K1110" s="39" t="str">
        <x:v>تطبیق احتمالی با پایه</x:v>
      </x:c>
      <x:c r="L1110" s="39" t="str">
        <x:v>MI-1513</x:v>
      </x:c>
      <x:c r="M1110" s="39" t="str">
        <x:v>تولید و کارآفرینی: توانایی تولید محصول و خدمات و ایجاد شغل.</x:v>
      </x:c>
      <x:c r="N1110" s="39" t="str">
        <x:v>1154878548.docx::P1748.1 | 1154878548.docx::P2033.1 | 1154878548.docx::P2155.1</x:v>
      </x:c>
      <x:c r="O1110" s="39"/>
    </x:row>
    <x:row r="1111">
      <x:c r="A1111" s="34" t="str">
        <x:v>☐</x:v>
      </x:c>
      <x:c r="B1111" s="34" t="str">
        <x:v>EX-1083</x:v>
      </x:c>
      <x:c r="C1111" s="34" t="str">
        <x:v>ISO/TS (الزامات استاندارد).</x:v>
      </x:c>
      <x:c r="D1111" s="34" t="str">
        <x:v>POSSIBLE</x:v>
      </x:c>
      <x:c r="E1111" s="34" t="str">
        <x:v>85.5</x:v>
      </x:c>
      <x:c r="F1111" s="34" t="str">
        <x:v>MI-1362</x:v>
      </x:c>
      <x:c r="G1111" s="39" t="str">
        <x:v>در ادامه، هفت کد مورد قبول در طبقه بندی استاندارد پلاستیک، به همراه اطلاعات بازیافت و استفاده مجدد برای هر یک از آن ها آورده شده است.</x:v>
      </x:c>
      <x:c r="H1111" s="39" t="str">
        <x:v>H12</x:v>
      </x:c>
      <x:c r="I1111" s="39" t="str">
        <x:v>P2</x:v>
      </x:c>
      <x:c r="J1111" s="39" t="str">
        <x:v>H12</x:v>
      </x:c>
      <x:c r="K1111" s="39" t="str">
        <x:v>تطبیق احتمالی با پایه</x:v>
      </x:c>
      <x:c r="L1111" s="39" t="str">
        <x:v>MI-1362</x:v>
      </x:c>
      <x:c r="M1111" s="39" t="str">
        <x:v>در ادامه، هفت کد مورد قبول در طبقه بندی استاندارد پلاستیک، به همراه اطلاعات بازیافت و استفاده مجدد برای هر یک از آن ها آورده شده است.</x:v>
      </x:c>
      <x:c r="N1111" s="39" t="str">
        <x:v>1154878548.docx::P1749.1 | 1154878548.docx::P2034.1 | 1154878548.docx::P2156.1</x:v>
      </x:c>
      <x:c r="O1111" s="39"/>
    </x:row>
    <x:row r="1112">
      <x:c r="A1112" s="34" t="str">
        <x:v>☐</x:v>
      </x:c>
      <x:c r="B1112" s="34" t="str">
        <x:v>EX-1084</x:v>
      </x:c>
      <x:c r="C1112" s="34" t="str">
        <x:v>۱۸-۳. پروژه عملیاتی: پروژه الک سه فازی.</x:v>
      </x:c>
      <x:c r="D1112" s="34" t="str">
        <x:v>POSSIBLE</x:v>
      </x:c>
      <x:c r="E1112" s="34" t="str">
        <x:v>90.0</x:v>
      </x:c>
      <x:c r="F1112" s="34" t="str">
        <x:v>MI-0089</x:v>
      </x:c>
      <x:c r="G1112" s="39" t="str">
        <x:v>پروژه الک سه فازی</x:v>
      </x:c>
      <x:c r="H1112" s="39" t="str">
        <x:v>H23</x:v>
      </x:c>
      <x:c r="I1112" s="39" t="str">
        <x:v>P3/CLARIFY</x:v>
      </x:c>
      <x:c r="J1112" s="39" t="str">
        <x:v>H23</x:v>
      </x:c>
      <x:c r="K1112" s="39" t="str">
        <x:v>تطبیق احتمالی با پایه</x:v>
      </x:c>
      <x:c r="L1112" s="39" t="str">
        <x:v>MI-0089</x:v>
      </x:c>
      <x:c r="M1112" s="39" t="str">
        <x:v>پروژه الک سه فازی</x:v>
      </x:c>
      <x:c r="N1112" s="39" t="str">
        <x:v>1154878548.docx::P1750.1 | 1154878548.docx::P2035.1</x:v>
      </x:c>
      <x:c r="O1112" s="39"/>
    </x:row>
    <x:row r="1113">
      <x:c r="A1113" s="34" t="str">
        <x:v>☐</x:v>
      </x:c>
      <x:c r="B1113" s="34" t="str">
        <x:v>EX-1085</x:v>
      </x:c>
      <x:c r="C1113" s="34" t="str">
        <x:v>۱۹. پروژههای استارتاپی و پلتفرمها (Startups &amp; Platforms)</x:v>
      </x:c>
      <x:c r="D1113" s="34" t="str">
        <x:v>POSSIBLE</x:v>
      </x:c>
      <x:c r="E1113" s="34" t="str">
        <x:v>85.5</x:v>
      </x:c>
      <x:c r="F1113" s="34" t="str">
        <x:v>MI-0029</x:v>
      </x:c>
      <x:c r="G1113" s="39" t="str">
        <x:v>تدریس ریاضی و فیزیک</x:v>
      </x:c>
      <x:c r="H1113" s="39" t="str">
        <x:v>H1</x:v>
      </x:c>
      <x:c r="I1113" s="39" t="str">
        <x:v>P0</x:v>
      </x:c>
      <x:c r="J1113" s="39" t="str">
        <x:v>H1</x:v>
      </x:c>
      <x:c r="K1113" s="39" t="str">
        <x:v>تطبیق احتمالی با پایه</x:v>
      </x:c>
      <x:c r="L1113" s="39" t="str">
        <x:v>MI-0029</x:v>
      </x:c>
      <x:c r="M1113" s="39" t="str">
        <x:v>تدریس ریاضی و فیزیک</x:v>
      </x:c>
      <x:c r="N1113" s="39" t="str">
        <x:v>1154878548.docx::P1751.1 | 1154878548.docx::P2036.1</x:v>
      </x:c>
      <x:c r="O1113" s="39"/>
    </x:row>
    <x:row r="1114">
      <x:c r="A1114" s="34" t="str">
        <x:v>☐</x:v>
      </x:c>
      <x:c r="B1114" s="34" t="str">
        <x:v>EX-1086</x:v>
      </x:c>
      <x:c r="C1114" s="34" t="str">
        <x:v>فصل جدید: ایدههای اجرایی مشخص</x:v>
      </x:c>
      <x:c r="D1114" s="34" t="str">
        <x:v>POSSIBLE</x:v>
      </x:c>
      <x:c r="E1114" s="34" t="str">
        <x:v>90.0</x:v>
      </x:c>
      <x:c r="F1114" s="34" t="str">
        <x:v>MI-2974</x:v>
      </x:c>
      <x:c r="G1114" s="39" t="str">
        <x:v>ایده</x:v>
      </x:c>
      <x:c r="H1114" s="39" t="str">
        <x:v>H20</x:v>
      </x:c>
      <x:c r="I1114" s="39" t="str">
        <x:v>P3/CLARIFY</x:v>
      </x:c>
      <x:c r="J1114" s="39" t="str">
        <x:v>H20</x:v>
      </x:c>
      <x:c r="K1114" s="39" t="str">
        <x:v>تطبیق احتمالی با پایه</x:v>
      </x:c>
      <x:c r="L1114" s="39" t="str">
        <x:v>MI-2974</x:v>
      </x:c>
      <x:c r="M1114" s="39" t="str">
        <x:v>ایده</x:v>
      </x:c>
      <x:c r="N1114" s="39" t="str">
        <x:v>1154878548.docx::P1752.1 | 1154878548.docx::P2037.1</x:v>
      </x:c>
      <x:c r="O1114" s="39"/>
    </x:row>
    <x:row r="1115">
      <x:c r="A1115" s="34" t="str">
        <x:v>☐</x:v>
      </x:c>
      <x:c r="B1115" s="34" t="str">
        <x:v>EX-1087</x:v>
      </x:c>
      <x:c r="C1115" s="34" t="str">
        <x:v>۱۹-۱. دیجیتال:</x:v>
      </x:c>
      <x:c r="D1115" s="34" t="str">
        <x:v>POSSIBLE</x:v>
      </x:c>
      <x:c r="E1115" s="34" t="str">
        <x:v>85.5</x:v>
      </x:c>
      <x:c r="F1115" s="34" t="str">
        <x:v>MI-1473</x:v>
      </x:c>
      <x:c r="G1115" s="39" t="str">
        <x:v>مهارت های فنی و دیجیتال</x:v>
      </x:c>
      <x:c r="H1115" s="39" t="str">
        <x:v>H1</x:v>
      </x:c>
      <x:c r="I1115" s="39" t="str">
        <x:v>P0</x:v>
      </x:c>
      <x:c r="J1115" s="39" t="str">
        <x:v>H1</x:v>
      </x:c>
      <x:c r="K1115" s="39" t="str">
        <x:v>تطبیق احتمالی با پایه</x:v>
      </x:c>
      <x:c r="L1115" s="39" t="str">
        <x:v>MI-1473</x:v>
      </x:c>
      <x:c r="M1115" s="39" t="str">
        <x:v>مهارت های فنی و دیجیتال</x:v>
      </x:c>
      <x:c r="N1115" s="39" t="str">
        <x:v>1154878548.docx::P1753.1 | 1154878548.docx::P2038.1</x:v>
      </x:c>
      <x:c r="O1115" s="39"/>
    </x:row>
    <x:row r="1116">
      <x:c r="A1116" s="34" t="str">
        <x:v>☐</x:v>
      </x:c>
      <x:c r="B1116" s="34" t="str">
        <x:v>EX-1088</x:v>
      </x:c>
      <x:c r="C1116" s="34" t="str">
        <x:v>سامانه «مسیر دانشجو تا شغل».</x:v>
      </x:c>
      <x:c r="D1116" s="34" t="str">
        <x:v>POSSIBLE</x:v>
      </x:c>
      <x:c r="E1116" s="34" t="str">
        <x:v>90.0</x:v>
      </x:c>
      <x:c r="F1116" s="34" t="str">
        <x:v>MI-1192</x:v>
      </x:c>
      <x:c r="G1116" s="39" t="str">
        <x:v>سامان</x:v>
      </x:c>
      <x:c r="H1116" s="39" t="str">
        <x:v>H11</x:v>
      </x:c>
      <x:c r="I1116" s="39" t="str">
        <x:v>DELEGATE/P2</x:v>
      </x:c>
      <x:c r="J1116" s="39" t="str">
        <x:v>H11</x:v>
      </x:c>
      <x:c r="K1116" s="39" t="str">
        <x:v>تطبیق احتمالی با پایه</x:v>
      </x:c>
      <x:c r="L1116" s="39" t="str">
        <x:v>MI-1192</x:v>
      </x:c>
      <x:c r="M1116" s="39" t="str">
        <x:v>سامان</x:v>
      </x:c>
      <x:c r="N1116" s="39" t="str">
        <x:v>1154878548.docx::P1754.1 | 1154878548.docx::P2039.1 | 1154878548.docx::P2195.1</x:v>
      </x:c>
      <x:c r="O1116" s="39"/>
    </x:row>
    <x:row r="1117">
      <x:c r="A1117" s="34" t="str">
        <x:v>☐</x:v>
      </x:c>
      <x:c r="B1117" s="34" t="str">
        <x:v>EX-1089</x:v>
      </x:c>
      <x:c r="C1117" s="34" t="str">
        <x:v>راهاندازی سایت و گروههای مجازی (شجامث).</x:v>
      </x:c>
      <x:c r="D1117" s="34" t="str">
        <x:v>POSSIBLE</x:v>
      </x:c>
      <x:c r="E1117" s="34" t="str">
        <x:v>85.5</x:v>
      </x:c>
      <x:c r="F1117" s="34" t="str">
        <x:v>MI-1513</x:v>
      </x:c>
      <x:c r="G1117" s="39" t="str">
        <x:v>تولید و کارآفرینی: توانایی تولید محصول و خدمات و ایجاد شغل.</x:v>
      </x:c>
      <x:c r="H1117" s="39" t="str">
        <x:v>H1</x:v>
      </x:c>
      <x:c r="I1117" s="39" t="str">
        <x:v>P0</x:v>
      </x:c>
      <x:c r="J1117" s="39" t="str">
        <x:v>H1</x:v>
      </x:c>
      <x:c r="K1117" s="39" t="str">
        <x:v>تطبیق احتمالی با پایه</x:v>
      </x:c>
      <x:c r="L1117" s="39" t="str">
        <x:v>MI-1513</x:v>
      </x:c>
      <x:c r="M1117" s="39" t="str">
        <x:v>تولید و کارآفرینی: توانایی تولید محصول و خدمات و ایجاد شغل.</x:v>
      </x:c>
      <x:c r="N1117" s="39" t="str">
        <x:v>1154878548.docx::P1755.1 | 1154878548.docx::P2040.1 | 1154878548.docx::P2193.1</x:v>
      </x:c>
      <x:c r="O1117" s="39"/>
    </x:row>
    <x:row r="1118">
      <x:c r="A1118" s="34" t="str">
        <x:v>☐</x:v>
      </x:c>
      <x:c r="B1118" s="34" t="str">
        <x:v>EX-1090</x:v>
      </x:c>
      <x:c r="C1118" s="34" t="str">
        <x:v>۱۹-۲. مفاهیم:</x:v>
      </x:c>
      <x:c r="D1118" s="34" t="str">
        <x:v>POSSIBLE</x:v>
      </x:c>
      <x:c r="E1118" s="34" t="str">
        <x:v>85.5</x:v>
      </x:c>
      <x:c r="F1118" s="34" t="str">
        <x:v>MI-1510</x:v>
      </x:c>
      <x:c r="G1118" s="39" t="str">
        <x:v>دانش مالی: درک مفاهیم مالی، آشنایی با انواع سرمایه گذاری ها.</x:v>
      </x:c>
      <x:c r="H1118" s="39" t="str">
        <x:v>H1</x:v>
      </x:c>
      <x:c r="I1118" s="39" t="str">
        <x:v>P0</x:v>
      </x:c>
      <x:c r="J1118" s="39" t="str">
        <x:v>H1</x:v>
      </x:c>
      <x:c r="K1118" s="39" t="str">
        <x:v>تطبیق احتمالی با پایه</x:v>
      </x:c>
      <x:c r="L1118" s="39" t="str">
        <x:v>MI-1510</x:v>
      </x:c>
      <x:c r="M1118" s="39" t="str">
        <x:v>دانش مالی: درک مفاهیم مالی، آشنایی با انواع سرمایه گذاری ها.</x:v>
      </x:c>
      <x:c r="N1118" s="39" t="str">
        <x:v>1154878548.docx::P1756.1 | 1154878548.docx::P2041.1</x:v>
      </x:c>
      <x:c r="O1118" s="39"/>
    </x:row>
    <x:row r="1119">
      <x:c r="A1119" s="34" t="str">
        <x:v>☐</x:v>
      </x:c>
      <x:c r="B1119" s="34" t="str">
        <x:v>EX-1091</x:v>
      </x:c>
      <x:c r="C1119" s="34" t="str">
        <x:v>آشنایی با مفاهیم استارتاپی.</x:v>
      </x:c>
      <x:c r="D1119" s="34" t="str">
        <x:v>POSSIBLE</x:v>
      </x:c>
      <x:c r="E1119" s="34" t="str">
        <x:v>90.0</x:v>
      </x:c>
      <x:c r="F1119" s="34" t="str">
        <x:v>MI-0018</x:v>
      </x:c>
      <x:c r="G1119" s="39" t="str">
        <x:v>آشنایی با مفاهیم استارتاپی و کسب و کار و دیجیتال مارکتینگ</x:v>
      </x:c>
      <x:c r="H1119" s="39" t="str">
        <x:v>H8</x:v>
      </x:c>
      <x:c r="I1119" s="39" t="str">
        <x:v>P2</x:v>
      </x:c>
      <x:c r="J1119" s="39" t="str">
        <x:v>H8</x:v>
      </x:c>
      <x:c r="K1119" s="39" t="str">
        <x:v>تطبیق احتمالی با پایه</x:v>
      </x:c>
      <x:c r="L1119" s="39" t="str">
        <x:v>MI-0018</x:v>
      </x:c>
      <x:c r="M1119" s="39" t="str">
        <x:v>آشنایی با مفاهیم استارتاپی و کسب و کار و دیجیتال مارکتینگ</x:v>
      </x:c>
      <x:c r="N1119" s="39" t="str">
        <x:v>1154878548.docx::P1757.1 | 1154878548.docx::P2042.1 | 1154878548.docx::P2120.1</x:v>
      </x:c>
      <x:c r="O1119" s="39"/>
    </x:row>
    <x:row r="1120">
      <x:c r="A1120" s="34" t="str">
        <x:v>☐</x:v>
      </x:c>
      <x:c r="B1120" s="34" t="str">
        <x:v>EX-1092</x:v>
      </x:c>
      <x:c r="C1120" s="34" t="str">
        <x:v>تصمیمگیری و خطمشیگذاری محصول.</x:v>
      </x:c>
      <x:c r="D1120" s="34" t="str">
        <x:v>POSSIBLE</x:v>
      </x:c>
      <x:c r="E1120" s="34" t="str">
        <x:v>90.0</x:v>
      </x:c>
      <x:c r="F1120" s="34" t="str">
        <x:v>MI-2142</x:v>
      </x:c>
      <x:c r="G1120" s="39" t="str">
        <x:v>محصول</x:v>
      </x:c>
      <x:c r="H1120" s="39" t="str">
        <x:v>H20</x:v>
      </x:c>
      <x:c r="I1120" s="39" t="str">
        <x:v>P3/CLARIFY</x:v>
      </x:c>
      <x:c r="J1120" s="39" t="str">
        <x:v>H20</x:v>
      </x:c>
      <x:c r="K1120" s="39" t="str">
        <x:v>تطبیق احتمالی با پایه</x:v>
      </x:c>
      <x:c r="L1120" s="39" t="str">
        <x:v>MI-2142</x:v>
      </x:c>
      <x:c r="M1120" s="39" t="str">
        <x:v>محصول</x:v>
      </x:c>
      <x:c r="N1120" s="39" t="str">
        <x:v>1154878548.docx::P1758.1 | 1154878548.docx::P2043.1</x:v>
      </x:c>
      <x:c r="O1120" s="39"/>
    </x:row>
    <x:row r="1121">
      <x:c r="A1121" s="34" t="str">
        <x:v>☐</x:v>
      </x:c>
      <x:c r="B1121" s="34" t="str">
        <x:v>EX-1093</x:v>
      </x:c>
      <x:c r="C1121" s="34" t="str">
        <x:v>دانش محصول و عوامل موفقیت.</x:v>
      </x:c>
      <x:c r="D1121" s="34" t="str">
        <x:v>POSSIBLE</x:v>
      </x:c>
      <x:c r="E1121" s="34" t="str">
        <x:v>90.0</x:v>
      </x:c>
      <x:c r="F1121" s="34" t="str">
        <x:v>MI-2142</x:v>
      </x:c>
      <x:c r="G1121" s="39" t="str">
        <x:v>محصول</x:v>
      </x:c>
      <x:c r="H1121" s="39" t="str">
        <x:v>H20</x:v>
      </x:c>
      <x:c r="I1121" s="39" t="str">
        <x:v>P3/CLARIFY</x:v>
      </x:c>
      <x:c r="J1121" s="39" t="str">
        <x:v>H20</x:v>
      </x:c>
      <x:c r="K1121" s="39" t="str">
        <x:v>تطبیق احتمالی با پایه</x:v>
      </x:c>
      <x:c r="L1121" s="39" t="str">
        <x:v>MI-2142</x:v>
      </x:c>
      <x:c r="M1121" s="39" t="str">
        <x:v>محصول</x:v>
      </x:c>
      <x:c r="N1121" s="39" t="str">
        <x:v>1154878548.docx::P1759.1 | 1154878548.docx::P2044.1</x:v>
      </x:c>
      <x:c r="O1121" s="39"/>
    </x:row>
    <x:row r="1122">
      <x:c r="A1122" s="34" t="str">
        <x:v>☐</x:v>
      </x:c>
      <x:c r="B1122" s="34" t="str">
        <x:v>EX-1094</x:v>
      </x:c>
      <x:c r="C1122" s="34" t="str">
        <x:v>پروپوزال سایت صنفی (بایگانی درسی، ارتباط با مسئولین).</x:v>
      </x:c>
      <x:c r="D1122" s="34" t="str">
        <x:v>POSSIBLE</x:v>
      </x:c>
      <x:c r="E1122" s="34" t="str">
        <x:v>90.0</x:v>
      </x:c>
      <x:c r="F1122" s="34" t="str">
        <x:v>MI-0843</x:v>
      </x:c>
      <x:c r="G1122" s="39" t="str">
        <x:v>سایت صنفی</x:v>
      </x:c>
      <x:c r="H1122" s="39" t="str">
        <x:v>H18</x:v>
      </x:c>
      <x:c r="I1122" s="39" t="str">
        <x:v>BANK</x:v>
      </x:c>
      <x:c r="J1122" s="39" t="str">
        <x:v>H18</x:v>
      </x:c>
      <x:c r="K1122" s="39" t="str">
        <x:v>تطبیق احتمالی با پایه</x:v>
      </x:c>
      <x:c r="L1122" s="39" t="str">
        <x:v>MI-0843</x:v>
      </x:c>
      <x:c r="M1122" s="39" t="str">
        <x:v>سایت صنفی</x:v>
      </x:c>
      <x:c r="N1122" s="39" t="str">
        <x:v>1154878548.docx::P1761.1 | 1154878548.docx::P2046.1</x:v>
      </x:c>
      <x:c r="O1122" s="39"/>
    </x:row>
    <x:row r="1123">
      <x:c r="A1123" s="34" t="str">
        <x:v>☐</x:v>
      </x:c>
      <x:c r="B1123" s="34" t="str">
        <x:v>EX-1095</x:v>
      </x:c>
      <x:c r="C1123" s="34" t="str">
        <x:v>طرح سامانه «گمشدگان» (Lost &amp; Found).</x:v>
      </x:c>
      <x:c r="D1123" s="34" t="str">
        <x:v>POSSIBLE</x:v>
      </x:c>
      <x:c r="E1123" s="34" t="str">
        <x:v>90.0</x:v>
      </x:c>
      <x:c r="F1123" s="34" t="str">
        <x:v>MI-1192</x:v>
      </x:c>
      <x:c r="G1123" s="39" t="str">
        <x:v>سامان</x:v>
      </x:c>
      <x:c r="H1123" s="39" t="str">
        <x:v>H11</x:v>
      </x:c>
      <x:c r="I1123" s="39" t="str">
        <x:v>DELEGATE/P2</x:v>
      </x:c>
      <x:c r="J1123" s="39" t="str">
        <x:v>H11</x:v>
      </x:c>
      <x:c r="K1123" s="39" t="str">
        <x:v>تطبیق احتمالی با پایه</x:v>
      </x:c>
      <x:c r="L1123" s="39" t="str">
        <x:v>MI-1192</x:v>
      </x:c>
      <x:c r="M1123" s="39" t="str">
        <x:v>سامان</x:v>
      </x:c>
      <x:c r="N1123" s="39" t="str">
        <x:v>1154878548.docx::P1763.1 | 1154878548.docx::P2048.1</x:v>
      </x:c>
      <x:c r="O1123" s="39"/>
    </x:row>
    <x:row r="1124">
      <x:c r="A1124" s="34" t="str">
        <x:v>☐</x:v>
      </x:c>
      <x:c r="B1124" s="34" t="str">
        <x:v>EX-1096</x:v>
      </x:c>
      <x:c r="C1124" s="34" t="str">
        <x:v>۲۰. لجستیک شخصی و عمومی (Personal Logistics)</x:v>
      </x:c>
      <x:c r="D1124" s="34" t="str">
        <x:v>POSSIBLE</x:v>
      </x:c>
      <x:c r="E1124" s="34" t="str">
        <x:v>90.0</x:v>
      </x:c>
      <x:c r="F1124" s="34" t="str">
        <x:v>MI-2980</x:v>
      </x:c>
      <x:c r="G1124" s="39" t="str">
        <x:v>لجستیک</x:v>
      </x:c>
      <x:c r="H1124" s="39" t="str">
        <x:v>H6</x:v>
      </x:c>
      <x:c r="I1124" s="39" t="str">
        <x:v>P3/CLARIFY</x:v>
      </x:c>
      <x:c r="J1124" s="39" t="str">
        <x:v>H6</x:v>
      </x:c>
      <x:c r="K1124" s="39" t="str">
        <x:v>تطبیق احتمالی با پایه</x:v>
      </x:c>
      <x:c r="L1124" s="39" t="str">
        <x:v>MI-2980</x:v>
      </x:c>
      <x:c r="M1124" s="39" t="str">
        <x:v>لجستیک</x:v>
      </x:c>
      <x:c r="N1124" s="39" t="str">
        <x:v>1154878548.docx::P1764.1 | 1154878548.docx::P2049.1</x:v>
      </x:c>
      <x:c r="O1124" s="39"/>
    </x:row>
    <x:row r="1125">
      <x:c r="A1125" s="34" t="str">
        <x:v>☐</x:v>
      </x:c>
      <x:c r="B1125" s="34" t="str">
        <x:v>EX-1097</x:v>
      </x:c>
      <x:c r="C1125" s="34" t="str">
        <x:v>فصل جدید: مهارتهای عمومی و پشتیبانی زندگی</x:v>
      </x:c>
      <x:c r="D1125" s="34" t="str">
        <x:v>POSSIBLE</x:v>
      </x:c>
      <x:c r="E1125" s="34" t="str">
        <x:v>90.0</x:v>
      </x:c>
      <x:c r="F1125" s="34" t="str">
        <x:v>MI-0596</x:v>
      </x:c>
      <x:c r="G1125" s="39" t="str">
        <x:v>زندگی</x:v>
      </x:c>
      <x:c r="H1125" s="39" t="str">
        <x:v>H18</x:v>
      </x:c>
      <x:c r="I1125" s="39" t="str">
        <x:v>BANK</x:v>
      </x:c>
      <x:c r="J1125" s="39" t="str">
        <x:v>H18</x:v>
      </x:c>
      <x:c r="K1125" s="39" t="str">
        <x:v>تطبیق احتمالی با پایه</x:v>
      </x:c>
      <x:c r="L1125" s="39" t="str">
        <x:v>MI-0596</x:v>
      </x:c>
      <x:c r="M1125" s="39" t="str">
        <x:v>زندگی</x:v>
      </x:c>
      <x:c r="N1125" s="39" t="str">
        <x:v>1154878548.docx::P1765.1 | 1154878548.docx::P2050.1</x:v>
      </x:c>
      <x:c r="O1125" s="39"/>
    </x:row>
    <x:row r="1126">
      <x:c r="A1126" s="34" t="str">
        <x:v>☐</x:v>
      </x:c>
      <x:c r="B1126" s="34" t="str">
        <x:v>EX-1098</x:v>
      </x:c>
      <x:c r="C1126" s="34" t="str">
        <x:v>۲۰-۱. مدارک و گواهینامهها:</x:v>
      </x:c>
      <x:c r="D1126" s="34" t="str">
        <x:v>POSSIBLE</x:v>
      </x:c>
      <x:c r="E1126" s="34" t="str">
        <x:v>85.5</x:v>
      </x:c>
      <x:c r="F1126" s="34" t="str">
        <x:v>MI-1513</x:v>
      </x:c>
      <x:c r="G1126" s="39" t="str">
        <x:v>تولید و کارآفرینی: توانایی تولید محصول و خدمات و ایجاد شغل.</x:v>
      </x:c>
      <x:c r="H1126" s="39" t="str">
        <x:v>H1</x:v>
      </x:c>
      <x:c r="I1126" s="39" t="str">
        <x:v>P0</x:v>
      </x:c>
      <x:c r="J1126" s="39" t="str">
        <x:v>H1</x:v>
      </x:c>
      <x:c r="K1126" s="39" t="str">
        <x:v>تطبیق احتمالی با پایه</x:v>
      </x:c>
      <x:c r="L1126" s="39" t="str">
        <x:v>MI-1513</x:v>
      </x:c>
      <x:c r="M1126" s="39" t="str">
        <x:v>تولید و کارآفرینی: توانایی تولید محصول و خدمات و ایجاد شغل.</x:v>
      </x:c>
      <x:c r="N1126" s="39" t="str">
        <x:v>1154878548.docx::P1766.1 | 1154878548.docx::P2051.1</x:v>
      </x:c>
      <x:c r="O1126" s="39"/>
    </x:row>
    <x:row r="1127">
      <x:c r="A1127" s="34" t="str">
        <x:v>☐</x:v>
      </x:c>
      <x:c r="B1127" s="34" t="str">
        <x:v>EX-1099</x:v>
      </x:c>
      <x:c r="C1127" s="34" t="str">
        <x:v>ICDL (تایپ و جستجوی سریع).</x:v>
      </x:c>
      <x:c r="D1127" s="34" t="str">
        <x:v>POSSIBLE</x:v>
      </x:c>
      <x:c r="E1127" s="34" t="str">
        <x:v>85.5</x:v>
      </x:c>
      <x:c r="F1127" s="34" t="str">
        <x:v>MI-1513</x:v>
      </x:c>
      <x:c r="G1127" s="39" t="str">
        <x:v>تولید و کارآفرینی: توانایی تولید محصول و خدمات و ایجاد شغل.</x:v>
      </x:c>
      <x:c r="H1127" s="39" t="str">
        <x:v>H1</x:v>
      </x:c>
      <x:c r="I1127" s="39" t="str">
        <x:v>P0</x:v>
      </x:c>
      <x:c r="J1127" s="39" t="str">
        <x:v>H1</x:v>
      </x:c>
      <x:c r="K1127" s="39" t="str">
        <x:v>تطبیق احتمالی با پایه</x:v>
      </x:c>
      <x:c r="L1127" s="39" t="str">
        <x:v>MI-1513</x:v>
      </x:c>
      <x:c r="M1127" s="39" t="str">
        <x:v>تولید و کارآفرینی: توانایی تولید محصول و خدمات و ایجاد شغل.</x:v>
      </x:c>
      <x:c r="N1127" s="39" t="str">
        <x:v>1154878548.docx::P1767.1 | 1154878548.docx::P2052.1</x:v>
      </x:c>
      <x:c r="O1127" s="39"/>
    </x:row>
    <x:row r="1128">
      <x:c r="A1128" s="34" t="str">
        <x:v>☐</x:v>
      </x:c>
      <x:c r="B1128" s="34" t="str">
        <x:v>EX-1100</x:v>
      </x:c>
      <x:c r="C1128" s="34" t="str">
        <x:v>تکنسین داروخانه و تزریقات.</x:v>
      </x:c>
      <x:c r="D1128" s="34" t="str">
        <x:v>POSSIBLE</x:v>
      </x:c>
      <x:c r="E1128" s="34" t="str">
        <x:v>85.5</x:v>
      </x:c>
      <x:c r="F1128" s="34" t="str">
        <x:v>MI-1513</x:v>
      </x:c>
      <x:c r="G1128" s="39" t="str">
        <x:v>تولید و کارآفرینی: توانایی تولید محصول و خدمات و ایجاد شغل.</x:v>
      </x:c>
      <x:c r="H1128" s="39" t="str">
        <x:v>H1</x:v>
      </x:c>
      <x:c r="I1128" s="39" t="str">
        <x:v>P0</x:v>
      </x:c>
      <x:c r="J1128" s="39" t="str">
        <x:v>H1</x:v>
      </x:c>
      <x:c r="K1128" s="39" t="str">
        <x:v>تطبیق احتمالی با پایه</x:v>
      </x:c>
      <x:c r="L1128" s="39" t="str">
        <x:v>MI-1513</x:v>
      </x:c>
      <x:c r="M1128" s="39" t="str">
        <x:v>تولید و کارآفرینی: توانایی تولید محصول و خدمات و ایجاد شغل.</x:v>
      </x:c>
      <x:c r="N1128" s="39" t="str">
        <x:v>1154878548.docx::P1768.1 | 1154878548.docx::P2053.1 | 1154878548.docx::P2255.1</x:v>
      </x:c>
      <x:c r="O1128" s="39"/>
    </x:row>
    <x:row r="1129">
      <x:c r="A1129" s="34" t="str">
        <x:v>☐</x:v>
      </x:c>
      <x:c r="B1129" s="34" t="str">
        <x:v>EX-1101</x:v>
      </x:c>
      <x:c r="C1129" s="34" t="str">
        <x:v>گواهینامه رانندگی پایه ۱.</x:v>
      </x:c>
      <x:c r="D1129" s="34" t="str">
        <x:v>POSSIBLE</x:v>
      </x:c>
      <x:c r="E1129" s="34" t="str">
        <x:v>85.5</x:v>
      </x:c>
      <x:c r="F1129" s="34" t="str">
        <x:v>MI-0958</x:v>
      </x:c>
      <x:c r="G1129" s="39" t="str">
        <x:v>فضاسازی دانشکده ها مثلا گلدان های آویز به دیوار های دانشکده علوم پایه شیمی و صنایع</x:v>
      </x:c>
      <x:c r="H1129" s="39" t="str">
        <x:v>H11</x:v>
      </x:c>
      <x:c r="I1129" s="39" t="str">
        <x:v>DELEGATE/P2</x:v>
      </x:c>
      <x:c r="J1129" s="39" t="str">
        <x:v>H11</x:v>
      </x:c>
      <x:c r="K1129" s="39" t="str">
        <x:v>تطبیق احتمالی با پایه</x:v>
      </x:c>
      <x:c r="L1129" s="39" t="str">
        <x:v>MI-0958</x:v>
      </x:c>
      <x:c r="M1129" s="39" t="str">
        <x:v>فضاسازی دانشکده ها مثلا گلدان های آویز به دیوار های دانشکده علوم پایه شیمی و صنایع</x:v>
      </x:c>
      <x:c r="N1129" s="39" t="str">
        <x:v>1154878548.docx::P1769.1 | 1154878548.docx::P2054.1</x:v>
      </x:c>
      <x:c r="O1129" s="39"/>
    </x:row>
    <x:row r="1130">
      <x:c r="A1130" s="34" t="str">
        <x:v>☐</x:v>
      </x:c>
      <x:c r="B1130" s="34" t="str">
        <x:v>EX-1102</x:v>
      </x:c>
      <x:c r="C1130" s="34" t="str">
        <x:v>۲۰-۲. سفر و تفریح:</x:v>
      </x:c>
      <x:c r="D1130" s="34" t="str">
        <x:v>POSSIBLE</x:v>
      </x:c>
      <x:c r="E1130" s="34" t="str">
        <x:v>85.5</x:v>
      </x:c>
      <x:c r="F1130" s="34" t="str">
        <x:v>MI-1513</x:v>
      </x:c>
      <x:c r="G1130" s="39" t="str">
        <x:v>تولید و کارآفرینی: توانایی تولید محصول و خدمات و ایجاد شغل.</x:v>
      </x:c>
      <x:c r="H1130" s="39" t="str">
        <x:v>H1</x:v>
      </x:c>
      <x:c r="I1130" s="39" t="str">
        <x:v>P0</x:v>
      </x:c>
      <x:c r="J1130" s="39" t="str">
        <x:v>H1</x:v>
      </x:c>
      <x:c r="K1130" s="39" t="str">
        <x:v>تطبیق احتمالی با پایه</x:v>
      </x:c>
      <x:c r="L1130" s="39" t="str">
        <x:v>MI-1513</x:v>
      </x:c>
      <x:c r="M1130" s="39" t="str">
        <x:v>تولید و کارآفرینی: توانایی تولید محصول و خدمات و ایجاد شغل.</x:v>
      </x:c>
      <x:c r="N1130" s="39" t="str">
        <x:v>1154878548.docx::P1771.1 | 1154878548.docx::P2056.1</x:v>
      </x:c>
      <x:c r="O1130" s="39"/>
    </x:row>
    <x:row r="1131">
      <x:c r="A1131" s="34" t="str">
        <x:v>☐</x:v>
      </x:c>
      <x:c r="B1131" s="34" t="str">
        <x:v>EX-1103</x:v>
      </x:c>
      <x:c r="C1131" s="34" t="str">
        <x:v>سفر به ترکیه و دبی (جهت تجربه میدانی و زبان).</x:v>
      </x:c>
      <x:c r="D1131" s="34" t="str">
        <x:v>POSSIBLE</x:v>
      </x:c>
      <x:c r="E1131" s="34" t="str">
        <x:v>90.0</x:v>
      </x:c>
      <x:c r="F1131" s="34" t="str">
        <x:v>MI-0043</x:v>
      </x:c>
      <x:c r="G1131" s="39" t="str">
        <x:v>سفر به ترکیه</x:v>
      </x:c>
      <x:c r="H1131" s="39" t="str">
        <x:v>H17</x:v>
      </x:c>
      <x:c r="I1131" s="39" t="str">
        <x:v>P3</x:v>
      </x:c>
      <x:c r="J1131" s="39" t="str">
        <x:v>H17</x:v>
      </x:c>
      <x:c r="K1131" s="39" t="str">
        <x:v>تطبیق احتمالی با پایه</x:v>
      </x:c>
      <x:c r="L1131" s="39" t="str">
        <x:v>MI-0043</x:v>
      </x:c>
      <x:c r="M1131" s="39" t="str">
        <x:v>سفر به ترکیه</x:v>
      </x:c>
      <x:c r="N1131" s="39" t="str">
        <x:v>1154878548.docx::P1772.1 | 1154878548.docx::P2057.1</x:v>
      </x:c>
      <x:c r="O1131" s="39"/>
    </x:row>
    <x:row r="1132">
      <x:c r="A1132" s="34" t="str">
        <x:v>☐</x:v>
      </x:c>
      <x:c r="B1132" s="34" t="str">
        <x:v>EX-1104</x:v>
      </x:c>
      <x:c r="C1132" s="34" t="str">
        <x:v>پارت اخبار (درون و برون دانشگاهی).</x:v>
      </x:c>
      <x:c r="D1132" s="34" t="str">
        <x:v>POSSIBLE</x:v>
      </x:c>
      <x:c r="E1132" s="34" t="str">
        <x:v>90.0</x:v>
      </x:c>
      <x:c r="F1132" s="34" t="str">
        <x:v>MI-0233</x:v>
      </x:c>
      <x:c r="G1132" s="39" t="str">
        <x:v>برون دانشگاهی</x:v>
      </x:c>
      <x:c r="H1132" s="39" t="str">
        <x:v>H11</x:v>
      </x:c>
      <x:c r="I1132" s="39" t="str">
        <x:v>DELEGATE/P2</x:v>
      </x:c>
      <x:c r="J1132" s="39" t="str">
        <x:v>H11</x:v>
      </x:c>
      <x:c r="K1132" s="39" t="str">
        <x:v>تطبیق احتمالی با پایه</x:v>
      </x:c>
      <x:c r="L1132" s="39" t="str">
        <x:v>MI-0233</x:v>
      </x:c>
      <x:c r="M1132" s="39" t="str">
        <x:v>برون دانشگاهی</x:v>
      </x:c>
      <x:c r="N1132" s="39" t="str">
        <x:v>1154878548.docx::P1773.1 | 1154878548.docx::P2058.1 | 1154878548.docx::P2261.1</x:v>
      </x:c>
      <x:c r="O1132" s="39"/>
    </x:row>
    <x:row r="1133">
      <x:c r="A1133" s="34" t="str">
        <x:v>☐</x:v>
      </x:c>
      <x:c r="B1133" s="34" t="str">
        <x:v>EX-1105</x:v>
      </x:c>
      <x:c r="C1133" s="34" t="str">
        <x:v>خدمات عمومی:</x:v>
      </x:c>
      <x:c r="D1133" s="34" t="str">
        <x:v>POSSIBLE</x:v>
      </x:c>
      <x:c r="E1133" s="34" t="str">
        <x:v>85.5</x:v>
      </x:c>
      <x:c r="F1133" s="34" t="str">
        <x:v>MI-1513</x:v>
      </x:c>
      <x:c r="G1133" s="39" t="str">
        <x:v>تولید و کارآفرینی: توانایی تولید محصول و خدمات و ایجاد شغل.</x:v>
      </x:c>
      <x:c r="H1133" s="39" t="str">
        <x:v>H1</x:v>
      </x:c>
      <x:c r="I1133" s="39" t="str">
        <x:v>P0</x:v>
      </x:c>
      <x:c r="J1133" s="39" t="str">
        <x:v>H1</x:v>
      </x:c>
      <x:c r="K1133" s="39" t="str">
        <x:v>تطبیق احتمالی با پایه</x:v>
      </x:c>
      <x:c r="L1133" s="39" t="str">
        <x:v>MI-1513</x:v>
      </x:c>
      <x:c r="M1133" s="39" t="str">
        <x:v>تولید و کارآفرینی: توانایی تولید محصول و خدمات و ایجاد شغل.</x:v>
      </x:c>
      <x:c r="N1133" s="39" t="str">
        <x:v>1154878548.docx::P1774.1 | 1154878548.docx::P2059.1</x:v>
      </x:c>
      <x:c r="O1133" s="39"/>
    </x:row>
    <x:row r="1134">
      <x:c r="A1134" s="34" t="str">
        <x:v>☐</x:v>
      </x:c>
      <x:c r="B1134" s="34" t="str">
        <x:v>EX-1106</x:v>
      </x:c>
      <x:c r="C1134" s="34" t="str">
        <x:v>تعیین تکلیف بستههای پستی.</x:v>
      </x:c>
      <x:c r="D1134" s="34" t="str">
        <x:v>POSSIBLE</x:v>
      </x:c>
      <x:c r="E1134" s="34" t="str">
        <x:v>90.0</x:v>
      </x:c>
      <x:c r="F1134" s="34" t="str">
        <x:v>MI-0888</x:v>
      </x:c>
      <x:c r="G1134" s="39" t="str">
        <x:v>کلی</x:v>
      </x:c>
      <x:c r="H1134" s="39" t="str">
        <x:v>H11</x:v>
      </x:c>
      <x:c r="I1134" s="39" t="str">
        <x:v>DELEGATE/P2</x:v>
      </x:c>
      <x:c r="J1134" s="39" t="str">
        <x:v>H11</x:v>
      </x:c>
      <x:c r="K1134" s="39" t="str">
        <x:v>تطبیق احتمالی با پایه</x:v>
      </x:c>
      <x:c r="L1134" s="39" t="str">
        <x:v>MI-0888</x:v>
      </x:c>
      <x:c r="M1134" s="39" t="str">
        <x:v>کلی</x:v>
      </x:c>
      <x:c r="N1134" s="39" t="str">
        <x:v>1154878548.docx::P1775.1 | 1154878548.docx::P2060.1</x:v>
      </x:c>
      <x:c r="O1134" s="39"/>
    </x:row>
    <x:row r="1135">
      <x:c r="A1135" s="34" t="str">
        <x:v>☐</x:v>
      </x:c>
      <x:c r="B1135" s="34" t="str">
        <x:v>EX-1107</x:v>
      </x:c>
      <x:c r="C1135" s="34" t="str">
        <x:v>برنامه شخصی</x:v>
      </x:c>
      <x:c r="D1135" s="34" t="str">
        <x:v>POSSIBLE</x:v>
      </x:c>
      <x:c r="E1135" s="34" t="str">
        <x:v>85.5</x:v>
      </x:c>
      <x:c r="F1135" s="34" t="str">
        <x:v>MI-1501</x:v>
      </x:c>
      <x:c r="G1135" s="39" t="str">
        <x:v>مدیریت ریسک: شناسایی ریسک ها، ارزیابی اثرات، تدوین برنامه های مقابله با ریسک ها.</x:v>
      </x:c>
      <x:c r="H1135" s="39" t="str">
        <x:v>H1</x:v>
      </x:c>
      <x:c r="I1135" s="39" t="str">
        <x:v>P0</x:v>
      </x:c>
      <x:c r="J1135" s="39" t="str">
        <x:v>H1</x:v>
      </x:c>
      <x:c r="K1135" s="39" t="str">
        <x:v>تطبیق احتمالی با پایه</x:v>
      </x:c>
      <x:c r="L1135" s="39" t="str">
        <x:v>MI-1501</x:v>
      </x:c>
      <x:c r="M1135" s="39" t="str">
        <x:v>مدیریت ریسک: شناسایی ریسک ها، ارزیابی اثرات، تدوین برنامه های مقابله با ریسک ها.</x:v>
      </x:c>
      <x:c r="N1135" s="39" t="str">
        <x:v>1154878548.docx::P2069.1</x:v>
      </x:c>
      <x:c r="O1135" s="39"/>
    </x:row>
    <x:row r="1136">
      <x:c r="A1136" s="34" t="str">
        <x:v>☐</x:v>
      </x:c>
      <x:c r="B1136" s="34" t="str">
        <x:v>EX-1108</x:v>
      </x:c>
      <x:c r="C1136" s="34" t="str">
        <x:v>۱. توسعه فردی، روانشناسی و مهارتهای نرم (Soft Skills)</x:v>
      </x:c>
      <x:c r="D1136" s="34" t="str">
        <x:v>POSSIBLE</x:v>
      </x:c>
      <x:c r="E1136" s="34" t="str">
        <x:v>88.2</x:v>
      </x:c>
      <x:c r="F1136" s="34" t="str">
        <x:v>MI-1504</x:v>
      </x:c>
      <x:c r="G1136" s="39" t="str">
        <x:v>مهارت های نرم (Soft Skills):</x:v>
      </x:c>
      <x:c r="H1136" s="39" t="str">
        <x:v>H1</x:v>
      </x:c>
      <x:c r="I1136" s="39" t="str">
        <x:v>P0</x:v>
      </x:c>
      <x:c r="J1136" s="39" t="str">
        <x:v>H1</x:v>
      </x:c>
      <x:c r="K1136" s="39" t="str">
        <x:v>تطبیق احتمالی با پایه</x:v>
      </x:c>
      <x:c r="L1136" s="39" t="str">
        <x:v>MI-1504</x:v>
      </x:c>
      <x:c r="M1136" s="39" t="str">
        <x:v>مهارت های نرم (Soft Skills):</x:v>
      </x:c>
      <x:c r="N1136" s="39" t="str">
        <x:v>1154878548.docx::P2070.1</x:v>
      </x:c>
      <x:c r="O1136" s="39"/>
    </x:row>
    <x:row r="1137">
      <x:c r="A1137" s="34" t="str">
        <x:v>☐</x:v>
      </x:c>
      <x:c r="B1137" s="34" t="str">
        <x:v>EX-1109</x:v>
      </x:c>
      <x:c r="C1137" s="34" t="str">
        <x:v>این دسته زیربنای سایر فعالیتهای شماست و بر روی شخصیت و رفتار تمرکز دارد.</x:v>
      </x:c>
      <x:c r="D1137" s="34" t="str">
        <x:v>POSSIBLE</x:v>
      </x:c>
      <x:c r="E1137" s="34" t="str">
        <x:v>85.5</x:v>
      </x:c>
      <x:c r="F1137" s="34" t="str">
        <x:v>MI-1503</x:v>
      </x:c>
      <x:c r="G1137" s="39" t="str">
        <x:v>مدیریت زمان: اولویت بندی، برنامه ریزی، تمرکز.</x:v>
      </x:c>
      <x:c r="H1137" s="39" t="str">
        <x:v>H1</x:v>
      </x:c>
      <x:c r="I1137" s="39" t="str">
        <x:v>P0</x:v>
      </x:c>
      <x:c r="J1137" s="39" t="str">
        <x:v>H1</x:v>
      </x:c>
      <x:c r="K1137" s="39" t="str">
        <x:v>تطبیق احتمالی با پایه</x:v>
      </x:c>
      <x:c r="L1137" s="39" t="str">
        <x:v>MI-1503</x:v>
      </x:c>
      <x:c r="M1137" s="39" t="str">
        <x:v>مدیریت زمان: اولویت بندی، برنامه ریزی، تمرکز.</x:v>
      </x:c>
      <x:c r="N1137" s="39" t="str">
        <x:v>1154878548.docx::P2071.1</x:v>
      </x:c>
      <x:c r="O1137" s="39"/>
    </x:row>
    <x:row r="1138">
      <x:c r="A1138" s="34" t="str">
        <x:v>☐</x:v>
      </x:c>
      <x:c r="B1138" s="34" t="str">
        <x:v>EX-1110</x:v>
      </x:c>
      <x:c r="C1138" s="34" t="str">
        <x:v>روانشناسی و خودکنترلی:</x:v>
      </x:c>
      <x:c r="D1138" s="34" t="str">
        <x:v>POSSIBLE</x:v>
      </x:c>
      <x:c r="E1138" s="34" t="str">
        <x:v>85.5</x:v>
      </x:c>
      <x:c r="F1138" s="34" t="str">
        <x:v>MI-1513</x:v>
      </x:c>
      <x:c r="G1138" s="39" t="str">
        <x:v>تولید و کارآفرینی: توانایی تولید محصول و خدمات و ایجاد شغل.</x:v>
      </x:c>
      <x:c r="H1138" s="39" t="str">
        <x:v>H1</x:v>
      </x:c>
      <x:c r="I1138" s="39" t="str">
        <x:v>P0</x:v>
      </x:c>
      <x:c r="J1138" s="39" t="str">
        <x:v>H1</x:v>
      </x:c>
      <x:c r="K1138" s="39" t="str">
        <x:v>تطبیق احتمالی با پایه</x:v>
      </x:c>
      <x:c r="L1138" s="39" t="str">
        <x:v>MI-1513</x:v>
      </x:c>
      <x:c r="M1138" s="39" t="str">
        <x:v>تولید و کارآفرینی: توانایی تولید محصول و خدمات و ایجاد شغل.</x:v>
      </x:c>
      <x:c r="N1138" s="39" t="str">
        <x:v>1154878548.docx::P2072.1</x:v>
      </x:c>
      <x:c r="O1138" s="39"/>
    </x:row>
    <x:row r="1139">
      <x:c r="A1139" s="34" t="str">
        <x:v>☐</x:v>
      </x:c>
      <x:c r="B1139" s="34" t="str">
        <x:v>EX-1111</x:v>
      </x:c>
      <x:c r="C1139" s="34" t="str">
        <x:v>پارت همدردی رادیو تب (بخش مرتبط با مهارت همدلی)</x:v>
      </x:c>
      <x:c r="D1139" s="34" t="str">
        <x:v>POSSIBLE</x:v>
      </x:c>
      <x:c r="E1139" s="34" t="str">
        <x:v>90.0</x:v>
      </x:c>
      <x:c r="F1139" s="34" t="str">
        <x:v>MI-0027</x:v>
      </x:c>
      <x:c r="G1139" s="39" t="str">
        <x:v>پارت همدردی رادیو تب</x:v>
      </x:c>
      <x:c r="H1139" s="39" t="str">
        <x:v>H15</x:v>
      </x:c>
      <x:c r="I1139" s="39" t="str">
        <x:v>P3/CLARIFY</x:v>
      </x:c>
      <x:c r="J1139" s="39" t="str">
        <x:v>H15</x:v>
      </x:c>
      <x:c r="K1139" s="39" t="str">
        <x:v>تطبیق احتمالی با پایه</x:v>
      </x:c>
      <x:c r="L1139" s="39" t="str">
        <x:v>MI-0027</x:v>
      </x:c>
      <x:c r="M1139" s="39" t="str">
        <x:v>پارت همدردی رادیو تب</x:v>
      </x:c>
      <x:c r="N1139" s="39" t="str">
        <x:v>1154878548.docx::P2074.1</x:v>
      </x:c>
      <x:c r="O1139" s="39"/>
    </x:row>
    <x:row r="1140">
      <x:c r="A1140" s="34" t="str">
        <x:v>☐</x:v>
      </x:c>
      <x:c r="B1140" s="34" t="str">
        <x:v>EX-1112</x:v>
      </x:c>
      <x:c r="C1140" s="34" t="str">
        <x:v>روانشناسی کنترل خشم، استرس، تحمل و صبر</x:v>
      </x:c>
      <x:c r="D1140" s="34" t="str">
        <x:v>POSSIBLE</x:v>
      </x:c>
      <x:c r="E1140" s="34" t="str">
        <x:v>92.4</x:v>
      </x:c>
      <x:c r="F1140" s="34" t="str">
        <x:v>MI-0001</x:v>
      </x:c>
      <x:c r="G1140" s="39" t="str">
        <x:v>روانشناسی کنترل خشم و استرس و تحمل و صبر</x:v>
      </x:c>
      <x:c r="H1140" s="39" t="str">
        <x:v>H1</x:v>
      </x:c>
      <x:c r="I1140" s="39" t="str">
        <x:v>P0</x:v>
      </x:c>
      <x:c r="J1140" s="39" t="str">
        <x:v>H1</x:v>
      </x:c>
      <x:c r="K1140" s="39" t="str">
        <x:v>تطبیق احتمالی با پایه</x:v>
      </x:c>
      <x:c r="L1140" s="39" t="str">
        <x:v>MI-0001</x:v>
      </x:c>
      <x:c r="M1140" s="39" t="str">
        <x:v>روانشناسی کنترل خشم و استرس و تحمل و صبر</x:v>
      </x:c>
      <x:c r="N1140" s="39" t="str">
        <x:v>1154878548.docx::P2075.1</x:v>
      </x:c>
      <x:c r="O1140" s="39"/>
    </x:row>
    <x:row r="1141">
      <x:c r="A1141" s="34" t="str">
        <x:v>☐</x:v>
      </x:c>
      <x:c r="B1141" s="34" t="str">
        <x:v>EX-1113</x:v>
      </x:c>
      <x:c r="C1141" s="34" t="str">
        <x:v>ارتباطات و مذاکره:</x:v>
      </x:c>
      <x:c r="D1141" s="34" t="str">
        <x:v>POSSIBLE</x:v>
      </x:c>
      <x:c r="E1141" s="34" t="str">
        <x:v>90.0</x:v>
      </x:c>
      <x:c r="F1141" s="34" t="str">
        <x:v>MI-2498</x:v>
      </x:c>
      <x:c r="G1141" s="39" t="str">
        <x:v>ارتباطات</x:v>
      </x:c>
      <x:c r="H1141" s="39" t="str">
        <x:v>H4</x:v>
      </x:c>
      <x:c r="I1141" s="39" t="str">
        <x:v>P1</x:v>
      </x:c>
      <x:c r="J1141" s="39" t="str">
        <x:v>H4</x:v>
      </x:c>
      <x:c r="K1141" s="39" t="str">
        <x:v>تطبیق احتمالی با پایه</x:v>
      </x:c>
      <x:c r="L1141" s="39" t="str">
        <x:v>MI-2498</x:v>
      </x:c>
      <x:c r="M1141" s="39" t="str">
        <x:v>ارتباطات</x:v>
      </x:c>
      <x:c r="N1141" s="39" t="str">
        <x:v>1154878548.docx::P2076.1</x:v>
      </x:c>
      <x:c r="O1141" s="39"/>
    </x:row>
    <x:row r="1142">
      <x:c r="A1142" s="34" t="str">
        <x:v>☐</x:v>
      </x:c>
      <x:c r="B1142" s="34" t="str">
        <x:v>EX-1114</x:v>
      </x:c>
      <x:c r="C1142" s="34" t="str">
        <x:v>مهارت شبکه سازی (Networking)</x:v>
      </x:c>
      <x:c r="D1142" s="34" t="str">
        <x:v>POSSIBLE</x:v>
      </x:c>
      <x:c r="E1142" s="34" t="str">
        <x:v>90.0</x:v>
      </x:c>
      <x:c r="F1142" s="34" t="str">
        <x:v>MI-0090</x:v>
      </x:c>
      <x:c r="G1142" s="39" t="str">
        <x:v>مهارت شبکه سازی</x:v>
      </x:c>
      <x:c r="H1142" s="39" t="str">
        <x:v>H1</x:v>
      </x:c>
      <x:c r="I1142" s="39" t="str">
        <x:v>P0</x:v>
      </x:c>
      <x:c r="J1142" s="39" t="str">
        <x:v>H1</x:v>
      </x:c>
      <x:c r="K1142" s="39" t="str">
        <x:v>تطبیق احتمالی با پایه</x:v>
      </x:c>
      <x:c r="L1142" s="39" t="str">
        <x:v>MI-0090</x:v>
      </x:c>
      <x:c r="M1142" s="39" t="str">
        <x:v>مهارت شبکه سازی</x:v>
      </x:c>
      <x:c r="N1142" s="39" t="str">
        <x:v>1154878548.docx::P2079.1</x:v>
      </x:c>
      <x:c r="O1142" s="39"/>
    </x:row>
    <x:row r="1143">
      <x:c r="A1143" s="34" t="str">
        <x:v>☐</x:v>
      </x:c>
      <x:c r="B1143" s="34" t="str">
        <x:v>EX-1115</x:v>
      </x:c>
      <x:c r="C1143" s="34" t="str">
        <x:v>اصول و فنون مذاکره (تکنیکها، زبان بدن، پیشبرد فروش)</x:v>
      </x:c>
      <x:c r="D1143" s="34" t="str">
        <x:v>POSSIBLE</x:v>
      </x:c>
      <x:c r="E1143" s="34" t="str">
        <x:v>85.5</x:v>
      </x:c>
      <x:c r="F1143" s="34" t="str">
        <x:v>MI-0029</x:v>
      </x:c>
      <x:c r="G1143" s="39" t="str">
        <x:v>تدریس ریاضی و فیزیک</x:v>
      </x:c>
      <x:c r="H1143" s="39" t="str">
        <x:v>H1</x:v>
      </x:c>
      <x:c r="I1143" s="39" t="str">
        <x:v>P0</x:v>
      </x:c>
      <x:c r="J1143" s="39" t="str">
        <x:v>H1</x:v>
      </x:c>
      <x:c r="K1143" s="39" t="str">
        <x:v>تطبیق احتمالی با پایه</x:v>
      </x:c>
      <x:c r="L1143" s="39" t="str">
        <x:v>MI-0029</x:v>
      </x:c>
      <x:c r="M1143" s="39" t="str">
        <x:v>تدریس ریاضی و فیزیک</x:v>
      </x:c>
      <x:c r="N1143" s="39" t="str">
        <x:v>1154878548.docx::P2081.1</x:v>
      </x:c>
      <x:c r="O1143" s="39"/>
    </x:row>
    <x:row r="1144">
      <x:c r="A1144" s="34" t="str">
        <x:v>☐</x:v>
      </x:c>
      <x:c r="B1144" s="34" t="str">
        <x:v>EX-1116</x:v>
      </x:c>
      <x:c r="C1144" s="34" t="str">
        <x:v>عادات و سبک زندگی:</x:v>
      </x:c>
      <x:c r="D1144" s="34" t="str">
        <x:v>POSSIBLE</x:v>
      </x:c>
      <x:c r="E1144" s="34" t="str">
        <x:v>90.0</x:v>
      </x:c>
      <x:c r="F1144" s="34" t="str">
        <x:v>MI-1450</x:v>
      </x:c>
      <x:c r="G1144" s="39" t="str">
        <x:v>سبک زندگی:</x:v>
      </x:c>
      <x:c r="H1144" s="39" t="str">
        <x:v>H1</x:v>
      </x:c>
      <x:c r="I1144" s="39" t="str">
        <x:v>P0</x:v>
      </x:c>
      <x:c r="J1144" s="39" t="str">
        <x:v>H1</x:v>
      </x:c>
      <x:c r="K1144" s="39" t="str">
        <x:v>تطبیق احتمالی با پایه</x:v>
      </x:c>
      <x:c r="L1144" s="39" t="str">
        <x:v>MI-1450</x:v>
      </x:c>
      <x:c r="M1144" s="39" t="str">
        <x:v>سبک زندگی:</x:v>
      </x:c>
      <x:c r="N1144" s="39" t="str">
        <x:v>1154878548.docx::P2082.1</x:v>
      </x:c>
      <x:c r="O1144" s="39"/>
    </x:row>
    <x:row r="1145">
      <x:c r="A1145" s="34" t="str">
        <x:v>☐</x:v>
      </x:c>
      <x:c r="B1145" s="34" t="str">
        <x:v>EX-1117</x:v>
      </x:c>
      <x:c r="C1145" s="34" t="str">
        <x:v>برنامه زندگی (Life Plan)</x:v>
      </x:c>
      <x:c r="D1145" s="34" t="str">
        <x:v>POSSIBLE</x:v>
      </x:c>
      <x:c r="E1145" s="34" t="str">
        <x:v>90.0</x:v>
      </x:c>
      <x:c r="F1145" s="34" t="str">
        <x:v>MI-0596</x:v>
      </x:c>
      <x:c r="G1145" s="39" t="str">
        <x:v>زندگی</x:v>
      </x:c>
      <x:c r="H1145" s="39" t="str">
        <x:v>H18</x:v>
      </x:c>
      <x:c r="I1145" s="39" t="str">
        <x:v>BANK</x:v>
      </x:c>
      <x:c r="J1145" s="39" t="str">
        <x:v>H18</x:v>
      </x:c>
      <x:c r="K1145" s="39" t="str">
        <x:v>تطبیق احتمالی با پایه</x:v>
      </x:c>
      <x:c r="L1145" s="39" t="str">
        <x:v>MI-0596</x:v>
      </x:c>
      <x:c r="M1145" s="39" t="str">
        <x:v>زندگی</x:v>
      </x:c>
      <x:c r="N1145" s="39" t="str">
        <x:v>1154878548.docx::P2087.1</x:v>
      </x:c>
      <x:c r="O1145" s="39"/>
    </x:row>
    <x:row r="1146">
      <x:c r="A1146" s="34" t="str">
        <x:v>☐</x:v>
      </x:c>
      <x:c r="B1146" s="34" t="str">
        <x:v>EX-1118</x:v>
      </x:c>
      <x:c r="C1146" s="34" t="str">
        <x:v>۲. تحصیلات آکادمیک و آموزش (Academic &amp; Education)</x:v>
      </x:c>
      <x:c r="D1146" s="34" t="str">
        <x:v>POSSIBLE</x:v>
      </x:c>
      <x:c r="E1146" s="34" t="str">
        <x:v>85.5</x:v>
      </x:c>
      <x:c r="F1146" s="34" t="str">
        <x:v>MI-0029</x:v>
      </x:c>
      <x:c r="G1146" s="39" t="str">
        <x:v>تدریس ریاضی و فیزیک</x:v>
      </x:c>
      <x:c r="H1146" s="39" t="str">
        <x:v>H1</x:v>
      </x:c>
      <x:c r="I1146" s="39" t="str">
        <x:v>P0</x:v>
      </x:c>
      <x:c r="J1146" s="39" t="str">
        <x:v>H1</x:v>
      </x:c>
      <x:c r="K1146" s="39" t="str">
        <x:v>تطبیق احتمالی با پایه</x:v>
      </x:c>
      <x:c r="L1146" s="39" t="str">
        <x:v>MI-0029</x:v>
      </x:c>
      <x:c r="M1146" s="39" t="str">
        <x:v>تدریس ریاضی و فیزیک</x:v>
      </x:c>
      <x:c r="N1146" s="39" t="str">
        <x:v>1154878548.docx::P2088.1</x:v>
      </x:c>
      <x:c r="O1146" s="39"/>
    </x:row>
    <x:row r="1147">
      <x:c r="A1147" s="34" t="str">
        <x:v>☐</x:v>
      </x:c>
      <x:c r="B1147" s="34" t="str">
        <x:v>EX-1119</x:v>
      </x:c>
      <x:c r="C1147" s="34" t="str">
        <x:v>مربوط به دانشگاه، کنکور و تدریس.</x:v>
      </x:c>
      <x:c r="D1147" s="34" t="str">
        <x:v>POSSIBLE</x:v>
      </x:c>
      <x:c r="E1147" s="34" t="str">
        <x:v>90.0</x:v>
      </x:c>
      <x:c r="F1147" s="34" t="str">
        <x:v>MI-2622</x:v>
      </x:c>
      <x:c r="G1147" s="39" t="str">
        <x:v>دانش</x:v>
      </x:c>
      <x:c r="H1147" s="39" t="str">
        <x:v>H20</x:v>
      </x:c>
      <x:c r="I1147" s="39" t="str">
        <x:v>P3/CLARIFY</x:v>
      </x:c>
      <x:c r="J1147" s="39" t="str">
        <x:v>H20</x:v>
      </x:c>
      <x:c r="K1147" s="39" t="str">
        <x:v>تطبیق احتمالی با پایه</x:v>
      </x:c>
      <x:c r="L1147" s="39" t="str">
        <x:v>MI-2622</x:v>
      </x:c>
      <x:c r="M1147" s="39" t="str">
        <x:v>دانش</x:v>
      </x:c>
      <x:c r="N1147" s="39" t="str">
        <x:v>1154878548.docx::P2089.1</x:v>
      </x:c>
      <x:c r="O1147" s="39"/>
    </x:row>
    <x:row r="1148">
      <x:c r="A1148" s="34" t="str">
        <x:v>☐</x:v>
      </x:c>
      <x:c r="B1148" s="34" t="str">
        <x:v>EX-1120</x:v>
      </x:c>
      <x:c r="C1148" s="34" t="str">
        <x:v>برنامهریزی درسی:</x:v>
      </x:c>
      <x:c r="D1148" s="34" t="str">
        <x:v>POSSIBLE</x:v>
      </x:c>
      <x:c r="E1148" s="34" t="str">
        <x:v>85.5</x:v>
      </x:c>
      <x:c r="F1148" s="34" t="str">
        <x:v>MI-0372</x:v>
      </x:c>
      <x:c r="G1148" s="39" t="str">
        <x:v>هوش مصنوعی و پایش وضعیت درسی افراد و انتخاب واحد</x:v>
      </x:c>
      <x:c r="H1148" s="39" t="str">
        <x:v>H7</x:v>
      </x:c>
      <x:c r="I1148" s="39" t="str">
        <x:v>BANK</x:v>
      </x:c>
      <x:c r="J1148" s="39" t="str">
        <x:v>H7</x:v>
      </x:c>
      <x:c r="K1148" s="39" t="str">
        <x:v>تطبیق احتمالی با پایه</x:v>
      </x:c>
      <x:c r="L1148" s="39" t="str">
        <x:v>MI-0372</x:v>
      </x:c>
      <x:c r="M1148" s="39" t="str">
        <x:v>هوش مصنوعی و پایش وضعیت درسی افراد و انتخاب واحد</x:v>
      </x:c>
      <x:c r="N1148" s="39" t="str">
        <x:v>1154878548.docx::P2090.1</x:v>
      </x:c>
      <x:c r="O1148" s="39"/>
    </x:row>
    <x:row r="1149">
      <x:c r="A1149" s="34" t="str">
        <x:v>☐</x:v>
      </x:c>
      <x:c r="B1149" s="34" t="str">
        <x:v>EX-1121</x:v>
      </x:c>
      <x:c r="C1149" s="34" t="str">
        <x:v>برنامهریزی جدی برای دروس دانشگاه نوشیروانی بابل و پیام نور</x:v>
      </x:c>
      <x:c r="D1149" s="34" t="str">
        <x:v>POSSIBLE</x:v>
      </x:c>
      <x:c r="E1149" s="34" t="str">
        <x:v>90.0</x:v>
      </x:c>
      <x:c r="F1149" s="34" t="str">
        <x:v>MI-3031</x:v>
      </x:c>
      <x:c r="G1149" s="39" t="str">
        <x:v>دانشگاه نوشیروانی بابل</x:v>
      </x:c>
      <x:c r="H1149" s="39" t="str">
        <x:v>H11</x:v>
      </x:c>
      <x:c r="I1149" s="39" t="str">
        <x:v>DELEGATE/P2</x:v>
      </x:c>
      <x:c r="J1149" s="39" t="str">
        <x:v>H11</x:v>
      </x:c>
      <x:c r="K1149" s="39" t="str">
        <x:v>تطبیق احتمالی با پایه</x:v>
      </x:c>
      <x:c r="L1149" s="39" t="str">
        <x:v>MI-3031</x:v>
      </x:c>
      <x:c r="M1149" s="39" t="str">
        <x:v>دانشگاه نوشیروانی بابل</x:v>
      </x:c>
      <x:c r="N1149" s="39" t="str">
        <x:v>1154878548.docx::P2094.1</x:v>
      </x:c>
      <x:c r="O1149" s="39"/>
    </x:row>
    <x:row r="1150">
      <x:c r="A1150" s="34" t="str">
        <x:v>☐</x:v>
      </x:c>
      <x:c r="B1150" s="34" t="str">
        <x:v>EX-1122</x:v>
      </x:c>
      <x:c r="C1150" s="34" t="str">
        <x:v>پژوهش و تدریس:</x:v>
      </x:c>
      <x:c r="D1150" s="34" t="str">
        <x:v>POSSIBLE</x:v>
      </x:c>
      <x:c r="E1150" s="34" t="str">
        <x:v>90.0</x:v>
      </x:c>
      <x:c r="F1150" s="34" t="str">
        <x:v>MI-2192</x:v>
      </x:c>
      <x:c r="G1150" s="39" t="str">
        <x:v>پژوهش</x:v>
      </x:c>
      <x:c r="H1150" s="39" t="str">
        <x:v>H9</x:v>
      </x:c>
      <x:c r="I1150" s="39" t="str">
        <x:v>P2</x:v>
      </x:c>
      <x:c r="J1150" s="39" t="str">
        <x:v>H9</x:v>
      </x:c>
      <x:c r="K1150" s="39" t="str">
        <x:v>تطبیق احتمالی با پایه</x:v>
      </x:c>
      <x:c r="L1150" s="39" t="str">
        <x:v>MI-2192</x:v>
      </x:c>
      <x:c r="M1150" s="39" t="str">
        <x:v>پژوهش</x:v>
      </x:c>
      <x:c r="N1150" s="39" t="str">
        <x:v>1154878548.docx::P2095.1</x:v>
      </x:c>
      <x:c r="O1150" s="39"/>
    </x:row>
    <x:row r="1151">
      <x:c r="A1151" s="34" t="str">
        <x:v>☐</x:v>
      </x:c>
      <x:c r="B1151" s="34" t="str">
        <x:v>EX-1123</x:v>
      </x:c>
      <x:c r="C1151" s="34" t="str">
        <x:v>تحقیق و پژوهش، مقالهنویسی، گزارشنویسی</x:v>
      </x:c>
      <x:c r="D1151" s="34" t="str">
        <x:v>POSSIBLE</x:v>
      </x:c>
      <x:c r="E1151" s="34" t="str">
        <x:v>90.0</x:v>
      </x:c>
      <x:c r="F1151" s="34" t="str">
        <x:v>MI-1471</x:v>
      </x:c>
      <x:c r="G1151" s="39" t="str">
        <x:v>تحقیق و پژوهش</x:v>
      </x:c>
      <x:c r="H1151" s="39" t="str">
        <x:v>H9</x:v>
      </x:c>
      <x:c r="I1151" s="39" t="str">
        <x:v>P2</x:v>
      </x:c>
      <x:c r="J1151" s="39" t="str">
        <x:v>H9</x:v>
      </x:c>
      <x:c r="K1151" s="39" t="str">
        <x:v>تطبیق احتمالی با پایه</x:v>
      </x:c>
      <x:c r="L1151" s="39" t="str">
        <x:v>MI-1471</x:v>
      </x:c>
      <x:c r="M1151" s="39" t="str">
        <x:v>تحقیق و پژوهش</x:v>
      </x:c>
      <x:c r="N1151" s="39" t="str">
        <x:v>1154878548.docx::P2097.1</x:v>
      </x:c>
      <x:c r="O1151" s="39"/>
    </x:row>
    <x:row r="1152">
      <x:c r="A1152" s="34" t="str">
        <x:v>☐</x:v>
      </x:c>
      <x:c r="B1152" s="34" t="str">
        <x:v>EX-1124</x:v>
      </x:c>
      <x:c r="C1152" s="34" t="str">
        <x:v>ریسرچری مبتنی بر PubMed / Google Scholar / ScienceDirect / Scopus</x:v>
      </x:c>
      <x:c r="D1152" s="34" t="str">
        <x:v>POSSIBLE</x:v>
      </x:c>
      <x:c r="E1152" s="34" t="str">
        <x:v>90.0</x:v>
      </x:c>
      <x:c r="F1152" s="34" t="str">
        <x:v>MI-0543</x:v>
      </x:c>
      <x:c r="G1152" s="39" t="str">
        <x:v>google scholar</x:v>
      </x:c>
      <x:c r="H1152" s="39" t="str">
        <x:v>H9</x:v>
      </x:c>
      <x:c r="I1152" s="39" t="str">
        <x:v>BANK</x:v>
      </x:c>
      <x:c r="J1152" s="39" t="str">
        <x:v>H9</x:v>
      </x:c>
      <x:c r="K1152" s="39" t="str">
        <x:v>تطبیق احتمالی با پایه</x:v>
      </x:c>
      <x:c r="L1152" s="39" t="str">
        <x:v>MI-0543</x:v>
      </x:c>
      <x:c r="M1152" s="39" t="str">
        <x:v>google scholar</x:v>
      </x:c>
      <x:c r="N1152" s="39" t="str">
        <x:v>1154878548.docx::P2098.1</x:v>
      </x:c>
      <x:c r="O1152" s="39"/>
    </x:row>
    <x:row r="1153">
      <x:c r="A1153" s="34" t="str">
        <x:v>☐</x:v>
      </x:c>
      <x:c r="B1153" s="34" t="str">
        <x:v>EX-1125</x:v>
      </x:c>
      <x:c r="C1153" s="34" t="str">
        <x:v>تدریس ریاضی و فیزیک (و نوشتن جزوات مربوطه)</x:v>
      </x:c>
      <x:c r="D1153" s="34" t="str">
        <x:v>POSSIBLE</x:v>
      </x:c>
      <x:c r="E1153" s="34" t="str">
        <x:v>90.0</x:v>
      </x:c>
      <x:c r="F1153" s="34" t="str">
        <x:v>MI-0029</x:v>
      </x:c>
      <x:c r="G1153" s="39" t="str">
        <x:v>تدریس ریاضی و فیزیک</x:v>
      </x:c>
      <x:c r="H1153" s="39" t="str">
        <x:v>H1</x:v>
      </x:c>
      <x:c r="I1153" s="39" t="str">
        <x:v>P0</x:v>
      </x:c>
      <x:c r="J1153" s="39" t="str">
        <x:v>H1</x:v>
      </x:c>
      <x:c r="K1153" s="39" t="str">
        <x:v>تطبیق احتمالی با پایه</x:v>
      </x:c>
      <x:c r="L1153" s="39" t="str">
        <x:v>MI-0029</x:v>
      </x:c>
      <x:c r="M1153" s="39" t="str">
        <x:v>تدریس ریاضی و فیزیک</x:v>
      </x:c>
      <x:c r="N1153" s="39" t="str">
        <x:v>1154878548.docx::P2100.1</x:v>
      </x:c>
      <x:c r="O1153" s="39"/>
    </x:row>
    <x:row r="1154">
      <x:c r="A1154" s="34" t="str">
        <x:v>☐</x:v>
      </x:c>
      <x:c r="B1154" s="34" t="str">
        <x:v>EX-1126</x:v>
      </x:c>
      <x:c r="C1154" s="34" t="str">
        <x:v>مدارک تحصیلی:</x:v>
      </x:c>
      <x:c r="D1154" s="34" t="str">
        <x:v>POSSIBLE</x:v>
      </x:c>
      <x:c r="E1154" s="34" t="str">
        <x:v>90.0</x:v>
      </x:c>
      <x:c r="F1154" s="34" t="str">
        <x:v>MI-1206</x:v>
      </x:c>
      <x:c r="G1154" s="39" t="str">
        <x:v>تحصیلی</x:v>
      </x:c>
      <x:c r="H1154" s="39" t="str">
        <x:v>H23</x:v>
      </x:c>
      <x:c r="I1154" s="39" t="str">
        <x:v>P3/CLARIFY</x:v>
      </x:c>
      <x:c r="J1154" s="39" t="str">
        <x:v>H23</x:v>
      </x:c>
      <x:c r="K1154" s="39" t="str">
        <x:v>تطبیق احتمالی با پایه</x:v>
      </x:c>
      <x:c r="L1154" s="39" t="str">
        <x:v>MI-1206</x:v>
      </x:c>
      <x:c r="M1154" s="39" t="str">
        <x:v>تحصیلی</x:v>
      </x:c>
      <x:c r="N1154" s="39" t="str">
        <x:v>1154878548.docx::P2101.1</x:v>
      </x:c>
      <x:c r="O1154" s="39"/>
    </x:row>
    <x:row r="1155">
      <x:c r="A1155" s="34" t="str">
        <x:v>☐</x:v>
      </x:c>
      <x:c r="B1155" s="34" t="str">
        <x:v>EX-1127</x:v>
      </x:c>
      <x:c r="C1155" s="34" t="str">
        <x:v>گرفتن مدرک کارشناسی مهندسی صنایع پیام نور</x:v>
      </x:c>
      <x:c r="D1155" s="34" t="str">
        <x:v>POSSIBLE</x:v>
      </x:c>
      <x:c r="E1155" s="34" t="str">
        <x:v>85.5</x:v>
      </x:c>
      <x:c r="F1155" s="34" t="str">
        <x:v>MI-0050</x:v>
      </x:c>
      <x:c r="G1155" s="39" t="str">
        <x:v>گرفتن گواهینامه پایه 1</x:v>
      </x:c>
      <x:c r="H1155" s="39" t="str">
        <x:v>H1</x:v>
      </x:c>
      <x:c r="I1155" s="39" t="str">
        <x:v>P0</x:v>
      </x:c>
      <x:c r="J1155" s="39" t="str">
        <x:v>H1</x:v>
      </x:c>
      <x:c r="K1155" s="39" t="str">
        <x:v>تطبیق احتمالی با پایه</x:v>
      </x:c>
      <x:c r="L1155" s="39" t="str">
        <x:v>MI-0050</x:v>
      </x:c>
      <x:c r="M1155" s="39" t="str">
        <x:v>گرفتن گواهینامه پایه 1</x:v>
      </x:c>
      <x:c r="N1155" s="39" t="str">
        <x:v>1154878548.docx::P2102.1</x:v>
      </x:c>
      <x:c r="O1155" s="39"/>
    </x:row>
    <x:row r="1156">
      <x:c r="A1156" s="34" t="str">
        <x:v>☐</x:v>
      </x:c>
      <x:c r="B1156" s="34" t="str">
        <x:v>EX-1128</x:v>
      </x:c>
      <x:c r="C1156" s="34" t="str">
        <x:v>۳. مهارتهای زبانی بین المللی (Languages)</x:v>
      </x:c>
      <x:c r="D1156" s="34" t="str">
        <x:v>POSSIBLE</x:v>
      </x:c>
      <x:c r="E1156" s="34" t="str">
        <x:v>85.5</x:v>
      </x:c>
      <x:c r="F1156" s="34" t="str">
        <x:v>MI-1597</x:v>
      </x:c>
      <x:c r="G1156" s="39" t="str">
        <x:v>طرح Entrepreneur in Residence (EiR) محدود به داخل کشور نیست؛ کاملاً می تواند بین المللی هم باشد. در واقع در بسیاری از اکوسیستم های دنیا دو مدل اجرا می شود:</x:v>
      </x:c>
      <x:c r="H1156" s="39" t="str">
        <x:v>H10</x:v>
      </x:c>
      <x:c r="I1156" s="39" t="str">
        <x:v>P2</x:v>
      </x:c>
      <x:c r="J1156" s="39" t="str">
        <x:v>H10</x:v>
      </x:c>
      <x:c r="K1156" s="39" t="str">
        <x:v>تطبیق احتمالی با پایه</x:v>
      </x:c>
      <x:c r="L1156" s="39" t="str">
        <x:v>MI-1597</x:v>
      </x:c>
      <x:c r="M1156" s="39" t="str">
        <x:v>طرح Entrepreneur in Residence (EiR) محدود به داخل کشور نیست؛ کاملاً می تواند بین المللی هم باشد. در واقع در بسیاری از اکوسیستم های دنیا دو مدل اجرا می شود:</x:v>
      </x:c>
      <x:c r="N1156" s="39" t="str">
        <x:v>1154878548.docx::P2103.1</x:v>
      </x:c>
      <x:c r="O1156" s="39"/>
    </x:row>
    <x:row r="1157">
      <x:c r="A1157" s="34" t="str">
        <x:v>☐</x:v>
      </x:c>
      <x:c r="B1157" s="34" t="str">
        <x:v>EX-1129</x:v>
      </x:c>
      <x:c r="C1157" s="34" t="str">
        <x:v>یادگیری زبانهای خارجی برای ارتباطات بینالمللی و تحصیل.</x:v>
      </x:c>
      <x:c r="D1157" s="34" t="str">
        <x:v>POSSIBLE</x:v>
      </x:c>
      <x:c r="E1157" s="34" t="str">
        <x:v>90.0</x:v>
      </x:c>
      <x:c r="F1157" s="34" t="str">
        <x:v>MI-1468</x:v>
      </x:c>
      <x:c r="G1157" s="39" t="str">
        <x:v>یادگیری زبان:</x:v>
      </x:c>
      <x:c r="H1157" s="39" t="str">
        <x:v>H1</x:v>
      </x:c>
      <x:c r="I1157" s="39" t="str">
        <x:v>P0</x:v>
      </x:c>
      <x:c r="J1157" s="39" t="str">
        <x:v>H1</x:v>
      </x:c>
      <x:c r="K1157" s="39" t="str">
        <x:v>تطبیق احتمالی با پایه</x:v>
      </x:c>
      <x:c r="L1157" s="39" t="str">
        <x:v>MI-1468</x:v>
      </x:c>
      <x:c r="M1157" s="39" t="str">
        <x:v>یادگیری زبان:</x:v>
      </x:c>
      <x:c r="N1157" s="39" t="str">
        <x:v>1154878548.docx::P2104.1</x:v>
      </x:c>
      <x:c r="O1157" s="39"/>
    </x:row>
    <x:row r="1158">
      <x:c r="A1158" s="34" t="str">
        <x:v>☐</x:v>
      </x:c>
      <x:c r="B1158" s="34" t="str">
        <x:v>EX-1130</x:v>
      </x:c>
      <x:c r="C1158" s="34" t="str">
        <x:v>زبان انگلیسی:</x:v>
      </x:c>
      <x:c r="D1158" s="34" t="str">
        <x:v>POSSIBLE</x:v>
      </x:c>
      <x:c r="E1158" s="34" t="str">
        <x:v>90.0</x:v>
      </x:c>
      <x:c r="F1158" s="34" t="str">
        <x:v>MI-0204</x:v>
      </x:c>
      <x:c r="G1158" s="39" t="str">
        <x:v>آموزش زبان انگلیسی</x:v>
      </x:c>
      <x:c r="H1158" s="39" t="str">
        <x:v>H5</x:v>
      </x:c>
      <x:c r="I1158" s="39" t="str">
        <x:v>P1</x:v>
      </x:c>
      <x:c r="J1158" s="39" t="str">
        <x:v>H5</x:v>
      </x:c>
      <x:c r="K1158" s="39" t="str">
        <x:v>تطبیق احتمالی با پایه</x:v>
      </x:c>
      <x:c r="L1158" s="39" t="str">
        <x:v>MI-0204</x:v>
      </x:c>
      <x:c r="M1158" s="39" t="str">
        <x:v>آموزش زبان انگلیسی</x:v>
      </x:c>
      <x:c r="N1158" s="39" t="str">
        <x:v>1154878548.docx::P2105.1</x:v>
      </x:c>
      <x:c r="O1158" s="39"/>
    </x:row>
    <x:row r="1159">
      <x:c r="A1159" s="34" t="str">
        <x:v>☐</x:v>
      </x:c>
      <x:c r="B1159" s="34" t="str">
        <x:v>EX-1131</x:v>
      </x:c>
      <x:c r="C1159" s="34" t="str">
        <x:v>افزایش دایره لغات انگلیسی (خواندن دیکشنری و کتب لولبندی شده)</x:v>
      </x:c>
      <x:c r="D1159" s="34" t="str">
        <x:v>POSSIBLE</x:v>
      </x:c>
      <x:c r="E1159" s="34" t="str">
        <x:v>90.0</x:v>
      </x:c>
      <x:c r="F1159" s="34" t="str">
        <x:v>MI-0005</x:v>
      </x:c>
      <x:c r="G1159" s="39" t="str">
        <x:v>افزایش دایره لغات انگلیسی</x:v>
      </x:c>
      <x:c r="H1159" s="39" t="str">
        <x:v>H1</x:v>
      </x:c>
      <x:c r="I1159" s="39" t="str">
        <x:v>P0</x:v>
      </x:c>
      <x:c r="J1159" s="39" t="str">
        <x:v>H1</x:v>
      </x:c>
      <x:c r="K1159" s="39" t="str">
        <x:v>تطبیق احتمالی با پایه</x:v>
      </x:c>
      <x:c r="L1159" s="39" t="str">
        <x:v>MI-0005</x:v>
      </x:c>
      <x:c r="M1159" s="39" t="str">
        <x:v>افزایش دایره لغات انگلیسی</x:v>
      </x:c>
      <x:c r="N1159" s="39" t="str">
        <x:v>1154878548.docx::P2106.1</x:v>
      </x:c>
      <x:c r="O1159" s="39"/>
    </x:row>
    <x:row r="1160">
      <x:c r="A1160" s="34" t="str">
        <x:v>☐</x:v>
      </x:c>
      <x:c r="B1160" s="34" t="str">
        <x:v>EX-1132</x:v>
      </x:c>
      <x:c r="C1160" s="34" t="str">
        <x:v>سایر زبانها:</x:v>
      </x:c>
      <x:c r="D1160" s="34" t="str">
        <x:v>POSSIBLE</x:v>
      </x:c>
      <x:c r="E1160" s="34" t="str">
        <x:v>85.5</x:v>
      </x:c>
      <x:c r="F1160" s="34" t="str">
        <x:v>MI-1490</x:v>
      </x:c>
      <x:c r="G1160" s="39" t="str">
        <x:v>سایر مهارت های فنی:</x:v>
      </x:c>
      <x:c r="H1160" s="39" t="str">
        <x:v>H1</x:v>
      </x:c>
      <x:c r="I1160" s="39" t="str">
        <x:v>P0</x:v>
      </x:c>
      <x:c r="J1160" s="39" t="str">
        <x:v>H1</x:v>
      </x:c>
      <x:c r="K1160" s="39" t="str">
        <x:v>تطبیق احتمالی با پایه</x:v>
      </x:c>
      <x:c r="L1160" s="39" t="str">
        <x:v>MI-1490</x:v>
      </x:c>
      <x:c r="M1160" s="39" t="str">
        <x:v>سایر مهارت های فنی:</x:v>
      </x:c>
      <x:c r="N1160" s="39" t="str">
        <x:v>1154878548.docx::P2110.1</x:v>
      </x:c>
      <x:c r="O1160" s="39"/>
    </x:row>
    <x:row r="1161">
      <x:c r="A1161" s="34" t="str">
        <x:v>☐</x:v>
      </x:c>
      <x:c r="B1161" s="34" t="str">
        <x:v>EX-1133</x:v>
      </x:c>
      <x:c r="C1161" s="34" t="str">
        <x:v>۴. کسبوکار، مدیریت و بازاریابی (Business &amp; Management)</x:v>
      </x:c>
      <x:c r="D1161" s="34" t="str">
        <x:v>POSSIBLE</x:v>
      </x:c>
      <x:c r="E1161" s="34" t="str">
        <x:v>85.5</x:v>
      </x:c>
      <x:c r="F1161" s="34" t="str">
        <x:v>MI-1501</x:v>
      </x:c>
      <x:c r="G1161" s="39" t="str">
        <x:v>مدیریت ریسک: شناسایی ریسک ها، ارزیابی اثرات، تدوین برنامه های مقابله با ریسک ها.</x:v>
      </x:c>
      <x:c r="H1161" s="39" t="str">
        <x:v>H1</x:v>
      </x:c>
      <x:c r="I1161" s="39" t="str">
        <x:v>P0</x:v>
      </x:c>
      <x:c r="J1161" s="39" t="str">
        <x:v>H1</x:v>
      </x:c>
      <x:c r="K1161" s="39" t="str">
        <x:v>تطبیق احتمالی با پایه</x:v>
      </x:c>
      <x:c r="L1161" s="39" t="str">
        <x:v>MI-1501</x:v>
      </x:c>
      <x:c r="M1161" s="39" t="str">
        <x:v>مدیریت ریسک: شناسایی ریسک ها، ارزیابی اثرات، تدوین برنامه های مقابله با ریسک ها.</x:v>
      </x:c>
      <x:c r="N1161" s="39" t="str">
        <x:v>1154878548.docx::P2113.1</x:v>
      </x:c>
      <x:c r="O1161" s="39"/>
    </x:row>
    <x:row r="1162">
      <x:c r="A1162" s="34" t="str">
        <x:v>☐</x:v>
      </x:c>
      <x:c r="B1162" s="34" t="str">
        <x:v>EX-1134</x:v>
      </x:c>
      <x:c r="C1162" s="34" t="str">
        <x:v>تمرکز بر مهارتهای تجاری، فروش و اداره سازمان.</x:v>
      </x:c>
      <x:c r="D1162" s="34" t="str">
        <x:v>POSSIBLE</x:v>
      </x:c>
      <x:c r="E1162" s="34" t="str">
        <x:v>85.5</x:v>
      </x:c>
      <x:c r="F1162" s="34" t="str">
        <x:v>MI-0029</x:v>
      </x:c>
      <x:c r="G1162" s="39" t="str">
        <x:v>تدریس ریاضی و فیزیک</x:v>
      </x:c>
      <x:c r="H1162" s="39" t="str">
        <x:v>H1</x:v>
      </x:c>
      <x:c r="I1162" s="39" t="str">
        <x:v>P0</x:v>
      </x:c>
      <x:c r="J1162" s="39" t="str">
        <x:v>H1</x:v>
      </x:c>
      <x:c r="K1162" s="39" t="str">
        <x:v>تطبیق احتمالی با پایه</x:v>
      </x:c>
      <x:c r="L1162" s="39" t="str">
        <x:v>MI-0029</x:v>
      </x:c>
      <x:c r="M1162" s="39" t="str">
        <x:v>تدریس ریاضی و فیزیک</x:v>
      </x:c>
      <x:c r="N1162" s="39" t="str">
        <x:v>1154878548.docx::P2114.1</x:v>
      </x:c>
      <x:c r="O1162" s="39"/>
    </x:row>
    <x:row r="1163">
      <x:c r="A1163" s="34" t="str">
        <x:v>☐</x:v>
      </x:c>
      <x:c r="B1163" s="34" t="str">
        <x:v>EX-1135</x:v>
      </x:c>
      <x:c r="C1163" s="34" t="str">
        <x:v>مدیریت و استراتژی:</x:v>
      </x:c>
      <x:c r="D1163" s="34" t="str">
        <x:v>POSSIBLE</x:v>
      </x:c>
      <x:c r="E1163" s="34" t="str">
        <x:v>85.5</x:v>
      </x:c>
      <x:c r="F1163" s="34" t="str">
        <x:v>MI-1501</x:v>
      </x:c>
      <x:c r="G1163" s="39" t="str">
        <x:v>مدیریت ریسک: شناسایی ریسک ها، ارزیابی اثرات، تدوین برنامه های مقابله با ریسک ها.</x:v>
      </x:c>
      <x:c r="H1163" s="39" t="str">
        <x:v>H1</x:v>
      </x:c>
      <x:c r="I1163" s="39" t="str">
        <x:v>P0</x:v>
      </x:c>
      <x:c r="J1163" s="39" t="str">
        <x:v>H1</x:v>
      </x:c>
      <x:c r="K1163" s="39" t="str">
        <x:v>تطبیق احتمالی با پایه</x:v>
      </x:c>
      <x:c r="L1163" s="39" t="str">
        <x:v>MI-1501</x:v>
      </x:c>
      <x:c r="M1163" s="39" t="str">
        <x:v>مدیریت ریسک: شناسایی ریسک ها، ارزیابی اثرات، تدوین برنامه های مقابله با ریسک ها.</x:v>
      </x:c>
      <x:c r="N1163" s="39" t="str">
        <x:v>1154878548.docx::P2115.1 | 1154878548.docx::P4112.1</x:v>
      </x:c>
      <x:c r="O1163" s="39"/>
    </x:row>
    <x:row r="1164">
      <x:c r="A1164" s="34" t="str">
        <x:v>☐</x:v>
      </x:c>
      <x:c r="B1164" s="34" t="str">
        <x:v>EX-1136</x:v>
      </x:c>
      <x:c r="C1164" s="34" t="str">
        <x:v>مدیریت راهبردی کسبوکار، مدیریت اجرایی، مدیریت دولتی</x:v>
      </x:c>
      <x:c r="D1164" s="34" t="str">
        <x:v>POSSIBLE</x:v>
      </x:c>
      <x:c r="E1164" s="34" t="str">
        <x:v>90.0</x:v>
      </x:c>
      <x:c r="F1164" s="34" t="str">
        <x:v>MI-0104</x:v>
      </x:c>
      <x:c r="G1164" s="39" t="str">
        <x:v>مدیریت اجرایی</x:v>
      </x:c>
      <x:c r="H1164" s="39" t="str">
        <x:v>H1</x:v>
      </x:c>
      <x:c r="I1164" s="39" t="str">
        <x:v>P0</x:v>
      </x:c>
      <x:c r="J1164" s="39" t="str">
        <x:v>H1</x:v>
      </x:c>
      <x:c r="K1164" s="39" t="str">
        <x:v>تطبیق احتمالی با پایه</x:v>
      </x:c>
      <x:c r="L1164" s="39" t="str">
        <x:v>MI-0104</x:v>
      </x:c>
      <x:c r="M1164" s="39" t="str">
        <x:v>مدیریت اجرایی</x:v>
      </x:c>
      <x:c r="N1164" s="39" t="str">
        <x:v>1154878548.docx::P2116.1</x:v>
      </x:c>
      <x:c r="O1164" s="39"/>
    </x:row>
    <x:row r="1165">
      <x:c r="A1165" s="34" t="str">
        <x:v>☐</x:v>
      </x:c>
      <x:c r="B1165" s="34" t="str">
        <x:v>EX-1137</x:v>
      </x:c>
      <x:c r="C1165" s="34" t="str">
        <x:v>مدیریت پروژه (MSP) و مدیریت پروژههای چندمرحلهای</x:v>
      </x:c>
      <x:c r="D1165" s="34" t="str">
        <x:v>POSSIBLE</x:v>
      </x:c>
      <x:c r="E1165" s="34" t="str">
        <x:v>90.0</x:v>
      </x:c>
      <x:c r="F1165" s="34" t="str">
        <x:v>MI-0103</x:v>
      </x:c>
      <x:c r="G1165" s="39" t="str">
        <x:v>مدیریت پروژه</x:v>
      </x:c>
      <x:c r="H1165" s="39" t="str">
        <x:v>H6</x:v>
      </x:c>
      <x:c r="I1165" s="39" t="str">
        <x:v>P3/CLARIFY</x:v>
      </x:c>
      <x:c r="J1165" s="39" t="str">
        <x:v>H6</x:v>
      </x:c>
      <x:c r="K1165" s="39" t="str">
        <x:v>تطبیق احتمالی با پایه</x:v>
      </x:c>
      <x:c r="L1165" s="39" t="str">
        <x:v>MI-0103</x:v>
      </x:c>
      <x:c r="M1165" s="39" t="str">
        <x:v>مدیریت پروژه</x:v>
      </x:c>
      <x:c r="N1165" s="39" t="str">
        <x:v>1154878548.docx::P2117.1</x:v>
      </x:c>
      <x:c r="O1165" s="39"/>
    </x:row>
    <x:row r="1166">
      <x:c r="A1166" s="34" t="str">
        <x:v>☐</x:v>
      </x:c>
      <x:c r="B1166" s="34" t="str">
        <x:v>EX-1138</x:v>
      </x:c>
      <x:c r="C1166" s="34" t="str">
        <x:v>آشنایی با سیستم CRM و نرمافزار Odoo</x:v>
      </x:c>
      <x:c r="D1166" s="34" t="str">
        <x:v>POSSIBLE</x:v>
      </x:c>
      <x:c r="E1166" s="34" t="str">
        <x:v>90.0</x:v>
      </x:c>
      <x:c r="F1166" s="34" t="str">
        <x:v>MI-0010</x:v>
      </x:c>
      <x:c r="G1166" s="39" t="str">
        <x:v>آشنایی با سیستم CRM</x:v>
      </x:c>
      <x:c r="H1166" s="39" t="str">
        <x:v>H17</x:v>
      </x:c>
      <x:c r="I1166" s="39" t="str">
        <x:v>P3</x:v>
      </x:c>
      <x:c r="J1166" s="39" t="str">
        <x:v>H17</x:v>
      </x:c>
      <x:c r="K1166" s="39" t="str">
        <x:v>تطبیق احتمالی با پایه</x:v>
      </x:c>
      <x:c r="L1166" s="39" t="str">
        <x:v>MI-0010</x:v>
      </x:c>
      <x:c r="M1166" s="39" t="str">
        <x:v>آشنایی با سیستم CRM</x:v>
      </x:c>
      <x:c r="N1166" s="39" t="str">
        <x:v>1154878548.docx::P2123.1</x:v>
      </x:c>
      <x:c r="O1166" s="39"/>
    </x:row>
    <x:row r="1167">
      <x:c r="A1167" s="34" t="str">
        <x:v>☐</x:v>
      </x:c>
      <x:c r="B1167" s="34" t="str">
        <x:v>EX-1139</x:v>
      </x:c>
      <x:c r="C1167" s="34" t="str">
        <x:v>یادگیری مهارت فروش، بازاریابی بینالمللی و صادرات محور</x:v>
      </x:c>
      <x:c r="D1167" s="34" t="str">
        <x:v>POSSIBLE</x:v>
      </x:c>
      <x:c r="E1167" s="34" t="str">
        <x:v>86.3</x:v>
      </x:c>
      <x:c r="F1167" s="34" t="str">
        <x:v>MI-0062</x:v>
      </x:c>
      <x:c r="G1167" s="39" t="str">
        <x:v>یادگیری بازاریابی بین المللی و صادرات محور</x:v>
      </x:c>
      <x:c r="H1167" s="39" t="str">
        <x:v>H8</x:v>
      </x:c>
      <x:c r="I1167" s="39" t="str">
        <x:v>P2</x:v>
      </x:c>
      <x:c r="J1167" s="39" t="str">
        <x:v>H8</x:v>
      </x:c>
      <x:c r="K1167" s="39" t="str">
        <x:v>تطبیق احتمالی با پایه</x:v>
      </x:c>
      <x:c r="L1167" s="39" t="str">
        <x:v>MI-0062</x:v>
      </x:c>
      <x:c r="M1167" s="39" t="str">
        <x:v>یادگیری بازاریابی بین المللی و صادرات محور</x:v>
      </x:c>
      <x:c r="N1167" s="39" t="str">
        <x:v>1154878548.docx::P2124.1</x:v>
      </x:c>
      <x:c r="O1167" s="39"/>
    </x:row>
    <x:row r="1168">
      <x:c r="A1168" s="34" t="str">
        <x:v>☐</x:v>
      </x:c>
      <x:c r="B1168" s="34" t="str">
        <x:v>EX-1140</x:v>
      </x:c>
      <x:c r="C1168" s="34" t="str">
        <x:v>دانش محصول و بررسی عوامل موفقیت در فروش</x:v>
      </x:c>
      <x:c r="D1168" s="34" t="str">
        <x:v>POSSIBLE</x:v>
      </x:c>
      <x:c r="E1168" s="34" t="str">
        <x:v>90.0</x:v>
      </x:c>
      <x:c r="F1168" s="34" t="str">
        <x:v>MI-2142</x:v>
      </x:c>
      <x:c r="G1168" s="39" t="str">
        <x:v>محصول</x:v>
      </x:c>
      <x:c r="H1168" s="39" t="str">
        <x:v>H20</x:v>
      </x:c>
      <x:c r="I1168" s="39" t="str">
        <x:v>P3/CLARIFY</x:v>
      </x:c>
      <x:c r="J1168" s="39" t="str">
        <x:v>H20</x:v>
      </x:c>
      <x:c r="K1168" s="39" t="str">
        <x:v>تطبیق احتمالی با پایه</x:v>
      </x:c>
      <x:c r="L1168" s="39" t="str">
        <x:v>MI-2142</x:v>
      </x:c>
      <x:c r="M1168" s="39" t="str">
        <x:v>محصول</x:v>
      </x:c>
      <x:c r="N1168" s="39" t="str">
        <x:v>1154878548.docx::P2126.1</x:v>
      </x:c>
      <x:c r="O1168" s="39"/>
    </x:row>
    <x:row r="1169">
      <x:c r="A1169" s="34" t="str">
        <x:v>☐</x:v>
      </x:c>
      <x:c r="B1169" s="34" t="str">
        <x:v>EX-1141</x:v>
      </x:c>
      <x:c r="C1169" s="34" t="str">
        <x:v>دیجیتال مارکتینگ (Google Ads, Adwords, Analytics, Trends, Search Console)</x:v>
      </x:c>
      <x:c r="D1169" s="34" t="str">
        <x:v>POSSIBLE</x:v>
      </x:c>
      <x:c r="E1169" s="34" t="str">
        <x:v>85.5</x:v>
      </x:c>
      <x:c r="F1169" s="34" t="str">
        <x:v>MI-1473</x:v>
      </x:c>
      <x:c r="G1169" s="39" t="str">
        <x:v>مهارت های فنی و دیجیتال</x:v>
      </x:c>
      <x:c r="H1169" s="39" t="str">
        <x:v>H1</x:v>
      </x:c>
      <x:c r="I1169" s="39" t="str">
        <x:v>P0</x:v>
      </x:c>
      <x:c r="J1169" s="39" t="str">
        <x:v>H1</x:v>
      </x:c>
      <x:c r="K1169" s="39" t="str">
        <x:v>تطبیق احتمالی با پایه</x:v>
      </x:c>
      <x:c r="L1169" s="39" t="str">
        <x:v>MI-1473</x:v>
      </x:c>
      <x:c r="M1169" s="39" t="str">
        <x:v>مهارت های فنی و دیجیتال</x:v>
      </x:c>
      <x:c r="N1169" s="39" t="str">
        <x:v>1154878548.docx::P2127.1</x:v>
      </x:c>
      <x:c r="O1169" s="39"/>
    </x:row>
    <x:row r="1170">
      <x:c r="A1170" s="34" t="str">
        <x:v>☐</x:v>
      </x:c>
      <x:c r="B1170" s="34" t="str">
        <x:v>EX-1142</x:v>
      </x:c>
      <x:c r="C1170" s="34" t="str">
        <x:v>مالی و اداری:</x:v>
      </x:c>
      <x:c r="D1170" s="34" t="str">
        <x:v>POSSIBLE</x:v>
      </x:c>
      <x:c r="E1170" s="34" t="str">
        <x:v>85.5</x:v>
      </x:c>
      <x:c r="F1170" s="34" t="str">
        <x:v>MI-1513</x:v>
      </x:c>
      <x:c r="G1170" s="39" t="str">
        <x:v>تولید و کارآفرینی: توانایی تولید محصول و خدمات و ایجاد شغل.</x:v>
      </x:c>
      <x:c r="H1170" s="39" t="str">
        <x:v>H1</x:v>
      </x:c>
      <x:c r="I1170" s="39" t="str">
        <x:v>P0</x:v>
      </x:c>
      <x:c r="J1170" s="39" t="str">
        <x:v>H1</x:v>
      </x:c>
      <x:c r="K1170" s="39" t="str">
        <x:v>تطبیق احتمالی با پایه</x:v>
      </x:c>
      <x:c r="L1170" s="39" t="str">
        <x:v>MI-1513</x:v>
      </x:c>
      <x:c r="M1170" s="39" t="str">
        <x:v>تولید و کارآفرینی: توانایی تولید محصول و خدمات و ایجاد شغل.</x:v>
      </x:c>
      <x:c r="N1170" s="39" t="str">
        <x:v>1154878548.docx::P2128.1</x:v>
      </x:c>
      <x:c r="O1170" s="39"/>
    </x:row>
    <x:row r="1171">
      <x:c r="A1171" s="34" t="str">
        <x:v>☐</x:v>
      </x:c>
      <x:c r="B1171" s="34" t="str">
        <x:v>EX-1143</x:v>
      </x:c>
      <x:c r="C1171" s="34" t="str">
        <x:v>آشنایی با بورس داخلی و مفاهیم بورس</x:v>
      </x:c>
      <x:c r="D1171" s="34" t="str">
        <x:v>POSSIBLE</x:v>
      </x:c>
      <x:c r="E1171" s="34" t="str">
        <x:v>85.5</x:v>
      </x:c>
      <x:c r="F1171" s="34" t="str">
        <x:v>MI-1501</x:v>
      </x:c>
      <x:c r="G1171" s="39" t="str">
        <x:v>مدیریت ریسک: شناسایی ریسک ها، ارزیابی اثرات، تدوین برنامه های مقابله با ریسک ها.</x:v>
      </x:c>
      <x:c r="H1171" s="39" t="str">
        <x:v>H1</x:v>
      </x:c>
      <x:c r="I1171" s="39" t="str">
        <x:v>P0</x:v>
      </x:c>
      <x:c r="J1171" s="39" t="str">
        <x:v>H1</x:v>
      </x:c>
      <x:c r="K1171" s="39" t="str">
        <x:v>تطبیق احتمالی با پایه</x:v>
      </x:c>
      <x:c r="L1171" s="39" t="str">
        <x:v>MI-1501</x:v>
      </x:c>
      <x:c r="M1171" s="39" t="str">
        <x:v>مدیریت ریسک: شناسایی ریسک ها، ارزیابی اثرات، تدوین برنامه های مقابله با ریسک ها.</x:v>
      </x:c>
      <x:c r="N1171" s="39" t="str">
        <x:v>1154878548.docx::P2130.1</x:v>
      </x:c>
      <x:c r="O1171" s="39"/>
    </x:row>
    <x:row r="1172">
      <x:c r="A1172" s="34" t="str">
        <x:v>☐</x:v>
      </x:c>
      <x:c r="B1172" s="34" t="str">
        <x:v>EX-1144</x:v>
      </x:c>
      <x:c r="C1172" s="34" t="str">
        <x:v>۵. مهندسی مکانیک، صنایع و طراحی (Engineering &amp; Design)</x:v>
      </x:c>
      <x:c r="D1172" s="34" t="str">
        <x:v>POSSIBLE</x:v>
      </x:c>
      <x:c r="E1172" s="34" t="str">
        <x:v>85.5</x:v>
      </x:c>
      <x:c r="F1172" s="34" t="str">
        <x:v>MI-0029</x:v>
      </x:c>
      <x:c r="G1172" s="39" t="str">
        <x:v>تدریس ریاضی و فیزیک</x:v>
      </x:c>
      <x:c r="H1172" s="39" t="str">
        <x:v>H1</x:v>
      </x:c>
      <x:c r="I1172" s="39" t="str">
        <x:v>P0</x:v>
      </x:c>
      <x:c r="J1172" s="39" t="str">
        <x:v>H1</x:v>
      </x:c>
      <x:c r="K1172" s="39" t="str">
        <x:v>تطبیق احتمالی با پایه</x:v>
      </x:c>
      <x:c r="L1172" s="39" t="str">
        <x:v>MI-0029</x:v>
      </x:c>
      <x:c r="M1172" s="39" t="str">
        <x:v>تدریس ریاضی و فیزیک</x:v>
      </x:c>
      <x:c r="N1172" s="39" t="str">
        <x:v>1154878548.docx::P2133.1</x:v>
      </x:c>
      <x:c r="O1172" s="39"/>
    </x:row>
    <x:row r="1173">
      <x:c r="A1173" s="34" t="str">
        <x:v>☐</x:v>
      </x:c>
      <x:c r="B1173" s="34" t="str">
        <x:v>EX-1145</x:v>
      </x:c>
      <x:c r="C1173" s="34" t="str">
        <x:v>مهارتهای فنی تخصصی، نرمافزارهای مهندسی و فرآیندهای صنعتی.</x:v>
      </x:c>
      <x:c r="D1173" s="34" t="str">
        <x:v>POSSIBLE</x:v>
      </x:c>
      <x:c r="E1173" s="34" t="str">
        <x:v>85.5</x:v>
      </x:c>
      <x:c r="F1173" s="34" t="str">
        <x:v>MI-0029</x:v>
      </x:c>
      <x:c r="G1173" s="39" t="str">
        <x:v>تدریس ریاضی و فیزیک</x:v>
      </x:c>
      <x:c r="H1173" s="39" t="str">
        <x:v>H1</x:v>
      </x:c>
      <x:c r="I1173" s="39" t="str">
        <x:v>P0</x:v>
      </x:c>
      <x:c r="J1173" s="39" t="str">
        <x:v>H1</x:v>
      </x:c>
      <x:c r="K1173" s="39" t="str">
        <x:v>تطبیق احتمالی با پایه</x:v>
      </x:c>
      <x:c r="L1173" s="39" t="str">
        <x:v>MI-0029</x:v>
      </x:c>
      <x:c r="M1173" s="39" t="str">
        <x:v>تدریس ریاضی و فیزیک</x:v>
      </x:c>
      <x:c r="N1173" s="39" t="str">
        <x:v>1154878548.docx::P2134.1</x:v>
      </x:c>
      <x:c r="O1173" s="39"/>
    </x:row>
    <x:row r="1174">
      <x:c r="A1174" s="34" t="str">
        <x:v>☐</x:v>
      </x:c>
      <x:c r="B1174" s="34" t="str">
        <x:v>EX-1146</x:v>
      </x:c>
      <x:c r="C1174" s="34" t="str">
        <x:v>طراحی و نقشهکشی (CAD/CAM):</x:v>
      </x:c>
      <x:c r="D1174" s="34" t="str">
        <x:v>POSSIBLE</x:v>
      </x:c>
      <x:c r="E1174" s="34" t="str">
        <x:v>85.5</x:v>
      </x:c>
      <x:c r="F1174" s="34" t="str">
        <x:v>MI-1513</x:v>
      </x:c>
      <x:c r="G1174" s="39" t="str">
        <x:v>تولید و کارآفرینی: توانایی تولید محصول و خدمات و ایجاد شغل.</x:v>
      </x:c>
      <x:c r="H1174" s="39" t="str">
        <x:v>H1</x:v>
      </x:c>
      <x:c r="I1174" s="39" t="str">
        <x:v>P0</x:v>
      </x:c>
      <x:c r="J1174" s="39" t="str">
        <x:v>H1</x:v>
      </x:c>
      <x:c r="K1174" s="39" t="str">
        <x:v>تطبیق احتمالی با پایه</x:v>
      </x:c>
      <x:c r="L1174" s="39" t="str">
        <x:v>MI-1513</x:v>
      </x:c>
      <x:c r="M1174" s="39" t="str">
        <x:v>تولید و کارآفرینی: توانایی تولید محصول و خدمات و ایجاد شغل.</x:v>
      </x:c>
      <x:c r="N1174" s="39" t="str">
        <x:v>1154878548.docx::P2135.1</x:v>
      </x:c>
      <x:c r="O1174" s="39"/>
    </x:row>
    <x:row r="1175">
      <x:c r="A1175" s="34" t="str">
        <x:v>☐</x:v>
      </x:c>
      <x:c r="B1175" s="34" t="str">
        <x:v>EX-1147</x:v>
      </x:c>
      <x:c r="C1175" s="34" t="str">
        <x:v>Catia (ضمنی در مهارتهای طراحی)</x:v>
      </x:c>
      <x:c r="D1175" s="34" t="str">
        <x:v>POSSIBLE</x:v>
      </x:c>
      <x:c r="E1175" s="34" t="str">
        <x:v>85.5</x:v>
      </x:c>
      <x:c r="F1175" s="34" t="str">
        <x:v>MI-0077</x:v>
      </x:c>
      <x:c r="G1175" s="39" t="str">
        <x:v>یادگیری هوش هیجانی و قدرت تصمیم گیری بالا در لحظه</x:v>
      </x:c>
      <x:c r="H1175" s="39" t="str">
        <x:v>H1</x:v>
      </x:c>
      <x:c r="I1175" s="39" t="str">
        <x:v>P0</x:v>
      </x:c>
      <x:c r="J1175" s="39" t="str">
        <x:v>H1</x:v>
      </x:c>
      <x:c r="K1175" s="39" t="str">
        <x:v>تطبیق احتمالی با پایه</x:v>
      </x:c>
      <x:c r="L1175" s="39" t="str">
        <x:v>MI-0077</x:v>
      </x:c>
      <x:c r="M1175" s="39" t="str">
        <x:v>یادگیری هوش هیجانی و قدرت تصمیم گیری بالا در لحظه</x:v>
      </x:c>
      <x:c r="N1175" s="39" t="str">
        <x:v>1154878548.docx::P2140.1</x:v>
      </x:c>
      <x:c r="O1175" s="39"/>
    </x:row>
    <x:row r="1176">
      <x:c r="A1176" s="34" t="str">
        <x:v>☐</x:v>
      </x:c>
      <x:c r="B1176" s="34" t="str">
        <x:v>EX-1148</x:v>
      </x:c>
      <x:c r="C1176" s="34" t="str">
        <x:v>SolidWorks (سالیدورک)</x:v>
      </x:c>
      <x:c r="D1176" s="34" t="str">
        <x:v>POSSIBLE</x:v>
      </x:c>
      <x:c r="E1176" s="34" t="str">
        <x:v>90.0</x:v>
      </x:c>
      <x:c r="F1176" s="34" t="str">
        <x:v>MI-1477</x:v>
      </x:c>
      <x:c r="G1176" s="39" t="str">
        <x:v>SolidWorks</x:v>
      </x:c>
      <x:c r="H1176" s="39" t="str">
        <x:v>H1</x:v>
      </x:c>
      <x:c r="I1176" s="39" t="str">
        <x:v>P0</x:v>
      </x:c>
      <x:c r="J1176" s="39" t="str">
        <x:v>H1</x:v>
      </x:c>
      <x:c r="K1176" s="39" t="str">
        <x:v>تطبیق احتمالی با پایه</x:v>
      </x:c>
      <x:c r="L1176" s="39" t="str">
        <x:v>MI-1477</x:v>
      </x:c>
      <x:c r="M1176" s="39" t="str">
        <x:v>SolidWorks</x:v>
      </x:c>
      <x:c r="N1176" s="39" t="str">
        <x:v>1154878548.docx::P2141.1</x:v>
      </x:c>
      <x:c r="O1176" s="39"/>
    </x:row>
    <x:row r="1177">
      <x:c r="A1177" s="34" t="str">
        <x:v>☐</x:v>
      </x:c>
      <x:c r="B1177" s="34" t="str">
        <x:v>EX-1149</x:v>
      </x:c>
      <x:c r="C1177" s="34" t="str">
        <x:v>تحلیل و شبیهسازی (CAE):</x:v>
      </x:c>
      <x:c r="D1177" s="34" t="str">
        <x:v>POSSIBLE</x:v>
      </x:c>
      <x:c r="E1177" s="34" t="str">
        <x:v>85.5</x:v>
      </x:c>
      <x:c r="F1177" s="34" t="str">
        <x:v>MI-1513</x:v>
      </x:c>
      <x:c r="G1177" s="39" t="str">
        <x:v>تولید و کارآفرینی: توانایی تولید محصول و خدمات و ایجاد شغل.</x:v>
      </x:c>
      <x:c r="H1177" s="39" t="str">
        <x:v>H1</x:v>
      </x:c>
      <x:c r="I1177" s="39" t="str">
        <x:v>P0</x:v>
      </x:c>
      <x:c r="J1177" s="39" t="str">
        <x:v>H1</x:v>
      </x:c>
      <x:c r="K1177" s="39" t="str">
        <x:v>تطبیق احتمالی با پایه</x:v>
      </x:c>
      <x:c r="L1177" s="39" t="str">
        <x:v>MI-1513</x:v>
      </x:c>
      <x:c r="M1177" s="39" t="str">
        <x:v>تولید و کارآفرینی: توانایی تولید محصول و خدمات و ایجاد شغل.</x:v>
      </x:c>
      <x:c r="N1177" s="39" t="str">
        <x:v>1154878548.docx::P2142.1</x:v>
      </x:c>
      <x:c r="O1177" s="39"/>
    </x:row>
    <x:row r="1178">
      <x:c r="A1178" s="34" t="str">
        <x:v>☐</x:v>
      </x:c>
      <x:c r="B1178" s="34" t="str">
        <x:v>EX-1150</x:v>
      </x:c>
      <x:c r="C1178" s="34" t="str">
        <x:v>Comsol (کامسول)</x:v>
      </x:c>
      <x:c r="D1178" s="34" t="str">
        <x:v>POSSIBLE</x:v>
      </x:c>
      <x:c r="E1178" s="34" t="str">
        <x:v>90.0</x:v>
      </x:c>
      <x:c r="F1178" s="34" t="str">
        <x:v>MI-0121</x:v>
      </x:c>
      <x:c r="G1178" s="39" t="str">
        <x:v>کامسول</x:v>
      </x:c>
      <x:c r="H1178" s="39" t="str">
        <x:v>H18</x:v>
      </x:c>
      <x:c r="I1178" s="39" t="str">
        <x:v>BANK</x:v>
      </x:c>
      <x:c r="J1178" s="39" t="str">
        <x:v>H18</x:v>
      </x:c>
      <x:c r="K1178" s="39" t="str">
        <x:v>تطبیق احتمالی با پایه</x:v>
      </x:c>
      <x:c r="L1178" s="39" t="str">
        <x:v>MI-0121</x:v>
      </x:c>
      <x:c r="M1178" s="39" t="str">
        <x:v>کامسول</x:v>
      </x:c>
      <x:c r="N1178" s="39" t="str">
        <x:v>1154878548.docx::P2143.1</x:v>
      </x:c>
      <x:c r="O1178" s="39"/>
    </x:row>
    <x:row r="1179">
      <x:c r="A1179" s="34" t="str">
        <x:v>☐</x:v>
      </x:c>
      <x:c r="B1179" s="34" t="str">
        <x:v>EX-1151</x:v>
      </x:c>
      <x:c r="C1179" s="34" t="str">
        <x:v>ADAMS (ادمز)</x:v>
      </x:c>
      <x:c r="D1179" s="34" t="str">
        <x:v>POSSIBLE</x:v>
      </x:c>
      <x:c r="E1179" s="34" t="str">
        <x:v>90.0</x:v>
      </x:c>
      <x:c r="F1179" s="34" t="str">
        <x:v>MI-0141</x:v>
      </x:c>
      <x:c r="G1179" s="39" t="str">
        <x:v>ادمز</x:v>
      </x:c>
      <x:c r="H1179" s="39" t="str">
        <x:v>H6</x:v>
      </x:c>
      <x:c r="I1179" s="39" t="str">
        <x:v>P3/CLARIFY</x:v>
      </x:c>
      <x:c r="J1179" s="39" t="str">
        <x:v>H6</x:v>
      </x:c>
      <x:c r="K1179" s="39" t="str">
        <x:v>تطبیق احتمالی با پایه</x:v>
      </x:c>
      <x:c r="L1179" s="39" t="str">
        <x:v>MI-0141</x:v>
      </x:c>
      <x:c r="M1179" s="39" t="str">
        <x:v>ادمز</x:v>
      </x:c>
      <x:c r="N1179" s="39" t="str">
        <x:v>1154878548.docx::P2144.1</x:v>
      </x:c>
      <x:c r="O1179" s="39"/>
    </x:row>
    <x:row r="1180">
      <x:c r="A1180" s="34" t="str">
        <x:v>☐</x:v>
      </x:c>
      <x:c r="B1180" s="34" t="str">
        <x:v>EX-1152</x:v>
      </x:c>
      <x:c r="C1180" s="34" t="str">
        <x:v>Zemax (اپتیک)</x:v>
      </x:c>
      <x:c r="D1180" s="34" t="str">
        <x:v>POSSIBLE</x:v>
      </x:c>
      <x:c r="E1180" s="34" t="str">
        <x:v>90.0</x:v>
      </x:c>
      <x:c r="F1180" s="34" t="str">
        <x:v>MI-0114</x:v>
      </x:c>
      <x:c r="G1180" s="39" t="str">
        <x:v>zemax</x:v>
      </x:c>
      <x:c r="H1180" s="39" t="str">
        <x:v>H6</x:v>
      </x:c>
      <x:c r="I1180" s="39" t="str">
        <x:v>P3/CLARIFY</x:v>
      </x:c>
      <x:c r="J1180" s="39" t="str">
        <x:v>H6</x:v>
      </x:c>
      <x:c r="K1180" s="39" t="str">
        <x:v>تطبیق احتمالی با پایه</x:v>
      </x:c>
      <x:c r="L1180" s="39" t="str">
        <x:v>MI-0114</x:v>
      </x:c>
      <x:c r="M1180" s="39" t="str">
        <x:v>zemax</x:v>
      </x:c>
      <x:c r="N1180" s="39" t="str">
        <x:v>1154878548.docx::P2145.1</x:v>
      </x:c>
      <x:c r="O1180" s="39"/>
    </x:row>
    <x:row r="1181">
      <x:c r="A1181" s="34" t="str">
        <x:v>☐</x:v>
      </x:c>
      <x:c r="B1181" s="34" t="str">
        <x:v>EX-1153</x:v>
      </x:c>
      <x:c r="C1181" s="34" t="str">
        <x:v>CST (الکترومغناطیس)</x:v>
      </x:c>
      <x:c r="D1181" s="34" t="str">
        <x:v>POSSIBLE</x:v>
      </x:c>
      <x:c r="E1181" s="34" t="str">
        <x:v>90.0</x:v>
      </x:c>
      <x:c r="F1181" s="34" t="str">
        <x:v>MI-0146</x:v>
      </x:c>
      <x:c r="G1181" s="39" t="str">
        <x:v>CST</x:v>
      </x:c>
      <x:c r="H1181" s="39" t="str">
        <x:v>H6</x:v>
      </x:c>
      <x:c r="I1181" s="39" t="str">
        <x:v>P3/CLARIFY</x:v>
      </x:c>
      <x:c r="J1181" s="39" t="str">
        <x:v>H6</x:v>
      </x:c>
      <x:c r="K1181" s="39" t="str">
        <x:v>تطبیق احتمالی با پایه</x:v>
      </x:c>
      <x:c r="L1181" s="39" t="str">
        <x:v>MI-0146</x:v>
      </x:c>
      <x:c r="M1181" s="39" t="str">
        <x:v>CST</x:v>
      </x:c>
      <x:c r="N1181" s="39" t="str">
        <x:v>1154878548.docx::P2146.1</x:v>
      </x:c>
      <x:c r="O1181" s="39"/>
    </x:row>
    <x:row r="1182">
      <x:c r="A1182" s="34" t="str">
        <x:v>☐</x:v>
      </x:c>
      <x:c r="B1182" s="34" t="str">
        <x:v>EX-1154</x:v>
      </x:c>
      <x:c r="C1182" s="34" t="str">
        <x:v>FEM (روش اجزای محدود)</x:v>
      </x:c>
      <x:c r="D1182" s="34" t="str">
        <x:v>POSSIBLE</x:v>
      </x:c>
      <x:c r="E1182" s="34" t="str">
        <x:v>90.0</x:v>
      </x:c>
      <x:c r="F1182" s="34" t="str">
        <x:v>MI-0148</x:v>
      </x:c>
      <x:c r="G1182" s="39" t="str">
        <x:v>FEM</x:v>
      </x:c>
      <x:c r="H1182" s="39" t="str">
        <x:v>H6</x:v>
      </x:c>
      <x:c r="I1182" s="39" t="str">
        <x:v>P3/CLARIFY</x:v>
      </x:c>
      <x:c r="J1182" s="39" t="str">
        <x:v>H6</x:v>
      </x:c>
      <x:c r="K1182" s="39" t="str">
        <x:v>تطبیق احتمالی با پایه</x:v>
      </x:c>
      <x:c r="L1182" s="39" t="str">
        <x:v>MI-0148</x:v>
      </x:c>
      <x:c r="M1182" s="39" t="str">
        <x:v>FEM</x:v>
      </x:c>
      <x:c r="N1182" s="39" t="str">
        <x:v>1154878548.docx::P2147.1</x:v>
      </x:c>
      <x:c r="O1182" s="39"/>
    </x:row>
    <x:row r="1183">
      <x:c r="A1183" s="34" t="str">
        <x:v>☐</x:v>
      </x:c>
      <x:c r="B1183" s="34" t="str">
        <x:v>EX-1155</x:v>
      </x:c>
      <x:c r="C1183" s="34" t="str">
        <x:v>Gambit (مشبندی)</x:v>
      </x:c>
      <x:c r="D1183" s="34" t="str">
        <x:v>POSSIBLE</x:v>
      </x:c>
      <x:c r="E1183" s="34" t="str">
        <x:v>90.0</x:v>
      </x:c>
      <x:c r="F1183" s="34" t="str">
        <x:v>MI-0144</x:v>
      </x:c>
      <x:c r="G1183" s="39" t="str">
        <x:v>gambit</x:v>
      </x:c>
      <x:c r="H1183" s="39" t="str">
        <x:v>H7</x:v>
      </x:c>
      <x:c r="I1183" s="39" t="str">
        <x:v>P1</x:v>
      </x:c>
      <x:c r="J1183" s="39" t="str">
        <x:v>H7</x:v>
      </x:c>
      <x:c r="K1183" s="39" t="str">
        <x:v>تطبیق احتمالی با پایه</x:v>
      </x:c>
      <x:c r="L1183" s="39" t="str">
        <x:v>MI-0144</x:v>
      </x:c>
      <x:c r="M1183" s="39" t="str">
        <x:v>gambit</x:v>
      </x:c>
      <x:c r="N1183" s="39" t="str">
        <x:v>1154878548.docx::P2148.1</x:v>
      </x:c>
      <x:c r="O1183" s="39"/>
    </x:row>
    <x:row r="1184">
      <x:c r="A1184" s="34" t="str">
        <x:v>☐</x:v>
      </x:c>
      <x:c r="B1184" s="34" t="str">
        <x:v>EX-1156</x:v>
      </x:c>
      <x:c r="C1184" s="34" t="str">
        <x:v>صنایع و فرآیند:</x:v>
      </x:c>
      <x:c r="D1184" s="34" t="str">
        <x:v>POSSIBLE</x:v>
      </x:c>
      <x:c r="E1184" s="34" t="str">
        <x:v>90.0</x:v>
      </x:c>
      <x:c r="F1184" s="34" t="str">
        <x:v>MI-2973</x:v>
      </x:c>
      <x:c r="G1184" s="39" t="str">
        <x:v>فرآیند:</x:v>
      </x:c>
      <x:c r="H1184" s="39" t="str">
        <x:v>H20</x:v>
      </x:c>
      <x:c r="I1184" s="39" t="str">
        <x:v>P3/CLARIFY</x:v>
      </x:c>
      <x:c r="J1184" s="39" t="str">
        <x:v>H20</x:v>
      </x:c>
      <x:c r="K1184" s="39" t="str">
        <x:v>تطبیق احتمالی با پایه</x:v>
      </x:c>
      <x:c r="L1184" s="39" t="str">
        <x:v>MI-2973</x:v>
      </x:c>
      <x:c r="M1184" s="39" t="str">
        <x:v>فرآیند:</x:v>
      </x:c>
      <x:c r="N1184" s="39" t="str">
        <x:v>1154878548.docx::P2150.1</x:v>
      </x:c>
      <x:c r="O1184" s="39"/>
    </x:row>
    <x:row r="1185">
      <x:c r="A1185" s="34" t="str">
        <x:v>☐</x:v>
      </x:c>
      <x:c r="B1185" s="34" t="str">
        <x:v>EX-1157</x:v>
      </x:c>
      <x:c r="C1185" s="34" t="str">
        <x:v>کنترل کیفیت و بهرهوری، روشهای بهینهسازی</x:v>
      </x:c>
      <x:c r="D1185" s="34" t="str">
        <x:v>POSSIBLE</x:v>
      </x:c>
      <x:c r="E1185" s="34" t="str">
        <x:v>90.0</x:v>
      </x:c>
      <x:c r="F1185" s="34" t="str">
        <x:v>MI-0720</x:v>
      </x:c>
      <x:c r="G1185" s="39" t="str">
        <x:v>کیفیت</x:v>
      </x:c>
      <x:c r="H1185" s="39" t="str">
        <x:v>H11</x:v>
      </x:c>
      <x:c r="I1185" s="39" t="str">
        <x:v>DELEGATE/P2</x:v>
      </x:c>
      <x:c r="J1185" s="39" t="str">
        <x:v>H11</x:v>
      </x:c>
      <x:c r="K1185" s="39" t="str">
        <x:v>تطبیق احتمالی با پایه</x:v>
      </x:c>
      <x:c r="L1185" s="39" t="str">
        <x:v>MI-0720</x:v>
      </x:c>
      <x:c r="M1185" s="39" t="str">
        <x:v>کیفیت</x:v>
      </x:c>
      <x:c r="N1185" s="39" t="str">
        <x:v>1154878548.docx::P2152.1</x:v>
      </x:c>
      <x:c r="O1185" s="39"/>
    </x:row>
    <x:row r="1186">
      <x:c r="A1186" s="34" t="str">
        <x:v>☐</x:v>
      </x:c>
      <x:c r="B1186" s="34" t="str">
        <x:v>EX-1158</x:v>
      </x:c>
      <x:c r="C1186" s="34" t="str">
        <x:v>توسعه و بهبود محصولات صنایع، عارضهیابی صنایع تولیدی</x:v>
      </x:c>
      <x:c r="D1186" s="34" t="str">
        <x:v>POSSIBLE</x:v>
      </x:c>
      <x:c r="E1186" s="34" t="str">
        <x:v>90.0</x:v>
      </x:c>
      <x:c r="F1186" s="34" t="str">
        <x:v>MI-0174</x:v>
      </x:c>
      <x:c r="G1186" s="39" t="str">
        <x:v>توسعه و بهبود محصولات صنایع</x:v>
      </x:c>
      <x:c r="H1186" s="39" t="str">
        <x:v>H23</x:v>
      </x:c>
      <x:c r="I1186" s="39" t="str">
        <x:v>P3/CLARIFY</x:v>
      </x:c>
      <x:c r="J1186" s="39" t="str">
        <x:v>H23</x:v>
      </x:c>
      <x:c r="K1186" s="39" t="str">
        <x:v>تطبیق احتمالی با پایه</x:v>
      </x:c>
      <x:c r="L1186" s="39" t="str">
        <x:v>MI-0174</x:v>
      </x:c>
      <x:c r="M1186" s="39" t="str">
        <x:v>توسعه و بهبود محصولات صنایع</x:v>
      </x:c>
      <x:c r="N1186" s="39" t="str">
        <x:v>1154878548.docx::P2153.1</x:v>
      </x:c>
      <x:c r="O1186" s="39"/>
    </x:row>
    <x:row r="1187">
      <x:c r="A1187" s="34" t="str">
        <x:v>☐</x:v>
      </x:c>
      <x:c r="B1187" s="34" t="str">
        <x:v>EX-1159</x:v>
      </x:c>
      <x:c r="C1187" s="34" t="str">
        <x:v>تاسیسات و ساخت:</x:v>
      </x:c>
      <x:c r="D1187" s="34" t="str">
        <x:v>POSSIBLE</x:v>
      </x:c>
      <x:c r="E1187" s="34" t="str">
        <x:v>85.5</x:v>
      </x:c>
      <x:c r="F1187" s="34" t="str">
        <x:v>MI-1513</x:v>
      </x:c>
      <x:c r="G1187" s="39" t="str">
        <x:v>تولید و کارآفرینی: توانایی تولید محصول و خدمات و ایجاد شغل.</x:v>
      </x:c>
      <x:c r="H1187" s="39" t="str">
        <x:v>H1</x:v>
      </x:c>
      <x:c r="I1187" s="39" t="str">
        <x:v>P0</x:v>
      </x:c>
      <x:c r="J1187" s="39" t="str">
        <x:v>H1</x:v>
      </x:c>
      <x:c r="K1187" s="39" t="str">
        <x:v>تطبیق احتمالی با پایه</x:v>
      </x:c>
      <x:c r="L1187" s="39" t="str">
        <x:v>MI-1513</x:v>
      </x:c>
      <x:c r="M1187" s="39" t="str">
        <x:v>تولید و کارآفرینی: توانایی تولید محصول و خدمات و ایجاد شغل.</x:v>
      </x:c>
      <x:c r="N1187" s="39" t="str">
        <x:v>1154878548.docx::P2158.1</x:v>
      </x:c>
      <x:c r="O1187" s="39"/>
    </x:row>
    <x:row r="1188">
      <x:c r="A1188" s="34" t="str">
        <x:v>☐</x:v>
      </x:c>
      <x:c r="B1188" s="34" t="str">
        <x:v>EX-1160</x:v>
      </x:c>
      <x:c r="C1188" s="34" t="str">
        <x:v>۶. فناوری اطلاعات، برنامهنویسی و هوش مصنوعی (IT, AI &amp; Programming)</x:v>
      </x:c>
      <x:c r="D1188" s="34" t="str">
        <x:v>POSSIBLE</x:v>
      </x:c>
      <x:c r="E1188" s="34" t="str">
        <x:v>90.0</x:v>
      </x:c>
      <x:c r="F1188" s="34" t="str">
        <x:v>MI-2652</x:v>
      </x:c>
      <x:c r="G1188" s="39" t="str">
        <x:v>هوش مصنوعی</x:v>
      </x:c>
      <x:c r="H1188" s="39" t="str">
        <x:v>H7</x:v>
      </x:c>
      <x:c r="I1188" s="39" t="str">
        <x:v>P1</x:v>
      </x:c>
      <x:c r="J1188" s="39" t="str">
        <x:v>H7</x:v>
      </x:c>
      <x:c r="K1188" s="39" t="str">
        <x:v>تطبیق احتمالی با پایه</x:v>
      </x:c>
      <x:c r="L1188" s="39" t="str">
        <x:v>MI-2652</x:v>
      </x:c>
      <x:c r="M1188" s="39" t="str">
        <x:v>هوش مصنوعی</x:v>
      </x:c>
      <x:c r="N1188" s="39" t="str">
        <x:v>1154878548.docx::P2163.1</x:v>
      </x:c>
      <x:c r="O1188" s="39"/>
    </x:row>
    <x:row r="1189">
      <x:c r="A1189" s="34" t="str">
        <x:v>☐</x:v>
      </x:c>
      <x:c r="B1189" s="34" t="str">
        <x:v>EX-1161</x:v>
      </x:c>
      <x:c r="C1189" s="34" t="str">
        <x:v>مهارتهای کامپیوتری و توسعه نرمافزار.</x:v>
      </x:c>
      <x:c r="D1189" s="34" t="str">
        <x:v>POSSIBLE</x:v>
      </x:c>
      <x:c r="E1189" s="34" t="str">
        <x:v>85.5</x:v>
      </x:c>
      <x:c r="F1189" s="34" t="str">
        <x:v>MI-1513</x:v>
      </x:c>
      <x:c r="G1189" s="39" t="str">
        <x:v>تولید و کارآفرینی: توانایی تولید محصول و خدمات و ایجاد شغل.</x:v>
      </x:c>
      <x:c r="H1189" s="39" t="str">
        <x:v>H1</x:v>
      </x:c>
      <x:c r="I1189" s="39" t="str">
        <x:v>P0</x:v>
      </x:c>
      <x:c r="J1189" s="39" t="str">
        <x:v>H1</x:v>
      </x:c>
      <x:c r="K1189" s="39" t="str">
        <x:v>تطبیق احتمالی با پایه</x:v>
      </x:c>
      <x:c r="L1189" s="39" t="str">
        <x:v>MI-1513</x:v>
      </x:c>
      <x:c r="M1189" s="39" t="str">
        <x:v>تولید و کارآفرینی: توانایی تولید محصول و خدمات و ایجاد شغل.</x:v>
      </x:c>
      <x:c r="N1189" s="39" t="str">
        <x:v>1154878548.docx::P2164.1</x:v>
      </x:c>
      <x:c r="O1189" s="39"/>
    </x:row>
    <x:row r="1190">
      <x:c r="A1190" s="34" t="str">
        <x:v>☐</x:v>
      </x:c>
      <x:c r="B1190" s="34" t="str">
        <x:v>EX-1162</x:v>
      </x:c>
      <x:c r="C1190" s="34" t="str">
        <x:v>برنامهنویسی و توسعه وب:</x:v>
      </x:c>
      <x:c r="D1190" s="34" t="str">
        <x:v>POSSIBLE</x:v>
      </x:c>
      <x:c r="E1190" s="34" t="str">
        <x:v>86.1</x:v>
      </x:c>
      <x:c r="F1190" s="34" t="str">
        <x:v>MI-1482</x:v>
      </x:c>
      <x:c r="G1190" s="39" t="str">
        <x:v>برنامه نویسی:</x:v>
      </x:c>
      <x:c r="H1190" s="39" t="str">
        <x:v>H1</x:v>
      </x:c>
      <x:c r="I1190" s="39" t="str">
        <x:v>P0</x:v>
      </x:c>
      <x:c r="J1190" s="39" t="str">
        <x:v>H1</x:v>
      </x:c>
      <x:c r="K1190" s="39" t="str">
        <x:v>تطبیق احتمالی با پایه</x:v>
      </x:c>
      <x:c r="L1190" s="39" t="str">
        <x:v>MI-1482</x:v>
      </x:c>
      <x:c r="M1190" s="39" t="str">
        <x:v>برنامه نویسی:</x:v>
      </x:c>
      <x:c r="N1190" s="39" t="str">
        <x:v>1154878548.docx::P2165.1</x:v>
      </x:c>
      <x:c r="O1190" s="39"/>
    </x:row>
    <x:row r="1191">
      <x:c r="A1191" s="34" t="str">
        <x:v>☐</x:v>
      </x:c>
      <x:c r="B1191" s="34" t="str">
        <x:v>EX-1163</x:v>
      </x:c>
      <x:c r="C1191" s="34" t="str">
        <x:v>وردپرس (WordPress) و المنتور پرو</x:v>
      </x:c>
      <x:c r="D1191" s="34" t="str">
        <x:v>POSSIBLE</x:v>
      </x:c>
      <x:c r="E1191" s="34" t="str">
        <x:v>90.0</x:v>
      </x:c>
      <x:c r="F1191" s="34" t="str">
        <x:v>MI-1475</x:v>
      </x:c>
      <x:c r="G1191" s="39" t="str">
        <x:v>Wordpress</x:v>
      </x:c>
      <x:c r="H1191" s="39" t="str">
        <x:v>H1</x:v>
      </x:c>
      <x:c r="I1191" s="39" t="str">
        <x:v>P0</x:v>
      </x:c>
      <x:c r="J1191" s="39" t="str">
        <x:v>H1</x:v>
      </x:c>
      <x:c r="K1191" s="39" t="str">
        <x:v>تطبیق احتمالی با پایه</x:v>
      </x:c>
      <x:c r="L1191" s="39" t="str">
        <x:v>MI-1475</x:v>
      </x:c>
      <x:c r="M1191" s="39" t="str">
        <x:v>Wordpress</x:v>
      </x:c>
      <x:c r="N1191" s="39" t="str">
        <x:v>1154878548.docx::P2166.1</x:v>
      </x:c>
      <x:c r="O1191" s="39"/>
    </x:row>
    <x:row r="1192">
      <x:c r="A1192" s="34" t="str">
        <x:v>☐</x:v>
      </x:c>
      <x:c r="B1192" s="34" t="str">
        <x:v>EX-1164</x:v>
      </x:c>
      <x:c r="C1192" s="34" t="str">
        <x:v>Python (ضمنی در هوش مصنوعی)</x:v>
      </x:c>
      <x:c r="D1192" s="34" t="str">
        <x:v>POSSIBLE</x:v>
      </x:c>
      <x:c r="E1192" s="34" t="str">
        <x:v>90.0</x:v>
      </x:c>
      <x:c r="F1192" s="34" t="str">
        <x:v>MI-2652</x:v>
      </x:c>
      <x:c r="G1192" s="39" t="str">
        <x:v>هوش مصنوعی</x:v>
      </x:c>
      <x:c r="H1192" s="39" t="str">
        <x:v>H7</x:v>
      </x:c>
      <x:c r="I1192" s="39" t="str">
        <x:v>P1</x:v>
      </x:c>
      <x:c r="J1192" s="39" t="str">
        <x:v>H7</x:v>
      </x:c>
      <x:c r="K1192" s="39" t="str">
        <x:v>تطبیق احتمالی با پایه</x:v>
      </x:c>
      <x:c r="L1192" s="39" t="str">
        <x:v>MI-2652</x:v>
      </x:c>
      <x:c r="M1192" s="39" t="str">
        <x:v>هوش مصنوعی</x:v>
      </x:c>
      <x:c r="N1192" s="39" t="str">
        <x:v>1154878548.docx::P2167.1</x:v>
      </x:c>
      <x:c r="O1192" s="39"/>
    </x:row>
    <x:row r="1193">
      <x:c r="A1193" s="34" t="str">
        <x:v>☐</x:v>
      </x:c>
      <x:c r="B1193" s="34" t="str">
        <x:v>EX-1165</x:v>
      </x:c>
      <x:c r="C1193" s="34" t="str">
        <x:v>MVC, ASP Life Cycle, GWT</x:v>
      </x:c>
      <x:c r="D1193" s="34" t="str">
        <x:v>POSSIBLE</x:v>
      </x:c>
      <x:c r="E1193" s="34" t="str">
        <x:v>90.0</x:v>
      </x:c>
      <x:c r="F1193" s="34" t="str">
        <x:v>MI-0158</x:v>
      </x:c>
      <x:c r="G1193" s="39" t="str">
        <x:v>GWT</x:v>
      </x:c>
      <x:c r="H1193" s="39" t="str">
        <x:v>H7</x:v>
      </x:c>
      <x:c r="I1193" s="39" t="str">
        <x:v>P1</x:v>
      </x:c>
      <x:c r="J1193" s="39" t="str">
        <x:v>H7</x:v>
      </x:c>
      <x:c r="K1193" s="39" t="str">
        <x:v>تطبیق احتمالی با پایه</x:v>
      </x:c>
      <x:c r="L1193" s="39" t="str">
        <x:v>MI-0158</x:v>
      </x:c>
      <x:c r="M1193" s="39" t="str">
        <x:v>GWT</x:v>
      </x:c>
      <x:c r="N1193" s="39" t="str">
        <x:v>1154878548.docx::P2168.1</x:v>
      </x:c>
      <x:c r="O1193" s="39"/>
    </x:row>
    <x:row r="1194">
      <x:c r="A1194" s="34" t="str">
        <x:v>☐</x:v>
      </x:c>
      <x:c r="B1194" s="34" t="str">
        <x:v>EX-1166</x:v>
      </x:c>
      <x:c r="C1194" s="34" t="str">
        <x:v>هوش مصنوعی و داده:</x:v>
      </x:c>
      <x:c r="D1194" s="34" t="str">
        <x:v>POSSIBLE</x:v>
      </x:c>
      <x:c r="E1194" s="34" t="str">
        <x:v>90.0</x:v>
      </x:c>
      <x:c r="F1194" s="34" t="str">
        <x:v>MI-2652</x:v>
      </x:c>
      <x:c r="G1194" s="39" t="str">
        <x:v>هوش مصنوعی</x:v>
      </x:c>
      <x:c r="H1194" s="39" t="str">
        <x:v>H7</x:v>
      </x:c>
      <x:c r="I1194" s="39" t="str">
        <x:v>P1</x:v>
      </x:c>
      <x:c r="J1194" s="39" t="str">
        <x:v>H7</x:v>
      </x:c>
      <x:c r="K1194" s="39" t="str">
        <x:v>تطبیق احتمالی با پایه</x:v>
      </x:c>
      <x:c r="L1194" s="39" t="str">
        <x:v>MI-2652</x:v>
      </x:c>
      <x:c r="M1194" s="39" t="str">
        <x:v>هوش مصنوعی</x:v>
      </x:c>
      <x:c r="N1194" s="39" t="str">
        <x:v>1154878548.docx::P2171.1</x:v>
      </x:c>
      <x:c r="O1194" s="39"/>
    </x:row>
    <x:row r="1195">
      <x:c r="A1195" s="34" t="str">
        <x:v>☐</x:v>
      </x:c>
      <x:c r="B1195" s="34" t="str">
        <x:v>EX-1167</x:v>
      </x:c>
      <x:c r="C1195" s="34" t="str">
        <x:v>هوش مصنوعی و رباتیک (YOLO, CNN, NLP, CVAT)</x:v>
      </x:c>
      <x:c r="D1195" s="34" t="str">
        <x:v>POSSIBLE</x:v>
      </x:c>
      <x:c r="E1195" s="34" t="str">
        <x:v>90.0</x:v>
      </x:c>
      <x:c r="F1195" s="34" t="str">
        <x:v>MI-0096</x:v>
      </x:c>
      <x:c r="G1195" s="39" t="str">
        <x:v>هوش مصنوعی و رباتیک</x:v>
      </x:c>
      <x:c r="H1195" s="39" t="str">
        <x:v>H7</x:v>
      </x:c>
      <x:c r="I1195" s="39" t="str">
        <x:v>P1</x:v>
      </x:c>
      <x:c r="J1195" s="39" t="str">
        <x:v>H7</x:v>
      </x:c>
      <x:c r="K1195" s="39" t="str">
        <x:v>تطبیق احتمالی با پایه</x:v>
      </x:c>
      <x:c r="L1195" s="39" t="str">
        <x:v>MI-0096</x:v>
      </x:c>
      <x:c r="M1195" s="39" t="str">
        <x:v>هوش مصنوعی و رباتیک</x:v>
      </x:c>
      <x:c r="N1195" s="39" t="str">
        <x:v>1154878548.docx::P2172.1</x:v>
      </x:c>
      <x:c r="O1195" s="39"/>
    </x:row>
    <x:row r="1196">
      <x:c r="A1196" s="34" t="str">
        <x:v>☐</x:v>
      </x:c>
      <x:c r="B1196" s="34" t="str">
        <x:v>EX-1168</x:v>
      </x:c>
      <x:c r="C1196" s="34" t="str">
        <x:v>Data Mining (کاوش در پایگاه داده اختراعات)</x:v>
      </x:c>
      <x:c r="D1196" s="34" t="str">
        <x:v>POSSIBLE</x:v>
      </x:c>
      <x:c r="E1196" s="34" t="str">
        <x:v>85.5</x:v>
      </x:c>
      <x:c r="F1196" s="34" t="str">
        <x:v>MI-0173</x:v>
      </x:c>
      <x:c r="G1196" s="39" t="str">
        <x:v>جستجو در منابع سریع</x:v>
      </x:c>
      <x:c r="H1196" s="39" t="str">
        <x:v>H1</x:v>
      </x:c>
      <x:c r="I1196" s="39" t="str">
        <x:v>P0</x:v>
      </x:c>
      <x:c r="J1196" s="39" t="str">
        <x:v>H1</x:v>
      </x:c>
      <x:c r="K1196" s="39" t="str">
        <x:v>تطبیق احتمالی با پایه</x:v>
      </x:c>
      <x:c r="L1196" s="39" t="str">
        <x:v>MI-0173</x:v>
      </x:c>
      <x:c r="M1196" s="39" t="str">
        <x:v>جستجو در منابع سریع</x:v>
      </x:c>
      <x:c r="N1196" s="39" t="str">
        <x:v>1154878548.docx::P2174.1</x:v>
      </x:c>
      <x:c r="O1196" s="39"/>
    </x:row>
    <x:row r="1197">
      <x:c r="A1197" s="34" t="str">
        <x:v>☐</x:v>
      </x:c>
      <x:c r="B1197" s="34" t="str">
        <x:v>EX-1169</x:v>
      </x:c>
      <x:c r="C1197" s="34" t="str">
        <x:v>ClickHouse (پایگاه داده)</x:v>
      </x:c>
      <x:c r="D1197" s="34" t="str">
        <x:v>POSSIBLE</x:v>
      </x:c>
      <x:c r="E1197" s="34" t="str">
        <x:v>85.7</x:v>
      </x:c>
      <x:c r="F1197" s="34" t="str">
        <x:v>MI-0091</x:v>
      </x:c>
      <x:c r="G1197" s="39" t="str">
        <x:v>click house</x:v>
      </x:c>
      <x:c r="H1197" s="39" t="str">
        <x:v>H7</x:v>
      </x:c>
      <x:c r="I1197" s="39" t="str">
        <x:v>P1</x:v>
      </x:c>
      <x:c r="J1197" s="39" t="str">
        <x:v>H7</x:v>
      </x:c>
      <x:c r="K1197" s="39" t="str">
        <x:v>تطبیق احتمالی با پایه</x:v>
      </x:c>
      <x:c r="L1197" s="39" t="str">
        <x:v>MI-0091</x:v>
      </x:c>
      <x:c r="M1197" s="39" t="str">
        <x:v>click house</x:v>
      </x:c>
      <x:c r="N1197" s="39" t="str">
        <x:v>1154878548.docx::P2175.1</x:v>
      </x:c>
      <x:c r="O1197" s="39"/>
    </x:row>
    <x:row r="1198">
      <x:c r="A1198" s="34" t="str">
        <x:v>☐</x:v>
      </x:c>
      <x:c r="B1198" s="34" t="str">
        <x:v>EX-1170</x:v>
      </x:c>
      <x:c r="C1198" s="34" t="str">
        <x:v>آشنایی با Power BI</x:v>
      </x:c>
      <x:c r="D1198" s="34" t="str">
        <x:v>POSSIBLE</x:v>
      </x:c>
      <x:c r="E1198" s="34" t="str">
        <x:v>90.0</x:v>
      </x:c>
      <x:c r="F1198" s="34" t="str">
        <x:v>MI-0189</x:v>
      </x:c>
      <x:c r="G1198" s="39" t="str">
        <x:v>POWER BI</x:v>
      </x:c>
      <x:c r="H1198" s="39" t="str">
        <x:v>H7</x:v>
      </x:c>
      <x:c r="I1198" s="39" t="str">
        <x:v>P1</x:v>
      </x:c>
      <x:c r="J1198" s="39" t="str">
        <x:v>H7</x:v>
      </x:c>
      <x:c r="K1198" s="39" t="str">
        <x:v>تطبیق احتمالی با پایه</x:v>
      </x:c>
      <x:c r="L1198" s="39" t="str">
        <x:v>MI-0189</x:v>
      </x:c>
      <x:c r="M1198" s="39" t="str">
        <x:v>POWER BI</x:v>
      </x:c>
      <x:c r="N1198" s="39" t="str">
        <x:v>1154878548.docx::P2177.1</x:v>
      </x:c>
      <x:c r="O1198" s="39"/>
    </x:row>
    <x:row r="1199">
      <x:c r="A1199" s="34" t="str">
        <x:v>☐</x:v>
      </x:c>
      <x:c r="B1199" s="34" t="str">
        <x:v>EX-1171</x:v>
      </x:c>
      <x:c r="C1199" s="34" t="str">
        <x:v>الکترونیک و سختافزار:</x:v>
      </x:c>
      <x:c r="D1199" s="34" t="str">
        <x:v>POSSIBLE</x:v>
      </x:c>
      <x:c r="E1199" s="34" t="str">
        <x:v>85.5</x:v>
      </x:c>
      <x:c r="F1199" s="34" t="str">
        <x:v>MI-1513</x:v>
      </x:c>
      <x:c r="G1199" s="39" t="str">
        <x:v>تولید و کارآفرینی: توانایی تولید محصول و خدمات و ایجاد شغل.</x:v>
      </x:c>
      <x:c r="H1199" s="39" t="str">
        <x:v>H1</x:v>
      </x:c>
      <x:c r="I1199" s="39" t="str">
        <x:v>P0</x:v>
      </x:c>
      <x:c r="J1199" s="39" t="str">
        <x:v>H1</x:v>
      </x:c>
      <x:c r="K1199" s="39" t="str">
        <x:v>تطبیق احتمالی با پایه</x:v>
      </x:c>
      <x:c r="L1199" s="39" t="str">
        <x:v>MI-1513</x:v>
      </x:c>
      <x:c r="M1199" s="39" t="str">
        <x:v>تولید و کارآفرینی: توانایی تولید محصول و خدمات و ایجاد شغل.</x:v>
      </x:c>
      <x:c r="N1199" s="39" t="str">
        <x:v>1154878548.docx::P2178.1</x:v>
      </x:c>
      <x:c r="O1199" s="39"/>
    </x:row>
    <x:row r="1200">
      <x:c r="A1200" s="34" t="str">
        <x:v>☐</x:v>
      </x:c>
      <x:c r="B1200" s="34" t="str">
        <x:v>EX-1172</x:v>
      </x:c>
      <x:c r="C1200" s="34" t="str">
        <x:v>Simulink, NL Multisim</x:v>
      </x:c>
      <x:c r="D1200" s="34" t="str">
        <x:v>POSSIBLE</x:v>
      </x:c>
      <x:c r="E1200" s="34" t="str">
        <x:v>90.0</x:v>
      </x:c>
      <x:c r="F1200" s="34" t="str">
        <x:v>MI-0162</x:v>
      </x:c>
      <x:c r="G1200" s="39" t="str">
        <x:v>SIMULINK</x:v>
      </x:c>
      <x:c r="H1200" s="39" t="str">
        <x:v>H1</x:v>
      </x:c>
      <x:c r="I1200" s="39" t="str">
        <x:v>P0</x:v>
      </x:c>
      <x:c r="J1200" s="39" t="str">
        <x:v>H1</x:v>
      </x:c>
      <x:c r="K1200" s="39" t="str">
        <x:v>تطبیق احتمالی با پایه</x:v>
      </x:c>
      <x:c r="L1200" s="39" t="str">
        <x:v>MI-0162</x:v>
      </x:c>
      <x:c r="M1200" s="39" t="str">
        <x:v>SIMULINK</x:v>
      </x:c>
      <x:c r="N1200" s="39" t="str">
        <x:v>1154878548.docx::P2179.1</x:v>
      </x:c>
      <x:c r="O1200" s="39"/>
    </x:row>
    <x:row r="1201">
      <x:c r="A1201" s="34" t="str">
        <x:v>☐</x:v>
      </x:c>
      <x:c r="B1201" s="34" t="str">
        <x:v>EX-1173</x:v>
      </x:c>
      <x:c r="C1201" s="34" t="str">
        <x:v>۷. پروژههای کارآفرینی و اجرایی (Projects &amp; Startups)</x:v>
      </x:c>
      <x:c r="D1201" s="34" t="str">
        <x:v>POSSIBLE</x:v>
      </x:c>
      <x:c r="E1201" s="34" t="str">
        <x:v>90.0</x:v>
      </x:c>
      <x:c r="F1201" s="34" t="str">
        <x:v>MI-2501</x:v>
      </x:c>
      <x:c r="G1201" s="39" t="str">
        <x:v>کارآفرینی</x:v>
      </x:c>
      <x:c r="H1201" s="39" t="str">
        <x:v>H20</x:v>
      </x:c>
      <x:c r="I1201" s="39" t="str">
        <x:v>P3/CLARIFY</x:v>
      </x:c>
      <x:c r="J1201" s="39" t="str">
        <x:v>H20</x:v>
      </x:c>
      <x:c r="K1201" s="39" t="str">
        <x:v>تطبیق احتمالی با پایه</x:v>
      </x:c>
      <x:c r="L1201" s="39" t="str">
        <x:v>MI-2501</x:v>
      </x:c>
      <x:c r="M1201" s="39" t="str">
        <x:v>کارآفرینی</x:v>
      </x:c>
      <x:c r="N1201" s="39" t="str">
        <x:v>1154878548.docx::P2183.1</x:v>
      </x:c>
      <x:c r="O1201" s="39"/>
    </x:row>
    <x:row r="1202">
      <x:c r="A1202" s="34" t="str">
        <x:v>☐</x:v>
      </x:c>
      <x:c r="B1202" s="34" t="str">
        <x:v>EX-1174</x:v>
      </x:c>
      <x:c r="C1202" s="34" t="str">
        <x:v>ایدههای مشخص برای راهاندازی کسبوکار یا پروژههای بزرگ.</x:v>
      </x:c>
      <x:c r="D1202" s="34" t="str">
        <x:v>POSSIBLE</x:v>
      </x:c>
      <x:c r="E1202" s="34" t="str">
        <x:v>85.5</x:v>
      </x:c>
      <x:c r="F1202" s="34" t="str">
        <x:v>MI-1445</x:v>
      </x:c>
      <x:c r="G1202" s="39" t="str">
        <x:v>بنری که بالا نرفت برای بسیج</x:v>
      </x:c>
      <x:c r="H1202" s="39" t="str">
        <x:v>H1</x:v>
      </x:c>
      <x:c r="I1202" s="39" t="str">
        <x:v>P0</x:v>
      </x:c>
      <x:c r="J1202" s="39" t="str">
        <x:v>H1</x:v>
      </x:c>
      <x:c r="K1202" s="39" t="str">
        <x:v>تطبیق احتمالی با پایه</x:v>
      </x:c>
      <x:c r="L1202" s="39" t="str">
        <x:v>MI-1445</x:v>
      </x:c>
      <x:c r="M1202" s="39" t="str">
        <x:v>بنری که بالا نرفت برای بسیج</x:v>
      </x:c>
      <x:c r="N1202" s="39" t="str">
        <x:v>1154878548.docx::P2184.1</x:v>
      </x:c>
      <x:c r="O1202" s="39"/>
    </x:row>
    <x:row r="1203">
      <x:c r="A1203" s="34" t="str">
        <x:v>☐</x:v>
      </x:c>
      <x:c r="B1203" s="34" t="str">
        <x:v>EX-1175</x:v>
      </x:c>
      <x:c r="C1203" s="34" t="str">
        <x:v>صنعتی:</x:v>
      </x:c>
      <x:c r="D1203" s="34" t="str">
        <x:v>POSSIBLE</x:v>
      </x:c>
      <x:c r="E1203" s="34" t="str">
        <x:v>90.0</x:v>
      </x:c>
      <x:c r="F1203" s="34" t="str">
        <x:v>MI-0441</x:v>
      </x:c>
      <x:c r="G1203" s="39" t="str">
        <x:v>دوره علمی صنعتی افرا</x:v>
      </x:c>
      <x:c r="H1203" s="39" t="str">
        <x:v>H9</x:v>
      </x:c>
      <x:c r="I1203" s="39" t="str">
        <x:v>BANK</x:v>
      </x:c>
      <x:c r="J1203" s="39" t="str">
        <x:v>H9</x:v>
      </x:c>
      <x:c r="K1203" s="39" t="str">
        <x:v>تطبیق احتمالی با پایه</x:v>
      </x:c>
      <x:c r="L1203" s="39" t="str">
        <x:v>MI-0441</x:v>
      </x:c>
      <x:c r="M1203" s="39" t="str">
        <x:v>دوره علمی صنعتی افرا</x:v>
      </x:c>
      <x:c r="N1203" s="39" t="str">
        <x:v>1154878548.docx::P2185.1 | 1154878548.docx::P4633.1</x:v>
      </x:c>
      <x:c r="O1203" s="39"/>
    </x:row>
    <x:row r="1204">
      <x:c r="A1204" s="34" t="str">
        <x:v>☐</x:v>
      </x:c>
      <x:c r="B1204" s="34" t="str">
        <x:v>EX-1176</x:v>
      </x:c>
      <x:c r="C1204" s="34" t="str">
        <x:v>دیجیتال و خدماتی:</x:v>
      </x:c>
      <x:c r="D1204" s="34" t="str">
        <x:v>POSSIBLE</x:v>
      </x:c>
      <x:c r="E1204" s="34" t="str">
        <x:v>85.5</x:v>
      </x:c>
      <x:c r="F1204" s="34" t="str">
        <x:v>MI-1513</x:v>
      </x:c>
      <x:c r="G1204" s="39" t="str">
        <x:v>تولید و کارآفرینی: توانایی تولید محصول و خدمات و ایجاد شغل.</x:v>
      </x:c>
      <x:c r="H1204" s="39" t="str">
        <x:v>H1</x:v>
      </x:c>
      <x:c r="I1204" s="39" t="str">
        <x:v>P0</x:v>
      </x:c>
      <x:c r="J1204" s="39" t="str">
        <x:v>H1</x:v>
      </x:c>
      <x:c r="K1204" s="39" t="str">
        <x:v>تطبیق احتمالی با پایه</x:v>
      </x:c>
      <x:c r="L1204" s="39" t="str">
        <x:v>MI-1513</x:v>
      </x:c>
      <x:c r="M1204" s="39" t="str">
        <x:v>تولید و کارآفرینی: توانایی تولید محصول و خدمات و ایجاد شغل.</x:v>
      </x:c>
      <x:c r="N1204" s="39" t="str">
        <x:v>1154878548.docx::P2191.1</x:v>
      </x:c>
      <x:c r="O1204" s="39"/>
    </x:row>
    <x:row r="1205">
      <x:c r="A1205" s="34" t="str">
        <x:v>☐</x:v>
      </x:c>
      <x:c r="B1205" s="34" t="str">
        <x:v>EX-1177</x:v>
      </x:c>
      <x:c r="C1205" s="34" t="str">
        <x:v>ساخت اپلیکیشن خلاصه کتب</x:v>
      </x:c>
      <x:c r="D1205" s="34" t="str">
        <x:v>POSSIBLE</x:v>
      </x:c>
      <x:c r="E1205" s="34" t="str">
        <x:v>92.0</x:v>
      </x:c>
      <x:c r="F1205" s="34" t="str">
        <x:v>MI-1535</x:v>
      </x:c>
      <x:c r="G1205" s="39" t="str">
        <x:v>ساخت اپلیکیشن خلاصه کتاب ها</x:v>
      </x:c>
      <x:c r="H1205" s="39" t="str">
        <x:v>H15</x:v>
      </x:c>
      <x:c r="I1205" s="39" t="str">
        <x:v>BANK</x:v>
      </x:c>
      <x:c r="J1205" s="39" t="str">
        <x:v>H15</x:v>
      </x:c>
      <x:c r="K1205" s="39" t="str">
        <x:v>تطبیق احتمالی با پایه</x:v>
      </x:c>
      <x:c r="L1205" s="39" t="str">
        <x:v>MI-1535</x:v>
      </x:c>
      <x:c r="M1205" s="39" t="str">
        <x:v>ساخت اپلیکیشن خلاصه کتاب ها</x:v>
      </x:c>
      <x:c r="N1205" s="39" t="str">
        <x:v>1154878548.docx::P2192.1</x:v>
      </x:c>
      <x:c r="O1205" s="39"/>
    </x:row>
    <x:row r="1206">
      <x:c r="A1206" s="34" t="str">
        <x:v>☐</x:v>
      </x:c>
      <x:c r="B1206" s="34" t="str">
        <x:v>EX-1178</x:v>
      </x:c>
      <x:c r="C1206" s="34" t="str">
        <x:v>طرحریزی کنترل فشار خون سالمندان (دستیار صوتی)</x:v>
      </x:c>
      <x:c r="D1206" s="34" t="str">
        <x:v>POSSIBLE</x:v>
      </x:c>
      <x:c r="E1206" s="34" t="str">
        <x:v>85.5</x:v>
      </x:c>
      <x:c r="F1206" s="34" t="str">
        <x:v>MI-1459</x:v>
      </x:c>
      <x:c r="G1206" s="39" t="str">
        <x:v>روانشناسی کنترل خشم و استرس</x:v>
      </x:c>
      <x:c r="H1206" s="39" t="str">
        <x:v>H1</x:v>
      </x:c>
      <x:c r="I1206" s="39" t="str">
        <x:v>P0</x:v>
      </x:c>
      <x:c r="J1206" s="39" t="str">
        <x:v>H1</x:v>
      </x:c>
      <x:c r="K1206" s="39" t="str">
        <x:v>تطبیق احتمالی با پایه</x:v>
      </x:c>
      <x:c r="L1206" s="39" t="str">
        <x:v>MI-1459</x:v>
      </x:c>
      <x:c r="M1206" s="39" t="str">
        <x:v>روانشناسی کنترل خشم و استرس</x:v>
      </x:c>
      <x:c r="N1206" s="39" t="str">
        <x:v>1154878548.docx::P2194.1</x:v>
      </x:c>
      <x:c r="O1206" s="39"/>
    </x:row>
    <x:row r="1207">
      <x:c r="A1207" s="34" t="str">
        <x:v>☐</x:v>
      </x:c>
      <x:c r="B1207" s="34" t="str">
        <x:v>EX-1179</x:v>
      </x:c>
      <x:c r="C1207" s="34" t="str">
        <x:v>۸. رسانه، هنر و تولید محتوا (Media &amp; Content)</x:v>
      </x:c>
      <x:c r="D1207" s="34" t="str">
        <x:v>POSSIBLE</x:v>
      </x:c>
      <x:c r="E1207" s="34" t="str">
        <x:v>90.0</x:v>
      </x:c>
      <x:c r="F1207" s="34" t="str">
        <x:v>MI-0815</x:v>
      </x:c>
      <x:c r="G1207" s="39" t="str">
        <x:v>رسانه:</x:v>
      </x:c>
      <x:c r="H1207" s="39" t="str">
        <x:v>H11</x:v>
      </x:c>
      <x:c r="I1207" s="39" t="str">
        <x:v>DELEGATE/P2</x:v>
      </x:c>
      <x:c r="J1207" s="39" t="str">
        <x:v>H11</x:v>
      </x:c>
      <x:c r="K1207" s="39" t="str">
        <x:v>تطبیق احتمالی با پایه</x:v>
      </x:c>
      <x:c r="L1207" s="39" t="str">
        <x:v>MI-0815</x:v>
      </x:c>
      <x:c r="M1207" s="39" t="str">
        <x:v>رسانه:</x:v>
      </x:c>
      <x:c r="N1207" s="39" t="str">
        <x:v>1154878548.docx::P2197.1</x:v>
      </x:c>
      <x:c r="O1207" s="39"/>
    </x:row>
    <x:row r="1208">
      <x:c r="A1208" s="34" t="str">
        <x:v>☐</x:v>
      </x:c>
      <x:c r="B1208" s="34" t="str">
        <x:v>EX-1180</x:v>
      </x:c>
      <x:c r="C1208" s="34" t="str">
        <x:v>مهارتهای هنری و ابزارهای تولید مدیا.</x:v>
      </x:c>
      <x:c r="D1208" s="34" t="str">
        <x:v>POSSIBLE</x:v>
      </x:c>
      <x:c r="E1208" s="34" t="str">
        <x:v>90.0</x:v>
      </x:c>
      <x:c r="F1208" s="34" t="str">
        <x:v>MI-2970</x:v>
      </x:c>
      <x:c r="G1208" s="39" t="str">
        <x:v>ابزارها:</x:v>
      </x:c>
      <x:c r="H1208" s="39" t="str">
        <x:v>H20</x:v>
      </x:c>
      <x:c r="I1208" s="39" t="str">
        <x:v>P3/CLARIFY</x:v>
      </x:c>
      <x:c r="J1208" s="39" t="str">
        <x:v>H20</x:v>
      </x:c>
      <x:c r="K1208" s="39" t="str">
        <x:v>تطبیق احتمالی با پایه</x:v>
      </x:c>
      <x:c r="L1208" s="39" t="str">
        <x:v>MI-2970</x:v>
      </x:c>
      <x:c r="M1208" s="39" t="str">
        <x:v>ابزارها:</x:v>
      </x:c>
      <x:c r="N1208" s="39" t="str">
        <x:v>1154878548.docx::P2198.1</x:v>
      </x:c>
      <x:c r="O1208" s="39"/>
    </x:row>
    <x:row r="1209">
      <x:c r="A1209" s="34" t="str">
        <x:v>☐</x:v>
      </x:c>
      <x:c r="B1209" s="34" t="str">
        <x:v>EX-1181</x:v>
      </x:c>
      <x:c r="C1209" s="34" t="str">
        <x:v>صدا و بیان:</x:v>
      </x:c>
      <x:c r="D1209" s="34" t="str">
        <x:v>POSSIBLE</x:v>
      </x:c>
      <x:c r="E1209" s="34" t="str">
        <x:v>85.5</x:v>
      </x:c>
      <x:c r="F1209" s="34" t="str">
        <x:v>MI-1513</x:v>
      </x:c>
      <x:c r="G1209" s="39" t="str">
        <x:v>تولید و کارآفرینی: توانایی تولید محصول و خدمات و ایجاد شغل.</x:v>
      </x:c>
      <x:c r="H1209" s="39" t="str">
        <x:v>H1</x:v>
      </x:c>
      <x:c r="I1209" s="39" t="str">
        <x:v>P0</x:v>
      </x:c>
      <x:c r="J1209" s="39" t="str">
        <x:v>H1</x:v>
      </x:c>
      <x:c r="K1209" s="39" t="str">
        <x:v>تطبیق احتمالی با پایه</x:v>
      </x:c>
      <x:c r="L1209" s="39" t="str">
        <x:v>MI-1513</x:v>
      </x:c>
      <x:c r="M1209" s="39" t="str">
        <x:v>تولید و کارآفرینی: توانایی تولید محصول و خدمات و ایجاد شغل.</x:v>
      </x:c>
      <x:c r="N1209" s="39" t="str">
        <x:v>1154878548.docx::P2199.1</x:v>
      </x:c>
      <x:c r="O1209" s="39"/>
    </x:row>
    <x:row r="1210">
      <x:c r="A1210" s="34" t="str">
        <x:v>☐</x:v>
      </x:c>
      <x:c r="B1210" s="34" t="str">
        <x:v>EX-1182</x:v>
      </x:c>
      <x:c r="C1210" s="34" t="str">
        <x:v>هوش مصنوعی و دوبله</x:v>
      </x:c>
      <x:c r="D1210" s="34" t="str">
        <x:v>POSSIBLE</x:v>
      </x:c>
      <x:c r="E1210" s="34" t="str">
        <x:v>90.0</x:v>
      </x:c>
      <x:c r="F1210" s="34" t="str">
        <x:v>MI-0097</x:v>
      </x:c>
      <x:c r="G1210" s="39" t="str">
        <x:v>هوش مصنوعی و دوبله با زبان خودش</x:v>
      </x:c>
      <x:c r="H1210" s="39" t="str">
        <x:v>H7</x:v>
      </x:c>
      <x:c r="I1210" s="39" t="str">
        <x:v>P1</x:v>
      </x:c>
      <x:c r="J1210" s="39" t="str">
        <x:v>H7</x:v>
      </x:c>
      <x:c r="K1210" s="39" t="str">
        <x:v>تطبیق احتمالی با پایه</x:v>
      </x:c>
      <x:c r="L1210" s="39" t="str">
        <x:v>MI-0097</x:v>
      </x:c>
      <x:c r="M1210" s="39" t="str">
        <x:v>هوش مصنوعی و دوبله با زبان خودش</x:v>
      </x:c>
      <x:c r="N1210" s="39" t="str">
        <x:v>1154878548.docx::P2201.1</x:v>
      </x:c>
      <x:c r="O1210" s="39"/>
    </x:row>
    <x:row r="1211">
      <x:c r="A1211" s="34" t="str">
        <x:v>☐</x:v>
      </x:c>
      <x:c r="B1211" s="34" t="str">
        <x:v>EX-1183</x:v>
      </x:c>
      <x:c r="C1211" s="34" t="str">
        <x:v>فن بیان و سخنوری</x:v>
      </x:c>
      <x:c r="D1211" s="34" t="str">
        <x:v>POSSIBLE</x:v>
      </x:c>
      <x:c r="E1211" s="34" t="str">
        <x:v>90.0</x:v>
      </x:c>
      <x:c r="F1211" s="34" t="str">
        <x:v>MI-0186</x:v>
      </x:c>
      <x:c r="G1211" s="39" t="str">
        <x:v>فن بیان</x:v>
      </x:c>
      <x:c r="H1211" s="39" t="str">
        <x:v>H1</x:v>
      </x:c>
      <x:c r="I1211" s="39" t="str">
        <x:v>P0</x:v>
      </x:c>
      <x:c r="J1211" s="39" t="str">
        <x:v>H1</x:v>
      </x:c>
      <x:c r="K1211" s="39" t="str">
        <x:v>تطبیق احتمالی با پایه</x:v>
      </x:c>
      <x:c r="L1211" s="39" t="str">
        <x:v>MI-0186</x:v>
      </x:c>
      <x:c r="M1211" s="39" t="str">
        <x:v>فن بیان</x:v>
      </x:c>
      <x:c r="N1211" s="39" t="str">
        <x:v>1154878548.docx::P2202.1</x:v>
      </x:c>
      <x:c r="O1211" s="39"/>
    </x:row>
    <x:row r="1212">
      <x:c r="A1212" s="34" t="str">
        <x:v>☐</x:v>
      </x:c>
      <x:c r="B1212" s="34" t="str">
        <x:v>EX-1184</x:v>
      </x:c>
      <x:c r="C1212" s="34" t="str">
        <x:v>تصویر و تدوین:</x:v>
      </x:c>
      <x:c r="D1212" s="34" t="str">
        <x:v>POSSIBLE</x:v>
      </x:c>
      <x:c r="E1212" s="34" t="str">
        <x:v>85.5</x:v>
      </x:c>
      <x:c r="F1212" s="34" t="str">
        <x:v>MI-1501</x:v>
      </x:c>
      <x:c r="G1212" s="39" t="str">
        <x:v>مدیریت ریسک: شناسایی ریسک ها، ارزیابی اثرات، تدوین برنامه های مقابله با ریسک ها.</x:v>
      </x:c>
      <x:c r="H1212" s="39" t="str">
        <x:v>H1</x:v>
      </x:c>
      <x:c r="I1212" s="39" t="str">
        <x:v>P0</x:v>
      </x:c>
      <x:c r="J1212" s="39" t="str">
        <x:v>H1</x:v>
      </x:c>
      <x:c r="K1212" s="39" t="str">
        <x:v>تطبیق احتمالی با پایه</x:v>
      </x:c>
      <x:c r="L1212" s="39" t="str">
        <x:v>MI-1501</x:v>
      </x:c>
      <x:c r="M1212" s="39" t="str">
        <x:v>مدیریت ریسک: شناسایی ریسک ها، ارزیابی اثرات، تدوین برنامه های مقابله با ریسک ها.</x:v>
      </x:c>
      <x:c r="N1212" s="39" t="str">
        <x:v>1154878548.docx::P2203.1</x:v>
      </x:c>
      <x:c r="O1212" s="39"/>
    </x:row>
    <x:row r="1213">
      <x:c r="A1213" s="34" t="str">
        <x:v>☐</x:v>
      </x:c>
      <x:c r="B1213" s="34" t="str">
        <x:v>EX-1185</x:v>
      </x:c>
      <x:c r="C1213" s="34" t="str">
        <x:v>Unreal Engine (انریل انجین)</x:v>
      </x:c>
      <x:c r="D1213" s="34" t="str">
        <x:v>POSSIBLE</x:v>
      </x:c>
      <x:c r="E1213" s="34" t="str">
        <x:v>90.0</x:v>
      </x:c>
      <x:c r="F1213" s="34" t="str">
        <x:v>MI-0140</x:v>
      </x:c>
      <x:c r="G1213" s="39" t="str">
        <x:v>انریل انجین</x:v>
      </x:c>
      <x:c r="H1213" s="39" t="str">
        <x:v>H7</x:v>
      </x:c>
      <x:c r="I1213" s="39" t="str">
        <x:v>P1</x:v>
      </x:c>
      <x:c r="J1213" s="39" t="str">
        <x:v>H7</x:v>
      </x:c>
      <x:c r="K1213" s="39" t="str">
        <x:v>تطبیق احتمالی با پایه</x:v>
      </x:c>
      <x:c r="L1213" s="39" t="str">
        <x:v>MI-0140</x:v>
      </x:c>
      <x:c r="M1213" s="39" t="str">
        <x:v>انریل انجین</x:v>
      </x:c>
      <x:c r="N1213" s="39" t="str">
        <x:v>1154878548.docx::P2205.1</x:v>
      </x:c>
      <x:c r="O1213" s="39"/>
    </x:row>
    <x:row r="1214">
      <x:c r="A1214" s="34" t="str">
        <x:v>☐</x:v>
      </x:c>
      <x:c r="B1214" s="34" t="str">
        <x:v>EX-1186</x:v>
      </x:c>
      <x:c r="C1214" s="34" t="str">
        <x:v>۹. فعالیتهای اجتماعی، فرهنگی و مذهبی (Social &amp; Cultural)</x:v>
      </x:c>
      <x:c r="D1214" s="34" t="str">
        <x:v>POSSIBLE</x:v>
      </x:c>
      <x:c r="E1214" s="34" t="str">
        <x:v>90.0</x:v>
      </x:c>
      <x:c r="F1214" s="34" t="str">
        <x:v>MI-0288</x:v>
      </x:c>
      <x:c r="G1214" s="39" t="str">
        <x:v>اجتماعی</x:v>
      </x:c>
      <x:c r="H1214" s="39" t="str">
        <x:v>H15</x:v>
      </x:c>
      <x:c r="I1214" s="39" t="str">
        <x:v>P3/CLARIFY</x:v>
      </x:c>
      <x:c r="J1214" s="39" t="str">
        <x:v>H15</x:v>
      </x:c>
      <x:c r="K1214" s="39" t="str">
        <x:v>تطبیق احتمالی با پایه</x:v>
      </x:c>
      <x:c r="L1214" s="39" t="str">
        <x:v>MI-0288</x:v>
      </x:c>
      <x:c r="M1214" s="39" t="str">
        <x:v>اجتماعی</x:v>
      </x:c>
      <x:c r="N1214" s="39" t="str">
        <x:v>1154878548.docx::P2238.1</x:v>
      </x:c>
      <x:c r="O1214" s="39"/>
    </x:row>
    <x:row r="1215">
      <x:c r="A1215" s="34" t="str">
        <x:v>☐</x:v>
      </x:c>
      <x:c r="B1215" s="34" t="str">
        <x:v>EX-1187</x:v>
      </x:c>
      <x:c r="C1215" s="34" t="str">
        <x:v>فعالیتهای داوطلبانه، مطالعات تاریخی و مذهبی.</x:v>
      </x:c>
      <x:c r="D1215" s="34" t="str">
        <x:v>POSSIBLE</x:v>
      </x:c>
      <x:c r="E1215" s="34" t="str">
        <x:v>90.0</x:v>
      </x:c>
      <x:c r="F1215" s="34" t="str">
        <x:v>MI-1417</x:v>
      </x:c>
      <x:c r="G1215" s="39" t="str">
        <x:v>تاریخی</x:v>
      </x:c>
      <x:c r="H1215" s="39" t="str">
        <x:v>H15</x:v>
      </x:c>
      <x:c r="I1215" s="39" t="str">
        <x:v>BANK</x:v>
      </x:c>
      <x:c r="J1215" s="39" t="str">
        <x:v>H15</x:v>
      </x:c>
      <x:c r="K1215" s="39" t="str">
        <x:v>تطبیق احتمالی با پایه</x:v>
      </x:c>
      <x:c r="L1215" s="39" t="str">
        <x:v>MI-1417</x:v>
      </x:c>
      <x:c r="M1215" s="39" t="str">
        <x:v>تاریخی</x:v>
      </x:c>
      <x:c r="N1215" s="39" t="str">
        <x:v>1154878548.docx::P2239.1</x:v>
      </x:c>
      <x:c r="O1215" s="39"/>
    </x:row>
    <x:row r="1216">
      <x:c r="A1216" s="34" t="str">
        <x:v>☐</x:v>
      </x:c>
      <x:c r="B1216" s="34" t="str">
        <x:v>EX-1188</x:v>
      </x:c>
      <x:c r="C1216" s="34" t="str">
        <x:v>مطالعات:</x:v>
      </x:c>
      <x:c r="D1216" s="34" t="str">
        <x:v>POSSIBLE</x:v>
      </x:c>
      <x:c r="E1216" s="34" t="str">
        <x:v>90.0</x:v>
      </x:c>
      <x:c r="F1216" s="34" t="str">
        <x:v>MI-0223</x:v>
      </x:c>
      <x:c r="G1216" s="39" t="str">
        <x:v>مطالعات راهبردی و نظامی</x:v>
      </x:c>
      <x:c r="H1216" s="39" t="str">
        <x:v>H6</x:v>
      </x:c>
      <x:c r="I1216" s="39" t="str">
        <x:v>P3/CLARIFY</x:v>
      </x:c>
      <x:c r="J1216" s="39" t="str">
        <x:v>H6</x:v>
      </x:c>
      <x:c r="K1216" s="39" t="str">
        <x:v>تطبیق احتمالی با پایه</x:v>
      </x:c>
      <x:c r="L1216" s="39" t="str">
        <x:v>MI-0223</x:v>
      </x:c>
      <x:c r="M1216" s="39" t="str">
        <x:v>مطالعات راهبردی و نظامی</x:v>
      </x:c>
      <x:c r="N1216" s="39" t="str">
        <x:v>1154878548.docx::P2240.1</x:v>
      </x:c>
      <x:c r="O1216" s="39"/>
    </x:row>
    <x:row r="1217">
      <x:c r="A1217" s="34" t="str">
        <x:v>☐</x:v>
      </x:c>
      <x:c r="B1217" s="34" t="str">
        <x:v>EX-1189</x:v>
      </x:c>
      <x:c r="C1217" s="34" t="str">
        <x:v>خوانش و بررسی نهجالبلاغه</x:v>
      </x:c>
      <x:c r="D1217" s="34" t="str">
        <x:v>POSSIBLE</x:v>
      </x:c>
      <x:c r="E1217" s="34" t="str">
        <x:v>88.9</x:v>
      </x:c>
      <x:c r="F1217" s="34" t="str">
        <x:v>MI-0036</x:v>
      </x:c>
      <x:c r="G1217" s="39" t="str">
        <x:v>خوانش و بررسی کتاب نهج البلاغه</x:v>
      </x:c>
      <x:c r="H1217" s="39" t="str">
        <x:v>H15</x:v>
      </x:c>
      <x:c r="I1217" s="39" t="str">
        <x:v>BANK</x:v>
      </x:c>
      <x:c r="J1217" s="39" t="str">
        <x:v>H15</x:v>
      </x:c>
      <x:c r="K1217" s="39" t="str">
        <x:v>تطبیق احتمالی با پایه</x:v>
      </x:c>
      <x:c r="L1217" s="39" t="str">
        <x:v>MI-0036</x:v>
      </x:c>
      <x:c r="M1217" s="39" t="str">
        <x:v>خوانش و بررسی کتاب نهج البلاغه</x:v>
      </x:c>
      <x:c r="N1217" s="39" t="str">
        <x:v>1154878548.docx::P2241.1</x:v>
      </x:c>
      <x:c r="O1217" s="39"/>
    </x:row>
    <x:row r="1218">
      <x:c r="A1218" s="34" t="str">
        <x:v>☐</x:v>
      </x:c>
      <x:c r="B1218" s="34" t="str">
        <x:v>EX-1190</x:v>
      </x:c>
      <x:c r="C1218" s="34" t="str">
        <x:v>فعالیتهای تشکیلاتی:</x:v>
      </x:c>
      <x:c r="D1218" s="34" t="str">
        <x:v>POSSIBLE</x:v>
      </x:c>
      <x:c r="E1218" s="34" t="str">
        <x:v>85.5</x:v>
      </x:c>
      <x:c r="F1218" s="34" t="str">
        <x:v>MI-0222</x:v>
      </x:c>
      <x:c r="G1218" s="39" t="str">
        <x:v>فعالیتهای اجتماعی و ارتباطی</x:v>
      </x:c>
      <x:c r="H1218" s="39" t="str">
        <x:v>H4</x:v>
      </x:c>
      <x:c r="I1218" s="39" t="str">
        <x:v>P1</x:v>
      </x:c>
      <x:c r="J1218" s="39" t="str">
        <x:v>H4</x:v>
      </x:c>
      <x:c r="K1218" s="39" t="str">
        <x:v>تطبیق احتمالی با پایه</x:v>
      </x:c>
      <x:c r="L1218" s="39" t="str">
        <x:v>MI-0222</x:v>
      </x:c>
      <x:c r="M1218" s="39" t="str">
        <x:v>فعالیتهای اجتماعی و ارتباطی</x:v>
      </x:c>
      <x:c r="N1218" s="39" t="str">
        <x:v>1154878548.docx::P2245.1</x:v>
      </x:c>
      <x:c r="O1218" s="39"/>
    </x:row>
    <x:row r="1219">
      <x:c r="A1219" s="34" t="str">
        <x:v>☐</x:v>
      </x:c>
      <x:c r="B1219" s="34" t="str">
        <x:v>EX-1191</x:v>
      </x:c>
      <x:c r="C1219" s="34" t="str">
        <x:v>ارتباط با سایر دانشگاهها (بابل، بروجرد، تهران، اراک)</x:v>
      </x:c>
      <x:c r="D1219" s="34" t="str">
        <x:v>POSSIBLE</x:v>
      </x:c>
      <x:c r="E1219" s="34" t="str">
        <x:v>89.5</x:v>
      </x:c>
      <x:c r="F1219" s="34" t="str">
        <x:v>MI-0002</x:v>
      </x:c>
      <x:c r="G1219" s="39" t="str">
        <x:v>ارتباط با سایر دانشگاه های بابل و بروجرد و تهران و اراک</x:v>
      </x:c>
      <x:c r="H1219" s="39" t="str">
        <x:v>H14</x:v>
      </x:c>
      <x:c r="I1219" s="39" t="str">
        <x:v>P3</x:v>
      </x:c>
      <x:c r="J1219" s="39" t="str">
        <x:v>H14</x:v>
      </x:c>
      <x:c r="K1219" s="39" t="str">
        <x:v>تطبیق احتمالی با پایه</x:v>
      </x:c>
      <x:c r="L1219" s="39" t="str">
        <x:v>MI-0002</x:v>
      </x:c>
      <x:c r="M1219" s="39" t="str">
        <x:v>ارتباط با سایر دانشگاه های بابل و بروجرد و تهران و اراک</x:v>
      </x:c>
      <x:c r="N1219" s="39" t="str">
        <x:v>1154878548.docx::P2246.1</x:v>
      </x:c>
      <x:c r="O1219" s="39"/>
    </x:row>
    <x:row r="1220">
      <x:c r="A1220" s="34" t="str">
        <x:v>☐</x:v>
      </x:c>
      <x:c r="B1220" s="34" t="str">
        <x:v>EX-1192</x:v>
      </x:c>
      <x:c r="C1220" s="34" t="str">
        <x:v>۱۰. عمومی، اداری و مهارتهای زندگی (General &amp; Admin)</x:v>
      </x:c>
      <x:c r="D1220" s="34" t="str">
        <x:v>POSSIBLE</x:v>
      </x:c>
      <x:c r="E1220" s="34" t="str">
        <x:v>85.5</x:v>
      </x:c>
      <x:c r="F1220" s="34" t="str">
        <x:v>MI-0029</x:v>
      </x:c>
      <x:c r="G1220" s="39" t="str">
        <x:v>تدریس ریاضی و فیزیک</x:v>
      </x:c>
      <x:c r="H1220" s="39" t="str">
        <x:v>H1</x:v>
      </x:c>
      <x:c r="I1220" s="39" t="str">
        <x:v>P0</x:v>
      </x:c>
      <x:c r="J1220" s="39" t="str">
        <x:v>H1</x:v>
      </x:c>
      <x:c r="K1220" s="39" t="str">
        <x:v>تطبیق احتمالی با پایه</x:v>
      </x:c>
      <x:c r="L1220" s="39" t="str">
        <x:v>MI-0029</x:v>
      </x:c>
      <x:c r="M1220" s="39" t="str">
        <x:v>تدریس ریاضی و فیزیک</x:v>
      </x:c>
      <x:c r="N1220" s="39" t="str">
        <x:v>1154878548.docx::P2251.1</x:v>
      </x:c>
      <x:c r="O1220" s="39"/>
    </x:row>
    <x:row r="1221">
      <x:c r="A1221" s="34" t="str">
        <x:v>☐</x:v>
      </x:c>
      <x:c r="B1221" s="34" t="str">
        <x:v>EX-1193</x:v>
      </x:c>
      <x:c r="C1221" s="34" t="str">
        <x:v>کارهای روزمره، مدارک عمومی و تفریحات.</x:v>
      </x:c>
      <x:c r="D1221" s="34" t="str">
        <x:v>POSSIBLE</x:v>
      </x:c>
      <x:c r="E1221" s="34" t="str">
        <x:v>85.5</x:v>
      </x:c>
      <x:c r="F1221" s="34" t="str">
        <x:v>MI-1513</x:v>
      </x:c>
      <x:c r="G1221" s="39" t="str">
        <x:v>تولید و کارآفرینی: توانایی تولید محصول و خدمات و ایجاد شغل.</x:v>
      </x:c>
      <x:c r="H1221" s="39" t="str">
        <x:v>H1</x:v>
      </x:c>
      <x:c r="I1221" s="39" t="str">
        <x:v>P0</x:v>
      </x:c>
      <x:c r="J1221" s="39" t="str">
        <x:v>H1</x:v>
      </x:c>
      <x:c r="K1221" s="39" t="str">
        <x:v>تطبیق احتمالی با پایه</x:v>
      </x:c>
      <x:c r="L1221" s="39" t="str">
        <x:v>MI-1513</x:v>
      </x:c>
      <x:c r="M1221" s="39" t="str">
        <x:v>تولید و کارآفرینی: توانایی تولید محصول و خدمات و ایجاد شغل.</x:v>
      </x:c>
      <x:c r="N1221" s="39" t="str">
        <x:v>1154878548.docx::P2252.1</x:v>
      </x:c>
      <x:c r="O1221" s="39"/>
    </x:row>
    <x:row r="1222">
      <x:c r="A1222" s="34" t="str">
        <x:v>☐</x:v>
      </x:c>
      <x:c r="B1222" s="34" t="str">
        <x:v>EX-1194</x:v>
      </x:c>
      <x:c r="C1222" s="34" t="str">
        <x:v>مدارک فنی و حرفهای:</x:v>
      </x:c>
      <x:c r="D1222" s="34" t="str">
        <x:v>POSSIBLE</x:v>
      </x:c>
      <x:c r="E1222" s="34" t="str">
        <x:v>86.5</x:v>
      </x:c>
      <x:c r="F1222" s="34" t="str">
        <x:v>MI-1906</x:v>
      </x:c>
      <x:c r="G1222" s="39" t="str">
        <x:v>مراکز فنی و حرفه ای</x:v>
      </x:c>
      <x:c r="H1222" s="39" t="str">
        <x:v>H3</x:v>
      </x:c>
      <x:c r="I1222" s="39" t="str">
        <x:v>P3/CLARIFY</x:v>
      </x:c>
      <x:c r="J1222" s="39" t="str">
        <x:v>H3</x:v>
      </x:c>
      <x:c r="K1222" s="39" t="str">
        <x:v>تطبیق احتمالی با پایه</x:v>
      </x:c>
      <x:c r="L1222" s="39" t="str">
        <x:v>MI-1906</x:v>
      </x:c>
      <x:c r="M1222" s="39" t="str">
        <x:v>مراکز فنی و حرفه ای</x:v>
      </x:c>
      <x:c r="N1222" s="39" t="str">
        <x:v>1154878548.docx::P2253.1</x:v>
      </x:c>
      <x:c r="O1222" s="39"/>
    </x:row>
    <x:row r="1223">
      <x:c r="A1223" s="34" t="str">
        <x:v>☐</x:v>
      </x:c>
      <x:c r="B1223" s="34" t="str">
        <x:v>EX-1195</x:v>
      </x:c>
      <x:c r="C1223" s="34" t="str">
        <x:v>ICDL (تایپ سریع، جستجو سریع)</x:v>
      </x:c>
      <x:c r="D1223" s="34" t="str">
        <x:v>POSSIBLE</x:v>
      </x:c>
      <x:c r="E1223" s="34" t="str">
        <x:v>90.0</x:v>
      </x:c>
      <x:c r="F1223" s="34" t="str">
        <x:v>MI-0172</x:v>
      </x:c>
      <x:c r="G1223" s="39" t="str">
        <x:v>تایپ سریع</x:v>
      </x:c>
      <x:c r="H1223" s="39" t="str">
        <x:v>H7</x:v>
      </x:c>
      <x:c r="I1223" s="39" t="str">
        <x:v>P1</x:v>
      </x:c>
      <x:c r="J1223" s="39" t="str">
        <x:v>H7</x:v>
      </x:c>
      <x:c r="K1223" s="39" t="str">
        <x:v>تطبیق احتمالی با پایه</x:v>
      </x:c>
      <x:c r="L1223" s="39" t="str">
        <x:v>MI-0172</x:v>
      </x:c>
      <x:c r="M1223" s="39" t="str">
        <x:v>تایپ سریع</x:v>
      </x:c>
      <x:c r="N1223" s="39" t="str">
        <x:v>1154878548.docx::P2254.1</x:v>
      </x:c>
      <x:c r="O1223" s="39"/>
    </x:row>
    <x:row r="1224">
      <x:c r="A1224" s="34" t="str">
        <x:v>☐</x:v>
      </x:c>
      <x:c r="B1224" s="34" t="str">
        <x:v>EX-1196</x:v>
      </x:c>
      <x:c r="C1224" s="34" t="str">
        <x:v>سفر و تفریح:</x:v>
      </x:c>
      <x:c r="D1224" s="34" t="str">
        <x:v>POSSIBLE</x:v>
      </x:c>
      <x:c r="E1224" s="34" t="str">
        <x:v>85.5</x:v>
      </x:c>
      <x:c r="F1224" s="34" t="str">
        <x:v>MI-1513</x:v>
      </x:c>
      <x:c r="G1224" s="39" t="str">
        <x:v>تولید و کارآفرینی: توانایی تولید محصول و خدمات و ایجاد شغل.</x:v>
      </x:c>
      <x:c r="H1224" s="39" t="str">
        <x:v>H1</x:v>
      </x:c>
      <x:c r="I1224" s="39" t="str">
        <x:v>P0</x:v>
      </x:c>
      <x:c r="J1224" s="39" t="str">
        <x:v>H1</x:v>
      </x:c>
      <x:c r="K1224" s="39" t="str">
        <x:v>تطبیق احتمالی با پایه</x:v>
      </x:c>
      <x:c r="L1224" s="39" t="str">
        <x:v>MI-1513</x:v>
      </x:c>
      <x:c r="M1224" s="39" t="str">
        <x:v>تولید و کارآفرینی: توانایی تولید محصول و خدمات و ایجاد شغل.</x:v>
      </x:c>
      <x:c r="N1224" s="39" t="str">
        <x:v>1154878548.docx::P2259.1</x:v>
      </x:c>
      <x:c r="O1224" s="39"/>
    </x:row>
    <x:row r="1225">
      <x:c r="A1225" s="34" t="str">
        <x:v>☐</x:v>
      </x:c>
      <x:c r="B1225" s="34" t="str">
        <x:v>EX-1197</x:v>
      </x:c>
      <x:c r="C1225" s="34" t="str">
        <x:v>نجما</x:v>
      </x:c>
      <x:c r="D1225" s="34" t="str">
        <x:v>UNMAPPED</x:v>
      </x:c>
      <x:c r="E1225" s="34" t="str">
        <x:v>77.1</x:v>
      </x:c>
      <x:c r="F1225" s="34" t="str">
        <x:v>MI-0778</x:v>
      </x:c>
      <x:c r="G1225" s="39" t="str">
        <x:v>نماینده شورا در سلف پیگیری کند</x:v>
      </x:c>
      <x:c r="H1225" s="39" t="str">
        <x:v>H11</x:v>
      </x:c>
      <x:c r="I1225" s="39" t="str">
        <x:v>DELEGATE/P2</x:v>
      </x:c>
      <x:c r="J1225" s="39" t="str">
        <x:v>H23</x:v>
      </x:c>
      <x:c r="K1225" s="39" t="str">
        <x:v>نیازمند پالایش؛ حذف نشده</x:v>
      </x:c>
      <x:c r="L1225" s="39"/>
      <x:c r="M1225" s="39"/>
      <x:c r="N1225" s="39" t="str">
        <x:v>1154878548.docx::P2264.1</x:v>
      </x:c>
      <x:c r="O1225" s="39"/>
    </x:row>
    <x:row r="1226">
      <x:c r="A1226" s="34" t="str">
        <x:v>☐</x:v>
      </x:c>
      <x:c r="B1226" s="34" t="str">
        <x:v>EX-1198</x:v>
      </x:c>
      <x:c r="C1226" s="34" t="str">
        <x:v>مجموعه سرچشمه</x:v>
      </x:c>
      <x:c r="D1226" s="34" t="str">
        <x:v>POSSIBLE</x:v>
      </x:c>
      <x:c r="E1226" s="34" t="str">
        <x:v>85.5</x:v>
      </x:c>
      <x:c r="F1226" s="34" t="str">
        <x:v>MI-2894</x:v>
      </x:c>
      <x:c r="G1226" s="39" t="str">
        <x:v>در این پروژه مجموعه ای از یادداشت ها و محتوا درباره طراحی یک زیست بوم شامل موارد زیر وجود دارد:</x:v>
      </x:c>
      <x:c r="H1226" s="39" t="str">
        <x:v>H19</x:v>
      </x:c>
      <x:c r="I1226" s="39" t="str">
        <x:v>P3</x:v>
      </x:c>
      <x:c r="J1226" s="39" t="str">
        <x:v>H19</x:v>
      </x:c>
      <x:c r="K1226" s="39" t="str">
        <x:v>تطبیق احتمالی با پایه</x:v>
      </x:c>
      <x:c r="L1226" s="39" t="str">
        <x:v>MI-2894</x:v>
      </x:c>
      <x:c r="M1226" s="39" t="str">
        <x:v>در این پروژه مجموعه ای از یادداشت ها و محتوا درباره طراحی یک زیست بوم شامل موارد زیر وجود دارد:</x:v>
      </x:c>
      <x:c r="N1226" s="39" t="str">
        <x:v>1154878548.docx::P2265.1</x:v>
      </x:c>
      <x:c r="O1226" s="39"/>
    </x:row>
    <x:row r="1227">
      <x:c r="A1227" s="34" t="str">
        <x:v>☐</x:v>
      </x:c>
      <x:c r="B1227" s="34" t="str">
        <x:v>EX-1199</x:v>
      </x:c>
      <x:c r="C1227" s="34" t="str">
        <x:v>سخنرانی های دکتر خوش چشم</x:v>
      </x:c>
      <x:c r="D1227" s="34" t="str">
        <x:v>POSSIBLE</x:v>
      </x:c>
      <x:c r="E1227" s="34" t="str">
        <x:v>85.5</x:v>
      </x:c>
      <x:c r="F1227" s="34" t="str">
        <x:v>MI-1501</x:v>
      </x:c>
      <x:c r="G1227" s="39" t="str">
        <x:v>مدیریت ریسک: شناسایی ریسک ها، ارزیابی اثرات، تدوین برنامه های مقابله با ریسک ها.</x:v>
      </x:c>
      <x:c r="H1227" s="39" t="str">
        <x:v>H1</x:v>
      </x:c>
      <x:c r="I1227" s="39" t="str">
        <x:v>P0</x:v>
      </x:c>
      <x:c r="J1227" s="39" t="str">
        <x:v>H1</x:v>
      </x:c>
      <x:c r="K1227" s="39" t="str">
        <x:v>تطبیق احتمالی با پایه</x:v>
      </x:c>
      <x:c r="L1227" s="39" t="str">
        <x:v>MI-1501</x:v>
      </x:c>
      <x:c r="M1227" s="39" t="str">
        <x:v>مدیریت ریسک: شناسایی ریسک ها، ارزیابی اثرات، تدوین برنامه های مقابله با ریسک ها.</x:v>
      </x:c>
      <x:c r="N1227" s="39" t="str">
        <x:v>1154878548.docx::P2266.1</x:v>
      </x:c>
      <x:c r="O1227" s="39"/>
    </x:row>
    <x:row r="1228">
      <x:c r="A1228" s="34" t="str">
        <x:v>☐</x:v>
      </x:c>
      <x:c r="B1228" s="34" t="str">
        <x:v>EX-1200</x:v>
      </x:c>
      <x:c r="C1228" s="34" t="str">
        <x:v>کنشگری جنگ</x:v>
      </x:c>
      <x:c r="D1228" s="34" t="str">
        <x:v>POSSIBLE</x:v>
      </x:c>
      <x:c r="E1228" s="34" t="str">
        <x:v>85.5</x:v>
      </x:c>
      <x:c r="F1228" s="34" t="str">
        <x:v>MI-0592</x:v>
      </x:c>
      <x:c r="G1228" s="39" t="str">
        <x:v>جنگ سرد ایران و آمریکا</x:v>
      </x:c>
      <x:c r="H1228" s="39" t="str">
        <x:v>H18</x:v>
      </x:c>
      <x:c r="I1228" s="39" t="str">
        <x:v>BANK</x:v>
      </x:c>
      <x:c r="J1228" s="39" t="str">
        <x:v>H18</x:v>
      </x:c>
      <x:c r="K1228" s="39" t="str">
        <x:v>تطبیق احتمالی با پایه</x:v>
      </x:c>
      <x:c r="L1228" s="39" t="str">
        <x:v>MI-0592</x:v>
      </x:c>
      <x:c r="M1228" s="39" t="str">
        <x:v>جنگ سرد ایران و آمریکا</x:v>
      </x:c>
      <x:c r="N1228" s="39" t="str">
        <x:v>1154878548.docx::P2267.1</x:v>
      </x:c>
      <x:c r="O1228" s="39"/>
    </x:row>
    <x:row r="1229">
      <x:c r="A1229" s="34" t="str">
        <x:v>☐</x:v>
      </x:c>
      <x:c r="B1229" s="34" t="str">
        <x:v>EX-1201</x:v>
      </x:c>
      <x:c r="C1229" s="34" t="str">
        <x:v>جبهه مدیا</x:v>
      </x:c>
      <x:c r="D1229" s="34" t="str">
        <x:v>UNMAPPED</x:v>
      </x:c>
      <x:c r="E1229" s="34" t="str">
        <x:v>70.0</x:v>
      </x:c>
      <x:c r="F1229" s="34" t="str">
        <x:v>MI-1947</x:v>
      </x:c>
      <x:c r="G1229" s="39" t="str">
        <x:v>شبکه مدیران</x:v>
      </x:c>
      <x:c r="H1229" s="39" t="str">
        <x:v>H14</x:v>
      </x:c>
      <x:c r="I1229" s="39" t="str">
        <x:v>P3</x:v>
      </x:c>
      <x:c r="J1229" s="39" t="str">
        <x:v>H23</x:v>
      </x:c>
      <x:c r="K1229" s="39" t="str">
        <x:v>نیازمند پالایش؛ حذف نشده</x:v>
      </x:c>
      <x:c r="L1229" s="39"/>
      <x:c r="M1229" s="39"/>
      <x:c r="N1229" s="39" t="str">
        <x:v>1154878548.docx::P2268.1 | 1154878548.docx::P2269.1</x:v>
      </x:c>
      <x:c r="O1229" s="39"/>
    </x:row>
    <x:row r="1230">
      <x:c r="A1230" s="34" t="str">
        <x:v>☐</x:v>
      </x:c>
      <x:c r="B1230" s="34" t="str">
        <x:v>EX-1202</x:v>
      </x:c>
      <x:c r="C1230" s="34" t="str">
        <x:v>احکام شرعی دانشجویی و دانش آموزی</x:v>
      </x:c>
      <x:c r="D1230" s="34" t="str">
        <x:v>POSSIBLE</x:v>
      </x:c>
      <x:c r="E1230" s="34" t="str">
        <x:v>90.0</x:v>
      </x:c>
      <x:c r="F1230" s="34" t="str">
        <x:v>MI-1418</x:v>
      </x:c>
      <x:c r="G1230" s="39" t="str">
        <x:v>احکام شرعی</x:v>
      </x:c>
      <x:c r="H1230" s="39" t="str">
        <x:v>H15</x:v>
      </x:c>
      <x:c r="I1230" s="39" t="str">
        <x:v>P3/CLARIFY</x:v>
      </x:c>
      <x:c r="J1230" s="39" t="str">
        <x:v>H15</x:v>
      </x:c>
      <x:c r="K1230" s="39" t="str">
        <x:v>تطبیق احتمالی با پایه</x:v>
      </x:c>
      <x:c r="L1230" s="39" t="str">
        <x:v>MI-1418</x:v>
      </x:c>
      <x:c r="M1230" s="39" t="str">
        <x:v>احکام شرعی</x:v>
      </x:c>
      <x:c r="N1230" s="39" t="str">
        <x:v>1154878548.docx::P2270.1</x:v>
      </x:c>
      <x:c r="O1230" s="39"/>
    </x:row>
    <x:row r="1231">
      <x:c r="A1231" s="34" t="str">
        <x:v>☐</x:v>
      </x:c>
      <x:c r="B1231" s="34" t="str">
        <x:v>EX-1203</x:v>
      </x:c>
      <x:c r="C1231" s="34" t="str">
        <x:v>مشاور تحصیلی</x:v>
      </x:c>
      <x:c r="D1231" s="34" t="str">
        <x:v>POSSIBLE</x:v>
      </x:c>
      <x:c r="E1231" s="34" t="str">
        <x:v>90.0</x:v>
      </x:c>
      <x:c r="F1231" s="34" t="str">
        <x:v>MI-1206</x:v>
      </x:c>
      <x:c r="G1231" s="39" t="str">
        <x:v>تحصیلی</x:v>
      </x:c>
      <x:c r="H1231" s="39" t="str">
        <x:v>H23</x:v>
      </x:c>
      <x:c r="I1231" s="39" t="str">
        <x:v>P3/CLARIFY</x:v>
      </x:c>
      <x:c r="J1231" s="39" t="str">
        <x:v>H23</x:v>
      </x:c>
      <x:c r="K1231" s="39" t="str">
        <x:v>تطبیق احتمالی با پایه</x:v>
      </x:c>
      <x:c r="L1231" s="39" t="str">
        <x:v>MI-1206</x:v>
      </x:c>
      <x:c r="M1231" s="39" t="str">
        <x:v>تحصیلی</x:v>
      </x:c>
      <x:c r="N1231" s="39" t="str">
        <x:v>1154878548.docx::P2271.1</x:v>
      </x:c>
      <x:c r="O1231" s="39"/>
    </x:row>
    <x:row r="1232">
      <x:c r="A1232" s="34" t="str">
        <x:v>☐</x:v>
      </x:c>
      <x:c r="B1232" s="34" t="str">
        <x:v>EX-1204</x:v>
      </x:c>
      <x:c r="C1232" s="34" t="str">
        <x:v>1. فرهنگی (Cultural)</x:v>
      </x:c>
      <x:c r="D1232" s="34" t="str">
        <x:v>POSSIBLE</x:v>
      </x:c>
      <x:c r="E1232" s="34" t="str">
        <x:v>90.0</x:v>
      </x:c>
      <x:c r="F1232" s="34" t="str">
        <x:v>MI-0289</x:v>
      </x:c>
      <x:c r="G1232" s="39" t="str">
        <x:v>فرهنگی</x:v>
      </x:c>
      <x:c r="H1232" s="39" t="str">
        <x:v>H15</x:v>
      </x:c>
      <x:c r="I1232" s="39" t="str">
        <x:v>P3/CLARIFY</x:v>
      </x:c>
      <x:c r="J1232" s="39" t="str">
        <x:v>H15</x:v>
      </x:c>
      <x:c r="K1232" s="39" t="str">
        <x:v>تطبیق احتمالی با پایه</x:v>
      </x:c>
      <x:c r="L1232" s="39" t="str">
        <x:v>MI-0289</x:v>
      </x:c>
      <x:c r="M1232" s="39" t="str">
        <x:v>فرهنگی</x:v>
      </x:c>
      <x:c r="N1232" s="39" t="str">
        <x:v>1154878548.docx::P2283.1</x:v>
      </x:c>
      <x:c r="O1232" s="39"/>
    </x:row>
    <x:row r="1233">
      <x:c r="A1233" s="34" t="str">
        <x:v>☐</x:v>
      </x:c>
      <x:c r="B1233" s="34" t="str">
        <x:v>EX-1205</x:v>
      </x:c>
      <x:c r="C1233" s="34" t="str">
        <x:v>ارزشها و هنجارها</x:v>
      </x:c>
      <x:c r="D1233" s="34" t="str">
        <x:v>POSSIBLE</x:v>
      </x:c>
      <x:c r="E1233" s="34" t="str">
        <x:v>85.5</x:v>
      </x:c>
      <x:c r="F1233" s="34" t="str">
        <x:v>MI-1513</x:v>
      </x:c>
      <x:c r="G1233" s="39" t="str">
        <x:v>تولید و کارآفرینی: توانایی تولید محصول و خدمات و ایجاد شغل.</x:v>
      </x:c>
      <x:c r="H1233" s="39" t="str">
        <x:v>H1</x:v>
      </x:c>
      <x:c r="I1233" s="39" t="str">
        <x:v>P0</x:v>
      </x:c>
      <x:c r="J1233" s="39" t="str">
        <x:v>H1</x:v>
      </x:c>
      <x:c r="K1233" s="39" t="str">
        <x:v>تطبیق احتمالی با پایه</x:v>
      </x:c>
      <x:c r="L1233" s="39" t="str">
        <x:v>MI-1513</x:v>
      </x:c>
      <x:c r="M1233" s="39" t="str">
        <x:v>تولید و کارآفرینی: توانایی تولید محصول و خدمات و ایجاد شغل.</x:v>
      </x:c>
      <x:c r="N1233" s="39" t="str">
        <x:v>1154878548.docx::P2285.1</x:v>
      </x:c>
      <x:c r="O1233" s="39"/>
    </x:row>
    <x:row r="1234">
      <x:c r="A1234" s="34" t="str">
        <x:v>☐</x:v>
      </x:c>
      <x:c r="B1234" s="34" t="str">
        <x:v>EX-1206</x:v>
      </x:c>
      <x:c r="C1234" s="34" t="str">
        <x:v>هنر، ادبیات، رسانه</x:v>
      </x:c>
      <x:c r="D1234" s="34" t="str">
        <x:v>POSSIBLE</x:v>
      </x:c>
      <x:c r="E1234" s="34" t="str">
        <x:v>90.0</x:v>
      </x:c>
      <x:c r="F1234" s="34" t="str">
        <x:v>MI-0815</x:v>
      </x:c>
      <x:c r="G1234" s="39" t="str">
        <x:v>رسانه:</x:v>
      </x:c>
      <x:c r="H1234" s="39" t="str">
        <x:v>H11</x:v>
      </x:c>
      <x:c r="I1234" s="39" t="str">
        <x:v>DELEGATE/P2</x:v>
      </x:c>
      <x:c r="J1234" s="39" t="str">
        <x:v>H11</x:v>
      </x:c>
      <x:c r="K1234" s="39" t="str">
        <x:v>تطبیق احتمالی با پایه</x:v>
      </x:c>
      <x:c r="L1234" s="39" t="str">
        <x:v>MI-0815</x:v>
      </x:c>
      <x:c r="M1234" s="39" t="str">
        <x:v>رسانه:</x:v>
      </x:c>
      <x:c r="N1234" s="39" t="str">
        <x:v>1154878548.docx::P2286.1</x:v>
      </x:c>
      <x:c r="O1234" s="39"/>
    </x:row>
    <x:row r="1235">
      <x:c r="A1235" s="34" t="str">
        <x:v>☐</x:v>
      </x:c>
      <x:c r="B1235" s="34" t="str">
        <x:v>EX-1207</x:v>
      </x:c>
      <x:c r="C1235" s="34" t="str">
        <x:v>زبان، آیینها، سنتها</x:v>
      </x:c>
      <x:c r="D1235" s="34" t="str">
        <x:v>POSSIBLE</x:v>
      </x:c>
      <x:c r="E1235" s="34" t="str">
        <x:v>85.5</x:v>
      </x:c>
      <x:c r="F1235" s="34" t="str">
        <x:v>MI-3085</x:v>
      </x:c>
      <x:c r="G1235" s="39" t="str">
        <x:v>چه کلاس هایی رفته اید و تو چه زمینه هایی کار کردید؟(بجز زبان، هنر و ورزش )</x:v>
      </x:c>
      <x:c r="H1235" s="39" t="str">
        <x:v>H17</x:v>
      </x:c>
      <x:c r="I1235" s="39" t="str">
        <x:v>P3</x:v>
      </x:c>
      <x:c r="J1235" s="39" t="str">
        <x:v>H17</x:v>
      </x:c>
      <x:c r="K1235" s="39" t="str">
        <x:v>تطبیق احتمالی با پایه</x:v>
      </x:c>
      <x:c r="L1235" s="39" t="str">
        <x:v>MI-3085</x:v>
      </x:c>
      <x:c r="M1235" s="39" t="str">
        <x:v>چه کلاس هایی رفته اید و تو چه زمینه هایی کار کردید؟(بجز زبان، هنر و ورزش )</x:v>
      </x:c>
      <x:c r="N1235" s="39" t="str">
        <x:v>1154878548.docx::P2287.1</x:v>
      </x:c>
      <x:c r="O1235" s="39"/>
    </x:row>
    <x:row r="1236">
      <x:c r="A1236" s="34" t="str">
        <x:v>☐</x:v>
      </x:c>
      <x:c r="B1236" s="34" t="str">
        <x:v>EX-1208</x:v>
      </x:c>
      <x:c r="C1236" s="34" t="str">
        <x:v>هویت ملی و بومی</x:v>
      </x:c>
      <x:c r="D1236" s="34" t="str">
        <x:v>POSSIBLE</x:v>
      </x:c>
      <x:c r="E1236" s="34" t="str">
        <x:v>85.5</x:v>
      </x:c>
      <x:c r="F1236" s="34" t="str">
        <x:v>MI-1513</x:v>
      </x:c>
      <x:c r="G1236" s="39" t="str">
        <x:v>تولید و کارآفرینی: توانایی تولید محصول و خدمات و ایجاد شغل.</x:v>
      </x:c>
      <x:c r="H1236" s="39" t="str">
        <x:v>H1</x:v>
      </x:c>
      <x:c r="I1236" s="39" t="str">
        <x:v>P0</x:v>
      </x:c>
      <x:c r="J1236" s="39" t="str">
        <x:v>H1</x:v>
      </x:c>
      <x:c r="K1236" s="39" t="str">
        <x:v>تطبیق احتمالی با پایه</x:v>
      </x:c>
      <x:c r="L1236" s="39" t="str">
        <x:v>MI-1513</x:v>
      </x:c>
      <x:c r="M1236" s="39" t="str">
        <x:v>تولید و کارآفرینی: توانایی تولید محصول و خدمات و ایجاد شغل.</x:v>
      </x:c>
      <x:c r="N1236" s="39" t="str">
        <x:v>1154878548.docx::P2288.1</x:v>
      </x:c>
      <x:c r="O1236" s="39"/>
    </x:row>
    <x:row r="1237">
      <x:c r="A1237" s="34" t="str">
        <x:v>☐</x:v>
      </x:c>
      <x:c r="B1237" s="34" t="str">
        <x:v>EX-1209</x:v>
      </x:c>
      <x:c r="C1237" s="34" t="str">
        <x:v>خیریه و کارهای خیر</x:v>
      </x:c>
      <x:c r="D1237" s="34" t="str">
        <x:v>POSSIBLE</x:v>
      </x:c>
      <x:c r="E1237" s="34" t="str">
        <x:v>90.0</x:v>
      </x:c>
      <x:c r="F1237" s="34" t="str">
        <x:v>MI-2545</x:v>
      </x:c>
      <x:c r="G1237" s="39" t="str">
        <x:v>کار:</x:v>
      </x:c>
      <x:c r="H1237" s="39" t="str">
        <x:v>H20</x:v>
      </x:c>
      <x:c r="I1237" s="39" t="str">
        <x:v>P3/CLARIFY</x:v>
      </x:c>
      <x:c r="J1237" s="39" t="str">
        <x:v>H20</x:v>
      </x:c>
      <x:c r="K1237" s="39" t="str">
        <x:v>تطبیق احتمالی با پایه</x:v>
      </x:c>
      <x:c r="L1237" s="39" t="str">
        <x:v>MI-2545</x:v>
      </x:c>
      <x:c r="M1237" s="39" t="str">
        <x:v>کار:</x:v>
      </x:c>
      <x:c r="N1237" s="39" t="str">
        <x:v>1154878548.docx::P2291.1</x:v>
      </x:c>
      <x:c r="O1237" s="39"/>
    </x:row>
    <x:row r="1238">
      <x:c r="A1238" s="34" t="str">
        <x:v>☐</x:v>
      </x:c>
      <x:c r="B1238" s="34" t="str">
        <x:v>EX-1210</x:v>
      </x:c>
      <x:c r="C1238" s="34" t="str">
        <x:v>اهدا کتاب</x:v>
      </x:c>
      <x:c r="D1238" s="34" t="str">
        <x:v>POSSIBLE</x:v>
      </x:c>
      <x:c r="E1238" s="34" t="str">
        <x:v>90.0</x:v>
      </x:c>
      <x:c r="F1238" s="34" t="str">
        <x:v>MI-0262</x:v>
      </x:c>
      <x:c r="G1238" s="39" t="str">
        <x:v>طرح اهدا کتاب به کتابخانه سردار و طرح پوستر متناسب با مناسبت خاص</x:v>
      </x:c>
      <x:c r="H1238" s="39" t="str">
        <x:v>H11</x:v>
      </x:c>
      <x:c r="I1238" s="39" t="str">
        <x:v>BANK</x:v>
      </x:c>
      <x:c r="J1238" s="39" t="str">
        <x:v>H11</x:v>
      </x:c>
      <x:c r="K1238" s="39" t="str">
        <x:v>تطبیق احتمالی با پایه</x:v>
      </x:c>
      <x:c r="L1238" s="39" t="str">
        <x:v>MI-0262</x:v>
      </x:c>
      <x:c r="M1238" s="39" t="str">
        <x:v>طرح اهدا کتاب به کتابخانه سردار و طرح پوستر متناسب با مناسبت خاص</x:v>
      </x:c>
      <x:c r="N1238" s="39" t="str">
        <x:v>1154878548.docx::P2292.1</x:v>
      </x:c>
      <x:c r="O1238" s="39"/>
    </x:row>
    <x:row r="1239">
      <x:c r="A1239" s="34" t="str">
        <x:v>☐</x:v>
      </x:c>
      <x:c r="B1239" s="34" t="str">
        <x:v>EX-1211</x:v>
      </x:c>
      <x:c r="C1239" s="34" t="str">
        <x:v>اهدا کتاب به بسیج یا سراج یا کتابخانه و...</x:v>
      </x:c>
      <x:c r="D1239" s="34" t="str">
        <x:v>POSSIBLE</x:v>
      </x:c>
      <x:c r="E1239" s="34" t="str">
        <x:v>85.5</x:v>
      </x:c>
      <x:c r="F1239" s="34" t="str">
        <x:v>MI-1530</x:v>
      </x:c>
      <x:c r="G1239" s="39" t="str">
        <x:v>ایجاد ستاد تحول بسیج</x:v>
      </x:c>
      <x:c r="H1239" s="39" t="str">
        <x:v>H1</x:v>
      </x:c>
      <x:c r="I1239" s="39" t="str">
        <x:v>P0</x:v>
      </x:c>
      <x:c r="J1239" s="39" t="str">
        <x:v>H1</x:v>
      </x:c>
      <x:c r="K1239" s="39" t="str">
        <x:v>تطبیق احتمالی با پایه</x:v>
      </x:c>
      <x:c r="L1239" s="39" t="str">
        <x:v>MI-1530</x:v>
      </x:c>
      <x:c r="M1239" s="39" t="str">
        <x:v>ایجاد ستاد تحول بسیج</x:v>
      </x:c>
      <x:c r="N1239" s="39" t="str">
        <x:v>1154878548.docx::P2293.1</x:v>
      </x:c>
      <x:c r="O1239" s="39"/>
    </x:row>
    <x:row r="1240">
      <x:c r="A1240" s="34" t="str">
        <x:v>☐</x:v>
      </x:c>
      <x:c r="B1240" s="34" t="str">
        <x:v>EX-1212</x:v>
      </x:c>
      <x:c r="C1240" s="34" t="str">
        <x:v>2. اجتماعی (Social)</x:v>
      </x:c>
      <x:c r="D1240" s="34" t="str">
        <x:v>POSSIBLE</x:v>
      </x:c>
      <x:c r="E1240" s="34" t="str">
        <x:v>90.0</x:v>
      </x:c>
      <x:c r="F1240" s="34" t="str">
        <x:v>MI-0288</x:v>
      </x:c>
      <x:c r="G1240" s="39" t="str">
        <x:v>اجتماعی</x:v>
      </x:c>
      <x:c r="H1240" s="39" t="str">
        <x:v>H15</x:v>
      </x:c>
      <x:c r="I1240" s="39" t="str">
        <x:v>P3/CLARIFY</x:v>
      </x:c>
      <x:c r="J1240" s="39" t="str">
        <x:v>H15</x:v>
      </x:c>
      <x:c r="K1240" s="39" t="str">
        <x:v>تطبیق احتمالی با پایه</x:v>
      </x:c>
      <x:c r="L1240" s="39" t="str">
        <x:v>MI-0288</x:v>
      </x:c>
      <x:c r="M1240" s="39" t="str">
        <x:v>اجتماعی</x:v>
      </x:c>
      <x:c r="N1240" s="39" t="str">
        <x:v>1154878548.docx::P2295.1</x:v>
      </x:c>
      <x:c r="O1240" s="39"/>
    </x:row>
    <x:row r="1241">
      <x:c r="A1241" s="34" t="str">
        <x:v>☐</x:v>
      </x:c>
      <x:c r="B1241" s="34" t="str">
        <x:v>EX-1213</x:v>
      </x:c>
      <x:c r="C1241" s="34" t="str">
        <x:v>سرمایه اجتماعی</x:v>
      </x:c>
      <x:c r="D1241" s="34" t="str">
        <x:v>POSSIBLE</x:v>
      </x:c>
      <x:c r="E1241" s="34" t="str">
        <x:v>90.0</x:v>
      </x:c>
      <x:c r="F1241" s="34" t="str">
        <x:v>MI-1735</x:v>
      </x:c>
      <x:c r="G1241" s="39" t="str">
        <x:v>سرمایه</x:v>
      </x:c>
      <x:c r="H1241" s="39" t="str">
        <x:v>H8</x:v>
      </x:c>
      <x:c r="I1241" s="39" t="str">
        <x:v>P2</x:v>
      </x:c>
      <x:c r="J1241" s="39" t="str">
        <x:v>H8</x:v>
      </x:c>
      <x:c r="K1241" s="39" t="str">
        <x:v>تطبیق احتمالی با پایه</x:v>
      </x:c>
      <x:c r="L1241" s="39" t="str">
        <x:v>MI-1735</x:v>
      </x:c>
      <x:c r="M1241" s="39" t="str">
        <x:v>سرمایه</x:v>
      </x:c>
      <x:c r="N1241" s="39" t="str">
        <x:v>1154878548.docx::P2297.1</x:v>
      </x:c>
      <x:c r="O1241" s="39"/>
    </x:row>
    <x:row r="1242">
      <x:c r="A1242" s="34" t="str">
        <x:v>☐</x:v>
      </x:c>
      <x:c r="B1242" s="34" t="str">
        <x:v>EX-1214</x:v>
      </x:c>
      <x:c r="C1242" s="34" t="str">
        <x:v>نابرابریها</x:v>
      </x:c>
      <x:c r="D1242" s="34" t="str">
        <x:v>UNMAPPED</x:v>
      </x:c>
      <x:c r="E1242" s="34" t="str">
        <x:v>75.0</x:v>
      </x:c>
      <x:c r="F1242" s="34" t="str">
        <x:v>MI-1323</x:v>
      </x:c>
      <x:c r="G1242" s="39" t="str">
        <x:v>ترابری</x:v>
      </x:c>
      <x:c r="H1242" s="39" t="str">
        <x:v>H12</x:v>
      </x:c>
      <x:c r="I1242" s="39" t="str">
        <x:v>P2</x:v>
      </x:c>
      <x:c r="J1242" s="39" t="str">
        <x:v>H23</x:v>
      </x:c>
      <x:c r="K1242" s="39" t="str">
        <x:v>نیازمند پالایش؛ حذف نشده</x:v>
      </x:c>
      <x:c r="L1242" s="39"/>
      <x:c r="M1242" s="39"/>
      <x:c r="N1242" s="39" t="str">
        <x:v>1154878548.docx::P2298.1</x:v>
      </x:c>
      <x:c r="O1242" s="39"/>
    </x:row>
    <x:row r="1243">
      <x:c r="A1243" s="34" t="str">
        <x:v>☐</x:v>
      </x:c>
      <x:c r="B1243" s="34" t="str">
        <x:v>EX-1215</x:v>
      </x:c>
      <x:c r="C1243" s="34" t="str">
        <x:v>مشارکت اجتماعی</x:v>
      </x:c>
      <x:c r="D1243" s="34" t="str">
        <x:v>POSSIBLE</x:v>
      </x:c>
      <x:c r="E1243" s="34" t="str">
        <x:v>90.0</x:v>
      </x:c>
      <x:c r="F1243" s="34" t="str">
        <x:v>MI-0288</x:v>
      </x:c>
      <x:c r="G1243" s="39" t="str">
        <x:v>اجتماعی</x:v>
      </x:c>
      <x:c r="H1243" s="39" t="str">
        <x:v>H15</x:v>
      </x:c>
      <x:c r="I1243" s="39" t="str">
        <x:v>P3/CLARIFY</x:v>
      </x:c>
      <x:c r="J1243" s="39" t="str">
        <x:v>H15</x:v>
      </x:c>
      <x:c r="K1243" s="39" t="str">
        <x:v>تطبیق احتمالی با پایه</x:v>
      </x:c>
      <x:c r="L1243" s="39" t="str">
        <x:v>MI-0288</x:v>
      </x:c>
      <x:c r="M1243" s="39" t="str">
        <x:v>اجتماعی</x:v>
      </x:c>
      <x:c r="N1243" s="39" t="str">
        <x:v>1154878548.docx::P2299.1</x:v>
      </x:c>
      <x:c r="O1243" s="39"/>
    </x:row>
    <x:row r="1244">
      <x:c r="A1244" s="34" t="str">
        <x:v>☐</x:v>
      </x:c>
      <x:c r="B1244" s="34" t="str">
        <x:v>EX-1216</x:v>
      </x:c>
      <x:c r="C1244" s="34" t="str">
        <x:v>خانواده، جوانان، سالمندان</x:v>
      </x:c>
      <x:c r="D1244" s="34" t="str">
        <x:v>POSSIBLE</x:v>
      </x:c>
      <x:c r="E1244" s="34" t="str">
        <x:v>85.5</x:v>
      </x:c>
      <x:c r="F1244" s="34" t="str">
        <x:v>MI-0798</x:v>
      </x:c>
      <x:c r="G1244" s="39" t="str">
        <x:v>- تحویل غذای باقیمانده سلف به خانه سالمندان (باب الحوایج)</x:v>
      </x:c>
      <x:c r="H1244" s="39" t="str">
        <x:v>H11</x:v>
      </x:c>
      <x:c r="I1244" s="39" t="str">
        <x:v>DELEGATE/P2</x:v>
      </x:c>
      <x:c r="J1244" s="39" t="str">
        <x:v>H11</x:v>
      </x:c>
      <x:c r="K1244" s="39" t="str">
        <x:v>تطبیق احتمالی با پایه</x:v>
      </x:c>
      <x:c r="L1244" s="39" t="str">
        <x:v>MI-0798</x:v>
      </x:c>
      <x:c r="M1244" s="39" t="str">
        <x:v>- تحویل غذای باقیمانده سلف به خانه سالمندان (باب الحوایج)</x:v>
      </x:c>
      <x:c r="N1244" s="39" t="str">
        <x:v>1154878548.docx::P2300.1</x:v>
      </x:c>
      <x:c r="O1244" s="39"/>
    </x:row>
    <x:row r="1245">
      <x:c r="A1245" s="34" t="str">
        <x:v>☐</x:v>
      </x:c>
      <x:c r="B1245" s="34" t="str">
        <x:v>EX-1217</x:v>
      </x:c>
      <x:c r="C1245" s="34" t="str">
        <x:v>آسیبهای اجتماعی</x:v>
      </x:c>
      <x:c r="D1245" s="34" t="str">
        <x:v>POSSIBLE</x:v>
      </x:c>
      <x:c r="E1245" s="34" t="str">
        <x:v>90.0</x:v>
      </x:c>
      <x:c r="F1245" s="34" t="str">
        <x:v>MI-0288</x:v>
      </x:c>
      <x:c r="G1245" s="39" t="str">
        <x:v>اجتماعی</x:v>
      </x:c>
      <x:c r="H1245" s="39" t="str">
        <x:v>H15</x:v>
      </x:c>
      <x:c r="I1245" s="39" t="str">
        <x:v>P3/CLARIFY</x:v>
      </x:c>
      <x:c r="J1245" s="39" t="str">
        <x:v>H15</x:v>
      </x:c>
      <x:c r="K1245" s="39" t="str">
        <x:v>تطبیق احتمالی با پایه</x:v>
      </x:c>
      <x:c r="L1245" s="39" t="str">
        <x:v>MI-0288</x:v>
      </x:c>
      <x:c r="M1245" s="39" t="str">
        <x:v>اجتماعی</x:v>
      </x:c>
      <x:c r="N1245" s="39" t="str">
        <x:v>1154878548.docx::P2301.1</x:v>
      </x:c>
      <x:c r="O1245" s="39"/>
    </x:row>
    <x:row r="1246">
      <x:c r="A1246" s="34" t="str">
        <x:v>☐</x:v>
      </x:c>
      <x:c r="B1246" s="34" t="str">
        <x:v>EX-1218</x:v>
      </x:c>
      <x:c r="C1246" s="34" t="str">
        <x:v>3. اقتصادی (Economic)</x:v>
      </x:c>
      <x:c r="D1246" s="34" t="str">
        <x:v>POSSIBLE</x:v>
      </x:c>
      <x:c r="E1246" s="34" t="str">
        <x:v>90.0</x:v>
      </x:c>
      <x:c r="F1246" s="34" t="str">
        <x:v>MI-0283</x:v>
      </x:c>
      <x:c r="G1246" s="39" t="str">
        <x:v>اقتصادی</x:v>
      </x:c>
      <x:c r="H1246" s="39" t="str">
        <x:v>H16</x:v>
      </x:c>
      <x:c r="I1246" s="39" t="str">
        <x:v>P3/CLARIFY</x:v>
      </x:c>
      <x:c r="J1246" s="39" t="str">
        <x:v>H16</x:v>
      </x:c>
      <x:c r="K1246" s="39" t="str">
        <x:v>تطبیق احتمالی با پایه</x:v>
      </x:c>
      <x:c r="L1246" s="39" t="str">
        <x:v>MI-0283</x:v>
      </x:c>
      <x:c r="M1246" s="39" t="str">
        <x:v>اقتصادی</x:v>
      </x:c>
      <x:c r="N1246" s="39" t="str">
        <x:v>1154878548.docx::P2311.1</x:v>
      </x:c>
      <x:c r="O1246" s="39"/>
    </x:row>
    <x:row r="1247">
      <x:c r="A1247" s="34" t="str">
        <x:v>☐</x:v>
      </x:c>
      <x:c r="B1247" s="34" t="str">
        <x:v>EX-1219</x:v>
      </x:c>
      <x:c r="C1247" s="34" t="str">
        <x:v>تولید و اشتغال</x:v>
      </x:c>
      <x:c r="D1247" s="34" t="str">
        <x:v>POSSIBLE</x:v>
      </x:c>
      <x:c r="E1247" s="34" t="str">
        <x:v>90.0</x:v>
      </x:c>
      <x:c r="F1247" s="34" t="str">
        <x:v>MI-2681</x:v>
      </x:c>
      <x:c r="G1247" s="39" t="str">
        <x:v>اشتغال</x:v>
      </x:c>
      <x:c r="H1247" s="39" t="str">
        <x:v>H20</x:v>
      </x:c>
      <x:c r="I1247" s="39" t="str">
        <x:v>P3/CLARIFY</x:v>
      </x:c>
      <x:c r="J1247" s="39" t="str">
        <x:v>H20</x:v>
      </x:c>
      <x:c r="K1247" s="39" t="str">
        <x:v>تطبیق احتمالی با پایه</x:v>
      </x:c>
      <x:c r="L1247" s="39" t="str">
        <x:v>MI-2681</x:v>
      </x:c>
      <x:c r="M1247" s="39" t="str">
        <x:v>اشتغال</x:v>
      </x:c>
      <x:c r="N1247" s="39" t="str">
        <x:v>1154878548.docx::P2312.1</x:v>
      </x:c>
      <x:c r="O1247" s="39"/>
    </x:row>
    <x:row r="1248">
      <x:c r="A1248" s="34" t="str">
        <x:v>☐</x:v>
      </x:c>
      <x:c r="B1248" s="34" t="str">
        <x:v>EX-1220</x:v>
      </x:c>
      <x:c r="C1248" s="34" t="str">
        <x:v>سرمایهگذاری</x:v>
      </x:c>
      <x:c r="D1248" s="34" t="str">
        <x:v>POSSIBLE</x:v>
      </x:c>
      <x:c r="E1248" s="34" t="str">
        <x:v>90.9</x:v>
      </x:c>
      <x:c r="F1248" s="34" t="str">
        <x:v>MI-1669</x:v>
      </x:c>
      <x:c r="G1248" s="39" t="str">
        <x:v>• سرمایه گذار</x:v>
      </x:c>
      <x:c r="H1248" s="39" t="str">
        <x:v>H8</x:v>
      </x:c>
      <x:c r="I1248" s="39" t="str">
        <x:v>P2</x:v>
      </x:c>
      <x:c r="J1248" s="39" t="str">
        <x:v>H8</x:v>
      </x:c>
      <x:c r="K1248" s="39" t="str">
        <x:v>تطبیق احتمالی با پایه</x:v>
      </x:c>
      <x:c r="L1248" s="39" t="str">
        <x:v>MI-1669</x:v>
      </x:c>
      <x:c r="M1248" s="39" t="str">
        <x:v>• سرمایه گذار</x:v>
      </x:c>
      <x:c r="N1248" s="39" t="str">
        <x:v>1154878548.docx::P2313.1</x:v>
      </x:c>
      <x:c r="O1248" s="39"/>
    </x:row>
    <x:row r="1249">
      <x:c r="A1249" s="34" t="str">
        <x:v>☐</x:v>
      </x:c>
      <x:c r="B1249" s="34" t="str">
        <x:v>EX-1221</x:v>
      </x:c>
      <x:c r="C1249" s="34" t="str">
        <x:v>تورم، رشد اقتصادی</x:v>
      </x:c>
      <x:c r="D1249" s="34" t="str">
        <x:v>POSSIBLE</x:v>
      </x:c>
      <x:c r="E1249" s="34" t="str">
        <x:v>90.0</x:v>
      </x:c>
      <x:c r="F1249" s="34" t="str">
        <x:v>MI-0283</x:v>
      </x:c>
      <x:c r="G1249" s="39" t="str">
        <x:v>اقتصادی</x:v>
      </x:c>
      <x:c r="H1249" s="39" t="str">
        <x:v>H16</x:v>
      </x:c>
      <x:c r="I1249" s="39" t="str">
        <x:v>P3/CLARIFY</x:v>
      </x:c>
      <x:c r="J1249" s="39" t="str">
        <x:v>H16</x:v>
      </x:c>
      <x:c r="K1249" s="39" t="str">
        <x:v>تطبیق احتمالی با پایه</x:v>
      </x:c>
      <x:c r="L1249" s="39" t="str">
        <x:v>MI-0283</x:v>
      </x:c>
      <x:c r="M1249" s="39" t="str">
        <x:v>اقتصادی</x:v>
      </x:c>
      <x:c r="N1249" s="39" t="str">
        <x:v>1154878548.docx::P2314.1</x:v>
      </x:c>
      <x:c r="O1249" s="39"/>
    </x:row>
    <x:row r="1250">
      <x:c r="A1250" s="34" t="str">
        <x:v>☐</x:v>
      </x:c>
      <x:c r="B1250" s="34" t="str">
        <x:v>EX-1222</x:v>
      </x:c>
      <x:c r="C1250" s="34" t="str">
        <x:v>فقر و توزیع درآمد</x:v>
      </x:c>
      <x:c r="D1250" s="34" t="str">
        <x:v>POSSIBLE</x:v>
      </x:c>
      <x:c r="E1250" s="34" t="str">
        <x:v>85.5</x:v>
      </x:c>
      <x:c r="F1250" s="34" t="str">
        <x:v>MI-1513</x:v>
      </x:c>
      <x:c r="G1250" s="39" t="str">
        <x:v>تولید و کارآفرینی: توانایی تولید محصول و خدمات و ایجاد شغل.</x:v>
      </x:c>
      <x:c r="H1250" s="39" t="str">
        <x:v>H1</x:v>
      </x:c>
      <x:c r="I1250" s="39" t="str">
        <x:v>P0</x:v>
      </x:c>
      <x:c r="J1250" s="39" t="str">
        <x:v>H1</x:v>
      </x:c>
      <x:c r="K1250" s="39" t="str">
        <x:v>تطبیق احتمالی با پایه</x:v>
      </x:c>
      <x:c r="L1250" s="39" t="str">
        <x:v>MI-1513</x:v>
      </x:c>
      <x:c r="M1250" s="39" t="str">
        <x:v>تولید و کارآفرینی: توانایی تولید محصول و خدمات و ایجاد شغل.</x:v>
      </x:c>
      <x:c r="N1250" s="39" t="str">
        <x:v>1154878548.docx::P2315.1</x:v>
      </x:c>
      <x:c r="O1250" s="39"/>
    </x:row>
    <x:row r="1251">
      <x:c r="A1251" s="34" t="str">
        <x:v>☐</x:v>
      </x:c>
      <x:c r="B1251" s="34" t="str">
        <x:v>EX-1223</x:v>
      </x:c>
      <x:c r="C1251" s="34" t="str">
        <x:v>صنعت، کشاورزی، خدمات</x:v>
      </x:c>
      <x:c r="D1251" s="34" t="str">
        <x:v>POSSIBLE</x:v>
      </x:c>
      <x:c r="E1251" s="34" t="str">
        <x:v>90.0</x:v>
      </x:c>
      <x:c r="F1251" s="34" t="str">
        <x:v>MI-2219</x:v>
      </x:c>
      <x:c r="G1251" s="39" t="str">
        <x:v>کشاورزی</x:v>
      </x:c>
      <x:c r="H1251" s="39" t="str">
        <x:v>H12</x:v>
      </x:c>
      <x:c r="I1251" s="39" t="str">
        <x:v>P2</x:v>
      </x:c>
      <x:c r="J1251" s="39" t="str">
        <x:v>H12</x:v>
      </x:c>
      <x:c r="K1251" s="39" t="str">
        <x:v>تطبیق احتمالی با پایه</x:v>
      </x:c>
      <x:c r="L1251" s="39" t="str">
        <x:v>MI-2219</x:v>
      </x:c>
      <x:c r="M1251" s="39" t="str">
        <x:v>کشاورزی</x:v>
      </x:c>
      <x:c r="N1251" s="39" t="str">
        <x:v>1154878548.docx::P2316.1</x:v>
      </x:c>
      <x:c r="O1251" s="39"/>
    </x:row>
    <x:row r="1252">
      <x:c r="A1252" s="34" t="str">
        <x:v>☐</x:v>
      </x:c>
      <x:c r="B1252" s="34" t="str">
        <x:v>EX-1224</x:v>
      </x:c>
      <x:c r="C1252" s="34" t="str">
        <x:v>اقتصاد دانشبنیان</x:v>
      </x:c>
      <x:c r="D1252" s="34" t="str">
        <x:v>POSSIBLE</x:v>
      </x:c>
      <x:c r="E1252" s="34" t="str">
        <x:v>90.0</x:v>
      </x:c>
      <x:c r="F1252" s="34" t="str">
        <x:v>MI-2622</x:v>
      </x:c>
      <x:c r="G1252" s="39" t="str">
        <x:v>دانش</x:v>
      </x:c>
      <x:c r="H1252" s="39" t="str">
        <x:v>H20</x:v>
      </x:c>
      <x:c r="I1252" s="39" t="str">
        <x:v>P3/CLARIFY</x:v>
      </x:c>
      <x:c r="J1252" s="39" t="str">
        <x:v>H20</x:v>
      </x:c>
      <x:c r="K1252" s="39" t="str">
        <x:v>تطبیق احتمالی با پایه</x:v>
      </x:c>
      <x:c r="L1252" s="39" t="str">
        <x:v>MI-2622</x:v>
      </x:c>
      <x:c r="M1252" s="39" t="str">
        <x:v>دانش</x:v>
      </x:c>
      <x:c r="N1252" s="39" t="str">
        <x:v>1154878548.docx::P2317.1</x:v>
      </x:c>
      <x:c r="O1252" s="39"/>
    </x:row>
    <x:row r="1253">
      <x:c r="A1253" s="34" t="str">
        <x:v>☐</x:v>
      </x:c>
      <x:c r="B1253" s="34" t="str">
        <x:v>EX-1225</x:v>
      </x:c>
      <x:c r="C1253" s="34" t="str">
        <x:v>4. سیاسی (Political)</x:v>
      </x:c>
      <x:c r="D1253" s="34" t="str">
        <x:v>POSSIBLE</x:v>
      </x:c>
      <x:c r="E1253" s="34" t="str">
        <x:v>85.5</x:v>
      </x:c>
      <x:c r="F1253" s="34" t="str">
        <x:v>MI-1448</x:v>
      </x:c>
      <x:c r="G1253" s="39" t="str">
        <x:v>پول هییت قبلا چوقدر هست دست من؟؟؟ قبلا 4,290 بوده . چقدر به سید دادم.</x:v>
      </x:c>
      <x:c r="H1253" s="39" t="str">
        <x:v>H1</x:v>
      </x:c>
      <x:c r="I1253" s="39" t="str">
        <x:v>P0</x:v>
      </x:c>
      <x:c r="J1253" s="39" t="str">
        <x:v>H1</x:v>
      </x:c>
      <x:c r="K1253" s="39" t="str">
        <x:v>تطبیق احتمالی با پایه</x:v>
      </x:c>
      <x:c r="L1253" s="39" t="str">
        <x:v>MI-1448</x:v>
      </x:c>
      <x:c r="M1253" s="39" t="str">
        <x:v>پول هییت قبلا چوقدر هست دست من؟؟؟ قبلا 4,290 بوده . چقدر به سید دادم.</x:v>
      </x:c>
      <x:c r="N1253" s="39" t="str">
        <x:v>1154878548.docx::P2318.1</x:v>
      </x:c>
      <x:c r="O1253" s="39"/>
    </x:row>
    <x:row r="1254">
      <x:c r="A1254" s="34" t="str">
        <x:v>☐</x:v>
      </x:c>
      <x:c r="B1254" s="34" t="str">
        <x:v>EX-1226</x:v>
      </x:c>
      <x:c r="C1254" s="34" t="str">
        <x:v>حکمرانی و سیاستگذاری</x:v>
      </x:c>
      <x:c r="D1254" s="34" t="str">
        <x:v>POSSIBLE</x:v>
      </x:c>
      <x:c r="E1254" s="34" t="str">
        <x:v>85.5</x:v>
      </x:c>
      <x:c r="F1254" s="34" t="str">
        <x:v>MI-1513</x:v>
      </x:c>
      <x:c r="G1254" s="39" t="str">
        <x:v>تولید و کارآفرینی: توانایی تولید محصول و خدمات و ایجاد شغل.</x:v>
      </x:c>
      <x:c r="H1254" s="39" t="str">
        <x:v>H1</x:v>
      </x:c>
      <x:c r="I1254" s="39" t="str">
        <x:v>P0</x:v>
      </x:c>
      <x:c r="J1254" s="39" t="str">
        <x:v>H1</x:v>
      </x:c>
      <x:c r="K1254" s="39" t="str">
        <x:v>تطبیق احتمالی با پایه</x:v>
      </x:c>
      <x:c r="L1254" s="39" t="str">
        <x:v>MI-1513</x:v>
      </x:c>
      <x:c r="M1254" s="39" t="str">
        <x:v>تولید و کارآفرینی: توانایی تولید محصول و خدمات و ایجاد شغل.</x:v>
      </x:c>
      <x:c r="N1254" s="39" t="str">
        <x:v>1154878548.docx::P2319.1</x:v>
      </x:c>
      <x:c r="O1254" s="39"/>
    </x:row>
    <x:row r="1255">
      <x:c r="A1255" s="34" t="str">
        <x:v>☐</x:v>
      </x:c>
      <x:c r="B1255" s="34" t="str">
        <x:v>EX-1227</x:v>
      </x:c>
      <x:c r="C1255" s="34" t="str">
        <x:v>تصمیمگیری عمومی</x:v>
      </x:c>
      <x:c r="D1255" s="34" t="str">
        <x:v>POSSIBLE</x:v>
      </x:c>
      <x:c r="E1255" s="34" t="str">
        <x:v>85.5</x:v>
      </x:c>
      <x:c r="F1255" s="34" t="str">
        <x:v>MI-0765</x:v>
      </x:c>
      <x:c r="G1255" s="39" t="str">
        <x:v>ادمین شدن روابط عمومی در کانال</x:v>
      </x:c>
      <x:c r="H1255" s="39" t="str">
        <x:v>H11</x:v>
      </x:c>
      <x:c r="I1255" s="39" t="str">
        <x:v>DELEGATE/P2</x:v>
      </x:c>
      <x:c r="J1255" s="39" t="str">
        <x:v>H11</x:v>
      </x:c>
      <x:c r="K1255" s="39" t="str">
        <x:v>تطبیق احتمالی با پایه</x:v>
      </x:c>
      <x:c r="L1255" s="39" t="str">
        <x:v>MI-0765</x:v>
      </x:c>
      <x:c r="M1255" s="39" t="str">
        <x:v>ادمین شدن روابط عمومی در کانال</x:v>
      </x:c>
      <x:c r="N1255" s="39" t="str">
        <x:v>1154878548.docx::P2320.1</x:v>
      </x:c>
      <x:c r="O1255" s="39"/>
    </x:row>
    <x:row r="1256">
      <x:c r="A1256" s="34" t="str">
        <x:v>☐</x:v>
      </x:c>
      <x:c r="B1256" s="34" t="str">
        <x:v>EX-1228</x:v>
      </x:c>
      <x:c r="C1256" s="34" t="str">
        <x:v>احزاب و نهادها</x:v>
      </x:c>
      <x:c r="D1256" s="34" t="str">
        <x:v>POSSIBLE</x:v>
      </x:c>
      <x:c r="E1256" s="34" t="str">
        <x:v>90.0</x:v>
      </x:c>
      <x:c r="F1256" s="34" t="str">
        <x:v>MI-1099</x:v>
      </x:c>
      <x:c r="G1256" s="39" t="str">
        <x:v>نهاد</x:v>
      </x:c>
      <x:c r="H1256" s="39" t="str">
        <x:v>H23</x:v>
      </x:c>
      <x:c r="I1256" s="39" t="str">
        <x:v>P3/CLARIFY</x:v>
      </x:c>
      <x:c r="J1256" s="39" t="str">
        <x:v>H23</x:v>
      </x:c>
      <x:c r="K1256" s="39" t="str">
        <x:v>تطبیق احتمالی با پایه</x:v>
      </x:c>
      <x:c r="L1256" s="39" t="str">
        <x:v>MI-1099</x:v>
      </x:c>
      <x:c r="M1256" s="39" t="str">
        <x:v>نهاد</x:v>
      </x:c>
      <x:c r="N1256" s="39" t="str">
        <x:v>1154878548.docx::P2321.1</x:v>
      </x:c>
      <x:c r="O1256" s="39"/>
    </x:row>
    <x:row r="1257">
      <x:c r="A1257" s="34" t="str">
        <x:v>☐</x:v>
      </x:c>
      <x:c r="B1257" s="34" t="str">
        <x:v>EX-1229</x:v>
      </x:c>
      <x:c r="C1257" s="34" t="str">
        <x:v>مشارکت سیاسی</x:v>
      </x:c>
      <x:c r="D1257" s="34" t="str">
        <x:v>POSSIBLE</x:v>
      </x:c>
      <x:c r="E1257" s="34" t="str">
        <x:v>85.5</x:v>
      </x:c>
      <x:c r="F1257" s="34" t="str">
        <x:v>MI-0257</x:v>
      </x:c>
      <x:c r="G1257" s="39" t="str">
        <x:v>جهاد تبیین سیاسی و اقتصادی و فرهنگی</x:v>
      </x:c>
      <x:c r="H1257" s="39" t="str">
        <x:v>H16</x:v>
      </x:c>
      <x:c r="I1257" s="39" t="str">
        <x:v>P3/CLARIFY</x:v>
      </x:c>
      <x:c r="J1257" s="39" t="str">
        <x:v>H16</x:v>
      </x:c>
      <x:c r="K1257" s="39" t="str">
        <x:v>تطبیق احتمالی با پایه</x:v>
      </x:c>
      <x:c r="L1257" s="39" t="str">
        <x:v>MI-0257</x:v>
      </x:c>
      <x:c r="M1257" s="39" t="str">
        <x:v>جهاد تبیین سیاسی و اقتصادی و فرهنگی</x:v>
      </x:c>
      <x:c r="N1257" s="39" t="str">
        <x:v>1154878548.docx::P2322.1</x:v>
      </x:c>
      <x:c r="O1257" s="39"/>
    </x:row>
    <x:row r="1258">
      <x:c r="A1258" s="34" t="str">
        <x:v>☐</x:v>
      </x:c>
      <x:c r="B1258" s="34" t="str">
        <x:v>EX-1230</x:v>
      </x:c>
      <x:c r="C1258" s="34" t="str">
        <x:v>روابط قدرت</x:v>
      </x:c>
      <x:c r="D1258" s="34" t="str">
        <x:v>POSSIBLE</x:v>
      </x:c>
      <x:c r="E1258" s="34" t="str">
        <x:v>90.0</x:v>
      </x:c>
      <x:c r="F1258" s="34" t="str">
        <x:v>MI-2083</x:v>
      </x:c>
      <x:c r="G1258" s="39" t="str">
        <x:v>قدرت:</x:v>
      </x:c>
      <x:c r="H1258" s="39" t="str">
        <x:v>H20</x:v>
      </x:c>
      <x:c r="I1258" s="39" t="str">
        <x:v>P3/CLARIFY</x:v>
      </x:c>
      <x:c r="J1258" s="39" t="str">
        <x:v>H20</x:v>
      </x:c>
      <x:c r="K1258" s="39" t="str">
        <x:v>تطبیق احتمالی با پایه</x:v>
      </x:c>
      <x:c r="L1258" s="39" t="str">
        <x:v>MI-2083</x:v>
      </x:c>
      <x:c r="M1258" s="39" t="str">
        <x:v>قدرت:</x:v>
      </x:c>
      <x:c r="N1258" s="39" t="str">
        <x:v>1154878548.docx::P2323.1</x:v>
      </x:c>
      <x:c r="O1258" s="39"/>
    </x:row>
    <x:row r="1259">
      <x:c r="A1259" s="34" t="str">
        <x:v>☐</x:v>
      </x:c>
      <x:c r="B1259" s="34" t="str">
        <x:v>EX-1231</x:v>
      </x:c>
      <x:c r="C1259" s="34" t="str">
        <x:v>سیاست داخلی و خارجی</x:v>
      </x:c>
      <x:c r="D1259" s="34" t="str">
        <x:v>POSSIBLE</x:v>
      </x:c>
      <x:c r="E1259" s="34" t="str">
        <x:v>85.5</x:v>
      </x:c>
      <x:c r="F1259" s="34" t="str">
        <x:v>MI-1513</x:v>
      </x:c>
      <x:c r="G1259" s="39" t="str">
        <x:v>تولید و کارآفرینی: توانایی تولید محصول و خدمات و ایجاد شغل.</x:v>
      </x:c>
      <x:c r="H1259" s="39" t="str">
        <x:v>H1</x:v>
      </x:c>
      <x:c r="I1259" s="39" t="str">
        <x:v>P0</x:v>
      </x:c>
      <x:c r="J1259" s="39" t="str">
        <x:v>H1</x:v>
      </x:c>
      <x:c r="K1259" s="39" t="str">
        <x:v>تطبیق احتمالی با پایه</x:v>
      </x:c>
      <x:c r="L1259" s="39" t="str">
        <x:v>MI-1513</x:v>
      </x:c>
      <x:c r="M1259" s="39" t="str">
        <x:v>تولید و کارآفرینی: توانایی تولید محصول و خدمات و ایجاد شغل.</x:v>
      </x:c>
      <x:c r="N1259" s="39" t="str">
        <x:v>1154878548.docx::P2324.1</x:v>
      </x:c>
      <x:c r="O1259" s="39"/>
    </x:row>
    <x:row r="1260">
      <x:c r="A1260" s="34" t="str">
        <x:v>☐</x:v>
      </x:c>
      <x:c r="B1260" s="34" t="str">
        <x:v>EX-1232</x:v>
      </x:c>
      <x:c r="C1260" s="34" t="str">
        <x:v>تبیین تاریخی ایران مثل تطهیر پهلوی</x:v>
      </x:c>
      <x:c r="D1260" s="34" t="str">
        <x:v>POSSIBLE</x:v>
      </x:c>
      <x:c r="E1260" s="34" t="str">
        <x:v>90.0</x:v>
      </x:c>
      <x:c r="F1260" s="34" t="str">
        <x:v>MI-1236</x:v>
      </x:c>
      <x:c r="G1260" s="39" t="str">
        <x:v>ایران</x:v>
      </x:c>
      <x:c r="H1260" s="39" t="str">
        <x:v>H12</x:v>
      </x:c>
      <x:c r="I1260" s="39" t="str">
        <x:v>P2</x:v>
      </x:c>
      <x:c r="J1260" s="39" t="str">
        <x:v>H12</x:v>
      </x:c>
      <x:c r="K1260" s="39" t="str">
        <x:v>تطبیق احتمالی با پایه</x:v>
      </x:c>
      <x:c r="L1260" s="39" t="str">
        <x:v>MI-1236</x:v>
      </x:c>
      <x:c r="M1260" s="39" t="str">
        <x:v>ایران</x:v>
      </x:c>
      <x:c r="N1260" s="39" t="str">
        <x:v>1154878548.docx::P2325.1</x:v>
      </x:c>
      <x:c r="O1260" s="39"/>
    </x:row>
    <x:row r="1261">
      <x:c r="A1261" s="34" t="str">
        <x:v>☐</x:v>
      </x:c>
      <x:c r="B1261" s="34" t="str">
        <x:v>EX-1233</x:v>
      </x:c>
      <x:c r="C1261" s="34" t="str">
        <x:v>5. علمی (Scientific)</x:v>
      </x:c>
      <x:c r="D1261" s="34" t="str">
        <x:v>POSSIBLE</x:v>
      </x:c>
      <x:c r="E1261" s="34" t="str">
        <x:v>85.5</x:v>
      </x:c>
      <x:c r="F1261" s="34" t="str">
        <x:v>MI-0048</x:v>
      </x:c>
      <x:c r="G1261" s="39" t="str">
        <x:v>عضو هیات علمی دانشگاه آیت ا... بروجردی در بروجرد</x:v>
      </x:c>
      <x:c r="H1261" s="39" t="str">
        <x:v>H2</x:v>
      </x:c>
      <x:c r="I1261" s="39" t="str">
        <x:v>P3/CLARIFY</x:v>
      </x:c>
      <x:c r="J1261" s="39" t="str">
        <x:v>H2</x:v>
      </x:c>
      <x:c r="K1261" s="39" t="str">
        <x:v>تطبیق احتمالی با پایه</x:v>
      </x:c>
      <x:c r="L1261" s="39" t="str">
        <x:v>MI-0048</x:v>
      </x:c>
      <x:c r="M1261" s="39" t="str">
        <x:v>عضو هیات علمی دانشگاه آیت ا... بروجردی در بروجرد</x:v>
      </x:c>
      <x:c r="N1261" s="39" t="str">
        <x:v>1154878548.docx::P2327.1</x:v>
      </x:c>
      <x:c r="O1261" s="39"/>
    </x:row>
    <x:row r="1262">
      <x:c r="A1262" s="34" t="str">
        <x:v>☐</x:v>
      </x:c>
      <x:c r="B1262" s="34" t="str">
        <x:v>EX-1234</x:v>
      </x:c>
      <x:c r="C1262" s="34" t="str">
        <x:v>پژوهش و نوآوری</x:v>
      </x:c>
      <x:c r="D1262" s="34" t="str">
        <x:v>POSSIBLE</x:v>
      </x:c>
      <x:c r="E1262" s="34" t="str">
        <x:v>90.0</x:v>
      </x:c>
      <x:c r="F1262" s="34" t="str">
        <x:v>MI-2192</x:v>
      </x:c>
      <x:c r="G1262" s="39" t="str">
        <x:v>پژوهش</x:v>
      </x:c>
      <x:c r="H1262" s="39" t="str">
        <x:v>H9</x:v>
      </x:c>
      <x:c r="I1262" s="39" t="str">
        <x:v>P2</x:v>
      </x:c>
      <x:c r="J1262" s="39" t="str">
        <x:v>H9</x:v>
      </x:c>
      <x:c r="K1262" s="39" t="str">
        <x:v>تطبیق احتمالی با پایه</x:v>
      </x:c>
      <x:c r="L1262" s="39" t="str">
        <x:v>MI-2192</x:v>
      </x:c>
      <x:c r="M1262" s="39" t="str">
        <x:v>پژوهش</x:v>
      </x:c>
      <x:c r="N1262" s="39" t="str">
        <x:v>1154878548.docx::P2328.1</x:v>
      </x:c>
      <x:c r="O1262" s="39"/>
    </x:row>
    <x:row r="1263">
      <x:c r="A1263" s="34" t="str">
        <x:v>☐</x:v>
      </x:c>
      <x:c r="B1263" s="34" t="str">
        <x:v>EX-1235</x:v>
      </x:c>
      <x:c r="C1263" s="34" t="str">
        <x:v>توسعه فناوری</x:v>
      </x:c>
      <x:c r="D1263" s="34" t="str">
        <x:v>POSSIBLE</x:v>
      </x:c>
      <x:c r="E1263" s="34" t="str">
        <x:v>85.5</x:v>
      </x:c>
      <x:c r="F1263" s="34" t="str">
        <x:v>MI-3147</x:v>
      </x:c>
      <x:c r="G1263" s="39" t="str">
        <x:v>ارزش 7: مهارت و توسعه فردی</x:v>
      </x:c>
      <x:c r="H1263" s="39" t="str">
        <x:v>H1</x:v>
      </x:c>
      <x:c r="I1263" s="39" t="str">
        <x:v>P0</x:v>
      </x:c>
      <x:c r="J1263" s="39" t="str">
        <x:v>H1</x:v>
      </x:c>
      <x:c r="K1263" s="39" t="str">
        <x:v>تطبیق احتمالی با پایه</x:v>
      </x:c>
      <x:c r="L1263" s="39" t="str">
        <x:v>MI-3147</x:v>
      </x:c>
      <x:c r="M1263" s="39" t="str">
        <x:v>ارزش 7: مهارت و توسعه فردی</x:v>
      </x:c>
      <x:c r="N1263" s="39" t="str">
        <x:v>1154878548.docx::P2329.1</x:v>
      </x:c>
      <x:c r="O1263" s="39"/>
    </x:row>
    <x:row r="1264">
      <x:c r="A1264" s="34" t="str">
        <x:v>☐</x:v>
      </x:c>
      <x:c r="B1264" s="34" t="str">
        <x:v>EX-1236</x:v>
      </x:c>
      <x:c r="C1264" s="34" t="str">
        <x:v>تولید علم</x:v>
      </x:c>
      <x:c r="D1264" s="34" t="str">
        <x:v>POSSIBLE</x:v>
      </x:c>
      <x:c r="E1264" s="34" t="str">
        <x:v>85.5</x:v>
      </x:c>
      <x:c r="F1264" s="34" t="str">
        <x:v>MI-1513</x:v>
      </x:c>
      <x:c r="G1264" s="39" t="str">
        <x:v>تولید و کارآفرینی: توانایی تولید محصول و خدمات و ایجاد شغل.</x:v>
      </x:c>
      <x:c r="H1264" s="39" t="str">
        <x:v>H1</x:v>
      </x:c>
      <x:c r="I1264" s="39" t="str">
        <x:v>P0</x:v>
      </x:c>
      <x:c r="J1264" s="39" t="str">
        <x:v>H1</x:v>
      </x:c>
      <x:c r="K1264" s="39" t="str">
        <x:v>تطبیق احتمالی با پایه</x:v>
      </x:c>
      <x:c r="L1264" s="39" t="str">
        <x:v>MI-1513</x:v>
      </x:c>
      <x:c r="M1264" s="39" t="str">
        <x:v>تولید و کارآفرینی: توانایی تولید محصول و خدمات و ایجاد شغل.</x:v>
      </x:c>
      <x:c r="N1264" s="39" t="str">
        <x:v>1154878548.docx::P2330.1</x:v>
      </x:c>
      <x:c r="O1264" s="39"/>
    </x:row>
    <x:row r="1265">
      <x:c r="A1265" s="34" t="str">
        <x:v>☐</x:v>
      </x:c>
      <x:c r="B1265" s="34" t="str">
        <x:v>EX-1237</x:v>
      </x:c>
      <x:c r="C1265" s="34" t="str">
        <x:v>دانشگاه و مراکز تحقیقاتی</x:v>
      </x:c>
      <x:c r="D1265" s="34" t="str">
        <x:v>POSSIBLE</x:v>
      </x:c>
      <x:c r="E1265" s="34" t="str">
        <x:v>90.0</x:v>
      </x:c>
      <x:c r="F1265" s="34" t="str">
        <x:v>MI-1793</x:v>
      </x:c>
      <x:c r="G1265" s="39" t="str">
        <x:v>مراکز تحقیقاتی</x:v>
      </x:c>
      <x:c r="H1265" s="39" t="str">
        <x:v>H9</x:v>
      </x:c>
      <x:c r="I1265" s="39" t="str">
        <x:v>P2</x:v>
      </x:c>
      <x:c r="J1265" s="39" t="str">
        <x:v>H9</x:v>
      </x:c>
      <x:c r="K1265" s="39" t="str">
        <x:v>تطبیق احتمالی با پایه</x:v>
      </x:c>
      <x:c r="L1265" s="39" t="str">
        <x:v>MI-1793</x:v>
      </x:c>
      <x:c r="M1265" s="39" t="str">
        <x:v>مراکز تحقیقاتی</x:v>
      </x:c>
      <x:c r="N1265" s="39" t="str">
        <x:v>1154878548.docx::P2331.1</x:v>
      </x:c>
      <x:c r="O1265" s="39"/>
    </x:row>
    <x:row r="1266">
      <x:c r="A1266" s="34" t="str">
        <x:v>☐</x:v>
      </x:c>
      <x:c r="B1266" s="34" t="str">
        <x:v>EX-1238</x:v>
      </x:c>
      <x:c r="C1266" s="34" t="str">
        <x:v>مرجعیت علمی</x:v>
      </x:c>
      <x:c r="D1266" s="34" t="str">
        <x:v>POSSIBLE</x:v>
      </x:c>
      <x:c r="E1266" s="34" t="str">
        <x:v>85.5</x:v>
      </x:c>
      <x:c r="F1266" s="34" t="str">
        <x:v>MI-0048</x:v>
      </x:c>
      <x:c r="G1266" s="39" t="str">
        <x:v>عضو هیات علمی دانشگاه آیت ا... بروجردی در بروجرد</x:v>
      </x:c>
      <x:c r="H1266" s="39" t="str">
        <x:v>H2</x:v>
      </x:c>
      <x:c r="I1266" s="39" t="str">
        <x:v>P3/CLARIFY</x:v>
      </x:c>
      <x:c r="J1266" s="39" t="str">
        <x:v>H2</x:v>
      </x:c>
      <x:c r="K1266" s="39" t="str">
        <x:v>تطبیق احتمالی با پایه</x:v>
      </x:c>
      <x:c r="L1266" s="39" t="str">
        <x:v>MI-0048</x:v>
      </x:c>
      <x:c r="M1266" s="39" t="str">
        <x:v>عضو هیات علمی دانشگاه آیت ا... بروجردی در بروجرد</x:v>
      </x:c>
      <x:c r="N1266" s="39" t="str">
        <x:v>1154878548.docx::P2332.1</x:v>
      </x:c>
      <x:c r="O1266" s="39"/>
    </x:row>
    <x:row r="1267">
      <x:c r="A1267" s="34" t="str">
        <x:v>☐</x:v>
      </x:c>
      <x:c r="B1267" s="34" t="str">
        <x:v>EX-1239</x:v>
      </x:c>
      <x:c r="C1267" s="34" t="str">
        <x:v>سیاست علم و فناوری</x:v>
      </x:c>
      <x:c r="D1267" s="34" t="str">
        <x:v>POSSIBLE</x:v>
      </x:c>
      <x:c r="E1267" s="34" t="str">
        <x:v>90.0</x:v>
      </x:c>
      <x:c r="F1267" s="34" t="str">
        <x:v>MI-1172</x:v>
      </x:c>
      <x:c r="G1267" s="39" t="str">
        <x:v>علم و فناوری</x:v>
      </x:c>
      <x:c r="H1267" s="39" t="str">
        <x:v>H11</x:v>
      </x:c>
      <x:c r="I1267" s="39" t="str">
        <x:v>DELEGATE/P2</x:v>
      </x:c>
      <x:c r="J1267" s="39" t="str">
        <x:v>H11</x:v>
      </x:c>
      <x:c r="K1267" s="39" t="str">
        <x:v>تطبیق احتمالی با پایه</x:v>
      </x:c>
      <x:c r="L1267" s="39" t="str">
        <x:v>MI-1172</x:v>
      </x:c>
      <x:c r="M1267" s="39" t="str">
        <x:v>علم و فناوری</x:v>
      </x:c>
      <x:c r="N1267" s="39" t="str">
        <x:v>1154878548.docx::P2333.1</x:v>
      </x:c>
      <x:c r="O1267" s="39"/>
    </x:row>
    <x:row r="1268">
      <x:c r="A1268" s="34" t="str">
        <x:v>☐</x:v>
      </x:c>
      <x:c r="B1268" s="34" t="str">
        <x:v>EX-1240</x:v>
      </x:c>
      <x:c r="C1268" s="34" t="str">
        <x:v>6. آموزشی (Educational)</x:v>
      </x:c>
      <x:c r="D1268" s="34" t="str">
        <x:v>POSSIBLE</x:v>
      </x:c>
      <x:c r="E1268" s="34" t="str">
        <x:v>90.0</x:v>
      </x:c>
      <x:c r="F1268" s="34" t="str">
        <x:v>MI-2601</x:v>
      </x:c>
      <x:c r="G1268" s="39" t="str">
        <x:v>آموزش:</x:v>
      </x:c>
      <x:c r="H1268" s="39" t="str">
        <x:v>H20</x:v>
      </x:c>
      <x:c r="I1268" s="39" t="str">
        <x:v>P3/CLARIFY</x:v>
      </x:c>
      <x:c r="J1268" s="39" t="str">
        <x:v>H20</x:v>
      </x:c>
      <x:c r="K1268" s="39" t="str">
        <x:v>تطبیق احتمالی با پایه</x:v>
      </x:c>
      <x:c r="L1268" s="39" t="str">
        <x:v>MI-2601</x:v>
      </x:c>
      <x:c r="M1268" s="39" t="str">
        <x:v>آموزش:</x:v>
      </x:c>
      <x:c r="N1268" s="39" t="str">
        <x:v>1154878548.docx::P2361.1</x:v>
      </x:c>
      <x:c r="O1268" s="39"/>
    </x:row>
    <x:row r="1269">
      <x:c r="A1269" s="34" t="str">
        <x:v>☐</x:v>
      </x:c>
      <x:c r="B1269" s="34" t="str">
        <x:v>EX-1241</x:v>
      </x:c>
      <x:c r="C1269" s="34" t="str">
        <x:v>کیفیت آموزش</x:v>
      </x:c>
      <x:c r="D1269" s="34" t="str">
        <x:v>POSSIBLE</x:v>
      </x:c>
      <x:c r="E1269" s="34" t="str">
        <x:v>90.0</x:v>
      </x:c>
      <x:c r="F1269" s="34" t="str">
        <x:v>MI-0720</x:v>
      </x:c>
      <x:c r="G1269" s="39" t="str">
        <x:v>کیفیت</x:v>
      </x:c>
      <x:c r="H1269" s="39" t="str">
        <x:v>H11</x:v>
      </x:c>
      <x:c r="I1269" s="39" t="str">
        <x:v>DELEGATE/P2</x:v>
      </x:c>
      <x:c r="J1269" s="39" t="str">
        <x:v>H11</x:v>
      </x:c>
      <x:c r="K1269" s="39" t="str">
        <x:v>تطبیق احتمالی با پایه</x:v>
      </x:c>
      <x:c r="L1269" s="39" t="str">
        <x:v>MI-0720</x:v>
      </x:c>
      <x:c r="M1269" s="39" t="str">
        <x:v>کیفیت</x:v>
      </x:c>
      <x:c r="N1269" s="39" t="str">
        <x:v>1154878548.docx::P2362.1</x:v>
      </x:c>
      <x:c r="O1269" s="39"/>
    </x:row>
    <x:row r="1270">
      <x:c r="A1270" s="34" t="str">
        <x:v>☐</x:v>
      </x:c>
      <x:c r="B1270" s="34" t="str">
        <x:v>EX-1242</x:v>
      </x:c>
      <x:c r="C1270" s="34" t="str">
        <x:v>عدالت آموزشی</x:v>
      </x:c>
      <x:c r="D1270" s="34" t="str">
        <x:v>POSSIBLE</x:v>
      </x:c>
      <x:c r="E1270" s="34" t="str">
        <x:v>90.0</x:v>
      </x:c>
      <x:c r="F1270" s="34" t="str">
        <x:v>MI-2601</x:v>
      </x:c>
      <x:c r="G1270" s="39" t="str">
        <x:v>آموزش:</x:v>
      </x:c>
      <x:c r="H1270" s="39" t="str">
        <x:v>H20</x:v>
      </x:c>
      <x:c r="I1270" s="39" t="str">
        <x:v>P3/CLARIFY</x:v>
      </x:c>
      <x:c r="J1270" s="39" t="str">
        <x:v>H20</x:v>
      </x:c>
      <x:c r="K1270" s="39" t="str">
        <x:v>تطبیق احتمالی با پایه</x:v>
      </x:c>
      <x:c r="L1270" s="39" t="str">
        <x:v>MI-2601</x:v>
      </x:c>
      <x:c r="M1270" s="39" t="str">
        <x:v>آموزش:</x:v>
      </x:c>
      <x:c r="N1270" s="39" t="str">
        <x:v>1154878548.docx::P2363.1</x:v>
      </x:c>
      <x:c r="O1270" s="39"/>
    </x:row>
    <x:row r="1271">
      <x:c r="A1271" s="34" t="str">
        <x:v>☐</x:v>
      </x:c>
      <x:c r="B1271" s="34" t="str">
        <x:v>EX-1243</x:v>
      </x:c>
      <x:c r="C1271" s="34" t="str">
        <x:v>مهارتمحوری</x:v>
      </x:c>
      <x:c r="D1271" s="34" t="str">
        <x:v>UNMAPPED</x:v>
      </x:c>
      <x:c r="E1271" s="34" t="str">
        <x:v>72.0</x:v>
      </x:c>
      <x:c r="F1271" s="34" t="str">
        <x:v>MI-2896</x:v>
      </x:c>
      <x:c r="G1271" s="39" t="str">
        <x:v>مهم:</x:v>
      </x:c>
      <x:c r="H1271" s="39" t="str">
        <x:v>H20</x:v>
      </x:c>
      <x:c r="I1271" s="39" t="str">
        <x:v>P3/CLARIFY</x:v>
      </x:c>
      <x:c r="J1271" s="39" t="str">
        <x:v>H23</x:v>
      </x:c>
      <x:c r="K1271" s="39" t="str">
        <x:v>نیازمند پالایش؛ حذف نشده</x:v>
      </x:c>
      <x:c r="L1271" s="39"/>
      <x:c r="M1271" s="39"/>
      <x:c r="N1271" s="39" t="str">
        <x:v>1154878548.docx::P2364.1</x:v>
      </x:c>
      <x:c r="O1271" s="39"/>
    </x:row>
    <x:row r="1272">
      <x:c r="A1272" s="34" t="str">
        <x:v>☐</x:v>
      </x:c>
      <x:c r="B1272" s="34" t="str">
        <x:v>EX-1244</x:v>
      </x:c>
      <x:c r="C1272" s="34" t="str">
        <x:v>آموزش عالی</x:v>
      </x:c>
      <x:c r="D1272" s="34" t="str">
        <x:v>POSSIBLE</x:v>
      </x:c>
      <x:c r="E1272" s="34" t="str">
        <x:v>90.0</x:v>
      </x:c>
      <x:c r="F1272" s="34" t="str">
        <x:v>MI-2601</x:v>
      </x:c>
      <x:c r="G1272" s="39" t="str">
        <x:v>آموزش:</x:v>
      </x:c>
      <x:c r="H1272" s="39" t="str">
        <x:v>H20</x:v>
      </x:c>
      <x:c r="I1272" s="39" t="str">
        <x:v>P3/CLARIFY</x:v>
      </x:c>
      <x:c r="J1272" s="39" t="str">
        <x:v>H20</x:v>
      </x:c>
      <x:c r="K1272" s="39" t="str">
        <x:v>تطبیق احتمالی با پایه</x:v>
      </x:c>
      <x:c r="L1272" s="39" t="str">
        <x:v>MI-2601</x:v>
      </x:c>
      <x:c r="M1272" s="39" t="str">
        <x:v>آموزش:</x:v>
      </x:c>
      <x:c r="N1272" s="39" t="str">
        <x:v>1154878548.docx::P2365.1</x:v>
      </x:c>
      <x:c r="O1272" s="39"/>
    </x:row>
    <x:row r="1273">
      <x:c r="A1273" s="34" t="str">
        <x:v>☐</x:v>
      </x:c>
      <x:c r="B1273" s="34" t="str">
        <x:v>EX-1245</x:v>
      </x:c>
      <x:c r="C1273" s="34" t="str">
        <x:v>آموزش فنیوحرفهای</x:v>
      </x:c>
      <x:c r="D1273" s="34" t="str">
        <x:v>POSSIBLE</x:v>
      </x:c>
      <x:c r="E1273" s="34" t="str">
        <x:v>90.0</x:v>
      </x:c>
      <x:c r="F1273" s="34" t="str">
        <x:v>MI-2601</x:v>
      </x:c>
      <x:c r="G1273" s="39" t="str">
        <x:v>آموزش:</x:v>
      </x:c>
      <x:c r="H1273" s="39" t="str">
        <x:v>H20</x:v>
      </x:c>
      <x:c r="I1273" s="39" t="str">
        <x:v>P3/CLARIFY</x:v>
      </x:c>
      <x:c r="J1273" s="39" t="str">
        <x:v>H20</x:v>
      </x:c>
      <x:c r="K1273" s="39" t="str">
        <x:v>تطبیق احتمالی با پایه</x:v>
      </x:c>
      <x:c r="L1273" s="39" t="str">
        <x:v>MI-2601</x:v>
      </x:c>
      <x:c r="M1273" s="39" t="str">
        <x:v>آموزش:</x:v>
      </x:c>
      <x:c r="N1273" s="39" t="str">
        <x:v>1154878548.docx::P2366.1</x:v>
      </x:c>
      <x:c r="O1273" s="39"/>
    </x:row>
    <x:row r="1274">
      <x:c r="A1274" s="34" t="str">
        <x:v>☐</x:v>
      </x:c>
      <x:c r="B1274" s="34" t="str">
        <x:v>EX-1246</x:v>
      </x:c>
      <x:c r="C1274" s="34" t="str">
        <x:v>یادگیری مادامالعمر</x:v>
      </x:c>
      <x:c r="D1274" s="34" t="str">
        <x:v>POSSIBLE</x:v>
      </x:c>
      <x:c r="E1274" s="34" t="str">
        <x:v>85.5</x:v>
      </x:c>
      <x:c r="F1274" s="34" t="str">
        <x:v>MI-0067</x:v>
      </x:c>
      <x:c r="G1274" s="39" t="str">
        <x:v>یادگیری روش تعامل با افراد گوناگون</x:v>
      </x:c>
      <x:c r="H1274" s="39" t="str">
        <x:v>H1</x:v>
      </x:c>
      <x:c r="I1274" s="39" t="str">
        <x:v>P0</x:v>
      </x:c>
      <x:c r="J1274" s="39" t="str">
        <x:v>H1</x:v>
      </x:c>
      <x:c r="K1274" s="39" t="str">
        <x:v>تطبیق احتمالی با پایه</x:v>
      </x:c>
      <x:c r="L1274" s="39" t="str">
        <x:v>MI-0067</x:v>
      </x:c>
      <x:c r="M1274" s="39" t="str">
        <x:v>یادگیری روش تعامل با افراد گوناگون</x:v>
      </x:c>
      <x:c r="N1274" s="39" t="str">
        <x:v>1154878548.docx::P2367.1</x:v>
      </x:c>
      <x:c r="O1274" s="39"/>
    </x:row>
    <x:row r="1275">
      <x:c r="A1275" s="34" t="str">
        <x:v>☐</x:v>
      </x:c>
      <x:c r="B1275" s="34" t="str">
        <x:v>EX-1247</x:v>
      </x:c>
      <x:c r="C1275" s="34" t="str">
        <x:v>7. فناوری و نوآوری (Technological)</x:v>
      </x:c>
      <x:c r="D1275" s="34" t="str">
        <x:v>POSSIBLE</x:v>
      </x:c>
      <x:c r="E1275" s="34" t="str">
        <x:v>90.0</x:v>
      </x:c>
      <x:c r="F1275" s="34" t="str">
        <x:v>MI-2682</x:v>
      </x:c>
      <x:c r="G1275" s="39" t="str">
        <x:v>نوآوری</x:v>
      </x:c>
      <x:c r="H1275" s="39" t="str">
        <x:v>H20</x:v>
      </x:c>
      <x:c r="I1275" s="39" t="str">
        <x:v>P3/CLARIFY</x:v>
      </x:c>
      <x:c r="J1275" s="39" t="str">
        <x:v>H20</x:v>
      </x:c>
      <x:c r="K1275" s="39" t="str">
        <x:v>تطبیق احتمالی با پایه</x:v>
      </x:c>
      <x:c r="L1275" s="39" t="str">
        <x:v>MI-2682</x:v>
      </x:c>
      <x:c r="M1275" s="39" t="str">
        <x:v>نوآوری</x:v>
      </x:c>
      <x:c r="N1275" s="39" t="str">
        <x:v>1154878548.docx::P2368.1</x:v>
      </x:c>
      <x:c r="O1275" s="39"/>
    </x:row>
    <x:row r="1276">
      <x:c r="A1276" s="34" t="str">
        <x:v>☐</x:v>
      </x:c>
      <x:c r="B1276" s="34" t="str">
        <x:v>EX-1248</x:v>
      </x:c>
      <x:c r="C1276" s="34" t="str">
        <x:v>دیجیتالسازی</x:v>
      </x:c>
      <x:c r="D1276" s="34" t="str">
        <x:v>UNMAPPED</x:v>
      </x:c>
      <x:c r="E1276" s="34" t="str">
        <x:v>77.7</x:v>
      </x:c>
      <x:c r="F1276" s="34" t="str">
        <x:v>MI-0370</x:v>
      </x:c>
      <x:c r="G1276" s="39" t="str">
        <x:v>دیجیتال تویین و بهینه سازی و هوش مصنوعی</x:v>
      </x:c>
      <x:c r="H1276" s="39" t="str">
        <x:v>H7</x:v>
      </x:c>
      <x:c r="I1276" s="39" t="str">
        <x:v>BANK</x:v>
      </x:c>
      <x:c r="J1276" s="39" t="str">
        <x:v>H23</x:v>
      </x:c>
      <x:c r="K1276" s="39" t="str">
        <x:v>نیازمند پالایش؛ حذف نشده</x:v>
      </x:c>
      <x:c r="L1276" s="39"/>
      <x:c r="M1276" s="39"/>
      <x:c r="N1276" s="39" t="str">
        <x:v>1154878548.docx::P2369.1</x:v>
      </x:c>
      <x:c r="O1276" s="39"/>
    </x:row>
    <x:row r="1277">
      <x:c r="A1277" s="34" t="str">
        <x:v>☐</x:v>
      </x:c>
      <x:c r="B1277" s="34" t="str">
        <x:v>EX-1249</x:v>
      </x:c>
      <x:c r="C1277" s="34" t="str">
        <x:v>صنعت 4.0</x:v>
      </x:c>
      <x:c r="D1277" s="34" t="str">
        <x:v>POSSIBLE</x:v>
      </x:c>
      <x:c r="E1277" s="34" t="str">
        <x:v>90.0</x:v>
      </x:c>
      <x:c r="F1277" s="34" t="str">
        <x:v>MI-2602</x:v>
      </x:c>
      <x:c r="G1277" s="39" t="str">
        <x:v>صنعت</x:v>
      </x:c>
      <x:c r="H1277" s="39" t="str">
        <x:v>H12</x:v>
      </x:c>
      <x:c r="I1277" s="39" t="str">
        <x:v>P2</x:v>
      </x:c>
      <x:c r="J1277" s="39" t="str">
        <x:v>H12</x:v>
      </x:c>
      <x:c r="K1277" s="39" t="str">
        <x:v>تطبیق احتمالی با پایه</x:v>
      </x:c>
      <x:c r="L1277" s="39" t="str">
        <x:v>MI-2602</x:v>
      </x:c>
      <x:c r="M1277" s="39" t="str">
        <x:v>صنعت</x:v>
      </x:c>
      <x:c r="N1277" s="39" t="str">
        <x:v>1154878548.docx::P2371.1</x:v>
      </x:c>
      <x:c r="O1277" s="39"/>
    </x:row>
    <x:row r="1278">
      <x:c r="A1278" s="34" t="str">
        <x:v>☐</x:v>
      </x:c>
      <x:c r="B1278" s="34" t="str">
        <x:v>EX-1250</x:v>
      </x:c>
      <x:c r="C1278" s="34" t="str">
        <x:v>تحول دیجیتال</x:v>
      </x:c>
      <x:c r="D1278" s="34" t="str">
        <x:v>POSSIBLE</x:v>
      </x:c>
      <x:c r="E1278" s="34" t="str">
        <x:v>85.5</x:v>
      </x:c>
      <x:c r="F1278" s="34" t="str">
        <x:v>MI-1530</x:v>
      </x:c>
      <x:c r="G1278" s="39" t="str">
        <x:v>ایجاد ستاد تحول بسیج</x:v>
      </x:c>
      <x:c r="H1278" s="39" t="str">
        <x:v>H1</x:v>
      </x:c>
      <x:c r="I1278" s="39" t="str">
        <x:v>P0</x:v>
      </x:c>
      <x:c r="J1278" s="39" t="str">
        <x:v>H1</x:v>
      </x:c>
      <x:c r="K1278" s="39" t="str">
        <x:v>تطبیق احتمالی با پایه</x:v>
      </x:c>
      <x:c r="L1278" s="39" t="str">
        <x:v>MI-1530</x:v>
      </x:c>
      <x:c r="M1278" s="39" t="str">
        <x:v>ایجاد ستاد تحول بسیج</x:v>
      </x:c>
      <x:c r="N1278" s="39" t="str">
        <x:v>1154878548.docx::P2372.1</x:v>
      </x:c>
      <x:c r="O1278" s="39"/>
    </x:row>
    <x:row r="1279">
      <x:c r="A1279" s="34" t="str">
        <x:v>☐</x:v>
      </x:c>
      <x:c r="B1279" s="34" t="str">
        <x:v>EX-1251</x:v>
      </x:c>
      <x:c r="C1279" s="34" t="str">
        <x:v>فناوریهای راهبردی</x:v>
      </x:c>
      <x:c r="D1279" s="34" t="str">
        <x:v>POSSIBLE</x:v>
      </x:c>
      <x:c r="E1279" s="34" t="str">
        <x:v>90.0</x:v>
      </x:c>
      <x:c r="F1279" s="34" t="str">
        <x:v>MI-0105</x:v>
      </x:c>
      <x:c r="G1279" s="39" t="str">
        <x:v>راهبر</x:v>
      </x:c>
      <x:c r="H1279" s="39" t="str">
        <x:v>H6</x:v>
      </x:c>
      <x:c r="I1279" s="39" t="str">
        <x:v>P3/CLARIFY</x:v>
      </x:c>
      <x:c r="J1279" s="39" t="str">
        <x:v>H6</x:v>
      </x:c>
      <x:c r="K1279" s="39" t="str">
        <x:v>تطبیق احتمالی با پایه</x:v>
      </x:c>
      <x:c r="L1279" s="39" t="str">
        <x:v>MI-0105</x:v>
      </x:c>
      <x:c r="M1279" s="39" t="str">
        <x:v>راهبر</x:v>
      </x:c>
      <x:c r="N1279" s="39" t="str">
        <x:v>1154878548.docx::P2374.1</x:v>
      </x:c>
      <x:c r="O1279" s="39"/>
    </x:row>
    <x:row r="1280">
      <x:c r="A1280" s="34" t="str">
        <x:v>☐</x:v>
      </x:c>
      <x:c r="B1280" s="34" t="str">
        <x:v>EX-1252</x:v>
      </x:c>
      <x:c r="C1280" s="34" t="str">
        <x:v>8. زیستمحیطی (Environmental)</x:v>
      </x:c>
      <x:c r="D1280" s="34" t="str">
        <x:v>POSSIBLE</x:v>
      </x:c>
      <x:c r="E1280" s="34" t="str">
        <x:v>85.5</x:v>
      </x:c>
      <x:c r="F1280" s="34" t="str">
        <x:v>MI-1198</x:v>
      </x:c>
      <x:c r="G1280" s="39" t="str">
        <x:v>حتی پنجشنبه ها تا سعت 8 شب یا نهایت 2 ظهر</x:v>
      </x:c>
      <x:c r="H1280" s="39" t="str">
        <x:v>H11</x:v>
      </x:c>
      <x:c r="I1280" s="39" t="str">
        <x:v>BANK</x:v>
      </x:c>
      <x:c r="J1280" s="39" t="str">
        <x:v>H11</x:v>
      </x:c>
      <x:c r="K1280" s="39" t="str">
        <x:v>تطبیق احتمالی با پایه</x:v>
      </x:c>
      <x:c r="L1280" s="39" t="str">
        <x:v>MI-1198</x:v>
      </x:c>
      <x:c r="M1280" s="39" t="str">
        <x:v>حتی پنجشنبه ها تا سعت 8 شب یا نهایت 2 ظهر</x:v>
      </x:c>
      <x:c r="N1280" s="39" t="str">
        <x:v>1154878548.docx::P2375.1</x:v>
      </x:c>
      <x:c r="O1280" s="39"/>
    </x:row>
    <x:row r="1281">
      <x:c r="A1281" s="34" t="str">
        <x:v>☐</x:v>
      </x:c>
      <x:c r="B1281" s="34" t="str">
        <x:v>EX-1253</x:v>
      </x:c>
      <x:c r="C1281" s="34" t="str">
        <x:v>آلودگی هوا و آب</x:v>
      </x:c>
      <x:c r="D1281" s="34" t="str">
        <x:v>POSSIBLE</x:v>
      </x:c>
      <x:c r="E1281" s="34" t="str">
        <x:v>85.5</x:v>
      </x:c>
      <x:c r="F1281" s="34" t="str">
        <x:v>MI-1513</x:v>
      </x:c>
      <x:c r="G1281" s="39" t="str">
        <x:v>تولید و کارآفرینی: توانایی تولید محصول و خدمات و ایجاد شغل.</x:v>
      </x:c>
      <x:c r="H1281" s="39" t="str">
        <x:v>H1</x:v>
      </x:c>
      <x:c r="I1281" s="39" t="str">
        <x:v>P0</x:v>
      </x:c>
      <x:c r="J1281" s="39" t="str">
        <x:v>H1</x:v>
      </x:c>
      <x:c r="K1281" s="39" t="str">
        <x:v>تطبیق احتمالی با پایه</x:v>
      </x:c>
      <x:c r="L1281" s="39" t="str">
        <x:v>MI-1513</x:v>
      </x:c>
      <x:c r="M1281" s="39" t="str">
        <x:v>تولید و کارآفرینی: توانایی تولید محصول و خدمات و ایجاد شغل.</x:v>
      </x:c>
      <x:c r="N1281" s="39" t="str">
        <x:v>1154878548.docx::P2377.1</x:v>
      </x:c>
      <x:c r="O1281" s="39"/>
    </x:row>
    <x:row r="1282">
      <x:c r="A1282" s="34" t="str">
        <x:v>☐</x:v>
      </x:c>
      <x:c r="B1282" s="34" t="str">
        <x:v>EX-1254</x:v>
      </x:c>
      <x:c r="C1282" s="34" t="str">
        <x:v>تغییر اقلیم</x:v>
      </x:c>
      <x:c r="D1282" s="34" t="str">
        <x:v>POSSIBLE</x:v>
      </x:c>
      <x:c r="E1282" s="34" t="str">
        <x:v>85.5</x:v>
      </x:c>
      <x:c r="F1282" s="34" t="str">
        <x:v>MI-0796</x:v>
      </x:c>
      <x:c r="G1282" s="39" t="str">
        <x:v>- تغییر نوع برنج مصرفی در سلف (برنج ایرانی به جای خارجی)</x:v>
      </x:c>
      <x:c r="H1282" s="39" t="str">
        <x:v>H11</x:v>
      </x:c>
      <x:c r="I1282" s="39" t="str">
        <x:v>DELEGATE/P2</x:v>
      </x:c>
      <x:c r="J1282" s="39" t="str">
        <x:v>H11</x:v>
      </x:c>
      <x:c r="K1282" s="39" t="str">
        <x:v>تطبیق احتمالی با پایه</x:v>
      </x:c>
      <x:c r="L1282" s="39" t="str">
        <x:v>MI-0796</x:v>
      </x:c>
      <x:c r="M1282" s="39" t="str">
        <x:v>- تغییر نوع برنج مصرفی در سلف (برنج ایرانی به جای خارجی)</x:v>
      </x:c>
      <x:c r="N1282" s="39" t="str">
        <x:v>1154878548.docx::P2378.1</x:v>
      </x:c>
      <x:c r="O1282" s="39"/>
    </x:row>
    <x:row r="1283">
      <x:c r="A1283" s="34" t="str">
        <x:v>☐</x:v>
      </x:c>
      <x:c r="B1283" s="34" t="str">
        <x:v>EX-1255</x:v>
      </x:c>
      <x:c r="C1283" s="34" t="str">
        <x:v>منابع طبیعی</x:v>
      </x:c>
      <x:c r="D1283" s="34" t="str">
        <x:v>POSSIBLE</x:v>
      </x:c>
      <x:c r="E1283" s="34" t="str">
        <x:v>90.0</x:v>
      </x:c>
      <x:c r="F1283" s="34" t="str">
        <x:v>MI-2187</x:v>
      </x:c>
      <x:c r="G1283" s="39" t="str">
        <x:v>دانشگاه علوم کشاورزی و منابع طبیعی ساری</x:v>
      </x:c>
      <x:c r="H1283" s="39" t="str">
        <x:v>H12</x:v>
      </x:c>
      <x:c r="I1283" s="39" t="str">
        <x:v>P2</x:v>
      </x:c>
      <x:c r="J1283" s="39" t="str">
        <x:v>H12</x:v>
      </x:c>
      <x:c r="K1283" s="39" t="str">
        <x:v>تطبیق احتمالی با پایه</x:v>
      </x:c>
      <x:c r="L1283" s="39" t="str">
        <x:v>MI-2187</x:v>
      </x:c>
      <x:c r="M1283" s="39" t="str">
        <x:v>دانشگاه علوم کشاورزی و منابع طبیعی ساری</x:v>
      </x:c>
      <x:c r="N1283" s="39" t="str">
        <x:v>1154878548.docx::P2379.1</x:v>
      </x:c>
      <x:c r="O1283" s="39"/>
    </x:row>
    <x:row r="1284">
      <x:c r="A1284" s="34" t="str">
        <x:v>☐</x:v>
      </x:c>
      <x:c r="B1284" s="34" t="str">
        <x:v>EX-1256</x:v>
      </x:c>
      <x:c r="C1284" s="34" t="str">
        <x:v>انرژیهای تجدیدپذیر</x:v>
      </x:c>
      <x:c r="D1284" s="34" t="str">
        <x:v>UNMAPPED</x:v>
      </x:c>
      <x:c r="E1284" s="34" t="str">
        <x:v>72.0</x:v>
      </x:c>
      <x:c r="F1284" s="34" t="str">
        <x:v>MI-0639</x:v>
      </x:c>
      <x:c r="G1284" s="39" t="str">
        <x:v>- نشریه</x:v>
      </x:c>
      <x:c r="H1284" s="39" t="str">
        <x:v>H11</x:v>
      </x:c>
      <x:c r="I1284" s="39" t="str">
        <x:v>DELEGATE/P2</x:v>
      </x:c>
      <x:c r="J1284" s="39" t="str">
        <x:v>H23</x:v>
      </x:c>
      <x:c r="K1284" s="39" t="str">
        <x:v>نیازمند پالایش؛ حذف نشده</x:v>
      </x:c>
      <x:c r="L1284" s="39"/>
      <x:c r="M1284" s="39"/>
      <x:c r="N1284" s="39" t="str">
        <x:v>1154878548.docx::P2380.1</x:v>
      </x:c>
      <x:c r="O1284" s="39"/>
    </x:row>
    <x:row r="1285">
      <x:c r="A1285" s="34" t="str">
        <x:v>☐</x:v>
      </x:c>
      <x:c r="B1285" s="34" t="str">
        <x:v>EX-1257</x:v>
      </x:c>
      <x:c r="C1285" s="34" t="str">
        <x:v>توسعه پایدار</x:v>
      </x:c>
      <x:c r="D1285" s="34" t="str">
        <x:v>POSSIBLE</x:v>
      </x:c>
      <x:c r="E1285" s="34" t="str">
        <x:v>85.5</x:v>
      </x:c>
      <x:c r="F1285" s="34" t="str">
        <x:v>MI-3147</x:v>
      </x:c>
      <x:c r="G1285" s="39" t="str">
        <x:v>ارزش 7: مهارت و توسعه فردی</x:v>
      </x:c>
      <x:c r="H1285" s="39" t="str">
        <x:v>H1</x:v>
      </x:c>
      <x:c r="I1285" s="39" t="str">
        <x:v>P0</x:v>
      </x:c>
      <x:c r="J1285" s="39" t="str">
        <x:v>H1</x:v>
      </x:c>
      <x:c r="K1285" s="39" t="str">
        <x:v>تطبیق احتمالی با پایه</x:v>
      </x:c>
      <x:c r="L1285" s="39" t="str">
        <x:v>MI-3147</x:v>
      </x:c>
      <x:c r="M1285" s="39" t="str">
        <x:v>ارزش 7: مهارت و توسعه فردی</x:v>
      </x:c>
      <x:c r="N1285" s="39" t="str">
        <x:v>1154878548.docx::P2381.1</x:v>
      </x:c>
      <x:c r="O1285" s="39"/>
    </x:row>
    <x:row r="1286">
      <x:c r="A1286" s="34" t="str">
        <x:v>☐</x:v>
      </x:c>
      <x:c r="B1286" s="34" t="str">
        <x:v>EX-1258</x:v>
      </x:c>
      <x:c r="C1286" s="34" t="str">
        <x:v>9. حقوقی و قضایی (Legal / Judicial)</x:v>
      </x:c>
      <x:c r="D1286" s="34" t="str">
        <x:v>POSSIBLE</x:v>
      </x:c>
      <x:c r="E1286" s="34" t="str">
        <x:v>90.0</x:v>
      </x:c>
      <x:c r="F1286" s="34" t="str">
        <x:v>MI-1306</x:v>
      </x:c>
      <x:c r="G1286" s="39" t="str">
        <x:v>قضایی</x:v>
      </x:c>
      <x:c r="H1286" s="39" t="str">
        <x:v>H12</x:v>
      </x:c>
      <x:c r="I1286" s="39" t="str">
        <x:v>P2</x:v>
      </x:c>
      <x:c r="J1286" s="39" t="str">
        <x:v>H12</x:v>
      </x:c>
      <x:c r="K1286" s="39" t="str">
        <x:v>تطبیق احتمالی با پایه</x:v>
      </x:c>
      <x:c r="L1286" s="39" t="str">
        <x:v>MI-1306</x:v>
      </x:c>
      <x:c r="M1286" s="39" t="str">
        <x:v>قضایی</x:v>
      </x:c>
      <x:c r="N1286" s="39" t="str">
        <x:v>1154878548.docx::P2382.1</x:v>
      </x:c>
      <x:c r="O1286" s="39"/>
    </x:row>
    <x:row r="1287">
      <x:c r="A1287" s="34" t="str">
        <x:v>☐</x:v>
      </x:c>
      <x:c r="B1287" s="34" t="str">
        <x:v>EX-1259</x:v>
      </x:c>
      <x:c r="C1287" s="34" t="str">
        <x:v>قانونگذاری</x:v>
      </x:c>
      <x:c r="D1287" s="34" t="str">
        <x:v>UNMAPPED</x:v>
      </x:c>
      <x:c r="E1287" s="34" t="str">
        <x:v>68.4</x:v>
      </x:c>
      <x:c r="F1287" s="34" t="str">
        <x:v>MI-1648</x:v>
      </x:c>
      <x:c r="G1287" s="39" t="str">
        <x:v>• قوانین ساده تر برای سرمایه گذاری خارجی</x:v>
      </x:c>
      <x:c r="H1287" s="39" t="str">
        <x:v>H19</x:v>
      </x:c>
      <x:c r="I1287" s="39" t="str">
        <x:v>P3</x:v>
      </x:c>
      <x:c r="J1287" s="39" t="str">
        <x:v>H23</x:v>
      </x:c>
      <x:c r="K1287" s="39" t="str">
        <x:v>نیازمند پالایش؛ حذف نشده</x:v>
      </x:c>
      <x:c r="L1287" s="39"/>
      <x:c r="M1287" s="39"/>
      <x:c r="N1287" s="39" t="str">
        <x:v>1154878548.docx::P2383.1</x:v>
      </x:c>
      <x:c r="O1287" s="39"/>
    </x:row>
    <x:row r="1288">
      <x:c r="A1288" s="34" t="str">
        <x:v>☐</x:v>
      </x:c>
      <x:c r="B1288" s="34" t="str">
        <x:v>EX-1260</x:v>
      </x:c>
      <x:c r="C1288" s="34" t="str">
        <x:v>حقوق شهروندی</x:v>
      </x:c>
      <x:c r="D1288" s="34" t="str">
        <x:v>POSSIBLE</x:v>
      </x:c>
      <x:c r="E1288" s="34" t="str">
        <x:v>90.0</x:v>
      </x:c>
      <x:c r="F1288" s="34" t="str">
        <x:v>MI-1526</x:v>
      </x:c>
      <x:c r="G1288" s="39" t="str">
        <x:v>حقوق شهروندی: حقوق و وظایف شهروندان.</x:v>
      </x:c>
      <x:c r="H1288" s="39" t="str">
        <x:v>H1</x:v>
      </x:c>
      <x:c r="I1288" s="39" t="str">
        <x:v>P0</x:v>
      </x:c>
      <x:c r="J1288" s="39" t="str">
        <x:v>H1</x:v>
      </x:c>
      <x:c r="K1288" s="39" t="str">
        <x:v>تطبیق احتمالی با پایه</x:v>
      </x:c>
      <x:c r="L1288" s="39" t="str">
        <x:v>MI-1526</x:v>
      </x:c>
      <x:c r="M1288" s="39" t="str">
        <x:v>حقوق شهروندی: حقوق و وظایف شهروندان.</x:v>
      </x:c>
      <x:c r="N1288" s="39" t="str">
        <x:v>1154878548.docx::P2384.1</x:v>
      </x:c>
      <x:c r="O1288" s="39"/>
    </x:row>
    <x:row r="1289">
      <x:c r="A1289" s="34" t="str">
        <x:v>☐</x:v>
      </x:c>
      <x:c r="B1289" s="34" t="str">
        <x:v>EX-1261</x:v>
      </x:c>
      <x:c r="C1289" s="34" t="str">
        <x:v>عدالت قضایی</x:v>
      </x:c>
      <x:c r="D1289" s="34" t="str">
        <x:v>POSSIBLE</x:v>
      </x:c>
      <x:c r="E1289" s="34" t="str">
        <x:v>90.0</x:v>
      </x:c>
      <x:c r="F1289" s="34" t="str">
        <x:v>MI-1306</x:v>
      </x:c>
      <x:c r="G1289" s="39" t="str">
        <x:v>قضایی</x:v>
      </x:c>
      <x:c r="H1289" s="39" t="str">
        <x:v>H12</x:v>
      </x:c>
      <x:c r="I1289" s="39" t="str">
        <x:v>P2</x:v>
      </x:c>
      <x:c r="J1289" s="39" t="str">
        <x:v>H12</x:v>
      </x:c>
      <x:c r="K1289" s="39" t="str">
        <x:v>تطبیق احتمالی با پایه</x:v>
      </x:c>
      <x:c r="L1289" s="39" t="str">
        <x:v>MI-1306</x:v>
      </x:c>
      <x:c r="M1289" s="39" t="str">
        <x:v>قضایی</x:v>
      </x:c>
      <x:c r="N1289" s="39" t="str">
        <x:v>1154878548.docx::P2385.1</x:v>
      </x:c>
      <x:c r="O1289" s="39"/>
    </x:row>
    <x:row r="1290">
      <x:c r="A1290" s="34" t="str">
        <x:v>☐</x:v>
      </x:c>
      <x:c r="B1290" s="34" t="str">
        <x:v>EX-1262</x:v>
      </x:c>
      <x:c r="C1290" s="34" t="str">
        <x:v>شفافیت و پاسخگویی</x:v>
      </x:c>
      <x:c r="D1290" s="34" t="str">
        <x:v>POSSIBLE</x:v>
      </x:c>
      <x:c r="E1290" s="34" t="str">
        <x:v>85.5</x:v>
      </x:c>
      <x:c r="F1290" s="34" t="str">
        <x:v>MI-1513</x:v>
      </x:c>
      <x:c r="G1290" s="39" t="str">
        <x:v>تولید و کارآفرینی: توانایی تولید محصول و خدمات و ایجاد شغل.</x:v>
      </x:c>
      <x:c r="H1290" s="39" t="str">
        <x:v>H1</x:v>
      </x:c>
      <x:c r="I1290" s="39" t="str">
        <x:v>P0</x:v>
      </x:c>
      <x:c r="J1290" s="39" t="str">
        <x:v>H1</x:v>
      </x:c>
      <x:c r="K1290" s="39" t="str">
        <x:v>تطبیق احتمالی با پایه</x:v>
      </x:c>
      <x:c r="L1290" s="39" t="str">
        <x:v>MI-1513</x:v>
      </x:c>
      <x:c r="M1290" s="39" t="str">
        <x:v>تولید و کارآفرینی: توانایی تولید محصول و خدمات و ایجاد شغل.</x:v>
      </x:c>
      <x:c r="N1290" s="39" t="str">
        <x:v>1154878548.docx::P2386.1</x:v>
      </x:c>
      <x:c r="O1290" s="39"/>
    </x:row>
    <x:row r="1291">
      <x:c r="A1291" s="34" t="str">
        <x:v>☐</x:v>
      </x:c>
      <x:c r="B1291" s="34" t="str">
        <x:v>EX-1263</x:v>
      </x:c>
      <x:c r="C1291" s="34" t="str">
        <x:v>حقوق مالکیت فکری</x:v>
      </x:c>
      <x:c r="D1291" s="34" t="str">
        <x:v>POSSIBLE</x:v>
      </x:c>
      <x:c r="E1291" s="34" t="str">
        <x:v>85.5</x:v>
      </x:c>
      <x:c r="F1291" s="34" t="str">
        <x:v>MI-1526</x:v>
      </x:c>
      <x:c r="G1291" s="39" t="str">
        <x:v>حقوق شهروندی: حقوق و وظایف شهروندان.</x:v>
      </x:c>
      <x:c r="H1291" s="39" t="str">
        <x:v>H1</x:v>
      </x:c>
      <x:c r="I1291" s="39" t="str">
        <x:v>P0</x:v>
      </x:c>
      <x:c r="J1291" s="39" t="str">
        <x:v>H1</x:v>
      </x:c>
      <x:c r="K1291" s="39" t="str">
        <x:v>تطبیق احتمالی با پایه</x:v>
      </x:c>
      <x:c r="L1291" s="39" t="str">
        <x:v>MI-1526</x:v>
      </x:c>
      <x:c r="M1291" s="39" t="str">
        <x:v>حقوق شهروندی: حقوق و وظایف شهروندان.</x:v>
      </x:c>
      <x:c r="N1291" s="39" t="str">
        <x:v>1154878548.docx::P2387.1</x:v>
      </x:c>
      <x:c r="O1291" s="39"/>
    </x:row>
    <x:row r="1292">
      <x:c r="A1292" s="34" t="str">
        <x:v>☐</x:v>
      </x:c>
      <x:c r="B1292" s="34" t="str">
        <x:v>EX-1264</x:v>
      </x:c>
      <x:c r="C1292" s="34" t="str">
        <x:v>10. امنیتی و دفاعی (Security / Defense)</x:v>
      </x:c>
      <x:c r="D1292" s="34" t="str">
        <x:v>POSSIBLE</x:v>
      </x:c>
      <x:c r="E1292" s="34" t="str">
        <x:v>85.5</x:v>
      </x:c>
      <x:c r="F1292" s="34" t="str">
        <x:v>MI-1513</x:v>
      </x:c>
      <x:c r="G1292" s="39" t="str">
        <x:v>تولید و کارآفرینی: توانایی تولید محصول و خدمات و ایجاد شغل.</x:v>
      </x:c>
      <x:c r="H1292" s="39" t="str">
        <x:v>H1</x:v>
      </x:c>
      <x:c r="I1292" s="39" t="str">
        <x:v>P0</x:v>
      </x:c>
      <x:c r="J1292" s="39" t="str">
        <x:v>H1</x:v>
      </x:c>
      <x:c r="K1292" s="39" t="str">
        <x:v>تطبیق احتمالی با پایه</x:v>
      </x:c>
      <x:c r="L1292" s="39" t="str">
        <x:v>MI-1513</x:v>
      </x:c>
      <x:c r="M1292" s="39" t="str">
        <x:v>تولید و کارآفرینی: توانایی تولید محصول و خدمات و ایجاد شغل.</x:v>
      </x:c>
      <x:c r="N1292" s="39" t="str">
        <x:v>1154878548.docx::P2388.1</x:v>
      </x:c>
      <x:c r="O1292" s="39"/>
    </x:row>
    <x:row r="1293">
      <x:c r="A1293" s="34" t="str">
        <x:v>☐</x:v>
      </x:c>
      <x:c r="B1293" s="34" t="str">
        <x:v>EX-1265</x:v>
      </x:c>
      <x:c r="C1293" s="34" t="str">
        <x:v>امنیت ملی</x:v>
      </x:c>
      <x:c r="D1293" s="34" t="str">
        <x:v>POSSIBLE</x:v>
      </x:c>
      <x:c r="E1293" s="34" t="str">
        <x:v>85.5</x:v>
      </x:c>
      <x:c r="F1293" s="34" t="str">
        <x:v>MI-1431</x:v>
      </x:c>
      <x:c r="G1293" s="39" t="str">
        <x:v>از فضای کنار ریاست فناوری استفاده بشه و اقتباس گرفته از کتابخانه ملی</x:v>
      </x:c>
      <x:c r="H1293" s="39" t="str">
        <x:v>H2</x:v>
      </x:c>
      <x:c r="I1293" s="39" t="str">
        <x:v>BANK</x:v>
      </x:c>
      <x:c r="J1293" s="39" t="str">
        <x:v>H2</x:v>
      </x:c>
      <x:c r="K1293" s="39" t="str">
        <x:v>تطبیق احتمالی با پایه</x:v>
      </x:c>
      <x:c r="L1293" s="39" t="str">
        <x:v>MI-1431</x:v>
      </x:c>
      <x:c r="M1293" s="39" t="str">
        <x:v>از فضای کنار ریاست فناوری استفاده بشه و اقتباس گرفته از کتابخانه ملی</x:v>
      </x:c>
      <x:c r="N1293" s="39" t="str">
        <x:v>1154878548.docx::P2389.1 | 1154878548.docx::P3990.1</x:v>
      </x:c>
      <x:c r="O1293" s="39"/>
    </x:row>
    <x:row r="1294">
      <x:c r="A1294" s="34" t="str">
        <x:v>☐</x:v>
      </x:c>
      <x:c r="B1294" s="34" t="str">
        <x:v>EX-1266</x:v>
      </x:c>
      <x:c r="C1294" s="34" t="str">
        <x:v>امنیت سایبری</x:v>
      </x:c>
      <x:c r="D1294" s="34" t="str">
        <x:v>UNMAPPED</x:v>
      </x:c>
      <x:c r="E1294" s="34" t="str">
        <x:v>77.1</x:v>
      </x:c>
      <x:c r="F1294" s="34" t="str">
        <x:v>MI-2268</x:v>
      </x:c>
      <x:c r="G1294" s="39" t="str">
        <x:v>برای:</x:v>
      </x:c>
      <x:c r="H1294" s="39" t="str">
        <x:v>H20</x:v>
      </x:c>
      <x:c r="I1294" s="39" t="str">
        <x:v>P3/CLARIFY</x:v>
      </x:c>
      <x:c r="J1294" s="39" t="str">
        <x:v>H23</x:v>
      </x:c>
      <x:c r="K1294" s="39" t="str">
        <x:v>نیازمند پالایش؛ حذف نشده</x:v>
      </x:c>
      <x:c r="L1294" s="39"/>
      <x:c r="M1294" s="39"/>
      <x:c r="N1294" s="39" t="str">
        <x:v>1154878548.docx::P2390.1</x:v>
      </x:c>
      <x:c r="O1294" s="39"/>
    </x:row>
    <x:row r="1295">
      <x:c r="A1295" s="34" t="str">
        <x:v>☐</x:v>
      </x:c>
      <x:c r="B1295" s="34" t="str">
        <x:v>EX-1267</x:v>
      </x:c>
      <x:c r="C1295" s="34" t="str">
        <x:v>مدیریت بحران</x:v>
      </x:c>
      <x:c r="D1295" s="34" t="str">
        <x:v>POSSIBLE</x:v>
      </x:c>
      <x:c r="E1295" s="34" t="str">
        <x:v>90.0</x:v>
      </x:c>
      <x:c r="F1295" s="34" t="str">
        <x:v>MI-0626</x:v>
      </x:c>
      <x:c r="G1295" s="39" t="str">
        <x:v>ستاد یا کمیته مدیریت بحران</x:v>
      </x:c>
      <x:c r="H1295" s="39" t="str">
        <x:v>H23</x:v>
      </x:c>
      <x:c r="I1295" s="39" t="str">
        <x:v>P3/CLARIFY</x:v>
      </x:c>
      <x:c r="J1295" s="39" t="str">
        <x:v>H23</x:v>
      </x:c>
      <x:c r="K1295" s="39" t="str">
        <x:v>تطبیق احتمالی با پایه</x:v>
      </x:c>
      <x:c r="L1295" s="39" t="str">
        <x:v>MI-0626</x:v>
      </x:c>
      <x:c r="M1295" s="39" t="str">
        <x:v>ستاد یا کمیته مدیریت بحران</x:v>
      </x:c>
      <x:c r="N1295" s="39" t="str">
        <x:v>1154878548.docx::P2391.1</x:v>
      </x:c>
      <x:c r="O1295" s="39"/>
    </x:row>
    <x:row r="1296">
      <x:c r="A1296" s="34" t="str">
        <x:v>☐</x:v>
      </x:c>
      <x:c r="B1296" s="34" t="str">
        <x:v>EX-1268</x:v>
      </x:c>
      <x:c r="C1296" s="34" t="str">
        <x:v>پدافند غیرعامل</x:v>
      </x:c>
      <x:c r="D1296" s="34" t="str">
        <x:v>POSSIBLE</x:v>
      </x:c>
      <x:c r="E1296" s="34" t="str">
        <x:v>85.5</x:v>
      </x:c>
      <x:c r="F1296" s="34" t="str">
        <x:v>MI-0199</x:v>
      </x:c>
      <x:c r="G1296" s="39" t="str">
        <x:v>مهندس پدافند غیر عامل</x:v>
      </x:c>
      <x:c r="H1296" s="39" t="str">
        <x:v>H6</x:v>
      </x:c>
      <x:c r="I1296" s="39" t="str">
        <x:v>P3/CLARIFY</x:v>
      </x:c>
      <x:c r="J1296" s="39" t="str">
        <x:v>H6</x:v>
      </x:c>
      <x:c r="K1296" s="39" t="str">
        <x:v>تطبیق احتمالی با پایه</x:v>
      </x:c>
      <x:c r="L1296" s="39" t="str">
        <x:v>MI-0199</x:v>
      </x:c>
      <x:c r="M1296" s="39" t="str">
        <x:v>مهندس پدافند غیر عامل</x:v>
      </x:c>
      <x:c r="N1296" s="39" t="str">
        <x:v>1154878548.docx::P2392.1 | 1154878548.docx::P4439.1</x:v>
      </x:c>
      <x:c r="O1296" s="39"/>
    </x:row>
    <x:row r="1297">
      <x:c r="A1297" s="34" t="str">
        <x:v>☐</x:v>
      </x:c>
      <x:c r="B1297" s="34" t="str">
        <x:v>EX-1269</x:v>
      </x:c>
      <x:c r="C1297" s="34" t="str">
        <x:v>تابآوری ملی</x:v>
      </x:c>
      <x:c r="D1297" s="34" t="str">
        <x:v>POSSIBLE</x:v>
      </x:c>
      <x:c r="E1297" s="34" t="str">
        <x:v>85.5</x:v>
      </x:c>
      <x:c r="F1297" s="34" t="str">
        <x:v>MI-0056</x:v>
      </x:c>
      <x:c r="G1297" s="39" t="str">
        <x:v>گرفتن مدرک کارشناسی پیام نور و اقدام سریع برای عضویت در کتابخانه ملی تهران</x:v>
      </x:c>
      <x:c r="H1297" s="39" t="str">
        <x:v>H2</x:v>
      </x:c>
      <x:c r="I1297" s="39" t="str">
        <x:v>BANK</x:v>
      </x:c>
      <x:c r="J1297" s="39" t="str">
        <x:v>H2</x:v>
      </x:c>
      <x:c r="K1297" s="39" t="str">
        <x:v>تطبیق احتمالی با پایه</x:v>
      </x:c>
      <x:c r="L1297" s="39" t="str">
        <x:v>MI-0056</x:v>
      </x:c>
      <x:c r="M1297" s="39" t="str">
        <x:v>گرفتن مدرک کارشناسی پیام نور و اقدام سریع برای عضویت در کتابخانه ملی تهران</x:v>
      </x:c>
      <x:c r="N1297" s="39" t="str">
        <x:v>1154878548.docx::P2393.1</x:v>
      </x:c>
      <x:c r="O1297" s="39"/>
    </x:row>
    <x:row r="1298">
      <x:c r="A1298" s="34" t="str">
        <x:v>☐</x:v>
      </x:c>
      <x:c r="B1298" s="34" t="str">
        <x:v>EX-1270</x:v>
      </x:c>
      <x:c r="C1298" s="34" t="str">
        <x:v>11. سلامت و بهداشت (Health)</x:v>
      </x:c>
      <x:c r="D1298" s="34" t="str">
        <x:v>POSSIBLE</x:v>
      </x:c>
      <x:c r="E1298" s="34" t="str">
        <x:v>85.5</x:v>
      </x:c>
      <x:c r="F1298" s="34" t="str">
        <x:v>MI-1513</x:v>
      </x:c>
      <x:c r="G1298" s="39" t="str">
        <x:v>تولید و کارآفرینی: توانایی تولید محصول و خدمات و ایجاد شغل.</x:v>
      </x:c>
      <x:c r="H1298" s="39" t="str">
        <x:v>H1</x:v>
      </x:c>
      <x:c r="I1298" s="39" t="str">
        <x:v>P0</x:v>
      </x:c>
      <x:c r="J1298" s="39" t="str">
        <x:v>H1</x:v>
      </x:c>
      <x:c r="K1298" s="39" t="str">
        <x:v>تطبیق احتمالی با پایه</x:v>
      </x:c>
      <x:c r="L1298" s="39" t="str">
        <x:v>MI-1513</x:v>
      </x:c>
      <x:c r="M1298" s="39" t="str">
        <x:v>تولید و کارآفرینی: توانایی تولید محصول و خدمات و ایجاد شغل.</x:v>
      </x:c>
      <x:c r="N1298" s="39" t="str">
        <x:v>1154878548.docx::P2394.1</x:v>
      </x:c>
      <x:c r="O1298" s="39"/>
    </x:row>
    <x:row r="1299">
      <x:c r="A1299" s="34" t="str">
        <x:v>☐</x:v>
      </x:c>
      <x:c r="B1299" s="34" t="str">
        <x:v>EX-1271</x:v>
      </x:c>
      <x:c r="C1299" s="34" t="str">
        <x:v>سلامت عمومی</x:v>
      </x:c>
      <x:c r="D1299" s="34" t="str">
        <x:v>POSSIBLE</x:v>
      </x:c>
      <x:c r="E1299" s="34" t="str">
        <x:v>85.5</x:v>
      </x:c>
      <x:c r="F1299" s="34" t="str">
        <x:v>MI-1449</x:v>
      </x:c>
      <x:c r="G1299" s="39" t="str">
        <x:v>سلامت و سبک زندگی</x:v>
      </x:c>
      <x:c r="H1299" s="39" t="str">
        <x:v>H1</x:v>
      </x:c>
      <x:c r="I1299" s="39" t="str">
        <x:v>P0</x:v>
      </x:c>
      <x:c r="J1299" s="39" t="str">
        <x:v>H1</x:v>
      </x:c>
      <x:c r="K1299" s="39" t="str">
        <x:v>تطبیق احتمالی با پایه</x:v>
      </x:c>
      <x:c r="L1299" s="39" t="str">
        <x:v>MI-1449</x:v>
      </x:c>
      <x:c r="M1299" s="39" t="str">
        <x:v>سلامت و سبک زندگی</x:v>
      </x:c>
      <x:c r="N1299" s="39" t="str">
        <x:v>1154878548.docx::P2395.1</x:v>
      </x:c>
      <x:c r="O1299" s="39"/>
    </x:row>
    <x:row r="1300">
      <x:c r="A1300" s="34" t="str">
        <x:v>☐</x:v>
      </x:c>
      <x:c r="B1300" s="34" t="str">
        <x:v>EX-1272</x:v>
      </x:c>
      <x:c r="C1300" s="34" t="str">
        <x:v>نظام درمان</x:v>
      </x:c>
      <x:c r="D1300" s="34" t="str">
        <x:v>POSSIBLE</x:v>
      </x:c>
      <x:c r="E1300" s="34" t="str">
        <x:v>85.5</x:v>
      </x:c>
      <x:c r="F1300" s="34" t="str">
        <x:v>MI-1453</x:v>
      </x:c>
      <x:c r="G1300" s="39" t="str">
        <x:v>سلامت روان: مدیریت استرس، کاهش اضطراب، بهبود خلق و خو، درمان اختلالات روانی.</x:v>
      </x:c>
      <x:c r="H1300" s="39" t="str">
        <x:v>H1</x:v>
      </x:c>
      <x:c r="I1300" s="39" t="str">
        <x:v>P0</x:v>
      </x:c>
      <x:c r="J1300" s="39" t="str">
        <x:v>H1</x:v>
      </x:c>
      <x:c r="K1300" s="39" t="str">
        <x:v>تطبیق احتمالی با پایه</x:v>
      </x:c>
      <x:c r="L1300" s="39" t="str">
        <x:v>MI-1453</x:v>
      </x:c>
      <x:c r="M1300" s="39" t="str">
        <x:v>سلامت روان: مدیریت استرس، کاهش اضطراب، بهبود خلق و خو، درمان اختلالات روانی.</x:v>
      </x:c>
      <x:c r="N1300" s="39" t="str">
        <x:v>1154878548.docx::P2396.1</x:v>
      </x:c>
      <x:c r="O1300" s="39"/>
    </x:row>
    <x:row r="1301">
      <x:c r="A1301" s="34" t="str">
        <x:v>☐</x:v>
      </x:c>
      <x:c r="B1301" s="34" t="str">
        <x:v>EX-1273</x:v>
      </x:c>
      <x:c r="C1301" s="34" t="str">
        <x:v>بهداشت روان</x:v>
      </x:c>
      <x:c r="D1301" s="34" t="str">
        <x:v>POSSIBLE</x:v>
      </x:c>
      <x:c r="E1301" s="34" t="str">
        <x:v>85.5</x:v>
      </x:c>
      <x:c r="F1301" s="34" t="str">
        <x:v>MI-1453</x:v>
      </x:c>
      <x:c r="G1301" s="39" t="str">
        <x:v>سلامت روان: مدیریت استرس، کاهش اضطراب، بهبود خلق و خو، درمان اختلالات روانی.</x:v>
      </x:c>
      <x:c r="H1301" s="39" t="str">
        <x:v>H1</x:v>
      </x:c>
      <x:c r="I1301" s="39" t="str">
        <x:v>P0</x:v>
      </x:c>
      <x:c r="J1301" s="39" t="str">
        <x:v>H1</x:v>
      </x:c>
      <x:c r="K1301" s="39" t="str">
        <x:v>تطبیق احتمالی با پایه</x:v>
      </x:c>
      <x:c r="L1301" s="39" t="str">
        <x:v>MI-1453</x:v>
      </x:c>
      <x:c r="M1301" s="39" t="str">
        <x:v>سلامت روان: مدیریت استرس، کاهش اضطراب، بهبود خلق و خو، درمان اختلالات روانی.</x:v>
      </x:c>
      <x:c r="N1301" s="39" t="str">
        <x:v>1154878548.docx::P2397.1</x:v>
      </x:c>
      <x:c r="O1301" s="39"/>
    </x:row>
    <x:row r="1302">
      <x:c r="A1302" s="34" t="str">
        <x:v>☐</x:v>
      </x:c>
      <x:c r="B1302" s="34" t="str">
        <x:v>EX-1274</x:v>
      </x:c>
      <x:c r="C1302" s="34" t="str">
        <x:v>سبک زندگی سالم</x:v>
      </x:c>
      <x:c r="D1302" s="34" t="str">
        <x:v>POSSIBLE</x:v>
      </x:c>
      <x:c r="E1302" s="34" t="str">
        <x:v>90.0</x:v>
      </x:c>
      <x:c r="F1302" s="34" t="str">
        <x:v>MI-1450</x:v>
      </x:c>
      <x:c r="G1302" s="39" t="str">
        <x:v>سبک زندگی:</x:v>
      </x:c>
      <x:c r="H1302" s="39" t="str">
        <x:v>H1</x:v>
      </x:c>
      <x:c r="I1302" s="39" t="str">
        <x:v>P0</x:v>
      </x:c>
      <x:c r="J1302" s="39" t="str">
        <x:v>H1</x:v>
      </x:c>
      <x:c r="K1302" s="39" t="str">
        <x:v>تطبیق احتمالی با پایه</x:v>
      </x:c>
      <x:c r="L1302" s="39" t="str">
        <x:v>MI-1450</x:v>
      </x:c>
      <x:c r="M1302" s="39" t="str">
        <x:v>سبک زندگی:</x:v>
      </x:c>
      <x:c r="N1302" s="39" t="str">
        <x:v>1154878548.docx::P2398.1</x:v>
      </x:c>
      <x:c r="O1302" s="39"/>
    </x:row>
    <x:row r="1303">
      <x:c r="A1303" s="34" t="str">
        <x:v>☐</x:v>
      </x:c>
      <x:c r="B1303" s="34" t="str">
        <x:v>EX-1275</x:v>
      </x:c>
      <x:c r="C1303" s="34" t="str">
        <x:v>اپیدمیها و بحرانهای سلامت</x:v>
      </x:c>
      <x:c r="D1303" s="34" t="str">
        <x:v>POSSIBLE</x:v>
      </x:c>
      <x:c r="E1303" s="34" t="str">
        <x:v>85.5</x:v>
      </x:c>
      <x:c r="F1303" s="34" t="str">
        <x:v>MI-1513</x:v>
      </x:c>
      <x:c r="G1303" s="39" t="str">
        <x:v>تولید و کارآفرینی: توانایی تولید محصول و خدمات و ایجاد شغل.</x:v>
      </x:c>
      <x:c r="H1303" s="39" t="str">
        <x:v>H1</x:v>
      </x:c>
      <x:c r="I1303" s="39" t="str">
        <x:v>P0</x:v>
      </x:c>
      <x:c r="J1303" s="39" t="str">
        <x:v>H1</x:v>
      </x:c>
      <x:c r="K1303" s="39" t="str">
        <x:v>تطبیق احتمالی با پایه</x:v>
      </x:c>
      <x:c r="L1303" s="39" t="str">
        <x:v>MI-1513</x:v>
      </x:c>
      <x:c r="M1303" s="39" t="str">
        <x:v>تولید و کارآفرینی: توانایی تولید محصول و خدمات و ایجاد شغل.</x:v>
      </x:c>
      <x:c r="N1303" s="39" t="str">
        <x:v>1154878548.docx::P2399.1</x:v>
      </x:c>
      <x:c r="O1303" s="39"/>
    </x:row>
    <x:row r="1304">
      <x:c r="A1304" s="34" t="str">
        <x:v>☐</x:v>
      </x:c>
      <x:c r="B1304" s="34" t="str">
        <x:v>EX-1276</x:v>
      </x:c>
      <x:c r="C1304" s="34" t="str">
        <x:v>12. مدیریتی و حکمرانی (Management / Governance)</x:v>
      </x:c>
      <x:c r="D1304" s="34" t="str">
        <x:v>POSSIBLE</x:v>
      </x:c>
      <x:c r="E1304" s="34" t="str">
        <x:v>90.0</x:v>
      </x:c>
      <x:c r="F1304" s="34" t="str">
        <x:v>MI-0292</x:v>
      </x:c>
      <x:c r="G1304" s="39" t="str">
        <x:v>مدیریتی</x:v>
      </x:c>
      <x:c r="H1304" s="39" t="str">
        <x:v>H11</x:v>
      </x:c>
      <x:c r="I1304" s="39" t="str">
        <x:v>DELEGATE/P2</x:v>
      </x:c>
      <x:c r="J1304" s="39" t="str">
        <x:v>H11</x:v>
      </x:c>
      <x:c r="K1304" s="39" t="str">
        <x:v>تطبیق احتمالی با پایه</x:v>
      </x:c>
      <x:c r="L1304" s="39" t="str">
        <x:v>MI-0292</x:v>
      </x:c>
      <x:c r="M1304" s="39" t="str">
        <x:v>مدیریتی</x:v>
      </x:c>
      <x:c r="N1304" s="39" t="str">
        <x:v>1154878548.docx::P2400.1</x:v>
      </x:c>
      <x:c r="O1304" s="39"/>
    </x:row>
    <x:row r="1305">
      <x:c r="A1305" s="34" t="str">
        <x:v>☐</x:v>
      </x:c>
      <x:c r="B1305" s="34" t="str">
        <x:v>EX-1277</x:v>
      </x:c>
      <x:c r="C1305" s="34" t="str">
        <x:v>مدیریت منابع</x:v>
      </x:c>
      <x:c r="D1305" s="34" t="str">
        <x:v>POSSIBLE</x:v>
      </x:c>
      <x:c r="E1305" s="34" t="str">
        <x:v>90.0</x:v>
      </x:c>
      <x:c r="F1305" s="34" t="str">
        <x:v>MI-1499</x:v>
      </x:c>
      <x:c r="G1305" s="39" t="str">
        <x:v>مدیریت منابع انسانی: استخدام، آموزش، ارزیابی، انگیزش کارکنان.</x:v>
      </x:c>
      <x:c r="H1305" s="39" t="str">
        <x:v>H1</x:v>
      </x:c>
      <x:c r="I1305" s="39" t="str">
        <x:v>P0</x:v>
      </x:c>
      <x:c r="J1305" s="39" t="str">
        <x:v>H1</x:v>
      </x:c>
      <x:c r="K1305" s="39" t="str">
        <x:v>تطبیق احتمالی با پایه</x:v>
      </x:c>
      <x:c r="L1305" s="39" t="str">
        <x:v>MI-1499</x:v>
      </x:c>
      <x:c r="M1305" s="39" t="str">
        <x:v>مدیریت منابع انسانی: استخدام، آموزش، ارزیابی، انگیزش کارکنان.</x:v>
      </x:c>
      <x:c r="N1305" s="39" t="str">
        <x:v>1154878548.docx::P2401.1</x:v>
      </x:c>
      <x:c r="O1305" s="39"/>
    </x:row>
    <x:row r="1306">
      <x:c r="A1306" s="34" t="str">
        <x:v>☐</x:v>
      </x:c>
      <x:c r="B1306" s="34" t="str">
        <x:v>EX-1278</x:v>
      </x:c>
      <x:c r="C1306" s="34" t="str">
        <x:v>بهرهوری</x:v>
      </x:c>
      <x:c r="D1306" s="34" t="str">
        <x:v>POSSIBLE</x:v>
      </x:c>
      <x:c r="E1306" s="34" t="str">
        <x:v>90.0</x:v>
      </x:c>
      <x:c r="F1306" s="34" t="str">
        <x:v>MI-0365</x:v>
      </x:c>
      <x:c r="G1306" s="39" t="str">
        <x:v>BCM-B و مهندسی صنایع (گرایش سیستمها و بهرهوری)</x:v>
      </x:c>
      <x:c r="H1306" s="39" t="str">
        <x:v>H18</x:v>
      </x:c>
      <x:c r="I1306" s="39" t="str">
        <x:v>BANK</x:v>
      </x:c>
      <x:c r="J1306" s="39" t="str">
        <x:v>H18</x:v>
      </x:c>
      <x:c r="K1306" s="39" t="str">
        <x:v>تطبیق احتمالی با پایه</x:v>
      </x:c>
      <x:c r="L1306" s="39" t="str">
        <x:v>MI-0365</x:v>
      </x:c>
      <x:c r="M1306" s="39" t="str">
        <x:v>BCM-B و مهندسی صنایع (گرایش سیستمها و بهرهوری)</x:v>
      </x:c>
      <x:c r="N1306" s="39" t="str">
        <x:v>1154878548.docx::P2402.1</x:v>
      </x:c>
      <x:c r="O1306" s="39"/>
    </x:row>
    <x:row r="1307">
      <x:c r="A1307" s="34" t="str">
        <x:v>☐</x:v>
      </x:c>
      <x:c r="B1307" s="34" t="str">
        <x:v>EX-1279</x:v>
      </x:c>
      <x:c r="C1307" s="34" t="str">
        <x:v>اصلاح ساختارها</x:v>
      </x:c>
      <x:c r="D1307" s="34" t="str">
        <x:v>POSSIBLE</x:v>
      </x:c>
      <x:c r="E1307" s="34" t="str">
        <x:v>85.5</x:v>
      </x:c>
      <x:c r="F1307" s="34" t="str">
        <x:v>MI-0970</x:v>
      </x:c>
      <x:c r="G1307" s="39" t="str">
        <x:v>ایجاد روشویی مخصوص اصلاح برای هر کدام از طبقات بلوک 2</x:v>
      </x:c>
      <x:c r="H1307" s="39" t="str">
        <x:v>H11</x:v>
      </x:c>
      <x:c r="I1307" s="39" t="str">
        <x:v>DELEGATE/P2</x:v>
      </x:c>
      <x:c r="J1307" s="39" t="str">
        <x:v>H11</x:v>
      </x:c>
      <x:c r="K1307" s="39" t="str">
        <x:v>تطبیق احتمالی با پایه</x:v>
      </x:c>
      <x:c r="L1307" s="39" t="str">
        <x:v>MI-0970</x:v>
      </x:c>
      <x:c r="M1307" s="39" t="str">
        <x:v>ایجاد روشویی مخصوص اصلاح برای هر کدام از طبقات بلوک 2</x:v>
      </x:c>
      <x:c r="N1307" s="39" t="str">
        <x:v>1154878548.docx::P2403.1</x:v>
      </x:c>
      <x:c r="O1307" s="39"/>
    </x:row>
    <x:row r="1308">
      <x:c r="A1308" s="34" t="str">
        <x:v>☐</x:v>
      </x:c>
      <x:c r="B1308" s="34" t="str">
        <x:v>EX-1280</x:v>
      </x:c>
      <x:c r="C1308" s="34" t="str">
        <x:v>تصمیمگیری سیستمی</x:v>
      </x:c>
      <x:c r="D1308" s="34" t="str">
        <x:v>POSSIBLE</x:v>
      </x:c>
      <x:c r="E1308" s="34" t="str">
        <x:v>85.5</x:v>
      </x:c>
      <x:c r="F1308" s="34" t="str">
        <x:v>MI-1061</x:v>
      </x:c>
      <x:c r="G1308" s="39" t="str">
        <x:v>مشاوره هدایت تحصیلی هر ترم و پایش وضعیت افراد هر مقطع و هر گروه به صورت سیستمی</x:v>
      </x:c>
      <x:c r="H1308" s="39" t="str">
        <x:v>H14</x:v>
      </x:c>
      <x:c r="I1308" s="39" t="str">
        <x:v>P3</x:v>
      </x:c>
      <x:c r="J1308" s="39" t="str">
        <x:v>H14</x:v>
      </x:c>
      <x:c r="K1308" s="39" t="str">
        <x:v>تطبیق احتمالی با پایه</x:v>
      </x:c>
      <x:c r="L1308" s="39" t="str">
        <x:v>MI-1061</x:v>
      </x:c>
      <x:c r="M1308" s="39" t="str">
        <x:v>مشاوره هدایت تحصیلی هر ترم و پایش وضعیت افراد هر مقطع و هر گروه به صورت سیستمی</x:v>
      </x:c>
      <x:c r="N1308" s="39" t="str">
        <x:v>1154878548.docx::P2404.1</x:v>
      </x:c>
      <x:c r="O1308" s="39"/>
    </x:row>
    <x:row r="1309">
      <x:c r="A1309" s="34" t="str">
        <x:v>☐</x:v>
      </x:c>
      <x:c r="B1309" s="34" t="str">
        <x:v>EX-1281</x:v>
      </x:c>
      <x:c r="C1309" s="34" t="str">
        <x:v>سیاستگذاری عمومی</x:v>
      </x:c>
      <x:c r="D1309" s="34" t="str">
        <x:v>POSSIBLE</x:v>
      </x:c>
      <x:c r="E1309" s="34" t="str">
        <x:v>85.5</x:v>
      </x:c>
      <x:c r="F1309" s="34" t="str">
        <x:v>MI-0765</x:v>
      </x:c>
      <x:c r="G1309" s="39" t="str">
        <x:v>ادمین شدن روابط عمومی در کانال</x:v>
      </x:c>
      <x:c r="H1309" s="39" t="str">
        <x:v>H11</x:v>
      </x:c>
      <x:c r="I1309" s="39" t="str">
        <x:v>DELEGATE/P2</x:v>
      </x:c>
      <x:c r="J1309" s="39" t="str">
        <x:v>H11</x:v>
      </x:c>
      <x:c r="K1309" s="39" t="str">
        <x:v>تطبیق احتمالی با پایه</x:v>
      </x:c>
      <x:c r="L1309" s="39" t="str">
        <x:v>MI-0765</x:v>
      </x:c>
      <x:c r="M1309" s="39" t="str">
        <x:v>ادمین شدن روابط عمومی در کانال</x:v>
      </x:c>
      <x:c r="N1309" s="39" t="str">
        <x:v>1154878548.docx::P2405.1</x:v>
      </x:c>
      <x:c r="O1309" s="39"/>
    </x:row>
    <x:row r="1310">
      <x:c r="A1310" s="34" t="str">
        <x:v>☐</x:v>
      </x:c>
      <x:c r="B1310" s="34" t="str">
        <x:v>EX-1282</x:v>
      </x:c>
      <x:c r="C1310" s="34" t="str">
        <x:v>13. زیرساختی و عمرانی (Infrastructure)</x:v>
      </x:c>
      <x:c r="D1310" s="34" t="str">
        <x:v>POSSIBLE</x:v>
      </x:c>
      <x:c r="E1310" s="34" t="str">
        <x:v>90.0</x:v>
      </x:c>
      <x:c r="F1310" s="34" t="str">
        <x:v>MI-0297</x:v>
      </x:c>
      <x:c r="G1310" s="39" t="str">
        <x:v>عمرانی</x:v>
      </x:c>
      <x:c r="H1310" s="39" t="str">
        <x:v>H11</x:v>
      </x:c>
      <x:c r="I1310" s="39" t="str">
        <x:v>DELEGATE/P2</x:v>
      </x:c>
      <x:c r="J1310" s="39" t="str">
        <x:v>H11</x:v>
      </x:c>
      <x:c r="K1310" s="39" t="str">
        <x:v>تطبیق احتمالی با پایه</x:v>
      </x:c>
      <x:c r="L1310" s="39" t="str">
        <x:v>MI-0297</x:v>
      </x:c>
      <x:c r="M1310" s="39" t="str">
        <x:v>عمرانی</x:v>
      </x:c>
      <x:c r="N1310" s="39" t="str">
        <x:v>1154878548.docx::P2406.1</x:v>
      </x:c>
      <x:c r="O1310" s="39"/>
    </x:row>
    <x:row r="1311">
      <x:c r="A1311" s="34" t="str">
        <x:v>☐</x:v>
      </x:c>
      <x:c r="B1311" s="34" t="str">
        <x:v>EX-1283</x:v>
      </x:c>
      <x:c r="C1311" s="34" t="str">
        <x:v>انرژی</x:v>
      </x:c>
      <x:c r="D1311" s="34" t="str">
        <x:v>POSSIBLE</x:v>
      </x:c>
      <x:c r="E1311" s="34" t="str">
        <x:v>90.0</x:v>
      </x:c>
      <x:c r="F1311" s="34" t="str">
        <x:v>MI-1401</x:v>
      </x:c>
      <x:c r="G1311" s="39" t="str">
        <x:v>کاربردهای بیوانرژی</x:v>
      </x:c>
      <x:c r="H1311" s="39" t="str">
        <x:v>H12</x:v>
      </x:c>
      <x:c r="I1311" s="39" t="str">
        <x:v>P2</x:v>
      </x:c>
      <x:c r="J1311" s="39" t="str">
        <x:v>H12</x:v>
      </x:c>
      <x:c r="K1311" s="39" t="str">
        <x:v>تطبیق احتمالی با پایه</x:v>
      </x:c>
      <x:c r="L1311" s="39" t="str">
        <x:v>MI-1401</x:v>
      </x:c>
      <x:c r="M1311" s="39" t="str">
        <x:v>کاربردهای بیوانرژی</x:v>
      </x:c>
      <x:c r="N1311" s="39" t="str">
        <x:v>1154878548.docx::P2408.1</x:v>
      </x:c>
      <x:c r="O1311" s="39"/>
    </x:row>
    <x:row r="1312">
      <x:c r="A1312" s="34" t="str">
        <x:v>☐</x:v>
      </x:c>
      <x:c r="B1312" s="34" t="str">
        <x:v>EX-1284</x:v>
      </x:c>
      <x:c r="C1312" s="34" t="str">
        <x:v>آب</x:v>
      </x:c>
      <x:c r="D1312" s="34" t="str">
        <x:v>POSSIBLE</x:v>
      </x:c>
      <x:c r="E1312" s="34" t="str">
        <x:v>90.0</x:v>
      </x:c>
      <x:c r="F1312" s="34" t="str">
        <x:v>MI-0786</x:v>
      </x:c>
      <x:c r="G1312" s="39" t="str">
        <x:v>- آبخوری سلف</x:v>
      </x:c>
      <x:c r="H1312" s="39" t="str">
        <x:v>H11</x:v>
      </x:c>
      <x:c r="I1312" s="39" t="str">
        <x:v>DELEGATE/P2</x:v>
      </x:c>
      <x:c r="J1312" s="39" t="str">
        <x:v>H11</x:v>
      </x:c>
      <x:c r="K1312" s="39" t="str">
        <x:v>تطبیق احتمالی با پایه</x:v>
      </x:c>
      <x:c r="L1312" s="39" t="str">
        <x:v>MI-0786</x:v>
      </x:c>
      <x:c r="M1312" s="39" t="str">
        <x:v>- آبخوری سلف</x:v>
      </x:c>
      <x:c r="N1312" s="39" t="str">
        <x:v>1154878548.docx::P2409.1</x:v>
      </x:c>
      <x:c r="O1312" s="39"/>
    </x:row>
    <x:row r="1313">
      <x:c r="A1313" s="34" t="str">
        <x:v>☐</x:v>
      </x:c>
      <x:c r="B1313" s="34" t="str">
        <x:v>EX-1285</x:v>
      </x:c>
      <x:c r="C1313" s="34" t="str">
        <x:v>مسکن</x:v>
      </x:c>
      <x:c r="D1313" s="34" t="str">
        <x:v>POSSIBLE</x:v>
      </x:c>
      <x:c r="E1313" s="34" t="str">
        <x:v>90.0</x:v>
      </x:c>
      <x:c r="F1313" s="34" t="str">
        <x:v>MI-0465</x:v>
      </x:c>
      <x:c r="G1313" s="39" t="str">
        <x:v>سالی 1 میلیون مسکن</x:v>
      </x:c>
      <x:c r="H1313" s="39" t="str">
        <x:v>H18</x:v>
      </x:c>
      <x:c r="I1313" s="39" t="str">
        <x:v>BANK</x:v>
      </x:c>
      <x:c r="J1313" s="39" t="str">
        <x:v>H18</x:v>
      </x:c>
      <x:c r="K1313" s="39" t="str">
        <x:v>تطبیق احتمالی با پایه</x:v>
      </x:c>
      <x:c r="L1313" s="39" t="str">
        <x:v>MI-0465</x:v>
      </x:c>
      <x:c r="M1313" s="39" t="str">
        <x:v>سالی 1 میلیون مسکن</x:v>
      </x:c>
      <x:c r="N1313" s="39" t="str">
        <x:v>1154878548.docx::P2410.1</x:v>
      </x:c>
      <x:c r="O1313" s="39"/>
    </x:row>
    <x:row r="1314">
      <x:c r="A1314" s="34" t="str">
        <x:v>☐</x:v>
      </x:c>
      <x:c r="B1314" s="34" t="str">
        <x:v>EX-1286</x:v>
      </x:c>
      <x:c r="C1314" s="34" t="str">
        <x:v>شهرسازی و آمایش سرزمین</x:v>
      </x:c>
      <x:c r="D1314" s="34" t="str">
        <x:v>POSSIBLE</x:v>
      </x:c>
      <x:c r="E1314" s="34" t="str">
        <x:v>85.5</x:v>
      </x:c>
      <x:c r="F1314" s="34" t="str">
        <x:v>MI-1513</x:v>
      </x:c>
      <x:c r="G1314" s="39" t="str">
        <x:v>تولید و کارآفرینی: توانایی تولید محصول و خدمات و ایجاد شغل.</x:v>
      </x:c>
      <x:c r="H1314" s="39" t="str">
        <x:v>H1</x:v>
      </x:c>
      <x:c r="I1314" s="39" t="str">
        <x:v>P0</x:v>
      </x:c>
      <x:c r="J1314" s="39" t="str">
        <x:v>H1</x:v>
      </x:c>
      <x:c r="K1314" s="39" t="str">
        <x:v>تطبیق احتمالی با پایه</x:v>
      </x:c>
      <x:c r="L1314" s="39" t="str">
        <x:v>MI-1513</x:v>
      </x:c>
      <x:c r="M1314" s="39" t="str">
        <x:v>تولید و کارآفرینی: توانایی تولید محصول و خدمات و ایجاد شغل.</x:v>
      </x:c>
      <x:c r="N1314" s="39" t="str">
        <x:v>1154878548.docx::P2411.1</x:v>
      </x:c>
      <x:c r="O1314" s="39"/>
    </x:row>
    <x:row r="1315">
      <x:c r="A1315" s="34" t="str">
        <x:v>☐</x:v>
      </x:c>
      <x:c r="B1315" s="34" t="str">
        <x:v>EX-1287</x:v>
      </x:c>
      <x:c r="C1315" s="34" t="str">
        <x:v>14. رسانهای و ارتباطی (Media &amp; Communication)</x:v>
      </x:c>
      <x:c r="D1315" s="34" t="str">
        <x:v>POSSIBLE</x:v>
      </x:c>
      <x:c r="E1315" s="34" t="str">
        <x:v>90.0</x:v>
      </x:c>
      <x:c r="F1315" s="34" t="str">
        <x:v>MI-0815</x:v>
      </x:c>
      <x:c r="G1315" s="39" t="str">
        <x:v>رسانه:</x:v>
      </x:c>
      <x:c r="H1315" s="39" t="str">
        <x:v>H11</x:v>
      </x:c>
      <x:c r="I1315" s="39" t="str">
        <x:v>DELEGATE/P2</x:v>
      </x:c>
      <x:c r="J1315" s="39" t="str">
        <x:v>H11</x:v>
      </x:c>
      <x:c r="K1315" s="39" t="str">
        <x:v>تطبیق احتمالی با پایه</x:v>
      </x:c>
      <x:c r="L1315" s="39" t="str">
        <x:v>MI-0815</x:v>
      </x:c>
      <x:c r="M1315" s="39" t="str">
        <x:v>رسانه:</x:v>
      </x:c>
      <x:c r="N1315" s="39" t="str">
        <x:v>1154878548.docx::P2412.1</x:v>
      </x:c>
      <x:c r="O1315" s="39"/>
    </x:row>
    <x:row r="1316">
      <x:c r="A1316" s="34" t="str">
        <x:v>☐</x:v>
      </x:c>
      <x:c r="B1316" s="34" t="str">
        <x:v>EX-1288</x:v>
      </x:c>
      <x:c r="C1316" s="34" t="str">
        <x:v>رسانهها</x:v>
      </x:c>
      <x:c r="D1316" s="34" t="str">
        <x:v>POSSIBLE</x:v>
      </x:c>
      <x:c r="E1316" s="34" t="str">
        <x:v>83.3</x:v>
      </x:c>
      <x:c r="F1316" s="34" t="str">
        <x:v>MI-0815</x:v>
      </x:c>
      <x:c r="G1316" s="39" t="str">
        <x:v>رسانه:</x:v>
      </x:c>
      <x:c r="H1316" s="39" t="str">
        <x:v>H11</x:v>
      </x:c>
      <x:c r="I1316" s="39" t="str">
        <x:v>DELEGATE/P2</x:v>
      </x:c>
      <x:c r="J1316" s="39" t="str">
        <x:v>H11</x:v>
      </x:c>
      <x:c r="K1316" s="39" t="str">
        <x:v>تطبیق احتمالی با پایه</x:v>
      </x:c>
      <x:c r="L1316" s="39" t="str">
        <x:v>MI-0815</x:v>
      </x:c>
      <x:c r="M1316" s="39" t="str">
        <x:v>رسانه:</x:v>
      </x:c>
      <x:c r="N1316" s="39" t="str">
        <x:v>1154878548.docx::P2413.1</x:v>
      </x:c>
      <x:c r="O1316" s="39"/>
    </x:row>
    <x:row r="1317">
      <x:c r="A1317" s="34" t="str">
        <x:v>☐</x:v>
      </x:c>
      <x:c r="B1317" s="34" t="str">
        <x:v>EX-1289</x:v>
      </x:c>
      <x:c r="C1317" s="34" t="str">
        <x:v>افکار عمومی</x:v>
      </x:c>
      <x:c r="D1317" s="34" t="str">
        <x:v>POSSIBLE</x:v>
      </x:c>
      <x:c r="E1317" s="34" t="str">
        <x:v>90.0</x:v>
      </x:c>
      <x:c r="F1317" s="34" t="str">
        <x:v>MI-2545</x:v>
      </x:c>
      <x:c r="G1317" s="39" t="str">
        <x:v>کار:</x:v>
      </x:c>
      <x:c r="H1317" s="39" t="str">
        <x:v>H20</x:v>
      </x:c>
      <x:c r="I1317" s="39" t="str">
        <x:v>P3/CLARIFY</x:v>
      </x:c>
      <x:c r="J1317" s="39" t="str">
        <x:v>H20</x:v>
      </x:c>
      <x:c r="K1317" s="39" t="str">
        <x:v>تطبیق احتمالی با پایه</x:v>
      </x:c>
      <x:c r="L1317" s="39" t="str">
        <x:v>MI-2545</x:v>
      </x:c>
      <x:c r="M1317" s="39" t="str">
        <x:v>کار:</x:v>
      </x:c>
      <x:c r="N1317" s="39" t="str">
        <x:v>1154878548.docx::P2414.1</x:v>
      </x:c>
      <x:c r="O1317" s="39"/>
    </x:row>
    <x:row r="1318">
      <x:c r="A1318" s="34" t="str">
        <x:v>☐</x:v>
      </x:c>
      <x:c r="B1318" s="34" t="str">
        <x:v>EX-1290</x:v>
      </x:c>
      <x:c r="C1318" s="34" t="str">
        <x:v>دیپلماسی عمومی</x:v>
      </x:c>
      <x:c r="D1318" s="34" t="str">
        <x:v>POSSIBLE</x:v>
      </x:c>
      <x:c r="E1318" s="34" t="str">
        <x:v>85.5</x:v>
      </x:c>
      <x:c r="F1318" s="34" t="str">
        <x:v>MI-0765</x:v>
      </x:c>
      <x:c r="G1318" s="39" t="str">
        <x:v>ادمین شدن روابط عمومی در کانال</x:v>
      </x:c>
      <x:c r="H1318" s="39" t="str">
        <x:v>H11</x:v>
      </x:c>
      <x:c r="I1318" s="39" t="str">
        <x:v>DELEGATE/P2</x:v>
      </x:c>
      <x:c r="J1318" s="39" t="str">
        <x:v>H11</x:v>
      </x:c>
      <x:c r="K1318" s="39" t="str">
        <x:v>تطبیق احتمالی با پایه</x:v>
      </x:c>
      <x:c r="L1318" s="39" t="str">
        <x:v>MI-0765</x:v>
      </x:c>
      <x:c r="M1318" s="39" t="str">
        <x:v>ادمین شدن روابط عمومی در کانال</x:v>
      </x:c>
      <x:c r="N1318" s="39" t="str">
        <x:v>1154878548.docx::P2415.1</x:v>
      </x:c>
      <x:c r="O1318" s="39"/>
    </x:row>
    <x:row r="1319">
      <x:c r="A1319" s="34" t="str">
        <x:v>☐</x:v>
      </x:c>
      <x:c r="B1319" s="34" t="str">
        <x:v>EX-1291</x:v>
      </x:c>
      <x:c r="C1319" s="34" t="str">
        <x:v>جنگ شناختی</x:v>
      </x:c>
      <x:c r="D1319" s="34" t="str">
        <x:v>POSSIBLE</x:v>
      </x:c>
      <x:c r="E1319" s="34" t="str">
        <x:v>85.5</x:v>
      </x:c>
      <x:c r="F1319" s="34" t="str">
        <x:v>MI-0592</x:v>
      </x:c>
      <x:c r="G1319" s="39" t="str">
        <x:v>جنگ سرد ایران و آمریکا</x:v>
      </x:c>
      <x:c r="H1319" s="39" t="str">
        <x:v>H18</x:v>
      </x:c>
      <x:c r="I1319" s="39" t="str">
        <x:v>BANK</x:v>
      </x:c>
      <x:c r="J1319" s="39" t="str">
        <x:v>H18</x:v>
      </x:c>
      <x:c r="K1319" s="39" t="str">
        <x:v>تطبیق احتمالی با پایه</x:v>
      </x:c>
      <x:c r="L1319" s="39" t="str">
        <x:v>MI-0592</x:v>
      </x:c>
      <x:c r="M1319" s="39" t="str">
        <x:v>جنگ سرد ایران و آمریکا</x:v>
      </x:c>
      <x:c r="N1319" s="39" t="str">
        <x:v>1154878548.docx::P2416.1</x:v>
      </x:c>
      <x:c r="O1319" s="39"/>
    </x:row>
    <x:row r="1320">
      <x:c r="A1320" s="34" t="str">
        <x:v>☐</x:v>
      </x:c>
      <x:c r="B1320" s="34" t="str">
        <x:v>EX-1292</x:v>
      </x:c>
      <x:c r="C1320" s="34" t="str">
        <x:v>شبکههای اجتماعی</x:v>
      </x:c>
      <x:c r="D1320" s="34" t="str">
        <x:v>POSSIBLE</x:v>
      </x:c>
      <x:c r="E1320" s="34" t="str">
        <x:v>90.0</x:v>
      </x:c>
      <x:c r="F1320" s="34" t="str">
        <x:v>MI-0288</x:v>
      </x:c>
      <x:c r="G1320" s="39" t="str">
        <x:v>اجتماعی</x:v>
      </x:c>
      <x:c r="H1320" s="39" t="str">
        <x:v>H15</x:v>
      </x:c>
      <x:c r="I1320" s="39" t="str">
        <x:v>P3/CLARIFY</x:v>
      </x:c>
      <x:c r="J1320" s="39" t="str">
        <x:v>H15</x:v>
      </x:c>
      <x:c r="K1320" s="39" t="str">
        <x:v>تطبیق احتمالی با پایه</x:v>
      </x:c>
      <x:c r="L1320" s="39" t="str">
        <x:v>MI-0288</x:v>
      </x:c>
      <x:c r="M1320" s="39" t="str">
        <x:v>اجتماعی</x:v>
      </x:c>
      <x:c r="N1320" s="39" t="str">
        <x:v>1154878548.docx::P2417.1 | 1154878548.docx::P4428.1</x:v>
      </x:c>
      <x:c r="O1320" s="39"/>
    </x:row>
    <x:row r="1321">
      <x:c r="A1321" s="34" t="str">
        <x:v>☐</x:v>
      </x:c>
      <x:c r="B1321" s="34" t="str">
        <x:v>EX-1293</x:v>
      </x:c>
      <x:c r="C1321" s="34" t="str">
        <x:v>سامانه های پدافندی آمریکا</x:v>
      </x:c>
      <x:c r="D1321" s="34" t="str">
        <x:v>POSSIBLE</x:v>
      </x:c>
      <x:c r="E1321" s="34" t="str">
        <x:v>90.0</x:v>
      </x:c>
      <x:c r="F1321" s="34" t="str">
        <x:v>MI-1192</x:v>
      </x:c>
      <x:c r="G1321" s="39" t="str">
        <x:v>سامان</x:v>
      </x:c>
      <x:c r="H1321" s="39" t="str">
        <x:v>H11</x:v>
      </x:c>
      <x:c r="I1321" s="39" t="str">
        <x:v>DELEGATE/P2</x:v>
      </x:c>
      <x:c r="J1321" s="39" t="str">
        <x:v>H11</x:v>
      </x:c>
      <x:c r="K1321" s="39" t="str">
        <x:v>تطبیق احتمالی با پایه</x:v>
      </x:c>
      <x:c r="L1321" s="39" t="str">
        <x:v>MI-1192</x:v>
      </x:c>
      <x:c r="M1321" s="39" t="str">
        <x:v>سامان</x:v>
      </x:c>
      <x:c r="N1321" s="39" t="str">
        <x:v>1154878548.docx::P2446.1</x:v>
      </x:c>
      <x:c r="O1321" s="39"/>
    </x:row>
    <x:row r="1322">
      <x:c r="A1322" s="34" t="str">
        <x:v>☐</x:v>
      </x:c>
      <x:c r="B1322" s="34" t="str">
        <x:v>EX-1294</x:v>
      </x:c>
      <x:c r="C1322" s="34" t="str">
        <x:v>سامانه های پدافندی اسرائیل</x:v>
      </x:c>
      <x:c r="D1322" s="34" t="str">
        <x:v>POSSIBLE</x:v>
      </x:c>
      <x:c r="E1322" s="34" t="str">
        <x:v>90.0</x:v>
      </x:c>
      <x:c r="F1322" s="34" t="str">
        <x:v>MI-1192</x:v>
      </x:c>
      <x:c r="G1322" s="39" t="str">
        <x:v>سامان</x:v>
      </x:c>
      <x:c r="H1322" s="39" t="str">
        <x:v>H11</x:v>
      </x:c>
      <x:c r="I1322" s="39" t="str">
        <x:v>DELEGATE/P2</x:v>
      </x:c>
      <x:c r="J1322" s="39" t="str">
        <x:v>H11</x:v>
      </x:c>
      <x:c r="K1322" s="39" t="str">
        <x:v>تطبیق احتمالی با پایه</x:v>
      </x:c>
      <x:c r="L1322" s="39" t="str">
        <x:v>MI-1192</x:v>
      </x:c>
      <x:c r="M1322" s="39" t="str">
        <x:v>سامان</x:v>
      </x:c>
      <x:c r="N1322" s="39" t="str">
        <x:v>1154878548.docx::P2447.1</x:v>
      </x:c>
      <x:c r="O1322" s="39"/>
    </x:row>
    <x:row r="1323">
      <x:c r="A1323" s="34" t="str">
        <x:v>☐</x:v>
      </x:c>
      <x:c r="B1323" s="34" t="str">
        <x:v>EX-1295</x:v>
      </x:c>
      <x:c r="C1323" s="34" t="str">
        <x:v>پاتریوت</x:v>
      </x:c>
      <x:c r="D1323" s="34" t="str">
        <x:v>UNMAPPED</x:v>
      </x:c>
      <x:c r="E1323" s="34" t="str">
        <x:v>69.2</x:v>
      </x:c>
      <x:c r="F1323" s="34" t="str">
        <x:v>MI-1711</x:v>
      </x:c>
      <x:c r="G1323" s="39" t="str">
        <x:v>o ماه 1–2: طراحی پایلوت</x:v>
      </x:c>
      <x:c r="H1323" s="39" t="str">
        <x:v>H20</x:v>
      </x:c>
      <x:c r="I1323" s="39" t="str">
        <x:v>P3/CLARIFY</x:v>
      </x:c>
      <x:c r="J1323" s="39" t="str">
        <x:v>H23</x:v>
      </x:c>
      <x:c r="K1323" s="39" t="str">
        <x:v>نیازمند پالایش؛ حذف نشده</x:v>
      </x:c>
      <x:c r="L1323" s="39"/>
      <x:c r="M1323" s="39"/>
      <x:c r="N1323" s="39" t="str">
        <x:v>1154878548.docx::P2448.1 | 1154878548.docx::P3982.1</x:v>
      </x:c>
      <x:c r="O1323" s="39"/>
    </x:row>
    <x:row r="1324">
      <x:c r="A1324" s="34" t="str">
        <x:v>☐</x:v>
      </x:c>
      <x:c r="B1324" s="34" t="str">
        <x:v>EX-1296</x:v>
      </x:c>
      <x:c r="C1324" s="34" t="str">
        <x:v>npt و عضویت اسرائیل در آن</x:v>
      </x:c>
      <x:c r="D1324" s="34" t="str">
        <x:v>POSSIBLE</x:v>
      </x:c>
      <x:c r="E1324" s="34" t="str">
        <x:v>85.5</x:v>
      </x:c>
      <x:c r="F1324" s="34" t="str">
        <x:v>MI-1513</x:v>
      </x:c>
      <x:c r="G1324" s="39" t="str">
        <x:v>تولید و کارآفرینی: توانایی تولید محصول و خدمات و ایجاد شغل.</x:v>
      </x:c>
      <x:c r="H1324" s="39" t="str">
        <x:v>H1</x:v>
      </x:c>
      <x:c r="I1324" s="39" t="str">
        <x:v>P0</x:v>
      </x:c>
      <x:c r="J1324" s="39" t="str">
        <x:v>H1</x:v>
      </x:c>
      <x:c r="K1324" s="39" t="str">
        <x:v>تطبیق احتمالی با پایه</x:v>
      </x:c>
      <x:c r="L1324" s="39" t="str">
        <x:v>MI-1513</x:v>
      </x:c>
      <x:c r="M1324" s="39" t="str">
        <x:v>تولید و کارآفرینی: توانایی تولید محصول و خدمات و ایجاد شغل.</x:v>
      </x:c>
      <x:c r="N1324" s="39" t="str">
        <x:v>1154878548.docx::P2463.1</x:v>
      </x:c>
      <x:c r="O1324" s="39"/>
    </x:row>
    <x:row r="1325">
      <x:c r="A1325" s="34" t="str">
        <x:v>☐</x:v>
      </x:c>
      <x:c r="B1325" s="34" t="str">
        <x:v>EX-1297</x:v>
      </x:c>
      <x:c r="C1325" s="34" t="str">
        <x:v>مواد انرژی محور پایدار</x:v>
      </x:c>
      <x:c r="D1325" s="34" t="str">
        <x:v>POSSIBLE</x:v>
      </x:c>
      <x:c r="E1325" s="34" t="str">
        <x:v>85.5</x:v>
      </x:c>
      <x:c r="F1325" s="34" t="str">
        <x:v>MI-0075</x:v>
      </x:c>
      <x:c r="G1325" s="39" t="str">
        <x:v>یادگیری و اجرای برنامه گفت و گو محور</x:v>
      </x:c>
      <x:c r="H1325" s="39" t="str">
        <x:v>H4</x:v>
      </x:c>
      <x:c r="I1325" s="39" t="str">
        <x:v>P1</x:v>
      </x:c>
      <x:c r="J1325" s="39" t="str">
        <x:v>H4</x:v>
      </x:c>
      <x:c r="K1325" s="39" t="str">
        <x:v>تطبیق احتمالی با پایه</x:v>
      </x:c>
      <x:c r="L1325" s="39" t="str">
        <x:v>MI-0075</x:v>
      </x:c>
      <x:c r="M1325" s="39" t="str">
        <x:v>یادگیری و اجرای برنامه گفت و گو محور</x:v>
      </x:c>
      <x:c r="N1325" s="39" t="str">
        <x:v>1154878548.docx::P2471.1</x:v>
      </x:c>
      <x:c r="O1325" s="39"/>
    </x:row>
    <x:row r="1326">
      <x:c r="A1326" s="34" t="str">
        <x:v>☐</x:v>
      </x:c>
      <x:c r="B1326" s="34" t="str">
        <x:v>EX-1298</x:v>
      </x:c>
      <x:c r="C1326" s="34" t="str">
        <x:v>جنگ نامتقارن</x:v>
      </x:c>
      <x:c r="D1326" s="34" t="str">
        <x:v>POSSIBLE</x:v>
      </x:c>
      <x:c r="E1326" s="34" t="str">
        <x:v>85.5</x:v>
      </x:c>
      <x:c r="F1326" s="34" t="str">
        <x:v>MI-0592</x:v>
      </x:c>
      <x:c r="G1326" s="39" t="str">
        <x:v>جنگ سرد ایران و آمریکا</x:v>
      </x:c>
      <x:c r="H1326" s="39" t="str">
        <x:v>H18</x:v>
      </x:c>
      <x:c r="I1326" s="39" t="str">
        <x:v>BANK</x:v>
      </x:c>
      <x:c r="J1326" s="39" t="str">
        <x:v>H18</x:v>
      </x:c>
      <x:c r="K1326" s="39" t="str">
        <x:v>تطبیق احتمالی با پایه</x:v>
      </x:c>
      <x:c r="L1326" s="39" t="str">
        <x:v>MI-0592</x:v>
      </x:c>
      <x:c r="M1326" s="39" t="str">
        <x:v>جنگ سرد ایران و آمریکا</x:v>
      </x:c>
      <x:c r="N1326" s="39" t="str">
        <x:v>1154878548.docx::P2472.1 | 1154878548.docx::P3986.1</x:v>
      </x:c>
      <x:c r="O1326" s="39"/>
    </x:row>
    <x:row r="1327">
      <x:c r="A1327" s="34" t="str">
        <x:v>☐</x:v>
      </x:c>
      <x:c r="B1327" s="34" t="str">
        <x:v>EX-1299</x:v>
      </x:c>
      <x:c r="C1327" s="34" t="str">
        <x:v>مستعربین</x:v>
      </x:c>
      <x:c r="D1327" s="34" t="str">
        <x:v>UNMAPPED</x:v>
      </x:c>
      <x:c r="E1327" s="34" t="str">
        <x:v>66.7</x:v>
      </x:c>
      <x:c r="F1327" s="34" t="str">
        <x:v>MI-1173</x:v>
      </x:c>
      <x:c r="G1327" s="39" t="str">
        <x:v>معین</x:v>
      </x:c>
      <x:c r="H1327" s="39" t="str">
        <x:v>H11</x:v>
      </x:c>
      <x:c r="I1327" s="39" t="str">
        <x:v>DELEGATE/P2</x:v>
      </x:c>
      <x:c r="J1327" s="39" t="str">
        <x:v>H23</x:v>
      </x:c>
      <x:c r="K1327" s="39" t="str">
        <x:v>نیازمند پالایش؛ حذف نشده</x:v>
      </x:c>
      <x:c r="L1327" s="39"/>
      <x:c r="M1327" s="39"/>
      <x:c r="N1327" s="39" t="str">
        <x:v>1154878548.docx::P2493.1</x:v>
      </x:c>
      <x:c r="O1327" s="39"/>
    </x:row>
    <x:row r="1328">
      <x:c r="A1328" s="34" t="str">
        <x:v>☐</x:v>
      </x:c>
      <x:c r="B1328" s="34" t="str">
        <x:v>EX-1300</x:v>
      </x:c>
      <x:c r="C1328" s="34" t="str">
        <x:v>لیماسول</x:v>
      </x:c>
      <x:c r="D1328" s="34" t="str">
        <x:v>UNMAPPED</x:v>
      </x:c>
      <x:c r="E1328" s="34" t="str">
        <x:v>72.0</x:v>
      </x:c>
      <x:c r="F1328" s="34" t="str">
        <x:v>MI-0888</x:v>
      </x:c>
      <x:c r="G1328" s="39" t="str">
        <x:v>کلی</x:v>
      </x:c>
      <x:c r="H1328" s="39" t="str">
        <x:v>H11</x:v>
      </x:c>
      <x:c r="I1328" s="39" t="str">
        <x:v>DELEGATE/P2</x:v>
      </x:c>
      <x:c r="J1328" s="39" t="str">
        <x:v>H23</x:v>
      </x:c>
      <x:c r="K1328" s="39" t="str">
        <x:v>نیازمند پالایش؛ حذف نشده</x:v>
      </x:c>
      <x:c r="L1328" s="39"/>
      <x:c r="M1328" s="39"/>
      <x:c r="N1328" s="39" t="str">
        <x:v>1154878548.docx::P2494.1 | 1154878548.docx::P3956.1</x:v>
      </x:c>
      <x:c r="O1328" s="39"/>
    </x:row>
    <x:row r="1329">
      <x:c r="A1329" s="34" t="str">
        <x:v>☐</x:v>
      </x:c>
      <x:c r="B1329" s="34" t="str">
        <x:v>EX-1301</x:v>
      </x:c>
      <x:c r="C1329" s="34" t="str">
        <x:v>مبارزه پارلمانی</x:v>
      </x:c>
      <x:c r="D1329" s="34" t="str">
        <x:v>UNMAPPED</x:v>
      </x:c>
      <x:c r="E1329" s="34" t="str">
        <x:v>72.0</x:v>
      </x:c>
      <x:c r="F1329" s="34" t="str">
        <x:v>MI-0297</x:v>
      </x:c>
      <x:c r="G1329" s="39" t="str">
        <x:v>عمرانی</x:v>
      </x:c>
      <x:c r="H1329" s="39" t="str">
        <x:v>H11</x:v>
      </x:c>
      <x:c r="I1329" s="39" t="str">
        <x:v>DELEGATE/P2</x:v>
      </x:c>
      <x:c r="J1329" s="39" t="str">
        <x:v>H23</x:v>
      </x:c>
      <x:c r="K1329" s="39" t="str">
        <x:v>نیازمند پالایش؛ حذف نشده</x:v>
      </x:c>
      <x:c r="L1329" s="39"/>
      <x:c r="M1329" s="39"/>
      <x:c r="N1329" s="39" t="str">
        <x:v>1154878548.docx::P2505.1</x:v>
      </x:c>
      <x:c r="O1329" s="39"/>
    </x:row>
    <x:row r="1330">
      <x:c r="A1330" s="34" t="str">
        <x:v>☐</x:v>
      </x:c>
      <x:c r="B1330" s="34" t="str">
        <x:v>EX-1302</x:v>
      </x:c>
      <x:c r="C1330" s="34" t="str">
        <x:v>کودتای پینوشه</x:v>
      </x:c>
      <x:c r="D1330" s="34" t="str">
        <x:v>UNMAPPED</x:v>
      </x:c>
      <x:c r="E1330" s="34" t="str">
        <x:v>78.3</x:v>
      </x:c>
      <x:c r="F1330" s="34" t="str">
        <x:v>MI-0419</x:v>
      </x:c>
      <x:c r="G1330" s="39" t="str">
        <x:v>کودتا نوژه</x:v>
      </x:c>
      <x:c r="H1330" s="39" t="str">
        <x:v>H18</x:v>
      </x:c>
      <x:c r="I1330" s="39" t="str">
        <x:v>BANK</x:v>
      </x:c>
      <x:c r="J1330" s="39" t="str">
        <x:v>H23</x:v>
      </x:c>
      <x:c r="K1330" s="39" t="str">
        <x:v>نیازمند پالایش؛ حذف نشده</x:v>
      </x:c>
      <x:c r="L1330" s="39"/>
      <x:c r="M1330" s="39"/>
      <x:c r="N1330" s="39" t="str">
        <x:v>1154878548.docx::P2506.1 | 1154878548.docx::P3962.1</x:v>
      </x:c>
      <x:c r="O1330" s="39"/>
    </x:row>
    <x:row r="1331">
      <x:c r="A1331" s="34" t="str">
        <x:v>☐</x:v>
      </x:c>
      <x:c r="B1331" s="34" t="str">
        <x:v>EX-1303</x:v>
      </x:c>
      <x:c r="C1331" s="34" t="str">
        <x:v>الیگارشی</x:v>
      </x:c>
      <x:c r="D1331" s="34" t="str">
        <x:v>UNMAPPED</x:v>
      </x:c>
      <x:c r="E1331" s="34" t="str">
        <x:v>67.5</x:v>
      </x:c>
      <x:c r="F1331" s="34" t="str">
        <x:v>MI-0216</x:v>
      </x:c>
      <x:c r="G1331" s="39" t="str">
        <x:v>سرمایهگذاری و اقتصاد</x:v>
      </x:c>
      <x:c r="H1331" s="39" t="str">
        <x:v>H16</x:v>
      </x:c>
      <x:c r="I1331" s="39" t="str">
        <x:v>P3/CLARIFY</x:v>
      </x:c>
      <x:c r="J1331" s="39" t="str">
        <x:v>H23</x:v>
      </x:c>
      <x:c r="K1331" s="39" t="str">
        <x:v>نیازمند پالایش؛ حذف نشده</x:v>
      </x:c>
      <x:c r="L1331" s="39"/>
      <x:c r="M1331" s="39"/>
      <x:c r="N1331" s="39" t="str">
        <x:v>1154878548.docx::P2507.1</x:v>
      </x:c>
      <x:c r="O1331" s="39"/>
    </x:row>
    <x:row r="1332">
      <x:c r="A1332" s="34" t="str">
        <x:v>☐</x:v>
      </x:c>
      <x:c r="B1332" s="34" t="str">
        <x:v>EX-1304</x:v>
      </x:c>
      <x:c r="C1332" s="34" t="str">
        <x:v>کمبود مصنوعی کالا</x:v>
      </x:c>
      <x:c r="D1332" s="34" t="str">
        <x:v>POSSIBLE</x:v>
      </x:c>
      <x:c r="E1332" s="34" t="str">
        <x:v>90.0</x:v>
      </x:c>
      <x:c r="F1332" s="34" t="str">
        <x:v>MI-2250</x:v>
      </x:c>
      <x:c r="G1332" s="39" t="str">
        <x:v>کمبود:</x:v>
      </x:c>
      <x:c r="H1332" s="39" t="str">
        <x:v>H20</x:v>
      </x:c>
      <x:c r="I1332" s="39" t="str">
        <x:v>P3/CLARIFY</x:v>
      </x:c>
      <x:c r="J1332" s="39" t="str">
        <x:v>H20</x:v>
      </x:c>
      <x:c r="K1332" s="39" t="str">
        <x:v>تطبیق احتمالی با پایه</x:v>
      </x:c>
      <x:c r="L1332" s="39" t="str">
        <x:v>MI-2250</x:v>
      </x:c>
      <x:c r="M1332" s="39" t="str">
        <x:v>کمبود:</x:v>
      </x:c>
      <x:c r="N1332" s="39" t="str">
        <x:v>1154878548.docx::P2508.1</x:v>
      </x:c>
      <x:c r="O1332" s="39"/>
    </x:row>
    <x:row r="1333">
      <x:c r="A1333" s="34" t="str">
        <x:v>☐</x:v>
      </x:c>
      <x:c r="B1333" s="34" t="str">
        <x:v>EX-1305</x:v>
      </x:c>
      <x:c r="C1333" s="34" t="str">
        <x:v>اعتصاب سرمایه</x:v>
      </x:c>
      <x:c r="D1333" s="34" t="str">
        <x:v>POSSIBLE</x:v>
      </x:c>
      <x:c r="E1333" s="34" t="str">
        <x:v>90.0</x:v>
      </x:c>
      <x:c r="F1333" s="34" t="str">
        <x:v>MI-1735</x:v>
      </x:c>
      <x:c r="G1333" s="39" t="str">
        <x:v>سرمایه</x:v>
      </x:c>
      <x:c r="H1333" s="39" t="str">
        <x:v>H8</x:v>
      </x:c>
      <x:c r="I1333" s="39" t="str">
        <x:v>P2</x:v>
      </x:c>
      <x:c r="J1333" s="39" t="str">
        <x:v>H8</x:v>
      </x:c>
      <x:c r="K1333" s="39" t="str">
        <x:v>تطبیق احتمالی با پایه</x:v>
      </x:c>
      <x:c r="L1333" s="39" t="str">
        <x:v>MI-1735</x:v>
      </x:c>
      <x:c r="M1333" s="39" t="str">
        <x:v>سرمایه</x:v>
      </x:c>
      <x:c r="N1333" s="39" t="str">
        <x:v>1154878548.docx::P2509.1</x:v>
      </x:c>
      <x:c r="O1333" s="39"/>
    </x:row>
    <x:row r="1334">
      <x:c r="A1334" s="34" t="str">
        <x:v>☐</x:v>
      </x:c>
      <x:c r="B1334" s="34" t="str">
        <x:v>EX-1306</x:v>
      </x:c>
      <x:c r="C1334" s="34" t="str">
        <x:v>بئر السبع</x:v>
      </x:c>
      <x:c r="D1334" s="34" t="str">
        <x:v>UNMAPPED</x:v>
      </x:c>
      <x:c r="E1334" s="34" t="str">
        <x:v>64.3</x:v>
      </x:c>
      <x:c r="F1334" s="34" t="str">
        <x:v>MI-2247</x:v>
      </x:c>
      <x:c r="G1334" s="39" t="str">
        <x:v>بر اساس الگوی استان های مشابه، چند خلا تقریباً قطعی وجود دارد.</x:v>
      </x:c>
      <x:c r="H1334" s="39" t="str">
        <x:v>H20</x:v>
      </x:c>
      <x:c r="I1334" s="39" t="str">
        <x:v>P3/CLARIFY</x:v>
      </x:c>
      <x:c r="J1334" s="39" t="str">
        <x:v>H23</x:v>
      </x:c>
      <x:c r="K1334" s="39" t="str">
        <x:v>نیازمند پالایش؛ حذف نشده</x:v>
      </x:c>
      <x:c r="L1334" s="39"/>
      <x:c r="M1334" s="39"/>
      <x:c r="N1334" s="39" t="str">
        <x:v>1154878548.docx::P2510.1</x:v>
      </x:c>
      <x:c r="O1334" s="39"/>
    </x:row>
    <x:row r="1335">
      <x:c r="A1335" s="34" t="str">
        <x:v>☐</x:v>
      </x:c>
      <x:c r="B1335" s="34" t="str">
        <x:v>EX-1307</x:v>
      </x:c>
      <x:c r="C1335" s="34" t="str">
        <x:v>دیالکتیک</x:v>
      </x:c>
      <x:c r="D1335" s="34" t="str">
        <x:v>UNMAPPED</x:v>
      </x:c>
      <x:c r="E1335" s="34" t="str">
        <x:v>72.0</x:v>
      </x:c>
      <x:c r="F1335" s="34" t="str">
        <x:v>MI-0386</x:v>
      </x:c>
      <x:c r="G1335" s="39" t="str">
        <x:v>پیزو الکتریک</x:v>
      </x:c>
      <x:c r="H1335" s="39" t="str">
        <x:v>H18</x:v>
      </x:c>
      <x:c r="I1335" s="39" t="str">
        <x:v>BANK</x:v>
      </x:c>
      <x:c r="J1335" s="39" t="str">
        <x:v>H23</x:v>
      </x:c>
      <x:c r="K1335" s="39" t="str">
        <x:v>نیازمند پالایش؛ حذف نشده</x:v>
      </x:c>
      <x:c r="L1335" s="39"/>
      <x:c r="M1335" s="39"/>
      <x:c r="N1335" s="39" t="str">
        <x:v>1154878548.docx::P2511.1 | 1154878548.docx::P4059.1</x:v>
      </x:c>
      <x:c r="O1335" s="39"/>
    </x:row>
    <x:row r="1336">
      <x:c r="A1336" s="34" t="str">
        <x:v>☐</x:v>
      </x:c>
      <x:c r="B1336" s="34" t="str">
        <x:v>EX-1308</x:v>
      </x:c>
      <x:c r="C1336" s="34" t="str">
        <x:v>حزب های عراق</x:v>
      </x:c>
      <x:c r="D1336" s="34" t="str">
        <x:v>POSSIBLE</x:v>
      </x:c>
      <x:c r="E1336" s="34" t="str">
        <x:v>85.5</x:v>
      </x:c>
      <x:c r="F1336" s="34" t="str">
        <x:v>MI-1501</x:v>
      </x:c>
      <x:c r="G1336" s="39" t="str">
        <x:v>مدیریت ریسک: شناسایی ریسک ها، ارزیابی اثرات، تدوین برنامه های مقابله با ریسک ها.</x:v>
      </x:c>
      <x:c r="H1336" s="39" t="str">
        <x:v>H1</x:v>
      </x:c>
      <x:c r="I1336" s="39" t="str">
        <x:v>P0</x:v>
      </x:c>
      <x:c r="J1336" s="39" t="str">
        <x:v>H1</x:v>
      </x:c>
      <x:c r="K1336" s="39" t="str">
        <x:v>تطبیق احتمالی با پایه</x:v>
      </x:c>
      <x:c r="L1336" s="39" t="str">
        <x:v>MI-1501</x:v>
      </x:c>
      <x:c r="M1336" s="39" t="str">
        <x:v>مدیریت ریسک: شناسایی ریسک ها، ارزیابی اثرات، تدوین برنامه های مقابله با ریسک ها.</x:v>
      </x:c>
      <x:c r="N1336" s="39" t="str">
        <x:v>1154878548.docx::P2512.1</x:v>
      </x:c>
      <x:c r="O1336" s="39"/>
    </x:row>
    <x:row r="1337">
      <x:c r="A1337" s="34" t="str">
        <x:v>☐</x:v>
      </x:c>
      <x:c r="B1337" s="34" t="str">
        <x:v>EX-1309</x:v>
      </x:c>
      <x:c r="C1337" s="34" t="str">
        <x:v>تجربه های ونزوئلا و ماچادو</x:v>
      </x:c>
      <x:c r="D1337" s="34" t="str">
        <x:v>POSSIBLE</x:v>
      </x:c>
      <x:c r="E1337" s="34" t="str">
        <x:v>90.0</x:v>
      </x:c>
      <x:c r="F1337" s="34" t="str">
        <x:v>MI-2712</x:v>
      </x:c>
      <x:c r="G1337" s="39" t="str">
        <x:v>تجربه ها</x:v>
      </x:c>
      <x:c r="H1337" s="39" t="str">
        <x:v>H20</x:v>
      </x:c>
      <x:c r="I1337" s="39" t="str">
        <x:v>P3/CLARIFY</x:v>
      </x:c>
      <x:c r="J1337" s="39" t="str">
        <x:v>H20</x:v>
      </x:c>
      <x:c r="K1337" s="39" t="str">
        <x:v>تطبیق احتمالی با پایه</x:v>
      </x:c>
      <x:c r="L1337" s="39" t="str">
        <x:v>MI-2712</x:v>
      </x:c>
      <x:c r="M1337" s="39" t="str">
        <x:v>تجربه ها</x:v>
      </x:c>
      <x:c r="N1337" s="39" t="str">
        <x:v>1154878548.docx::P2513.1</x:v>
      </x:c>
      <x:c r="O1337" s="39"/>
    </x:row>
    <x:row r="1338">
      <x:c r="A1338" s="34" t="str">
        <x:v>☐</x:v>
      </x:c>
      <x:c r="B1338" s="34" t="str">
        <x:v>EX-1310</x:v>
      </x:c>
      <x:c r="C1338" s="34" t="str">
        <x:v>رفورمه کردن کشور</x:v>
      </x:c>
      <x:c r="D1338" s="34" t="str">
        <x:v>POSSIBLE</x:v>
      </x:c>
      <x:c r="E1338" s="34" t="str">
        <x:v>85.5</x:v>
      </x:c>
      <x:c r="F1338" s="34" t="str">
        <x:v>MI-1531</x:v>
      </x:c>
      <x:c r="G1338" s="39" t="str">
        <x:v>باز کردن دفتر بسیج خوابگاه</x:v>
      </x:c>
      <x:c r="H1338" s="39" t="str">
        <x:v>H1</x:v>
      </x:c>
      <x:c r="I1338" s="39" t="str">
        <x:v>P0</x:v>
      </x:c>
      <x:c r="J1338" s="39" t="str">
        <x:v>H1</x:v>
      </x:c>
      <x:c r="K1338" s="39" t="str">
        <x:v>تطبیق احتمالی با پایه</x:v>
      </x:c>
      <x:c r="L1338" s="39" t="str">
        <x:v>MI-1531</x:v>
      </x:c>
      <x:c r="M1338" s="39" t="str">
        <x:v>باز کردن دفتر بسیج خوابگاه</x:v>
      </x:c>
      <x:c r="N1338" s="39" t="str">
        <x:v>1154878548.docx::P2514.1</x:v>
      </x:c>
      <x:c r="O1338" s="39"/>
    </x:row>
    <x:row r="1339">
      <x:c r="A1339" s="34" t="str">
        <x:v>☐</x:v>
      </x:c>
      <x:c r="B1339" s="34" t="str">
        <x:v>EX-1311</x:v>
      </x:c>
      <x:c r="C1339" s="34" t="str">
        <x:v>پارادایم خواهان</x:v>
      </x:c>
      <x:c r="D1339" s="34" t="str">
        <x:v>UNMAPPED</x:v>
      </x:c>
      <x:c r="E1339" s="34" t="str">
        <x:v>72.0</x:v>
      </x:c>
      <x:c r="F1339" s="34" t="str">
        <x:v>MI-2997</x:v>
      </x:c>
      <x:c r="G1339" s="39" t="str">
        <x:v>افراد</x:v>
      </x:c>
      <x:c r="H1339" s="39" t="str">
        <x:v>H14</x:v>
      </x:c>
      <x:c r="I1339" s="39" t="str">
        <x:v>P3</x:v>
      </x:c>
      <x:c r="J1339" s="39" t="str">
        <x:v>H23</x:v>
      </x:c>
      <x:c r="K1339" s="39" t="str">
        <x:v>نیازمند پالایش؛ حذف نشده</x:v>
      </x:c>
      <x:c r="L1339" s="39"/>
      <x:c r="M1339" s="39"/>
      <x:c r="N1339" s="39" t="str">
        <x:v>1154878548.docx::P2515.1</x:v>
      </x:c>
      <x:c r="O1339" s="39"/>
    </x:row>
    <x:row r="1340">
      <x:c r="A1340" s="34" t="str">
        <x:v>☐</x:v>
      </x:c>
      <x:c r="B1340" s="34" t="str">
        <x:v>EX-1312</x:v>
      </x:c>
      <x:c r="C1340" s="34" t="str">
        <x:v>قانون تنفس برای جنگل های شمال</x:v>
      </x:c>
      <x:c r="D1340" s="34" t="str">
        <x:v>POSSIBLE</x:v>
      </x:c>
      <x:c r="E1340" s="34" t="str">
        <x:v>90.0</x:v>
      </x:c>
      <x:c r="F1340" s="34" t="str">
        <x:v>MI-2268</x:v>
      </x:c>
      <x:c r="G1340" s="39" t="str">
        <x:v>برای:</x:v>
      </x:c>
      <x:c r="H1340" s="39" t="str">
        <x:v>H20</x:v>
      </x:c>
      <x:c r="I1340" s="39" t="str">
        <x:v>P3/CLARIFY</x:v>
      </x:c>
      <x:c r="J1340" s="39" t="str">
        <x:v>H20</x:v>
      </x:c>
      <x:c r="K1340" s="39" t="str">
        <x:v>تطبیق احتمالی با پایه</x:v>
      </x:c>
      <x:c r="L1340" s="39" t="str">
        <x:v>MI-2268</x:v>
      </x:c>
      <x:c r="M1340" s="39" t="str">
        <x:v>برای:</x:v>
      </x:c>
      <x:c r="N1340" s="39" t="str">
        <x:v>1154878548.docx::P2516.1</x:v>
      </x:c>
      <x:c r="O1340" s="39"/>
    </x:row>
    <x:row r="1341">
      <x:c r="A1341" s="34" t="str">
        <x:v>☐</x:v>
      </x:c>
      <x:c r="B1341" s="34" t="str">
        <x:v>EX-1313</x:v>
      </x:c>
      <x:c r="C1341" s="34" t="str">
        <x:v>مسیر ژئوپلیتیکی</x:v>
      </x:c>
      <x:c r="D1341" s="34" t="str">
        <x:v>POSSIBLE</x:v>
      </x:c>
      <x:c r="E1341" s="34" t="str">
        <x:v>85.5</x:v>
      </x:c>
      <x:c r="F1341" s="34" t="str">
        <x:v>MI-0082</x:v>
      </x:c>
      <x:c r="G1341" s="39" t="str">
        <x:v>طرح ریزی برنامه ای مدوّن برای تعیین مسیر دانشجو تا شغل مورد انتظار یا حتی دانش آموز</x:v>
      </x:c>
      <x:c r="H1341" s="39" t="str">
        <x:v>H11</x:v>
      </x:c>
      <x:c r="I1341" s="39" t="str">
        <x:v>DELEGATE/P2</x:v>
      </x:c>
      <x:c r="J1341" s="39" t="str">
        <x:v>H11</x:v>
      </x:c>
      <x:c r="K1341" s="39" t="str">
        <x:v>تطبیق احتمالی با پایه</x:v>
      </x:c>
      <x:c r="L1341" s="39" t="str">
        <x:v>MI-0082</x:v>
      </x:c>
      <x:c r="M1341" s="39" t="str">
        <x:v>طرح ریزی برنامه ای مدوّن برای تعیین مسیر دانشجو تا شغل مورد انتظار یا حتی دانش آموز</x:v>
      </x:c>
      <x:c r="N1341" s="39" t="str">
        <x:v>1154878548.docx::P2517.1</x:v>
      </x:c>
      <x:c r="O1341" s="39"/>
    </x:row>
    <x:row r="1342">
      <x:c r="A1342" s="34" t="str">
        <x:v>☐</x:v>
      </x:c>
      <x:c r="B1342" s="34" t="str">
        <x:v>EX-1314</x:v>
      </x:c>
      <x:c r="C1342" s="34" t="str">
        <x:v>مراحل بالکانیزه شدن ایران</x:v>
      </x:c>
      <x:c r="D1342" s="34" t="str">
        <x:v>POSSIBLE</x:v>
      </x:c>
      <x:c r="E1342" s="34" t="str">
        <x:v>90.0</x:v>
      </x:c>
      <x:c r="F1342" s="34" t="str">
        <x:v>MI-1236</x:v>
      </x:c>
      <x:c r="G1342" s="39" t="str">
        <x:v>ایران</x:v>
      </x:c>
      <x:c r="H1342" s="39" t="str">
        <x:v>H12</x:v>
      </x:c>
      <x:c r="I1342" s="39" t="str">
        <x:v>P2</x:v>
      </x:c>
      <x:c r="J1342" s="39" t="str">
        <x:v>H12</x:v>
      </x:c>
      <x:c r="K1342" s="39" t="str">
        <x:v>تطبیق احتمالی با پایه</x:v>
      </x:c>
      <x:c r="L1342" s="39" t="str">
        <x:v>MI-1236</x:v>
      </x:c>
      <x:c r="M1342" s="39" t="str">
        <x:v>ایران</x:v>
      </x:c>
      <x:c r="N1342" s="39" t="str">
        <x:v>1154878548.docx::P2518.1</x:v>
      </x:c>
      <x:c r="O1342" s="39"/>
    </x:row>
    <x:row r="1343">
      <x:c r="A1343" s="34" t="str">
        <x:v>☐</x:v>
      </x:c>
      <x:c r="B1343" s="34" t="str">
        <x:v>EX-1315</x:v>
      </x:c>
      <x:c r="C1343" s="34" t="str">
        <x:v>یوگوسلاوی دوم</x:v>
      </x:c>
      <x:c r="D1343" s="34" t="str">
        <x:v>POSSIBLE</x:v>
      </x:c>
      <x:c r="E1343" s="34" t="str">
        <x:v>85.5</x:v>
      </x:c>
      <x:c r="F1343" s="34" t="str">
        <x:v>MI-0863</x:v>
      </x:c>
      <x:c r="G1343" s="39" t="str">
        <x:v>ارایه نوبت دوم میوه با تنوع</x:v>
      </x:c>
      <x:c r="H1343" s="39" t="str">
        <x:v>H11</x:v>
      </x:c>
      <x:c r="I1343" s="39" t="str">
        <x:v>DELEGATE/P2</x:v>
      </x:c>
      <x:c r="J1343" s="39" t="str">
        <x:v>H11</x:v>
      </x:c>
      <x:c r="K1343" s="39" t="str">
        <x:v>تطبیق احتمالی با پایه</x:v>
      </x:c>
      <x:c r="L1343" s="39" t="str">
        <x:v>MI-0863</x:v>
      </x:c>
      <x:c r="M1343" s="39" t="str">
        <x:v>ارایه نوبت دوم میوه با تنوع</x:v>
      </x:c>
      <x:c r="N1343" s="39" t="str">
        <x:v>1154878548.docx::P2519.1 | 1154878548.docx::P3951.1</x:v>
      </x:c>
      <x:c r="O1343" s="39"/>
    </x:row>
    <x:row r="1344">
      <x:c r="A1344" s="34" t="str">
        <x:v>☐</x:v>
      </x:c>
      <x:c r="B1344" s="34" t="str">
        <x:v>EX-1316</x:v>
      </x:c>
      <x:c r="C1344" s="34" t="str">
        <x:v>کارشناسی ژئوپلیتیک</x:v>
      </x:c>
      <x:c r="D1344" s="34" t="str">
        <x:v>POSSIBLE</x:v>
      </x:c>
      <x:c r="E1344" s="34" t="str">
        <x:v>90.0</x:v>
      </x:c>
      <x:c r="F1344" s="34" t="str">
        <x:v>MI-2545</x:v>
      </x:c>
      <x:c r="G1344" s="39" t="str">
        <x:v>کار:</x:v>
      </x:c>
      <x:c r="H1344" s="39" t="str">
        <x:v>H20</x:v>
      </x:c>
      <x:c r="I1344" s="39" t="str">
        <x:v>P3/CLARIFY</x:v>
      </x:c>
      <x:c r="J1344" s="39" t="str">
        <x:v>H20</x:v>
      </x:c>
      <x:c r="K1344" s="39" t="str">
        <x:v>تطبیق احتمالی با پایه</x:v>
      </x:c>
      <x:c r="L1344" s="39" t="str">
        <x:v>MI-2545</x:v>
      </x:c>
      <x:c r="M1344" s="39" t="str">
        <x:v>کار:</x:v>
      </x:c>
      <x:c r="N1344" s="39" t="str">
        <x:v>1154878548.docx::P2520.1</x:v>
      </x:c>
      <x:c r="O1344" s="39"/>
    </x:row>
    <x:row r="1345">
      <x:c r="A1345" s="34" t="str">
        <x:v>☐</x:v>
      </x:c>
      <x:c r="B1345" s="34" t="str">
        <x:v>EX-1317</x:v>
      </x:c>
      <x:c r="C1345" s="34" t="str">
        <x:v>طرح تاک برای دانشگاه ها و بودجه</x:v>
      </x:c>
      <x:c r="D1345" s="34" t="str">
        <x:v>POSSIBLE</x:v>
      </x:c>
      <x:c r="E1345" s="34" t="str">
        <x:v>90.0</x:v>
      </x:c>
      <x:c r="F1345" s="34" t="str">
        <x:v>MI-1791</x:v>
      </x:c>
      <x:c r="G1345" s="39" t="str">
        <x:v>دانشگاه ها</x:v>
      </x:c>
      <x:c r="H1345" s="39" t="str">
        <x:v>H11</x:v>
      </x:c>
      <x:c r="I1345" s="39" t="str">
        <x:v>DELEGATE/P2</x:v>
      </x:c>
      <x:c r="J1345" s="39" t="str">
        <x:v>H11</x:v>
      </x:c>
      <x:c r="K1345" s="39" t="str">
        <x:v>تطبیق احتمالی با پایه</x:v>
      </x:c>
      <x:c r="L1345" s="39" t="str">
        <x:v>MI-1791</x:v>
      </x:c>
      <x:c r="M1345" s="39" t="str">
        <x:v>دانشگاه ها</x:v>
      </x:c>
      <x:c r="N1345" s="39" t="str">
        <x:v>1154878548.docx::P2521.1</x:v>
      </x:c>
      <x:c r="O1345" s="39"/>
    </x:row>
    <x:row r="1346">
      <x:c r="A1346" s="34" t="str">
        <x:v>☐</x:v>
      </x:c>
      <x:c r="B1346" s="34" t="str">
        <x:v>EX-1318</x:v>
      </x:c>
      <x:c r="C1346" s="34" t="str">
        <x:v>عملیات چکش نیمه شب</x:v>
      </x:c>
      <x:c r="D1346" s="34" t="str">
        <x:v>POSSIBLE</x:v>
      </x:c>
      <x:c r="E1346" s="34" t="str">
        <x:v>85.5</x:v>
      </x:c>
      <x:c r="F1346" s="34" t="str">
        <x:v>MI-2431</x:v>
      </x:c>
      <x:c r="G1346" s="39" t="str">
        <x:v>همچنین بحث کارافرینان به عنوان EiR میشه از استان های دیگه به مازندران دعونت کرد و این عملیات ها انجام بشه</x:v>
      </x:c>
      <x:c r="H1346" s="39" t="str">
        <x:v>H10</x:v>
      </x:c>
      <x:c r="I1346" s="39" t="str">
        <x:v>P2</x:v>
      </x:c>
      <x:c r="J1346" s="39" t="str">
        <x:v>H10</x:v>
      </x:c>
      <x:c r="K1346" s="39" t="str">
        <x:v>تطبیق احتمالی با پایه</x:v>
      </x:c>
      <x:c r="L1346" s="39" t="str">
        <x:v>MI-2431</x:v>
      </x:c>
      <x:c r="M1346" s="39" t="str">
        <x:v>همچنین بحث کارافرینان به عنوان EiR میشه از استان های دیگه به مازندران دعونت کرد و این عملیات ها انجام بشه</x:v>
      </x:c>
      <x:c r="N1346" s="39" t="str">
        <x:v>1154878548.docx::P2522.1</x:v>
      </x:c>
      <x:c r="O1346" s="39"/>
    </x:row>
    <x:row r="1347">
      <x:c r="A1347" s="34" t="str">
        <x:v>☐</x:v>
      </x:c>
      <x:c r="B1347" s="34" t="str">
        <x:v>EX-1319</x:v>
      </x:c>
      <x:c r="C1347" s="34" t="str">
        <x:v>عملیات رغع تحریمی</x:v>
      </x:c>
      <x:c r="D1347" s="34" t="str">
        <x:v>POSSIBLE</x:v>
      </x:c>
      <x:c r="E1347" s="34" t="str">
        <x:v>85.5</x:v>
      </x:c>
      <x:c r="F1347" s="34" t="str">
        <x:v>MI-2431</x:v>
      </x:c>
      <x:c r="G1347" s="39" t="str">
        <x:v>همچنین بحث کارافرینان به عنوان EiR میشه از استان های دیگه به مازندران دعونت کرد و این عملیات ها انجام بشه</x:v>
      </x:c>
      <x:c r="H1347" s="39" t="str">
        <x:v>H10</x:v>
      </x:c>
      <x:c r="I1347" s="39" t="str">
        <x:v>P2</x:v>
      </x:c>
      <x:c r="J1347" s="39" t="str">
        <x:v>H10</x:v>
      </x:c>
      <x:c r="K1347" s="39" t="str">
        <x:v>تطبیق احتمالی با پایه</x:v>
      </x:c>
      <x:c r="L1347" s="39" t="str">
        <x:v>MI-2431</x:v>
      </x:c>
      <x:c r="M1347" s="39" t="str">
        <x:v>همچنین بحث کارافرینان به عنوان EiR میشه از استان های دیگه به مازندران دعونت کرد و این عملیات ها انجام بشه</x:v>
      </x:c>
      <x:c r="N1347" s="39" t="str">
        <x:v>1154878548.docx::P2523.1</x:v>
      </x:c>
      <x:c r="O1347" s="39"/>
    </x:row>
    <x:row r="1348">
      <x:c r="A1348" s="34" t="str">
        <x:v>☐</x:v>
      </x:c>
      <x:c r="B1348" s="34" t="str">
        <x:v>EX-1320</x:v>
      </x:c>
      <x:c r="C1348" s="34" t="str">
        <x:v>انتقال نفت کشی به کشتی  sts</x:v>
      </x:c>
      <x:c r="D1348" s="34" t="str">
        <x:v>POSSIBLE</x:v>
      </x:c>
      <x:c r="E1348" s="34" t="str">
        <x:v>85.5</x:v>
      </x:c>
      <x:c r="F1348" s="34" t="str">
        <x:v>MI-1448</x:v>
      </x:c>
      <x:c r="G1348" s="39" t="str">
        <x:v>پول هییت قبلا چوقدر هست دست من؟؟؟ قبلا 4,290 بوده . چقدر به سید دادم.</x:v>
      </x:c>
      <x:c r="H1348" s="39" t="str">
        <x:v>H1</x:v>
      </x:c>
      <x:c r="I1348" s="39" t="str">
        <x:v>P0</x:v>
      </x:c>
      <x:c r="J1348" s="39" t="str">
        <x:v>H1</x:v>
      </x:c>
      <x:c r="K1348" s="39" t="str">
        <x:v>تطبیق احتمالی با پایه</x:v>
      </x:c>
      <x:c r="L1348" s="39" t="str">
        <x:v>MI-1448</x:v>
      </x:c>
      <x:c r="M1348" s="39" t="str">
        <x:v>پول هییت قبلا چوقدر هست دست من؟؟؟ قبلا 4,290 بوده . چقدر به سید دادم.</x:v>
      </x:c>
      <x:c r="N1348" s="39" t="str">
        <x:v>1154878548.docx::P2524.1</x:v>
      </x:c>
      <x:c r="O1348" s="39"/>
    </x:row>
    <x:row r="1349">
      <x:c r="A1349" s="34" t="str">
        <x:v>☐</x:v>
      </x:c>
      <x:c r="B1349" s="34" t="str">
        <x:v>EX-1321</x:v>
      </x:c>
      <x:c r="C1349" s="34" t="str">
        <x:v>جنبش ابتکارات ابراهیم</x:v>
      </x:c>
      <x:c r="D1349" s="34" t="str">
        <x:v>POSSIBLE</x:v>
      </x:c>
      <x:c r="E1349" s="34" t="str">
        <x:v>90.0</x:v>
      </x:c>
      <x:c r="F1349" s="34" t="str">
        <x:v>MI-2545</x:v>
      </x:c>
      <x:c r="G1349" s="39" t="str">
        <x:v>کار:</x:v>
      </x:c>
      <x:c r="H1349" s="39" t="str">
        <x:v>H20</x:v>
      </x:c>
      <x:c r="I1349" s="39" t="str">
        <x:v>P3/CLARIFY</x:v>
      </x:c>
      <x:c r="J1349" s="39" t="str">
        <x:v>H20</x:v>
      </x:c>
      <x:c r="K1349" s="39" t="str">
        <x:v>تطبیق احتمالی با پایه</x:v>
      </x:c>
      <x:c r="L1349" s="39" t="str">
        <x:v>MI-2545</x:v>
      </x:c>
      <x:c r="M1349" s="39" t="str">
        <x:v>کار:</x:v>
      </x:c>
      <x:c r="N1349" s="39" t="str">
        <x:v>1154878548.docx::P2525.1</x:v>
      </x:c>
      <x:c r="O1349" s="39"/>
    </x:row>
    <x:row r="1350">
      <x:c r="A1350" s="34" t="str">
        <x:v>☐</x:v>
      </x:c>
      <x:c r="B1350" s="34" t="str">
        <x:v>EX-1322</x:v>
      </x:c>
      <x:c r="C1350" s="34" t="str">
        <x:v>سوخت فوق جامد</x:v>
      </x:c>
      <x:c r="D1350" s="34" t="str">
        <x:v>POSSIBLE</x:v>
      </x:c>
      <x:c r="E1350" s="34" t="str">
        <x:v>85.5</x:v>
      </x:c>
      <x:c r="F1350" s="34" t="str">
        <x:v>MI-2090</x:v>
      </x:c>
      <x:c r="G1350" s="39" t="str">
        <x:v>5. افراد فوق متصل (Super Connectors)</x:v>
      </x:c>
      <x:c r="H1350" s="39" t="str">
        <x:v>H14</x:v>
      </x:c>
      <x:c r="I1350" s="39" t="str">
        <x:v>P3</x:v>
      </x:c>
      <x:c r="J1350" s="39" t="str">
        <x:v>H14</x:v>
      </x:c>
      <x:c r="K1350" s="39" t="str">
        <x:v>تطبیق احتمالی با پایه</x:v>
      </x:c>
      <x:c r="L1350" s="39" t="str">
        <x:v>MI-2090</x:v>
      </x:c>
      <x:c r="M1350" s="39" t="str">
        <x:v>5. افراد فوق متصل (Super Connectors)</x:v>
      </x:c>
      <x:c r="N1350" s="39" t="str">
        <x:v>1154878548.docx::P2526.1 | 1154878548.docx::P3983.1</x:v>
      </x:c>
      <x:c r="O1350" s="39"/>
    </x:row>
    <x:row r="1351">
      <x:c r="A1351" s="34" t="str">
        <x:v>☐</x:v>
      </x:c>
      <x:c r="B1351" s="34" t="str">
        <x:v>EX-1323</x:v>
      </x:c>
      <x:c r="C1351" s="34" t="str">
        <x:v>اصلاح طلب دروغ گو و یانکی راستگو</x:v>
      </x:c>
      <x:c r="D1351" s="34" t="str">
        <x:v>POSSIBLE</x:v>
      </x:c>
      <x:c r="E1351" s="34" t="str">
        <x:v>85.5</x:v>
      </x:c>
      <x:c r="F1351" s="34" t="str">
        <x:v>MI-1513</x:v>
      </x:c>
      <x:c r="G1351" s="39" t="str">
        <x:v>تولید و کارآفرینی: توانایی تولید محصول و خدمات و ایجاد شغل.</x:v>
      </x:c>
      <x:c r="H1351" s="39" t="str">
        <x:v>H1</x:v>
      </x:c>
      <x:c r="I1351" s="39" t="str">
        <x:v>P0</x:v>
      </x:c>
      <x:c r="J1351" s="39" t="str">
        <x:v>H1</x:v>
      </x:c>
      <x:c r="K1351" s="39" t="str">
        <x:v>تطبیق احتمالی با پایه</x:v>
      </x:c>
      <x:c r="L1351" s="39" t="str">
        <x:v>MI-1513</x:v>
      </x:c>
      <x:c r="M1351" s="39" t="str">
        <x:v>تولید و کارآفرینی: توانایی تولید محصول و خدمات و ایجاد شغل.</x:v>
      </x:c>
      <x:c r="N1351" s="39" t="str">
        <x:v>1154878548.docx::P2527.1</x:v>
      </x:c>
      <x:c r="O1351" s="39"/>
    </x:row>
    <x:row r="1352">
      <x:c r="A1352" s="34" t="str">
        <x:v>☐</x:v>
      </x:c>
      <x:c r="B1352" s="34" t="str">
        <x:v>EX-1324</x:v>
      </x:c>
      <x:c r="C1352" s="34" t="str">
        <x:v>تجدید نظر دکترین دفاعی و تبدیل به دکترین آفندی مبتنی بر رویکرد عملیات برق اسا  دامنه دار با اتخاذ راهبرد های نظامی ناهمگرا و کوبنده</x:v>
      </x:c>
      <x:c r="D1352" s="34" t="str">
        <x:v>POSSIBLE</x:v>
      </x:c>
      <x:c r="E1352" s="34" t="str">
        <x:v>85.5</x:v>
      </x:c>
      <x:c r="F1352" s="34" t="str">
        <x:v>MI-1501</x:v>
      </x:c>
      <x:c r="G1352" s="39" t="str">
        <x:v>مدیریت ریسک: شناسایی ریسک ها، ارزیابی اثرات، تدوین برنامه های مقابله با ریسک ها.</x:v>
      </x:c>
      <x:c r="H1352" s="39" t="str">
        <x:v>H1</x:v>
      </x:c>
      <x:c r="I1352" s="39" t="str">
        <x:v>P0</x:v>
      </x:c>
      <x:c r="J1352" s="39" t="str">
        <x:v>H1</x:v>
      </x:c>
      <x:c r="K1352" s="39" t="str">
        <x:v>تطبیق احتمالی با پایه</x:v>
      </x:c>
      <x:c r="L1352" s="39" t="str">
        <x:v>MI-1501</x:v>
      </x:c>
      <x:c r="M1352" s="39" t="str">
        <x:v>مدیریت ریسک: شناسایی ریسک ها، ارزیابی اثرات، تدوین برنامه های مقابله با ریسک ها.</x:v>
      </x:c>
      <x:c r="N1352" s="39" t="str">
        <x:v>1154878548.docx::P2528.1</x:v>
      </x:c>
      <x:c r="O1352" s="39"/>
    </x:row>
    <x:row r="1353">
      <x:c r="A1353" s="34" t="str">
        <x:v>☐</x:v>
      </x:c>
      <x:c r="B1353" s="34" t="str">
        <x:v>EX-1325</x:v>
      </x:c>
      <x:c r="C1353" s="34" t="str">
        <x:v>سناریو حمله زنبوری تنگه هرمز</x:v>
      </x:c>
      <x:c r="D1353" s="34" t="str">
        <x:v>UNMAPPED</x:v>
      </x:c>
      <x:c r="E1353" s="34" t="str">
        <x:v>67.5</x:v>
      </x:c>
      <x:c r="F1353" s="34" t="str">
        <x:v>MI-2268</x:v>
      </x:c>
      <x:c r="G1353" s="39" t="str">
        <x:v>برای:</x:v>
      </x:c>
      <x:c r="H1353" s="39" t="str">
        <x:v>H20</x:v>
      </x:c>
      <x:c r="I1353" s="39" t="str">
        <x:v>P3/CLARIFY</x:v>
      </x:c>
      <x:c r="J1353" s="39" t="str">
        <x:v>H18</x:v>
      </x:c>
      <x:c r="K1353" s="39" t="str">
        <x:v>افزوده جدید</x:v>
      </x:c>
      <x:c r="L1353" s="39" t="str">
        <x:v>N115-0008</x:v>
      </x:c>
      <x:c r="M1353" s="39" t="str">
        <x:v>سناریوی حمله زنبوری تنگه هرمز</x:v>
      </x:c>
      <x:c r="N1353" s="39" t="str">
        <x:v>1154878548.docx::P2529.1</x:v>
      </x:c>
      <x:c r="O1353" s="39"/>
    </x:row>
    <x:row r="1354">
      <x:c r="A1354" s="34" t="str">
        <x:v>☐</x:v>
      </x:c>
      <x:c r="B1354" s="34" t="str">
        <x:v>EX-1326</x:v>
      </x:c>
      <x:c r="C1354" s="34" t="str">
        <x:v>بروکری نفت ، گاز و پتروشیمی</x:v>
      </x:c>
      <x:c r="D1354" s="34" t="str">
        <x:v>POSSIBLE</x:v>
      </x:c>
      <x:c r="E1354" s="34" t="str">
        <x:v>85.5</x:v>
      </x:c>
      <x:c r="F1354" s="34" t="str">
        <x:v>MI-1513</x:v>
      </x:c>
      <x:c r="G1354" s="39" t="str">
        <x:v>تولید و کارآفرینی: توانایی تولید محصول و خدمات و ایجاد شغل.</x:v>
      </x:c>
      <x:c r="H1354" s="39" t="str">
        <x:v>H1</x:v>
      </x:c>
      <x:c r="I1354" s="39" t="str">
        <x:v>P0</x:v>
      </x:c>
      <x:c r="J1354" s="39" t="str">
        <x:v>H1</x:v>
      </x:c>
      <x:c r="K1354" s="39" t="str">
        <x:v>تطبیق احتمالی با پایه</x:v>
      </x:c>
      <x:c r="L1354" s="39" t="str">
        <x:v>MI-1513</x:v>
      </x:c>
      <x:c r="M1354" s="39" t="str">
        <x:v>تولید و کارآفرینی: توانایی تولید محصول و خدمات و ایجاد شغل.</x:v>
      </x:c>
      <x:c r="N1354" s="39" t="str">
        <x:v>1154878548.docx::P2530.1</x:v>
      </x:c>
      <x:c r="O1354" s="39"/>
    </x:row>
    <x:row r="1355">
      <x:c r="A1355" s="34" t="str">
        <x:v>☐</x:v>
      </x:c>
      <x:c r="B1355" s="34" t="str">
        <x:v>EX-1327</x:v>
      </x:c>
      <x:c r="C1355" s="34" t="str">
        <x:v>مذاکرات دیپ استیت و محرمانه</x:v>
      </x:c>
      <x:c r="D1355" s="34" t="str">
        <x:v>POSSIBLE</x:v>
      </x:c>
      <x:c r="E1355" s="34" t="str">
        <x:v>85.5</x:v>
      </x:c>
      <x:c r="F1355" s="34" t="str">
        <x:v>MI-1513</x:v>
      </x:c>
      <x:c r="G1355" s="39" t="str">
        <x:v>تولید و کارآفرینی: توانایی تولید محصول و خدمات و ایجاد شغل.</x:v>
      </x:c>
      <x:c r="H1355" s="39" t="str">
        <x:v>H1</x:v>
      </x:c>
      <x:c r="I1355" s="39" t="str">
        <x:v>P0</x:v>
      </x:c>
      <x:c r="J1355" s="39" t="str">
        <x:v>H1</x:v>
      </x:c>
      <x:c r="K1355" s="39" t="str">
        <x:v>تطبیق احتمالی با پایه</x:v>
      </x:c>
      <x:c r="L1355" s="39" t="str">
        <x:v>MI-1513</x:v>
      </x:c>
      <x:c r="M1355" s="39" t="str">
        <x:v>تولید و کارآفرینی: توانایی تولید محصول و خدمات و ایجاد شغل.</x:v>
      </x:c>
      <x:c r="N1355" s="39" t="str">
        <x:v>1154878548.docx::P2531.1</x:v>
      </x:c>
      <x:c r="O1355" s="39"/>
    </x:row>
    <x:row r="1356">
      <x:c r="A1356" s="34" t="str">
        <x:v>☐</x:v>
      </x:c>
      <x:c r="B1356" s="34" t="str">
        <x:v>EX-1328</x:v>
      </x:c>
      <x:c r="C1356" s="34" t="str">
        <x:v>کنترل نخبگان جهانی از طریق باجگیری، ایجاد اهرم فشار و آیین های مخفی ----آپستین</x:v>
      </x:c>
      <x:c r="D1356" s="34" t="str">
        <x:v>POSSIBLE</x:v>
      </x:c>
      <x:c r="E1356" s="34" t="str">
        <x:v>85.5</x:v>
      </x:c>
      <x:c r="F1356" s="34" t="str">
        <x:v>MI-1530</x:v>
      </x:c>
      <x:c r="G1356" s="39" t="str">
        <x:v>ایجاد ستاد تحول بسیج</x:v>
      </x:c>
      <x:c r="H1356" s="39" t="str">
        <x:v>H1</x:v>
      </x:c>
      <x:c r="I1356" s="39" t="str">
        <x:v>P0</x:v>
      </x:c>
      <x:c r="J1356" s="39" t="str">
        <x:v>H1</x:v>
      </x:c>
      <x:c r="K1356" s="39" t="str">
        <x:v>تطبیق احتمالی با پایه</x:v>
      </x:c>
      <x:c r="L1356" s="39" t="str">
        <x:v>MI-1530</x:v>
      </x:c>
      <x:c r="M1356" s="39" t="str">
        <x:v>ایجاد ستاد تحول بسیج</x:v>
      </x:c>
      <x:c r="N1356" s="39" t="str">
        <x:v>1154878548.docx::P2532.1</x:v>
      </x:c>
      <x:c r="O1356" s="39"/>
    </x:row>
    <x:row r="1357">
      <x:c r="A1357" s="34" t="str">
        <x:v>☐</x:v>
      </x:c>
      <x:c r="B1357" s="34" t="str">
        <x:v>EX-1329</x:v>
      </x:c>
      <x:c r="C1357" s="34" t="str">
        <x:v>کتاب دانشمند و جاسوس نوشته مارا ویستندال</x:v>
      </x:c>
      <x:c r="D1357" s="34" t="str">
        <x:v>POSSIBLE</x:v>
      </x:c>
      <x:c r="E1357" s="34" t="str">
        <x:v>85.5</x:v>
      </x:c>
      <x:c r="F1357" s="34" t="str">
        <x:v>MI-0029</x:v>
      </x:c>
      <x:c r="G1357" s="39" t="str">
        <x:v>تدریس ریاضی و فیزیک</x:v>
      </x:c>
      <x:c r="H1357" s="39" t="str">
        <x:v>H1</x:v>
      </x:c>
      <x:c r="I1357" s="39" t="str">
        <x:v>P0</x:v>
      </x:c>
      <x:c r="J1357" s="39" t="str">
        <x:v>H1</x:v>
      </x:c>
      <x:c r="K1357" s="39" t="str">
        <x:v>تطبیق احتمالی با پایه</x:v>
      </x:c>
      <x:c r="L1357" s="39" t="str">
        <x:v>MI-0029</x:v>
      </x:c>
      <x:c r="M1357" s="39" t="str">
        <x:v>تدریس ریاضی و فیزیک</x:v>
      </x:c>
      <x:c r="N1357" s="39" t="str">
        <x:v>1154878548.docx::P2533.1</x:v>
      </x:c>
      <x:c r="O1357" s="39"/>
    </x:row>
    <x:row r="1358">
      <x:c r="A1358" s="34" t="str">
        <x:v>☐</x:v>
      </x:c>
      <x:c r="B1358" s="34" t="str">
        <x:v>EX-1330</x:v>
      </x:c>
      <x:c r="C1358" s="34" t="str">
        <x:v>امنیت ملی،جاسوس صنعتی و تقابل اطلاعاتی</x:v>
      </x:c>
      <x:c r="D1358" s="34" t="str">
        <x:v>POSSIBLE</x:v>
      </x:c>
      <x:c r="E1358" s="34" t="str">
        <x:v>90.0</x:v>
      </x:c>
      <x:c r="F1358" s="34" t="str">
        <x:v>MI-1733</x:v>
      </x:c>
      <x:c r="G1358" s="39" t="str">
        <x:v>اطلاعات</x:v>
      </x:c>
      <x:c r="H1358" s="39" t="str">
        <x:v>H20</x:v>
      </x:c>
      <x:c r="I1358" s="39" t="str">
        <x:v>P3/CLARIFY</x:v>
      </x:c>
      <x:c r="J1358" s="39" t="str">
        <x:v>H20</x:v>
      </x:c>
      <x:c r="K1358" s="39" t="str">
        <x:v>تطبیق احتمالی با پایه</x:v>
      </x:c>
      <x:c r="L1358" s="39" t="str">
        <x:v>MI-1733</x:v>
      </x:c>
      <x:c r="M1358" s="39" t="str">
        <x:v>اطلاعات</x:v>
      </x:c>
      <x:c r="N1358" s="39" t="str">
        <x:v>1154878548.docx::P2534.1</x:v>
      </x:c>
      <x:c r="O1358" s="39"/>
    </x:row>
    <x:row r="1359">
      <x:c r="A1359" s="34" t="str">
        <x:v>☐</x:v>
      </x:c>
      <x:c r="B1359" s="34" t="str">
        <x:v>EX-1331</x:v>
      </x:c>
      <x:c r="C1359" s="34" t="str">
        <x:v>ریسک های حقوقی قرارداد ها</x:v>
      </x:c>
      <x:c r="D1359" s="34" t="str">
        <x:v>POSSIBLE</x:v>
      </x:c>
      <x:c r="E1359" s="34" t="str">
        <x:v>90.0</x:v>
      </x:c>
      <x:c r="F1359" s="34" t="str">
        <x:v>MI-1308</x:v>
      </x:c>
      <x:c r="G1359" s="39" t="str">
        <x:v>حقوقی</x:v>
      </x:c>
      <x:c r="H1359" s="39" t="str">
        <x:v>H12</x:v>
      </x:c>
      <x:c r="I1359" s="39" t="str">
        <x:v>P2</x:v>
      </x:c>
      <x:c r="J1359" s="39" t="str">
        <x:v>H12</x:v>
      </x:c>
      <x:c r="K1359" s="39" t="str">
        <x:v>تطبیق احتمالی با پایه</x:v>
      </x:c>
      <x:c r="L1359" s="39" t="str">
        <x:v>MI-1308</x:v>
      </x:c>
      <x:c r="M1359" s="39" t="str">
        <x:v>حقوقی</x:v>
      </x:c>
      <x:c r="N1359" s="39" t="str">
        <x:v>1154878548.docx::P2535.1</x:v>
      </x:c>
      <x:c r="O1359" s="39"/>
    </x:row>
    <x:row r="1360">
      <x:c r="A1360" s="34" t="str">
        <x:v>☐</x:v>
      </x:c>
      <x:c r="B1360" s="34" t="str">
        <x:v>EX-1332</x:v>
      </x:c>
      <x:c r="C1360" s="34" t="str">
        <x:v>اهمیت کراس استاففینگ برای تجّار ایرانی</x:v>
      </x:c>
      <x:c r="D1360" s="34" t="str">
        <x:v>POSSIBLE</x:v>
      </x:c>
      <x:c r="E1360" s="34" t="str">
        <x:v>90.0</x:v>
      </x:c>
      <x:c r="F1360" s="34" t="str">
        <x:v>MI-1236</x:v>
      </x:c>
      <x:c r="G1360" s="39" t="str">
        <x:v>ایران</x:v>
      </x:c>
      <x:c r="H1360" s="39" t="str">
        <x:v>H12</x:v>
      </x:c>
      <x:c r="I1360" s="39" t="str">
        <x:v>P2</x:v>
      </x:c>
      <x:c r="J1360" s="39" t="str">
        <x:v>H12</x:v>
      </x:c>
      <x:c r="K1360" s="39" t="str">
        <x:v>تطبیق احتمالی با پایه</x:v>
      </x:c>
      <x:c r="L1360" s="39" t="str">
        <x:v>MI-1236</x:v>
      </x:c>
      <x:c r="M1360" s="39" t="str">
        <x:v>ایران</x:v>
      </x:c>
      <x:c r="N1360" s="39" t="str">
        <x:v>1154878548.docx::P2536.1</x:v>
      </x:c>
      <x:c r="O1360" s="39"/>
    </x:row>
    <x:row r="1361">
      <x:c r="A1361" s="34" t="str">
        <x:v>☐</x:v>
      </x:c>
      <x:c r="B1361" s="34" t="str">
        <x:v>EX-1333</x:v>
      </x:c>
      <x:c r="C1361" s="34" t="str">
        <x:v>مرکز همکاری های تحول و پیشرفت | مطالعات بین الملل</x:v>
      </x:c>
      <x:c r="D1361" s="34" t="str">
        <x:v>POSSIBLE</x:v>
      </x:c>
      <x:c r="E1361" s="34" t="str">
        <x:v>90.0</x:v>
      </x:c>
      <x:c r="F1361" s="34" t="str">
        <x:v>MI-1810</x:v>
      </x:c>
      <x:c r="G1361" s="39" t="str">
        <x:v>همکاری</x:v>
      </x:c>
      <x:c r="H1361" s="39" t="str">
        <x:v>H20</x:v>
      </x:c>
      <x:c r="I1361" s="39" t="str">
        <x:v>P3/CLARIFY</x:v>
      </x:c>
      <x:c r="J1361" s="39" t="str">
        <x:v>H20</x:v>
      </x:c>
      <x:c r="K1361" s="39" t="str">
        <x:v>تطبیق احتمالی با پایه</x:v>
      </x:c>
      <x:c r="L1361" s="39" t="str">
        <x:v>MI-1810</x:v>
      </x:c>
      <x:c r="M1361" s="39" t="str">
        <x:v>همکاری</x:v>
      </x:c>
      <x:c r="N1361" s="39" t="str">
        <x:v>1154878548.docx::P2538.1</x:v>
      </x:c>
      <x:c r="O1361" s="39"/>
    </x:row>
    <x:row r="1362">
      <x:c r="A1362" s="34" t="str">
        <x:v>☐</x:v>
      </x:c>
      <x:c r="B1362" s="34" t="str">
        <x:v>EX-1334</x:v>
      </x:c>
      <x:c r="C1362" s="34" t="str">
        <x:v>http://cpdi.ir/-%D9%85%D8%B7%D8%A7%D9%84%D8%B9%D8%A7%D8%AA-%D8%A8%DB%8C%D9%86-%D8%A7%D9%84%D9%85%D9%84%D9%84</x:v>
      </x:c>
      <x:c r="D1362" s="34" t="str">
        <x:v>NOISE</x:v>
      </x:c>
      <x:c r="E1362" s="34" t="str">
        <x:v>0</x:v>
      </x:c>
      <x:c r="F1362" s="34"/>
      <x:c r="G1362" s="39"/>
      <x:c r="H1362" s="39"/>
      <x:c r="I1362" s="39"/>
      <x:c r="J1362" s="39" t="str">
        <x:v>STRUCT</x:v>
      </x:c>
      <x:c r="K1362" s="39" t="str">
        <x:v>ساختار/برچسب</x:v>
      </x:c>
      <x:c r="L1362" s="39"/>
      <x:c r="M1362" s="39"/>
      <x:c r="N1362" s="39" t="str">
        <x:v>1154878548.docx::P2539.1</x:v>
      </x:c>
      <x:c r="O1362" s="39"/>
    </x:row>
    <x:row r="1363">
      <x:c r="A1363" s="34" t="str">
        <x:v>☐</x:v>
      </x:c>
      <x:c r="B1363" s="34" t="str">
        <x:v>EX-1335</x:v>
      </x:c>
      <x:c r="C1363" s="34" t="str">
        <x:v>پلیس ففدرال گرا</x:v>
      </x:c>
      <x:c r="D1363" s="34" t="str">
        <x:v>POSSIBLE</x:v>
      </x:c>
      <x:c r="E1363" s="34" t="str">
        <x:v>85.5</x:v>
      </x:c>
      <x:c r="F1363" s="34" t="str">
        <x:v>MI-3137</x:v>
      </x:c>
      <x:c r="G1363" s="39" t="str">
        <x:v>هالند واقع‌گرا/عمل‌گرا: 37.5</x:v>
      </x:c>
      <x:c r="H1363" s="39" t="str">
        <x:v>H22</x:v>
      </x:c>
      <x:c r="I1363" s="39" t="str">
        <x:v>P3/CLARIFY</x:v>
      </x:c>
      <x:c r="J1363" s="39" t="str">
        <x:v>H22</x:v>
      </x:c>
      <x:c r="K1363" s="39" t="str">
        <x:v>تطبیق احتمالی با پایه</x:v>
      </x:c>
      <x:c r="L1363" s="39" t="str">
        <x:v>MI-3137</x:v>
      </x:c>
      <x:c r="M1363" s="39" t="str">
        <x:v>هالند واقع‌گرا/عمل‌گرا: 37.5</x:v>
      </x:c>
      <x:c r="N1363" s="39" t="str">
        <x:v>1154878548.docx::P2554.1</x:v>
      </x:c>
      <x:c r="O1363" s="39"/>
    </x:row>
    <x:row r="1364">
      <x:c r="A1364" s="34" t="str">
        <x:v>☐</x:v>
      </x:c>
      <x:c r="B1364" s="34" t="str">
        <x:v>EX-1336</x:v>
      </x:c>
      <x:c r="C1364" s="34" t="str">
        <x:v>مینیاپولیس و داستانش</x:v>
      </x:c>
      <x:c r="D1364" s="34" t="str">
        <x:v>POSSIBLE</x:v>
      </x:c>
      <x:c r="E1364" s="34" t="str">
        <x:v>85.5</x:v>
      </x:c>
      <x:c r="F1364" s="34" t="str">
        <x:v>MI-1513</x:v>
      </x:c>
      <x:c r="G1364" s="39" t="str">
        <x:v>تولید و کارآفرینی: توانایی تولید محصول و خدمات و ایجاد شغل.</x:v>
      </x:c>
      <x:c r="H1364" s="39" t="str">
        <x:v>H1</x:v>
      </x:c>
      <x:c r="I1364" s="39" t="str">
        <x:v>P0</x:v>
      </x:c>
      <x:c r="J1364" s="39" t="str">
        <x:v>H1</x:v>
      </x:c>
      <x:c r="K1364" s="39" t="str">
        <x:v>تطبیق احتمالی با پایه</x:v>
      </x:c>
      <x:c r="L1364" s="39" t="str">
        <x:v>MI-1513</x:v>
      </x:c>
      <x:c r="M1364" s="39" t="str">
        <x:v>تولید و کارآفرینی: توانایی تولید محصول و خدمات و ایجاد شغل.</x:v>
      </x:c>
      <x:c r="N1364" s="39" t="str">
        <x:v>1154878548.docx::P2555.1</x:v>
      </x:c>
      <x:c r="O1364" s="39"/>
    </x:row>
    <x:row r="1365">
      <x:c r="A1365" s="34" t="str">
        <x:v>☐</x:v>
      </x:c>
      <x:c r="B1365" s="34" t="str">
        <x:v>EX-1337</x:v>
      </x:c>
      <x:c r="C1365" s="34" t="str">
        <x:v>گذرگاه رفح</x:v>
      </x:c>
      <x:c r="D1365" s="34" t="str">
        <x:v>UNMAPPED</x:v>
      </x:c>
      <x:c r="E1365" s="34" t="str">
        <x:v>60.0</x:v>
      </x:c>
      <x:c r="F1365" s="34" t="str">
        <x:v>MI-0651</x:v>
      </x:c>
      <x:c r="G1365" s="39" t="str">
        <x:v>مسیول کارگاه فنی</x:v>
      </x:c>
      <x:c r="H1365" s="39" t="str">
        <x:v>H11</x:v>
      </x:c>
      <x:c r="I1365" s="39" t="str">
        <x:v>DELEGATE/P2</x:v>
      </x:c>
      <x:c r="J1365" s="39" t="str">
        <x:v>H23</x:v>
      </x:c>
      <x:c r="K1365" s="39" t="str">
        <x:v>نیازمند پالایش؛ حذف نشده</x:v>
      </x:c>
      <x:c r="L1365" s="39"/>
      <x:c r="M1365" s="39"/>
      <x:c r="N1365" s="39" t="str">
        <x:v>1154878548.docx::P2654.1 | 1154878548.docx::P3955.1</x:v>
      </x:c>
      <x:c r="O1365" s="39"/>
    </x:row>
    <x:row r="1366">
      <x:c r="A1366" s="34" t="str">
        <x:v>☐</x:v>
      </x:c>
      <x:c r="B1366" s="34" t="str">
        <x:v>EX-1338</x:v>
      </x:c>
      <x:c r="C1366" s="34" t="str">
        <x:v>پروژه قطعی اینترنت چه پیامد هایی داره از چه حملاتی جلوگیری میکنه</x:v>
      </x:c>
      <x:c r="D1366" s="34" t="str">
        <x:v>POSSIBLE</x:v>
      </x:c>
      <x:c r="E1366" s="34" t="str">
        <x:v>85.5</x:v>
      </x:c>
      <x:c r="F1366" s="34" t="str">
        <x:v>MI-2505</x:v>
      </x:c>
      <x:c r="G1366" s="39" t="str">
        <x:v>تمرکز روی مهارت هایی که بازار نیاز دارد.</x:v>
      </x:c>
      <x:c r="H1366" s="39" t="str">
        <x:v>H1</x:v>
      </x:c>
      <x:c r="I1366" s="39" t="str">
        <x:v>P0</x:v>
      </x:c>
      <x:c r="J1366" s="39" t="str">
        <x:v>H1</x:v>
      </x:c>
      <x:c r="K1366" s="39" t="str">
        <x:v>تطبیق احتمالی با پایه</x:v>
      </x:c>
      <x:c r="L1366" s="39" t="str">
        <x:v>MI-2505</x:v>
      </x:c>
      <x:c r="M1366" s="39" t="str">
        <x:v>تمرکز روی مهارت هایی که بازار نیاز دارد.</x:v>
      </x:c>
      <x:c r="N1366" s="39" t="str">
        <x:v>1154878548.docx::P2664.1</x:v>
      </x:c>
      <x:c r="O1366" s="39"/>
    </x:row>
    <x:row r="1367">
      <x:c r="A1367" s="34" t="str">
        <x:v>☐</x:v>
      </x:c>
      <x:c r="B1367" s="34" t="str">
        <x:v>EX-1339</x:v>
      </x:c>
      <x:c r="C1367" s="34" t="str">
        <x:v>حملات دیداس</x:v>
      </x:c>
      <x:c r="D1367" s="34" t="str">
        <x:v>UNMAPPED</x:v>
      </x:c>
      <x:c r="E1367" s="34" t="str">
        <x:v>67.5</x:v>
      </x:c>
      <x:c r="F1367" s="34" t="str">
        <x:v>MI-1901</x:v>
      </x:c>
      <x:c r="G1367" s="39" t="str">
        <x:v>مدارس</x:v>
      </x:c>
      <x:c r="H1367" s="39" t="str">
        <x:v>H20</x:v>
      </x:c>
      <x:c r="I1367" s="39" t="str">
        <x:v>P3/CLARIFY</x:v>
      </x:c>
      <x:c r="J1367" s="39" t="str">
        <x:v>H23</x:v>
      </x:c>
      <x:c r="K1367" s="39" t="str">
        <x:v>نیازمند پالایش؛ حذف نشده</x:v>
      </x:c>
      <x:c r="L1367" s="39"/>
      <x:c r="M1367" s="39"/>
      <x:c r="N1367" s="39" t="str">
        <x:v>1154878548.docx::P2665.1</x:v>
      </x:c>
      <x:c r="O1367" s="39"/>
    </x:row>
    <x:row r="1368">
      <x:c r="A1368" s="34" t="str">
        <x:v>☐</x:v>
      </x:c>
      <x:c r="B1368" s="34" t="str">
        <x:v>EX-1340</x:v>
      </x:c>
      <x:c r="C1368" s="34" t="str">
        <x:v>سایت گروه جهادی</x:v>
      </x:c>
      <x:c r="D1368" s="34" t="str">
        <x:v>POSSIBLE</x:v>
      </x:c>
      <x:c r="E1368" s="34" t="str">
        <x:v>90.0</x:v>
      </x:c>
      <x:c r="F1368" s="34" t="str">
        <x:v>MI-0318</x:v>
      </x:c>
      <x:c r="G1368" s="39" t="str">
        <x:v>گروه جهادی</x:v>
      </x:c>
      <x:c r="H1368" s="39" t="str">
        <x:v>H11</x:v>
      </x:c>
      <x:c r="I1368" s="39" t="str">
        <x:v>DELEGATE/P2</x:v>
      </x:c>
      <x:c r="J1368" s="39" t="str">
        <x:v>H11</x:v>
      </x:c>
      <x:c r="K1368" s="39" t="str">
        <x:v>تطبیق احتمالی با پایه</x:v>
      </x:c>
      <x:c r="L1368" s="39" t="str">
        <x:v>MI-0318</x:v>
      </x:c>
      <x:c r="M1368" s="39" t="str">
        <x:v>گروه جهادی</x:v>
      </x:c>
      <x:c r="N1368" s="39" t="str">
        <x:v>1154878548.docx::P2750.1</x:v>
      </x:c>
      <x:c r="O1368" s="39"/>
    </x:row>
    <x:row r="1369">
      <x:c r="A1369" s="34" t="str">
        <x:v>☐</x:v>
      </x:c>
      <x:c r="B1369" s="34" t="str">
        <x:v>EX-1341</x:v>
      </x:c>
      <x:c r="C1369" s="34" t="str">
        <x:v>کنترل منابع انسانی</x:v>
      </x:c>
      <x:c r="D1369" s="34" t="str">
        <x:v>POSSIBLE</x:v>
      </x:c>
      <x:c r="E1369" s="34" t="str">
        <x:v>90.0</x:v>
      </x:c>
      <x:c r="F1369" s="34" t="str">
        <x:v>MI-2797</x:v>
      </x:c>
      <x:c r="G1369" s="39" t="str">
        <x:v>منابع:</x:v>
      </x:c>
      <x:c r="H1369" s="39" t="str">
        <x:v>H20</x:v>
      </x:c>
      <x:c r="I1369" s="39" t="str">
        <x:v>P3/CLARIFY</x:v>
      </x:c>
      <x:c r="J1369" s="39" t="str">
        <x:v>H20</x:v>
      </x:c>
      <x:c r="K1369" s="39" t="str">
        <x:v>تطبیق احتمالی با پایه</x:v>
      </x:c>
      <x:c r="L1369" s="39" t="str">
        <x:v>MI-2797</x:v>
      </x:c>
      <x:c r="M1369" s="39" t="str">
        <x:v>منابع:</x:v>
      </x:c>
      <x:c r="N1369" s="39" t="str">
        <x:v>1154878548.docx::P2751.1</x:v>
      </x:c>
      <x:c r="O1369" s="39"/>
    </x:row>
    <x:row r="1370">
      <x:c r="A1370" s="34" t="str">
        <x:v>☐</x:v>
      </x:c>
      <x:c r="B1370" s="34" t="str">
        <x:v>EX-1342</x:v>
      </x:c>
      <x:c r="C1370" s="34" t="str">
        <x:v>سیستم اتوماسیون بیمارستانی سیار</x:v>
      </x:c>
      <x:c r="D1370" s="34" t="str">
        <x:v>POSSIBLE</x:v>
      </x:c>
      <x:c r="E1370" s="34" t="str">
        <x:v>85.5</x:v>
      </x:c>
      <x:c r="F1370" s="34" t="str">
        <x:v>MI-0388</x:v>
      </x:c>
      <x:c r="G1370" s="39" t="str">
        <x:v>صنایع سیستم</x:v>
      </x:c>
      <x:c r="H1370" s="39" t="str">
        <x:v>H6</x:v>
      </x:c>
      <x:c r="I1370" s="39" t="str">
        <x:v>BANK</x:v>
      </x:c>
      <x:c r="J1370" s="39" t="str">
        <x:v>H6</x:v>
      </x:c>
      <x:c r="K1370" s="39" t="str">
        <x:v>تطبیق احتمالی با پایه</x:v>
      </x:c>
      <x:c r="L1370" s="39" t="str">
        <x:v>MI-0388</x:v>
      </x:c>
      <x:c r="M1370" s="39" t="str">
        <x:v>صنایع سیستم</x:v>
      </x:c>
      <x:c r="N1370" s="39" t="str">
        <x:v>1154878548.docx::P2752.1</x:v>
      </x:c>
      <x:c r="O1370" s="39"/>
    </x:row>
    <x:row r="1371">
      <x:c r="A1371" s="34" t="str">
        <x:v>☐</x:v>
      </x:c>
      <x:c r="B1371" s="34" t="str">
        <x:v>EX-1343</x:v>
      </x:c>
      <x:c r="C1371" s="34" t="str">
        <x:v>نشریه سراج</x:v>
      </x:c>
      <x:c r="D1371" s="34" t="str">
        <x:v>POSSIBLE</x:v>
      </x:c>
      <x:c r="E1371" s="34" t="str">
        <x:v>90.0</x:v>
      </x:c>
      <x:c r="F1371" s="34" t="str">
        <x:v>MI-0639</x:v>
      </x:c>
      <x:c r="G1371" s="39" t="str">
        <x:v>- نشریه</x:v>
      </x:c>
      <x:c r="H1371" s="39" t="str">
        <x:v>H11</x:v>
      </x:c>
      <x:c r="I1371" s="39" t="str">
        <x:v>DELEGATE/P2</x:v>
      </x:c>
      <x:c r="J1371" s="39" t="str">
        <x:v>H11</x:v>
      </x:c>
      <x:c r="K1371" s="39" t="str">
        <x:v>تطبیق احتمالی با پایه</x:v>
      </x:c>
      <x:c r="L1371" s="39" t="str">
        <x:v>MI-0639</x:v>
      </x:c>
      <x:c r="M1371" s="39" t="str">
        <x:v>- نشریه</x:v>
      </x:c>
      <x:c r="N1371" s="39" t="str">
        <x:v>1154878548.docx::P2805.1</x:v>
      </x:c>
      <x:c r="O1371" s="39"/>
    </x:row>
    <x:row r="1372">
      <x:c r="A1372" s="34" t="str">
        <x:v>☐</x:v>
      </x:c>
      <x:c r="B1372" s="34" t="str">
        <x:v>EX-1344</x:v>
      </x:c>
      <x:c r="C1372" s="34" t="str">
        <x:v>سرویس سرمایشی و گرمایشی</x:v>
      </x:c>
      <x:c r="D1372" s="34" t="str">
        <x:v>POSSIBLE</x:v>
      </x:c>
      <x:c r="E1372" s="34" t="str">
        <x:v>85.5</x:v>
      </x:c>
      <x:c r="F1372" s="34" t="str">
        <x:v>MI-1513</x:v>
      </x:c>
      <x:c r="G1372" s="39" t="str">
        <x:v>تولید و کارآفرینی: توانایی تولید محصول و خدمات و ایجاد شغل.</x:v>
      </x:c>
      <x:c r="H1372" s="39" t="str">
        <x:v>H1</x:v>
      </x:c>
      <x:c r="I1372" s="39" t="str">
        <x:v>P0</x:v>
      </x:c>
      <x:c r="J1372" s="39" t="str">
        <x:v>H1</x:v>
      </x:c>
      <x:c r="K1372" s="39" t="str">
        <x:v>تطبیق احتمالی با پایه</x:v>
      </x:c>
      <x:c r="L1372" s="39" t="str">
        <x:v>MI-1513</x:v>
      </x:c>
      <x:c r="M1372" s="39" t="str">
        <x:v>تولید و کارآفرینی: توانایی تولید محصول و خدمات و ایجاد شغل.</x:v>
      </x:c>
      <x:c r="N1372" s="39" t="str">
        <x:v>1154878548.docx::P3357.1</x:v>
      </x:c>
      <x:c r="O1372" s="39"/>
    </x:row>
    <x:row r="1373">
      <x:c r="A1373" s="34" t="str">
        <x:v>☐</x:v>
      </x:c>
      <x:c r="B1373" s="34" t="str">
        <x:v>EX-1345</x:v>
      </x:c>
      <x:c r="C1373" s="34" t="str">
        <x:v>برنامه ریزی دفتر هیئت</x:v>
      </x:c>
      <x:c r="D1373" s="34" t="str">
        <x:v>POSSIBLE</x:v>
      </x:c>
      <x:c r="E1373" s="34" t="str">
        <x:v>85.5</x:v>
      </x:c>
      <x:c r="F1373" s="34" t="str">
        <x:v>MI-1501</x:v>
      </x:c>
      <x:c r="G1373" s="39" t="str">
        <x:v>مدیریت ریسک: شناسایی ریسک ها، ارزیابی اثرات، تدوین برنامه های مقابله با ریسک ها.</x:v>
      </x:c>
      <x:c r="H1373" s="39" t="str">
        <x:v>H1</x:v>
      </x:c>
      <x:c r="I1373" s="39" t="str">
        <x:v>P0</x:v>
      </x:c>
      <x:c r="J1373" s="39" t="str">
        <x:v>H1</x:v>
      </x:c>
      <x:c r="K1373" s="39" t="str">
        <x:v>تطبیق احتمالی با پایه</x:v>
      </x:c>
      <x:c r="L1373" s="39" t="str">
        <x:v>MI-1501</x:v>
      </x:c>
      <x:c r="M1373" s="39" t="str">
        <x:v>مدیریت ریسک: شناسایی ریسک ها، ارزیابی اثرات، تدوین برنامه های مقابله با ریسک ها.</x:v>
      </x:c>
      <x:c r="N1373" s="39" t="str">
        <x:v>1154878548.docx::P3361.1</x:v>
      </x:c>
      <x:c r="O1373" s="39"/>
    </x:row>
    <x:row r="1374">
      <x:c r="A1374" s="34" t="str">
        <x:v>☐</x:v>
      </x:c>
      <x:c r="B1374" s="34" t="str">
        <x:v>EX-1346</x:v>
      </x:c>
      <x:c r="C1374" s="34" t="str">
        <x:v>جام هوایی</x:v>
      </x:c>
      <x:c r="D1374" s="34" t="str">
        <x:v>POSSIBLE</x:v>
      </x:c>
      <x:c r="E1374" s="34" t="str">
        <x:v>90.0</x:v>
      </x:c>
      <x:c r="F1374" s="34" t="str">
        <x:v>MI-1214</x:v>
      </x:c>
      <x:c r="G1374" s="39" t="str">
        <x:v>پروپوزال حیدری برای جام هوایی</x:v>
      </x:c>
      <x:c r="H1374" s="39" t="str">
        <x:v>H9</x:v>
      </x:c>
      <x:c r="I1374" s="39" t="str">
        <x:v>P2</x:v>
      </x:c>
      <x:c r="J1374" s="39" t="str">
        <x:v>H9</x:v>
      </x:c>
      <x:c r="K1374" s="39" t="str">
        <x:v>تطبیق احتمالی با پایه</x:v>
      </x:c>
      <x:c r="L1374" s="39" t="str">
        <x:v>MI-1214</x:v>
      </x:c>
      <x:c r="M1374" s="39" t="str">
        <x:v>پروپوزال حیدری برای جام هوایی</x:v>
      </x:c>
      <x:c r="N1374" s="39" t="str">
        <x:v>1154878548.docx::P3370.1 | 1154878548.docx::P3510.1 | 1154878548.docx::P4466.1 | 1154878548.docx::P4466.2 | 1154878548.docx::P5827.1</x:v>
      </x:c>
      <x:c r="O1374" s="39"/>
    </x:row>
    <x:row r="1375">
      <x:c r="A1375" s="34" t="str">
        <x:v>☐</x:v>
      </x:c>
      <x:c r="B1375" s="34" t="str">
        <x:v>EX-1347</x:v>
      </x:c>
      <x:c r="C1375" s="34" t="str">
        <x:v>امیرمحمد محمدی</x:v>
      </x:c>
      <x:c r="D1375" s="34" t="str">
        <x:v>UNMAPPED</x:v>
      </x:c>
      <x:c r="E1375" s="34" t="str">
        <x:v>77.1</x:v>
      </x:c>
      <x:c r="F1375" s="34" t="str">
        <x:v>MI-1086</x:v>
      </x:c>
      <x:c r="G1375" s="39" t="str">
        <x:v>مدنی</x:v>
      </x:c>
      <x:c r="H1375" s="39" t="str">
        <x:v>H14</x:v>
      </x:c>
      <x:c r="I1375" s="39" t="str">
        <x:v>P3</x:v>
      </x:c>
      <x:c r="J1375" s="39" t="str">
        <x:v>H23</x:v>
      </x:c>
      <x:c r="K1375" s="39" t="str">
        <x:v>نیازمند پالایش؛ حذف نشده</x:v>
      </x:c>
      <x:c r="L1375" s="39"/>
      <x:c r="M1375" s="39"/>
      <x:c r="N1375" s="39" t="str">
        <x:v>1154878548.docx::P3371.1 | 1154878548.docx::P5828.1</x:v>
      </x:c>
      <x:c r="O1375" s="39"/>
    </x:row>
    <x:row r="1376">
      <x:c r="A1376" s="34" t="str">
        <x:v>☐</x:v>
      </x:c>
      <x:c r="B1376" s="34" t="str">
        <x:v>EX-1348</x:v>
      </x:c>
      <x:c r="C1376" s="34" t="str">
        <x:v>پیشنهادی به نهاد آقای رجائی فر</x:v>
      </x:c>
      <x:c r="D1376" s="34" t="str">
        <x:v>POSSIBLE</x:v>
      </x:c>
      <x:c r="E1376" s="34" t="str">
        <x:v>90.0</x:v>
      </x:c>
      <x:c r="F1376" s="34" t="str">
        <x:v>MI-1099</x:v>
      </x:c>
      <x:c r="G1376" s="39" t="str">
        <x:v>نهاد</x:v>
      </x:c>
      <x:c r="H1376" s="39" t="str">
        <x:v>H23</x:v>
      </x:c>
      <x:c r="I1376" s="39" t="str">
        <x:v>P3/CLARIFY</x:v>
      </x:c>
      <x:c r="J1376" s="39" t="str">
        <x:v>H23</x:v>
      </x:c>
      <x:c r="K1376" s="39" t="str">
        <x:v>تطبیق احتمالی با پایه</x:v>
      </x:c>
      <x:c r="L1376" s="39" t="str">
        <x:v>MI-1099</x:v>
      </x:c>
      <x:c r="M1376" s="39" t="str">
        <x:v>نهاد</x:v>
      </x:c>
      <x:c r="N1376" s="39" t="str">
        <x:v>1154878548.docx::P3397.1 | 1154878548.docx::P5853.1</x:v>
      </x:c>
      <x:c r="O1376" s="39"/>
    </x:row>
    <x:row r="1377">
      <x:c r="A1377" s="34" t="str">
        <x:v>☐</x:v>
      </x:c>
      <x:c r="B1377" s="34" t="str">
        <x:v>EX-1349</x:v>
      </x:c>
      <x:c r="C1377" s="34" t="str">
        <x:v>پویش ها</x:v>
      </x:c>
      <x:c r="D1377" s="34" t="str">
        <x:v>POSSIBLE</x:v>
      </x:c>
      <x:c r="E1377" s="34" t="str">
        <x:v>85.5</x:v>
      </x:c>
      <x:c r="F1377" s="34" t="str">
        <x:v>MI-2399</x:v>
      </x:c>
      <x:c r="G1377" s="39" t="str">
        <x:v>1. صنایع اصلی که باید روی آن ها تمرکز شود</x:v>
      </x:c>
      <x:c r="H1377" s="39" t="str">
        <x:v>H1</x:v>
      </x:c>
      <x:c r="I1377" s="39" t="str">
        <x:v>P0</x:v>
      </x:c>
      <x:c r="J1377" s="39" t="str">
        <x:v>H1</x:v>
      </x:c>
      <x:c r="K1377" s="39" t="str">
        <x:v>تطبیق احتمالی با پایه</x:v>
      </x:c>
      <x:c r="L1377" s="39" t="str">
        <x:v>MI-2399</x:v>
      </x:c>
      <x:c r="M1377" s="39" t="str">
        <x:v>1. صنایع اصلی که باید روی آن ها تمرکز شود</x:v>
      </x:c>
      <x:c r="N1377" s="39" t="str">
        <x:v>1154878548.docx::P3506.1 | 1154878548.docx::P6149.1</x:v>
      </x:c>
      <x:c r="O1377" s="39"/>
    </x:row>
    <x:row r="1378">
      <x:c r="A1378" s="34" t="str">
        <x:v>☐</x:v>
      </x:c>
      <x:c r="B1378" s="34" t="str">
        <x:v>EX-1350</x:v>
      </x:c>
      <x:c r="C1378" s="34" t="str">
        <x:v>اهدا کتاب درسی یا غیر درسی به بسیج یا نهاد یا تحکیم</x:v>
      </x:c>
      <x:c r="D1378" s="34" t="str">
        <x:v>POSSIBLE</x:v>
      </x:c>
      <x:c r="E1378" s="34" t="str">
        <x:v>85.5</x:v>
      </x:c>
      <x:c r="F1378" s="34" t="str">
        <x:v>MI-1530</x:v>
      </x:c>
      <x:c r="G1378" s="39" t="str">
        <x:v>ایجاد ستاد تحول بسیج</x:v>
      </x:c>
      <x:c r="H1378" s="39" t="str">
        <x:v>H1</x:v>
      </x:c>
      <x:c r="I1378" s="39" t="str">
        <x:v>P0</x:v>
      </x:c>
      <x:c r="J1378" s="39" t="str">
        <x:v>H1</x:v>
      </x:c>
      <x:c r="K1378" s="39" t="str">
        <x:v>تطبیق احتمالی با پایه</x:v>
      </x:c>
      <x:c r="L1378" s="39" t="str">
        <x:v>MI-1530</x:v>
      </x:c>
      <x:c r="M1378" s="39" t="str">
        <x:v>ایجاد ستاد تحول بسیج</x:v>
      </x:c>
      <x:c r="N1378" s="39" t="str">
        <x:v>1154878548.docx::P3507.1 | 1154878548.docx::P6150.1</x:v>
      </x:c>
      <x:c r="O1378" s="39"/>
    </x:row>
    <x:row r="1379">
      <x:c r="A1379" s="34" t="str">
        <x:v>☐</x:v>
      </x:c>
      <x:c r="B1379" s="34" t="str">
        <x:v>EX-1351</x:v>
      </x:c>
      <x:c r="C1379" s="34" t="str">
        <x:v>اهدا کتاب به قفسه کتاب در کانون کتاب و اندیشه</x:v>
      </x:c>
      <x:c r="D1379" s="34" t="str">
        <x:v>POSSIBLE</x:v>
      </x:c>
      <x:c r="E1379" s="34" t="str">
        <x:v>85.5</x:v>
      </x:c>
      <x:c r="F1379" s="34" t="str">
        <x:v>MI-0029</x:v>
      </x:c>
      <x:c r="G1379" s="39" t="str">
        <x:v>تدریس ریاضی و فیزیک</x:v>
      </x:c>
      <x:c r="H1379" s="39" t="str">
        <x:v>H1</x:v>
      </x:c>
      <x:c r="I1379" s="39" t="str">
        <x:v>P0</x:v>
      </x:c>
      <x:c r="J1379" s="39" t="str">
        <x:v>H1</x:v>
      </x:c>
      <x:c r="K1379" s="39" t="str">
        <x:v>تطبیق احتمالی با پایه</x:v>
      </x:c>
      <x:c r="L1379" s="39" t="str">
        <x:v>MI-0029</x:v>
      </x:c>
      <x:c r="M1379" s="39" t="str">
        <x:v>تدریس ریاضی و فیزیک</x:v>
      </x:c>
      <x:c r="N1379" s="39" t="str">
        <x:v>1154878548.docx::P3508.1 | 1154878548.docx::P6151.1</x:v>
      </x:c>
      <x:c r="O1379" s="39"/>
    </x:row>
    <x:row r="1380">
      <x:c r="A1380" s="34" t="str">
        <x:v>☐</x:v>
      </x:c>
      <x:c r="B1380" s="34" t="str">
        <x:v>EX-1352</x:v>
      </x:c>
      <x:c r="C1380" s="34" t="str">
        <x:v>ته سیگار ها</x:v>
      </x:c>
      <x:c r="D1380" s="34" t="str">
        <x:v>POSSIBLE</x:v>
      </x:c>
      <x:c r="E1380" s="34" t="str">
        <x:v>85.5</x:v>
      </x:c>
      <x:c r="F1380" s="34" t="str">
        <x:v>MI-1501</x:v>
      </x:c>
      <x:c r="G1380" s="39" t="str">
        <x:v>مدیریت ریسک: شناسایی ریسک ها، ارزیابی اثرات، تدوین برنامه های مقابله با ریسک ها.</x:v>
      </x:c>
      <x:c r="H1380" s="39" t="str">
        <x:v>H1</x:v>
      </x:c>
      <x:c r="I1380" s="39" t="str">
        <x:v>P0</x:v>
      </x:c>
      <x:c r="J1380" s="39" t="str">
        <x:v>H1</x:v>
      </x:c>
      <x:c r="K1380" s="39" t="str">
        <x:v>تطبیق احتمالی با پایه</x:v>
      </x:c>
      <x:c r="L1380" s="39" t="str">
        <x:v>MI-1501</x:v>
      </x:c>
      <x:c r="M1380" s="39" t="str">
        <x:v>مدیریت ریسک: شناسایی ریسک ها، ارزیابی اثرات، تدوین برنامه های مقابله با ریسک ها.</x:v>
      </x:c>
      <x:c r="N1380" s="39" t="str">
        <x:v>1154878548.docx::P3525.1</x:v>
      </x:c>
      <x:c r="O1380" s="39"/>
    </x:row>
    <x:row r="1381">
      <x:c r="A1381" s="34" t="str">
        <x:v>☐</x:v>
      </x:c>
      <x:c r="B1381" s="34" t="str">
        <x:v>EX-1353</x:v>
      </x:c>
      <x:c r="C1381" s="34" t="str">
        <x:v>تهسیگارها کاربرد پیدا کردندپژوهشگران راهی تازه برای استفاده از تهسیگارهای دورریختهشده پیدا کردند که در ذخیرهسازی انرژی نقش دارد.به گزارش گروه علم و پیشرفت خبرگزاری فارس به نقل از اینترستینگانجینیرینگ، زبالههایی مانند تهسیگارها بهدلیل ترکیبات پلاستیکیِ استات سلولز و همچنین آلودگیهای ناشی از مواد شیمیایی، یکی از چالشهای بزرگ محیطزیستی جهان بهشمار میروند. این مواد سالها طول میکشد تا تجزیه شوند و میتوانند فلزات سنگین را به خاک و آبها منتقل کنند.گروهی از پژوهشگران دانشگاه هنان در چین راهکاری برای تبدیل این زباله به الکترودهای کربنی نانومتخلخل پیشرفته ارائه کردهاند، که میتواند در سوپرخازنها (دستگاههای ذخیرهسازی انرژی با سرعت شارژ بالا و عمر طولانی) به کار رود.در این روش، تهسیگارها ابتدا تحت فرآیندی حرارتی و کنترلشده به مادهای کربنی به نام «هیدروچار» تبدیل میشوند. سپس این ماده در دمای بالا و با کمک مواد شیمیایی فعالساز، به ساختاری سهبعدی و پر از حفرههای ریز تبدیل میشود؛ ساختاری که سطح تماس بسیار زیادی دارد و میتواند بار الکتریکی را بهطور مؤثر ذخیره کند.نتایج نشان میدهد این مواد پس از بیش از ۱۰٬۰۰۰ چرخه شارژ/دشارژ، بیش از ۹۵٪ ظرفیت اولیه خود را حفظ میکنند، که نشان از دوام بسیار بالای آنها دارد. افزودن اتمهای نیتروژن و اکسیژن نیز باعث بهبود رسانایی و عملکرد الکتروشیمیایی شده است.این دستاورد نشان میدهد تهسیگارها نه تنها میتوانند یکی از آلایندهترین زبالههای جهان باشند، بلکه میتوان از آنها بهعنوان منبع ارزشمند برای تولید مواد انرژیمحور پایدار استفاده کرد.</x:v>
      </x:c>
      <x:c r="D1381" s="34" t="str">
        <x:v>POSSIBLE</x:v>
      </x:c>
      <x:c r="E1381" s="34" t="str">
        <x:v>85.5</x:v>
      </x:c>
      <x:c r="F1381" s="34" t="str">
        <x:v>MI-3061</x:v>
      </x:c>
      <x:c r="G1381"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H1381" s="39" t="str">
        <x:v>H1</x:v>
      </x:c>
      <x:c r="I1381" s="39" t="str">
        <x:v>P0</x:v>
      </x:c>
      <x:c r="J1381" s="39" t="str">
        <x:v>H1</x:v>
      </x:c>
      <x:c r="K1381" s="39" t="str">
        <x:v>تطبیق احتمالی با پایه</x:v>
      </x:c>
      <x:c r="L1381" s="39" t="str">
        <x:v>MI-3061</x:v>
      </x:c>
      <x:c r="M1381" s="39"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N1381" s="39" t="str">
        <x:v>1154878548.docx::P3526.1</x:v>
      </x:c>
      <x:c r="O1381" s="39"/>
    </x:row>
    <x:row r="1382">
      <x:c r="A1382" s="34" t="str">
        <x:v>☐</x:v>
      </x:c>
      <x:c r="B1382" s="34" t="str">
        <x:v>EX-1354</x:v>
      </x:c>
      <x:c r="C1382" s="34" t="str">
        <x:v>مهرواره ملی ققنوس</x:v>
      </x:c>
      <x:c r="D1382" s="34" t="str">
        <x:v>POSSIBLE</x:v>
      </x:c>
      <x:c r="E1382" s="34" t="str">
        <x:v>85.5</x:v>
      </x:c>
      <x:c r="F1382" s="34" t="str">
        <x:v>MI-0056</x:v>
      </x:c>
      <x:c r="G1382" s="39" t="str">
        <x:v>گرفتن مدرک کارشناسی پیام نور و اقدام سریع برای عضویت در کتابخانه ملی تهران</x:v>
      </x:c>
      <x:c r="H1382" s="39" t="str">
        <x:v>H2</x:v>
      </x:c>
      <x:c r="I1382" s="39" t="str">
        <x:v>BANK</x:v>
      </x:c>
      <x:c r="J1382" s="39" t="str">
        <x:v>H2</x:v>
      </x:c>
      <x:c r="K1382" s="39" t="str">
        <x:v>تطبیق احتمالی با پایه</x:v>
      </x:c>
      <x:c r="L1382" s="39" t="str">
        <x:v>MI-0056</x:v>
      </x:c>
      <x:c r="M1382" s="39" t="str">
        <x:v>گرفتن مدرک کارشناسی پیام نور و اقدام سریع برای عضویت در کتابخانه ملی تهران</x:v>
      </x:c>
      <x:c r="N1382" s="39" t="str">
        <x:v>1154878548.docx::P3708.1</x:v>
      </x:c>
      <x:c r="O1382" s="39"/>
    </x:row>
    <x:row r="1383">
      <x:c r="A1383" s="34" t="str">
        <x:v>☐</x:v>
      </x:c>
      <x:c r="B1383" s="34" t="str">
        <x:v>EX-1355</x:v>
      </x:c>
      <x:c r="C1383" s="34" t="str">
        <x:v>مدرسه شمع</x:v>
      </x:c>
      <x:c r="D1383" s="34" t="str">
        <x:v>POSSIBLE</x:v>
      </x:c>
      <x:c r="E1383" s="34" t="str">
        <x:v>85.5</x:v>
      </x:c>
      <x:c r="F1383" s="34" t="str">
        <x:v>MI-1924</x:v>
      </x:c>
      <x:c r="G1383" s="39" t="str">
        <x:v>مدرسه تابستانی</x:v>
      </x:c>
      <x:c r="H1383" s="39" t="str">
        <x:v>H2</x:v>
      </x:c>
      <x:c r="I1383" s="39" t="str">
        <x:v>P3/CLARIFY</x:v>
      </x:c>
      <x:c r="J1383" s="39" t="str">
        <x:v>H2</x:v>
      </x:c>
      <x:c r="K1383" s="39" t="str">
        <x:v>تطبیق احتمالی با پایه</x:v>
      </x:c>
      <x:c r="L1383" s="39" t="str">
        <x:v>MI-1924</x:v>
      </x:c>
      <x:c r="M1383" s="39" t="str">
        <x:v>مدرسه تابستانی</x:v>
      </x:c>
      <x:c r="N1383" s="39" t="str">
        <x:v>1154878548.docx::P3709.1</x:v>
      </x:c>
      <x:c r="O1383" s="39"/>
    </x:row>
    <x:row r="1384">
      <x:c r="A1384" s="34" t="str">
        <x:v>☐</x:v>
      </x:c>
      <x:c r="B1384" s="34" t="str">
        <x:v>EX-1356</x:v>
      </x:c>
      <x:c r="C1384" s="34" t="str">
        <x:v>دروس اقتصادی حَبنا</x:v>
      </x:c>
      <x:c r="D1384" s="34" t="str">
        <x:v>POSSIBLE</x:v>
      </x:c>
      <x:c r="E1384" s="34" t="str">
        <x:v>90.0</x:v>
      </x:c>
      <x:c r="F1384" s="34" t="str">
        <x:v>MI-0283</x:v>
      </x:c>
      <x:c r="G1384" s="39" t="str">
        <x:v>اقتصادی</x:v>
      </x:c>
      <x:c r="H1384" s="39" t="str">
        <x:v>H16</x:v>
      </x:c>
      <x:c r="I1384" s="39" t="str">
        <x:v>P3/CLARIFY</x:v>
      </x:c>
      <x:c r="J1384" s="39" t="str">
        <x:v>H16</x:v>
      </x:c>
      <x:c r="K1384" s="39" t="str">
        <x:v>تطبیق احتمالی با پایه</x:v>
      </x:c>
      <x:c r="L1384" s="39" t="str">
        <x:v>MI-0283</x:v>
      </x:c>
      <x:c r="M1384" s="39" t="str">
        <x:v>اقتصادی</x:v>
      </x:c>
      <x:c r="N1384" s="39" t="str">
        <x:v>1154878548.docx::P3710.1</x:v>
      </x:c>
      <x:c r="O1384" s="39"/>
    </x:row>
    <x:row r="1385">
      <x:c r="A1385" s="34" t="str">
        <x:v>☐</x:v>
      </x:c>
      <x:c r="B1385" s="34" t="str">
        <x:v>EX-1357</x:v>
      </x:c>
      <x:c r="C1385" s="34" t="str">
        <x:v>دوره ریاحین</x:v>
      </x:c>
      <x:c r="D1385" s="34" t="str">
        <x:v>POSSIBLE</x:v>
      </x:c>
      <x:c r="E1385" s="34" t="str">
        <x:v>85.5</x:v>
      </x:c>
      <x:c r="F1385" s="34" t="str">
        <x:v>MI-0065</x:v>
      </x:c>
      <x:c r="G1385" s="39" t="str">
        <x:v>یادگیری دوره تربیت مدرس ttc</x:v>
      </x:c>
      <x:c r="H1385" s="39" t="str">
        <x:v>H2</x:v>
      </x:c>
      <x:c r="I1385" s="39" t="str">
        <x:v>P3/CLARIFY</x:v>
      </x:c>
      <x:c r="J1385" s="39" t="str">
        <x:v>H2</x:v>
      </x:c>
      <x:c r="K1385" s="39" t="str">
        <x:v>تطبیق احتمالی با پایه</x:v>
      </x:c>
      <x:c r="L1385" s="39" t="str">
        <x:v>MI-0065</x:v>
      </x:c>
      <x:c r="M1385" s="39" t="str">
        <x:v>یادگیری دوره تربیت مدرس ttc</x:v>
      </x:c>
      <x:c r="N1385" s="39" t="str">
        <x:v>1154878548.docx::P3711.1</x:v>
      </x:c>
      <x:c r="O1385" s="39"/>
    </x:row>
    <x:row r="1386">
      <x:c r="A1386" s="34" t="str">
        <x:v>☐</x:v>
      </x:c>
      <x:c r="B1386" s="34" t="str">
        <x:v>EX-1358</x:v>
      </x:c>
      <x:c r="C1386" s="34" t="str">
        <x:v>هوش هیجانی و قدرت تصمیمگیری بالا در لحظه</x:v>
      </x:c>
      <x:c r="D1386" s="34" t="str">
        <x:v>POSSIBLE</x:v>
      </x:c>
      <x:c r="E1386" s="34" t="str">
        <x:v>89.9</x:v>
      </x:c>
      <x:c r="F1386" s="34" t="str">
        <x:v>MI-0077</x:v>
      </x:c>
      <x:c r="G1386" s="39" t="str">
        <x:v>یادگیری هوش هیجانی و قدرت تصمیم گیری بالا در لحظه</x:v>
      </x:c>
      <x:c r="H1386" s="39" t="str">
        <x:v>H1</x:v>
      </x:c>
      <x:c r="I1386" s="39" t="str">
        <x:v>P0</x:v>
      </x:c>
      <x:c r="J1386" s="39" t="str">
        <x:v>H1</x:v>
      </x:c>
      <x:c r="K1386" s="39" t="str">
        <x:v>تطبیق احتمالی با پایه</x:v>
      </x:c>
      <x:c r="L1386" s="39" t="str">
        <x:v>MI-0077</x:v>
      </x:c>
      <x:c r="M1386" s="39" t="str">
        <x:v>یادگیری هوش هیجانی و قدرت تصمیم گیری بالا در لحظه</x:v>
      </x:c>
      <x:c r="N1386" s="39" t="str">
        <x:v>1154878548.docx::P3746.1 | 1154878548.docx::P6191.1</x:v>
      </x:c>
      <x:c r="O1386" s="39"/>
    </x:row>
    <x:row r="1387">
      <x:c r="A1387" s="34" t="str">
        <x:v>☐</x:v>
      </x:c>
      <x:c r="B1387" s="34" t="str">
        <x:v>EX-1359</x:v>
      </x:c>
      <x:c r="C1387" s="34" t="str">
        <x:v>نرمافزار املاک</x:v>
      </x:c>
      <x:c r="D1387" s="34" t="str">
        <x:v>POSSIBLE</x:v>
      </x:c>
      <x:c r="E1387" s="34" t="str">
        <x:v>85.5</x:v>
      </x:c>
      <x:c r="F1387" s="34" t="str">
        <x:v>MI-0019</x:v>
      </x:c>
      <x:c r="G1387" s="39" t="str">
        <x:v>آشنایی با نرم افزار املاک</x:v>
      </x:c>
      <x:c r="H1387" s="39" t="str">
        <x:v>H1</x:v>
      </x:c>
      <x:c r="I1387" s="39" t="str">
        <x:v>P0</x:v>
      </x:c>
      <x:c r="J1387" s="39" t="str">
        <x:v>H1</x:v>
      </x:c>
      <x:c r="K1387" s="39" t="str">
        <x:v>تطبیق احتمالی با پایه</x:v>
      </x:c>
      <x:c r="L1387" s="39" t="str">
        <x:v>MI-0019</x:v>
      </x:c>
      <x:c r="M1387" s="39" t="str">
        <x:v>آشنایی با نرم افزار املاک</x:v>
      </x:c>
      <x:c r="N1387" s="39" t="str">
        <x:v>1154878548.docx::P3810.1 | 1154878548.docx::P4383.1 | 1154878548.docx::P6255.1</x:v>
      </x:c>
      <x:c r="O1387" s="39"/>
    </x:row>
    <x:row r="1388">
      <x:c r="A1388" s="34" t="str">
        <x:v>☐</x:v>
      </x:c>
      <x:c r="B1388" s="34" t="str">
        <x:v>EX-1360</x:v>
      </x:c>
      <x:c r="C1388" s="34" t="str">
        <x:v>میز مشاوره شخصی با فارغ التحصیلان</x:v>
      </x:c>
      <x:c r="D1388" s="34" t="str">
        <x:v>POSSIBLE</x:v>
      </x:c>
      <x:c r="E1388" s="34" t="str">
        <x:v>85.5</x:v>
      </x:c>
      <x:c r="F1388" s="34" t="str">
        <x:v>MI-1501</x:v>
      </x:c>
      <x:c r="G1388" s="39" t="str">
        <x:v>مدیریت ریسک: شناسایی ریسک ها، ارزیابی اثرات، تدوین برنامه های مقابله با ریسک ها.</x:v>
      </x:c>
      <x:c r="H1388" s="39" t="str">
        <x:v>H1</x:v>
      </x:c>
      <x:c r="I1388" s="39" t="str">
        <x:v>P0</x:v>
      </x:c>
      <x:c r="J1388" s="39" t="str">
        <x:v>H1</x:v>
      </x:c>
      <x:c r="K1388" s="39" t="str">
        <x:v>تطبیق احتمالی با پایه</x:v>
      </x:c>
      <x:c r="L1388" s="39" t="str">
        <x:v>MI-1501</x:v>
      </x:c>
      <x:c r="M1388" s="39" t="str">
        <x:v>مدیریت ریسک: شناسایی ریسک ها، ارزیابی اثرات، تدوین برنامه های مقابله با ریسک ها.</x:v>
      </x:c>
      <x:c r="N1388" s="39" t="str">
        <x:v>1154878548.docx::P3939.1</x:v>
      </x:c>
      <x:c r="O1388" s="39"/>
    </x:row>
    <x:row r="1389">
      <x:c r="A1389" s="34" t="str">
        <x:v>☐</x:v>
      </x:c>
      <x:c r="B1389" s="34" t="str">
        <x:v>EX-1361</x:v>
      </x:c>
      <x:c r="C1389" s="34" t="str">
        <x:v>۱. سیاست، قدرت، ژئوپلیتیک و نظم جهانی</x:v>
      </x:c>
      <x:c r="D1389" s="34" t="str">
        <x:v>POSSIBLE</x:v>
      </x:c>
      <x:c r="E1389" s="34" t="str">
        <x:v>85.5</x:v>
      </x:c>
      <x:c r="F1389" s="34" t="str">
        <x:v>MI-1513</x:v>
      </x:c>
      <x:c r="G1389" s="39" t="str">
        <x:v>تولید و کارآفرینی: توانایی تولید محصول و خدمات و ایجاد شغل.</x:v>
      </x:c>
      <x:c r="H1389" s="39" t="str">
        <x:v>H1</x:v>
      </x:c>
      <x:c r="I1389" s="39" t="str">
        <x:v>P0</x:v>
      </x:c>
      <x:c r="J1389" s="39" t="str">
        <x:v>H1</x:v>
      </x:c>
      <x:c r="K1389" s="39" t="str">
        <x:v>تطبیق احتمالی با پایه</x:v>
      </x:c>
      <x:c r="L1389" s="39" t="str">
        <x:v>MI-1513</x:v>
      </x:c>
      <x:c r="M1389" s="39" t="str">
        <x:v>تولید و کارآفرینی: توانایی تولید محصول و خدمات و ایجاد شغل.</x:v>
      </x:c>
      <x:c r="N1389" s="39" t="str">
        <x:v>1154878548.docx::P3946.1</x:v>
      </x:c>
      <x:c r="O1389" s="39"/>
    </x:row>
    <x:row r="1390">
      <x:c r="A1390" s="34" t="str">
        <x:v>☐</x:v>
      </x:c>
      <x:c r="B1390" s="34" t="str">
        <x:v>EX-1362</x:v>
      </x:c>
      <x:c r="C1390" s="34" t="str">
        <x:v>(Hard Power + Global Order)</x:v>
      </x:c>
      <x:c r="D1390" s="34" t="str">
        <x:v>POSSIBLE</x:v>
      </x:c>
      <x:c r="E1390" s="34" t="str">
        <x:v>85.5</x:v>
      </x:c>
      <x:c r="F1390" s="34" t="str">
        <x:v>MI-0189</x:v>
      </x:c>
      <x:c r="G1390" s="39" t="str">
        <x:v>POWER BI</x:v>
      </x:c>
      <x:c r="H1390" s="39" t="str">
        <x:v>H7</x:v>
      </x:c>
      <x:c r="I1390" s="39" t="str">
        <x:v>P1</x:v>
      </x:c>
      <x:c r="J1390" s="39" t="str">
        <x:v>H7</x:v>
      </x:c>
      <x:c r="K1390" s="39" t="str">
        <x:v>تطبیق احتمالی با پایه</x:v>
      </x:c>
      <x:c r="L1390" s="39" t="str">
        <x:v>MI-0189</x:v>
      </x:c>
      <x:c r="M1390" s="39" t="str">
        <x:v>POWER BI</x:v>
      </x:c>
      <x:c r="N1390" s="39" t="str">
        <x:v>1154878548.docx::P3947.1</x:v>
      </x:c>
      <x:c r="O1390" s="39"/>
    </x:row>
    <x:row r="1391">
      <x:c r="A1391" s="34" t="str">
        <x:v>☐</x:v>
      </x:c>
      <x:c r="B1391" s="34" t="str">
        <x:v>EX-1363</x:v>
      </x:c>
      <x:c r="C1391" s="34" t="str">
        <x:v>ژئوپلیتیک و سناریوها</x:v>
      </x:c>
      <x:c r="D1391" s="34" t="str">
        <x:v>POSSIBLE</x:v>
      </x:c>
      <x:c r="E1391" s="34" t="str">
        <x:v>85.5</x:v>
      </x:c>
      <x:c r="F1391" s="34" t="str">
        <x:v>MI-1513</x:v>
      </x:c>
      <x:c r="G1391" s="39" t="str">
        <x:v>تولید و کارآفرینی: توانایی تولید محصول و خدمات و ایجاد شغل.</x:v>
      </x:c>
      <x:c r="H1391" s="39" t="str">
        <x:v>H1</x:v>
      </x:c>
      <x:c r="I1391" s="39" t="str">
        <x:v>P0</x:v>
      </x:c>
      <x:c r="J1391" s="39" t="str">
        <x:v>H1</x:v>
      </x:c>
      <x:c r="K1391" s="39" t="str">
        <x:v>تطبیق احتمالی با پایه</x:v>
      </x:c>
      <x:c r="L1391" s="39" t="str">
        <x:v>MI-1513</x:v>
      </x:c>
      <x:c r="M1391" s="39" t="str">
        <x:v>تولید و کارآفرینی: توانایی تولید محصول و خدمات و ایجاد شغل.</x:v>
      </x:c>
      <x:c r="N1391" s="39" t="str">
        <x:v>1154878548.docx::P3948.1</x:v>
      </x:c>
      <x:c r="O1391" s="39"/>
    </x:row>
    <x:row r="1392">
      <x:c r="A1392" s="34" t="str">
        <x:v>☐</x:v>
      </x:c>
      <x:c r="B1392" s="34" t="str">
        <x:v>EX-1364</x:v>
      </x:c>
      <x:c r="C1392" s="34" t="str">
        <x:v>مسیر ژئوپلیتیکی ایران</x:v>
      </x:c>
      <x:c r="D1392" s="34" t="str">
        <x:v>POSSIBLE</x:v>
      </x:c>
      <x:c r="E1392" s="34" t="str">
        <x:v>90.0</x:v>
      </x:c>
      <x:c r="F1392" s="34" t="str">
        <x:v>MI-1236</x:v>
      </x:c>
      <x:c r="G1392" s="39" t="str">
        <x:v>ایران</x:v>
      </x:c>
      <x:c r="H1392" s="39" t="str">
        <x:v>H12</x:v>
      </x:c>
      <x:c r="I1392" s="39" t="str">
        <x:v>P2</x:v>
      </x:c>
      <x:c r="J1392" s="39" t="str">
        <x:v>H12</x:v>
      </x:c>
      <x:c r="K1392" s="39" t="str">
        <x:v>تطبیق احتمالی با پایه</x:v>
      </x:c>
      <x:c r="L1392" s="39" t="str">
        <x:v>MI-1236</x:v>
      </x:c>
      <x:c r="M1392" s="39" t="str">
        <x:v>ایران</x:v>
      </x:c>
      <x:c r="N1392" s="39" t="str">
        <x:v>1154878548.docx::P3949.1</x:v>
      </x:c>
      <x:c r="O1392" s="39"/>
    </x:row>
    <x:row r="1393">
      <x:c r="A1393" s="34" t="str">
        <x:v>☐</x:v>
      </x:c>
      <x:c r="B1393" s="34" t="str">
        <x:v>EX-1365</x:v>
      </x:c>
      <x:c r="C1393" s="34" t="str">
        <x:v>بالکانیزه شدن ایران</x:v>
      </x:c>
      <x:c r="D1393" s="34" t="str">
        <x:v>POSSIBLE</x:v>
      </x:c>
      <x:c r="E1393" s="34" t="str">
        <x:v>90.0</x:v>
      </x:c>
      <x:c r="F1393" s="34" t="str">
        <x:v>MI-1236</x:v>
      </x:c>
      <x:c r="G1393" s="39" t="str">
        <x:v>ایران</x:v>
      </x:c>
      <x:c r="H1393" s="39" t="str">
        <x:v>H12</x:v>
      </x:c>
      <x:c r="I1393" s="39" t="str">
        <x:v>P2</x:v>
      </x:c>
      <x:c r="J1393" s="39" t="str">
        <x:v>H12</x:v>
      </x:c>
      <x:c r="K1393" s="39" t="str">
        <x:v>تطبیق احتمالی با پایه</x:v>
      </x:c>
      <x:c r="L1393" s="39" t="str">
        <x:v>MI-1236</x:v>
      </x:c>
      <x:c r="M1393" s="39" t="str">
        <x:v>ایران</x:v>
      </x:c>
      <x:c r="N1393" s="39" t="str">
        <x:v>1154878548.docx::P3950.1</x:v>
      </x:c>
      <x:c r="O1393" s="39"/>
    </x:row>
    <x:row r="1394">
      <x:c r="A1394" s="34" t="str">
        <x:v>☐</x:v>
      </x:c>
      <x:c r="B1394" s="34" t="str">
        <x:v>EX-1366</x:v>
      </x:c>
      <x:c r="C1394" s="34" t="str">
        <x:v>بئرالسبع</x:v>
      </x:c>
      <x:c r="D1394" s="34" t="str">
        <x:v>UNMAPPED</x:v>
      </x:c>
      <x:c r="E1394" s="34" t="str">
        <x:v>67.5</x:v>
      </x:c>
      <x:c r="F1394" s="34" t="str">
        <x:v>MI-2268</x:v>
      </x:c>
      <x:c r="G1394" s="39" t="str">
        <x:v>برای:</x:v>
      </x:c>
      <x:c r="H1394" s="39" t="str">
        <x:v>H20</x:v>
      </x:c>
      <x:c r="I1394" s="39" t="str">
        <x:v>P3/CLARIFY</x:v>
      </x:c>
      <x:c r="J1394" s="39" t="str">
        <x:v>H23</x:v>
      </x:c>
      <x:c r="K1394" s="39" t="str">
        <x:v>نیازمند پالایش؛ حذف نشده</x:v>
      </x:c>
      <x:c r="L1394" s="39"/>
      <x:c r="M1394" s="39"/>
      <x:c r="N1394" s="39" t="str">
        <x:v>1154878548.docx::P3954.1</x:v>
      </x:c>
      <x:c r="O1394" s="39"/>
    </x:row>
    <x:row r="1395">
      <x:c r="A1395" s="34" t="str">
        <x:v>☐</x:v>
      </x:c>
      <x:c r="B1395" s="34" t="str">
        <x:v>EX-1367</x:v>
      </x:c>
      <x:c r="C1395" s="34" t="str">
        <x:v>سناریو حمله زنبوری تنگه هرمز ✅ (تکرار دارد)</x:v>
      </x:c>
      <x:c r="D1395" s="34" t="str">
        <x:v>POSSIBLE</x:v>
      </x:c>
      <x:c r="E1395" s="34" t="str">
        <x:v>85.5</x:v>
      </x:c>
      <x:c r="F1395" s="34" t="str">
        <x:v>MI-2700</x:v>
      </x:c>
      <x:c r="G1395" s="39" t="str">
        <x:v>استان مازندران ظرفیت بسیار خوبی برای برگزاری کمپ ها و اردوگاه های علمی و کارآفرینی دارد.</x:v>
      </x:c>
      <x:c r="H1395" s="39" t="str">
        <x:v>H10</x:v>
      </x:c>
      <x:c r="I1395" s="39" t="str">
        <x:v>P2</x:v>
      </x:c>
      <x:c r="J1395" s="39" t="str">
        <x:v>H10</x:v>
      </x:c>
      <x:c r="K1395" s="39" t="str">
        <x:v>تطبیق احتمالی با پایه</x:v>
      </x:c>
      <x:c r="L1395" s="39" t="str">
        <x:v>MI-2700</x:v>
      </x:c>
      <x:c r="M1395" s="39" t="str">
        <x:v>استان مازندران ظرفیت بسیار خوبی برای برگزاری کمپ ها و اردوگاه های علمی و کارآفرینی دارد.</x:v>
      </x:c>
      <x:c r="N1395" s="39" t="str">
        <x:v>1154878548.docx::P3957.1</x:v>
      </x:c>
      <x:c r="O1395" s="39"/>
    </x:row>
    <x:row r="1396">
      <x:c r="A1396" s="34" t="str">
        <x:v>☐</x:v>
      </x:c>
      <x:c r="B1396" s="34" t="str">
        <x:v>EX-1368</x:v>
      </x:c>
      <x:c r="C1396" s="34" t="str">
        <x:v>بازیگران و چهرهها</x:v>
      </x:c>
      <x:c r="D1396" s="34" t="str">
        <x:v>POSSIBLE</x:v>
      </x:c>
      <x:c r="E1396" s="34" t="str">
        <x:v>85.5</x:v>
      </x:c>
      <x:c r="F1396" s="34" t="str">
        <x:v>MI-1513</x:v>
      </x:c>
      <x:c r="G1396" s="39" t="str">
        <x:v>تولید و کارآفرینی: توانایی تولید محصول و خدمات و ایجاد شغل.</x:v>
      </x:c>
      <x:c r="H1396" s="39" t="str">
        <x:v>H1</x:v>
      </x:c>
      <x:c r="I1396" s="39" t="str">
        <x:v>P0</x:v>
      </x:c>
      <x:c r="J1396" s="39" t="str">
        <x:v>H1</x:v>
      </x:c>
      <x:c r="K1396" s="39" t="str">
        <x:v>تطبیق احتمالی با پایه</x:v>
      </x:c>
      <x:c r="L1396" s="39" t="str">
        <x:v>MI-1513</x:v>
      </x:c>
      <x:c r="M1396" s="39" t="str">
        <x:v>تولید و کارآفرینی: توانایی تولید محصول و خدمات و ایجاد شغل.</x:v>
      </x:c>
      <x:c r="N1396" s="39" t="str">
        <x:v>1154878548.docx::P3958.1</x:v>
      </x:c>
      <x:c r="O1396" s="39"/>
    </x:row>
    <x:row r="1397">
      <x:c r="A1397" s="34" t="str">
        <x:v>☐</x:v>
      </x:c>
      <x:c r="B1397" s="34" t="str">
        <x:v>EX-1369</x:v>
      </x:c>
      <x:c r="C1397" s="34" t="str">
        <x:v>حزبهای عراق</x:v>
      </x:c>
      <x:c r="D1397" s="34" t="str">
        <x:v>POSSIBLE</x:v>
      </x:c>
      <x:c r="E1397" s="34" t="str">
        <x:v>85.5</x:v>
      </x:c>
      <x:c r="F1397" s="34" t="str">
        <x:v>MI-0070</x:v>
      </x:c>
      <x:c r="G1397" s="39" t="str">
        <x:v>یادگیری عربی خمسه عراق - دبی</x:v>
      </x:c>
      <x:c r="H1397" s="39" t="str">
        <x:v>H1</x:v>
      </x:c>
      <x:c r="I1397" s="39" t="str">
        <x:v>P0</x:v>
      </x:c>
      <x:c r="J1397" s="39" t="str">
        <x:v>H1</x:v>
      </x:c>
      <x:c r="K1397" s="39" t="str">
        <x:v>تطبیق احتمالی با پایه</x:v>
      </x:c>
      <x:c r="L1397" s="39" t="str">
        <x:v>MI-0070</x:v>
      </x:c>
      <x:c r="M1397" s="39" t="str">
        <x:v>یادگیری عربی خمسه عراق - دبی</x:v>
      </x:c>
      <x:c r="N1397" s="39" t="str">
        <x:v>1154878548.docx::P3963.1</x:v>
      </x:c>
      <x:c r="O1397" s="39"/>
    </x:row>
    <x:row r="1398">
      <x:c r="A1398" s="34" t="str">
        <x:v>☐</x:v>
      </x:c>
      <x:c r="B1398" s="34" t="str">
        <x:v>EX-1370</x:v>
      </x:c>
      <x:c r="C1398" s="34" t="str">
        <x:v>مستعربین ✅ (تکرار دارد)</x:v>
      </x:c>
      <x:c r="D1398" s="34" t="str">
        <x:v>POSSIBLE</x:v>
      </x:c>
      <x:c r="E1398" s="34" t="str">
        <x:v>85.5</x:v>
      </x:c>
      <x:c r="F1398" s="34" t="str">
        <x:v>MI-2505</x:v>
      </x:c>
      <x:c r="G1398" s="39" t="str">
        <x:v>تمرکز روی مهارت هایی که بازار نیاز دارد.</x:v>
      </x:c>
      <x:c r="H1398" s="39" t="str">
        <x:v>H1</x:v>
      </x:c>
      <x:c r="I1398" s="39" t="str">
        <x:v>P0</x:v>
      </x:c>
      <x:c r="J1398" s="39" t="str">
        <x:v>H1</x:v>
      </x:c>
      <x:c r="K1398" s="39" t="str">
        <x:v>تطبیق احتمالی با پایه</x:v>
      </x:c>
      <x:c r="L1398" s="39" t="str">
        <x:v>MI-2505</x:v>
      </x:c>
      <x:c r="M1398" s="39" t="str">
        <x:v>تمرکز روی مهارت هایی که بازار نیاز دارد.</x:v>
      </x:c>
      <x:c r="N1398" s="39" t="str">
        <x:v>1154878548.docx::P3964.1</x:v>
      </x:c>
      <x:c r="O1398" s="39"/>
    </x:row>
    <x:row r="1399">
      <x:c r="A1399" s="34" t="str">
        <x:v>☐</x:v>
      </x:c>
      <x:c r="B1399" s="34" t="str">
        <x:v>EX-1371</x:v>
      </x:c>
      <x:c r="C1399" s="34" t="str">
        <x:v>نهادها، شاخصها، اسناد</x:v>
      </x:c>
      <x:c r="D1399" s="34" t="str">
        <x:v>POSSIBLE</x:v>
      </x:c>
      <x:c r="E1399" s="34" t="str">
        <x:v>90.0</x:v>
      </x:c>
      <x:c r="F1399" s="34" t="str">
        <x:v>MI-1099</x:v>
      </x:c>
      <x:c r="G1399" s="39" t="str">
        <x:v>نهاد</x:v>
      </x:c>
      <x:c r="H1399" s="39" t="str">
        <x:v>H23</x:v>
      </x:c>
      <x:c r="I1399" s="39" t="str">
        <x:v>P3/CLARIFY</x:v>
      </x:c>
      <x:c r="J1399" s="39" t="str">
        <x:v>H23</x:v>
      </x:c>
      <x:c r="K1399" s="39" t="str">
        <x:v>تطبیق احتمالی با پایه</x:v>
      </x:c>
      <x:c r="L1399" s="39" t="str">
        <x:v>MI-1099</x:v>
      </x:c>
      <x:c r="M1399" s="39" t="str">
        <x:v>نهاد</x:v>
      </x:c>
      <x:c r="N1399" s="39" t="str">
        <x:v>1154878548.docx::P3970.1</x:v>
      </x:c>
      <x:c r="O1399" s="39"/>
    </x:row>
    <x:row r="1400">
      <x:c r="A1400" s="34" t="str">
        <x:v>☐</x:v>
      </x:c>
      <x:c r="B1400" s="34" t="str">
        <x:v>EX-1372</x:v>
      </x:c>
      <x:c r="C1400" s="34" t="str">
        <x:v>KAPI</x:v>
      </x:c>
      <x:c r="D1400" s="34" t="str">
        <x:v>POSSIBLE</x:v>
      </x:c>
      <x:c r="E1400" s="34" t="str">
        <x:v>90.0</x:v>
      </x:c>
      <x:c r="F1400" s="34" t="str">
        <x:v>MI-0477</x:v>
      </x:c>
      <x:c r="G1400" s="39" t="str">
        <x:v>شاخص KAPI ، SIA</x:v>
      </x:c>
      <x:c r="H1400" s="39" t="str">
        <x:v>H18</x:v>
      </x:c>
      <x:c r="I1400" s="39" t="str">
        <x:v>BANK</x:v>
      </x:c>
      <x:c r="J1400" s="39" t="str">
        <x:v>H18</x:v>
      </x:c>
      <x:c r="K1400" s="39" t="str">
        <x:v>تطبیق احتمالی با پایه</x:v>
      </x:c>
      <x:c r="L1400" s="39" t="str">
        <x:v>MI-0477</x:v>
      </x:c>
      <x:c r="M1400" s="39" t="str">
        <x:v>شاخص KAPI ، SIA</x:v>
      </x:c>
      <x:c r="N1400" s="39" t="str">
        <x:v>1154878548.docx::P3972.1</x:v>
      </x:c>
      <x:c r="O1400" s="39"/>
    </x:row>
    <x:row r="1401">
      <x:c r="A1401" s="34" t="str">
        <x:v>☐</x:v>
      </x:c>
      <x:c r="B1401" s="34" t="str">
        <x:v>EX-1373</x:v>
      </x:c>
      <x:c r="C1401" s="34" t="str">
        <x:v>SIA</x:v>
      </x:c>
      <x:c r="D1401" s="34" t="str">
        <x:v>POSSIBLE</x:v>
      </x:c>
      <x:c r="E1401" s="34" t="str">
        <x:v>90.0</x:v>
      </x:c>
      <x:c r="F1401" s="34" t="str">
        <x:v>MI-0477</x:v>
      </x:c>
      <x:c r="G1401" s="39" t="str">
        <x:v>شاخص KAPI ، SIA</x:v>
      </x:c>
      <x:c r="H1401" s="39" t="str">
        <x:v>H18</x:v>
      </x:c>
      <x:c r="I1401" s="39" t="str">
        <x:v>BANK</x:v>
      </x:c>
      <x:c r="J1401" s="39" t="str">
        <x:v>H18</x:v>
      </x:c>
      <x:c r="K1401" s="39" t="str">
        <x:v>تطبیق احتمالی با پایه</x:v>
      </x:c>
      <x:c r="L1401" s="39" t="str">
        <x:v>MI-0477</x:v>
      </x:c>
      <x:c r="M1401" s="39" t="str">
        <x:v>شاخص KAPI ، SIA</x:v>
      </x:c>
      <x:c r="N1401" s="39" t="str">
        <x:v>1154878548.docx::P3973.1</x:v>
      </x:c>
      <x:c r="O1401" s="39"/>
    </x:row>
    <x:row r="1402">
      <x:c r="A1402" s="34" t="str">
        <x:v>☐</x:v>
      </x:c>
      <x:c r="B1402" s="34" t="str">
        <x:v>EX-1374</x:v>
      </x:c>
      <x:c r="C1402" s="34" t="str">
        <x:v>سایت لاهه (ICJ)</x:v>
      </x:c>
      <x:c r="D1402" s="34" t="str">
        <x:v>POSSIBLE</x:v>
      </x:c>
      <x:c r="E1402" s="34" t="str">
        <x:v>85.5</x:v>
      </x:c>
      <x:c r="F1402" s="34" t="str">
        <x:v>MI-1532</x:v>
      </x:c>
      <x:c r="G1402" s="39" t="str">
        <x:v>راه اندازی سایت و گروه های اجتماعی</x:v>
      </x:c>
      <x:c r="H1402" s="39" t="str">
        <x:v>H1</x:v>
      </x:c>
      <x:c r="I1402" s="39" t="str">
        <x:v>BANK</x:v>
      </x:c>
      <x:c r="J1402" s="39" t="str">
        <x:v>H1</x:v>
      </x:c>
      <x:c r="K1402" s="39" t="str">
        <x:v>تطبیق احتمالی با پایه</x:v>
      </x:c>
      <x:c r="L1402" s="39" t="str">
        <x:v>MI-1532</x:v>
      </x:c>
      <x:c r="M1402" s="39" t="str">
        <x:v>راه اندازی سایت و گروه های اجتماعی</x:v>
      </x:c>
      <x:c r="N1402" s="39" t="str">
        <x:v>1154878548.docx::P3976.1</x:v>
      </x:c>
      <x:c r="O1402" s="39"/>
    </x:row>
    <x:row r="1403">
      <x:c r="A1403" s="34" t="str">
        <x:v>☐</x:v>
      </x:c>
      <x:c r="B1403" s="34" t="str">
        <x:v>EX-1375</x:v>
      </x:c>
      <x:c r="C1403" s="34" t="str">
        <x:v>۲. امنیت، جنگ، اطلاعات و دکترین نظامی</x:v>
      </x:c>
      <x:c r="D1403" s="34" t="str">
        <x:v>POSSIBLE</x:v>
      </x:c>
      <x:c r="E1403" s="34" t="str">
        <x:v>90.0</x:v>
      </x:c>
      <x:c r="F1403" s="34" t="str">
        <x:v>MI-1733</x:v>
      </x:c>
      <x:c r="G1403" s="39" t="str">
        <x:v>اطلاعات</x:v>
      </x:c>
      <x:c r="H1403" s="39" t="str">
        <x:v>H20</x:v>
      </x:c>
      <x:c r="I1403" s="39" t="str">
        <x:v>P3/CLARIFY</x:v>
      </x:c>
      <x:c r="J1403" s="39" t="str">
        <x:v>H20</x:v>
      </x:c>
      <x:c r="K1403" s="39" t="str">
        <x:v>تطبیق احتمالی با پایه</x:v>
      </x:c>
      <x:c r="L1403" s="39" t="str">
        <x:v>MI-1733</x:v>
      </x:c>
      <x:c r="M1403" s="39" t="str">
        <x:v>اطلاعات</x:v>
      </x:c>
      <x:c r="N1403" s="39" t="str">
        <x:v>1154878548.docx::P3977.1</x:v>
      </x:c>
      <x:c r="O1403" s="39"/>
    </x:row>
    <x:row r="1404">
      <x:c r="A1404" s="34" t="str">
        <x:v>☐</x:v>
      </x:c>
      <x:c r="B1404" s="34" t="str">
        <x:v>EX-1376</x:v>
      </x:c>
      <x:c r="C1404" s="34" t="str">
        <x:v>(Hard Security &amp; Intelligence)</x:v>
      </x:c>
      <x:c r="D1404" s="34" t="str">
        <x:v>UNMAPPED</x:v>
      </x:c>
      <x:c r="E1404" s="34" t="str">
        <x:v>67.5</x:v>
      </x:c>
      <x:c r="F1404" s="34" t="str">
        <x:v>MI-0547</x:v>
      </x:c>
      <x:c r="G1404" s="39" t="str">
        <x:v>site</x:v>
      </x:c>
      <x:c r="H1404" s="39" t="str">
        <x:v>H18</x:v>
      </x:c>
      <x:c r="I1404" s="39" t="str">
        <x:v>BANK</x:v>
      </x:c>
      <x:c r="J1404" s="39" t="str">
        <x:v>H23</x:v>
      </x:c>
      <x:c r="K1404" s="39" t="str">
        <x:v>نیازمند پالایش؛ حذف نشده</x:v>
      </x:c>
      <x:c r="L1404" s="39"/>
      <x:c r="M1404" s="39"/>
      <x:c r="N1404" s="39" t="str">
        <x:v>1154878548.docx::P3978.1</x:v>
      </x:c>
      <x:c r="O1404" s="39"/>
    </x:row>
    <x:row r="1405">
      <x:c r="A1405" s="34" t="str">
        <x:v>☐</x:v>
      </x:c>
      <x:c r="B1405" s="34" t="str">
        <x:v>EX-1377</x:v>
      </x:c>
      <x:c r="C1405" s="34" t="str">
        <x:v>دکترین و تجهیزات</x:v>
      </x:c>
      <x:c r="D1405" s="34" t="str">
        <x:v>POSSIBLE</x:v>
      </x:c>
      <x:c r="E1405" s="34" t="str">
        <x:v>85.5</x:v>
      </x:c>
      <x:c r="F1405" s="34" t="str">
        <x:v>MI-1513</x:v>
      </x:c>
      <x:c r="G1405" s="39" t="str">
        <x:v>تولید و کارآفرینی: توانایی تولید محصول و خدمات و ایجاد شغل.</x:v>
      </x:c>
      <x:c r="H1405" s="39" t="str">
        <x:v>H1</x:v>
      </x:c>
      <x:c r="I1405" s="39" t="str">
        <x:v>P0</x:v>
      </x:c>
      <x:c r="J1405" s="39" t="str">
        <x:v>H1</x:v>
      </x:c>
      <x:c r="K1405" s="39" t="str">
        <x:v>تطبیق احتمالی با پایه</x:v>
      </x:c>
      <x:c r="L1405" s="39" t="str">
        <x:v>MI-1513</x:v>
      </x:c>
      <x:c r="M1405" s="39" t="str">
        <x:v>تولید و کارآفرینی: توانایی تولید محصول و خدمات و ایجاد شغل.</x:v>
      </x:c>
      <x:c r="N1405" s="39" t="str">
        <x:v>1154878548.docx::P3979.1</x:v>
      </x:c>
      <x:c r="O1405" s="39"/>
    </x:row>
    <x:row r="1406">
      <x:c r="A1406" s="34" t="str">
        <x:v>☐</x:v>
      </x:c>
      <x:c r="B1406" s="34" t="str">
        <x:v>EX-1378</x:v>
      </x:c>
      <x:c r="C1406" s="34" t="str">
        <x:v>سامانههای پدافندی آمریکا</x:v>
      </x:c>
      <x:c r="D1406" s="34" t="str">
        <x:v>POSSIBLE</x:v>
      </x:c>
      <x:c r="E1406" s="34" t="str">
        <x:v>90.0</x:v>
      </x:c>
      <x:c r="F1406" s="34" t="str">
        <x:v>MI-1192</x:v>
      </x:c>
      <x:c r="G1406" s="39" t="str">
        <x:v>سامان</x:v>
      </x:c>
      <x:c r="H1406" s="39" t="str">
        <x:v>H11</x:v>
      </x:c>
      <x:c r="I1406" s="39" t="str">
        <x:v>DELEGATE/P2</x:v>
      </x:c>
      <x:c r="J1406" s="39" t="str">
        <x:v>H11</x:v>
      </x:c>
      <x:c r="K1406" s="39" t="str">
        <x:v>تطبیق احتمالی با پایه</x:v>
      </x:c>
      <x:c r="L1406" s="39" t="str">
        <x:v>MI-1192</x:v>
      </x:c>
      <x:c r="M1406" s="39" t="str">
        <x:v>سامان</x:v>
      </x:c>
      <x:c r="N1406" s="39" t="str">
        <x:v>1154878548.docx::P3980.1</x:v>
      </x:c>
      <x:c r="O1406" s="39"/>
    </x:row>
    <x:row r="1407">
      <x:c r="A1407" s="34" t="str">
        <x:v>☐</x:v>
      </x:c>
      <x:c r="B1407" s="34" t="str">
        <x:v>EX-1379</x:v>
      </x:c>
      <x:c r="C1407" s="34" t="str">
        <x:v>سامانههای پدافندی اسرائیل</x:v>
      </x:c>
      <x:c r="D1407" s="34" t="str">
        <x:v>POSSIBLE</x:v>
      </x:c>
      <x:c r="E1407" s="34" t="str">
        <x:v>90.0</x:v>
      </x:c>
      <x:c r="F1407" s="34" t="str">
        <x:v>MI-1192</x:v>
      </x:c>
      <x:c r="G1407" s="39" t="str">
        <x:v>سامان</x:v>
      </x:c>
      <x:c r="H1407" s="39" t="str">
        <x:v>H11</x:v>
      </x:c>
      <x:c r="I1407" s="39" t="str">
        <x:v>DELEGATE/P2</x:v>
      </x:c>
      <x:c r="J1407" s="39" t="str">
        <x:v>H11</x:v>
      </x:c>
      <x:c r="K1407" s="39" t="str">
        <x:v>تطبیق احتمالی با پایه</x:v>
      </x:c>
      <x:c r="L1407" s="39" t="str">
        <x:v>MI-1192</x:v>
      </x:c>
      <x:c r="M1407" s="39" t="str">
        <x:v>سامان</x:v>
      </x:c>
      <x:c r="N1407" s="39" t="str">
        <x:v>1154878548.docx::P3981.1</x:v>
      </x:c>
      <x:c r="O1407" s="39"/>
    </x:row>
    <x:row r="1408">
      <x:c r="A1408" s="34" t="str">
        <x:v>☐</x:v>
      </x:c>
      <x:c r="B1408" s="34" t="str">
        <x:v>EX-1380</x:v>
      </x:c>
      <x:c r="C1408" s="34" t="str">
        <x:v>بازتعریف دکترین دفاعی → آفندی برقآسا دامنهدار</x:v>
      </x:c>
      <x:c r="D1408" s="34" t="str">
        <x:v>UNMAPPED</x:v>
      </x:c>
      <x:c r="E1408" s="34" t="str">
        <x:v>65.5</x:v>
      </x:c>
      <x:c r="F1408" s="34" t="str">
        <x:v>MI-0232</x:v>
      </x:c>
      <x:c r="G1408" s="39" t="str">
        <x:v>بازیافت</x:v>
      </x:c>
      <x:c r="H1408" s="39" t="str">
        <x:v>H12</x:v>
      </x:c>
      <x:c r="I1408" s="39" t="str">
        <x:v>P2</x:v>
      </x:c>
      <x:c r="J1408" s="39" t="str">
        <x:v>H23</x:v>
      </x:c>
      <x:c r="K1408" s="39" t="str">
        <x:v>نیازمند پالایش؛ حذف نشده</x:v>
      </x:c>
      <x:c r="L1408" s="39"/>
      <x:c r="M1408" s="39"/>
      <x:c r="N1408" s="39" t="str">
        <x:v>1154878548.docx::P3984.1</x:v>
      </x:c>
      <x:c r="O1408" s="39"/>
    </x:row>
    <x:row r="1409">
      <x:c r="A1409" s="34" t="str">
        <x:v>☐</x:v>
      </x:c>
      <x:c r="B1409" s="34" t="str">
        <x:v>EX-1381</x:v>
      </x:c>
      <x:c r="C1409" s="34" t="str">
        <x:v>جنگ و عملیات</x:v>
      </x:c>
      <x:c r="D1409" s="34" t="str">
        <x:v>POSSIBLE</x:v>
      </x:c>
      <x:c r="E1409" s="34" t="str">
        <x:v>85.5</x:v>
      </x:c>
      <x:c r="F1409" s="34" t="str">
        <x:v>MI-1513</x:v>
      </x:c>
      <x:c r="G1409" s="39" t="str">
        <x:v>تولید و کارآفرینی: توانایی تولید محصول و خدمات و ایجاد شغل.</x:v>
      </x:c>
      <x:c r="H1409" s="39" t="str">
        <x:v>H1</x:v>
      </x:c>
      <x:c r="I1409" s="39" t="str">
        <x:v>P0</x:v>
      </x:c>
      <x:c r="J1409" s="39" t="str">
        <x:v>H1</x:v>
      </x:c>
      <x:c r="K1409" s="39" t="str">
        <x:v>تطبیق احتمالی با پایه</x:v>
      </x:c>
      <x:c r="L1409" s="39" t="str">
        <x:v>MI-1513</x:v>
      </x:c>
      <x:c r="M1409" s="39" t="str">
        <x:v>تولید و کارآفرینی: توانایی تولید محصول و خدمات و ایجاد شغل.</x:v>
      </x:c>
      <x:c r="N1409" s="39" t="str">
        <x:v>1154878548.docx::P3985.1</x:v>
      </x:c>
      <x:c r="O1409" s="39"/>
    </x:row>
    <x:row r="1410">
      <x:c r="A1410" s="34" t="str">
        <x:v>☐</x:v>
      </x:c>
      <x:c r="B1410" s="34" t="str">
        <x:v>EX-1382</x:v>
      </x:c>
      <x:c r="C1410" s="34" t="str">
        <x:v>عملیات چکش نیمهشب</x:v>
      </x:c>
      <x:c r="D1410" s="34" t="str">
        <x:v>POSSIBLE</x:v>
      </x:c>
      <x:c r="E1410" s="34" t="str">
        <x:v>85.5</x:v>
      </x:c>
      <x:c r="F1410" s="34" t="str">
        <x:v>MI-2431</x:v>
      </x:c>
      <x:c r="G1410" s="39" t="str">
        <x:v>همچنین بحث کارافرینان به عنوان EiR میشه از استان های دیگه به مازندران دعونت کرد و این عملیات ها انجام بشه</x:v>
      </x:c>
      <x:c r="H1410" s="39" t="str">
        <x:v>H10</x:v>
      </x:c>
      <x:c r="I1410" s="39" t="str">
        <x:v>P2</x:v>
      </x:c>
      <x:c r="J1410" s="39" t="str">
        <x:v>H10</x:v>
      </x:c>
      <x:c r="K1410" s="39" t="str">
        <x:v>تطبیق احتمالی با پایه</x:v>
      </x:c>
      <x:c r="L1410" s="39" t="str">
        <x:v>MI-2431</x:v>
      </x:c>
      <x:c r="M1410" s="39" t="str">
        <x:v>همچنین بحث کارافرینان به عنوان EiR میشه از استان های دیگه به مازندران دعونت کرد و این عملیات ها انجام بشه</x:v>
      </x:c>
      <x:c r="N1410" s="39" t="str">
        <x:v>1154878548.docx::P3987.1</x:v>
      </x:c>
      <x:c r="O1410" s="39"/>
    </x:row>
    <x:row r="1411">
      <x:c r="A1411" s="34" t="str">
        <x:v>☐</x:v>
      </x:c>
      <x:c r="B1411" s="34" t="str">
        <x:v>EX-1383</x:v>
      </x:c>
      <x:c r="C1411" s="34" t="str">
        <x:v>عملیات رفع تحریمی ✅ (پیوند با اقتصاد)</x:v>
      </x:c>
      <x:c r="D1411" s="34" t="str">
        <x:v>POSSIBLE</x:v>
      </x:c>
      <x:c r="E1411" s="34" t="str">
        <x:v>85.5</x:v>
      </x:c>
      <x:c r="F1411" s="34" t="str">
        <x:v>MI-1501</x:v>
      </x:c>
      <x:c r="G1411" s="39" t="str">
        <x:v>مدیریت ریسک: شناسایی ریسک ها، ارزیابی اثرات، تدوین برنامه های مقابله با ریسک ها.</x:v>
      </x:c>
      <x:c r="H1411" s="39" t="str">
        <x:v>H1</x:v>
      </x:c>
      <x:c r="I1411" s="39" t="str">
        <x:v>P0</x:v>
      </x:c>
      <x:c r="J1411" s="39" t="str">
        <x:v>H1</x:v>
      </x:c>
      <x:c r="K1411" s="39" t="str">
        <x:v>تطبیق احتمالی با پایه</x:v>
      </x:c>
      <x:c r="L1411" s="39" t="str">
        <x:v>MI-1501</x:v>
      </x:c>
      <x:c r="M1411" s="39" t="str">
        <x:v>مدیریت ریسک: شناسایی ریسک ها، ارزیابی اثرات، تدوین برنامه های مقابله با ریسک ها.</x:v>
      </x:c>
      <x:c r="N1411" s="39" t="str">
        <x:v>1154878548.docx::P3988.1</x:v>
      </x:c>
      <x:c r="O1411" s="39"/>
    </x:row>
    <x:row r="1412">
      <x:c r="A1412" s="34" t="str">
        <x:v>☐</x:v>
      </x:c>
      <x:c r="B1412" s="34" t="str">
        <x:v>EX-1384</x:v>
      </x:c>
      <x:c r="C1412" s="34" t="str">
        <x:v>اطلاعات و ضداطلاعات</x:v>
      </x:c>
      <x:c r="D1412" s="34" t="str">
        <x:v>POSSIBLE</x:v>
      </x:c>
      <x:c r="E1412" s="34" t="str">
        <x:v>90.0</x:v>
      </x:c>
      <x:c r="F1412" s="34" t="str">
        <x:v>MI-1291</x:v>
      </x:c>
      <x:c r="G1412" s="39" t="str">
        <x:v>طلا</x:v>
      </x:c>
      <x:c r="H1412" s="39" t="str">
        <x:v>H12</x:v>
      </x:c>
      <x:c r="I1412" s="39" t="str">
        <x:v>P2</x:v>
      </x:c>
      <x:c r="J1412" s="39" t="str">
        <x:v>H12</x:v>
      </x:c>
      <x:c r="K1412" s="39" t="str">
        <x:v>تطبیق احتمالی با پایه</x:v>
      </x:c>
      <x:c r="L1412" s="39" t="str">
        <x:v>MI-1291</x:v>
      </x:c>
      <x:c r="M1412" s="39" t="str">
        <x:v>طلا</x:v>
      </x:c>
      <x:c r="N1412" s="39" t="str">
        <x:v>1154878548.docx::P3989.1</x:v>
      </x:c>
      <x:c r="O1412" s="39"/>
    </x:row>
    <x:row r="1413">
      <x:c r="A1413" s="34" t="str">
        <x:v>☐</x:v>
      </x:c>
      <x:c r="B1413" s="34" t="str">
        <x:v>EX-1385</x:v>
      </x:c>
      <x:c r="C1413" s="34" t="str">
        <x:v>جاسوسی صنعتی</x:v>
      </x:c>
      <x:c r="D1413" s="34" t="str">
        <x:v>POSSIBLE</x:v>
      </x:c>
      <x:c r="E1413" s="34" t="str">
        <x:v>90.0</x:v>
      </x:c>
      <x:c r="F1413" s="34" t="str">
        <x:v>MI-2602</x:v>
      </x:c>
      <x:c r="G1413" s="39" t="str">
        <x:v>صنعت</x:v>
      </x:c>
      <x:c r="H1413" s="39" t="str">
        <x:v>H12</x:v>
      </x:c>
      <x:c r="I1413" s="39" t="str">
        <x:v>P2</x:v>
      </x:c>
      <x:c r="J1413" s="39" t="str">
        <x:v>H12</x:v>
      </x:c>
      <x:c r="K1413" s="39" t="str">
        <x:v>تطبیق احتمالی با پایه</x:v>
      </x:c>
      <x:c r="L1413" s="39" t="str">
        <x:v>MI-2602</x:v>
      </x:c>
      <x:c r="M1413" s="39" t="str">
        <x:v>صنعت</x:v>
      </x:c>
      <x:c r="N1413" s="39" t="str">
        <x:v>1154878548.docx::P3991.1</x:v>
      </x:c>
      <x:c r="O1413" s="39"/>
    </x:row>
    <x:row r="1414">
      <x:c r="A1414" s="34" t="str">
        <x:v>☐</x:v>
      </x:c>
      <x:c r="B1414" s="34" t="str">
        <x:v>EX-1386</x:v>
      </x:c>
      <x:c r="C1414" s="34" t="str">
        <x:v>تقابل اطلاعاتی</x:v>
      </x:c>
      <x:c r="D1414" s="34" t="str">
        <x:v>POSSIBLE</x:v>
      </x:c>
      <x:c r="E1414" s="34" t="str">
        <x:v>90.0</x:v>
      </x:c>
      <x:c r="F1414" s="34" t="str">
        <x:v>MI-1291</x:v>
      </x:c>
      <x:c r="G1414" s="39" t="str">
        <x:v>طلا</x:v>
      </x:c>
      <x:c r="H1414" s="39" t="str">
        <x:v>H12</x:v>
      </x:c>
      <x:c r="I1414" s="39" t="str">
        <x:v>P2</x:v>
      </x:c>
      <x:c r="J1414" s="39" t="str">
        <x:v>H12</x:v>
      </x:c>
      <x:c r="K1414" s="39" t="str">
        <x:v>تطبیق احتمالی با پایه</x:v>
      </x:c>
      <x:c r="L1414" s="39" t="str">
        <x:v>MI-1291</x:v>
      </x:c>
      <x:c r="M1414" s="39" t="str">
        <x:v>طلا</x:v>
      </x:c>
      <x:c r="N1414" s="39" t="str">
        <x:v>1154878548.docx::P3992.1</x:v>
      </x:c>
      <x:c r="O1414" s="39"/>
    </x:row>
    <x:row r="1415">
      <x:c r="A1415" s="34" t="str">
        <x:v>☐</x:v>
      </x:c>
      <x:c r="B1415" s="34" t="str">
        <x:v>EX-1387</x:v>
      </x:c>
      <x:c r="C1415" s="34" t="str">
        <x:v>کنترل نخبگان از طریق باجگیری (پرونده اپستین)</x:v>
      </x:c>
      <x:c r="D1415" s="34" t="str">
        <x:v>POSSIBLE</x:v>
      </x:c>
      <x:c r="E1415" s="34" t="str">
        <x:v>85.5</x:v>
      </x:c>
      <x:c r="F1415" s="34" t="str">
        <x:v>MI-1457</x:v>
      </x:c>
      <x:c r="G1415" s="39" t="str">
        <x:v>سلامت جسمانی: تغذیه سالم، ورزش منظم، خواب کافی، پیشگیری از بیماری ها.</x:v>
      </x:c>
      <x:c r="H1415" s="39" t="str">
        <x:v>H1</x:v>
      </x:c>
      <x:c r="I1415" s="39" t="str">
        <x:v>P0</x:v>
      </x:c>
      <x:c r="J1415" s="39" t="str">
        <x:v>H1</x:v>
      </x:c>
      <x:c r="K1415" s="39" t="str">
        <x:v>تطبیق احتمالی با پایه</x:v>
      </x:c>
      <x:c r="L1415" s="39" t="str">
        <x:v>MI-1457</x:v>
      </x:c>
      <x:c r="M1415" s="39" t="str">
        <x:v>سلامت جسمانی: تغذیه سالم، ورزش منظم، خواب کافی، پیشگیری از بیماری ها.</x:v>
      </x:c>
      <x:c r="N1415" s="39" t="str">
        <x:v>1154878548.docx::P3993.1</x:v>
      </x:c>
      <x:c r="O1415" s="39"/>
    </x:row>
    <x:row r="1416">
      <x:c r="A1416" s="34" t="str">
        <x:v>☐</x:v>
      </x:c>
      <x:c r="B1416" s="34" t="str">
        <x:v>EX-1388</x:v>
      </x:c>
      <x:c r="C1416" s="34" t="str">
        <x:v>مأموران KGB</x:v>
      </x:c>
      <x:c r="D1416" s="34" t="str">
        <x:v>UNMAPPED</x:v>
      </x:c>
      <x:c r="E1416" s="34" t="str">
        <x:v>73.9</x:v>
      </x:c>
      <x:c r="F1416" s="34" t="str">
        <x:v>MI-0412</x:v>
      </x:c>
      <x:c r="G1416" s="39" t="str">
        <x:v>ماموران کا. گ. ب.</x:v>
      </x:c>
      <x:c r="H1416" s="39" t="str">
        <x:v>H18</x:v>
      </x:c>
      <x:c r="I1416" s="39" t="str">
        <x:v>BANK</x:v>
      </x:c>
      <x:c r="J1416" s="39" t="str">
        <x:v>H23</x:v>
      </x:c>
      <x:c r="K1416" s="39" t="str">
        <x:v>نیازمند پالایش؛ حذف نشده</x:v>
      </x:c>
      <x:c r="L1416" s="39"/>
      <x:c r="M1416" s="39"/>
      <x:c r="N1416" s="39" t="str">
        <x:v>1154878548.docx::P3994.1</x:v>
      </x:c>
      <x:c r="O1416" s="39"/>
    </x:row>
    <x:row r="1417">
      <x:c r="A1417" s="34" t="str">
        <x:v>☐</x:v>
      </x:c>
      <x:c r="B1417" s="34" t="str">
        <x:v>EX-1389</x:v>
      </x:c>
      <x:c r="C1417" s="34" t="str">
        <x:v>۳. اقتصاد سیاسی، تحریم و سازوکارهای قدرت مالی</x:v>
      </x:c>
      <x:c r="D1417" s="34" t="str">
        <x:v>POSSIBLE</x:v>
      </x:c>
      <x:c r="E1417" s="34" t="str">
        <x:v>85.5</x:v>
      </x:c>
      <x:c r="F1417" s="34" t="str">
        <x:v>MI-0029</x:v>
      </x:c>
      <x:c r="G1417" s="39" t="str">
        <x:v>تدریس ریاضی و فیزیک</x:v>
      </x:c>
      <x:c r="H1417" s="39" t="str">
        <x:v>H1</x:v>
      </x:c>
      <x:c r="I1417" s="39" t="str">
        <x:v>P0</x:v>
      </x:c>
      <x:c r="J1417" s="39" t="str">
        <x:v>H1</x:v>
      </x:c>
      <x:c r="K1417" s="39" t="str">
        <x:v>تطبیق احتمالی با پایه</x:v>
      </x:c>
      <x:c r="L1417" s="39" t="str">
        <x:v>MI-0029</x:v>
      </x:c>
      <x:c r="M1417" s="39" t="str">
        <x:v>تدریس ریاضی و فیزیک</x:v>
      </x:c>
      <x:c r="N1417" s="39" t="str">
        <x:v>1154878548.docx::P3995.1</x:v>
      </x:c>
      <x:c r="O1417" s="39"/>
    </x:row>
    <x:row r="1418">
      <x:c r="A1418" s="34" t="str">
        <x:v>☐</x:v>
      </x:c>
      <x:c r="B1418" s="34" t="str">
        <x:v>EX-1390</x:v>
      </x:c>
      <x:c r="C1418" s="34" t="str">
        <x:v>(Political Economy &amp; Sanctions)</x:v>
      </x:c>
      <x:c r="D1418" s="34" t="str">
        <x:v>UNMAPPED</x:v>
      </x:c>
      <x:c r="E1418" s="34" t="str">
        <x:v>57.0</x:v>
      </x:c>
      <x:c r="F1418" s="34" t="str">
        <x:v>MI-0161</x:v>
      </x:c>
      <x:c r="G1418" s="39" t="str">
        <x:v>N&amp;N</x:v>
      </x:c>
      <x:c r="H1418" s="39" t="str">
        <x:v>H23</x:v>
      </x:c>
      <x:c r="I1418" s="39" t="str">
        <x:v>P3/CLARIFY</x:v>
      </x:c>
      <x:c r="J1418" s="39" t="str">
        <x:v>H23</x:v>
      </x:c>
      <x:c r="K1418" s="39" t="str">
        <x:v>نیازمند پالایش؛ حذف نشده</x:v>
      </x:c>
      <x:c r="L1418" s="39"/>
      <x:c r="M1418" s="39"/>
      <x:c r="N1418" s="39" t="str">
        <x:v>1154878548.docx::P3996.1</x:v>
      </x:c>
      <x:c r="O1418" s="39"/>
    </x:row>
    <x:row r="1419">
      <x:c r="A1419" s="34" t="str">
        <x:v>☐</x:v>
      </x:c>
      <x:c r="B1419" s="34" t="str">
        <x:v>EX-1391</x:v>
      </x:c>
      <x:c r="C1419" s="34" t="str">
        <x:v>ساختار اقتصاد</x:v>
      </x:c>
      <x:c r="D1419" s="34" t="str">
        <x:v>POSSIBLE</x:v>
      </x:c>
      <x:c r="E1419" s="34" t="str">
        <x:v>85.5</x:v>
      </x:c>
      <x:c r="F1419" s="34" t="str">
        <x:v>MI-2921</x:v>
      </x:c>
      <x:c r="G1419" s="39" t="str">
        <x:v>ساختار تصمیم گیری چگونه باید باشد</x:v>
      </x:c>
      <x:c r="H1419" s="39" t="str">
        <x:v>H1</x:v>
      </x:c>
      <x:c r="I1419" s="39" t="str">
        <x:v>P0</x:v>
      </x:c>
      <x:c r="J1419" s="39" t="str">
        <x:v>H1</x:v>
      </x:c>
      <x:c r="K1419" s="39" t="str">
        <x:v>تطبیق احتمالی با پایه</x:v>
      </x:c>
      <x:c r="L1419" s="39" t="str">
        <x:v>MI-2921</x:v>
      </x:c>
      <x:c r="M1419" s="39" t="str">
        <x:v>ساختار تصمیم گیری چگونه باید باشد</x:v>
      </x:c>
      <x:c r="N1419" s="39" t="str">
        <x:v>1154878548.docx::P3997.1</x:v>
      </x:c>
      <x:c r="O1419" s="39"/>
    </x:row>
    <x:row r="1420">
      <x:c r="A1420" s="34" t="str">
        <x:v>☐</x:v>
      </x:c>
      <x:c r="B1420" s="34" t="str">
        <x:v>EX-1392</x:v>
      </x:c>
      <x:c r="C1420" s="34" t="str">
        <x:v>اقتصاد توجه ✅ (پیوند رسانه)</x:v>
      </x:c>
      <x:c r="D1420" s="34" t="str">
        <x:v>POSSIBLE</x:v>
      </x:c>
      <x:c r="E1420" s="34" t="str">
        <x:v>90.0</x:v>
      </x:c>
      <x:c r="F1420" s="34" t="str">
        <x:v>MI-0815</x:v>
      </x:c>
      <x:c r="G1420" s="39" t="str">
        <x:v>رسانه:</x:v>
      </x:c>
      <x:c r="H1420" s="39" t="str">
        <x:v>H11</x:v>
      </x:c>
      <x:c r="I1420" s="39" t="str">
        <x:v>DELEGATE/P2</x:v>
      </x:c>
      <x:c r="J1420" s="39" t="str">
        <x:v>H11</x:v>
      </x:c>
      <x:c r="K1420" s="39" t="str">
        <x:v>تطبیق احتمالی با پایه</x:v>
      </x:c>
      <x:c r="L1420" s="39" t="str">
        <x:v>MI-0815</x:v>
      </x:c>
      <x:c r="M1420" s="39" t="str">
        <x:v>رسانه:</x:v>
      </x:c>
      <x:c r="N1420" s="39" t="str">
        <x:v>1154878548.docx::P4001.1</x:v>
      </x:c>
      <x:c r="O1420" s="39"/>
    </x:row>
    <x:row r="1421">
      <x:c r="A1421" s="34" t="str">
        <x:v>☐</x:v>
      </x:c>
      <x:c r="B1421" s="34" t="str">
        <x:v>EX-1393</x:v>
      </x:c>
      <x:c r="C1421" s="34" t="str">
        <x:v>لیبرالسرمایهداری</x:v>
      </x:c>
      <x:c r="D1421" s="34" t="str">
        <x:v>POSSIBLE</x:v>
      </x:c>
      <x:c r="E1421" s="34" t="str">
        <x:v>90.0</x:v>
      </x:c>
      <x:c r="F1421" s="34" t="str">
        <x:v>MI-1735</x:v>
      </x:c>
      <x:c r="G1421" s="39" t="str">
        <x:v>سرمایه</x:v>
      </x:c>
      <x:c r="H1421" s="39" t="str">
        <x:v>H8</x:v>
      </x:c>
      <x:c r="I1421" s="39" t="str">
        <x:v>P2</x:v>
      </x:c>
      <x:c r="J1421" s="39" t="str">
        <x:v>H8</x:v>
      </x:c>
      <x:c r="K1421" s="39" t="str">
        <x:v>تطبیق احتمالی با پایه</x:v>
      </x:c>
      <x:c r="L1421" s="39" t="str">
        <x:v>MI-1735</x:v>
      </x:c>
      <x:c r="M1421" s="39" t="str">
        <x:v>سرمایه</x:v>
      </x:c>
      <x:c r="N1421" s="39" t="str">
        <x:v>1154878548.docx::P4002.1</x:v>
      </x:c>
      <x:c r="O1421" s="39"/>
    </x:row>
    <x:row r="1422">
      <x:c r="A1422" s="34" t="str">
        <x:v>☐</x:v>
      </x:c>
      <x:c r="B1422" s="34" t="str">
        <x:v>EX-1394</x:v>
      </x:c>
      <x:c r="C1422" s="34" t="str">
        <x:v>کارتلیسم</x:v>
      </x:c>
      <x:c r="D1422" s="34" t="str">
        <x:v>POSSIBLE</x:v>
      </x:c>
      <x:c r="E1422" s="34" t="str">
        <x:v>90.0</x:v>
      </x:c>
      <x:c r="F1422" s="34" t="str">
        <x:v>MI-0518</x:v>
      </x:c>
      <x:c r="G1422" s="39" t="str">
        <x:v>کارتل</x:v>
      </x:c>
      <x:c r="H1422" s="39" t="str">
        <x:v>H18</x:v>
      </x:c>
      <x:c r="I1422" s="39" t="str">
        <x:v>BANK</x:v>
      </x:c>
      <x:c r="J1422" s="39" t="str">
        <x:v>H18</x:v>
      </x:c>
      <x:c r="K1422" s="39" t="str">
        <x:v>تطبیق احتمالی با پایه</x:v>
      </x:c>
      <x:c r="L1422" s="39" t="str">
        <x:v>MI-0518</x:v>
      </x:c>
      <x:c r="M1422" s="39" t="str">
        <x:v>کارتل</x:v>
      </x:c>
      <x:c r="N1422" s="39" t="str">
        <x:v>1154878548.docx::P4004.1</x:v>
      </x:c>
      <x:c r="O1422" s="39"/>
    </x:row>
    <x:row r="1423">
      <x:c r="A1423" s="34" t="str">
        <x:v>☐</x:v>
      </x:c>
      <x:c r="B1423" s="34" t="str">
        <x:v>EX-1395</x:v>
      </x:c>
      <x:c r="C1423" s="34" t="str">
        <x:v>تحریم و دور زدن</x:v>
      </x:c>
      <x:c r="D1423" s="34" t="str">
        <x:v>POSSIBLE</x:v>
      </x:c>
      <x:c r="E1423" s="34" t="str">
        <x:v>85.5</x:v>
      </x:c>
      <x:c r="F1423" s="34" t="str">
        <x:v>MI-1513</x:v>
      </x:c>
      <x:c r="G1423" s="39" t="str">
        <x:v>تولید و کارآفرینی: توانایی تولید محصول و خدمات و ایجاد شغل.</x:v>
      </x:c>
      <x:c r="H1423" s="39" t="str">
        <x:v>H1</x:v>
      </x:c>
      <x:c r="I1423" s="39" t="str">
        <x:v>P0</x:v>
      </x:c>
      <x:c r="J1423" s="39" t="str">
        <x:v>H1</x:v>
      </x:c>
      <x:c r="K1423" s="39" t="str">
        <x:v>تطبیق احتمالی با پایه</x:v>
      </x:c>
      <x:c r="L1423" s="39" t="str">
        <x:v>MI-1513</x:v>
      </x:c>
      <x:c r="M1423" s="39" t="str">
        <x:v>تولید و کارآفرینی: توانایی تولید محصول و خدمات و ایجاد شغل.</x:v>
      </x:c>
      <x:c r="N1423" s="39" t="str">
        <x:v>1154878548.docx::P4007.1</x:v>
      </x:c>
      <x:c r="O1423" s="39"/>
    </x:row>
    <x:row r="1424">
      <x:c r="A1424" s="34" t="str">
        <x:v>☐</x:v>
      </x:c>
      <x:c r="B1424" s="34" t="str">
        <x:v>EX-1396</x:v>
      </x:c>
      <x:c r="C1424" s="34" t="str">
        <x:v>بروکری نفت، گاز، پتروشیمی</x:v>
      </x:c>
      <x:c r="D1424" s="34" t="str">
        <x:v>UNMAPPED</x:v>
      </x:c>
      <x:c r="E1424" s="34" t="str">
        <x:v>63.5</x:v>
      </x:c>
      <x:c r="F1424" s="34" t="str">
        <x:v>MI-1249</x:v>
      </x:c>
      <x:c r="G1424" s="39" t="str">
        <x:v>روش شیمیایی</x:v>
      </x:c>
      <x:c r="H1424" s="39" t="str">
        <x:v>H12</x:v>
      </x:c>
      <x:c r="I1424" s="39" t="str">
        <x:v>P2</x:v>
      </x:c>
      <x:c r="J1424" s="39" t="str">
        <x:v>H23</x:v>
      </x:c>
      <x:c r="K1424" s="39" t="str">
        <x:v>نیازمند پالایش؛ حذف نشده</x:v>
      </x:c>
      <x:c r="L1424" s="39"/>
      <x:c r="M1424" s="39"/>
      <x:c r="N1424" s="39" t="str">
        <x:v>1154878548.docx::P4009.1</x:v>
      </x:c>
      <x:c r="O1424" s="39"/>
    </x:row>
    <x:row r="1425">
      <x:c r="A1425" s="34" t="str">
        <x:v>☐</x:v>
      </x:c>
      <x:c r="B1425" s="34" t="str">
        <x:v>EX-1397</x:v>
      </x:c>
      <x:c r="C1425" s="34" t="str">
        <x:v>STS (Ship to Ship)</x:v>
      </x:c>
      <x:c r="D1425" s="34" t="str">
        <x:v>UNMAPPED</x:v>
      </x:c>
      <x:c r="E1425" s="34" t="str">
        <x:v>72.0</x:v>
      </x:c>
      <x:c r="F1425" s="34" t="str">
        <x:v>MI-0134</x:v>
      </x:c>
      <x:c r="G1425" s="39" t="str">
        <x:v>STM</x:v>
      </x:c>
      <x:c r="H1425" s="39" t="str">
        <x:v>H6</x:v>
      </x:c>
      <x:c r="I1425" s="39" t="str">
        <x:v>P3/CLARIFY</x:v>
      </x:c>
      <x:c r="J1425" s="39" t="str">
        <x:v>H23</x:v>
      </x:c>
      <x:c r="K1425" s="39" t="str">
        <x:v>نیازمند پالایش؛ حذف نشده</x:v>
      </x:c>
      <x:c r="L1425" s="39"/>
      <x:c r="M1425" s="39"/>
      <x:c r="N1425" s="39" t="str">
        <x:v>1154878548.docx::P4010.1</x:v>
      </x:c>
      <x:c r="O1425" s="39"/>
    </x:row>
    <x:row r="1426">
      <x:c r="A1426" s="34" t="str">
        <x:v>☐</x:v>
      </x:c>
      <x:c r="B1426" s="34" t="str">
        <x:v>EX-1398</x:v>
      </x:c>
      <x:c r="C1426" s="34" t="str">
        <x:v>undervoicing واردات-قاچاق</x:v>
      </x:c>
      <x:c r="D1426" s="34" t="str">
        <x:v>POSSIBLE</x:v>
      </x:c>
      <x:c r="E1426" s="34" t="str">
        <x:v>86.3</x:v>
      </x:c>
      <x:c r="F1426" s="34" t="str">
        <x:v>MI-0496</x:v>
      </x:c>
      <x:c r="G1426" s="39" t="str">
        <x:v>underingvoice واردات - قاچاق</x:v>
      </x:c>
      <x:c r="H1426" s="39" t="str">
        <x:v>H18</x:v>
      </x:c>
      <x:c r="I1426" s="39" t="str">
        <x:v>BANK</x:v>
      </x:c>
      <x:c r="J1426" s="39" t="str">
        <x:v>H18</x:v>
      </x:c>
      <x:c r="K1426" s="39" t="str">
        <x:v>تطبیق احتمالی با پایه</x:v>
      </x:c>
      <x:c r="L1426" s="39" t="str">
        <x:v>MI-0496</x:v>
      </x:c>
      <x:c r="M1426" s="39" t="str">
        <x:v>underingvoice واردات - قاچاق</x:v>
      </x:c>
      <x:c r="N1426" s="39" t="str">
        <x:v>1154878548.docx::P4011.1</x:v>
      </x:c>
      <x:c r="O1426" s="39"/>
    </x:row>
    <x:row r="1427">
      <x:c r="A1427" s="34" t="str">
        <x:v>☐</x:v>
      </x:c>
      <x:c r="B1427" s="34" t="str">
        <x:v>EX-1399</x:v>
      </x:c>
      <x:c r="C1427" s="34" t="str">
        <x:v>تولید و صنعت</x:v>
      </x:c>
      <x:c r="D1427" s="34" t="str">
        <x:v>POSSIBLE</x:v>
      </x:c>
      <x:c r="E1427" s="34" t="str">
        <x:v>90.0</x:v>
      </x:c>
      <x:c r="F1427" s="34" t="str">
        <x:v>MI-2602</x:v>
      </x:c>
      <x:c r="G1427" s="39" t="str">
        <x:v>صنعت</x:v>
      </x:c>
      <x:c r="H1427" s="39" t="str">
        <x:v>H12</x:v>
      </x:c>
      <x:c r="I1427" s="39" t="str">
        <x:v>P2</x:v>
      </x:c>
      <x:c r="J1427" s="39" t="str">
        <x:v>H12</x:v>
      </x:c>
      <x:c r="K1427" s="39" t="str">
        <x:v>تطبیق احتمالی با پایه</x:v>
      </x:c>
      <x:c r="L1427" s="39" t="str">
        <x:v>MI-2602</x:v>
      </x:c>
      <x:c r="M1427" s="39" t="str">
        <x:v>صنعت</x:v>
      </x:c>
      <x:c r="N1427" s="39" t="str">
        <x:v>1154878548.docx::P4012.1</x:v>
      </x:c>
      <x:c r="O1427" s="39"/>
    </x:row>
    <x:row r="1428">
      <x:c r="A1428" s="34" t="str">
        <x:v>☐</x:v>
      </x:c>
      <x:c r="B1428" s="34" t="str">
        <x:v>EX-1400</x:v>
      </x:c>
      <x:c r="C1428" s="34" t="str">
        <x:v>ایرانخودرو و سایپا</x:v>
      </x:c>
      <x:c r="D1428" s="34" t="str">
        <x:v>POSSIBLE</x:v>
      </x:c>
      <x:c r="E1428" s="34" t="str">
        <x:v>90.0</x:v>
      </x:c>
      <x:c r="F1428" s="34" t="str">
        <x:v>MI-1236</x:v>
      </x:c>
      <x:c r="G1428" s="39" t="str">
        <x:v>ایران</x:v>
      </x:c>
      <x:c r="H1428" s="39" t="str">
        <x:v>H12</x:v>
      </x:c>
      <x:c r="I1428" s="39" t="str">
        <x:v>P2</x:v>
      </x:c>
      <x:c r="J1428" s="39" t="str">
        <x:v>H12</x:v>
      </x:c>
      <x:c r="K1428" s="39" t="str">
        <x:v>تطبیق احتمالی با پایه</x:v>
      </x:c>
      <x:c r="L1428" s="39" t="str">
        <x:v>MI-1236</x:v>
      </x:c>
      <x:c r="M1428" s="39" t="str">
        <x:v>ایران</x:v>
      </x:c>
      <x:c r="N1428" s="39" t="str">
        <x:v>1154878548.docx::P4014.1</x:v>
      </x:c>
      <x:c r="O1428" s="39"/>
    </x:row>
    <x:row r="1429">
      <x:c r="A1429" s="34" t="str">
        <x:v>☐</x:v>
      </x:c>
      <x:c r="B1429" s="34" t="str">
        <x:v>EX-1401</x:v>
      </x:c>
      <x:c r="C1429" s="34" t="str">
        <x:v>۸۰٪ صنایع خودرو ← سرریز دفاعی</x:v>
      </x:c>
      <x:c r="D1429" s="34" t="str">
        <x:v>POSSIBLE</x:v>
      </x:c>
      <x:c r="E1429" s="34" t="str">
        <x:v>87.4</x:v>
      </x:c>
      <x:c r="F1429" s="34" t="str">
        <x:v>MI-0467</x:v>
      </x:c>
      <x:c r="G1429" s="39" t="str">
        <x:v>80 درصد صنایع خودرو سرریز صنایع دفاعی</x:v>
      </x:c>
      <x:c r="H1429" s="39" t="str">
        <x:v>H18</x:v>
      </x:c>
      <x:c r="I1429" s="39" t="str">
        <x:v>BANK</x:v>
      </x:c>
      <x:c r="J1429" s="39" t="str">
        <x:v>H18</x:v>
      </x:c>
      <x:c r="K1429" s="39" t="str">
        <x:v>تطبیق احتمالی با پایه</x:v>
      </x:c>
      <x:c r="L1429" s="39" t="str">
        <x:v>MI-0467</x:v>
      </x:c>
      <x:c r="M1429" s="39" t="str">
        <x:v>80 درصد صنایع خودرو سرریز صنایع دفاعی</x:v>
      </x:c>
      <x:c r="N1429" s="39" t="str">
        <x:v>1154878548.docx::P4015.1</x:v>
      </x:c>
      <x:c r="O1429" s="39"/>
    </x:row>
    <x:row r="1430">
      <x:c r="A1430" s="34" t="str">
        <x:v>☐</x:v>
      </x:c>
      <x:c r="B1430" s="34" t="str">
        <x:v>EX-1402</x:v>
      </x:c>
      <x:c r="C1430" s="34" t="str">
        <x:v>مسکن (۱ میلیون ← ۳۰۰ هزار)</x:v>
      </x:c>
      <x:c r="D1430" s="34" t="str">
        <x:v>POSSIBLE</x:v>
      </x:c>
      <x:c r="E1430" s="34" t="str">
        <x:v>85.5</x:v>
      </x:c>
      <x:c r="F1430" s="34" t="str">
        <x:v>MI-1441</x:v>
      </x:c>
      <x:c r="G1430" s="39" t="str">
        <x:v>خدایا 20 هزار صلولت نذر میکنم که اگه بزارن کنکور</x:v>
      </x:c>
      <x:c r="H1430" s="39" t="str">
        <x:v>H1</x:v>
      </x:c>
      <x:c r="I1430" s="39" t="str">
        <x:v>P0</x:v>
      </x:c>
      <x:c r="J1430" s="39" t="str">
        <x:v>H1</x:v>
      </x:c>
      <x:c r="K1430" s="39" t="str">
        <x:v>تطبیق احتمالی با پایه</x:v>
      </x:c>
      <x:c r="L1430" s="39" t="str">
        <x:v>MI-1441</x:v>
      </x:c>
      <x:c r="M1430" s="39" t="str">
        <x:v>خدایا 20 هزار صلولت نذر میکنم که اگه بزارن کنکور</x:v>
      </x:c>
      <x:c r="N1430" s="39" t="str">
        <x:v>1154878548.docx::P4016.1</x:v>
      </x:c>
      <x:c r="O1430" s="39"/>
    </x:row>
    <x:row r="1431">
      <x:c r="A1431" s="34" t="str">
        <x:v>☐</x:v>
      </x:c>
      <x:c r="B1431" s="34" t="str">
        <x:v>EX-1403</x:v>
      </x:c>
      <x:c r="C1431" s="34" t="str">
        <x:v>اصلاح حکمرانی</x:v>
      </x:c>
      <x:c r="D1431" s="34" t="str">
        <x:v>POSSIBLE</x:v>
      </x:c>
      <x:c r="E1431" s="34" t="str">
        <x:v>85.5</x:v>
      </x:c>
      <x:c r="F1431" s="34" t="str">
        <x:v>MI-0970</x:v>
      </x:c>
      <x:c r="G1431" s="39" t="str">
        <x:v>ایجاد روشویی مخصوص اصلاح برای هر کدام از طبقات بلوک 2</x:v>
      </x:c>
      <x:c r="H1431" s="39" t="str">
        <x:v>H11</x:v>
      </x:c>
      <x:c r="I1431" s="39" t="str">
        <x:v>DELEGATE/P2</x:v>
      </x:c>
      <x:c r="J1431" s="39" t="str">
        <x:v>H11</x:v>
      </x:c>
      <x:c r="K1431" s="39" t="str">
        <x:v>تطبیق احتمالی با پایه</x:v>
      </x:c>
      <x:c r="L1431" s="39" t="str">
        <x:v>MI-0970</x:v>
      </x:c>
      <x:c r="M1431" s="39" t="str">
        <x:v>ایجاد روشویی مخصوص اصلاح برای هر کدام از طبقات بلوک 2</x:v>
      </x:c>
      <x:c r="N1431" s="39" t="str">
        <x:v>1154878548.docx::P4017.1</x:v>
      </x:c>
      <x:c r="O1431" s="39"/>
    </x:row>
    <x:row r="1432">
      <x:c r="A1432" s="34" t="str">
        <x:v>☐</x:v>
      </x:c>
      <x:c r="B1432" s="34" t="str">
        <x:v>EX-1404</x:v>
      </x:c>
      <x:c r="C1432" s="34" t="str">
        <x:v>رفرم کشور</x:v>
      </x:c>
      <x:c r="D1432" s="34" t="str">
        <x:v>POSSIBLE</x:v>
      </x:c>
      <x:c r="E1432" s="34" t="str">
        <x:v>85.5</x:v>
      </x:c>
      <x:c r="F1432" s="34" t="str">
        <x:v>MI-2324</x:v>
      </x:c>
      <x:c r="G1432" s="39" t="str">
        <x:v>5. لجستیک شمال کشور</x:v>
      </x:c>
      <x:c r="H1432" s="39" t="str">
        <x:v>H6</x:v>
      </x:c>
      <x:c r="I1432" s="39" t="str">
        <x:v>P3/CLARIFY</x:v>
      </x:c>
      <x:c r="J1432" s="39" t="str">
        <x:v>H6</x:v>
      </x:c>
      <x:c r="K1432" s="39" t="str">
        <x:v>تطبیق احتمالی با پایه</x:v>
      </x:c>
      <x:c r="L1432" s="39" t="str">
        <x:v>MI-2324</x:v>
      </x:c>
      <x:c r="M1432" s="39" t="str">
        <x:v>5. لجستیک شمال کشور</x:v>
      </x:c>
      <x:c r="N1432" s="39" t="str">
        <x:v>1154878548.docx::P4018.1</x:v>
      </x:c>
      <x:c r="O1432" s="39"/>
    </x:row>
    <x:row r="1433">
      <x:c r="A1433" s="34" t="str">
        <x:v>☐</x:v>
      </x:c>
      <x:c r="B1433" s="34" t="str">
        <x:v>EX-1405</x:v>
      </x:c>
      <x:c r="C1433" s="34" t="str">
        <x:v>قانون تنفس جنگلهای شمال</x:v>
      </x:c>
      <x:c r="D1433" s="34" t="str">
        <x:v>POSSIBLE</x:v>
      </x:c>
      <x:c r="E1433" s="34" t="str">
        <x:v>85.5</x:v>
      </x:c>
      <x:c r="F1433" s="34" t="str">
        <x:v>MI-2333</x:v>
      </x:c>
      <x:c r="G1433" s="39" t="str">
        <x:v>1. آینده کشاورزی هوشمند در شمال ایران</x:v>
      </x:c>
      <x:c r="H1433" s="39" t="str">
        <x:v>H12</x:v>
      </x:c>
      <x:c r="I1433" s="39" t="str">
        <x:v>P2</x:v>
      </x:c>
      <x:c r="J1433" s="39" t="str">
        <x:v>H12</x:v>
      </x:c>
      <x:c r="K1433" s="39" t="str">
        <x:v>تطبیق احتمالی با پایه</x:v>
      </x:c>
      <x:c r="L1433" s="39" t="str">
        <x:v>MI-2333</x:v>
      </x:c>
      <x:c r="M1433" s="39" t="str">
        <x:v>1. آینده کشاورزی هوشمند در شمال ایران</x:v>
      </x:c>
      <x:c r="N1433" s="39" t="str">
        <x:v>1154878548.docx::P4019.1</x:v>
      </x:c>
      <x:c r="O1433" s="39"/>
    </x:row>
    <x:row r="1434">
      <x:c r="A1434" s="34" t="str">
        <x:v>☐</x:v>
      </x:c>
      <x:c r="B1434" s="34" t="str">
        <x:v>EX-1406</x:v>
      </x:c>
      <x:c r="C1434" s="34" t="str">
        <x:v>۴. حقوق، قانون و Lawfare</x:v>
      </x:c>
      <x:c r="D1434" s="34" t="str">
        <x:v>POSSIBLE</x:v>
      </x:c>
      <x:c r="E1434" s="34" t="str">
        <x:v>85.5</x:v>
      </x:c>
      <x:c r="F1434" s="34" t="str">
        <x:v>MI-1513</x:v>
      </x:c>
      <x:c r="G1434" s="39" t="str">
        <x:v>تولید و کارآفرینی: توانایی تولید محصول و خدمات و ایجاد شغل.</x:v>
      </x:c>
      <x:c r="H1434" s="39" t="str">
        <x:v>H1</x:v>
      </x:c>
      <x:c r="I1434" s="39" t="str">
        <x:v>P0</x:v>
      </x:c>
      <x:c r="J1434" s="39" t="str">
        <x:v>H1</x:v>
      </x:c>
      <x:c r="K1434" s="39" t="str">
        <x:v>تطبیق احتمالی با پایه</x:v>
      </x:c>
      <x:c r="L1434" s="39" t="str">
        <x:v>MI-1513</x:v>
      </x:c>
      <x:c r="M1434" s="39" t="str">
        <x:v>تولید و کارآفرینی: توانایی تولید محصول و خدمات و ایجاد شغل.</x:v>
      </x:c>
      <x:c r="N1434" s="39" t="str">
        <x:v>1154878548.docx::P4020.1</x:v>
      </x:c>
      <x:c r="O1434" s="39"/>
    </x:row>
    <x:row r="1435">
      <x:c r="A1435" s="34" t="str">
        <x:v>☐</x:v>
      </x:c>
      <x:c r="B1435" s="34" t="str">
        <x:v>EX-1407</x:v>
      </x:c>
      <x:c r="C1435" s="34" t="str">
        <x:v>(چیزی که قبلاً پخش شده بود، الان مستقل)</x:v>
      </x:c>
      <x:c r="D1435" s="34" t="str">
        <x:v>POSSIBLE</x:v>
      </x:c>
      <x:c r="E1435" s="34" t="str">
        <x:v>85.5</x:v>
      </x:c>
      <x:c r="F1435" s="34" t="str">
        <x:v>MI-1448</x:v>
      </x:c>
      <x:c r="G1435" s="39" t="str">
        <x:v>پول هییت قبلا چوقدر هست دست من؟؟؟ قبلا 4,290 بوده . چقدر به سید دادم.</x:v>
      </x:c>
      <x:c r="H1435" s="39" t="str">
        <x:v>H1</x:v>
      </x:c>
      <x:c r="I1435" s="39" t="str">
        <x:v>P0</x:v>
      </x:c>
      <x:c r="J1435" s="39" t="str">
        <x:v>H1</x:v>
      </x:c>
      <x:c r="K1435" s="39" t="str">
        <x:v>تطبیق احتمالی با پایه</x:v>
      </x:c>
      <x:c r="L1435" s="39" t="str">
        <x:v>MI-1448</x:v>
      </x:c>
      <x:c r="M1435" s="39" t="str">
        <x:v>پول هییت قبلا چوقدر هست دست من؟؟؟ قبلا 4,290 بوده . چقدر به سید دادم.</x:v>
      </x:c>
      <x:c r="N1435" s="39" t="str">
        <x:v>1154878548.docx::P4021.1</x:v>
      </x:c>
      <x:c r="O1435" s="39"/>
    </x:row>
    <x:row r="1436">
      <x:c r="A1436" s="34" t="str">
        <x:v>☐</x:v>
      </x:c>
      <x:c r="B1436" s="34" t="str">
        <x:v>EX-1408</x:v>
      </x:c>
      <x:c r="C1436" s="34" t="str">
        <x:v>NDA</x:v>
      </x:c>
      <x:c r="D1436" s="34" t="str">
        <x:v>POSSIBLE</x:v>
      </x:c>
      <x:c r="E1436" s="34" t="str">
        <x:v>90.0</x:v>
      </x:c>
      <x:c r="F1436" s="34" t="str">
        <x:v>MI-0432</x:v>
      </x:c>
      <x:c r="G1436" s="39" t="str">
        <x:v>قرار داد NDA</x:v>
      </x:c>
      <x:c r="H1436" s="39" t="str">
        <x:v>H18</x:v>
      </x:c>
      <x:c r="I1436" s="39" t="str">
        <x:v>BANK</x:v>
      </x:c>
      <x:c r="J1436" s="39" t="str">
        <x:v>H18</x:v>
      </x:c>
      <x:c r="K1436" s="39" t="str">
        <x:v>تطبیق احتمالی با پایه</x:v>
      </x:c>
      <x:c r="L1436" s="39" t="str">
        <x:v>MI-0432</x:v>
      </x:c>
      <x:c r="M1436" s="39" t="str">
        <x:v>قرار داد NDA</x:v>
      </x:c>
      <x:c r="N1436" s="39" t="str">
        <x:v>1154878548.docx::P4022.1</x:v>
      </x:c>
      <x:c r="O1436" s="39"/>
    </x:row>
    <x:row r="1437">
      <x:c r="A1437" s="34" t="str">
        <x:v>☐</x:v>
      </x:c>
      <x:c r="B1437" s="34" t="str">
        <x:v>EX-1409</x:v>
      </x:c>
      <x:c r="C1437" s="34" t="str">
        <x:v>ریسک حقوقی قراردادها</x:v>
      </x:c>
      <x:c r="D1437" s="34" t="str">
        <x:v>POSSIBLE</x:v>
      </x:c>
      <x:c r="E1437" s="34" t="str">
        <x:v>90.0</x:v>
      </x:c>
      <x:c r="F1437" s="34" t="str">
        <x:v>MI-1308</x:v>
      </x:c>
      <x:c r="G1437" s="39" t="str">
        <x:v>حقوقی</x:v>
      </x:c>
      <x:c r="H1437" s="39" t="str">
        <x:v>H12</x:v>
      </x:c>
      <x:c r="I1437" s="39" t="str">
        <x:v>P2</x:v>
      </x:c>
      <x:c r="J1437" s="39" t="str">
        <x:v>H12</x:v>
      </x:c>
      <x:c r="K1437" s="39" t="str">
        <x:v>تطبیق احتمالی با پایه</x:v>
      </x:c>
      <x:c r="L1437" s="39" t="str">
        <x:v>MI-1308</x:v>
      </x:c>
      <x:c r="M1437" s="39" t="str">
        <x:v>حقوقی</x:v>
      </x:c>
      <x:c r="N1437" s="39" t="str">
        <x:v>1154878548.docx::P4023.1</x:v>
      </x:c>
      <x:c r="O1437" s="39"/>
    </x:row>
    <x:row r="1438">
      <x:c r="A1438" s="34" t="str">
        <x:v>☐</x:v>
      </x:c>
      <x:c r="B1438" s="34" t="str">
        <x:v>EX-1410</x:v>
      </x:c>
      <x:c r="C1438" s="34" t="str">
        <x:v>اسناد SFO</x:v>
      </x:c>
      <x:c r="D1438" s="34" t="str">
        <x:v>POSSIBLE</x:v>
      </x:c>
      <x:c r="E1438" s="34" t="str">
        <x:v>90.0</x:v>
      </x:c>
      <x:c r="F1438" s="34" t="str">
        <x:v>MI-0393</x:v>
      </x:c>
      <x:c r="G1438" s="39" t="str">
        <x:v>اسناد sfo و کرسنت</x:v>
      </x:c>
      <x:c r="H1438" s="39" t="str">
        <x:v>H18</x:v>
      </x:c>
      <x:c r="I1438" s="39" t="str">
        <x:v>BANK</x:v>
      </x:c>
      <x:c r="J1438" s="39" t="str">
        <x:v>H18</x:v>
      </x:c>
      <x:c r="K1438" s="39" t="str">
        <x:v>تطبیق احتمالی با پایه</x:v>
      </x:c>
      <x:c r="L1438" s="39" t="str">
        <x:v>MI-0393</x:v>
      </x:c>
      <x:c r="M1438" s="39" t="str">
        <x:v>اسناد sfo و کرسنت</x:v>
      </x:c>
      <x:c r="N1438" s="39" t="str">
        <x:v>1154878548.docx::P4024.1</x:v>
      </x:c>
      <x:c r="O1438" s="39"/>
    </x:row>
    <x:row r="1439">
      <x:c r="A1439" s="34" t="str">
        <x:v>☐</x:v>
      </x:c>
      <x:c r="B1439" s="34" t="str">
        <x:v>EX-1411</x:v>
      </x:c>
      <x:c r="C1439" s="34" t="str">
        <x:v>پرونده کرسنت</x:v>
      </x:c>
      <x:c r="D1439" s="34" t="str">
        <x:v>UNMAPPED</x:v>
      </x:c>
      <x:c r="E1439" s="34" t="str">
        <x:v>60.8</x:v>
      </x:c>
      <x:c r="F1439" s="34" t="str">
        <x:v>MI-0095</x:v>
      </x:c>
      <x:c r="G1439" s="39" t="str">
        <x:v>ساخت ریزپرنده</x:v>
      </x:c>
      <x:c r="H1439" s="39" t="str">
        <x:v>H7</x:v>
      </x:c>
      <x:c r="I1439" s="39" t="str">
        <x:v>P1</x:v>
      </x:c>
      <x:c r="J1439" s="39" t="str">
        <x:v>H23</x:v>
      </x:c>
      <x:c r="K1439" s="39" t="str">
        <x:v>نیازمند پالایش؛ حذف نشده</x:v>
      </x:c>
      <x:c r="L1439" s="39"/>
      <x:c r="M1439" s="39"/>
      <x:c r="N1439" s="39" t="str">
        <x:v>1154878548.docx::P4025.1</x:v>
      </x:c>
      <x:c r="O1439" s="39"/>
    </x:row>
    <x:row r="1440">
      <x:c r="A1440" s="34" t="str">
        <x:v>☐</x:v>
      </x:c>
      <x:c r="B1440" s="34" t="str">
        <x:v>EX-1412</x:v>
      </x:c>
      <x:c r="C1440" s="34" t="str">
        <x:v>پلیس فدرالگرا</x:v>
      </x:c>
      <x:c r="D1440" s="34" t="str">
        <x:v>POSSIBLE</x:v>
      </x:c>
      <x:c r="E1440" s="34" t="str">
        <x:v>85.5</x:v>
      </x:c>
      <x:c r="F1440" s="34" t="str">
        <x:v>MI-1229</x:v>
      </x:c>
      <x:c r="G1440" s="39" t="str">
        <x:v>بازدید پلیس از صحنه تصادف با هلی شات</x:v>
      </x:c>
      <x:c r="H1440" s="39" t="str">
        <x:v>H23</x:v>
      </x:c>
      <x:c r="I1440" s="39" t="str">
        <x:v>P3/CLARIFY</x:v>
      </x:c>
      <x:c r="J1440" s="39" t="str">
        <x:v>H23</x:v>
      </x:c>
      <x:c r="K1440" s="39" t="str">
        <x:v>تطبیق احتمالی با پایه</x:v>
      </x:c>
      <x:c r="L1440" s="39" t="str">
        <x:v>MI-1229</x:v>
      </x:c>
      <x:c r="M1440" s="39" t="str">
        <x:v>بازدید پلیس از صحنه تصادف با هلی شات</x:v>
      </x:c>
      <x:c r="N1440" s="39" t="str">
        <x:v>1154878548.docx::P4027.1</x:v>
      </x:c>
      <x:c r="O1440" s="39"/>
    </x:row>
    <x:row r="1441">
      <x:c r="A1441" s="34" t="str">
        <x:v>☐</x:v>
      </x:c>
      <x:c r="B1441" s="34" t="str">
        <x:v>EX-1413</x:v>
      </x:c>
      <x:c r="C1441" s="34" t="str">
        <x:v>۵. رسانه، جنگ شناختی و مهندسی توجه</x:v>
      </x:c>
      <x:c r="D1441" s="34" t="str">
        <x:v>POSSIBLE</x:v>
      </x:c>
      <x:c r="E1441" s="34" t="str">
        <x:v>90.0</x:v>
      </x:c>
      <x:c r="F1441" s="34" t="str">
        <x:v>MI-0815</x:v>
      </x:c>
      <x:c r="G1441" s="39" t="str">
        <x:v>رسانه:</x:v>
      </x:c>
      <x:c r="H1441" s="39" t="str">
        <x:v>H11</x:v>
      </x:c>
      <x:c r="I1441" s="39" t="str">
        <x:v>DELEGATE/P2</x:v>
      </x:c>
      <x:c r="J1441" s="39" t="str">
        <x:v>H11</x:v>
      </x:c>
      <x:c r="K1441" s="39" t="str">
        <x:v>تطبیق احتمالی با پایه</x:v>
      </x:c>
      <x:c r="L1441" s="39" t="str">
        <x:v>MI-0815</x:v>
      </x:c>
      <x:c r="M1441" s="39" t="str">
        <x:v>رسانه:</x:v>
      </x:c>
      <x:c r="N1441" s="39" t="str">
        <x:v>1154878548.docx::P4029.1</x:v>
      </x:c>
      <x:c r="O1441" s="39"/>
    </x:row>
    <x:row r="1442">
      <x:c r="A1442" s="34" t="str">
        <x:v>☐</x:v>
      </x:c>
      <x:c r="B1442" s="34" t="str">
        <x:v>EX-1414</x:v>
      </x:c>
      <x:c r="C1442" s="34" t="str">
        <x:v>(Cognitive Warfare)</x:v>
      </x:c>
      <x:c r="D1442" s="34" t="str">
        <x:v>POSSIBLE</x:v>
      </x:c>
      <x:c r="E1442" s="34" t="str">
        <x:v>85.5</x:v>
      </x:c>
      <x:c r="F1442" s="34" t="str">
        <x:v>MI-0161</x:v>
      </x:c>
      <x:c r="G1442" s="39" t="str">
        <x:v>N&amp;N</x:v>
      </x:c>
      <x:c r="H1442" s="39" t="str">
        <x:v>H23</x:v>
      </x:c>
      <x:c r="I1442" s="39" t="str">
        <x:v>P3/CLARIFY</x:v>
      </x:c>
      <x:c r="J1442" s="39" t="str">
        <x:v>H23</x:v>
      </x:c>
      <x:c r="K1442" s="39" t="str">
        <x:v>تطبیق احتمالی با پایه</x:v>
      </x:c>
      <x:c r="L1442" s="39" t="str">
        <x:v>MI-0161</x:v>
      </x:c>
      <x:c r="M1442" s="39" t="str">
        <x:v>N&amp;N</x:v>
      </x:c>
      <x:c r="N1442" s="39" t="str">
        <x:v>1154878548.docx::P4030.1</x:v>
      </x:c>
      <x:c r="O1442" s="39"/>
    </x:row>
    <x:row r="1443">
      <x:c r="A1443" s="34" t="str">
        <x:v>☐</x:v>
      </x:c>
      <x:c r="B1443" s="34" t="str">
        <x:v>EX-1415</x:v>
      </x:c>
      <x:c r="C1443" s="34" t="str">
        <x:v>تکنیکهای اقناع</x:v>
      </x:c>
      <x:c r="D1443" s="34" t="str">
        <x:v>POSSIBLE</x:v>
      </x:c>
      <x:c r="E1443" s="34" t="str">
        <x:v>85.5</x:v>
      </x:c>
      <x:c r="F1443" s="34" t="str">
        <x:v>MI-0363</x:v>
      </x:c>
      <x:c r="G1443" s="39" t="str">
        <x:v>ابزار اقناع غیرمستقیم</x:v>
      </x:c>
      <x:c r="H1443" s="39" t="str">
        <x:v>H18</x:v>
      </x:c>
      <x:c r="I1443" s="39" t="str">
        <x:v>BANK</x:v>
      </x:c>
      <x:c r="J1443" s="39" t="str">
        <x:v>H18</x:v>
      </x:c>
      <x:c r="K1443" s="39" t="str">
        <x:v>تطبیق احتمالی با پایه</x:v>
      </x:c>
      <x:c r="L1443" s="39" t="str">
        <x:v>MI-0363</x:v>
      </x:c>
      <x:c r="M1443" s="39" t="str">
        <x:v>ابزار اقناع غیرمستقیم</x:v>
      </x:c>
      <x:c r="N1443" s="39" t="str">
        <x:v>1154878548.docx::P4031.1</x:v>
      </x:c>
      <x:c r="O1443" s="39"/>
    </x:row>
    <x:row r="1444">
      <x:c r="A1444" s="34" t="str">
        <x:v>☐</x:v>
      </x:c>
      <x:c r="B1444" s="34" t="str">
        <x:v>EX-1416</x:v>
      </x:c>
      <x:c r="C1444" s="34" t="str">
        <x:v>FOMO</x:v>
      </x:c>
      <x:c r="D1444" s="34" t="str">
        <x:v>UNMAPPED</x:v>
      </x:c>
      <x:c r="E1444" s="34" t="str">
        <x:v>77.1</x:v>
      </x:c>
      <x:c r="F1444" s="34" t="str">
        <x:v>MI-1619</x:v>
      </x:c>
      <x:c r="G1444" s="39" t="str">
        <x:v>• FoodTech</x:v>
      </x:c>
      <x:c r="H1444" s="39" t="str">
        <x:v>H20</x:v>
      </x:c>
      <x:c r="I1444" s="39" t="str">
        <x:v>P3/CLARIFY</x:v>
      </x:c>
      <x:c r="J1444" s="39" t="str">
        <x:v>H23</x:v>
      </x:c>
      <x:c r="K1444" s="39" t="str">
        <x:v>نیازمند پالایش؛ حذف نشده</x:v>
      </x:c>
      <x:c r="L1444" s="39"/>
      <x:c r="M1444" s="39"/>
      <x:c r="N1444" s="39" t="str">
        <x:v>1154878548.docx::P4032.1</x:v>
      </x:c>
      <x:c r="O1444" s="39"/>
    </x:row>
    <x:row r="1445">
      <x:c r="A1445" s="34" t="str">
        <x:v>☐</x:v>
      </x:c>
      <x:c r="B1445" s="34" t="str">
        <x:v>EX-1417</x:v>
      </x:c>
      <x:c r="C1445" s="34" t="str">
        <x:v>شوخطبعی + معنا + هدف</x:v>
      </x:c>
      <x:c r="D1445" s="34" t="str">
        <x:v>POSSIBLE</x:v>
      </x:c>
      <x:c r="E1445" s="34" t="str">
        <x:v>90.0</x:v>
      </x:c>
      <x:c r="F1445" s="34" t="str">
        <x:v>MI-0361</x:v>
      </x:c>
      <x:c r="G1445" s="39" t="str">
        <x:v>پیوند همزمانِ شوخطبعی + معنا + هدف</x:v>
      </x:c>
      <x:c r="H1445" s="39" t="str">
        <x:v>H18</x:v>
      </x:c>
      <x:c r="I1445" s="39" t="str">
        <x:v>BANK</x:v>
      </x:c>
      <x:c r="J1445" s="39" t="str">
        <x:v>H18</x:v>
      </x:c>
      <x:c r="K1445" s="39" t="str">
        <x:v>تطبیق احتمالی با پایه</x:v>
      </x:c>
      <x:c r="L1445" s="39" t="str">
        <x:v>MI-0361</x:v>
      </x:c>
      <x:c r="M1445" s="39" t="str">
        <x:v>پیوند همزمانِ شوخطبعی + معنا + هدف</x:v>
      </x:c>
      <x:c r="N1445" s="39" t="str">
        <x:v>1154878548.docx::P4036.1</x:v>
      </x:c>
      <x:c r="O1445" s="39"/>
    </x:row>
    <x:row r="1446">
      <x:c r="A1446" s="34" t="str">
        <x:v>☐</x:v>
      </x:c>
      <x:c r="B1446" s="34" t="str">
        <x:v>EX-1418</x:v>
      </x:c>
      <x:c r="C1446" s="34" t="str">
        <x:v>رسانه و پلتفرم</x:v>
      </x:c>
      <x:c r="D1446" s="34" t="str">
        <x:v>POSSIBLE</x:v>
      </x:c>
      <x:c r="E1446" s="34" t="str">
        <x:v>90.0</x:v>
      </x:c>
      <x:c r="F1446" s="34" t="str">
        <x:v>MI-0815</x:v>
      </x:c>
      <x:c r="G1446" s="39" t="str">
        <x:v>رسانه:</x:v>
      </x:c>
      <x:c r="H1446" s="39" t="str">
        <x:v>H11</x:v>
      </x:c>
      <x:c r="I1446" s="39" t="str">
        <x:v>DELEGATE/P2</x:v>
      </x:c>
      <x:c r="J1446" s="39" t="str">
        <x:v>H11</x:v>
      </x:c>
      <x:c r="K1446" s="39" t="str">
        <x:v>تطبیق احتمالی با پایه</x:v>
      </x:c>
      <x:c r="L1446" s="39" t="str">
        <x:v>MI-0815</x:v>
      </x:c>
      <x:c r="M1446" s="39" t="str">
        <x:v>رسانه:</x:v>
      </x:c>
      <x:c r="N1446" s="39" t="str">
        <x:v>1154878548.docx::P4038.1</x:v>
      </x:c>
      <x:c r="O1446" s="39"/>
    </x:row>
    <x:row r="1447">
      <x:c r="A1447" s="34" t="str">
        <x:v>☐</x:v>
      </x:c>
      <x:c r="B1447" s="34" t="str">
        <x:v>EX-1419</x:v>
      </x:c>
      <x:c r="C1447" s="34" t="str">
        <x:v>۶. دین، ایدئولوژی و اخلاق قدرت</x:v>
      </x:c>
      <x:c r="D1447" s="34" t="str">
        <x:v>POSSIBLE</x:v>
      </x:c>
      <x:c r="E1447" s="34" t="str">
        <x:v>90.0</x:v>
      </x:c>
      <x:c r="F1447" s="34" t="str">
        <x:v>MI-2083</x:v>
      </x:c>
      <x:c r="G1447" s="39" t="str">
        <x:v>قدرت:</x:v>
      </x:c>
      <x:c r="H1447" s="39" t="str">
        <x:v>H20</x:v>
      </x:c>
      <x:c r="I1447" s="39" t="str">
        <x:v>P3/CLARIFY</x:v>
      </x:c>
      <x:c r="J1447" s="39" t="str">
        <x:v>H20</x:v>
      </x:c>
      <x:c r="K1447" s="39" t="str">
        <x:v>تطبیق احتمالی با پایه</x:v>
      </x:c>
      <x:c r="L1447" s="39" t="str">
        <x:v>MI-2083</x:v>
      </x:c>
      <x:c r="M1447" s="39" t="str">
        <x:v>قدرت:</x:v>
      </x:c>
      <x:c r="N1447" s="39" t="str">
        <x:v>1154878548.docx::P4042.1</x:v>
      </x:c>
      <x:c r="O1447" s="39"/>
    </x:row>
    <x:row r="1448">
      <x:c r="A1448" s="34" t="str">
        <x:v>☐</x:v>
      </x:c>
      <x:c r="B1448" s="34" t="str">
        <x:v>EX-1420</x:v>
      </x:c>
      <x:c r="C1448" s="34" t="str">
        <x:v>(Religion as Social Technology)</x:v>
      </x:c>
      <x:c r="D1448" s="34" t="str">
        <x:v>UNMAPPED</x:v>
      </x:c>
      <x:c r="E1448" s="34" t="str">
        <x:v>67.5</x:v>
      </x:c>
      <x:c r="F1448" s="34" t="str">
        <x:v>MI-0128</x:v>
      </x:c>
      <x:c r="G1448" s="39" t="str">
        <x:v>yolo</x:v>
      </x:c>
      <x:c r="H1448" s="39" t="str">
        <x:v>H7</x:v>
      </x:c>
      <x:c r="I1448" s="39" t="str">
        <x:v>P1</x:v>
      </x:c>
      <x:c r="J1448" s="39" t="str">
        <x:v>H23</x:v>
      </x:c>
      <x:c r="K1448" s="39" t="str">
        <x:v>نیازمند پالایش؛ حذف نشده</x:v>
      </x:c>
      <x:c r="L1448" s="39"/>
      <x:c r="M1448" s="39"/>
      <x:c r="N1448" s="39" t="str">
        <x:v>1154878548.docx::P4043.1</x:v>
      </x:c>
      <x:c r="O1448" s="39"/>
    </x:row>
    <x:row r="1449">
      <x:c r="A1449" s="34" t="str">
        <x:v>☐</x:v>
      </x:c>
      <x:c r="B1449" s="34" t="str">
        <x:v>EX-1421</x:v>
      </x:c>
      <x:c r="C1449" s="34" t="str">
        <x:v>الهیات و سیاست</x:v>
      </x:c>
      <x:c r="D1449" s="34" t="str">
        <x:v>POSSIBLE</x:v>
      </x:c>
      <x:c r="E1449" s="34" t="str">
        <x:v>85.5</x:v>
      </x:c>
      <x:c r="F1449" s="34" t="str">
        <x:v>MI-1513</x:v>
      </x:c>
      <x:c r="G1449" s="39" t="str">
        <x:v>تولید و کارآفرینی: توانایی تولید محصول و خدمات و ایجاد شغل.</x:v>
      </x:c>
      <x:c r="H1449" s="39" t="str">
        <x:v>H1</x:v>
      </x:c>
      <x:c r="I1449" s="39" t="str">
        <x:v>P0</x:v>
      </x:c>
      <x:c r="J1449" s="39" t="str">
        <x:v>H1</x:v>
      </x:c>
      <x:c r="K1449" s="39" t="str">
        <x:v>تطبیق احتمالی با پایه</x:v>
      </x:c>
      <x:c r="L1449" s="39" t="str">
        <x:v>MI-1513</x:v>
      </x:c>
      <x:c r="M1449" s="39" t="str">
        <x:v>تولید و کارآفرینی: توانایی تولید محصول و خدمات و ایجاد شغل.</x:v>
      </x:c>
      <x:c r="N1449" s="39" t="str">
        <x:v>1154878548.docx::P4044.1</x:v>
      </x:c>
      <x:c r="O1449" s="39"/>
    </x:row>
    <x:row r="1450">
      <x:c r="A1450" s="34" t="str">
        <x:v>☐</x:v>
      </x:c>
      <x:c r="B1450" s="34" t="str">
        <x:v>EX-1422</x:v>
      </x:c>
      <x:c r="C1450" s="34" t="str">
        <x:v>مناسک و کارکرد تکوینی</x:v>
      </x:c>
      <x:c r="D1450" s="34" t="str">
        <x:v>POSSIBLE</x:v>
      </x:c>
      <x:c r="E1450" s="34" t="str">
        <x:v>90.0</x:v>
      </x:c>
      <x:c r="F1450" s="34" t="str">
        <x:v>MI-2545</x:v>
      </x:c>
      <x:c r="G1450" s="39" t="str">
        <x:v>کار:</x:v>
      </x:c>
      <x:c r="H1450" s="39" t="str">
        <x:v>H20</x:v>
      </x:c>
      <x:c r="I1450" s="39" t="str">
        <x:v>P3/CLARIFY</x:v>
      </x:c>
      <x:c r="J1450" s="39" t="str">
        <x:v>H20</x:v>
      </x:c>
      <x:c r="K1450" s="39" t="str">
        <x:v>تطبیق احتمالی با پایه</x:v>
      </x:c>
      <x:c r="L1450" s="39" t="str">
        <x:v>MI-2545</x:v>
      </x:c>
      <x:c r="M1450" s="39" t="str">
        <x:v>کار:</x:v>
      </x:c>
      <x:c r="N1450" s="39" t="str">
        <x:v>1154878548.docx::P4050.1</x:v>
      </x:c>
      <x:c r="O1450" s="39"/>
    </x:row>
    <x:row r="1451">
      <x:c r="A1451" s="34" t="str">
        <x:v>☐</x:v>
      </x:c>
      <x:c r="B1451" s="34" t="str">
        <x:v>EX-1423</x:v>
      </x:c>
      <x:c r="C1451" s="34" t="str">
        <x:v>مقایسه تمدنی</x:v>
      </x:c>
      <x:c r="D1451" s="34" t="str">
        <x:v>POSSIBLE</x:v>
      </x:c>
      <x:c r="E1451" s="34" t="str">
        <x:v>90.0</x:v>
      </x:c>
      <x:c r="F1451" s="34" t="str">
        <x:v>MI-1086</x:v>
      </x:c>
      <x:c r="G1451" s="39" t="str">
        <x:v>مدنی</x:v>
      </x:c>
      <x:c r="H1451" s="39" t="str">
        <x:v>H14</x:v>
      </x:c>
      <x:c r="I1451" s="39" t="str">
        <x:v>P3</x:v>
      </x:c>
      <x:c r="J1451" s="39" t="str">
        <x:v>H14</x:v>
      </x:c>
      <x:c r="K1451" s="39" t="str">
        <x:v>تطبیق احتمالی با پایه</x:v>
      </x:c>
      <x:c r="L1451" s="39" t="str">
        <x:v>MI-1086</x:v>
      </x:c>
      <x:c r="M1451" s="39" t="str">
        <x:v>مدنی</x:v>
      </x:c>
      <x:c r="N1451" s="39" t="str">
        <x:v>1154878548.docx::P4053.1</x:v>
      </x:c>
      <x:c r="O1451" s="39"/>
    </x:row>
    <x:row r="1452">
      <x:c r="A1452" s="34" t="str">
        <x:v>☐</x:v>
      </x:c>
      <x:c r="B1452" s="34" t="str">
        <x:v>EX-1424</x:v>
      </x:c>
      <x:c r="C1452" s="34" t="str">
        <x:v>از کجا معلوم اسلام برتر است</x:v>
      </x:c>
      <x:c r="D1452" s="34" t="str">
        <x:v>POSSIBLE</x:v>
      </x:c>
      <x:c r="E1452" s="34" t="str">
        <x:v>90.2</x:v>
      </x:c>
      <x:c r="F1452" s="34" t="str">
        <x:v>MI-0381</x:v>
      </x:c>
      <x:c r="G1452" s="39" t="str">
        <x:v>از کجا معلوم اسلام برتره</x:v>
      </x:c>
      <x:c r="H1452" s="39" t="str">
        <x:v>H15</x:v>
      </x:c>
      <x:c r="I1452" s="39" t="str">
        <x:v>BANK</x:v>
      </x:c>
      <x:c r="J1452" s="39" t="str">
        <x:v>H15</x:v>
      </x:c>
      <x:c r="K1452" s="39" t="str">
        <x:v>تطبیق احتمالی با پایه</x:v>
      </x:c>
      <x:c r="L1452" s="39" t="str">
        <x:v>MI-0381</x:v>
      </x:c>
      <x:c r="M1452" s="39" t="str">
        <x:v>از کجا معلوم اسلام برتره</x:v>
      </x:c>
      <x:c r="N1452" s="39" t="str">
        <x:v>1154878548.docx::P4054.1</x:v>
      </x:c>
      <x:c r="O1452" s="39"/>
    </x:row>
    <x:row r="1453">
      <x:c r="A1453" s="34" t="str">
        <x:v>☐</x:v>
      </x:c>
      <x:c r="B1453" s="34" t="str">
        <x:v>EX-1425</x:v>
      </x:c>
      <x:c r="C1453" s="34" t="str">
        <x:v>زن در نگاه جمهوری اسلامی / غرب</x:v>
      </x:c>
      <x:c r="D1453" s="34" t="str">
        <x:v>POSSIBLE</x:v>
      </x:c>
      <x:c r="E1453" s="34" t="str">
        <x:v>90.0</x:v>
      </x:c>
      <x:c r="F1453" s="34" t="str">
        <x:v>MI-0286</x:v>
      </x:c>
      <x:c r="G1453" s="39" t="str">
        <x:v>اسلامی</x:v>
      </x:c>
      <x:c r="H1453" s="39" t="str">
        <x:v>H16</x:v>
      </x:c>
      <x:c r="I1453" s="39" t="str">
        <x:v>P3/CLARIFY</x:v>
      </x:c>
      <x:c r="J1453" s="39" t="str">
        <x:v>H16</x:v>
      </x:c>
      <x:c r="K1453" s="39" t="str">
        <x:v>تطبیق احتمالی با پایه</x:v>
      </x:c>
      <x:c r="L1453" s="39" t="str">
        <x:v>MI-0286</x:v>
      </x:c>
      <x:c r="M1453" s="39" t="str">
        <x:v>اسلامی</x:v>
      </x:c>
      <x:c r="N1453" s="39" t="str">
        <x:v>1154878548.docx::P4055.1</x:v>
      </x:c>
      <x:c r="O1453" s="39"/>
    </x:row>
    <x:row r="1454">
      <x:c r="A1454" s="34" t="str">
        <x:v>☐</x:v>
      </x:c>
      <x:c r="B1454" s="34" t="str">
        <x:v>EX-1426</x:v>
      </x:c>
      <x:c r="C1454" s="34" t="str">
        <x:v>فلسفه</x:v>
      </x:c>
      <x:c r="D1454" s="34" t="str">
        <x:v>UNMAPPED</x:v>
      </x:c>
      <x:c r="E1454" s="34" t="str">
        <x:v>67.5</x:v>
      </x:c>
      <x:c r="F1454" s="34" t="str">
        <x:v>MI-1012</x:v>
      </x:c>
      <x:c r="G1454" s="39" t="str">
        <x:v>بودن کیانمهر رعنایی در جلسه</x:v>
      </x:c>
      <x:c r="H1454" s="39" t="str">
        <x:v>H11</x:v>
      </x:c>
      <x:c r="I1454" s="39" t="str">
        <x:v>DELEGATE/P2</x:v>
      </x:c>
      <x:c r="J1454" s="39" t="str">
        <x:v>H23</x:v>
      </x:c>
      <x:c r="K1454" s="39" t="str">
        <x:v>نیازمند پالایش؛ حذف نشده</x:v>
      </x:c>
      <x:c r="L1454" s="39"/>
      <x:c r="M1454" s="39"/>
      <x:c r="N1454" s="39" t="str">
        <x:v>1154878548.docx::P4058.1</x:v>
      </x:c>
      <x:c r="O1454" s="39"/>
    </x:row>
    <x:row r="1455">
      <x:c r="A1455" s="34" t="str">
        <x:v>☐</x:v>
      </x:c>
      <x:c r="B1455" s="34" t="str">
        <x:v>EX-1427</x:v>
      </x:c>
      <x:c r="C1455" s="34" t="str">
        <x:v>totalism غلط است</x:v>
      </x:c>
      <x:c r="D1455" s="34" t="str">
        <x:v>POSSIBLE</x:v>
      </x:c>
      <x:c r="E1455" s="34" t="str">
        <x:v>85.5</x:v>
      </x:c>
      <x:c r="F1455" s="34" t="str">
        <x:v>MI-2943</x:v>
      </x:c>
      <x:c r="G1455" s="39" t="str">
        <x:v>این تیم در واقع مغز تصمیم گیری اکوسیستم است.</x:v>
      </x:c>
      <x:c r="H1455" s="39" t="str">
        <x:v>H1</x:v>
      </x:c>
      <x:c r="I1455" s="39" t="str">
        <x:v>P0</x:v>
      </x:c>
      <x:c r="J1455" s="39" t="str">
        <x:v>H1</x:v>
      </x:c>
      <x:c r="K1455" s="39" t="str">
        <x:v>تطبیق احتمالی با پایه</x:v>
      </x:c>
      <x:c r="L1455" s="39" t="str">
        <x:v>MI-2943</x:v>
      </x:c>
      <x:c r="M1455" s="39" t="str">
        <x:v>این تیم در واقع مغز تصمیم گیری اکوسیستم است.</x:v>
      </x:c>
      <x:c r="N1455" s="39" t="str">
        <x:v>1154878548.docx::P4060.1</x:v>
      </x:c>
      <x:c r="O1455" s="39"/>
    </x:row>
    <x:row r="1456">
      <x:c r="A1456" s="34" t="str">
        <x:v>☐</x:v>
      </x:c>
      <x:c r="B1456" s="34" t="str">
        <x:v>EX-1428</x:v>
      </x:c>
      <x:c r="C1456" s="34" t="str">
        <x:v>مقاله علامه طباطبایی («زندگی اجتماعی…»)</x:v>
      </x:c>
      <x:c r="D1456" s="34" t="str">
        <x:v>POSSIBLE</x:v>
      </x:c>
      <x:c r="E1456" s="34" t="str">
        <x:v>90.0</x:v>
      </x:c>
      <x:c r="F1456" s="34" t="str">
        <x:v>MI-0288</x:v>
      </x:c>
      <x:c r="G1456" s="39" t="str">
        <x:v>اجتماعی</x:v>
      </x:c>
      <x:c r="H1456" s="39" t="str">
        <x:v>H15</x:v>
      </x:c>
      <x:c r="I1456" s="39" t="str">
        <x:v>P3/CLARIFY</x:v>
      </x:c>
      <x:c r="J1456" s="39" t="str">
        <x:v>H15</x:v>
      </x:c>
      <x:c r="K1456" s="39" t="str">
        <x:v>تطبیق احتمالی با پایه</x:v>
      </x:c>
      <x:c r="L1456" s="39" t="str">
        <x:v>MI-0288</x:v>
      </x:c>
      <x:c r="M1456" s="39" t="str">
        <x:v>اجتماعی</x:v>
      </x:c>
      <x:c r="N1456" s="39" t="str">
        <x:v>1154878548.docx::P4061.1</x:v>
      </x:c>
      <x:c r="O1456" s="39"/>
    </x:row>
    <x:row r="1457">
      <x:c r="A1457" s="34" t="str">
        <x:v>☐</x:v>
      </x:c>
      <x:c r="B1457" s="34" t="str">
        <x:v>EX-1429</x:v>
      </x:c>
      <x:c r="C1457" s="34" t="str">
        <x:v>۷. تاریخ معاصر، حافظه جمعی و تروما</x:v>
      </x:c>
      <x:c r="D1457" s="34" t="str">
        <x:v>POSSIBLE</x:v>
      </x:c>
      <x:c r="E1457" s="34" t="str">
        <x:v>85.5</x:v>
      </x:c>
      <x:c r="F1457" s="34" t="str">
        <x:v>MI-1513</x:v>
      </x:c>
      <x:c r="G1457" s="39" t="str">
        <x:v>تولید و کارآفرینی: توانایی تولید محصول و خدمات و ایجاد شغل.</x:v>
      </x:c>
      <x:c r="H1457" s="39" t="str">
        <x:v>H1</x:v>
      </x:c>
      <x:c r="I1457" s="39" t="str">
        <x:v>P0</x:v>
      </x:c>
      <x:c r="J1457" s="39" t="str">
        <x:v>H1</x:v>
      </x:c>
      <x:c r="K1457" s="39" t="str">
        <x:v>تطبیق احتمالی با پایه</x:v>
      </x:c>
      <x:c r="L1457" s="39" t="str">
        <x:v>MI-1513</x:v>
      </x:c>
      <x:c r="M1457" s="39" t="str">
        <x:v>تولید و کارآفرینی: توانایی تولید محصول و خدمات و ایجاد شغل.</x:v>
      </x:c>
      <x:c r="N1457" s="39" t="str">
        <x:v>1154878548.docx::P4062.1</x:v>
      </x:c>
      <x:c r="O1457" s="39"/>
    </x:row>
    <x:row r="1458">
      <x:c r="A1458" s="34" t="str">
        <x:v>☐</x:v>
      </x:c>
      <x:c r="B1458" s="34" t="str">
        <x:v>EX-1430</x:v>
      </x:c>
      <x:c r="C1458" s="34" t="str">
        <x:v>(Memory Politics)</x:v>
      </x:c>
      <x:c r="D1458" s="34" t="str">
        <x:v>UNMAPPED</x:v>
      </x:c>
      <x:c r="E1458" s="34" t="str">
        <x:v>72.0</x:v>
      </x:c>
      <x:c r="F1458" s="34" t="str">
        <x:v>MI-0146</x:v>
      </x:c>
      <x:c r="G1458" s="39" t="str">
        <x:v>CST</x:v>
      </x:c>
      <x:c r="H1458" s="39" t="str">
        <x:v>H6</x:v>
      </x:c>
      <x:c r="I1458" s="39" t="str">
        <x:v>P3/CLARIFY</x:v>
      </x:c>
      <x:c r="J1458" s="39" t="str">
        <x:v>H23</x:v>
      </x:c>
      <x:c r="K1458" s="39" t="str">
        <x:v>نیازمند پالایش؛ حذف نشده</x:v>
      </x:c>
      <x:c r="L1458" s="39"/>
      <x:c r="M1458" s="39"/>
      <x:c r="N1458" s="39" t="str">
        <x:v>1154878548.docx::P4063.1</x:v>
      </x:c>
      <x:c r="O1458" s="39"/>
    </x:row>
    <x:row r="1459">
      <x:c r="A1459" s="34" t="str">
        <x:v>☐</x:v>
      </x:c>
      <x:c r="B1459" s="34" t="str">
        <x:v>EX-1431</x:v>
      </x:c>
      <x:c r="C1459" s="34" t="str">
        <x:v>پهلوی</x:v>
      </x:c>
      <x:c r="D1459" s="34" t="str">
        <x:v>POSSIBLE</x:v>
      </x:c>
      <x:c r="E1459" s="34" t="str">
        <x:v>90.0</x:v>
      </x:c>
      <x:c r="F1459" s="34" t="str">
        <x:v>MI-0469</x:v>
      </x:c>
      <x:c r="G1459" s="39" t="str">
        <x:v>تاریخ پهلوی را بیان کنید.</x:v>
      </x:c>
      <x:c r="H1459" s="39" t="str">
        <x:v>H15</x:v>
      </x:c>
      <x:c r="I1459" s="39" t="str">
        <x:v>BANK</x:v>
      </x:c>
      <x:c r="J1459" s="39" t="str">
        <x:v>H15</x:v>
      </x:c>
      <x:c r="K1459" s="39" t="str">
        <x:v>تطبیق احتمالی با پایه</x:v>
      </x:c>
      <x:c r="L1459" s="39" t="str">
        <x:v>MI-0469</x:v>
      </x:c>
      <x:c r="M1459" s="39" t="str">
        <x:v>تاریخ پهلوی را بیان کنید.</x:v>
      </x:c>
      <x:c r="N1459" s="39" t="str">
        <x:v>1154878548.docx::P4064.1</x:v>
      </x:c>
      <x:c r="O1459" s="39"/>
    </x:row>
    <x:row r="1460">
      <x:c r="A1460" s="34" t="str">
        <x:v>☐</x:v>
      </x:c>
      <x:c r="B1460" s="34" t="str">
        <x:v>EX-1432</x:v>
      </x:c>
      <x:c r="C1460" s="34" t="str">
        <x:v>تاریخ پهلوی</x:v>
      </x:c>
      <x:c r="D1460" s="34" t="str">
        <x:v>POSSIBLE</x:v>
      </x:c>
      <x:c r="E1460" s="34" t="str">
        <x:v>90.0</x:v>
      </x:c>
      <x:c r="F1460" s="34" t="str">
        <x:v>MI-0469</x:v>
      </x:c>
      <x:c r="G1460" s="39" t="str">
        <x:v>تاریخ پهلوی را بیان کنید.</x:v>
      </x:c>
      <x:c r="H1460" s="39" t="str">
        <x:v>H15</x:v>
      </x:c>
      <x:c r="I1460" s="39" t="str">
        <x:v>BANK</x:v>
      </x:c>
      <x:c r="J1460" s="39" t="str">
        <x:v>H15</x:v>
      </x:c>
      <x:c r="K1460" s="39" t="str">
        <x:v>تطبیق احتمالی با پایه</x:v>
      </x:c>
      <x:c r="L1460" s="39" t="str">
        <x:v>MI-0469</x:v>
      </x:c>
      <x:c r="M1460" s="39" t="str">
        <x:v>تاریخ پهلوی را بیان کنید.</x:v>
      </x:c>
      <x:c r="N1460" s="39" t="str">
        <x:v>1154878548.docx::P4065.1</x:v>
      </x:c>
      <x:c r="O1460" s="39"/>
    </x:row>
    <x:row r="1461">
      <x:c r="A1461" s="34" t="str">
        <x:v>☐</x:v>
      </x:c>
      <x:c r="B1461" s="34" t="str">
        <x:v>EX-1433</x:v>
      </x:c>
      <x:c r="C1461" s="34" t="str">
        <x:v>۴۴۰۰۰ سند منگولهدار</x:v>
      </x:c>
      <x:c r="D1461" s="34" t="str">
        <x:v>POSSIBLE</x:v>
      </x:c>
      <x:c r="E1461" s="34" t="str">
        <x:v>85.5</x:v>
      </x:c>
      <x:c r="F1461" s="34" t="str">
        <x:v>MI-2785</x:v>
      </x:c>
      <x:c r="G1461" s="39" t="str">
        <x:v>اگر بخواهی، در مرحله بعد می توانم دو چیز بسیار مهم را هم طراحی کنم که این سند را چند برابر حرفه ای تر و اجرایی تر می کند:</x:v>
      </x:c>
      <x:c r="H1461" s="39" t="str">
        <x:v>H3</x:v>
      </x:c>
      <x:c r="I1461" s="39" t="str">
        <x:v>P3/CLARIFY</x:v>
      </x:c>
      <x:c r="J1461" s="39" t="str">
        <x:v>H3</x:v>
      </x:c>
      <x:c r="K1461" s="39" t="str">
        <x:v>تطبیق احتمالی با پایه</x:v>
      </x:c>
      <x:c r="L1461" s="39" t="str">
        <x:v>MI-2785</x:v>
      </x:c>
      <x:c r="M1461" s="39" t="str">
        <x:v>اگر بخواهی، در مرحله بعد می توانم دو چیز بسیار مهم را هم طراحی کنم که این سند را چند برابر حرفه ای تر و اجرایی تر می کند:</x:v>
      </x:c>
      <x:c r="N1461" s="39" t="str">
        <x:v>1154878548.docx::P4066.1</x:v>
      </x:c>
      <x:c r="O1461" s="39"/>
    </x:row>
    <x:row r="1462">
      <x:c r="A1462" s="34" t="str">
        <x:v>☐</x:v>
      </x:c>
      <x:c r="B1462" s="34" t="str">
        <x:v>EX-1434</x:v>
      </x:c>
      <x:c r="C1462" s="34" t="str">
        <x:v>بیاحترامی به محمدرضاشاه</x:v>
      </x:c>
      <x:c r="D1462" s="34" t="str">
        <x:v>POSSIBLE</x:v>
      </x:c>
      <x:c r="E1462" s="34" t="str">
        <x:v>85.5</x:v>
      </x:c>
      <x:c r="F1462" s="34" t="str">
        <x:v>MI-1448</x:v>
      </x:c>
      <x:c r="G1462" s="39" t="str">
        <x:v>پول هییت قبلا چوقدر هست دست من؟؟؟ قبلا 4,290 بوده . چقدر به سید دادم.</x:v>
      </x:c>
      <x:c r="H1462" s="39" t="str">
        <x:v>H1</x:v>
      </x:c>
      <x:c r="I1462" s="39" t="str">
        <x:v>P0</x:v>
      </x:c>
      <x:c r="J1462" s="39" t="str">
        <x:v>H1</x:v>
      </x:c>
      <x:c r="K1462" s="39" t="str">
        <x:v>تطبیق احتمالی با پایه</x:v>
      </x:c>
      <x:c r="L1462" s="39" t="str">
        <x:v>MI-1448</x:v>
      </x:c>
      <x:c r="M1462" s="39" t="str">
        <x:v>پول هییت قبلا چوقدر هست دست من؟؟؟ قبلا 4,290 بوده . چقدر به سید دادم.</x:v>
      </x:c>
      <x:c r="N1462" s="39" t="str">
        <x:v>1154878548.docx::P4067.1</x:v>
      </x:c>
      <x:c r="O1462" s="39"/>
    </x:row>
    <x:row r="1463">
      <x:c r="A1463" s="34" t="str">
        <x:v>☐</x:v>
      </x:c>
      <x:c r="B1463" s="34" t="str">
        <x:v>EX-1435</x:v>
      </x:c>
      <x:c r="C1463" s="34" t="str">
        <x:v>انتقال هواپیماها به ویتنام</x:v>
      </x:c>
      <x:c r="D1463" s="34" t="str">
        <x:v>POSSIBLE</x:v>
      </x:c>
      <x:c r="E1463" s="34" t="str">
        <x:v>85.5</x:v>
      </x:c>
      <x:c r="F1463" s="34" t="str">
        <x:v>MI-1448</x:v>
      </x:c>
      <x:c r="G1463" s="39" t="str">
        <x:v>پول هییت قبلا چوقدر هست دست من؟؟؟ قبلا 4,290 بوده . چقدر به سید دادم.</x:v>
      </x:c>
      <x:c r="H1463" s="39" t="str">
        <x:v>H1</x:v>
      </x:c>
      <x:c r="I1463" s="39" t="str">
        <x:v>P0</x:v>
      </x:c>
      <x:c r="J1463" s="39" t="str">
        <x:v>H1</x:v>
      </x:c>
      <x:c r="K1463" s="39" t="str">
        <x:v>تطبیق احتمالی با پایه</x:v>
      </x:c>
      <x:c r="L1463" s="39" t="str">
        <x:v>MI-1448</x:v>
      </x:c>
      <x:c r="M1463" s="39" t="str">
        <x:v>پول هییت قبلا چوقدر هست دست من؟؟؟ قبلا 4,290 بوده . چقدر به سید دادم.</x:v>
      </x:c>
      <x:c r="N1463" s="39" t="str">
        <x:v>1154878548.docx::P4068.1</x:v>
      </x:c>
      <x:c r="O1463" s="39"/>
    </x:row>
    <x:row r="1464">
      <x:c r="A1464" s="34" t="str">
        <x:v>☐</x:v>
      </x:c>
      <x:c r="B1464" s="34" t="str">
        <x:v>EX-1436</x:v>
      </x:c>
      <x:c r="C1464" s="34" t="str">
        <x:v>سن امید به زندگی ۵۶</x:v>
      </x:c>
      <x:c r="D1464" s="34" t="str">
        <x:v>POSSIBLE</x:v>
      </x:c>
      <x:c r="E1464" s="34" t="str">
        <x:v>90.0</x:v>
      </x:c>
      <x:c r="F1464" s="34" t="str">
        <x:v>MI-0596</x:v>
      </x:c>
      <x:c r="G1464" s="39" t="str">
        <x:v>زندگی</x:v>
      </x:c>
      <x:c r="H1464" s="39" t="str">
        <x:v>H18</x:v>
      </x:c>
      <x:c r="I1464" s="39" t="str">
        <x:v>BANK</x:v>
      </x:c>
      <x:c r="J1464" s="39" t="str">
        <x:v>H18</x:v>
      </x:c>
      <x:c r="K1464" s="39" t="str">
        <x:v>تطبیق احتمالی با پایه</x:v>
      </x:c>
      <x:c r="L1464" s="39" t="str">
        <x:v>MI-0596</x:v>
      </x:c>
      <x:c r="M1464" s="39" t="str">
        <x:v>زندگی</x:v>
      </x:c>
      <x:c r="N1464" s="39" t="str">
        <x:v>1154878548.docx::P4069.1</x:v>
      </x:c>
      <x:c r="O1464" s="39"/>
    </x:row>
    <x:row r="1465">
      <x:c r="A1465" s="34" t="str">
        <x:v>☐</x:v>
      </x:c>
      <x:c r="B1465" s="34" t="str">
        <x:v>EX-1437</x:v>
      </x:c>
      <x:c r="C1465" s="34" t="str">
        <x:v>پس از انقلاب</x:v>
      </x:c>
      <x:c r="D1465" s="34" t="str">
        <x:v>POSSIBLE</x:v>
      </x:c>
      <x:c r="E1465" s="34" t="str">
        <x:v>85.5</x:v>
      </x:c>
      <x:c r="F1465" s="34" t="str">
        <x:v>MI-1457</x:v>
      </x:c>
      <x:c r="G1465" s="39" t="str">
        <x:v>سلامت جسمانی: تغذیه سالم، ورزش منظم، خواب کافی، پیشگیری از بیماری ها.</x:v>
      </x:c>
      <x:c r="H1465" s="39" t="str">
        <x:v>H1</x:v>
      </x:c>
      <x:c r="I1465" s="39" t="str">
        <x:v>P0</x:v>
      </x:c>
      <x:c r="J1465" s="39" t="str">
        <x:v>H1</x:v>
      </x:c>
      <x:c r="K1465" s="39" t="str">
        <x:v>تطبیق احتمالی با پایه</x:v>
      </x:c>
      <x:c r="L1465" s="39" t="str">
        <x:v>MI-1457</x:v>
      </x:c>
      <x:c r="M1465" s="39" t="str">
        <x:v>سلامت جسمانی: تغذیه سالم، ورزش منظم، خواب کافی، پیشگیری از بیماری ها.</x:v>
      </x:c>
      <x:c r="N1465" s="39" t="str">
        <x:v>1154878548.docx::P4071.1</x:v>
      </x:c>
      <x:c r="O1465" s="39"/>
    </x:row>
    <x:row r="1466">
      <x:c r="A1466" s="34" t="str">
        <x:v>☐</x:v>
      </x:c>
      <x:c r="B1466" s="34" t="str">
        <x:v>EX-1438</x:v>
      </x:c>
      <x:c r="C1466" s="34" t="str">
        <x:v>سخنرانی ۲۳ تیر ۷۸</x:v>
      </x:c>
      <x:c r="D1466" s="34" t="str">
        <x:v>POSSIBLE</x:v>
      </x:c>
      <x:c r="E1466" s="34" t="str">
        <x:v>85.5</x:v>
      </x:c>
      <x:c r="F1466" s="34" t="str">
        <x:v>MI-2331</x:v>
      </x:c>
      <x:c r="G1466" s="39" t="str">
        <x:v>همایش باید حول مسیله های واقعی استان طراحی شود نه سخنرانی عمومی.</x:v>
      </x:c>
      <x:c r="H1466" s="39" t="str">
        <x:v>H20</x:v>
      </x:c>
      <x:c r="I1466" s="39" t="str">
        <x:v>P3/CLARIFY</x:v>
      </x:c>
      <x:c r="J1466" s="39" t="str">
        <x:v>H20</x:v>
      </x:c>
      <x:c r="K1466" s="39" t="str">
        <x:v>تطبیق احتمالی با پایه</x:v>
      </x:c>
      <x:c r="L1466" s="39" t="str">
        <x:v>MI-2331</x:v>
      </x:c>
      <x:c r="M1466" s="39" t="str">
        <x:v>همایش باید حول مسیله های واقعی استان طراحی شود نه سخنرانی عمومی.</x:v>
      </x:c>
      <x:c r="N1466" s="39" t="str">
        <x:v>1154878548.docx::P4074.1</x:v>
      </x:c>
      <x:c r="O1466" s="39"/>
    </x:row>
    <x:row r="1467">
      <x:c r="A1467" s="34" t="str">
        <x:v>☐</x:v>
      </x:c>
      <x:c r="B1467" s="34" t="str">
        <x:v>EX-1439</x:v>
      </x:c>
      <x:c r="C1467" s="34" t="str">
        <x:v>تروما اجتماعی</x:v>
      </x:c>
      <x:c r="D1467" s="34" t="str">
        <x:v>POSSIBLE</x:v>
      </x:c>
      <x:c r="E1467" s="34" t="str">
        <x:v>90.0</x:v>
      </x:c>
      <x:c r="F1467" s="34" t="str">
        <x:v>MI-0288</x:v>
      </x:c>
      <x:c r="G1467" s="39" t="str">
        <x:v>اجتماعی</x:v>
      </x:c>
      <x:c r="H1467" s="39" t="str">
        <x:v>H15</x:v>
      </x:c>
      <x:c r="I1467" s="39" t="str">
        <x:v>P3/CLARIFY</x:v>
      </x:c>
      <x:c r="J1467" s="39" t="str">
        <x:v>H15</x:v>
      </x:c>
      <x:c r="K1467" s="39" t="str">
        <x:v>تطبیق احتمالی با پایه</x:v>
      </x:c>
      <x:c r="L1467" s="39" t="str">
        <x:v>MI-0288</x:v>
      </x:c>
      <x:c r="M1467" s="39" t="str">
        <x:v>اجتماعی</x:v>
      </x:c>
      <x:c r="N1467" s="39" t="str">
        <x:v>1154878548.docx::P4077.1</x:v>
      </x:c>
      <x:c r="O1467" s="39"/>
    </x:row>
    <x:row r="1468">
      <x:c r="A1468" s="34" t="str">
        <x:v>☐</x:v>
      </x:c>
      <x:c r="B1468" s="34" t="str">
        <x:v>EX-1440</x:v>
      </x:c>
      <x:c r="C1468" s="34" t="str">
        <x:v>قحطی (علفخواری)</x:v>
      </x:c>
      <x:c r="D1468" s="34" t="str">
        <x:v>POSSIBLE</x:v>
      </x:c>
      <x:c r="E1468" s="34" t="str">
        <x:v>85.5</x:v>
      </x:c>
      <x:c r="F1468" s="34" t="str">
        <x:v>MI-0458</x:v>
      </x:c>
      <x:c r="G1468" s="39" t="str">
        <x:v>قحطی (مردم علف میخوردند، جنازه ها را میخوردند.)</x:v>
      </x:c>
      <x:c r="H1468" s="39" t="str">
        <x:v>H18</x:v>
      </x:c>
      <x:c r="I1468" s="39" t="str">
        <x:v>BANK</x:v>
      </x:c>
      <x:c r="J1468" s="39" t="str">
        <x:v>H18</x:v>
      </x:c>
      <x:c r="K1468" s="39" t="str">
        <x:v>تطبیق احتمالی با پایه</x:v>
      </x:c>
      <x:c r="L1468" s="39" t="str">
        <x:v>MI-0458</x:v>
      </x:c>
      <x:c r="M1468" s="39" t="str">
        <x:v>قحطی (مردم علف میخوردند، جنازه ها را میخوردند.)</x:v>
      </x:c>
      <x:c r="N1468" s="39" t="str">
        <x:v>1154878548.docx::P4078.1</x:v>
      </x:c>
      <x:c r="O1468" s="39"/>
    </x:row>
    <x:row r="1469">
      <x:c r="A1469" s="34" t="str">
        <x:v>☐</x:v>
      </x:c>
      <x:c r="B1469" s="34" t="str">
        <x:v>EX-1441</x:v>
      </x:c>
      <x:c r="C1469" s="34" t="str">
        <x:v>چهرهها</x:v>
      </x:c>
      <x:c r="D1469" s="34" t="str">
        <x:v>UNMAPPED</x:v>
      </x:c>
      <x:c r="E1469" s="34" t="str">
        <x:v>66.7</x:v>
      </x:c>
      <x:c r="F1469" s="34" t="str">
        <x:v>MI-3056</x:v>
      </x:c>
      <x:c r="G1469" s="39" t="str">
        <x:v>چه گروه هایی</x:v>
      </x:c>
      <x:c r="H1469" s="39" t="str">
        <x:v>H20</x:v>
      </x:c>
      <x:c r="I1469" s="39" t="str">
        <x:v>P3/CLARIFY</x:v>
      </x:c>
      <x:c r="J1469" s="39" t="str">
        <x:v>H23</x:v>
      </x:c>
      <x:c r="K1469" s="39" t="str">
        <x:v>نیازمند پالایش؛ حذف نشده</x:v>
      </x:c>
      <x:c r="L1469" s="39"/>
      <x:c r="M1469" s="39"/>
      <x:c r="N1469" s="39" t="str">
        <x:v>1154878548.docx::P4080.1</x:v>
      </x:c>
      <x:c r="O1469" s="39"/>
    </x:row>
    <x:row r="1470">
      <x:c r="A1470" s="34" t="str">
        <x:v>☐</x:v>
      </x:c>
      <x:c r="B1470" s="34" t="str">
        <x:v>EX-1442</x:v>
      </x:c>
      <x:c r="C1470" s="34" t="str">
        <x:v>علی افشاری</x:v>
      </x:c>
      <x:c r="D1470" s="34" t="str">
        <x:v>POSSIBLE</x:v>
      </x:c>
      <x:c r="E1470" s="34" t="str">
        <x:v>90.0</x:v>
      </x:c>
      <x:c r="F1470" s="34" t="str">
        <x:v>MI-0515</x:v>
      </x:c>
      <x:c r="G1470" s="39" t="str">
        <x:v>مصاحبه علی افشاری</x:v>
      </x:c>
      <x:c r="H1470" s="39" t="str">
        <x:v>H18</x:v>
      </x:c>
      <x:c r="I1470" s="39" t="str">
        <x:v>BANK</x:v>
      </x:c>
      <x:c r="J1470" s="39" t="str">
        <x:v>H18</x:v>
      </x:c>
      <x:c r="K1470" s="39" t="str">
        <x:v>تطبیق احتمالی با پایه</x:v>
      </x:c>
      <x:c r="L1470" s="39" t="str">
        <x:v>MI-0515</x:v>
      </x:c>
      <x:c r="M1470" s="39" t="str">
        <x:v>مصاحبه علی افشاری</x:v>
      </x:c>
      <x:c r="N1470" s="39" t="str">
        <x:v>1154878548.docx::P4082.1</x:v>
      </x:c>
      <x:c r="O1470" s="39"/>
    </x:row>
    <x:row r="1471">
      <x:c r="A1471" s="34" t="str">
        <x:v>☐</x:v>
      </x:c>
      <x:c r="B1471" s="34" t="str">
        <x:v>EX-1443</x:v>
      </x:c>
      <x:c r="C1471" s="34" t="str">
        <x:v>سید ضیا نبوی</x:v>
      </x:c>
      <x:c r="D1471" s="34" t="str">
        <x:v>POSSIBLE</x:v>
      </x:c>
      <x:c r="E1471" s="34" t="str">
        <x:v>90.0</x:v>
      </x:c>
      <x:c r="F1471" s="34" t="str">
        <x:v>MI-0447</x:v>
      </x:c>
      <x:c r="G1471" s="39" t="str">
        <x:v>داستان سید ضیا نبوی</x:v>
      </x:c>
      <x:c r="H1471" s="39" t="str">
        <x:v>H18</x:v>
      </x:c>
      <x:c r="I1471" s="39" t="str">
        <x:v>BANK</x:v>
      </x:c>
      <x:c r="J1471" s="39" t="str">
        <x:v>H18</x:v>
      </x:c>
      <x:c r="K1471" s="39" t="str">
        <x:v>تطبیق احتمالی با پایه</x:v>
      </x:c>
      <x:c r="L1471" s="39" t="str">
        <x:v>MI-0447</x:v>
      </x:c>
      <x:c r="M1471" s="39" t="str">
        <x:v>داستان سید ضیا نبوی</x:v>
      </x:c>
      <x:c r="N1471" s="39" t="str">
        <x:v>1154878548.docx::P4086.1</x:v>
      </x:c>
      <x:c r="O1471" s="39"/>
    </x:row>
    <x:row r="1472">
      <x:c r="A1472" s="34" t="str">
        <x:v>☐</x:v>
      </x:c>
      <x:c r="B1472" s="34" t="str">
        <x:v>EX-1444</x:v>
      </x:c>
      <x:c r="C1472" s="34" t="str">
        <x:v>بهنود رمضانی</x:v>
      </x:c>
      <x:c r="D1472" s="34" t="str">
        <x:v>POSSIBLE</x:v>
      </x:c>
      <x:c r="E1472" s="34" t="str">
        <x:v>90.0</x:v>
      </x:c>
      <x:c r="F1472" s="34" t="str">
        <x:v>MI-0448</x:v>
      </x:c>
      <x:c r="G1472" s="39" t="str">
        <x:v>داستان بهنود رمضانی</x:v>
      </x:c>
      <x:c r="H1472" s="39" t="str">
        <x:v>H18</x:v>
      </x:c>
      <x:c r="I1472" s="39" t="str">
        <x:v>BANK</x:v>
      </x:c>
      <x:c r="J1472" s="39" t="str">
        <x:v>H18</x:v>
      </x:c>
      <x:c r="K1472" s="39" t="str">
        <x:v>تطبیق احتمالی با پایه</x:v>
      </x:c>
      <x:c r="L1472" s="39" t="str">
        <x:v>MI-0448</x:v>
      </x:c>
      <x:c r="M1472" s="39" t="str">
        <x:v>داستان بهنود رمضانی</x:v>
      </x:c>
      <x:c r="N1472" s="39" t="str">
        <x:v>1154878548.docx::P4087.1</x:v>
      </x:c>
      <x:c r="O1472" s="39"/>
    </x:row>
    <x:row r="1473">
      <x:c r="A1473" s="34" t="str">
        <x:v>☐</x:v>
      </x:c>
      <x:c r="B1473" s="34" t="str">
        <x:v>EX-1445</x:v>
      </x:c>
      <x:c r="C1473" s="34" t="str">
        <x:v>علیاکبر سیف</x:v>
      </x:c>
      <x:c r="D1473" s="34" t="str">
        <x:v>POSSIBLE</x:v>
      </x:c>
      <x:c r="E1473" s="34" t="str">
        <x:v>85.5</x:v>
      </x:c>
      <x:c r="F1473" s="34" t="str">
        <x:v>MI-0506</x:v>
      </x:c>
      <x:c r="G1473" s="39" t="str">
        <x:v>علی اکبر سیف - روان شناسی پرورشی نوین (نشر دوران)</x:v>
      </x:c>
      <x:c r="H1473" s="39" t="str">
        <x:v>H18</x:v>
      </x:c>
      <x:c r="I1473" s="39" t="str">
        <x:v>BANK</x:v>
      </x:c>
      <x:c r="J1473" s="39" t="str">
        <x:v>H18</x:v>
      </x:c>
      <x:c r="K1473" s="39" t="str">
        <x:v>تطبیق احتمالی با پایه</x:v>
      </x:c>
      <x:c r="L1473" s="39" t="str">
        <x:v>MI-0506</x:v>
      </x:c>
      <x:c r="M1473" s="39" t="str">
        <x:v>علی اکبر سیف - روان شناسی پرورشی نوین (نشر دوران)</x:v>
      </x:c>
      <x:c r="N1473" s="39" t="str">
        <x:v>1154878548.docx::P4088.1</x:v>
      </x:c>
      <x:c r="O1473" s="39"/>
    </x:row>
    <x:row r="1474">
      <x:c r="A1474" s="34" t="str">
        <x:v>☐</x:v>
      </x:c>
      <x:c r="B1474" s="34" t="str">
        <x:v>EX-1446</x:v>
      </x:c>
      <x:c r="C1474" s="34" t="str">
        <x:v>۸. علم، فناوری، R&amp;D و آیندهپژوهی</x:v>
      </x:c>
      <x:c r="D1474" s="34" t="str">
        <x:v>POSSIBLE</x:v>
      </x:c>
      <x:c r="E1474" s="34" t="str">
        <x:v>85.5</x:v>
      </x:c>
      <x:c r="F1474" s="34" t="str">
        <x:v>MI-1513</x:v>
      </x:c>
      <x:c r="G1474" s="39" t="str">
        <x:v>تولید و کارآفرینی: توانایی تولید محصول و خدمات و ایجاد شغل.</x:v>
      </x:c>
      <x:c r="H1474" s="39" t="str">
        <x:v>H1</x:v>
      </x:c>
      <x:c r="I1474" s="39" t="str">
        <x:v>P0</x:v>
      </x:c>
      <x:c r="J1474" s="39" t="str">
        <x:v>H1</x:v>
      </x:c>
      <x:c r="K1474" s="39" t="str">
        <x:v>تطبیق احتمالی با پایه</x:v>
      </x:c>
      <x:c r="L1474" s="39" t="str">
        <x:v>MI-1513</x:v>
      </x:c>
      <x:c r="M1474" s="39" t="str">
        <x:v>تولید و کارآفرینی: توانایی تولید محصول و خدمات و ایجاد شغل.</x:v>
      </x:c>
      <x:c r="N1474" s="39" t="str">
        <x:v>1154878548.docx::P4089.1</x:v>
      </x:c>
      <x:c r="O1474" s="39"/>
    </x:row>
    <x:row r="1475">
      <x:c r="A1475" s="34" t="str">
        <x:v>☐</x:v>
      </x:c>
      <x:c r="B1475" s="34" t="str">
        <x:v>EX-1447</x:v>
      </x:c>
      <x:c r="C1475" s="34" t="str">
        <x:v>(Deep Tech &amp; Applied Science)</x:v>
      </x:c>
      <x:c r="D1475" s="34" t="str">
        <x:v>UNMAPPED</x:v>
      </x:c>
      <x:c r="E1475" s="34" t="str">
        <x:v>67.5</x:v>
      </x:c>
      <x:c r="F1475" s="34" t="str">
        <x:v>MI-0547</x:v>
      </x:c>
      <x:c r="G1475" s="39" t="str">
        <x:v>site</x:v>
      </x:c>
      <x:c r="H1475" s="39" t="str">
        <x:v>H18</x:v>
      </x:c>
      <x:c r="I1475" s="39" t="str">
        <x:v>BANK</x:v>
      </x:c>
      <x:c r="J1475" s="39" t="str">
        <x:v>H23</x:v>
      </x:c>
      <x:c r="K1475" s="39" t="str">
        <x:v>نیازمند پالایش؛ حذف نشده</x:v>
      </x:c>
      <x:c r="L1475" s="39"/>
      <x:c r="M1475" s="39"/>
      <x:c r="N1475" s="39" t="str">
        <x:v>1154878548.docx::P4090.1</x:v>
      </x:c>
      <x:c r="O1475" s="39"/>
    </x:row>
    <x:row r="1476">
      <x:c r="A1476" s="34" t="str">
        <x:v>☐</x:v>
      </x:c>
      <x:c r="B1476" s="34" t="str">
        <x:v>EX-1448</x:v>
      </x:c>
      <x:c r="C1476" s="34" t="str">
        <x:v>AI و R&amp;D</x:v>
      </x:c>
      <x:c r="D1476" s="34" t="str">
        <x:v>POSSIBLE</x:v>
      </x:c>
      <x:c r="E1476" s="34" t="str">
        <x:v>90.0</x:v>
      </x:c>
      <x:c r="F1476" s="34" t="str">
        <x:v>MI-2263</x:v>
      </x:c>
      <x:c r="G1476" s="39" t="str">
        <x:v>AI</x:v>
      </x:c>
      <x:c r="H1476" s="39" t="str">
        <x:v>H7</x:v>
      </x:c>
      <x:c r="I1476" s="39" t="str">
        <x:v>P1</x:v>
      </x:c>
      <x:c r="J1476" s="39" t="str">
        <x:v>H7</x:v>
      </x:c>
      <x:c r="K1476" s="39" t="str">
        <x:v>تطبیق احتمالی با پایه</x:v>
      </x:c>
      <x:c r="L1476" s="39" t="str">
        <x:v>MI-2263</x:v>
      </x:c>
      <x:c r="M1476" s="39" t="str">
        <x:v>AI</x:v>
      </x:c>
      <x:c r="N1476" s="39" t="str">
        <x:v>1154878548.docx::P4092.1</x:v>
      </x:c>
      <x:c r="O1476" s="39"/>
    </x:row>
    <x:row r="1477">
      <x:c r="A1477" s="34" t="str">
        <x:v>☐</x:v>
      </x:c>
      <x:c r="B1477" s="34" t="str">
        <x:v>EX-1449</x:v>
      </x:c>
      <x:c r="C1477" s="34" t="str">
        <x:v>AI و پایش وضعیت درسی</x:v>
      </x:c>
      <x:c r="D1477" s="34" t="str">
        <x:v>POSSIBLE</x:v>
      </x:c>
      <x:c r="E1477" s="34" t="str">
        <x:v>85.5</x:v>
      </x:c>
      <x:c r="F1477" s="34" t="str">
        <x:v>MI-1513</x:v>
      </x:c>
      <x:c r="G1477" s="39" t="str">
        <x:v>تولید و کارآفرینی: توانایی تولید محصول و خدمات و ایجاد شغل.</x:v>
      </x:c>
      <x:c r="H1477" s="39" t="str">
        <x:v>H1</x:v>
      </x:c>
      <x:c r="I1477" s="39" t="str">
        <x:v>P0</x:v>
      </x:c>
      <x:c r="J1477" s="39" t="str">
        <x:v>H1</x:v>
      </x:c>
      <x:c r="K1477" s="39" t="str">
        <x:v>تطبیق احتمالی با پایه</x:v>
      </x:c>
      <x:c r="L1477" s="39" t="str">
        <x:v>MI-1513</x:v>
      </x:c>
      <x:c r="M1477" s="39" t="str">
        <x:v>تولید و کارآفرینی: توانایی تولید محصول و خدمات و ایجاد شغل.</x:v>
      </x:c>
      <x:c r="N1477" s="39" t="str">
        <x:v>1154878548.docx::P4093.1</x:v>
      </x:c>
      <x:c r="O1477" s="39"/>
    </x:row>
    <x:row r="1478">
      <x:c r="A1478" s="34" t="str">
        <x:v>☐</x:v>
      </x:c>
      <x:c r="B1478" s="34" t="str">
        <x:v>EX-1450</x:v>
      </x:c>
      <x:c r="C1478" s="34" t="str">
        <x:v>Machine Learning</x:v>
      </x:c>
      <x:c r="D1478" s="34" t="str">
        <x:v>POSSIBLE</x:v>
      </x:c>
      <x:c r="E1478" s="34" t="str">
        <x:v>85.5</x:v>
      </x:c>
      <x:c r="F1478" s="34" t="str">
        <x:v>MI-0161</x:v>
      </x:c>
      <x:c r="G1478" s="39" t="str">
        <x:v>N&amp;N</x:v>
      </x:c>
      <x:c r="H1478" s="39" t="str">
        <x:v>H23</x:v>
      </x:c>
      <x:c r="I1478" s="39" t="str">
        <x:v>P3/CLARIFY</x:v>
      </x:c>
      <x:c r="J1478" s="39" t="str">
        <x:v>H23</x:v>
      </x:c>
      <x:c r="K1478" s="39" t="str">
        <x:v>تطبیق احتمالی با پایه</x:v>
      </x:c>
      <x:c r="L1478" s="39" t="str">
        <x:v>MI-0161</x:v>
      </x:c>
      <x:c r="M1478" s="39" t="str">
        <x:v>N&amp;N</x:v>
      </x:c>
      <x:c r="N1478" s="39" t="str">
        <x:v>1154878548.docx::P4094.1</x:v>
      </x:c>
      <x:c r="O1478" s="39"/>
    </x:row>
    <x:row r="1479">
      <x:c r="A1479" s="34" t="str">
        <x:v>☐</x:v>
      </x:c>
      <x:c r="B1479" s="34" t="str">
        <x:v>EX-1451</x:v>
      </x:c>
      <x:c r="C1479" s="34" t="str">
        <x:v>Deep Learning</x:v>
      </x:c>
      <x:c r="D1479" s="34" t="str">
        <x:v>POSSIBLE</x:v>
      </x:c>
      <x:c r="E1479" s="34" t="str">
        <x:v>85.5</x:v>
      </x:c>
      <x:c r="F1479" s="34" t="str">
        <x:v>MI-0161</x:v>
      </x:c>
      <x:c r="G1479" s="39" t="str">
        <x:v>N&amp;N</x:v>
      </x:c>
      <x:c r="H1479" s="39" t="str">
        <x:v>H23</x:v>
      </x:c>
      <x:c r="I1479" s="39" t="str">
        <x:v>P3/CLARIFY</x:v>
      </x:c>
      <x:c r="J1479" s="39" t="str">
        <x:v>H23</x:v>
      </x:c>
      <x:c r="K1479" s="39" t="str">
        <x:v>تطبیق احتمالی با پایه</x:v>
      </x:c>
      <x:c r="L1479" s="39" t="str">
        <x:v>MI-0161</x:v>
      </x:c>
      <x:c r="M1479" s="39" t="str">
        <x:v>N&amp;N</x:v>
      </x:c>
      <x:c r="N1479" s="39" t="str">
        <x:v>1154878548.docx::P4095.1</x:v>
      </x:c>
      <x:c r="O1479" s="39"/>
    </x:row>
    <x:row r="1480">
      <x:c r="A1480" s="34" t="str">
        <x:v>☐</x:v>
      </x:c>
      <x:c r="B1480" s="34" t="str">
        <x:v>EX-1452</x:v>
      </x:c>
      <x:c r="C1480" s="34" t="str">
        <x:v>Digital Twin</x:v>
      </x:c>
      <x:c r="D1480" s="34" t="str">
        <x:v>POSSIBLE</x:v>
      </x:c>
      <x:c r="E1480" s="34" t="str">
        <x:v>85.5</x:v>
      </x:c>
      <x:c r="F1480" s="34" t="str">
        <x:v>MI-0161</x:v>
      </x:c>
      <x:c r="G1480" s="39" t="str">
        <x:v>N&amp;N</x:v>
      </x:c>
      <x:c r="H1480" s="39" t="str">
        <x:v>H23</x:v>
      </x:c>
      <x:c r="I1480" s="39" t="str">
        <x:v>P3/CLARIFY</x:v>
      </x:c>
      <x:c r="J1480" s="39" t="str">
        <x:v>H23</x:v>
      </x:c>
      <x:c r="K1480" s="39" t="str">
        <x:v>تطبیق احتمالی با پایه</x:v>
      </x:c>
      <x:c r="L1480" s="39" t="str">
        <x:v>MI-0161</x:v>
      </x:c>
      <x:c r="M1480" s="39" t="str">
        <x:v>N&amp;N</x:v>
      </x:c>
      <x:c r="N1480" s="39" t="str">
        <x:v>1154878548.docx::P4097.1</x:v>
      </x:c>
      <x:c r="O1480" s="39"/>
    </x:row>
    <x:row r="1481">
      <x:c r="A1481" s="34" t="str">
        <x:v>☐</x:v>
      </x:c>
      <x:c r="B1481" s="34" t="str">
        <x:v>EX-1453</x:v>
      </x:c>
      <x:c r="C1481" s="34" t="str">
        <x:v>فناوری پیشرفته</x:v>
      </x:c>
      <x:c r="D1481" s="34" t="str">
        <x:v>POSSIBLE</x:v>
      </x:c>
      <x:c r="E1481" s="34" t="str">
        <x:v>85.5</x:v>
      </x:c>
      <x:c r="F1481" s="34" t="str">
        <x:v>MI-1431</x:v>
      </x:c>
      <x:c r="G1481" s="39" t="str">
        <x:v>از فضای کنار ریاست فناوری استفاده بشه و اقتباس گرفته از کتابخانه ملی</x:v>
      </x:c>
      <x:c r="H1481" s="39" t="str">
        <x:v>H2</x:v>
      </x:c>
      <x:c r="I1481" s="39" t="str">
        <x:v>BANK</x:v>
      </x:c>
      <x:c r="J1481" s="39" t="str">
        <x:v>H2</x:v>
      </x:c>
      <x:c r="K1481" s="39" t="str">
        <x:v>تطبیق احتمالی با پایه</x:v>
      </x:c>
      <x:c r="L1481" s="39" t="str">
        <x:v>MI-1431</x:v>
      </x:c>
      <x:c r="M1481" s="39" t="str">
        <x:v>از فضای کنار ریاست فناوری استفاده بشه و اقتباس گرفته از کتابخانه ملی</x:v>
      </x:c>
      <x:c r="N1481" s="39" t="str">
        <x:v>1154878548.docx::P4098.1</x:v>
      </x:c>
      <x:c r="O1481" s="39"/>
    </x:row>
    <x:row r="1482">
      <x:c r="A1482" s="34" t="str">
        <x:v>☐</x:v>
      </x:c>
      <x:c r="B1482" s="34" t="str">
        <x:v>EX-1454</x:v>
      </x:c>
      <x:c r="C1482" s="34" t="str">
        <x:v>هدایت پرتو صدا</x:v>
      </x:c>
      <x:c r="D1482" s="34" t="str">
        <x:v>POSSIBLE</x:v>
      </x:c>
      <x:c r="E1482" s="34" t="str">
        <x:v>90.0</x:v>
      </x:c>
      <x:c r="F1482" s="34" t="str">
        <x:v>MI-0366</x:v>
      </x:c>
      <x:c r="G1482" s="39" t="str">
        <x:v>فناوری هدایت پرتو صدا</x:v>
      </x:c>
      <x:c r="H1482" s="39" t="str">
        <x:v>H18</x:v>
      </x:c>
      <x:c r="I1482" s="39" t="str">
        <x:v>BANK</x:v>
      </x:c>
      <x:c r="J1482" s="39" t="str">
        <x:v>H18</x:v>
      </x:c>
      <x:c r="K1482" s="39" t="str">
        <x:v>تطبیق احتمالی با پایه</x:v>
      </x:c>
      <x:c r="L1482" s="39" t="str">
        <x:v>MI-0366</x:v>
      </x:c>
      <x:c r="M1482" s="39" t="str">
        <x:v>فناوری هدایت پرتو صدا</x:v>
      </x:c>
      <x:c r="N1482" s="39" t="str">
        <x:v>1154878548.docx::P4099.1</x:v>
      </x:c>
      <x:c r="O1482" s="39"/>
    </x:row>
    <x:row r="1483">
      <x:c r="A1483" s="34" t="str">
        <x:v>☐</x:v>
      </x:c>
      <x:c r="B1483" s="34" t="str">
        <x:v>EX-1455</x:v>
      </x:c>
      <x:c r="C1483" s="34" t="str">
        <x:v>CAD/CAM - COMSOL</x:v>
      </x:c>
      <x:c r="D1483" s="34" t="str">
        <x:v>UNMAPPED</x:v>
      </x:c>
      <x:c r="E1483" s="34" t="str">
        <x:v>60.0</x:v>
      </x:c>
      <x:c r="F1483" s="34" t="str">
        <x:v>MI-0123</x:v>
      </x:c>
      <x:c r="G1483" s="39" t="str">
        <x:v>crm</x:v>
      </x:c>
      <x:c r="H1483" s="39" t="str">
        <x:v>H1</x:v>
      </x:c>
      <x:c r="I1483" s="39" t="str">
        <x:v>P0</x:v>
      </x:c>
      <x:c r="J1483" s="39" t="str">
        <x:v>H23</x:v>
      </x:c>
      <x:c r="K1483" s="39" t="str">
        <x:v>نیازمند پالایش؛ حذف نشده</x:v>
      </x:c>
      <x:c r="L1483" s="39"/>
      <x:c r="M1483" s="39"/>
      <x:c r="N1483" s="39" t="str">
        <x:v>1154878548.docx::P4102.1</x:v>
      </x:c>
      <x:c r="O1483" s="39"/>
    </x:row>
    <x:row r="1484">
      <x:c r="A1484" s="34" t="str">
        <x:v>☐</x:v>
      </x:c>
      <x:c r="B1484" s="34" t="str">
        <x:v>EX-1456</x:v>
      </x:c>
      <x:c r="C1484" s="34" t="str">
        <x:v>PDE Coupled در Python</x:v>
      </x:c>
      <x:c r="D1484" s="34" t="str">
        <x:v>POSSIBLE</x:v>
      </x:c>
      <x:c r="E1484" s="34" t="str">
        <x:v>85.5</x:v>
      </x:c>
      <x:c r="F1484" s="34" t="str">
        <x:v>MI-0077</x:v>
      </x:c>
      <x:c r="G1484" s="39" t="str">
        <x:v>یادگیری هوش هیجانی و قدرت تصمیم گیری بالا در لحظه</x:v>
      </x:c>
      <x:c r="H1484" s="39" t="str">
        <x:v>H1</x:v>
      </x:c>
      <x:c r="I1484" s="39" t="str">
        <x:v>P0</x:v>
      </x:c>
      <x:c r="J1484" s="39" t="str">
        <x:v>H1</x:v>
      </x:c>
      <x:c r="K1484" s="39" t="str">
        <x:v>تطبیق احتمالی با پایه</x:v>
      </x:c>
      <x:c r="L1484" s="39" t="str">
        <x:v>MI-0077</x:v>
      </x:c>
      <x:c r="M1484" s="39" t="str">
        <x:v>یادگیری هوش هیجانی و قدرت تصمیم گیری بالا در لحظه</x:v>
      </x:c>
      <x:c r="N1484" s="39" t="str">
        <x:v>1154878548.docx::P4103.1</x:v>
      </x:c>
      <x:c r="O1484" s="39"/>
    </x:row>
    <x:row r="1485">
      <x:c r="A1485" s="34" t="str">
        <x:v>☐</x:v>
      </x:c>
      <x:c r="B1485" s="34" t="str">
        <x:v>EX-1457</x:v>
      </x:c>
      <x:c r="C1485" s="34" t="str">
        <x:v>تکنوکرات ✅ (تکرار)</x:v>
      </x:c>
      <x:c r="D1485" s="34" t="str">
        <x:v>POSSIBLE</x:v>
      </x:c>
      <x:c r="E1485" s="34" t="str">
        <x:v>90.0</x:v>
      </x:c>
      <x:c r="F1485" s="34" t="str">
        <x:v>MI-0449</x:v>
      </x:c>
      <x:c r="G1485" s="39" t="str">
        <x:v>تکنوکرات</x:v>
      </x:c>
      <x:c r="H1485" s="39" t="str">
        <x:v>H18</x:v>
      </x:c>
      <x:c r="I1485" s="39" t="str">
        <x:v>BANK</x:v>
      </x:c>
      <x:c r="J1485" s="39" t="str">
        <x:v>H18</x:v>
      </x:c>
      <x:c r="K1485" s="39" t="str">
        <x:v>تطبیق احتمالی با پایه</x:v>
      </x:c>
      <x:c r="L1485" s="39" t="str">
        <x:v>MI-0449</x:v>
      </x:c>
      <x:c r="M1485" s="39" t="str">
        <x:v>تکنوکرات</x:v>
      </x:c>
      <x:c r="N1485" s="39" t="str">
        <x:v>1154878548.docx::P4104.1</x:v>
      </x:c>
      <x:c r="O1485" s="39"/>
    </x:row>
    <x:row r="1486">
      <x:c r="A1486" s="34" t="str">
        <x:v>☐</x:v>
      </x:c>
      <x:c r="B1486" s="34" t="str">
        <x:v>EX-1458</x:v>
      </x:c>
      <x:c r="C1486" s="34" t="str">
        <x:v>مواد و انرژی</x:v>
      </x:c>
      <x:c r="D1486" s="34" t="str">
        <x:v>POSSIBLE</x:v>
      </x:c>
      <x:c r="E1486" s="34" t="str">
        <x:v>85.5</x:v>
      </x:c>
      <x:c r="F1486" s="34" t="str">
        <x:v>MI-1513</x:v>
      </x:c>
      <x:c r="G1486" s="39" t="str">
        <x:v>تولید و کارآفرینی: توانایی تولید محصول و خدمات و ایجاد شغل.</x:v>
      </x:c>
      <x:c r="H1486" s="39" t="str">
        <x:v>H1</x:v>
      </x:c>
      <x:c r="I1486" s="39" t="str">
        <x:v>P0</x:v>
      </x:c>
      <x:c r="J1486" s="39" t="str">
        <x:v>H1</x:v>
      </x:c>
      <x:c r="K1486" s="39" t="str">
        <x:v>تطبیق احتمالی با پایه</x:v>
      </x:c>
      <x:c r="L1486" s="39" t="str">
        <x:v>MI-1513</x:v>
      </x:c>
      <x:c r="M1486" s="39" t="str">
        <x:v>تولید و کارآفرینی: توانایی تولید محصول و خدمات و ایجاد شغل.</x:v>
      </x:c>
      <x:c r="N1486" s="39" t="str">
        <x:v>1154878548.docx::P4105.1</x:v>
      </x:c>
      <x:c r="O1486" s="39"/>
    </x:row>
    <x:row r="1487">
      <x:c r="A1487" s="34" t="str">
        <x:v>☐</x:v>
      </x:c>
      <x:c r="B1487" s="34" t="str">
        <x:v>EX-1459</x:v>
      </x:c>
      <x:c r="C1487" s="34" t="str">
        <x:v>رنگ خودترمیم</x:v>
      </x:c>
      <x:c r="D1487" s="34" t="str">
        <x:v>POSSIBLE</x:v>
      </x:c>
      <x:c r="E1487" s="34" t="str">
        <x:v>85.5</x:v>
      </x:c>
      <x:c r="F1487" s="34" t="str">
        <x:v>MI-0367</x:v>
      </x:c>
      <x:c r="G1487" s="39" t="str">
        <x:v>رنگ با قابلیت پوشش و ترمیم خراش</x:v>
      </x:c>
      <x:c r="H1487" s="39" t="str">
        <x:v>H18</x:v>
      </x:c>
      <x:c r="I1487" s="39" t="str">
        <x:v>BANK</x:v>
      </x:c>
      <x:c r="J1487" s="39" t="str">
        <x:v>H18</x:v>
      </x:c>
      <x:c r="K1487" s="39" t="str">
        <x:v>تطبیق احتمالی با پایه</x:v>
      </x:c>
      <x:c r="L1487" s="39" t="str">
        <x:v>MI-0367</x:v>
      </x:c>
      <x:c r="M1487" s="39" t="str">
        <x:v>رنگ با قابلیت پوشش و ترمیم خراش</x:v>
      </x:c>
      <x:c r="N1487" s="39" t="str">
        <x:v>1154878548.docx::P4106.1</x:v>
      </x:c>
      <x:c r="O1487" s="39"/>
    </x:row>
    <x:row r="1488">
      <x:c r="A1488" s="34" t="str">
        <x:v>☐</x:v>
      </x:c>
      <x:c r="B1488" s="34" t="str">
        <x:v>EX-1460</x:v>
      </x:c>
      <x:c r="C1488" s="34" t="str">
        <x:v>مواد خودترمیمشونده</x:v>
      </x:c>
      <x:c r="D1488" s="34" t="str">
        <x:v>POSSIBLE</x:v>
      </x:c>
      <x:c r="E1488" s="34" t="str">
        <x:v>85.5</x:v>
      </x:c>
      <x:c r="F1488" s="34" t="str">
        <x:v>MI-1251</x:v>
      </x:c>
      <x:c r="G1488" s="39" t="str">
        <x:v>این روش بازیافت حتی تا حدی می تواند پیش برود که باعث شود مواد بازیافتی قابل خوراکی باشند و در انواع غذا ها مورد استفاده قرار بگیرند.</x:v>
      </x:c>
      <x:c r="H1488" s="39" t="str">
        <x:v>H12</x:v>
      </x:c>
      <x:c r="I1488" s="39" t="str">
        <x:v>P2</x:v>
      </x:c>
      <x:c r="J1488" s="39" t="str">
        <x:v>H12</x:v>
      </x:c>
      <x:c r="K1488" s="39" t="str">
        <x:v>تطبیق احتمالی با پایه</x:v>
      </x:c>
      <x:c r="L1488" s="39" t="str">
        <x:v>MI-1251</x:v>
      </x:c>
      <x:c r="M1488" s="39" t="str">
        <x:v>این روش بازیافت حتی تا حدی می تواند پیش برود که باعث شود مواد بازیافتی قابل خوراکی باشند و در انواع غذا ها مورد استفاده قرار بگیرند.</x:v>
      </x:c>
      <x:c r="N1488" s="39" t="str">
        <x:v>1154878548.docx::P4107.1</x:v>
      </x:c>
      <x:c r="O1488" s="39"/>
    </x:row>
    <x:row r="1489">
      <x:c r="A1489" s="34" t="str">
        <x:v>☐</x:v>
      </x:c>
      <x:c r="B1489" s="34" t="str">
        <x:v>EX-1461</x:v>
      </x:c>
      <x:c r="C1489" s="34" t="str">
        <x:v>مواد انرژیمحور پایدار</x:v>
      </x:c>
      <x:c r="D1489" s="34" t="str">
        <x:v>POSSIBLE</x:v>
      </x:c>
      <x:c r="E1489" s="34" t="str">
        <x:v>85.5</x:v>
      </x:c>
      <x:c r="F1489" s="34" t="str">
        <x:v>MI-1201</x:v>
      </x:c>
      <x:c r="G1489" s="39" t="str">
        <x:v>پست سلف مکمل از دکتر پایدار بخواه اطلاعاتش رو</x:v>
      </x:c>
      <x:c r="H1489" s="39" t="str">
        <x:v>H11</x:v>
      </x:c>
      <x:c r="I1489" s="39" t="str">
        <x:v>DELEGATE/P2</x:v>
      </x:c>
      <x:c r="J1489" s="39" t="str">
        <x:v>H11</x:v>
      </x:c>
      <x:c r="K1489" s="39" t="str">
        <x:v>تطبیق احتمالی با پایه</x:v>
      </x:c>
      <x:c r="L1489" s="39" t="str">
        <x:v>MI-1201</x:v>
      </x:c>
      <x:c r="M1489" s="39" t="str">
        <x:v>پست سلف مکمل از دکتر پایدار بخواه اطلاعاتش رو</x:v>
      </x:c>
      <x:c r="N1489" s="39" t="str">
        <x:v>1154878548.docx::P4108.1</x:v>
      </x:c>
      <x:c r="O1489" s="39"/>
    </x:row>
    <x:row r="1490">
      <x:c r="A1490" s="34" t="str">
        <x:v>☐</x:v>
      </x:c>
      <x:c r="B1490" s="34" t="str">
        <x:v>EX-1462</x:v>
      </x:c>
      <x:c r="C1490" s="34" t="str">
        <x:v>۹. مدیریت، مذاکره و دانش میدانی</x:v>
      </x:c>
      <x:c r="D1490" s="34" t="str">
        <x:v>POSSIBLE</x:v>
      </x:c>
      <x:c r="E1490" s="34" t="str">
        <x:v>90.0</x:v>
      </x:c>
      <x:c r="F1490" s="34" t="str">
        <x:v>MI-2500</x:v>
      </x:c>
      <x:c r="G1490" s="39" t="str">
        <x:v>مذاکره</x:v>
      </x:c>
      <x:c r="H1490" s="39" t="str">
        <x:v>H4</x:v>
      </x:c>
      <x:c r="I1490" s="39" t="str">
        <x:v>P1</x:v>
      </x:c>
      <x:c r="J1490" s="39" t="str">
        <x:v>H4</x:v>
      </x:c>
      <x:c r="K1490" s="39" t="str">
        <x:v>تطبیق احتمالی با پایه</x:v>
      </x:c>
      <x:c r="L1490" s="39" t="str">
        <x:v>MI-2500</x:v>
      </x:c>
      <x:c r="M1490" s="39" t="str">
        <x:v>مذاکره</x:v>
      </x:c>
      <x:c r="N1490" s="39" t="str">
        <x:v>1154878548.docx::P4110.1</x:v>
      </x:c>
      <x:c r="O1490" s="39"/>
    </x:row>
    <x:row r="1491">
      <x:c r="A1491" s="34" t="str">
        <x:v>☐</x:v>
      </x:c>
      <x:c r="B1491" s="34" t="str">
        <x:v>EX-1463</x:v>
      </x:c>
      <x:c r="C1491" s="34" t="str">
        <x:v>(Operational Knowledge)</x:v>
      </x:c>
      <x:c r="D1491" s="34" t="str">
        <x:v>POSSIBLE</x:v>
      </x:c>
      <x:c r="E1491" s="34" t="str">
        <x:v>85.5</x:v>
      </x:c>
      <x:c r="F1491" s="34" t="str">
        <x:v>MI-1865</x:v>
      </x:c>
      <x:c r="G1491" s="39" t="str">
        <x:v>Knowledge (دانش)</x:v>
      </x:c>
      <x:c r="H1491" s="39" t="str">
        <x:v>H20</x:v>
      </x:c>
      <x:c r="I1491" s="39" t="str">
        <x:v>P3/CLARIFY</x:v>
      </x:c>
      <x:c r="J1491" s="39" t="str">
        <x:v>H20</x:v>
      </x:c>
      <x:c r="K1491" s="39" t="str">
        <x:v>تطبیق احتمالی با پایه</x:v>
      </x:c>
      <x:c r="L1491" s="39" t="str">
        <x:v>MI-1865</x:v>
      </x:c>
      <x:c r="M1491" s="39" t="str">
        <x:v>Knowledge (دانش)</x:v>
      </x:c>
      <x:c r="N1491" s="39" t="str">
        <x:v>1154878548.docx::P4111.1</x:v>
      </x:c>
      <x:c r="O1491" s="39"/>
    </x:row>
    <x:row r="1492">
      <x:c r="A1492" s="34" t="str">
        <x:v>☐</x:v>
      </x:c>
      <x:c r="B1492" s="34" t="str">
        <x:v>EX-1464</x:v>
      </x:c>
      <x:c r="C1492" s="34" t="str">
        <x:v>کسبوکار واقعی</x:v>
      </x:c>
      <x:c r="D1492" s="34" t="str">
        <x:v>POSSIBLE</x:v>
      </x:c>
      <x:c r="E1492" s="34" t="str">
        <x:v>90.0</x:v>
      </x:c>
      <x:c r="F1492" s="34" t="str">
        <x:v>MI-2545</x:v>
      </x:c>
      <x:c r="G1492" s="39" t="str">
        <x:v>کار:</x:v>
      </x:c>
      <x:c r="H1492" s="39" t="str">
        <x:v>H20</x:v>
      </x:c>
      <x:c r="I1492" s="39" t="str">
        <x:v>P3/CLARIFY</x:v>
      </x:c>
      <x:c r="J1492" s="39" t="str">
        <x:v>H20</x:v>
      </x:c>
      <x:c r="K1492" s="39" t="str">
        <x:v>تطبیق احتمالی با پایه</x:v>
      </x:c>
      <x:c r="L1492" s="39" t="str">
        <x:v>MI-2545</x:v>
      </x:c>
      <x:c r="M1492" s="39" t="str">
        <x:v>کار:</x:v>
      </x:c>
      <x:c r="N1492" s="39" t="str">
        <x:v>1154878548.docx::P4118.1</x:v>
      </x:c>
      <x:c r="O1492" s="39"/>
    </x:row>
    <x:row r="1493">
      <x:c r="A1493" s="34" t="str">
        <x:v>☐</x:v>
      </x:c>
      <x:c r="B1493" s="34" t="str">
        <x:v>EX-1465</x:v>
      </x:c>
      <x:c r="C1493" s="34" t="str">
        <x:v>کراس استافینگ</x:v>
      </x:c>
      <x:c r="D1493" s="34" t="str">
        <x:v>UNMAPPED</x:v>
      </x:c>
      <x:c r="E1493" s="34" t="str">
        <x:v>72.0</x:v>
      </x:c>
      <x:c r="F1493" s="34" t="str">
        <x:v>MI-0265</x:v>
      </x:c>
      <x:c r="G1493" s="39" t="str">
        <x:v>ام اس</x:v>
      </x:c>
      <x:c r="H1493" s="39" t="str">
        <x:v>H13</x:v>
      </x:c>
      <x:c r="I1493" s="39" t="str">
        <x:v>P2</x:v>
      </x:c>
      <x:c r="J1493" s="39" t="str">
        <x:v>H23</x:v>
      </x:c>
      <x:c r="K1493" s="39" t="str">
        <x:v>نیازمند پالایش؛ حذف نشده</x:v>
      </x:c>
      <x:c r="L1493" s="39"/>
      <x:c r="M1493" s="39"/>
      <x:c r="N1493" s="39" t="str">
        <x:v>1154878548.docx::P4119.1</x:v>
      </x:c>
      <x:c r="O1493" s="39"/>
    </x:row>
    <x:row r="1494">
      <x:c r="A1494" s="34" t="str">
        <x:v>☐</x:v>
      </x:c>
      <x:c r="B1494" s="34" t="str">
        <x:v>EX-1466</x:v>
      </x:c>
      <x:c r="C1494" s="34" t="str">
        <x:v>Pay What You Want</x:v>
      </x:c>
      <x:c r="D1494" s="34" t="str">
        <x:v>POSSIBLE</x:v>
      </x:c>
      <x:c r="E1494" s="34" t="str">
        <x:v>90.0</x:v>
      </x:c>
      <x:c r="F1494" s="34" t="str">
        <x:v>MI-0516</x:v>
      </x:c>
      <x:c r="G1494" s="39" t="str">
        <x:v>استراتژی pay what you want</x:v>
      </x:c>
      <x:c r="H1494" s="39" t="str">
        <x:v>H18</x:v>
      </x:c>
      <x:c r="I1494" s="39" t="str">
        <x:v>BANK</x:v>
      </x:c>
      <x:c r="J1494" s="39" t="str">
        <x:v>H18</x:v>
      </x:c>
      <x:c r="K1494" s="39" t="str">
        <x:v>تطبیق احتمالی با پایه</x:v>
      </x:c>
      <x:c r="L1494" s="39" t="str">
        <x:v>MI-0516</x:v>
      </x:c>
      <x:c r="M1494" s="39" t="str">
        <x:v>استراتژی pay what you want</x:v>
      </x:c>
      <x:c r="N1494" s="39" t="str">
        <x:v>1154878548.docx::P4120.1</x:v>
      </x:c>
      <x:c r="O1494" s="39"/>
    </x:row>
    <x:row r="1495">
      <x:c r="A1495" s="34" t="str">
        <x:v>☐</x:v>
      </x:c>
      <x:c r="B1495" s="34" t="str">
        <x:v>EX-1467</x:v>
      </x:c>
      <x:c r="C1495" s="34" t="str">
        <x:v>وینچ ۱۰ تن</x:v>
      </x:c>
      <x:c r="D1495" s="34" t="str">
        <x:v>UNMAPPED</x:v>
      </x:c>
      <x:c r="E1495" s="34" t="str">
        <x:v>80.0</x:v>
      </x:c>
      <x:c r="F1495" s="34" t="str">
        <x:v>MI-0392</x:v>
      </x:c>
      <x:c r="G1495" s="39" t="str">
        <x:v>وینچ 10 تن</x:v>
      </x:c>
      <x:c r="H1495" s="39" t="str">
        <x:v>H18</x:v>
      </x:c>
      <x:c r="I1495" s="39" t="str">
        <x:v>BANK</x:v>
      </x:c>
      <x:c r="J1495" s="39" t="str">
        <x:v>H23</x:v>
      </x:c>
      <x:c r="K1495" s="39" t="str">
        <x:v>نیازمند پالایش؛ حذف نشده</x:v>
      </x:c>
      <x:c r="L1495" s="39"/>
      <x:c r="M1495" s="39"/>
      <x:c r="N1495" s="39" t="str">
        <x:v>1154878548.docx::P4122.1</x:v>
      </x:c>
      <x:c r="O1495" s="39"/>
    </x:row>
    <x:row r="1496">
      <x:c r="A1496" s="34" t="str">
        <x:v>☐</x:v>
      </x:c>
      <x:c r="B1496" s="34" t="str">
        <x:v>EX-1468</x:v>
      </x:c>
      <x:c r="C1496" s="34" t="str">
        <x:v>بلنکهای سوئیفتی</x:v>
      </x:c>
      <x:c r="D1496" s="34" t="str">
        <x:v>POSSIBLE</x:v>
      </x:c>
      <x:c r="E1496" s="34" t="str">
        <x:v>90.3</x:v>
      </x:c>
      <x:c r="F1496" s="34" t="str">
        <x:v>MI-0391</x:v>
      </x:c>
      <x:c r="G1496" s="39" t="str">
        <x:v>بلنک های سوییفتی</x:v>
      </x:c>
      <x:c r="H1496" s="39" t="str">
        <x:v>H18</x:v>
      </x:c>
      <x:c r="I1496" s="39" t="str">
        <x:v>BANK</x:v>
      </x:c>
      <x:c r="J1496" s="39" t="str">
        <x:v>H18</x:v>
      </x:c>
      <x:c r="K1496" s="39" t="str">
        <x:v>تطبیق احتمالی با پایه</x:v>
      </x:c>
      <x:c r="L1496" s="39" t="str">
        <x:v>MI-0391</x:v>
      </x:c>
      <x:c r="M1496" s="39" t="str">
        <x:v>بلنک های سوییفتی</x:v>
      </x:c>
      <x:c r="N1496" s="39" t="str">
        <x:v>1154878548.docx::P4123.1</x:v>
      </x:c>
      <x:c r="O1496" s="39"/>
    </x:row>
    <x:row r="1497">
      <x:c r="A1497" s="34" t="str">
        <x:v>☐</x:v>
      </x:c>
      <x:c r="B1497" s="34" t="str">
        <x:v>EX-1469</x:v>
      </x:c>
      <x:c r="C1497" s="34" t="str">
        <x:v>niche working</x:v>
      </x:c>
      <x:c r="D1497" s="34" t="str">
        <x:v>POSSIBLE</x:v>
      </x:c>
      <x:c r="E1497" s="34" t="str">
        <x:v>85.5</x:v>
      </x:c>
      <x:c r="F1497" s="34" t="str">
        <x:v>MI-0161</x:v>
      </x:c>
      <x:c r="G1497" s="39" t="str">
        <x:v>N&amp;N</x:v>
      </x:c>
      <x:c r="H1497" s="39" t="str">
        <x:v>H23</x:v>
      </x:c>
      <x:c r="I1497" s="39" t="str">
        <x:v>P3/CLARIFY</x:v>
      </x:c>
      <x:c r="J1497" s="39" t="str">
        <x:v>H23</x:v>
      </x:c>
      <x:c r="K1497" s="39" t="str">
        <x:v>تطبیق احتمالی با پایه</x:v>
      </x:c>
      <x:c r="L1497" s="39" t="str">
        <x:v>MI-0161</x:v>
      </x:c>
      <x:c r="M1497" s="39" t="str">
        <x:v>N&amp;N</x:v>
      </x:c>
      <x:c r="N1497" s="39" t="str">
        <x:v>1154878548.docx::P4125.1</x:v>
      </x:c>
      <x:c r="O1497" s="39"/>
    </x:row>
    <x:row r="1498">
      <x:c r="A1498" s="34" t="str">
        <x:v>☐</x:v>
      </x:c>
      <x:c r="B1498" s="34" t="str">
        <x:v>EX-1470</x:v>
      </x:c>
      <x:c r="C1498" s="34" t="str">
        <x:v>۱۰. منابع مطالعاتی و متا-یادگیری</x:v>
      </x:c>
      <x:c r="D1498" s="34" t="str">
        <x:v>POSSIBLE</x:v>
      </x:c>
      <x:c r="E1498" s="34" t="str">
        <x:v>90.0</x:v>
      </x:c>
      <x:c r="F1498" s="34" t="str">
        <x:v>MI-2797</x:v>
      </x:c>
      <x:c r="G1498" s="39" t="str">
        <x:v>منابع:</x:v>
      </x:c>
      <x:c r="H1498" s="39" t="str">
        <x:v>H20</x:v>
      </x:c>
      <x:c r="I1498" s="39" t="str">
        <x:v>P3/CLARIFY</x:v>
      </x:c>
      <x:c r="J1498" s="39" t="str">
        <x:v>H20</x:v>
      </x:c>
      <x:c r="K1498" s="39" t="str">
        <x:v>تطبیق احتمالی با پایه</x:v>
      </x:c>
      <x:c r="L1498" s="39" t="str">
        <x:v>MI-2797</x:v>
      </x:c>
      <x:c r="M1498" s="39" t="str">
        <x:v>منابع:</x:v>
      </x:c>
      <x:c r="N1498" s="39" t="str">
        <x:v>1154878548.docx::P4127.1</x:v>
      </x:c>
      <x:c r="O1498" s="39"/>
    </x:row>
    <x:row r="1499">
      <x:c r="A1499" s="34" t="str">
        <x:v>☐</x:v>
      </x:c>
      <x:c r="B1499" s="34" t="str">
        <x:v>EX-1471</x:v>
      </x:c>
      <x:c r="C1499" s="34" t="str">
        <x:v>(Meta Knowledge)</x:v>
      </x:c>
      <x:c r="D1499" s="34" t="str">
        <x:v>POSSIBLE</x:v>
      </x:c>
      <x:c r="E1499" s="34" t="str">
        <x:v>85.5</x:v>
      </x:c>
      <x:c r="F1499" s="34" t="str">
        <x:v>MI-0161</x:v>
      </x:c>
      <x:c r="G1499" s="39" t="str">
        <x:v>N&amp;N</x:v>
      </x:c>
      <x:c r="H1499" s="39" t="str">
        <x:v>H23</x:v>
      </x:c>
      <x:c r="I1499" s="39" t="str">
        <x:v>P3/CLARIFY</x:v>
      </x:c>
      <x:c r="J1499" s="39" t="str">
        <x:v>H23</x:v>
      </x:c>
      <x:c r="K1499" s="39" t="str">
        <x:v>تطبیق احتمالی با پایه</x:v>
      </x:c>
      <x:c r="L1499" s="39" t="str">
        <x:v>MI-0161</x:v>
      </x:c>
      <x:c r="M1499" s="39" t="str">
        <x:v>N&amp;N</x:v>
      </x:c>
      <x:c r="N1499" s="39" t="str">
        <x:v>1154878548.docx::P4128.1</x:v>
      </x:c>
      <x:c r="O1499" s="39"/>
    </x:row>
    <x:row r="1500">
      <x:c r="A1500" s="34" t="str">
        <x:v>☐</x:v>
      </x:c>
      <x:c r="B1500" s="34" t="str">
        <x:v>EX-1472</x:v>
      </x:c>
      <x:c r="C1500" s="34" t="str">
        <x:v>پایگاهها</x:v>
      </x:c>
      <x:c r="D1500" s="34" t="str">
        <x:v>UNMAPPED</x:v>
      </x:c>
      <x:c r="E1500" s="34" t="str">
        <x:v>73.7</x:v>
      </x:c>
      <x:c r="F1500" s="34" t="str">
        <x:v>MI-1995</x:v>
      </x:c>
      <x:c r="G1500" s="39" t="str">
        <x:v>نمایشگاه ها</x:v>
      </x:c>
      <x:c r="H1500" s="39" t="str">
        <x:v>H20</x:v>
      </x:c>
      <x:c r="I1500" s="39" t="str">
        <x:v>P3/CLARIFY</x:v>
      </x:c>
      <x:c r="J1500" s="39" t="str">
        <x:v>H23</x:v>
      </x:c>
      <x:c r="K1500" s="39" t="str">
        <x:v>نیازمند پالایش؛ حذف نشده</x:v>
      </x:c>
      <x:c r="L1500" s="39"/>
      <x:c r="M1500" s="39"/>
      <x:c r="N1500" s="39" t="str">
        <x:v>1154878548.docx::P4129.1</x:v>
      </x:c>
      <x:c r="O1500" s="39"/>
    </x:row>
    <x:row r="1501">
      <x:c r="A1501" s="34" t="str">
        <x:v>☐</x:v>
      </x:c>
      <x:c r="B1501" s="34" t="str">
        <x:v>EX-1473</x:v>
      </x:c>
      <x:c r="C1501" s="34" t="str">
        <x:v>کتابها</x:v>
      </x:c>
      <x:c r="D1501" s="34" t="str">
        <x:v>UNMAPPED</x:v>
      </x:c>
      <x:c r="E1501" s="34" t="str">
        <x:v>75.0</x:v>
      </x:c>
      <x:c r="F1501" s="34" t="str">
        <x:v>MI-1043</x:v>
      </x:c>
      <x:c r="G1501" s="39" t="str">
        <x:v>ابگرم در کتابخانه مرکزی</x:v>
      </x:c>
      <x:c r="H1501" s="39" t="str">
        <x:v>H9</x:v>
      </x:c>
      <x:c r="I1501" s="39" t="str">
        <x:v>BANK</x:v>
      </x:c>
      <x:c r="J1501" s="39" t="str">
        <x:v>H23</x:v>
      </x:c>
      <x:c r="K1501" s="39" t="str">
        <x:v>نیازمند پالایش؛ حذف نشده</x:v>
      </x:c>
      <x:c r="L1501" s="39"/>
      <x:c r="M1501" s="39"/>
      <x:c r="N1501" s="39" t="str">
        <x:v>1154878548.docx::P4137.1</x:v>
      </x:c>
      <x:c r="O1501" s="39"/>
    </x:row>
    <x:row r="1502">
      <x:c r="A1502" s="34" t="str">
        <x:v>☐</x:v>
      </x:c>
      <x:c r="B1502" s="34" t="str">
        <x:v>EX-1474</x:v>
      </x:c>
      <x:c r="C1502" s="34" t="str">
        <x:v>دیل کارنگی - Public Speaking</x:v>
      </x:c>
      <x:c r="D1502" s="34" t="str">
        <x:v>POSSIBLE</x:v>
      </x:c>
      <x:c r="E1502" s="34" t="str">
        <x:v>85.5</x:v>
      </x:c>
      <x:c r="F1502" s="34" t="str">
        <x:v>MI-0552</x:v>
      </x:c>
      <x:c r="G1502" s="39" t="str">
        <x:v>دیل کارنگی و کتاب public speaking an influencing men in bussiness</x:v>
      </x:c>
      <x:c r="H1502" s="39" t="str">
        <x:v>H18</x:v>
      </x:c>
      <x:c r="I1502" s="39" t="str">
        <x:v>BANK</x:v>
      </x:c>
      <x:c r="J1502" s="39" t="str">
        <x:v>H18</x:v>
      </x:c>
      <x:c r="K1502" s="39" t="str">
        <x:v>تطبیق احتمالی با پایه</x:v>
      </x:c>
      <x:c r="L1502" s="39" t="str">
        <x:v>MI-0552</x:v>
      </x:c>
      <x:c r="M1502" s="39" t="str">
        <x:v>دیل کارنگی و کتاب public speaking an influencing men in bussiness</x:v>
      </x:c>
      <x:c r="N1502" s="39" t="str">
        <x:v>1154878548.docx::P4139.1</x:v>
      </x:c>
      <x:c r="O1502" s="39"/>
    </x:row>
    <x:row r="1503">
      <x:c r="A1503" s="34" t="str">
        <x:v>☐</x:v>
      </x:c>
      <x:c r="B1503" s="34" t="str">
        <x:v>EX-1475</x:v>
      </x:c>
      <x:c r="C1503" s="34" t="str">
        <x:v>زندگی - علامه جعفری</x:v>
      </x:c>
      <x:c r="D1503" s="34" t="str">
        <x:v>POSSIBLE</x:v>
      </x:c>
      <x:c r="E1503" s="34" t="str">
        <x:v>90.0</x:v>
      </x:c>
      <x:c r="F1503" s="34" t="str">
        <x:v>MI-1174</x:v>
      </x:c>
      <x:c r="G1503" s="39" t="str">
        <x:v>جعفری</x:v>
      </x:c>
      <x:c r="H1503" s="39" t="str">
        <x:v>H11</x:v>
      </x:c>
      <x:c r="I1503" s="39" t="str">
        <x:v>DELEGATE/P2</x:v>
      </x:c>
      <x:c r="J1503" s="39" t="str">
        <x:v>H11</x:v>
      </x:c>
      <x:c r="K1503" s="39" t="str">
        <x:v>تطبیق احتمالی با پایه</x:v>
      </x:c>
      <x:c r="L1503" s="39" t="str">
        <x:v>MI-1174</x:v>
      </x:c>
      <x:c r="M1503" s="39" t="str">
        <x:v>جعفری</x:v>
      </x:c>
      <x:c r="N1503" s="39" t="str">
        <x:v>1154878548.docx::P4141.1</x:v>
      </x:c>
      <x:c r="O1503" s="39"/>
    </x:row>
    <x:row r="1504">
      <x:c r="A1504" s="34" t="str">
        <x:v>☐</x:v>
      </x:c>
      <x:c r="B1504" s="34" t="str">
        <x:v>EX-1476</x:v>
      </x:c>
      <x:c r="C1504" s="34" t="str">
        <x:v>تاریخ معاصر از منظر رهبری</x:v>
      </x:c>
      <x:c r="D1504" s="34" t="str">
        <x:v>POSSIBLE</x:v>
      </x:c>
      <x:c r="E1504" s="34" t="str">
        <x:v>88.0</x:v>
      </x:c>
      <x:c r="F1504" s="34" t="str">
        <x:v>MI-0570</x:v>
      </x:c>
      <x:c r="G1504" s="39" t="str">
        <x:v>تاریخ معاصر از نگاه رهبری</x:v>
      </x:c>
      <x:c r="H1504" s="39" t="str">
        <x:v>H18</x:v>
      </x:c>
      <x:c r="I1504" s="39" t="str">
        <x:v>BANK</x:v>
      </x:c>
      <x:c r="J1504" s="39" t="str">
        <x:v>H18</x:v>
      </x:c>
      <x:c r="K1504" s="39" t="str">
        <x:v>تطبیق احتمالی با پایه</x:v>
      </x:c>
      <x:c r="L1504" s="39" t="str">
        <x:v>MI-0570</x:v>
      </x:c>
      <x:c r="M1504" s="39" t="str">
        <x:v>تاریخ معاصر از نگاه رهبری</x:v>
      </x:c>
      <x:c r="N1504" s="39" t="str">
        <x:v>1154878548.docx::P4142.1</x:v>
      </x:c>
      <x:c r="O1504" s="39"/>
    </x:row>
    <x:row r="1505">
      <x:c r="A1505" s="34" t="str">
        <x:v>☐</x:v>
      </x:c>
      <x:c r="B1505" s="34" t="str">
        <x:v>EX-1477</x:v>
      </x:c>
      <x:c r="C1505" s="34" t="str">
        <x:v>میزانالحکمه</x:v>
      </x:c>
      <x:c r="D1505" s="34" t="str">
        <x:v>UNMAPPED</x:v>
      </x:c>
      <x:c r="E1505" s="34" t="str">
        <x:v>81.8</x:v>
      </x:c>
      <x:c r="F1505" s="34" t="str">
        <x:v>MI-0591</x:v>
      </x:c>
      <x:c r="G1505" s="39" t="str">
        <x:v>کتاب میزان الحکمه</x:v>
      </x:c>
      <x:c r="H1505" s="39" t="str">
        <x:v>H18</x:v>
      </x:c>
      <x:c r="I1505" s="39" t="str">
        <x:v>BANK</x:v>
      </x:c>
      <x:c r="J1505" s="39" t="str">
        <x:v>H23</x:v>
      </x:c>
      <x:c r="K1505" s="39" t="str">
        <x:v>نیازمند پالایش؛ حذف نشده</x:v>
      </x:c>
      <x:c r="L1505" s="39"/>
      <x:c r="M1505" s="39"/>
      <x:c r="N1505" s="39" t="str">
        <x:v>1154878548.docx::P4147.1</x:v>
      </x:c>
      <x:c r="O1505" s="39"/>
    </x:row>
    <x:row r="1506">
      <x:c r="A1506" s="34" t="str">
        <x:v>☐</x:v>
      </x:c>
      <x:c r="B1506" s="34" t="str">
        <x:v>EX-1478</x:v>
      </x:c>
      <x:c r="C1506" s="34" t="str">
        <x:v>دیوارکشی</x:v>
      </x:c>
      <x:c r="D1506" s="34" t="str">
        <x:v>UNMAPPED</x:v>
      </x:c>
      <x:c r="E1506" s="34" t="str">
        <x:v>78.8</x:v>
      </x:c>
      <x:c r="F1506" s="34" t="str">
        <x:v>MI-0406</x:v>
      </x:c>
      <x:c r="G1506" s="39" t="str">
        <x:v>مستند دیوار کشی</x:v>
      </x:c>
      <x:c r="H1506" s="39" t="str">
        <x:v>H18</x:v>
      </x:c>
      <x:c r="I1506" s="39" t="str">
        <x:v>BANK</x:v>
      </x:c>
      <x:c r="J1506" s="39" t="str">
        <x:v>H23</x:v>
      </x:c>
      <x:c r="K1506" s="39" t="str">
        <x:v>نیازمند پالایش؛ حذف نشده</x:v>
      </x:c>
      <x:c r="L1506" s="39"/>
      <x:c r="M1506" s="39"/>
      <x:c r="N1506" s="39" t="str">
        <x:v>1154878548.docx::P4155.1</x:v>
      </x:c>
      <x:c r="O1506" s="39"/>
    </x:row>
    <x:row r="1507">
      <x:c r="A1507" s="34" t="str">
        <x:v>☐</x:v>
      </x:c>
      <x:c r="B1507" s="34" t="str">
        <x:v>EX-1479</x:v>
      </x:c>
      <x:c r="C1507" s="34" t="str">
        <x:v>تلبیس</x:v>
      </x:c>
      <x:c r="D1507" s="34" t="str">
        <x:v>POSSIBLE</x:v>
      </x:c>
      <x:c r="E1507" s="34" t="str">
        <x:v>90.0</x:v>
      </x:c>
      <x:c r="F1507" s="34" t="str">
        <x:v>MI-0414</x:v>
      </x:c>
      <x:c r="G1507" s="39" t="str">
        <x:v>فیلم مستند تلبیس</x:v>
      </x:c>
      <x:c r="H1507" s="39" t="str">
        <x:v>H15</x:v>
      </x:c>
      <x:c r="I1507" s="39" t="str">
        <x:v>BANK</x:v>
      </x:c>
      <x:c r="J1507" s="39" t="str">
        <x:v>H15</x:v>
      </x:c>
      <x:c r="K1507" s="39" t="str">
        <x:v>تطبیق احتمالی با پایه</x:v>
      </x:c>
      <x:c r="L1507" s="39" t="str">
        <x:v>MI-0414</x:v>
      </x:c>
      <x:c r="M1507" s="39" t="str">
        <x:v>فیلم مستند تلبیس</x:v>
      </x:c>
      <x:c r="N1507" s="39" t="str">
        <x:v>1154878548.docx::P4156.1</x:v>
      </x:c>
      <x:c r="O1507" s="39"/>
    </x:row>
    <x:row r="1508">
      <x:c r="A1508" s="34" t="str">
        <x:v>☐</x:v>
      </x:c>
      <x:c r="B1508" s="34" t="str">
        <x:v>EX-1480</x:v>
      </x:c>
      <x:c r="C1508" s="34" t="str">
        <x:v>سایر</x:v>
      </x:c>
      <x:c r="D1508" s="34" t="str">
        <x:v>POSSIBLE</x:v>
      </x:c>
      <x:c r="E1508" s="34" t="str">
        <x:v>90.0</x:v>
      </x:c>
      <x:c r="F1508" s="34" t="str">
        <x:v>MI-1490</x:v>
      </x:c>
      <x:c r="G1508" s="39" t="str">
        <x:v>سایر مهارت های فنی:</x:v>
      </x:c>
      <x:c r="H1508" s="39" t="str">
        <x:v>H1</x:v>
      </x:c>
      <x:c r="I1508" s="39" t="str">
        <x:v>P0</x:v>
      </x:c>
      <x:c r="J1508" s="39" t="str">
        <x:v>H1</x:v>
      </x:c>
      <x:c r="K1508" s="39" t="str">
        <x:v>تطبیق احتمالی با پایه</x:v>
      </x:c>
      <x:c r="L1508" s="39" t="str">
        <x:v>MI-1490</x:v>
      </x:c>
      <x:c r="M1508" s="39" t="str">
        <x:v>سایر مهارت های فنی:</x:v>
      </x:c>
      <x:c r="N1508" s="39" t="str">
        <x:v>1154878548.docx::P4157.1</x:v>
      </x:c>
      <x:c r="O1508" s="39"/>
    </x:row>
    <x:row r="1509">
      <x:c r="A1509" s="34" t="str">
        <x:v>☐</x:v>
      </x:c>
      <x:c r="B1509" s="34" t="str">
        <x:v>EX-1481</x:v>
      </x:c>
      <x:c r="C1509" s="34" t="str">
        <x:v>پاپا اسکوار</x:v>
      </x:c>
      <x:c r="D1509" s="34" t="str">
        <x:v>UNMAPPED</x:v>
      </x:c>
      <x:c r="E1509" s="34" t="str">
        <x:v>78.3</x:v>
      </x:c>
      <x:c r="F1509" s="34" t="str">
        <x:v>MI-0376</x:v>
      </x:c>
      <x:c r="G1509" s="39" t="str">
        <x:v>پابلو اسکوار</x:v>
      </x:c>
      <x:c r="H1509" s="39" t="str">
        <x:v>H18</x:v>
      </x:c>
      <x:c r="I1509" s="39" t="str">
        <x:v>BANK</x:v>
      </x:c>
      <x:c r="J1509" s="39" t="str">
        <x:v>H23</x:v>
      </x:c>
      <x:c r="K1509" s="39" t="str">
        <x:v>نیازمند پالایش؛ حذف نشده</x:v>
      </x:c>
      <x:c r="L1509" s="39"/>
      <x:c r="M1509" s="39"/>
      <x:c r="N1509" s="39" t="str">
        <x:v>1154878548.docx::P4159.1</x:v>
      </x:c>
      <x:c r="O1509" s="39"/>
    </x:row>
    <x:row r="1510">
      <x:c r="A1510" s="34" t="str">
        <x:v>☐</x:v>
      </x:c>
      <x:c r="B1510" s="34" t="str">
        <x:v>EX-1482</x:v>
      </x:c>
      <x:c r="C1510" s="34" t="str">
        <x:v>دکتر خطیبی - اردوگاه ۱۱ تاکتیک</x:v>
      </x:c>
      <x:c r="D1510" s="34" t="str">
        <x:v>POSSIBLE</x:v>
      </x:c>
      <x:c r="E1510" s="34" t="str">
        <x:v>89.6</x:v>
      </x:c>
      <x:c r="F1510" s="34" t="str">
        <x:v>MI-0452</x:v>
      </x:c>
      <x:c r="G1510" s="39" t="str">
        <x:v>دکتر خطیبی مازندران اردوگاه 11 تاکتیک</x:v>
      </x:c>
      <x:c r="H1510" s="39" t="str">
        <x:v>H14</x:v>
      </x:c>
      <x:c r="I1510" s="39" t="str">
        <x:v>BANK</x:v>
      </x:c>
      <x:c r="J1510" s="39" t="str">
        <x:v>H14</x:v>
      </x:c>
      <x:c r="K1510" s="39" t="str">
        <x:v>تطبیق احتمالی با پایه</x:v>
      </x:c>
      <x:c r="L1510" s="39" t="str">
        <x:v>MI-0452</x:v>
      </x:c>
      <x:c r="M1510" s="39" t="str">
        <x:v>دکتر خطیبی مازندران اردوگاه 11 تاکتیک</x:v>
      </x:c>
      <x:c r="N1510" s="39" t="str">
        <x:v>1154878548.docx::P4160.1</x:v>
      </x:c>
      <x:c r="O1510" s="39"/>
    </x:row>
    <x:row r="1511">
      <x:c r="A1511" s="34" t="str">
        <x:v>☐</x:v>
      </x:c>
      <x:c r="B1511" s="34" t="str">
        <x:v>EX-1483</x:v>
      </x:c>
      <x:c r="C1511" s="34" t="str">
        <x:v>🔗 پیوست رسمی بینالملل (بدون حذف حتی یک لینک)</x:v>
      </x:c>
      <x:c r="D1511" s="34" t="str">
        <x:v>POSSIBLE</x:v>
      </x:c>
      <x:c r="E1511" s="34" t="str">
        <x:v>85.5</x:v>
      </x:c>
      <x:c r="F1511" s="34" t="str">
        <x:v>MI-3098</x:v>
      </x:c>
      <x:c r="G1511" s="39" t="str">
        <x:v>حتی وقتی خسته هستید یا استرس دارید، باز هم دوست دارید چه کاری رو انجام دهید؟</x:v>
      </x:c>
      <x:c r="H1511" s="39" t="str">
        <x:v>H1</x:v>
      </x:c>
      <x:c r="I1511" s="39" t="str">
        <x:v>P0</x:v>
      </x:c>
      <x:c r="J1511" s="39" t="str">
        <x:v>H1</x:v>
      </x:c>
      <x:c r="K1511" s="39" t="str">
        <x:v>تطبیق احتمالی با پایه</x:v>
      </x:c>
      <x:c r="L1511" s="39" t="str">
        <x:v>MI-3098</x:v>
      </x:c>
      <x:c r="M1511" s="39" t="str">
        <x:v>حتی وقتی خسته هستید یا استرس دارید، باز هم دوست دارید چه کاری رو انجام دهید؟</x:v>
      </x:c>
      <x:c r="N1511" s="39" t="str">
        <x:v>1154878548.docx::P4162.1</x:v>
      </x:c>
      <x:c r="O1511" s="39"/>
    </x:row>
    <x:row r="1512">
      <x:c r="A1512" s="34" t="str">
        <x:v>☐</x:v>
      </x:c>
      <x:c r="B1512" s="34" t="str">
        <x:v>EX-1484</x:v>
      </x:c>
      <x:c r="C1512" s="34" t="str">
        <x:v>مرکز همکاریهای تحول و پیشرفت - مطالعات بینالملل</x:v>
      </x:c>
      <x:c r="D1512" s="34" t="str">
        <x:v>POSSIBLE</x:v>
      </x:c>
      <x:c r="E1512" s="34" t="str">
        <x:v>90.0</x:v>
      </x:c>
      <x:c r="F1512" s="34" t="str">
        <x:v>MI-1810</x:v>
      </x:c>
      <x:c r="G1512" s="39" t="str">
        <x:v>همکاری</x:v>
      </x:c>
      <x:c r="H1512" s="39" t="str">
        <x:v>H20</x:v>
      </x:c>
      <x:c r="I1512" s="39" t="str">
        <x:v>P3/CLARIFY</x:v>
      </x:c>
      <x:c r="J1512" s="39" t="str">
        <x:v>H20</x:v>
      </x:c>
      <x:c r="K1512" s="39" t="str">
        <x:v>تطبیق احتمالی با پایه</x:v>
      </x:c>
      <x:c r="L1512" s="39" t="str">
        <x:v>MI-1810</x:v>
      </x:c>
      <x:c r="M1512" s="39" t="str">
        <x:v>همکاری</x:v>
      </x:c>
      <x:c r="N1512" s="39" t="str">
        <x:v>1154878548.docx::P4163.1</x:v>
      </x:c>
      <x:c r="O1512" s="39"/>
    </x:row>
    <x:row r="1513">
      <x:c r="A1513" s="34" t="str">
        <x:v>☐</x:v>
      </x:c>
      <x:c r="B1513" s="34" t="str">
        <x:v>EX-1485</x:v>
      </x:c>
      <x:c r="C1513" s="34" t="str">
        <x:v>🔗 لینک اصلی:</x:v>
      </x:c>
      <x:c r="D1513" s="34" t="str">
        <x:v>POSSIBLE</x:v>
      </x:c>
      <x:c r="E1513" s="34" t="str">
        <x:v>85.5</x:v>
      </x:c>
      <x:c r="F1513" s="34" t="str">
        <x:v>MI-2399</x:v>
      </x:c>
      <x:c r="G1513" s="39" t="str">
        <x:v>1. صنایع اصلی که باید روی آن ها تمرکز شود</x:v>
      </x:c>
      <x:c r="H1513" s="39" t="str">
        <x:v>H1</x:v>
      </x:c>
      <x:c r="I1513" s="39" t="str">
        <x:v>P0</x:v>
      </x:c>
      <x:c r="J1513" s="39" t="str">
        <x:v>H1</x:v>
      </x:c>
      <x:c r="K1513" s="39" t="str">
        <x:v>تطبیق احتمالی با پایه</x:v>
      </x:c>
      <x:c r="L1513" s="39" t="str">
        <x:v>MI-2399</x:v>
      </x:c>
      <x:c r="M1513" s="39" t="str">
        <x:v>1. صنایع اصلی که باید روی آن ها تمرکز شود</x:v>
      </x:c>
      <x:c r="N1513" s="39" t="str">
        <x:v>1154878548.docx::P4164.1</x:v>
      </x:c>
      <x:c r="O1513" s="39"/>
    </x:row>
    <x:row r="1514">
      <x:c r="A1514" s="34" t="str">
        <x:v>☐</x:v>
      </x:c>
      <x:c r="B1514" s="34" t="str">
        <x:v>EX-1486</x:v>
      </x:c>
      <x:c r="C1514" s="34" t="str">
        <x:v>http://cpdi.ir/-مطالعات-بین-الملل</x:v>
      </x:c>
      <x:c r="D1514" s="34" t="str">
        <x:v>NOISE</x:v>
      </x:c>
      <x:c r="E1514" s="34" t="str">
        <x:v>0</x:v>
      </x:c>
      <x:c r="F1514" s="34"/>
      <x:c r="G1514" s="39"/>
      <x:c r="H1514" s="39"/>
      <x:c r="I1514" s="39"/>
      <x:c r="J1514" s="39" t="str">
        <x:v>STRUCT</x:v>
      </x:c>
      <x:c r="K1514" s="39" t="str">
        <x:v>ساختار/برچسب</x:v>
      </x:c>
      <x:c r="L1514" s="39"/>
      <x:c r="M1514" s="39"/>
      <x:c r="N1514" s="39" t="str">
        <x:v>1154878548.docx::P4165.1</x:v>
      </x:c>
      <x:c r="O1514" s="39"/>
    </x:row>
    <x:row r="1515">
      <x:c r="A1515" s="34" t="str">
        <x:v>☐</x:v>
      </x:c>
      <x:c r="B1515" s="34" t="str">
        <x:v>EX-1487</x:v>
      </x:c>
      <x:c r="C1515" s="34" t="str">
        <x:v>کارکردها (همگی ثبت شدند):</x:v>
      </x:c>
      <x:c r="D1515" s="34" t="str">
        <x:v>POSSIBLE</x:v>
      </x:c>
      <x:c r="E1515" s="34" t="str">
        <x:v>90.0</x:v>
      </x:c>
      <x:c r="F1515" s="34" t="str">
        <x:v>MI-2545</x:v>
      </x:c>
      <x:c r="G1515" s="39" t="str">
        <x:v>کار:</x:v>
      </x:c>
      <x:c r="H1515" s="39" t="str">
        <x:v>H20</x:v>
      </x:c>
      <x:c r="I1515" s="39" t="str">
        <x:v>P3/CLARIFY</x:v>
      </x:c>
      <x:c r="J1515" s="39" t="str">
        <x:v>H20</x:v>
      </x:c>
      <x:c r="K1515" s="39" t="str">
        <x:v>تطبیق احتمالی با پایه</x:v>
      </x:c>
      <x:c r="L1515" s="39" t="str">
        <x:v>MI-2545</x:v>
      </x:c>
      <x:c r="M1515" s="39" t="str">
        <x:v>کار:</x:v>
      </x:c>
      <x:c r="N1515" s="39" t="str">
        <x:v>1154878548.docx::P4166.1</x:v>
      </x:c>
      <x:c r="O1515" s="39"/>
    </x:row>
    <x:row r="1516">
      <x:c r="A1516" s="34" t="str">
        <x:v>☐</x:v>
      </x:c>
      <x:c r="B1516" s="34" t="str">
        <x:v>EX-1488</x:v>
      </x:c>
      <x:c r="C1516" s="34" t="str">
        <x:v>رصد و ترویج فناوریهای نوپدید</x:v>
      </x:c>
      <x:c r="D1516" s="34" t="str">
        <x:v>POSSIBLE</x:v>
      </x:c>
      <x:c r="E1516" s="34" t="str">
        <x:v>85.5</x:v>
      </x:c>
      <x:c r="F1516" s="34" t="str">
        <x:v>MI-1513</x:v>
      </x:c>
      <x:c r="G1516" s="39" t="str">
        <x:v>تولید و کارآفرینی: توانایی تولید محصول و خدمات و ایجاد شغل.</x:v>
      </x:c>
      <x:c r="H1516" s="39" t="str">
        <x:v>H1</x:v>
      </x:c>
      <x:c r="I1516" s="39" t="str">
        <x:v>P0</x:v>
      </x:c>
      <x:c r="J1516" s="39" t="str">
        <x:v>H1</x:v>
      </x:c>
      <x:c r="K1516" s="39" t="str">
        <x:v>تطبیق احتمالی با پایه</x:v>
      </x:c>
      <x:c r="L1516" s="39" t="str">
        <x:v>MI-1513</x:v>
      </x:c>
      <x:c r="M1516" s="39" t="str">
        <x:v>تولید و کارآفرینی: توانایی تولید محصول و خدمات و ایجاد شغل.</x:v>
      </x:c>
      <x:c r="N1516" s="39" t="str">
        <x:v>1154878548.docx::P4167.1</x:v>
      </x:c>
      <x:c r="O1516" s="39"/>
    </x:row>
    <x:row r="1517">
      <x:c r="A1517" s="34" t="str">
        <x:v>☐</x:v>
      </x:c>
      <x:c r="B1517" s="34" t="str">
        <x:v>EX-1489</x:v>
      </x:c>
      <x:c r="C1517" s="34" t="str">
        <x:v>سازوکارها و سیاستهای کشورهای پیشرو</x:v>
      </x:c>
      <x:c r="D1517" s="34" t="str">
        <x:v>POSSIBLE</x:v>
      </x:c>
      <x:c r="E1517" s="34" t="str">
        <x:v>85.5</x:v>
      </x:c>
      <x:c r="F1517" s="34" t="str">
        <x:v>MI-1513</x:v>
      </x:c>
      <x:c r="G1517" s="39" t="str">
        <x:v>تولید و کارآفرینی: توانایی تولید محصول و خدمات و ایجاد شغل.</x:v>
      </x:c>
      <x:c r="H1517" s="39" t="str">
        <x:v>H1</x:v>
      </x:c>
      <x:c r="I1517" s="39" t="str">
        <x:v>P0</x:v>
      </x:c>
      <x:c r="J1517" s="39" t="str">
        <x:v>H1</x:v>
      </x:c>
      <x:c r="K1517" s="39" t="str">
        <x:v>تطبیق احتمالی با پایه</x:v>
      </x:c>
      <x:c r="L1517" s="39" t="str">
        <x:v>MI-1513</x:v>
      </x:c>
      <x:c r="M1517" s="39" t="str">
        <x:v>تولید و کارآفرینی: توانایی تولید محصول و خدمات و ایجاد شغل.</x:v>
      </x:c>
      <x:c r="N1517" s="39" t="str">
        <x:v>1154878548.docx::P4168.1</x:v>
      </x:c>
      <x:c r="O1517" s="39"/>
    </x:row>
    <x:row r="1518">
      <x:c r="A1518" s="34" t="str">
        <x:v>☐</x:v>
      </x:c>
      <x:c r="B1518" s="34" t="str">
        <x:v>EX-1490</x:v>
      </x:c>
      <x:c r="C1518" s="34" t="str">
        <x:v>رفع نیاز فناورانه تولید ملی</x:v>
      </x:c>
      <x:c r="D1518" s="34" t="str">
        <x:v>POSSIBLE</x:v>
      </x:c>
      <x:c r="E1518" s="34" t="str">
        <x:v>85.5</x:v>
      </x:c>
      <x:c r="F1518" s="34" t="str">
        <x:v>MI-1513</x:v>
      </x:c>
      <x:c r="G1518" s="39" t="str">
        <x:v>تولید و کارآفرینی: توانایی تولید محصول و خدمات و ایجاد شغل.</x:v>
      </x:c>
      <x:c r="H1518" s="39" t="str">
        <x:v>H1</x:v>
      </x:c>
      <x:c r="I1518" s="39" t="str">
        <x:v>P0</x:v>
      </x:c>
      <x:c r="J1518" s="39" t="str">
        <x:v>H1</x:v>
      </x:c>
      <x:c r="K1518" s="39" t="str">
        <x:v>تطبیق احتمالی با پایه</x:v>
      </x:c>
      <x:c r="L1518" s="39" t="str">
        <x:v>MI-1513</x:v>
      </x:c>
      <x:c r="M1518" s="39" t="str">
        <x:v>تولید و کارآفرینی: توانایی تولید محصول و خدمات و ایجاد شغل.</x:v>
      </x:c>
      <x:c r="N1518" s="39" t="str">
        <x:v>1154878548.docx::P4169.1</x:v>
      </x:c>
      <x:c r="O1518" s="39"/>
    </x:row>
    <x:row r="1519">
      <x:c r="A1519" s="34" t="str">
        <x:v>☐</x:v>
      </x:c>
      <x:c r="B1519" s="34" t="str">
        <x:v>EX-1491</x:v>
      </x:c>
      <x:c r="C1519" s="34" t="str">
        <x:v>توسعه و تجاریسازی موتورسیکلت برقی</x:v>
      </x:c>
      <x:c r="D1519" s="34" t="str">
        <x:v>POSSIBLE</x:v>
      </x:c>
      <x:c r="E1519" s="34" t="str">
        <x:v>85.5</x:v>
      </x:c>
      <x:c r="F1519" s="34" t="str">
        <x:v>MI-1513</x:v>
      </x:c>
      <x:c r="G1519" s="39" t="str">
        <x:v>تولید و کارآفرینی: توانایی تولید محصول و خدمات و ایجاد شغل.</x:v>
      </x:c>
      <x:c r="H1519" s="39" t="str">
        <x:v>H1</x:v>
      </x:c>
      <x:c r="I1519" s="39" t="str">
        <x:v>P0</x:v>
      </x:c>
      <x:c r="J1519" s="39" t="str">
        <x:v>H1</x:v>
      </x:c>
      <x:c r="K1519" s="39" t="str">
        <x:v>تطبیق احتمالی با پایه</x:v>
      </x:c>
      <x:c r="L1519" s="39" t="str">
        <x:v>MI-1513</x:v>
      </x:c>
      <x:c r="M1519" s="39" t="str">
        <x:v>تولید و کارآفرینی: توانایی تولید محصول و خدمات و ایجاد شغل.</x:v>
      </x:c>
      <x:c r="N1519" s="39" t="str">
        <x:v>1154878548.docx::P4170.1</x:v>
      </x:c>
      <x:c r="O1519" s="39"/>
    </x:row>
    <x:row r="1520">
      <x:c r="A1520" s="34" t="str">
        <x:v>☐</x:v>
      </x:c>
      <x:c r="B1520" s="34" t="str">
        <x:v>EX-1492</x:v>
      </x:c>
      <x:c r="C1520" s="34" t="str">
        <x:v>فکتورینگ (تأمین مالی مبتنی بر قرارداد)</x:v>
      </x:c>
      <x:c r="D1520" s="34" t="str">
        <x:v>POSSIBLE</x:v>
      </x:c>
      <x:c r="E1520" s="34" t="str">
        <x:v>85.5</x:v>
      </x:c>
      <x:c r="F1520" s="34" t="str">
        <x:v>MI-1508</x:v>
      </x:c>
      <x:c r="G1520" s="39" t="str">
        <x:v>مهارت های فنی: تسلط بر نرم افزارهای تخصصی، ابزارهای مهندسی، تکنولوژی های جدید.</x:v>
      </x:c>
      <x:c r="H1520" s="39" t="str">
        <x:v>H1</x:v>
      </x:c>
      <x:c r="I1520" s="39" t="str">
        <x:v>P0</x:v>
      </x:c>
      <x:c r="J1520" s="39" t="str">
        <x:v>H1</x:v>
      </x:c>
      <x:c r="K1520" s="39" t="str">
        <x:v>تطبیق احتمالی با پایه</x:v>
      </x:c>
      <x:c r="L1520" s="39" t="str">
        <x:v>MI-1508</x:v>
      </x:c>
      <x:c r="M1520" s="39" t="str">
        <x:v>مهارت های فنی: تسلط بر نرم افزارهای تخصصی، ابزارهای مهندسی، تکنولوژی های جدید.</x:v>
      </x:c>
      <x:c r="N1520" s="39" t="str">
        <x:v>1154878548.docx::P4171.1</x:v>
      </x:c>
      <x:c r="O1520" s="39"/>
    </x:row>
    <x:row r="1521">
      <x:c r="A1521" s="34" t="str">
        <x:v>☐</x:v>
      </x:c>
      <x:c r="B1521" s="34" t="str">
        <x:v>EX-1493</x:v>
      </x:c>
      <x:c r="C1521" s="34" t="str">
        <x:v>واردات لاین اصلاحنژاد ماهی کپور</x:v>
      </x:c>
      <x:c r="D1521" s="34" t="str">
        <x:v>POSSIBLE</x:v>
      </x:c>
      <x:c r="E1521" s="34" t="str">
        <x:v>85.5</x:v>
      </x:c>
      <x:c r="F1521" s="34" t="str">
        <x:v>MI-1266</x:v>
      </x:c>
      <x:c r="G1521" s="39" t="str">
        <x:v>پروتیین غذایی ماهی</x:v>
      </x:c>
      <x:c r="H1521" s="39" t="str">
        <x:v>H12</x:v>
      </x:c>
      <x:c r="I1521" s="39" t="str">
        <x:v>P2</x:v>
      </x:c>
      <x:c r="J1521" s="39" t="str">
        <x:v>H12</x:v>
      </x:c>
      <x:c r="K1521" s="39" t="str">
        <x:v>تطبیق احتمالی با پایه</x:v>
      </x:c>
      <x:c r="L1521" s="39" t="str">
        <x:v>MI-1266</x:v>
      </x:c>
      <x:c r="M1521" s="39" t="str">
        <x:v>پروتیین غذایی ماهی</x:v>
      </x:c>
      <x:c r="N1521" s="39" t="str">
        <x:v>1154878548.docx::P4172.1</x:v>
      </x:c>
      <x:c r="O1521" s="39"/>
    </x:row>
    <x:row r="1522">
      <x:c r="A1522" s="34" t="str">
        <x:v>☐</x:v>
      </x:c>
      <x:c r="B1522" s="34" t="str">
        <x:v>EX-1494</x:v>
      </x:c>
      <x:c r="C1522" s="34" t="str">
        <x:v>نمایشگاه قطعات صنعت هوانوردی</x:v>
      </x:c>
      <x:c r="D1522" s="34" t="str">
        <x:v>POSSIBLE</x:v>
      </x:c>
      <x:c r="E1522" s="34" t="str">
        <x:v>90.0</x:v>
      </x:c>
      <x:c r="F1522" s="34" t="str">
        <x:v>MI-2602</x:v>
      </x:c>
      <x:c r="G1522" s="39" t="str">
        <x:v>صنعت</x:v>
      </x:c>
      <x:c r="H1522" s="39" t="str">
        <x:v>H12</x:v>
      </x:c>
      <x:c r="I1522" s="39" t="str">
        <x:v>P2</x:v>
      </x:c>
      <x:c r="J1522" s="39" t="str">
        <x:v>H12</x:v>
      </x:c>
      <x:c r="K1522" s="39" t="str">
        <x:v>تطبیق احتمالی با پایه</x:v>
      </x:c>
      <x:c r="L1522" s="39" t="str">
        <x:v>MI-2602</x:v>
      </x:c>
      <x:c r="M1522" s="39" t="str">
        <x:v>صنعت</x:v>
      </x:c>
      <x:c r="N1522" s="39" t="str">
        <x:v>1154878548.docx::P4173.1</x:v>
      </x:c>
      <x:c r="O1522" s="39"/>
    </x:row>
    <x:row r="1523">
      <x:c r="A1523" s="34" t="str">
        <x:v>☐</x:v>
      </x:c>
      <x:c r="B1523" s="34" t="str">
        <x:v>EX-1495</x:v>
      </x:c>
      <x:c r="C1523" s="34" t="str">
        <x:v>اصلاح قانون حداکثر استفاده از توان داخل</x:v>
      </x:c>
      <x:c r="D1523" s="34" t="str">
        <x:v>POSSIBLE</x:v>
      </x:c>
      <x:c r="E1523" s="34" t="str">
        <x:v>85.5</x:v>
      </x:c>
      <x:c r="F1523" s="34" t="str">
        <x:v>MI-1457</x:v>
      </x:c>
      <x:c r="G1523" s="39" t="str">
        <x:v>سلامت جسمانی: تغذیه سالم، ورزش منظم، خواب کافی، پیشگیری از بیماری ها.</x:v>
      </x:c>
      <x:c r="H1523" s="39" t="str">
        <x:v>H1</x:v>
      </x:c>
      <x:c r="I1523" s="39" t="str">
        <x:v>P0</x:v>
      </x:c>
      <x:c r="J1523" s="39" t="str">
        <x:v>H1</x:v>
      </x:c>
      <x:c r="K1523" s="39" t="str">
        <x:v>تطبیق احتمالی با پایه</x:v>
      </x:c>
      <x:c r="L1523" s="39" t="str">
        <x:v>MI-1457</x:v>
      </x:c>
      <x:c r="M1523" s="39" t="str">
        <x:v>سلامت جسمانی: تغذیه سالم، ورزش منظم، خواب کافی، پیشگیری از بیماری ها.</x:v>
      </x:c>
      <x:c r="N1523" s="39" t="str">
        <x:v>1154878548.docx::P4174.1</x:v>
      </x:c>
      <x:c r="O1523" s="39"/>
    </x:row>
    <x:row r="1524">
      <x:c r="A1524" s="34" t="str">
        <x:v>☐</x:v>
      </x:c>
      <x:c r="B1524" s="34" t="str">
        <x:v>EX-1496</x:v>
      </x:c>
      <x:c r="C1524" s="34" t="str">
        <x:v>شبکه خدمات و تجهیزات پیشرفته</x:v>
      </x:c>
      <x:c r="D1524" s="34" t="str">
        <x:v>POSSIBLE</x:v>
      </x:c>
      <x:c r="E1524" s="34" t="str">
        <x:v>85.5</x:v>
      </x:c>
      <x:c r="F1524" s="34" t="str">
        <x:v>MI-1513</x:v>
      </x:c>
      <x:c r="G1524" s="39" t="str">
        <x:v>تولید و کارآفرینی: توانایی تولید محصول و خدمات و ایجاد شغل.</x:v>
      </x:c>
      <x:c r="H1524" s="39" t="str">
        <x:v>H1</x:v>
      </x:c>
      <x:c r="I1524" s="39" t="str">
        <x:v>P0</x:v>
      </x:c>
      <x:c r="J1524" s="39" t="str">
        <x:v>H1</x:v>
      </x:c>
      <x:c r="K1524" s="39" t="str">
        <x:v>تطبیق احتمالی با پایه</x:v>
      </x:c>
      <x:c r="L1524" s="39" t="str">
        <x:v>MI-1513</x:v>
      </x:c>
      <x:c r="M1524" s="39" t="str">
        <x:v>تولید و کارآفرینی: توانایی تولید محصول و خدمات و ایجاد شغل.</x:v>
      </x:c>
      <x:c r="N1524" s="39" t="str">
        <x:v>1154878548.docx::P4175.1</x:v>
      </x:c>
      <x:c r="O1524" s="39"/>
    </x:row>
    <x:row r="1525">
      <x:c r="A1525" s="34" t="str">
        <x:v>☐</x:v>
      </x:c>
      <x:c r="B1525" s="34" t="str">
        <x:v>EX-1497</x:v>
      </x:c>
      <x:c r="C1525" s="34" t="str">
        <x:v>بومیسازی کاتالیستهای FCC / RFCC</x:v>
      </x:c>
      <x:c r="D1525" s="34" t="str">
        <x:v>UNMAPPED</x:v>
      </x:c>
      <x:c r="E1525" s="34" t="str">
        <x:v>72.0</x:v>
      </x:c>
      <x:c r="F1525" s="34" t="str">
        <x:v>MI-0518</x:v>
      </x:c>
      <x:c r="G1525" s="39" t="str">
        <x:v>کارتل</x:v>
      </x:c>
      <x:c r="H1525" s="39" t="str">
        <x:v>H18</x:v>
      </x:c>
      <x:c r="I1525" s="39" t="str">
        <x:v>BANK</x:v>
      </x:c>
      <x:c r="J1525" s="39" t="str">
        <x:v>H23</x:v>
      </x:c>
      <x:c r="K1525" s="39" t="str">
        <x:v>نیازمند پالایش؛ حذف نشده</x:v>
      </x:c>
      <x:c r="L1525" s="39"/>
      <x:c r="M1525" s="39"/>
      <x:c r="N1525" s="39" t="str">
        <x:v>1154878548.docx::P4176.1</x:v>
      </x:c>
      <x:c r="O1525" s="39"/>
    </x:row>
    <x:row r="1526">
      <x:c r="A1526" s="34" t="str">
        <x:v>☐</x:v>
      </x:c>
      <x:c r="B1526" s="34" t="str">
        <x:v>EX-1498</x:v>
      </x:c>
      <x:c r="C1526" s="34" t="str">
        <x:v>نمایشگاه تستا</x:v>
      </x:c>
      <x:c r="D1526" s="34" t="str">
        <x:v>POSSIBLE</x:v>
      </x:c>
      <x:c r="E1526" s="34" t="str">
        <x:v>83.3</x:v>
      </x:c>
      <x:c r="F1526" s="34" t="str">
        <x:v>MI-1995</x:v>
      </x:c>
      <x:c r="G1526" s="39" t="str">
        <x:v>نمایشگاه ها</x:v>
      </x:c>
      <x:c r="H1526" s="39" t="str">
        <x:v>H20</x:v>
      </x:c>
      <x:c r="I1526" s="39" t="str">
        <x:v>P3/CLARIFY</x:v>
      </x:c>
      <x:c r="J1526" s="39" t="str">
        <x:v>H20</x:v>
      </x:c>
      <x:c r="K1526" s="39" t="str">
        <x:v>تطبیق احتمالی با پایه</x:v>
      </x:c>
      <x:c r="L1526" s="39" t="str">
        <x:v>MI-1995</x:v>
      </x:c>
      <x:c r="M1526" s="39" t="str">
        <x:v>نمایشگاه ها</x:v>
      </x:c>
      <x:c r="N1526" s="39" t="str">
        <x:v>1154878548.docx::P4177.1</x:v>
      </x:c>
      <x:c r="O1526" s="39"/>
    </x:row>
    <x:row r="1527">
      <x:c r="A1527" s="34" t="str">
        <x:v>☐</x:v>
      </x:c>
      <x:c r="B1527" s="34" t="str">
        <x:v>EX-1499</x:v>
      </x:c>
      <x:c r="C1527" s="34" t="str">
        <x:v>طرح ملی شناسایی آلایندهها</x:v>
      </x:c>
      <x:c r="D1527" s="34" t="str">
        <x:v>POSSIBLE</x:v>
      </x:c>
      <x:c r="E1527" s="34" t="str">
        <x:v>85.5</x:v>
      </x:c>
      <x:c r="F1527" s="34" t="str">
        <x:v>MI-1501</x:v>
      </x:c>
      <x:c r="G1527" s="39" t="str">
        <x:v>مدیریت ریسک: شناسایی ریسک ها، ارزیابی اثرات، تدوین برنامه های مقابله با ریسک ها.</x:v>
      </x:c>
      <x:c r="H1527" s="39" t="str">
        <x:v>H1</x:v>
      </x:c>
      <x:c r="I1527" s="39" t="str">
        <x:v>P0</x:v>
      </x:c>
      <x:c r="J1527" s="39" t="str">
        <x:v>H1</x:v>
      </x:c>
      <x:c r="K1527" s="39" t="str">
        <x:v>تطبیق احتمالی با پایه</x:v>
      </x:c>
      <x:c r="L1527" s="39" t="str">
        <x:v>MI-1501</x:v>
      </x:c>
      <x:c r="M1527" s="39" t="str">
        <x:v>مدیریت ریسک: شناسایی ریسک ها، ارزیابی اثرات، تدوین برنامه های مقابله با ریسک ها.</x:v>
      </x:c>
      <x:c r="N1527" s="39" t="str">
        <x:v>1154878548.docx::P4178.1</x:v>
      </x:c>
      <x:c r="O1527" s="39"/>
    </x:row>
    <x:row r="1528">
      <x:c r="A1528" s="34" t="str">
        <x:v>☐</x:v>
      </x:c>
      <x:c r="B1528" s="34" t="str">
        <x:v>EX-1500</x:v>
      </x:c>
      <x:c r="C1528" s="34" t="str">
        <x:v>کمپهای مهارتافزایی برنامهنویسی</x:v>
      </x:c>
      <x:c r="D1528" s="34" t="str">
        <x:v>POSSIBLE</x:v>
      </x:c>
      <x:c r="E1528" s="34" t="str">
        <x:v>86.1</x:v>
      </x:c>
      <x:c r="F1528" s="34" t="str">
        <x:v>MI-1482</x:v>
      </x:c>
      <x:c r="G1528" s="39" t="str">
        <x:v>برنامه نویسی:</x:v>
      </x:c>
      <x:c r="H1528" s="39" t="str">
        <x:v>H1</x:v>
      </x:c>
      <x:c r="I1528" s="39" t="str">
        <x:v>P0</x:v>
      </x:c>
      <x:c r="J1528" s="39" t="str">
        <x:v>H1</x:v>
      </x:c>
      <x:c r="K1528" s="39" t="str">
        <x:v>تطبیق احتمالی با پایه</x:v>
      </x:c>
      <x:c r="L1528" s="39" t="str">
        <x:v>MI-1482</x:v>
      </x:c>
      <x:c r="M1528" s="39" t="str">
        <x:v>برنامه نویسی:</x:v>
      </x:c>
      <x:c r="N1528" s="39" t="str">
        <x:v>1154878548.docx::P4179.1</x:v>
      </x:c>
      <x:c r="O1528" s="39"/>
    </x:row>
    <x:row r="1529">
      <x:c r="A1529" s="34" t="str">
        <x:v>☐</x:v>
      </x:c>
      <x:c r="B1529" s="34" t="str">
        <x:v>EX-1501</x:v>
      </x:c>
      <x:c r="C1529" s="34" t="str">
        <x:v>بومیسازی دستگاه گوگردزدایی اکسایشی</x:v>
      </x:c>
      <x:c r="D1529" s="34" t="str">
        <x:v>UNMAPPED</x:v>
      </x:c>
      <x:c r="E1529" s="34" t="str">
        <x:v>65.5</x:v>
      </x:c>
      <x:c r="F1529" s="34" t="str">
        <x:v>MI-1846</x:v>
      </x:c>
      <x:c r="G1529" s="39" t="str">
        <x:v>گردهمایی ها</x:v>
      </x:c>
      <x:c r="H1529" s="39" t="str">
        <x:v>H20</x:v>
      </x:c>
      <x:c r="I1529" s="39" t="str">
        <x:v>P3/CLARIFY</x:v>
      </x:c>
      <x:c r="J1529" s="39" t="str">
        <x:v>H23</x:v>
      </x:c>
      <x:c r="K1529" s="39" t="str">
        <x:v>نیازمند پالایش؛ حذف نشده</x:v>
      </x:c>
      <x:c r="L1529" s="39"/>
      <x:c r="M1529" s="39"/>
      <x:c r="N1529" s="39" t="str">
        <x:v>1154878548.docx::P4180.1</x:v>
      </x:c>
      <x:c r="O1529" s="39"/>
    </x:row>
    <x:row r="1530">
      <x:c r="A1530" s="34" t="str">
        <x:v>☐</x:v>
      </x:c>
      <x:c r="B1530" s="34" t="str">
        <x:v>EX-1502</x:v>
      </x:c>
      <x:c r="C1530" s="34" t="str">
        <x:v>1. مسیر آکادمیک، علمی و پژوهشی</x:v>
      </x:c>
      <x:c r="D1530" s="34" t="str">
        <x:v>POSSIBLE</x:v>
      </x:c>
      <x:c r="E1530" s="34" t="str">
        <x:v>90.0</x:v>
      </x:c>
      <x:c r="F1530" s="34" t="str">
        <x:v>MI-2192</x:v>
      </x:c>
      <x:c r="G1530" s="39" t="str">
        <x:v>پژوهش</x:v>
      </x:c>
      <x:c r="H1530" s="39" t="str">
        <x:v>H9</x:v>
      </x:c>
      <x:c r="I1530" s="39" t="str">
        <x:v>P2</x:v>
      </x:c>
      <x:c r="J1530" s="39" t="str">
        <x:v>H9</x:v>
      </x:c>
      <x:c r="K1530" s="39" t="str">
        <x:v>تطبیق احتمالی با پایه</x:v>
      </x:c>
      <x:c r="L1530" s="39" t="str">
        <x:v>MI-2192</x:v>
      </x:c>
      <x:c r="M1530" s="39" t="str">
        <x:v>پژوهش</x:v>
      </x:c>
      <x:c r="N1530" s="39" t="str">
        <x:v>1154878548.docx::P4187.1</x:v>
      </x:c>
      <x:c r="O1530" s="39"/>
    </x:row>
    <x:row r="1531">
      <x:c r="A1531" s="34" t="str">
        <x:v>☐</x:v>
      </x:c>
      <x:c r="B1531" s="34" t="str">
        <x:v>EX-1503</x:v>
      </x:c>
      <x:c r="C1531" s="34" t="str">
        <x:v>1.1 زیرساخت دانشگاهی</x:v>
      </x:c>
      <x:c r="D1531" s="34" t="str">
        <x:v>POSSIBLE</x:v>
      </x:c>
      <x:c r="E1531" s="34" t="str">
        <x:v>90.0</x:v>
      </x:c>
      <x:c r="F1531" s="34" t="str">
        <x:v>MI-2622</x:v>
      </x:c>
      <x:c r="G1531" s="39" t="str">
        <x:v>دانش</x:v>
      </x:c>
      <x:c r="H1531" s="39" t="str">
        <x:v>H20</x:v>
      </x:c>
      <x:c r="I1531" s="39" t="str">
        <x:v>P3/CLARIFY</x:v>
      </x:c>
      <x:c r="J1531" s="39" t="str">
        <x:v>H20</x:v>
      </x:c>
      <x:c r="K1531" s="39" t="str">
        <x:v>تطبیق احتمالی با پایه</x:v>
      </x:c>
      <x:c r="L1531" s="39" t="str">
        <x:v>MI-2622</x:v>
      </x:c>
      <x:c r="M1531" s="39" t="str">
        <x:v>دانش</x:v>
      </x:c>
      <x:c r="N1531" s="39" t="str">
        <x:v>1154878548.docx::P4188.1</x:v>
      </x:c>
      <x:c r="O1531" s="39"/>
    </x:row>
    <x:row r="1532">
      <x:c r="A1532" s="34" t="str">
        <x:v>☐</x:v>
      </x:c>
      <x:c r="B1532" s="34" t="str">
        <x:v>EX-1504</x:v>
      </x:c>
      <x:c r="C1532" s="34" t="str">
        <x:v>برنامهریزی دروس دانشگاه نوشیروانی بابل</x:v>
      </x:c>
      <x:c r="D1532" s="34" t="str">
        <x:v>POSSIBLE</x:v>
      </x:c>
      <x:c r="E1532" s="34" t="str">
        <x:v>90.0</x:v>
      </x:c>
      <x:c r="F1532" s="34" t="str">
        <x:v>MI-3031</x:v>
      </x:c>
      <x:c r="G1532" s="39" t="str">
        <x:v>دانشگاه نوشیروانی بابل</x:v>
      </x:c>
      <x:c r="H1532" s="39" t="str">
        <x:v>H11</x:v>
      </x:c>
      <x:c r="I1532" s="39" t="str">
        <x:v>DELEGATE/P2</x:v>
      </x:c>
      <x:c r="J1532" s="39" t="str">
        <x:v>H11</x:v>
      </x:c>
      <x:c r="K1532" s="39" t="str">
        <x:v>تطبیق احتمالی با پایه</x:v>
      </x:c>
      <x:c r="L1532" s="39" t="str">
        <x:v>MI-3031</x:v>
      </x:c>
      <x:c r="M1532" s="39" t="str">
        <x:v>دانشگاه نوشیروانی بابل</x:v>
      </x:c>
      <x:c r="N1532" s="39" t="str">
        <x:v>1154878548.docx::P4189.1</x:v>
      </x:c>
      <x:c r="O1532" s="39"/>
    </x:row>
    <x:row r="1533">
      <x:c r="A1533" s="34" t="str">
        <x:v>☐</x:v>
      </x:c>
      <x:c r="B1533" s="34" t="str">
        <x:v>EX-1505</x:v>
      </x:c>
      <x:c r="C1533" s="34" t="str">
        <x:v>برنامهریزی دروس دانشگاه پیام نور</x:v>
      </x:c>
      <x:c r="D1533" s="34" t="str">
        <x:v>POSSIBLE</x:v>
      </x:c>
      <x:c r="E1533" s="34" t="str">
        <x:v>90.0</x:v>
      </x:c>
      <x:c r="F1533" s="34" t="str">
        <x:v>MI-1909</x:v>
      </x:c>
      <x:c r="G1533" s="39" t="str">
        <x:v>دانشگاه پیام نور</x:v>
      </x:c>
      <x:c r="H1533" s="39" t="str">
        <x:v>H11</x:v>
      </x:c>
      <x:c r="I1533" s="39" t="str">
        <x:v>DELEGATE/P2</x:v>
      </x:c>
      <x:c r="J1533" s="39" t="str">
        <x:v>H11</x:v>
      </x:c>
      <x:c r="K1533" s="39" t="str">
        <x:v>تطبیق احتمالی با پایه</x:v>
      </x:c>
      <x:c r="L1533" s="39" t="str">
        <x:v>MI-1909</x:v>
      </x:c>
      <x:c r="M1533" s="39" t="str">
        <x:v>دانشگاه پیام نور</x:v>
      </x:c>
      <x:c r="N1533" s="39" t="str">
        <x:v>1154878548.docx::P4190.1</x:v>
      </x:c>
      <x:c r="O1533" s="39"/>
    </x:row>
    <x:row r="1534">
      <x:c r="A1534" s="34" t="str">
        <x:v>☐</x:v>
      </x:c>
      <x:c r="B1534" s="34" t="str">
        <x:v>EX-1506</x:v>
      </x:c>
      <x:c r="C1534" s="34" t="str">
        <x:v>تسلط بر کارشناسی مکانیک</x:v>
      </x:c>
      <x:c r="D1534" s="34" t="str">
        <x:v>POSSIBLE</x:v>
      </x:c>
      <x:c r="E1534" s="34" t="str">
        <x:v>90.0</x:v>
      </x:c>
      <x:c r="F1534" s="34" t="str">
        <x:v>MI-2545</x:v>
      </x:c>
      <x:c r="G1534" s="39" t="str">
        <x:v>کار:</x:v>
      </x:c>
      <x:c r="H1534" s="39" t="str">
        <x:v>H20</x:v>
      </x:c>
      <x:c r="I1534" s="39" t="str">
        <x:v>P3/CLARIFY</x:v>
      </x:c>
      <x:c r="J1534" s="39" t="str">
        <x:v>H20</x:v>
      </x:c>
      <x:c r="K1534" s="39" t="str">
        <x:v>تطبیق احتمالی با پایه</x:v>
      </x:c>
      <x:c r="L1534" s="39" t="str">
        <x:v>MI-2545</x:v>
      </x:c>
      <x:c r="M1534" s="39" t="str">
        <x:v>کار:</x:v>
      </x:c>
      <x:c r="N1534" s="39" t="str">
        <x:v>1154878548.docx::P4191.1</x:v>
      </x:c>
      <x:c r="O1534" s="39"/>
    </x:row>
    <x:row r="1535">
      <x:c r="A1535" s="34" t="str">
        <x:v>☐</x:v>
      </x:c>
      <x:c r="B1535" s="34" t="str">
        <x:v>EX-1507</x:v>
      </x:c>
      <x:c r="C1535" s="34" t="str">
        <x:v>ارتباط فعال با دانشگاهها:</x:v>
      </x:c>
      <x:c r="D1535" s="34" t="str">
        <x:v>POSSIBLE</x:v>
      </x:c>
      <x:c r="E1535" s="34" t="str">
        <x:v>90.0</x:v>
      </x:c>
      <x:c r="F1535" s="34" t="str">
        <x:v>MI-2622</x:v>
      </x:c>
      <x:c r="G1535" s="39" t="str">
        <x:v>دانش</x:v>
      </x:c>
      <x:c r="H1535" s="39" t="str">
        <x:v>H20</x:v>
      </x:c>
      <x:c r="I1535" s="39" t="str">
        <x:v>P3/CLARIFY</x:v>
      </x:c>
      <x:c r="J1535" s="39" t="str">
        <x:v>H20</x:v>
      </x:c>
      <x:c r="K1535" s="39" t="str">
        <x:v>تطبیق احتمالی با پایه</x:v>
      </x:c>
      <x:c r="L1535" s="39" t="str">
        <x:v>MI-2622</x:v>
      </x:c>
      <x:c r="M1535" s="39" t="str">
        <x:v>دانش</x:v>
      </x:c>
      <x:c r="N1535" s="39" t="str">
        <x:v>1154878548.docx::P4193.1</x:v>
      </x:c>
      <x:c r="O1535" s="39"/>
    </x:row>
    <x:row r="1536">
      <x:c r="A1536" s="34" t="str">
        <x:v>☐</x:v>
      </x:c>
      <x:c r="B1536" s="34" t="str">
        <x:v>EX-1508</x:v>
      </x:c>
      <x:c r="C1536" s="34" t="str">
        <x:v>بابل</x:v>
      </x:c>
      <x:c r="D1536" s="34" t="str">
        <x:v>POSSIBLE</x:v>
      </x:c>
      <x:c r="E1536" s="34" t="str">
        <x:v>90.0</x:v>
      </x:c>
      <x:c r="F1536" s="34" t="str">
        <x:v>MI-2186</x:v>
      </x:c>
      <x:c r="G1536" s="39" t="str">
        <x:v>دانشگاه مازندران (بابلسر)</x:v>
      </x:c>
      <x:c r="H1536" s="39" t="str">
        <x:v>H11</x:v>
      </x:c>
      <x:c r="I1536" s="39" t="str">
        <x:v>DELEGATE/P2</x:v>
      </x:c>
      <x:c r="J1536" s="39" t="str">
        <x:v>H11</x:v>
      </x:c>
      <x:c r="K1536" s="39" t="str">
        <x:v>تطبیق احتمالی با پایه</x:v>
      </x:c>
      <x:c r="L1536" s="39" t="str">
        <x:v>MI-2186</x:v>
      </x:c>
      <x:c r="M1536" s="39" t="str">
        <x:v>دانشگاه مازندران (بابلسر)</x:v>
      </x:c>
      <x:c r="N1536" s="39" t="str">
        <x:v>1154878548.docx::P4195.1</x:v>
      </x:c>
      <x:c r="O1536" s="39"/>
    </x:row>
    <x:row r="1537">
      <x:c r="A1537" s="34" t="str">
        <x:v>☐</x:v>
      </x:c>
      <x:c r="B1537" s="34" t="str">
        <x:v>EX-1509</x:v>
      </x:c>
      <x:c r="C1537" s="34" t="str">
        <x:v>بروجرد</x:v>
      </x:c>
      <x:c r="D1537" s="34" t="str">
        <x:v>POSSIBLE</x:v>
      </x:c>
      <x:c r="E1537" s="34" t="str">
        <x:v>90.0</x:v>
      </x:c>
      <x:c r="F1537" s="34" t="str">
        <x:v>MI-0048</x:v>
      </x:c>
      <x:c r="G1537" s="39" t="str">
        <x:v>عضو هیات علمی دانشگاه آیت ا... بروجردی در بروجرد</x:v>
      </x:c>
      <x:c r="H1537" s="39" t="str">
        <x:v>H2</x:v>
      </x:c>
      <x:c r="I1537" s="39" t="str">
        <x:v>P3/CLARIFY</x:v>
      </x:c>
      <x:c r="J1537" s="39" t="str">
        <x:v>H2</x:v>
      </x:c>
      <x:c r="K1537" s="39" t="str">
        <x:v>تطبیق احتمالی با پایه</x:v>
      </x:c>
      <x:c r="L1537" s="39" t="str">
        <x:v>MI-0048</x:v>
      </x:c>
      <x:c r="M1537" s="39" t="str">
        <x:v>عضو هیات علمی دانشگاه آیت ا... بروجردی در بروجرد</x:v>
      </x:c>
      <x:c r="N1537" s="39" t="str">
        <x:v>1154878548.docx::P4196.1</x:v>
      </x:c>
      <x:c r="O1537" s="39"/>
    </x:row>
    <x:row r="1538">
      <x:c r="A1538" s="34" t="str">
        <x:v>☐</x:v>
      </x:c>
      <x:c r="B1538" s="34" t="str">
        <x:v>EX-1510</x:v>
      </x:c>
      <x:c r="C1538" s="34" t="str">
        <x:v>اراک</x:v>
      </x:c>
      <x:c r="D1538" s="34" t="str">
        <x:v>UNMAPPED</x:v>
      </x:c>
      <x:c r="E1538" s="34" t="str">
        <x:v>77.1</x:v>
      </x:c>
      <x:c r="F1538" s="34" t="str">
        <x:v>MI-1069</x:v>
      </x:c>
      <x:c r="G1538" s="39" t="str">
        <x:v>ارایه محتوای جذاب اساتید</x:v>
      </x:c>
      <x:c r="H1538" s="39" t="str">
        <x:v>H11</x:v>
      </x:c>
      <x:c r="I1538" s="39" t="str">
        <x:v>DELEGATE/P2</x:v>
      </x:c>
      <x:c r="J1538" s="39" t="str">
        <x:v>H23</x:v>
      </x:c>
      <x:c r="K1538" s="39" t="str">
        <x:v>نیازمند پالایش؛ حذف نشده</x:v>
      </x:c>
      <x:c r="L1538" s="39"/>
      <x:c r="M1538" s="39"/>
      <x:c r="N1538" s="39" t="str">
        <x:v>1154878548.docx::P4198.1</x:v>
      </x:c>
      <x:c r="O1538" s="39"/>
    </x:row>
    <x:row r="1539">
      <x:c r="A1539" s="34" t="str">
        <x:v>☐</x:v>
      </x:c>
      <x:c r="B1539" s="34" t="str">
        <x:v>EX-1511</x:v>
      </x:c>
      <x:c r="C1539" s="34" t="str">
        <x:v>1.2 مهارتهای پژوهشی</x:v>
      </x:c>
      <x:c r="D1539" s="34" t="str">
        <x:v>POSSIBLE</x:v>
      </x:c>
      <x:c r="E1539" s="34" t="str">
        <x:v>90.0</x:v>
      </x:c>
      <x:c r="F1539" s="34" t="str">
        <x:v>MI-2192</x:v>
      </x:c>
      <x:c r="G1539" s="39" t="str">
        <x:v>پژوهش</x:v>
      </x:c>
      <x:c r="H1539" s="39" t="str">
        <x:v>H9</x:v>
      </x:c>
      <x:c r="I1539" s="39" t="str">
        <x:v>P2</x:v>
      </x:c>
      <x:c r="J1539" s="39" t="str">
        <x:v>H9</x:v>
      </x:c>
      <x:c r="K1539" s="39" t="str">
        <x:v>تطبیق احتمالی با پایه</x:v>
      </x:c>
      <x:c r="L1539" s="39" t="str">
        <x:v>MI-2192</x:v>
      </x:c>
      <x:c r="M1539" s="39" t="str">
        <x:v>پژوهش</x:v>
      </x:c>
      <x:c r="N1539" s="39" t="str">
        <x:v>1154878548.docx::P4201.1</x:v>
      </x:c>
      <x:c r="O1539" s="39"/>
    </x:row>
    <x:row r="1540">
      <x:c r="A1540" s="34" t="str">
        <x:v>☐</x:v>
      </x:c>
      <x:c r="B1540" s="34" t="str">
        <x:v>EX-1512</x:v>
      </x:c>
      <x:c r="C1540" s="34" t="str">
        <x:v>مقالهنویسی فارسی</x:v>
      </x:c>
      <x:c r="D1540" s="34" t="str">
        <x:v>POSSIBLE</x:v>
      </x:c>
      <x:c r="E1540" s="34" t="str">
        <x:v>90.0</x:v>
      </x:c>
      <x:c r="F1540" s="34" t="str">
        <x:v>MI-0539</x:v>
      </x:c>
      <x:c r="G1540" s="39" t="str">
        <x:v>مقاله</x:v>
      </x:c>
      <x:c r="H1540" s="39" t="str">
        <x:v>H18</x:v>
      </x:c>
      <x:c r="I1540" s="39" t="str">
        <x:v>BANK</x:v>
      </x:c>
      <x:c r="J1540" s="39" t="str">
        <x:v>H18</x:v>
      </x:c>
      <x:c r="K1540" s="39" t="str">
        <x:v>تطبیق احتمالی با پایه</x:v>
      </x:c>
      <x:c r="L1540" s="39" t="str">
        <x:v>MI-0539</x:v>
      </x:c>
      <x:c r="M1540" s="39" t="str">
        <x:v>مقاله</x:v>
      </x:c>
      <x:c r="N1540" s="39" t="str">
        <x:v>1154878548.docx::P4203.1</x:v>
      </x:c>
      <x:c r="O1540" s="39"/>
    </x:row>
    <x:row r="1541">
      <x:c r="A1541" s="34" t="str">
        <x:v>☐</x:v>
      </x:c>
      <x:c r="B1541" s="34" t="str">
        <x:v>EX-1513</x:v>
      </x:c>
      <x:c r="C1541" s="34" t="str">
        <x:v>مقالهنویسی انگلیسی</x:v>
      </x:c>
      <x:c r="D1541" s="34" t="str">
        <x:v>POSSIBLE</x:v>
      </x:c>
      <x:c r="E1541" s="34" t="str">
        <x:v>90.0</x:v>
      </x:c>
      <x:c r="F1541" s="34" t="str">
        <x:v>MI-0539</x:v>
      </x:c>
      <x:c r="G1541" s="39" t="str">
        <x:v>مقاله</x:v>
      </x:c>
      <x:c r="H1541" s="39" t="str">
        <x:v>H18</x:v>
      </x:c>
      <x:c r="I1541" s="39" t="str">
        <x:v>BANK</x:v>
      </x:c>
      <x:c r="J1541" s="39" t="str">
        <x:v>H18</x:v>
      </x:c>
      <x:c r="K1541" s="39" t="str">
        <x:v>تطبیق احتمالی با پایه</x:v>
      </x:c>
      <x:c r="L1541" s="39" t="str">
        <x:v>MI-0539</x:v>
      </x:c>
      <x:c r="M1541" s="39" t="str">
        <x:v>مقاله</x:v>
      </x:c>
      <x:c r="N1541" s="39" t="str">
        <x:v>1154878548.docx::P4204.1</x:v>
      </x:c>
      <x:c r="O1541" s="39"/>
    </x:row>
    <x:row r="1542">
      <x:c r="A1542" s="34" t="str">
        <x:v>☐</x:v>
      </x:c>
      <x:c r="B1542" s="34" t="str">
        <x:v>EX-1514</x:v>
      </x:c>
      <x:c r="C1542" s="34" t="str">
        <x:v>گزارشنویسی علمی</x:v>
      </x:c>
      <x:c r="D1542" s="34" t="str">
        <x:v>POSSIBLE</x:v>
      </x:c>
      <x:c r="E1542" s="34" t="str">
        <x:v>85.5</x:v>
      </x:c>
      <x:c r="F1542" s="34" t="str">
        <x:v>MI-0048</x:v>
      </x:c>
      <x:c r="G1542" s="39" t="str">
        <x:v>عضو هیات علمی دانشگاه آیت ا... بروجردی در بروجرد</x:v>
      </x:c>
      <x:c r="H1542" s="39" t="str">
        <x:v>H2</x:v>
      </x:c>
      <x:c r="I1542" s="39" t="str">
        <x:v>P3/CLARIFY</x:v>
      </x:c>
      <x:c r="J1542" s="39" t="str">
        <x:v>H2</x:v>
      </x:c>
      <x:c r="K1542" s="39" t="str">
        <x:v>تطبیق احتمالی با پایه</x:v>
      </x:c>
      <x:c r="L1542" s="39" t="str">
        <x:v>MI-0048</x:v>
      </x:c>
      <x:c r="M1542" s="39" t="str">
        <x:v>عضو هیات علمی دانشگاه آیت ا... بروجردی در بروجرد</x:v>
      </x:c>
      <x:c r="N1542" s="39" t="str">
        <x:v>1154878548.docx::P4205.1</x:v>
      </x:c>
      <x:c r="O1542" s="39"/>
    </x:row>
    <x:row r="1543">
      <x:c r="A1543" s="34" t="str">
        <x:v>☐</x:v>
      </x:c>
      <x:c r="B1543" s="34" t="str">
        <x:v>EX-1515</x:v>
      </x:c>
      <x:c r="C1543" s="34" t="str">
        <x:v>ریسرچ حرفهای در:</x:v>
      </x:c>
      <x:c r="D1543" s="34" t="str">
        <x:v>POSSIBLE</x:v>
      </x:c>
      <x:c r="E1543" s="34" t="str">
        <x:v>85.5</x:v>
      </x:c>
      <x:c r="F1543" s="34" t="str">
        <x:v>MI-0077</x:v>
      </x:c>
      <x:c r="G1543" s="39" t="str">
        <x:v>یادگیری هوش هیجانی و قدرت تصمیم گیری بالا در لحظه</x:v>
      </x:c>
      <x:c r="H1543" s="39" t="str">
        <x:v>H1</x:v>
      </x:c>
      <x:c r="I1543" s="39" t="str">
        <x:v>P0</x:v>
      </x:c>
      <x:c r="J1543" s="39" t="str">
        <x:v>H1</x:v>
      </x:c>
      <x:c r="K1543" s="39" t="str">
        <x:v>تطبیق احتمالی با پایه</x:v>
      </x:c>
      <x:c r="L1543" s="39" t="str">
        <x:v>MI-0077</x:v>
      </x:c>
      <x:c r="M1543" s="39" t="str">
        <x:v>یادگیری هوش هیجانی و قدرت تصمیم گیری بالا در لحظه</x:v>
      </x:c>
      <x:c r="N1543" s="39" t="str">
        <x:v>1154878548.docx::P4206.1</x:v>
      </x:c>
      <x:c r="O1543" s="39"/>
    </x:row>
    <x:row r="1544">
      <x:c r="A1544" s="34" t="str">
        <x:v>☐</x:v>
      </x:c>
      <x:c r="B1544" s="34" t="str">
        <x:v>EX-1516</x:v>
      </x:c>
      <x:c r="C1544" s="34" t="str">
        <x:v>Scopus</x:v>
      </x:c>
      <x:c r="D1544" s="34" t="str">
        <x:v>UNMAPPED</x:v>
      </x:c>
      <x:c r="E1544" s="34" t="str">
        <x:v>60.0</x:v>
      </x:c>
      <x:c r="F1544" s="34" t="str">
        <x:v>MI-0109</x:v>
      </x:c>
      <x:c r="G1544" s="39" t="str">
        <x:v>xps</x:v>
      </x:c>
      <x:c r="H1544" s="39" t="str">
        <x:v>H6</x:v>
      </x:c>
      <x:c r="I1544" s="39" t="str">
        <x:v>P3/CLARIFY</x:v>
      </x:c>
      <x:c r="J1544" s="39" t="str">
        <x:v>H23</x:v>
      </x:c>
      <x:c r="K1544" s="39" t="str">
        <x:v>نیازمند پالایش؛ حذف نشده</x:v>
      </x:c>
      <x:c r="L1544" s="39"/>
      <x:c r="M1544" s="39"/>
      <x:c r="N1544" s="39" t="str">
        <x:v>1154878548.docx::P4209.1</x:v>
      </x:c>
      <x:c r="O1544" s="39"/>
    </x:row>
    <x:row r="1545">
      <x:c r="A1545" s="34" t="str">
        <x:v>☐</x:v>
      </x:c>
      <x:c r="B1545" s="34" t="str">
        <x:v>EX-1517</x:v>
      </x:c>
      <x:c r="C1545" s="34" t="str">
        <x:v>ScienceDirect</x:v>
      </x:c>
      <x:c r="D1545" s="34" t="str">
        <x:v>POSSIBLE</x:v>
      </x:c>
      <x:c r="E1545" s="34" t="str">
        <x:v>85.5</x:v>
      </x:c>
      <x:c r="F1545" s="34" t="str">
        <x:v>MI-0161</x:v>
      </x:c>
      <x:c r="G1545" s="39" t="str">
        <x:v>N&amp;N</x:v>
      </x:c>
      <x:c r="H1545" s="39" t="str">
        <x:v>H23</x:v>
      </x:c>
      <x:c r="I1545" s="39" t="str">
        <x:v>P3/CLARIFY</x:v>
      </x:c>
      <x:c r="J1545" s="39" t="str">
        <x:v>H23</x:v>
      </x:c>
      <x:c r="K1545" s="39" t="str">
        <x:v>تطبیق احتمالی با پایه</x:v>
      </x:c>
      <x:c r="L1545" s="39" t="str">
        <x:v>MI-0161</x:v>
      </x:c>
      <x:c r="M1545" s="39" t="str">
        <x:v>N&amp;N</x:v>
      </x:c>
      <x:c r="N1545" s="39" t="str">
        <x:v>1154878548.docx::P4210.1</x:v>
      </x:c>
      <x:c r="O1545" s="39"/>
    </x:row>
    <x:row r="1546">
      <x:c r="A1546" s="34" t="str">
        <x:v>☐</x:v>
      </x:c>
      <x:c r="B1546" s="34" t="str">
        <x:v>EX-1518</x:v>
      </x:c>
      <x:c r="C1546" s="34" t="str">
        <x:v>PubMed</x:v>
      </x:c>
      <x:c r="D1546" s="34" t="str">
        <x:v>UNMAPPED</x:v>
      </x:c>
      <x:c r="E1546" s="34" t="str">
        <x:v>72.0</x:v>
      </x:c>
      <x:c r="F1546" s="34" t="str">
        <x:v>MI-0389</x:v>
      </x:c>
      <x:c r="G1546" s="39" t="str">
        <x:v>ERD</x:v>
      </x:c>
      <x:c r="H1546" s="39" t="str">
        <x:v>H18</x:v>
      </x:c>
      <x:c r="I1546" s="39" t="str">
        <x:v>BANK</x:v>
      </x:c>
      <x:c r="J1546" s="39" t="str">
        <x:v>H23</x:v>
      </x:c>
      <x:c r="K1546" s="39" t="str">
        <x:v>نیازمند پالایش؛ حذف نشده</x:v>
      </x:c>
      <x:c r="L1546" s="39"/>
      <x:c r="M1546" s="39"/>
      <x:c r="N1546" s="39" t="str">
        <x:v>1154878548.docx::P4211.1</x:v>
      </x:c>
      <x:c r="O1546" s="39"/>
    </x:row>
    <x:row r="1547">
      <x:c r="A1547" s="34" t="str">
        <x:v>☐</x:v>
      </x:c>
      <x:c r="B1547" s="34" t="str">
        <x:v>EX-1519</x:v>
      </x:c>
      <x:c r="C1547" s="34" t="str">
        <x:v>تدریس ریاضی</x:v>
      </x:c>
      <x:c r="D1547" s="34" t="str">
        <x:v>POSSIBLE</x:v>
      </x:c>
      <x:c r="E1547" s="34" t="str">
        <x:v>90.0</x:v>
      </x:c>
      <x:c r="F1547" s="34" t="str">
        <x:v>MI-0029</x:v>
      </x:c>
      <x:c r="G1547" s="39" t="str">
        <x:v>تدریس ریاضی و فیزیک</x:v>
      </x:c>
      <x:c r="H1547" s="39" t="str">
        <x:v>H1</x:v>
      </x:c>
      <x:c r="I1547" s="39" t="str">
        <x:v>P0</x:v>
      </x:c>
      <x:c r="J1547" s="39" t="str">
        <x:v>H1</x:v>
      </x:c>
      <x:c r="K1547" s="39" t="str">
        <x:v>تطبیق احتمالی با پایه</x:v>
      </x:c>
      <x:c r="L1547" s="39" t="str">
        <x:v>MI-0029</x:v>
      </x:c>
      <x:c r="M1547" s="39" t="str">
        <x:v>تدریس ریاضی و فیزیک</x:v>
      </x:c>
      <x:c r="N1547" s="39" t="str">
        <x:v>1154878548.docx::P4212.1</x:v>
      </x:c>
      <x:c r="O1547" s="39"/>
    </x:row>
    <x:row r="1548">
      <x:c r="A1548" s="34" t="str">
        <x:v>☐</x:v>
      </x:c>
      <x:c r="B1548" s="34" t="str">
        <x:v>EX-1520</x:v>
      </x:c>
      <x:c r="C1548" s="34" t="str">
        <x:v>تدریس فیزیک</x:v>
      </x:c>
      <x:c r="D1548" s="34" t="str">
        <x:v>POSSIBLE</x:v>
      </x:c>
      <x:c r="E1548" s="34" t="str">
        <x:v>90.0</x:v>
      </x:c>
      <x:c r="F1548" s="34" t="str">
        <x:v>MI-1171</x:v>
      </x:c>
      <x:c r="G1548" s="39" t="str">
        <x:v>فیزیک</x:v>
      </x:c>
      <x:c r="H1548" s="39" t="str">
        <x:v>H11</x:v>
      </x:c>
      <x:c r="I1548" s="39" t="str">
        <x:v>DELEGATE/P2</x:v>
      </x:c>
      <x:c r="J1548" s="39" t="str">
        <x:v>H11</x:v>
      </x:c>
      <x:c r="K1548" s="39" t="str">
        <x:v>تطبیق احتمالی با پایه</x:v>
      </x:c>
      <x:c r="L1548" s="39" t="str">
        <x:v>MI-1171</x:v>
      </x:c>
      <x:c r="M1548" s="39" t="str">
        <x:v>فیزیک</x:v>
      </x:c>
      <x:c r="N1548" s="39" t="str">
        <x:v>1154878548.docx::P4213.1</x:v>
      </x:c>
      <x:c r="O1548" s="39"/>
    </x:row>
    <x:row r="1549">
      <x:c r="A1549" s="34" t="str">
        <x:v>☐</x:v>
      </x:c>
      <x:c r="B1549" s="34" t="str">
        <x:v>EX-1521</x:v>
      </x:c>
      <x:c r="C1549" s="34" t="str">
        <x:v>نوشتن جزوه تخصصی (ریاضی و فیزیک)</x:v>
      </x:c>
      <x:c r="D1549" s="34" t="str">
        <x:v>POSSIBLE</x:v>
      </x:c>
      <x:c r="E1549" s="34" t="str">
        <x:v>90.0</x:v>
      </x:c>
      <x:c r="F1549" s="34" t="str">
        <x:v>MI-1170</x:v>
      </x:c>
      <x:c r="G1549" s="39" t="str">
        <x:v>ریاضی</x:v>
      </x:c>
      <x:c r="H1549" s="39" t="str">
        <x:v>H11</x:v>
      </x:c>
      <x:c r="I1549" s="39" t="str">
        <x:v>DELEGATE/P2</x:v>
      </x:c>
      <x:c r="J1549" s="39" t="str">
        <x:v>H11</x:v>
      </x:c>
      <x:c r="K1549" s="39" t="str">
        <x:v>تطبیق احتمالی با پایه</x:v>
      </x:c>
      <x:c r="L1549" s="39" t="str">
        <x:v>MI-1170</x:v>
      </x:c>
      <x:c r="M1549" s="39" t="str">
        <x:v>ریاضی</x:v>
      </x:c>
      <x:c r="N1549" s="39" t="str">
        <x:v>1154878548.docx::P4214.1</x:v>
      </x:c>
      <x:c r="O1549" s="39"/>
    </x:row>
    <x:row r="1550">
      <x:c r="A1550" s="34" t="str">
        <x:v>☐</x:v>
      </x:c>
      <x:c r="B1550" s="34" t="str">
        <x:v>EX-1522</x:v>
      </x:c>
      <x:c r="C1550" s="34" t="str">
        <x:v>1.3 مدارک علمی</x:v>
      </x:c>
      <x:c r="D1550" s="34" t="str">
        <x:v>POSSIBLE</x:v>
      </x:c>
      <x:c r="E1550" s="34" t="str">
        <x:v>85.5</x:v>
      </x:c>
      <x:c r="F1550" s="34" t="str">
        <x:v>MI-0050</x:v>
      </x:c>
      <x:c r="G1550" s="39" t="str">
        <x:v>گرفتن گواهینامه پایه 1</x:v>
      </x:c>
      <x:c r="H1550" s="39" t="str">
        <x:v>H1</x:v>
      </x:c>
      <x:c r="I1550" s="39" t="str">
        <x:v>P0</x:v>
      </x:c>
      <x:c r="J1550" s="39" t="str">
        <x:v>H1</x:v>
      </x:c>
      <x:c r="K1550" s="39" t="str">
        <x:v>تطبیق احتمالی با پایه</x:v>
      </x:c>
      <x:c r="L1550" s="39" t="str">
        <x:v>MI-0050</x:v>
      </x:c>
      <x:c r="M1550" s="39" t="str">
        <x:v>گرفتن گواهینامه پایه 1</x:v>
      </x:c>
      <x:c r="N1550" s="39" t="str">
        <x:v>1154878548.docx::P4215.1</x:v>
      </x:c>
      <x:c r="O1550" s="39"/>
    </x:row>
    <x:row r="1551">
      <x:c r="A1551" s="34" t="str">
        <x:v>☐</x:v>
      </x:c>
      <x:c r="B1551" s="34" t="str">
        <x:v>EX-1523</x:v>
      </x:c>
      <x:c r="C1551" s="34" t="str">
        <x:v>MBA</x:v>
      </x:c>
      <x:c r="D1551" s="34" t="str">
        <x:v>POSSIBLE</x:v>
      </x:c>
      <x:c r="E1551" s="34" t="str">
        <x:v>90.0</x:v>
      </x:c>
      <x:c r="F1551" s="34" t="str">
        <x:v>MI-0052</x:v>
      </x:c>
      <x:c r="G1551" s="39" t="str">
        <x:v>گرفتن مدرک MBA</x:v>
      </x:c>
      <x:c r="H1551" s="39" t="str">
        <x:v>H8</x:v>
      </x:c>
      <x:c r="I1551" s="39" t="str">
        <x:v>P2</x:v>
      </x:c>
      <x:c r="J1551" s="39" t="str">
        <x:v>H8</x:v>
      </x:c>
      <x:c r="K1551" s="39" t="str">
        <x:v>تطبیق احتمالی با پایه</x:v>
      </x:c>
      <x:c r="L1551" s="39" t="str">
        <x:v>MI-0052</x:v>
      </x:c>
      <x:c r="M1551" s="39" t="str">
        <x:v>گرفتن مدرک MBA</x:v>
      </x:c>
      <x:c r="N1551" s="39" t="str">
        <x:v>1154878548.docx::P4216.1</x:v>
      </x:c>
      <x:c r="O1551" s="39"/>
    </x:row>
    <x:row r="1552">
      <x:c r="A1552" s="34" t="str">
        <x:v>☐</x:v>
      </x:c>
      <x:c r="B1552" s="34" t="str">
        <x:v>EX-1524</x:v>
      </x:c>
      <x:c r="C1552" s="34" t="str">
        <x:v>IELTS</x:v>
      </x:c>
      <x:c r="D1552" s="34" t="str">
        <x:v>UNMAPPED</x:v>
      </x:c>
      <x:c r="E1552" s="34" t="str">
        <x:v>67.5</x:v>
      </x:c>
      <x:c r="F1552" s="34" t="str">
        <x:v>MI-1771</x:v>
      </x:c>
      <x:c r="G1552" s="39" t="str">
        <x:v>هکرها و سازنده ها (maker communities)</x:v>
      </x:c>
      <x:c r="H1552" s="39" t="str">
        <x:v>H20</x:v>
      </x:c>
      <x:c r="I1552" s="39" t="str">
        <x:v>P3/CLARIFY</x:v>
      </x:c>
      <x:c r="J1552" s="39" t="str">
        <x:v>H23</x:v>
      </x:c>
      <x:c r="K1552" s="39" t="str">
        <x:v>نیازمند پالایش؛ حذف نشده</x:v>
      </x:c>
      <x:c r="L1552" s="39"/>
      <x:c r="M1552" s="39"/>
      <x:c r="N1552" s="39" t="str">
        <x:v>1154878548.docx::P4217.1</x:v>
      </x:c>
      <x:c r="O1552" s="39"/>
    </x:row>
    <x:row r="1553">
      <x:c r="A1553" s="34" t="str">
        <x:v>☐</x:v>
      </x:c>
      <x:c r="B1553" s="34" t="str">
        <x:v>EX-1525</x:v>
      </x:c>
      <x:c r="C1553" s="34" t="str">
        <x:v>💼 2. مسیر صنعت، پروژه و کارآفرینی</x:v>
      </x:c>
      <x:c r="D1553" s="34" t="str">
        <x:v>POSSIBLE</x:v>
      </x:c>
      <x:c r="E1553" s="34" t="str">
        <x:v>90.0</x:v>
      </x:c>
      <x:c r="F1553" s="34" t="str">
        <x:v>MI-2602</x:v>
      </x:c>
      <x:c r="G1553" s="39" t="str">
        <x:v>صنعت</x:v>
      </x:c>
      <x:c r="H1553" s="39" t="str">
        <x:v>H12</x:v>
      </x:c>
      <x:c r="I1553" s="39" t="str">
        <x:v>P2</x:v>
      </x:c>
      <x:c r="J1553" s="39" t="str">
        <x:v>H12</x:v>
      </x:c>
      <x:c r="K1553" s="39" t="str">
        <x:v>تطبیق احتمالی با پایه</x:v>
      </x:c>
      <x:c r="L1553" s="39" t="str">
        <x:v>MI-2602</x:v>
      </x:c>
      <x:c r="M1553" s="39" t="str">
        <x:v>صنعت</x:v>
      </x:c>
      <x:c r="N1553" s="39" t="str">
        <x:v>1154878548.docx::P4219.1</x:v>
      </x:c>
      <x:c r="O1553" s="39"/>
    </x:row>
    <x:row r="1554">
      <x:c r="A1554" s="34" t="str">
        <x:v>☐</x:v>
      </x:c>
      <x:c r="B1554" s="34" t="str">
        <x:v>EX-1526</x:v>
      </x:c>
      <x:c r="C1554" s="34" t="str">
        <x:v>2.1 پروژهها و ایدههای صنعتی</x:v>
      </x:c>
      <x:c r="D1554" s="34" t="str">
        <x:v>POSSIBLE</x:v>
      </x:c>
      <x:c r="E1554" s="34" t="str">
        <x:v>90.0</x:v>
      </x:c>
      <x:c r="F1554" s="34" t="str">
        <x:v>MI-2602</x:v>
      </x:c>
      <x:c r="G1554" s="39" t="str">
        <x:v>صنعت</x:v>
      </x:c>
      <x:c r="H1554" s="39" t="str">
        <x:v>H12</x:v>
      </x:c>
      <x:c r="I1554" s="39" t="str">
        <x:v>P2</x:v>
      </x:c>
      <x:c r="J1554" s="39" t="str">
        <x:v>H12</x:v>
      </x:c>
      <x:c r="K1554" s="39" t="str">
        <x:v>تطبیق احتمالی با پایه</x:v>
      </x:c>
      <x:c r="L1554" s="39" t="str">
        <x:v>MI-2602</x:v>
      </x:c>
      <x:c r="M1554" s="39" t="str">
        <x:v>صنعت</x:v>
      </x:c>
      <x:c r="N1554" s="39" t="str">
        <x:v>1154878548.docx::P4220.1</x:v>
      </x:c>
      <x:c r="O1554" s="39"/>
    </x:row>
    <x:row r="1555">
      <x:c r="A1555" s="34" t="str">
        <x:v>☐</x:v>
      </x:c>
      <x:c r="B1555" s="34" t="str">
        <x:v>EX-1527</x:v>
      </x:c>
      <x:c r="C1555" s="34" t="str">
        <x:v>کارخانه بازیافت پلاستیک</x:v>
      </x:c>
      <x:c r="D1555" s="34" t="str">
        <x:v>POSSIBLE</x:v>
      </x:c>
      <x:c r="E1555" s="34" t="str">
        <x:v>90.0</x:v>
      </x:c>
      <x:c r="F1555" s="34" t="str">
        <x:v>MI-1247</x:v>
      </x:c>
      <x:c r="G1555" s="39" t="str">
        <x:v>پلاستیک</x:v>
      </x:c>
      <x:c r="H1555" s="39" t="str">
        <x:v>H12</x:v>
      </x:c>
      <x:c r="I1555" s="39" t="str">
        <x:v>P2</x:v>
      </x:c>
      <x:c r="J1555" s="39" t="str">
        <x:v>H12</x:v>
      </x:c>
      <x:c r="K1555" s="39" t="str">
        <x:v>تطبیق احتمالی با پایه</x:v>
      </x:c>
      <x:c r="L1555" s="39" t="str">
        <x:v>MI-1247</x:v>
      </x:c>
      <x:c r="M1555" s="39" t="str">
        <x:v>پلاستیک</x:v>
      </x:c>
      <x:c r="N1555" s="39" t="str">
        <x:v>1154878548.docx::P4221.1</x:v>
      </x:c>
      <x:c r="O1555" s="39"/>
    </x:row>
    <x:row r="1556">
      <x:c r="A1556" s="34" t="str">
        <x:v>☐</x:v>
      </x:c>
      <x:c r="B1556" s="34" t="str">
        <x:v>EX-1528</x:v>
      </x:c>
      <x:c r="C1556" s="34" t="str">
        <x:v>کارخانه فرآوری مرکبات</x:v>
      </x:c>
      <x:c r="D1556" s="34" t="str">
        <x:v>POSSIBLE</x:v>
      </x:c>
      <x:c r="E1556" s="34" t="str">
        <x:v>90.0</x:v>
      </x:c>
      <x:c r="F1556" s="34" t="str">
        <x:v>MI-2545</x:v>
      </x:c>
      <x:c r="G1556" s="39" t="str">
        <x:v>کار:</x:v>
      </x:c>
      <x:c r="H1556" s="39" t="str">
        <x:v>H20</x:v>
      </x:c>
      <x:c r="I1556" s="39" t="str">
        <x:v>P3/CLARIFY</x:v>
      </x:c>
      <x:c r="J1556" s="39" t="str">
        <x:v>H20</x:v>
      </x:c>
      <x:c r="K1556" s="39" t="str">
        <x:v>تطبیق احتمالی با پایه</x:v>
      </x:c>
      <x:c r="L1556" s="39" t="str">
        <x:v>MI-2545</x:v>
      </x:c>
      <x:c r="M1556" s="39" t="str">
        <x:v>کار:</x:v>
      </x:c>
      <x:c r="N1556" s="39" t="str">
        <x:v>1154878548.docx::P4222.1</x:v>
      </x:c>
      <x:c r="O1556" s="39"/>
    </x:row>
    <x:row r="1557">
      <x:c r="A1557" s="34" t="str">
        <x:v>☐</x:v>
      </x:c>
      <x:c r="B1557" s="34" t="str">
        <x:v>EX-1529</x:v>
      </x:c>
      <x:c r="C1557" s="34" t="str">
        <x:v>دستگاه الک سهفازی</x:v>
      </x:c>
      <x:c r="D1557" s="34" t="str">
        <x:v>POSSIBLE</x:v>
      </x:c>
      <x:c r="E1557" s="34" t="str">
        <x:v>85.5</x:v>
      </x:c>
      <x:c r="F1557" s="34" t="str">
        <x:v>MI-1029</x:v>
      </x:c>
      <x:c r="G1557" s="39" t="str">
        <x:v>ساخت دستگاه دریافت کننده انواع زباله</x:v>
      </x:c>
      <x:c r="H1557" s="39" t="str">
        <x:v>H12</x:v>
      </x:c>
      <x:c r="I1557" s="39" t="str">
        <x:v>P2</x:v>
      </x:c>
      <x:c r="J1557" s="39" t="str">
        <x:v>H12</x:v>
      </x:c>
      <x:c r="K1557" s="39" t="str">
        <x:v>تطبیق احتمالی با پایه</x:v>
      </x:c>
      <x:c r="L1557" s="39" t="str">
        <x:v>MI-1029</x:v>
      </x:c>
      <x:c r="M1557" s="39" t="str">
        <x:v>ساخت دستگاه دریافت کننده انواع زباله</x:v>
      </x:c>
      <x:c r="N1557" s="39" t="str">
        <x:v>1154878548.docx::P4224.1</x:v>
      </x:c>
      <x:c r="O1557" s="39"/>
    </x:row>
    <x:row r="1558">
      <x:c r="A1558" s="34" t="str">
        <x:v>☐</x:v>
      </x:c>
      <x:c r="B1558" s="34" t="str">
        <x:v>EX-1530</x:v>
      </x:c>
      <x:c r="C1558" s="34" t="str">
        <x:v>پروژه مسیر «دانشجو تا شغل»</x:v>
      </x:c>
      <x:c r="D1558" s="34" t="str">
        <x:v>POSSIBLE</x:v>
      </x:c>
      <x:c r="E1558" s="34" t="str">
        <x:v>90.0</x:v>
      </x:c>
      <x:c r="F1558" s="34" t="str">
        <x:v>MI-2622</x:v>
      </x:c>
      <x:c r="G1558" s="39" t="str">
        <x:v>دانش</x:v>
      </x:c>
      <x:c r="H1558" s="39" t="str">
        <x:v>H20</x:v>
      </x:c>
      <x:c r="I1558" s="39" t="str">
        <x:v>P3/CLARIFY</x:v>
      </x:c>
      <x:c r="J1558" s="39" t="str">
        <x:v>H20</x:v>
      </x:c>
      <x:c r="K1558" s="39" t="str">
        <x:v>تطبیق احتمالی با پایه</x:v>
      </x:c>
      <x:c r="L1558" s="39" t="str">
        <x:v>MI-2622</x:v>
      </x:c>
      <x:c r="M1558" s="39" t="str">
        <x:v>دانش</x:v>
      </x:c>
      <x:c r="N1558" s="39" t="str">
        <x:v>1154878548.docx::P4225.1</x:v>
      </x:c>
      <x:c r="O1558" s="39"/>
    </x:row>
    <x:row r="1559">
      <x:c r="A1559" s="34" t="str">
        <x:v>☐</x:v>
      </x:c>
      <x:c r="B1559" s="34" t="str">
        <x:v>EX-1531</x:v>
      </x:c>
      <x:c r="C1559" s="34" t="str">
        <x:v>کنترل فشار خون سالمندان با دستیار صوتی</x:v>
      </x:c>
      <x:c r="D1559" s="34" t="str">
        <x:v>POSSIBLE</x:v>
      </x:c>
      <x:c r="E1559" s="34" t="str">
        <x:v>85.5</x:v>
      </x:c>
      <x:c r="F1559" s="34" t="str">
        <x:v>MI-1501</x:v>
      </x:c>
      <x:c r="G1559" s="39" t="str">
        <x:v>مدیریت ریسک: شناسایی ریسک ها، ارزیابی اثرات، تدوین برنامه های مقابله با ریسک ها.</x:v>
      </x:c>
      <x:c r="H1559" s="39" t="str">
        <x:v>H1</x:v>
      </x:c>
      <x:c r="I1559" s="39" t="str">
        <x:v>P0</x:v>
      </x:c>
      <x:c r="J1559" s="39" t="str">
        <x:v>H1</x:v>
      </x:c>
      <x:c r="K1559" s="39" t="str">
        <x:v>تطبیق احتمالی با پایه</x:v>
      </x:c>
      <x:c r="L1559" s="39" t="str">
        <x:v>MI-1501</x:v>
      </x:c>
      <x:c r="M1559" s="39" t="str">
        <x:v>مدیریت ریسک: شناسایی ریسک ها، ارزیابی اثرات، تدوین برنامه های مقابله با ریسک ها.</x:v>
      </x:c>
      <x:c r="N1559" s="39" t="str">
        <x:v>1154878548.docx::P4226.1</x:v>
      </x:c>
      <x:c r="O1559" s="39"/>
    </x:row>
    <x:row r="1560">
      <x:c r="A1560" s="34" t="str">
        <x:v>☐</x:v>
      </x:c>
      <x:c r="B1560" s="34" t="str">
        <x:v>EX-1532</x:v>
      </x:c>
      <x:c r="C1560" s="34" t="str">
        <x:v>ارتباط صنعت و دانشگاه نوشیروانی</x:v>
      </x:c>
      <x:c r="D1560" s="34" t="str">
        <x:v>POSSIBLE</x:v>
      </x:c>
      <x:c r="E1560" s="34" t="str">
        <x:v>91.8</x:v>
      </x:c>
      <x:c r="F1560" s="34" t="str">
        <x:v>MI-0081</x:v>
      </x:c>
      <x:c r="G1560" s="39" t="str">
        <x:v>پیگیری ارتباط با صنعت دانشگاه نوشیروانی</x:v>
      </x:c>
      <x:c r="H1560" s="39" t="str">
        <x:v>H14</x:v>
      </x:c>
      <x:c r="I1560" s="39" t="str">
        <x:v>P3</x:v>
      </x:c>
      <x:c r="J1560" s="39" t="str">
        <x:v>H14</x:v>
      </x:c>
      <x:c r="K1560" s="39" t="str">
        <x:v>تطبیق احتمالی با پایه</x:v>
      </x:c>
      <x:c r="L1560" s="39" t="str">
        <x:v>MI-0081</x:v>
      </x:c>
      <x:c r="M1560" s="39" t="str">
        <x:v>پیگیری ارتباط با صنعت دانشگاه نوشیروانی</x:v>
      </x:c>
      <x:c r="N1560" s="39" t="str">
        <x:v>1154878548.docx::P4228.1</x:v>
      </x:c>
      <x:c r="O1560" s="39"/>
    </x:row>
    <x:row r="1561">
      <x:c r="A1561" s="34" t="str">
        <x:v>☐</x:v>
      </x:c>
      <x:c r="B1561" s="34" t="str">
        <x:v>EX-1533</x:v>
      </x:c>
      <x:c r="C1561" s="34" t="str">
        <x:v>حل مسائل صنعتی</x:v>
      </x:c>
      <x:c r="D1561" s="34" t="str">
        <x:v>POSSIBLE</x:v>
      </x:c>
      <x:c r="E1561" s="34" t="str">
        <x:v>90.0</x:v>
      </x:c>
      <x:c r="F1561" s="34" t="str">
        <x:v>MI-2602</x:v>
      </x:c>
      <x:c r="G1561" s="39" t="str">
        <x:v>صنعت</x:v>
      </x:c>
      <x:c r="H1561" s="39" t="str">
        <x:v>H12</x:v>
      </x:c>
      <x:c r="I1561" s="39" t="str">
        <x:v>P2</x:v>
      </x:c>
      <x:c r="J1561" s="39" t="str">
        <x:v>H12</x:v>
      </x:c>
      <x:c r="K1561" s="39" t="str">
        <x:v>تطبیق احتمالی با پایه</x:v>
      </x:c>
      <x:c r="L1561" s="39" t="str">
        <x:v>MI-2602</x:v>
      </x:c>
      <x:c r="M1561" s="39" t="str">
        <x:v>صنعت</x:v>
      </x:c>
      <x:c r="N1561" s="39" t="str">
        <x:v>1154878548.docx::P4230.1</x:v>
      </x:c>
      <x:c r="O1561" s="39"/>
    </x:row>
    <x:row r="1562">
      <x:c r="A1562" s="34" t="str">
        <x:v>☐</x:v>
      </x:c>
      <x:c r="B1562" s="34" t="str">
        <x:v>EX-1534</x:v>
      </x:c>
      <x:c r="C1562" s="34" t="str">
        <x:v>سوژهیابی صنعتی</x:v>
      </x:c>
      <x:c r="D1562" s="34" t="str">
        <x:v>POSSIBLE</x:v>
      </x:c>
      <x:c r="E1562" s="34" t="str">
        <x:v>90.0</x:v>
      </x:c>
      <x:c r="F1562" s="34" t="str">
        <x:v>MI-2602</x:v>
      </x:c>
      <x:c r="G1562" s="39" t="str">
        <x:v>صنعت</x:v>
      </x:c>
      <x:c r="H1562" s="39" t="str">
        <x:v>H12</x:v>
      </x:c>
      <x:c r="I1562" s="39" t="str">
        <x:v>P2</x:v>
      </x:c>
      <x:c r="J1562" s="39" t="str">
        <x:v>H12</x:v>
      </x:c>
      <x:c r="K1562" s="39" t="str">
        <x:v>تطبیق احتمالی با پایه</x:v>
      </x:c>
      <x:c r="L1562" s="39" t="str">
        <x:v>MI-2602</x:v>
      </x:c>
      <x:c r="M1562" s="39" t="str">
        <x:v>صنعت</x:v>
      </x:c>
      <x:c r="N1562" s="39" t="str">
        <x:v>1154878548.docx::P4232.1</x:v>
      </x:c>
      <x:c r="O1562" s="39"/>
    </x:row>
    <x:row r="1563">
      <x:c r="A1563" s="34" t="str">
        <x:v>☐</x:v>
      </x:c>
      <x:c r="B1563" s="34" t="str">
        <x:v>EX-1535</x:v>
      </x:c>
      <x:c r="C1563" s="34" t="str">
        <x:v>استفاده از پایگاه اختراعات</x:v>
      </x:c>
      <x:c r="D1563" s="34" t="str">
        <x:v>POSSIBLE</x:v>
      </x:c>
      <x:c r="E1563" s="34" t="str">
        <x:v>85.5</x:v>
      </x:c>
      <x:c r="F1563" s="34" t="str">
        <x:v>MI-1457</x:v>
      </x:c>
      <x:c r="G1563" s="39" t="str">
        <x:v>سلامت جسمانی: تغذیه سالم، ورزش منظم، خواب کافی، پیشگیری از بیماری ها.</x:v>
      </x:c>
      <x:c r="H1563" s="39" t="str">
        <x:v>H1</x:v>
      </x:c>
      <x:c r="I1563" s="39" t="str">
        <x:v>P0</x:v>
      </x:c>
      <x:c r="J1563" s="39" t="str">
        <x:v>H1</x:v>
      </x:c>
      <x:c r="K1563" s="39" t="str">
        <x:v>تطبیق احتمالی با پایه</x:v>
      </x:c>
      <x:c r="L1563" s="39" t="str">
        <x:v>MI-1457</x:v>
      </x:c>
      <x:c r="M1563" s="39" t="str">
        <x:v>سلامت جسمانی: تغذیه سالم، ورزش منظم، خواب کافی، پیشگیری از بیماری ها.</x:v>
      </x:c>
      <x:c r="N1563" s="39" t="str">
        <x:v>1154878548.docx::P4233.1</x:v>
      </x:c>
      <x:c r="O1563" s="39"/>
    </x:row>
    <x:row r="1564">
      <x:c r="A1564" s="34" t="str">
        <x:v>☐</x:v>
      </x:c>
      <x:c r="B1564" s="34" t="str">
        <x:v>EX-1536</x:v>
      </x:c>
      <x:c r="C1564" s="34" t="str">
        <x:v>2.3 مجوزها و مدارک صنعتی</x:v>
      </x:c>
      <x:c r="D1564" s="34" t="str">
        <x:v>POSSIBLE</x:v>
      </x:c>
      <x:c r="E1564" s="34" t="str">
        <x:v>90.0</x:v>
      </x:c>
      <x:c r="F1564" s="34" t="str">
        <x:v>MI-2602</x:v>
      </x:c>
      <x:c r="G1564" s="39" t="str">
        <x:v>صنعت</x:v>
      </x:c>
      <x:c r="H1564" s="39" t="str">
        <x:v>H12</x:v>
      </x:c>
      <x:c r="I1564" s="39" t="str">
        <x:v>P2</x:v>
      </x:c>
      <x:c r="J1564" s="39" t="str">
        <x:v>H12</x:v>
      </x:c>
      <x:c r="K1564" s="39" t="str">
        <x:v>تطبیق احتمالی با پایه</x:v>
      </x:c>
      <x:c r="L1564" s="39" t="str">
        <x:v>MI-2602</x:v>
      </x:c>
      <x:c r="M1564" s="39" t="str">
        <x:v>صنعت</x:v>
      </x:c>
      <x:c r="N1564" s="39" t="str">
        <x:v>1154878548.docx::P4234.1</x:v>
      </x:c>
      <x:c r="O1564" s="39"/>
    </x:row>
    <x:row r="1565">
      <x:c r="A1565" s="34" t="str">
        <x:v>☐</x:v>
      </x:c>
      <x:c r="B1565" s="34" t="str">
        <x:v>EX-1537</x:v>
      </x:c>
      <x:c r="C1565" s="34" t="str">
        <x:v>کارت بازرگانی</x:v>
      </x:c>
      <x:c r="D1565" s="34" t="str">
        <x:v>POSSIBLE</x:v>
      </x:c>
      <x:c r="E1565" s="34" t="str">
        <x:v>90.0</x:v>
      </x:c>
      <x:c r="F1565" s="34" t="str">
        <x:v>MI-0037</x:v>
      </x:c>
      <x:c r="G1565" s="39" t="str">
        <x:v>دریافت کارت بازرگانی</x:v>
      </x:c>
      <x:c r="H1565" s="39" t="str">
        <x:v>H8</x:v>
      </x:c>
      <x:c r="I1565" s="39" t="str">
        <x:v>P2</x:v>
      </x:c>
      <x:c r="J1565" s="39" t="str">
        <x:v>H8</x:v>
      </x:c>
      <x:c r="K1565" s="39" t="str">
        <x:v>تطبیق احتمالی با پایه</x:v>
      </x:c>
      <x:c r="L1565" s="39" t="str">
        <x:v>MI-0037</x:v>
      </x:c>
      <x:c r="M1565" s="39" t="str">
        <x:v>دریافت کارت بازرگانی</x:v>
      </x:c>
      <x:c r="N1565" s="39" t="str">
        <x:v>1154878548.docx::P4235.1</x:v>
      </x:c>
      <x:c r="O1565" s="39"/>
    </x:row>
    <x:row r="1566">
      <x:c r="A1566" s="34" t="str">
        <x:v>☐</x:v>
      </x:c>
      <x:c r="B1566" s="34" t="str">
        <x:v>EX-1538</x:v>
      </x:c>
      <x:c r="C1566" s="34" t="str">
        <x:v>مدرک CNC</x:v>
      </x:c>
      <x:c r="D1566" s="34" t="str">
        <x:v>POSSIBLE</x:v>
      </x:c>
      <x:c r="E1566" s="34" t="str">
        <x:v>90.0</x:v>
      </x:c>
      <x:c r="F1566" s="34" t="str">
        <x:v>MI-0051</x:v>
      </x:c>
      <x:c r="G1566" s="39" t="str">
        <x:v>گرفتن مدرک cnc</x:v>
      </x:c>
      <x:c r="H1566" s="39" t="str">
        <x:v>H1</x:v>
      </x:c>
      <x:c r="I1566" s="39" t="str">
        <x:v>P0</x:v>
      </x:c>
      <x:c r="J1566" s="39" t="str">
        <x:v>H1</x:v>
      </x:c>
      <x:c r="K1566" s="39" t="str">
        <x:v>تطبیق احتمالی با پایه</x:v>
      </x:c>
      <x:c r="L1566" s="39" t="str">
        <x:v>MI-0051</x:v>
      </x:c>
      <x:c r="M1566" s="39" t="str">
        <x:v>گرفتن مدرک cnc</x:v>
      </x:c>
      <x:c r="N1566" s="39" t="str">
        <x:v>1154878548.docx::P4236.1</x:v>
      </x:c>
      <x:c r="O1566" s="39"/>
    </x:row>
    <x:row r="1567">
      <x:c r="A1567" s="34" t="str">
        <x:v>☐</x:v>
      </x:c>
      <x:c r="B1567" s="34" t="str">
        <x:v>EX-1539</x:v>
      </x:c>
      <x:c r="C1567" s="34" t="str">
        <x:v>2.4 پروژههای فنی خاص</x:v>
      </x:c>
      <x:c r="D1567" s="34" t="str">
        <x:v>POSSIBLE</x:v>
      </x:c>
      <x:c r="E1567" s="34" t="str">
        <x:v>85.5</x:v>
      </x:c>
      <x:c r="F1567" s="34" t="str">
        <x:v>MI-1508</x:v>
      </x:c>
      <x:c r="G1567" s="39" t="str">
        <x:v>مهارت های فنی: تسلط بر نرم افزارهای تخصصی، ابزارهای مهندسی، تکنولوژی های جدید.</x:v>
      </x:c>
      <x:c r="H1567" s="39" t="str">
        <x:v>H1</x:v>
      </x:c>
      <x:c r="I1567" s="39" t="str">
        <x:v>P0</x:v>
      </x:c>
      <x:c r="J1567" s="39" t="str">
        <x:v>H1</x:v>
      </x:c>
      <x:c r="K1567" s="39" t="str">
        <x:v>تطبیق احتمالی با پایه</x:v>
      </x:c>
      <x:c r="L1567" s="39" t="str">
        <x:v>MI-1508</x:v>
      </x:c>
      <x:c r="M1567" s="39" t="str">
        <x:v>مهارت های فنی: تسلط بر نرم افزارهای تخصصی، ابزارهای مهندسی، تکنولوژی های جدید.</x:v>
      </x:c>
      <x:c r="N1567" s="39" t="str">
        <x:v>1154878548.docx::P4238.1</x:v>
      </x:c>
      <x:c r="O1567" s="39"/>
    </x:row>
    <x:row r="1568">
      <x:c r="A1568" s="34" t="str">
        <x:v>☐</x:v>
      </x:c>
      <x:c r="B1568" s="34" t="str">
        <x:v>EX-1540</x:v>
      </x:c>
      <x:c r="C1568" s="34" t="str">
        <x:v>دستگاههای صنایع غذایی</x:v>
      </x:c>
      <x:c r="D1568" s="34" t="str">
        <x:v>POSSIBLE</x:v>
      </x:c>
      <x:c r="E1568" s="34" t="str">
        <x:v>90.0</x:v>
      </x:c>
      <x:c r="F1568" s="34" t="str">
        <x:v>MI-1638</x:v>
      </x:c>
      <x:c r="G1568" s="39" t="str">
        <x:v>• صنایع غذایی</x:v>
      </x:c>
      <x:c r="H1568" s="39" t="str">
        <x:v>H12</x:v>
      </x:c>
      <x:c r="I1568" s="39" t="str">
        <x:v>P2</x:v>
      </x:c>
      <x:c r="J1568" s="39" t="str">
        <x:v>H12</x:v>
      </x:c>
      <x:c r="K1568" s="39" t="str">
        <x:v>تطبیق احتمالی با پایه</x:v>
      </x:c>
      <x:c r="L1568" s="39" t="str">
        <x:v>MI-1638</x:v>
      </x:c>
      <x:c r="M1568" s="39" t="str">
        <x:v>• صنایع غذایی</x:v>
      </x:c>
      <x:c r="N1568" s="39" t="str">
        <x:v>1154878548.docx::P4241.1</x:v>
      </x:c>
      <x:c r="O1568" s="39"/>
    </x:row>
    <x:row r="1569">
      <x:c r="A1569" s="34" t="str">
        <x:v>☐</x:v>
      </x:c>
      <x:c r="B1569" s="34" t="str">
        <x:v>EX-1541</x:v>
      </x:c>
      <x:c r="C1569" s="34" t="str">
        <x:v>فرآیندهای تصفیه آب:</x:v>
      </x:c>
      <x:c r="D1569" s="34" t="str">
        <x:v>POSSIBLE</x:v>
      </x:c>
      <x:c r="E1569" s="34" t="str">
        <x:v>90.0</x:v>
      </x:c>
      <x:c r="F1569" s="34" t="str">
        <x:v>MI-0098</x:v>
      </x:c>
      <x:c r="G1569" s="39" t="str">
        <x:v>آشنایی با فرآیندهای تصفیه آب فنتون سونولیز اکسیداس یون پیشرفته</x:v>
      </x:c>
      <x:c r="H1569" s="39" t="str">
        <x:v>H12</x:v>
      </x:c>
      <x:c r="I1569" s="39" t="str">
        <x:v>P2</x:v>
      </x:c>
      <x:c r="J1569" s="39" t="str">
        <x:v>H12</x:v>
      </x:c>
      <x:c r="K1569" s="39" t="str">
        <x:v>تطبیق احتمالی با پایه</x:v>
      </x:c>
      <x:c r="L1569" s="39" t="str">
        <x:v>MI-0098</x:v>
      </x:c>
      <x:c r="M1569" s="39" t="str">
        <x:v>آشنایی با فرآیندهای تصفیه آب فنتون سونولیز اکسیداس یون پیشرفته</x:v>
      </x:c>
      <x:c r="N1569" s="39" t="str">
        <x:v>1154878548.docx::P4242.1</x:v>
      </x:c>
      <x:c r="O1569" s="39"/>
    </x:row>
    <x:row r="1570">
      <x:c r="A1570" s="34" t="str">
        <x:v>☐</x:v>
      </x:c>
      <x:c r="B1570" s="34" t="str">
        <x:v>EX-1542</x:v>
      </x:c>
      <x:c r="C1570" s="34" t="str">
        <x:v>فنتون</x:v>
      </x:c>
      <x:c r="D1570" s="34" t="str">
        <x:v>UNMAPPED</x:v>
      </x:c>
      <x:c r="E1570" s="34" t="str">
        <x:v>76.0</x:v>
      </x:c>
      <x:c r="F1570" s="34" t="str">
        <x:v>MI-3122</x:v>
      </x:c>
      <x:c r="G1570" s="39" t="str">
        <x:v>کلیفتون 2: آینده نگر</x:v>
      </x:c>
      <x:c r="H1570" s="39" t="str">
        <x:v>H22</x:v>
      </x:c>
      <x:c r="I1570" s="39" t="str">
        <x:v>P3/CLARIFY</x:v>
      </x:c>
      <x:c r="J1570" s="39" t="str">
        <x:v>H23</x:v>
      </x:c>
      <x:c r="K1570" s="39" t="str">
        <x:v>نیازمند پالایش؛ حذف نشده</x:v>
      </x:c>
      <x:c r="L1570" s="39"/>
      <x:c r="M1570" s="39"/>
      <x:c r="N1570" s="39" t="str">
        <x:v>1154878548.docx::P4244.1</x:v>
      </x:c>
      <x:c r="O1570" s="39"/>
    </x:row>
    <x:row r="1571">
      <x:c r="A1571" s="34" t="str">
        <x:v>☐</x:v>
      </x:c>
      <x:c r="B1571" s="34" t="str">
        <x:v>EX-1543</x:v>
      </x:c>
      <x:c r="C1571" s="34" t="str">
        <x:v>سونولیز</x:v>
      </x:c>
      <x:c r="D1571" s="34" t="str">
        <x:v>UNMAPPED</x:v>
      </x:c>
      <x:c r="E1571" s="34" t="str">
        <x:v>60.0</x:v>
      </x:c>
      <x:c r="F1571" s="34" t="str">
        <x:v>MI-0063</x:v>
      </x:c>
      <x:c r="G1571" s="39" t="str">
        <x:v>یادگیری ترکی استانبولی</x:v>
      </x:c>
      <x:c r="H1571" s="39" t="str">
        <x:v>H5</x:v>
      </x:c>
      <x:c r="I1571" s="39" t="str">
        <x:v>P1</x:v>
      </x:c>
      <x:c r="J1571" s="39" t="str">
        <x:v>H23</x:v>
      </x:c>
      <x:c r="K1571" s="39" t="str">
        <x:v>نیازمند پالایش؛ حذف نشده</x:v>
      </x:c>
      <x:c r="L1571" s="39"/>
      <x:c r="M1571" s="39"/>
      <x:c r="N1571" s="39" t="str">
        <x:v>1154878548.docx::P4245.1</x:v>
      </x:c>
      <x:c r="O1571" s="39"/>
    </x:row>
    <x:row r="1572">
      <x:c r="A1572" s="34" t="str">
        <x:v>☐</x:v>
      </x:c>
      <x:c r="B1572" s="34" t="str">
        <x:v>EX-1544</x:v>
      </x:c>
      <x:c r="C1572" s="34" t="str">
        <x:v>اکسیداسیون پیشرفته</x:v>
      </x:c>
      <x:c r="D1572" s="34" t="str">
        <x:v>POSSIBLE</x:v>
      </x:c>
      <x:c r="E1572" s="34" t="str">
        <x:v>85.5</x:v>
      </x:c>
      <x:c r="F1572" s="34" t="str">
        <x:v>MI-1607</x:v>
      </x:c>
      <x:c r="G1572" s="39" t="str">
        <x:v>برای انتقال تجربه از اکوسیستم های پیشرفته.</x:v>
      </x:c>
      <x:c r="H1572" s="39" t="str">
        <x:v>H10</x:v>
      </x:c>
      <x:c r="I1572" s="39" t="str">
        <x:v>P2</x:v>
      </x:c>
      <x:c r="J1572" s="39" t="str">
        <x:v>H10</x:v>
      </x:c>
      <x:c r="K1572" s="39" t="str">
        <x:v>تطبیق احتمالی با پایه</x:v>
      </x:c>
      <x:c r="L1572" s="39" t="str">
        <x:v>MI-1607</x:v>
      </x:c>
      <x:c r="M1572" s="39" t="str">
        <x:v>برای انتقال تجربه از اکوسیستم های پیشرفته.</x:v>
      </x:c>
      <x:c r="N1572" s="39" t="str">
        <x:v>1154878548.docx::P4246.1</x:v>
      </x:c>
      <x:c r="O1572" s="39"/>
    </x:row>
    <x:row r="1573">
      <x:c r="A1573" s="34" t="str">
        <x:v>☐</x:v>
      </x:c>
      <x:c r="B1573" s="34" t="str">
        <x:v>EX-1545</x:v>
      </x:c>
      <x:c r="C1573" s="34" t="str">
        <x:v>تجهیزات و کالاهای نیروگاهی</x:v>
      </x:c>
      <x:c r="D1573" s="34" t="str">
        <x:v>POSSIBLE</x:v>
      </x:c>
      <x:c r="E1573" s="34" t="str">
        <x:v>85.5</x:v>
      </x:c>
      <x:c r="F1573" s="34" t="str">
        <x:v>MI-1513</x:v>
      </x:c>
      <x:c r="G1573" s="39" t="str">
        <x:v>تولید و کارآفرینی: توانایی تولید محصول و خدمات و ایجاد شغل.</x:v>
      </x:c>
      <x:c r="H1573" s="39" t="str">
        <x:v>H1</x:v>
      </x:c>
      <x:c r="I1573" s="39" t="str">
        <x:v>P0</x:v>
      </x:c>
      <x:c r="J1573" s="39" t="str">
        <x:v>H1</x:v>
      </x:c>
      <x:c r="K1573" s="39" t="str">
        <x:v>تطبیق احتمالی با پایه</x:v>
      </x:c>
      <x:c r="L1573" s="39" t="str">
        <x:v>MI-1513</x:v>
      </x:c>
      <x:c r="M1573" s="39" t="str">
        <x:v>تولید و کارآفرینی: توانایی تولید محصول و خدمات و ایجاد شغل.</x:v>
      </x:c>
      <x:c r="N1573" s="39" t="str">
        <x:v>1154878548.docx::P4247.1</x:v>
      </x:c>
      <x:c r="O1573" s="39"/>
    </x:row>
    <x:row r="1574">
      <x:c r="A1574" s="34" t="str">
        <x:v>☐</x:v>
      </x:c>
      <x:c r="B1574" s="34" t="str">
        <x:v>EX-1546</x:v>
      </x:c>
      <x:c r="C1574" s="34" t="str">
        <x:v>🌍 3. زبانها و مسیر بینالمللی</x:v>
      </x:c>
      <x:c r="D1574" s="34" t="str">
        <x:v>POSSIBLE</x:v>
      </x:c>
      <x:c r="E1574" s="34" t="str">
        <x:v>85.5</x:v>
      </x:c>
      <x:c r="F1574" s="34" t="str">
        <x:v>MI-1513</x:v>
      </x:c>
      <x:c r="G1574" s="39" t="str">
        <x:v>تولید و کارآفرینی: توانایی تولید محصول و خدمات و ایجاد شغل.</x:v>
      </x:c>
      <x:c r="H1574" s="39" t="str">
        <x:v>H1</x:v>
      </x:c>
      <x:c r="I1574" s="39" t="str">
        <x:v>P0</x:v>
      </x:c>
      <x:c r="J1574" s="39" t="str">
        <x:v>H1</x:v>
      </x:c>
      <x:c r="K1574" s="39" t="str">
        <x:v>تطبیق احتمالی با پایه</x:v>
      </x:c>
      <x:c r="L1574" s="39" t="str">
        <x:v>MI-1513</x:v>
      </x:c>
      <x:c r="M1574" s="39" t="str">
        <x:v>تولید و کارآفرینی: توانایی تولید محصول و خدمات و ایجاد شغل.</x:v>
      </x:c>
      <x:c r="N1574" s="39" t="str">
        <x:v>1154878548.docx::P4248.1</x:v>
      </x:c>
      <x:c r="O1574" s="39"/>
    </x:row>
    <x:row r="1575">
      <x:c r="A1575" s="34" t="str">
        <x:v>☐</x:v>
      </x:c>
      <x:c r="B1575" s="34" t="str">
        <x:v>EX-1547</x:v>
      </x:c>
      <x:c r="C1575" s="34" t="str">
        <x:v>3.1 زبانها</x:v>
      </x:c>
      <x:c r="D1575" s="34" t="str">
        <x:v>POSSIBLE</x:v>
      </x:c>
      <x:c r="E1575" s="34" t="str">
        <x:v>85.5</x:v>
      </x:c>
      <x:c r="F1575" s="34" t="str">
        <x:v>MI-0050</x:v>
      </x:c>
      <x:c r="G1575" s="39" t="str">
        <x:v>گرفتن گواهینامه پایه 1</x:v>
      </x:c>
      <x:c r="H1575" s="39" t="str">
        <x:v>H1</x:v>
      </x:c>
      <x:c r="I1575" s="39" t="str">
        <x:v>P0</x:v>
      </x:c>
      <x:c r="J1575" s="39" t="str">
        <x:v>H1</x:v>
      </x:c>
      <x:c r="K1575" s="39" t="str">
        <x:v>تطبیق احتمالی با پایه</x:v>
      </x:c>
      <x:c r="L1575" s="39" t="str">
        <x:v>MI-0050</x:v>
      </x:c>
      <x:c r="M1575" s="39" t="str">
        <x:v>گرفتن گواهینامه پایه 1</x:v>
      </x:c>
      <x:c r="N1575" s="39" t="str">
        <x:v>1154878548.docx::P4249.1</x:v>
      </x:c>
      <x:c r="O1575" s="39"/>
    </x:row>
    <x:row r="1576">
      <x:c r="A1576" s="34" t="str">
        <x:v>☐</x:v>
      </x:c>
      <x:c r="B1576" s="34" t="str">
        <x:v>EX-1548</x:v>
      </x:c>
      <x:c r="C1576" s="34" t="str">
        <x:v>انگلیسی:</x:v>
      </x:c>
      <x:c r="D1576" s="34" t="str">
        <x:v>POSSIBLE</x:v>
      </x:c>
      <x:c r="E1576" s="34" t="str">
        <x:v>90.0</x:v>
      </x:c>
      <x:c r="F1576" s="34" t="str">
        <x:v>MI-0005</x:v>
      </x:c>
      <x:c r="G1576" s="39" t="str">
        <x:v>افزایش دایره لغات انگلیسی</x:v>
      </x:c>
      <x:c r="H1576" s="39" t="str">
        <x:v>H1</x:v>
      </x:c>
      <x:c r="I1576" s="39" t="str">
        <x:v>P0</x:v>
      </x:c>
      <x:c r="J1576" s="39" t="str">
        <x:v>H1</x:v>
      </x:c>
      <x:c r="K1576" s="39" t="str">
        <x:v>تطبیق احتمالی با پایه</x:v>
      </x:c>
      <x:c r="L1576" s="39" t="str">
        <x:v>MI-0005</x:v>
      </x:c>
      <x:c r="M1576" s="39" t="str">
        <x:v>افزایش دایره لغات انگلیسی</x:v>
      </x:c>
      <x:c r="N1576" s="39" t="str">
        <x:v>1154878548.docx::P4250.1</x:v>
      </x:c>
      <x:c r="O1576" s="39"/>
    </x:row>
    <x:row r="1577">
      <x:c r="A1577" s="34" t="str">
        <x:v>☐</x:v>
      </x:c>
      <x:c r="B1577" s="34" t="str">
        <x:v>EX-1549</x:v>
      </x:c>
      <x:c r="C1577" s="34" t="str">
        <x:v>خواندن دیکشنری</x:v>
      </x:c>
      <x:c r="D1577" s="34" t="str">
        <x:v>POSSIBLE</x:v>
      </x:c>
      <x:c r="E1577" s="34" t="str">
        <x:v>90.0</x:v>
      </x:c>
      <x:c r="F1577" s="34" t="str">
        <x:v>MI-0087</x:v>
      </x:c>
      <x:c r="G1577" s="39" t="str">
        <x:v>خواندن دیکشنری فرهنگ لغت انگلیسی به فارسی</x:v>
      </x:c>
      <x:c r="H1577" s="39" t="str">
        <x:v>H1</x:v>
      </x:c>
      <x:c r="I1577" s="39" t="str">
        <x:v>BANK</x:v>
      </x:c>
      <x:c r="J1577" s="39" t="str">
        <x:v>H1</x:v>
      </x:c>
      <x:c r="K1577" s="39" t="str">
        <x:v>تطبیق احتمالی با پایه</x:v>
      </x:c>
      <x:c r="L1577" s="39" t="str">
        <x:v>MI-0087</x:v>
      </x:c>
      <x:c r="M1577" s="39" t="str">
        <x:v>خواندن دیکشنری فرهنگ لغت انگلیسی به فارسی</x:v>
      </x:c>
      <x:c r="N1577" s="39" t="str">
        <x:v>1154878548.docx::P4253.1</x:v>
      </x:c>
      <x:c r="O1577" s="39"/>
    </x:row>
    <x:row r="1578">
      <x:c r="A1578" s="34" t="str">
        <x:v>☐</x:v>
      </x:c>
      <x:c r="B1578" s="34" t="str">
        <x:v>EX-1550</x:v>
      </x:c>
      <x:c r="C1578" s="34" t="str">
        <x:v>کتابهای لولبندیشده</x:v>
      </x:c>
      <x:c r="D1578" s="34" t="str">
        <x:v>UNMAPPED</x:v>
      </x:c>
      <x:c r="E1578" s="34" t="str">
        <x:v>67.5</x:v>
      </x:c>
      <x:c r="F1578" s="34" t="str">
        <x:v>MI-0035</x:v>
      </x:c>
      <x:c r="G1578" s="39" t="str">
        <x:v>خواندن کتب انگلیسی لول بندی شده</x:v>
      </x:c>
      <x:c r="H1578" s="39" t="str">
        <x:v>H1</x:v>
      </x:c>
      <x:c r="I1578" s="39" t="str">
        <x:v>BANK</x:v>
      </x:c>
      <x:c r="J1578" s="39" t="str">
        <x:v>H23</x:v>
      </x:c>
      <x:c r="K1578" s="39" t="str">
        <x:v>نیازمند پالایش؛ حذف نشده</x:v>
      </x:c>
      <x:c r="L1578" s="39"/>
      <x:c r="M1578" s="39"/>
      <x:c r="N1578" s="39" t="str">
        <x:v>1154878548.docx::P4254.1</x:v>
      </x:c>
      <x:c r="O1578" s="39"/>
    </x:row>
    <x:row r="1579">
      <x:c r="A1579" s="34" t="str">
        <x:v>☐</x:v>
      </x:c>
      <x:c r="B1579" s="34" t="str">
        <x:v>EX-1551</x:v>
      </x:c>
      <x:c r="C1579" s="34" t="str">
        <x:v>آمادگی IELTS</x:v>
      </x:c>
      <x:c r="D1579" s="34" t="str">
        <x:v>UNMAPPED</x:v>
      </x:c>
      <x:c r="E1579" s="34" t="str">
        <x:v>67.5</x:v>
      </x:c>
      <x:c r="F1579" s="34" t="str">
        <x:v>MI-1177</x:v>
      </x:c>
      <x:c r="G1579" s="39" t="str">
        <x:v>اسدی</x:v>
      </x:c>
      <x:c r="H1579" s="39" t="str">
        <x:v>H11</x:v>
      </x:c>
      <x:c r="I1579" s="39" t="str">
        <x:v>DELEGATE/P2</x:v>
      </x:c>
      <x:c r="J1579" s="39" t="str">
        <x:v>H23</x:v>
      </x:c>
      <x:c r="K1579" s="39" t="str">
        <x:v>نیازمند پالایش؛ حذف نشده</x:v>
      </x:c>
      <x:c r="L1579" s="39"/>
      <x:c r="M1579" s="39"/>
      <x:c r="N1579" s="39" t="str">
        <x:v>1154878548.docx::P4255.1</x:v>
      </x:c>
      <x:c r="O1579" s="39"/>
    </x:row>
    <x:row r="1580">
      <x:c r="A1580" s="34" t="str">
        <x:v>☐</x:v>
      </x:c>
      <x:c r="B1580" s="34" t="str">
        <x:v>EX-1552</x:v>
      </x:c>
      <x:c r="C1580" s="34" t="str">
        <x:v>عربی (کاربردی: عراق و دبی)</x:v>
      </x:c>
      <x:c r="D1580" s="34" t="str">
        <x:v>POSSIBLE</x:v>
      </x:c>
      <x:c r="E1580" s="34" t="str">
        <x:v>90.0</x:v>
      </x:c>
      <x:c r="F1580" s="34" t="str">
        <x:v>MI-2545</x:v>
      </x:c>
      <x:c r="G1580" s="39" t="str">
        <x:v>کار:</x:v>
      </x:c>
      <x:c r="H1580" s="39" t="str">
        <x:v>H20</x:v>
      </x:c>
      <x:c r="I1580" s="39" t="str">
        <x:v>P3/CLARIFY</x:v>
      </x:c>
      <x:c r="J1580" s="39" t="str">
        <x:v>H20</x:v>
      </x:c>
      <x:c r="K1580" s="39" t="str">
        <x:v>تطبیق احتمالی با پایه</x:v>
      </x:c>
      <x:c r="L1580" s="39" t="str">
        <x:v>MI-2545</x:v>
      </x:c>
      <x:c r="M1580" s="39" t="str">
        <x:v>کار:</x:v>
      </x:c>
      <x:c r="N1580" s="39" t="str">
        <x:v>1154878548.docx::P4257.1</x:v>
      </x:c>
      <x:c r="O1580" s="39"/>
    </x:row>
    <x:row r="1581">
      <x:c r="A1581" s="34" t="str">
        <x:v>☐</x:v>
      </x:c>
      <x:c r="B1581" s="34" t="str">
        <x:v>EX-1553</x:v>
      </x:c>
      <x:c r="C1581" s="34" t="str">
        <x:v>3.2 فعالیتهای بینالمللی</x:v>
      </x:c>
      <x:c r="D1581" s="34" t="str">
        <x:v>POSSIBLE</x:v>
      </x:c>
      <x:c r="E1581" s="34" t="str">
        <x:v>85.5</x:v>
      </x:c>
      <x:c r="F1581" s="34" t="str">
        <x:v>MI-1712</x:v>
      </x:c>
      <x:c r="G1581" s="39" t="str">
        <x:v>o ماه 3–6: اجرای پایلوت + جذب شریک/سرمایه</x:v>
      </x:c>
      <x:c r="H1581" s="39" t="str">
        <x:v>H8</x:v>
      </x:c>
      <x:c r="I1581" s="39" t="str">
        <x:v>P2</x:v>
      </x:c>
      <x:c r="J1581" s="39" t="str">
        <x:v>H8</x:v>
      </x:c>
      <x:c r="K1581" s="39" t="str">
        <x:v>تطبیق احتمالی با پایه</x:v>
      </x:c>
      <x:c r="L1581" s="39" t="str">
        <x:v>MI-1712</x:v>
      </x:c>
      <x:c r="M1581" s="39" t="str">
        <x:v>o ماه 3–6: اجرای پایلوت + جذب شریک/سرمایه</x:v>
      </x:c>
      <x:c r="N1581" s="39" t="str">
        <x:v>1154878548.docx::P4258.1</x:v>
      </x:c>
      <x:c r="O1581" s="39"/>
    </x:row>
    <x:row r="1582">
      <x:c r="A1582" s="34" t="str">
        <x:v>☐</x:v>
      </x:c>
      <x:c r="B1582" s="34" t="str">
        <x:v>EX-1554</x:v>
      </x:c>
      <x:c r="C1582" s="34" t="str">
        <x:v>بازاریابی بینالمللی</x:v>
      </x:c>
      <x:c r="D1582" s="34" t="str">
        <x:v>POSSIBLE</x:v>
      </x:c>
      <x:c r="E1582" s="34" t="str">
        <x:v>90.0</x:v>
      </x:c>
      <x:c r="F1582" s="34" t="str">
        <x:v>MI-2390</x:v>
      </x:c>
      <x:c r="G1582" s="39" t="str">
        <x:v>بازار</x:v>
      </x:c>
      <x:c r="H1582" s="39" t="str">
        <x:v>H20</x:v>
      </x:c>
      <x:c r="I1582" s="39" t="str">
        <x:v>P3/CLARIFY</x:v>
      </x:c>
      <x:c r="J1582" s="39" t="str">
        <x:v>H20</x:v>
      </x:c>
      <x:c r="K1582" s="39" t="str">
        <x:v>تطبیق احتمالی با پایه</x:v>
      </x:c>
      <x:c r="L1582" s="39" t="str">
        <x:v>MI-2390</x:v>
      </x:c>
      <x:c r="M1582" s="39" t="str">
        <x:v>بازار</x:v>
      </x:c>
      <x:c r="N1582" s="39" t="str">
        <x:v>1154878548.docx::P4259.1 | 1154878548.docx::P4378.1</x:v>
      </x:c>
      <x:c r="O1582" s="39"/>
    </x:row>
    <x:row r="1583">
      <x:c r="A1583" s="34" t="str">
        <x:v>☐</x:v>
      </x:c>
      <x:c r="B1583" s="34" t="str">
        <x:v>EX-1555</x:v>
      </x:c>
      <x:c r="C1583" s="34" t="str">
        <x:v>مترجمی کتاب</x:v>
      </x:c>
      <x:c r="D1583" s="34" t="str">
        <x:v>POSSIBLE</x:v>
      </x:c>
      <x:c r="E1583" s="34" t="str">
        <x:v>85.7</x:v>
      </x:c>
      <x:c r="F1583" s="34" t="str">
        <x:v>MI-0057</x:v>
      </x:c>
      <x:c r="G1583" s="39" t="str">
        <x:v>مترجم کتاب و شفاهی</x:v>
      </x:c>
      <x:c r="H1583" s="39" t="str">
        <x:v>H15</x:v>
      </x:c>
      <x:c r="I1583" s="39" t="str">
        <x:v>BANK</x:v>
      </x:c>
      <x:c r="J1583" s="39" t="str">
        <x:v>H15</x:v>
      </x:c>
      <x:c r="K1583" s="39" t="str">
        <x:v>تطبیق احتمالی با پایه</x:v>
      </x:c>
      <x:c r="L1583" s="39" t="str">
        <x:v>MI-0057</x:v>
      </x:c>
      <x:c r="M1583" s="39" t="str">
        <x:v>مترجم کتاب و شفاهی</x:v>
      </x:c>
      <x:c r="N1583" s="39" t="str">
        <x:v>1154878548.docx::P4261.1</x:v>
      </x:c>
      <x:c r="O1583" s="39"/>
    </x:row>
    <x:row r="1584">
      <x:c r="A1584" s="34" t="str">
        <x:v>☐</x:v>
      </x:c>
      <x:c r="B1584" s="34" t="str">
        <x:v>EX-1556</x:v>
      </x:c>
      <x:c r="C1584" s="34" t="str">
        <x:v>مترجمی شفاهی</x:v>
      </x:c>
      <x:c r="D1584" s="34" t="str">
        <x:v>POSSIBLE</x:v>
      </x:c>
      <x:c r="E1584" s="34" t="str">
        <x:v>85.5</x:v>
      </x:c>
      <x:c r="F1584" s="34" t="str">
        <x:v>MI-0057</x:v>
      </x:c>
      <x:c r="G1584" s="39" t="str">
        <x:v>مترجم کتاب و شفاهی</x:v>
      </x:c>
      <x:c r="H1584" s="39" t="str">
        <x:v>H15</x:v>
      </x:c>
      <x:c r="I1584" s="39" t="str">
        <x:v>BANK</x:v>
      </x:c>
      <x:c r="J1584" s="39" t="str">
        <x:v>H15</x:v>
      </x:c>
      <x:c r="K1584" s="39" t="str">
        <x:v>تطبیق احتمالی با پایه</x:v>
      </x:c>
      <x:c r="L1584" s="39" t="str">
        <x:v>MI-0057</x:v>
      </x:c>
      <x:c r="M1584" s="39" t="str">
        <x:v>مترجم کتاب و شفاهی</x:v>
      </x:c>
      <x:c r="N1584" s="39" t="str">
        <x:v>1154878548.docx::P4262.1</x:v>
      </x:c>
      <x:c r="O1584" s="39"/>
    </x:row>
    <x:row r="1585">
      <x:c r="A1585" s="34" t="str">
        <x:v>☐</x:v>
      </x:c>
      <x:c r="B1585" s="34" t="str">
        <x:v>EX-1557</x:v>
      </x:c>
      <x:c r="C1585" s="34" t="str">
        <x:v>3.3 سفرها</x:v>
      </x:c>
      <x:c r="D1585" s="34" t="str">
        <x:v>POSSIBLE</x:v>
      </x:c>
      <x:c r="E1585" s="34" t="str">
        <x:v>85.5</x:v>
      </x:c>
      <x:c r="F1585" s="34" t="str">
        <x:v>MI-2967</x:v>
      </x:c>
      <x:c r="G1585" s="39" t="str">
        <x:v>واحد 3 — سیستم تیم سازی و نوآوری</x:v>
      </x:c>
      <x:c r="H1585" s="39" t="str">
        <x:v>H4</x:v>
      </x:c>
      <x:c r="I1585" s="39" t="str">
        <x:v>P1</x:v>
      </x:c>
      <x:c r="J1585" s="39" t="str">
        <x:v>H4</x:v>
      </x:c>
      <x:c r="K1585" s="39" t="str">
        <x:v>تطبیق احتمالی با پایه</x:v>
      </x:c>
      <x:c r="L1585" s="39" t="str">
        <x:v>MI-2967</x:v>
      </x:c>
      <x:c r="M1585" s="39" t="str">
        <x:v>واحد 3 — سیستم تیم سازی و نوآوری</x:v>
      </x:c>
      <x:c r="N1585" s="39" t="str">
        <x:v>1154878548.docx::P4263.1</x:v>
      </x:c>
      <x:c r="O1585" s="39"/>
    </x:row>
    <x:row r="1586">
      <x:c r="A1586" s="34" t="str">
        <x:v>☐</x:v>
      </x:c>
      <x:c r="B1586" s="34" t="str">
        <x:v>EX-1558</x:v>
      </x:c>
      <x:c r="C1586" s="34" t="str">
        <x:v>ترکیه</x:v>
      </x:c>
      <x:c r="D1586" s="34" t="str">
        <x:v>POSSIBLE</x:v>
      </x:c>
      <x:c r="E1586" s="34" t="str">
        <x:v>90.0</x:v>
      </x:c>
      <x:c r="F1586" s="34" t="str">
        <x:v>MI-0043</x:v>
      </x:c>
      <x:c r="G1586" s="39" t="str">
        <x:v>سفر به ترکیه</x:v>
      </x:c>
      <x:c r="H1586" s="39" t="str">
        <x:v>H17</x:v>
      </x:c>
      <x:c r="I1586" s="39" t="str">
        <x:v>P3</x:v>
      </x:c>
      <x:c r="J1586" s="39" t="str">
        <x:v>H17</x:v>
      </x:c>
      <x:c r="K1586" s="39" t="str">
        <x:v>تطبیق احتمالی با پایه</x:v>
      </x:c>
      <x:c r="L1586" s="39" t="str">
        <x:v>MI-0043</x:v>
      </x:c>
      <x:c r="M1586" s="39" t="str">
        <x:v>سفر به ترکیه</x:v>
      </x:c>
      <x:c r="N1586" s="39" t="str">
        <x:v>1154878548.docx::P4264.1</x:v>
      </x:c>
      <x:c r="O1586" s="39"/>
    </x:row>
    <x:row r="1587">
      <x:c r="A1587" s="34" t="str">
        <x:v>☐</x:v>
      </x:c>
      <x:c r="B1587" s="34" t="str">
        <x:v>EX-1559</x:v>
      </x:c>
      <x:c r="C1587" s="34" t="str">
        <x:v>دبی</x:v>
      </x:c>
      <x:c r="D1587" s="34" t="str">
        <x:v>POSSIBLE</x:v>
      </x:c>
      <x:c r="E1587" s="34" t="str">
        <x:v>90.0</x:v>
      </x:c>
      <x:c r="F1587" s="34" t="str">
        <x:v>MI-0643</x:v>
      </x:c>
      <x:c r="G1587" s="39" t="str">
        <x:v>دبیرخانه</x:v>
      </x:c>
      <x:c r="H1587" s="39" t="str">
        <x:v>H11</x:v>
      </x:c>
      <x:c r="I1587" s="39" t="str">
        <x:v>DELEGATE/P2</x:v>
      </x:c>
      <x:c r="J1587" s="39" t="str">
        <x:v>H11</x:v>
      </x:c>
      <x:c r="K1587" s="39" t="str">
        <x:v>تطبیق احتمالی با پایه</x:v>
      </x:c>
      <x:c r="L1587" s="39" t="str">
        <x:v>MI-0643</x:v>
      </x:c>
      <x:c r="M1587" s="39" t="str">
        <x:v>دبیرخانه</x:v>
      </x:c>
      <x:c r="N1587" s="39" t="str">
        <x:v>1154878548.docx::P4265.1</x:v>
      </x:c>
      <x:c r="O1587" s="39"/>
    </x:row>
    <x:row r="1588">
      <x:c r="A1588" s="34" t="str">
        <x:v>☐</x:v>
      </x:c>
      <x:c r="B1588" s="34" t="str">
        <x:v>EX-1560</x:v>
      </x:c>
      <x:c r="C1588" s="34" t="str">
        <x:v>⚙️ 4. مهارتهای فنی، مهندسی و نرمافزاری</x:v>
      </x:c>
      <x:c r="D1588" s="34" t="str">
        <x:v>POSSIBLE</x:v>
      </x:c>
      <x:c r="E1588" s="34" t="str">
        <x:v>86.4</x:v>
      </x:c>
      <x:c r="F1588" s="34" t="str">
        <x:v>MI-0227</x:v>
      </x:c>
      <x:c r="G1588" s="39" t="str">
        <x:v>مهارتهای نرمافزاری و فنی</x:v>
      </x:c>
      <x:c r="H1588" s="39" t="str">
        <x:v>H23</x:v>
      </x:c>
      <x:c r="I1588" s="39" t="str">
        <x:v>P3/CLARIFY</x:v>
      </x:c>
      <x:c r="J1588" s="39" t="str">
        <x:v>H23</x:v>
      </x:c>
      <x:c r="K1588" s="39" t="str">
        <x:v>تطبیق احتمالی با پایه</x:v>
      </x:c>
      <x:c r="L1588" s="39" t="str">
        <x:v>MI-0227</x:v>
      </x:c>
      <x:c r="M1588" s="39" t="str">
        <x:v>مهارتهای نرمافزاری و فنی</x:v>
      </x:c>
      <x:c r="N1588" s="39" t="str">
        <x:v>1154878548.docx::P4266.1</x:v>
      </x:c>
      <x:c r="O1588" s="39"/>
    </x:row>
    <x:row r="1589">
      <x:c r="A1589" s="34" t="str">
        <x:v>☐</x:v>
      </x:c>
      <x:c r="B1589" s="34" t="str">
        <x:v>EX-1561</x:v>
      </x:c>
      <x:c r="C1589" s="34" t="str">
        <x:v>4.1 CAD / CAM / طراحی</x:v>
      </x:c>
      <x:c r="D1589" s="34" t="str">
        <x:v>POSSIBLE</x:v>
      </x:c>
      <x:c r="E1589" s="34" t="str">
        <x:v>85.5</x:v>
      </x:c>
      <x:c r="F1589" s="34" t="str">
        <x:v>MI-1448</x:v>
      </x:c>
      <x:c r="G1589" s="39" t="str">
        <x:v>پول هییت قبلا چوقدر هست دست من؟؟؟ قبلا 4,290 بوده . چقدر به سید دادم.</x:v>
      </x:c>
      <x:c r="H1589" s="39" t="str">
        <x:v>H1</x:v>
      </x:c>
      <x:c r="I1589" s="39" t="str">
        <x:v>P0</x:v>
      </x:c>
      <x:c r="J1589" s="39" t="str">
        <x:v>H1</x:v>
      </x:c>
      <x:c r="K1589" s="39" t="str">
        <x:v>تطبیق احتمالی با پایه</x:v>
      </x:c>
      <x:c r="L1589" s="39" t="str">
        <x:v>MI-1448</x:v>
      </x:c>
      <x:c r="M1589" s="39" t="str">
        <x:v>پول هییت قبلا چوقدر هست دست من؟؟؟ قبلا 4,290 بوده . چقدر به سید دادم.</x:v>
      </x:c>
      <x:c r="N1589" s="39" t="str">
        <x:v>1154878548.docx::P4267.1</x:v>
      </x:c>
      <x:c r="O1589" s="39"/>
    </x:row>
    <x:row r="1590">
      <x:c r="A1590" s="34" t="str">
        <x:v>☐</x:v>
      </x:c>
      <x:c r="B1590" s="34" t="str">
        <x:v>EX-1562</x:v>
      </x:c>
      <x:c r="C1590" s="34" t="str">
        <x:v>طراحی Piping</x:v>
      </x:c>
      <x:c r="D1590" s="34" t="str">
        <x:v>POSSIBLE</x:v>
      </x:c>
      <x:c r="E1590" s="34" t="str">
        <x:v>90.0</x:v>
      </x:c>
      <x:c r="F1590" s="34" t="str">
        <x:v>MI-0108</x:v>
      </x:c>
      <x:c r="G1590" s="39" t="str">
        <x:v>piping</x:v>
      </x:c>
      <x:c r="H1590" s="39" t="str">
        <x:v>H6</x:v>
      </x:c>
      <x:c r="I1590" s="39" t="str">
        <x:v>P3/CLARIFY</x:v>
      </x:c>
      <x:c r="J1590" s="39" t="str">
        <x:v>H6</x:v>
      </x:c>
      <x:c r="K1590" s="39" t="str">
        <x:v>تطبیق احتمالی با پایه</x:v>
      </x:c>
      <x:c r="L1590" s="39" t="str">
        <x:v>MI-0108</x:v>
      </x:c>
      <x:c r="M1590" s="39" t="str">
        <x:v>piping</x:v>
      </x:c>
      <x:c r="N1590" s="39" t="str">
        <x:v>1154878548.docx::P4271.1</x:v>
      </x:c>
      <x:c r="O1590" s="39"/>
    </x:row>
    <x:row r="1591">
      <x:c r="A1591" s="34" t="str">
        <x:v>☐</x:v>
      </x:c>
      <x:c r="B1591" s="34" t="str">
        <x:v>EX-1563</x:v>
      </x:c>
      <x:c r="C1591" s="34" t="str">
        <x:v>PowerMill</x:v>
      </x:c>
      <x:c r="D1591" s="34" t="str">
        <x:v>UNMAPPED</x:v>
      </x:c>
      <x:c r="E1591" s="34" t="str">
        <x:v>72.0</x:v>
      </x:c>
      <x:c r="F1591" s="34" t="str">
        <x:v>MI-0182</x:v>
      </x:c>
      <x:c r="G1591" s="39" t="str">
        <x:v>POS</x:v>
      </x:c>
      <x:c r="H1591" s="39" t="str">
        <x:v>H23</x:v>
      </x:c>
      <x:c r="I1591" s="39" t="str">
        <x:v>P3/CLARIFY</x:v>
      </x:c>
      <x:c r="J1591" s="39" t="str">
        <x:v>H23</x:v>
      </x:c>
      <x:c r="K1591" s="39" t="str">
        <x:v>نیازمند پالایش؛ حذف نشده</x:v>
      </x:c>
      <x:c r="L1591" s="39"/>
      <x:c r="M1591" s="39"/>
      <x:c r="N1591" s="39" t="str">
        <x:v>1154878548.docx::P4276.1</x:v>
      </x:c>
      <x:c r="O1591" s="39"/>
    </x:row>
    <x:row r="1592">
      <x:c r="A1592" s="34" t="str">
        <x:v>☐</x:v>
      </x:c>
      <x:c r="B1592" s="34" t="str">
        <x:v>EX-1564</x:v>
      </x:c>
      <x:c r="C1592" s="34" t="str">
        <x:v>4.3 برق، انرژی و نیروگاه</x:v>
      </x:c>
      <x:c r="D1592" s="34" t="str">
        <x:v>POSSIBLE</x:v>
      </x:c>
      <x:c r="E1592" s="34" t="str">
        <x:v>85.5</x:v>
      </x:c>
      <x:c r="F1592" s="34" t="str">
        <x:v>MI-1513</x:v>
      </x:c>
      <x:c r="G1592" s="39" t="str">
        <x:v>تولید و کارآفرینی: توانایی تولید محصول و خدمات و ایجاد شغل.</x:v>
      </x:c>
      <x:c r="H1592" s="39" t="str">
        <x:v>H1</x:v>
      </x:c>
      <x:c r="I1592" s="39" t="str">
        <x:v>P0</x:v>
      </x:c>
      <x:c r="J1592" s="39" t="str">
        <x:v>H1</x:v>
      </x:c>
      <x:c r="K1592" s="39" t="str">
        <x:v>تطبیق احتمالی با پایه</x:v>
      </x:c>
      <x:c r="L1592" s="39" t="str">
        <x:v>MI-1513</x:v>
      </x:c>
      <x:c r="M1592" s="39" t="str">
        <x:v>تولید و کارآفرینی: توانایی تولید محصول و خدمات و ایجاد شغل.</x:v>
      </x:c>
      <x:c r="N1592" s="39" t="str">
        <x:v>1154878548.docx::P4277.1</x:v>
      </x:c>
      <x:c r="O1592" s="39"/>
    </x:row>
    <x:row r="1593">
      <x:c r="A1593" s="34" t="str">
        <x:v>☐</x:v>
      </x:c>
      <x:c r="B1593" s="34" t="str">
        <x:v>EX-1565</x:v>
      </x:c>
      <x:c r="C1593" s="34" t="str">
        <x:v>PETREL</x:v>
      </x:c>
      <x:c r="D1593" s="34" t="str">
        <x:v>POSSIBLE</x:v>
      </x:c>
      <x:c r="E1593" s="34" t="str">
        <x:v>92.3</x:v>
      </x:c>
      <x:c r="F1593" s="34" t="str">
        <x:v>MI-0157</x:v>
      </x:c>
      <x:c r="G1593" s="39" t="str">
        <x:v>EPETREL</x:v>
      </x:c>
      <x:c r="H1593" s="39" t="str">
        <x:v>H6</x:v>
      </x:c>
      <x:c r="I1593" s="39" t="str">
        <x:v>P3/CLARIFY</x:v>
      </x:c>
      <x:c r="J1593" s="39" t="str">
        <x:v>H6</x:v>
      </x:c>
      <x:c r="K1593" s="39" t="str">
        <x:v>تطبیق احتمالی با پایه</x:v>
      </x:c>
      <x:c r="L1593" s="39" t="str">
        <x:v>MI-0157</x:v>
      </x:c>
      <x:c r="M1593" s="39" t="str">
        <x:v>EPETREL</x:v>
      </x:c>
      <x:c r="N1593" s="39" t="str">
        <x:v>1154878548.docx::P4284.1</x:v>
      </x:c>
      <x:c r="O1593" s="39"/>
    </x:row>
    <x:row r="1594">
      <x:c r="A1594" s="34" t="str">
        <x:v>☐</x:v>
      </x:c>
      <x:c r="B1594" s="34" t="str">
        <x:v>EX-1566</x:v>
      </x:c>
      <x:c r="C1594" s="34" t="str">
        <x:v>4.4 الکترونیک و کنترل</x:v>
      </x:c>
      <x:c r="D1594" s="34" t="str">
        <x:v>POSSIBLE</x:v>
      </x:c>
      <x:c r="E1594" s="34" t="str">
        <x:v>85.5</x:v>
      </x:c>
      <x:c r="F1594" s="34" t="str">
        <x:v>MI-1513</x:v>
      </x:c>
      <x:c r="G1594" s="39" t="str">
        <x:v>تولید و کارآفرینی: توانایی تولید محصول و خدمات و ایجاد شغل.</x:v>
      </x:c>
      <x:c r="H1594" s="39" t="str">
        <x:v>H1</x:v>
      </x:c>
      <x:c r="I1594" s="39" t="str">
        <x:v>P0</x:v>
      </x:c>
      <x:c r="J1594" s="39" t="str">
        <x:v>H1</x:v>
      </x:c>
      <x:c r="K1594" s="39" t="str">
        <x:v>تطبیق احتمالی با پایه</x:v>
      </x:c>
      <x:c r="L1594" s="39" t="str">
        <x:v>MI-1513</x:v>
      </x:c>
      <x:c r="M1594" s="39" t="str">
        <x:v>تولید و کارآفرینی: توانایی تولید محصول و خدمات و ایجاد شغل.</x:v>
      </x:c>
      <x:c r="N1594" s="39" t="str">
        <x:v>1154878548.docx::P4285.1</x:v>
      </x:c>
      <x:c r="O1594" s="39"/>
    </x:row>
    <x:row r="1595">
      <x:c r="A1595" s="34" t="str">
        <x:v>☐</x:v>
      </x:c>
      <x:c r="B1595" s="34" t="str">
        <x:v>EX-1567</x:v>
      </x:c>
      <x:c r="C1595" s="34" t="str">
        <x:v>4.2 تحلیل و شبیهسازی مهندسی</x:v>
      </x:c>
      <x:c r="D1595" s="34" t="str">
        <x:v>POSSIBLE</x:v>
      </x:c>
      <x:c r="E1595" s="34" t="str">
        <x:v>85.5</x:v>
      </x:c>
      <x:c r="F1595" s="34" t="str">
        <x:v>MI-1513</x:v>
      </x:c>
      <x:c r="G1595" s="39" t="str">
        <x:v>تولید و کارآفرینی: توانایی تولید محصول و خدمات و ایجاد شغل.</x:v>
      </x:c>
      <x:c r="H1595" s="39" t="str">
        <x:v>H1</x:v>
      </x:c>
      <x:c r="I1595" s="39" t="str">
        <x:v>P0</x:v>
      </x:c>
      <x:c r="J1595" s="39" t="str">
        <x:v>H1</x:v>
      </x:c>
      <x:c r="K1595" s="39" t="str">
        <x:v>تطبیق احتمالی با پایه</x:v>
      </x:c>
      <x:c r="L1595" s="39" t="str">
        <x:v>MI-1513</x:v>
      </x:c>
      <x:c r="M1595" s="39" t="str">
        <x:v>تولید و کارآفرینی: توانایی تولید محصول و خدمات و ایجاد شغل.</x:v>
      </x:c>
      <x:c r="N1595" s="39" t="str">
        <x:v>1154878548.docx::P4291.1</x:v>
      </x:c>
      <x:c r="O1595" s="39"/>
    </x:row>
    <x:row r="1596">
      <x:c r="A1596" s="34" t="str">
        <x:v>☐</x:v>
      </x:c>
      <x:c r="B1596" s="34" t="str">
        <x:v>EX-1568</x:v>
      </x:c>
      <x:c r="C1596" s="34" t="str">
        <x:v>COMSOL</x:v>
      </x:c>
      <x:c r="D1596" s="34" t="str">
        <x:v>UNMAPPED</x:v>
      </x:c>
      <x:c r="E1596" s="34" t="str">
        <x:v>75.0</x:v>
      </x:c>
      <x:c r="F1596" s="34" t="str">
        <x:v>MI-1488</x:v>
      </x:c>
      <x:c r="G1596" s="39" t="str">
        <x:v>Google Search Console</x:v>
      </x:c>
      <x:c r="H1596" s="39" t="str">
        <x:v>H7</x:v>
      </x:c>
      <x:c r="I1596" s="39" t="str">
        <x:v>P1</x:v>
      </x:c>
      <x:c r="J1596" s="39" t="str">
        <x:v>H23</x:v>
      </x:c>
      <x:c r="K1596" s="39" t="str">
        <x:v>نیازمند پالایش؛ حذف نشده</x:v>
      </x:c>
      <x:c r="L1596" s="39"/>
      <x:c r="M1596" s="39"/>
      <x:c r="N1596" s="39" t="str">
        <x:v>1154878548.docx::P4294.1</x:v>
      </x:c>
      <x:c r="O1596" s="39"/>
    </x:row>
    <x:row r="1597">
      <x:c r="A1597" s="34" t="str">
        <x:v>☐</x:v>
      </x:c>
      <x:c r="B1597" s="34" t="str">
        <x:v>EX-1569</x:v>
      </x:c>
      <x:c r="C1597" s="34" t="str">
        <x:v>5.1 برنامهنویسی و ابزار</x:v>
      </x:c>
      <x:c r="D1597" s="34" t="str">
        <x:v>POSSIBLE</x:v>
      </x:c>
      <x:c r="E1597" s="34" t="str">
        <x:v>85.5</x:v>
      </x:c>
      <x:c r="F1597" s="34" t="str">
        <x:v>MI-1513</x:v>
      </x:c>
      <x:c r="G1597" s="39" t="str">
        <x:v>تولید و کارآفرینی: توانایی تولید محصول و خدمات و ایجاد شغل.</x:v>
      </x:c>
      <x:c r="H1597" s="39" t="str">
        <x:v>H1</x:v>
      </x:c>
      <x:c r="I1597" s="39" t="str">
        <x:v>P0</x:v>
      </x:c>
      <x:c r="J1597" s="39" t="str">
        <x:v>H1</x:v>
      </x:c>
      <x:c r="K1597" s="39" t="str">
        <x:v>تطبیق احتمالی با پایه</x:v>
      </x:c>
      <x:c r="L1597" s="39" t="str">
        <x:v>MI-1513</x:v>
      </x:c>
      <x:c r="M1597" s="39" t="str">
        <x:v>تولید و کارآفرینی: توانایی تولید محصول و خدمات و ایجاد شغل.</x:v>
      </x:c>
      <x:c r="N1597" s="39" t="str">
        <x:v>1154878548.docx::P4299.1</x:v>
      </x:c>
      <x:c r="O1597" s="39"/>
    </x:row>
    <x:row r="1598">
      <x:c r="A1598" s="34" t="str">
        <x:v>☐</x:v>
      </x:c>
      <x:c r="B1598" s="34" t="str">
        <x:v>EX-1570</x:v>
      </x:c>
      <x:c r="C1598" s="34" t="str">
        <x:v>Python</x:v>
      </x:c>
      <x:c r="D1598" s="34" t="str">
        <x:v>POSSIBLE</x:v>
      </x:c>
      <x:c r="E1598" s="34" t="str">
        <x:v>90.0</x:v>
      </x:c>
      <x:c r="F1598" s="34" t="str">
        <x:v>MI-1483</x:v>
      </x:c>
      <x:c r="G1598" s="39" t="str">
        <x:v>Python (NLP)</x:v>
      </x:c>
      <x:c r="H1598" s="39" t="str">
        <x:v>H7</x:v>
      </x:c>
      <x:c r="I1598" s="39" t="str">
        <x:v>P1</x:v>
      </x:c>
      <x:c r="J1598" s="39" t="str">
        <x:v>H7</x:v>
      </x:c>
      <x:c r="K1598" s="39" t="str">
        <x:v>تطبیق احتمالی با پایه</x:v>
      </x:c>
      <x:c r="L1598" s="39" t="str">
        <x:v>MI-1483</x:v>
      </x:c>
      <x:c r="M1598" s="39" t="str">
        <x:v>Python (NLP)</x:v>
      </x:c>
      <x:c r="N1598" s="39" t="str">
        <x:v>1154878548.docx::P4300.1</x:v>
      </x:c>
      <x:c r="O1598" s="39"/>
    </x:row>
    <x:row r="1599">
      <x:c r="A1599" s="34" t="str">
        <x:v>☐</x:v>
      </x:c>
      <x:c r="B1599" s="34" t="str">
        <x:v>EX-1571</x:v>
      </x:c>
      <x:c r="C1599" s="34" t="str">
        <x:v>Computer Vision:</x:v>
      </x:c>
      <x:c r="D1599" s="34" t="str">
        <x:v>POSSIBLE</x:v>
      </x:c>
      <x:c r="E1599" s="34" t="str">
        <x:v>85.5</x:v>
      </x:c>
      <x:c r="F1599" s="34" t="str">
        <x:v>MI-0161</x:v>
      </x:c>
      <x:c r="G1599" s="39" t="str">
        <x:v>N&amp;N</x:v>
      </x:c>
      <x:c r="H1599" s="39" t="str">
        <x:v>H23</x:v>
      </x:c>
      <x:c r="I1599" s="39" t="str">
        <x:v>P3/CLARIFY</x:v>
      </x:c>
      <x:c r="J1599" s="39" t="str">
        <x:v>H23</x:v>
      </x:c>
      <x:c r="K1599" s="39" t="str">
        <x:v>تطبیق احتمالی با پایه</x:v>
      </x:c>
      <x:c r="L1599" s="39" t="str">
        <x:v>MI-0161</x:v>
      </x:c>
      <x:c r="M1599" s="39" t="str">
        <x:v>N&amp;N</x:v>
      </x:c>
      <x:c r="N1599" s="39" t="str">
        <x:v>1154878548.docx::P4304.1</x:v>
      </x:c>
      <x:c r="O1599" s="39"/>
    </x:row>
    <x:row r="1600">
      <x:c r="A1600" s="34" t="str">
        <x:v>☐</x:v>
      </x:c>
      <x:c r="B1600" s="34" t="str">
        <x:v>EX-1572</x:v>
      </x:c>
      <x:c r="C1600" s="34" t="str">
        <x:v>پردازش زبان طبیعی</x:v>
      </x:c>
      <x:c r="D1600" s="34" t="str">
        <x:v>POSSIBLE</x:v>
      </x:c>
      <x:c r="E1600" s="34" t="str">
        <x:v>85.5</x:v>
      </x:c>
      <x:c r="F1600" s="34" t="str">
        <x:v>MI-0068</x:v>
      </x:c>
      <x:c r="G1600" s="39" t="str">
        <x:v>یادگیری زبان برنامه نویسی اندروید</x:v>
      </x:c>
      <x:c r="H1600" s="39" t="str">
        <x:v>H1</x:v>
      </x:c>
      <x:c r="I1600" s="39" t="str">
        <x:v>P0</x:v>
      </x:c>
      <x:c r="J1600" s="39" t="str">
        <x:v>H1</x:v>
      </x:c>
      <x:c r="K1600" s="39" t="str">
        <x:v>تطبیق احتمالی با پایه</x:v>
      </x:c>
      <x:c r="L1600" s="39" t="str">
        <x:v>MI-0068</x:v>
      </x:c>
      <x:c r="M1600" s="39" t="str">
        <x:v>یادگیری زبان برنامه نویسی اندروید</x:v>
      </x:c>
      <x:c r="N1600" s="39" t="str">
        <x:v>1154878548.docx::P4311.1</x:v>
      </x:c>
      <x:c r="O1600" s="39"/>
    </x:row>
    <x:row r="1601">
      <x:c r="A1601" s="34" t="str">
        <x:v>☐</x:v>
      </x:c>
      <x:c r="B1601" s="34" t="str">
        <x:v>EX-1573</x:v>
      </x:c>
      <x:c r="C1601" s="34" t="str">
        <x:v>دوبله هوشمند</x:v>
      </x:c>
      <x:c r="D1601" s="34" t="str">
        <x:v>POSSIBLE</x:v>
      </x:c>
      <x:c r="E1601" s="34" t="str">
        <x:v>90.0</x:v>
      </x:c>
      <x:c r="F1601" s="34" t="str">
        <x:v>MI-1087</x:v>
      </x:c>
      <x:c r="G1601" s="39" t="str">
        <x:v>هوشمند</x:v>
      </x:c>
      <x:c r="H1601" s="39" t="str">
        <x:v>H14</x:v>
      </x:c>
      <x:c r="I1601" s="39" t="str">
        <x:v>P3</x:v>
      </x:c>
      <x:c r="J1601" s="39" t="str">
        <x:v>H14</x:v>
      </x:c>
      <x:c r="K1601" s="39" t="str">
        <x:v>تطبیق احتمالی با پایه</x:v>
      </x:c>
      <x:c r="L1601" s="39" t="str">
        <x:v>MI-1087</x:v>
      </x:c>
      <x:c r="M1601" s="39" t="str">
        <x:v>هوشمند</x:v>
      </x:c>
      <x:c r="N1601" s="39" t="str">
        <x:v>1154878548.docx::P4312.1</x:v>
      </x:c>
      <x:c r="O1601" s="39"/>
    </x:row>
    <x:row r="1602">
      <x:c r="A1602" s="34" t="str">
        <x:v>☐</x:v>
      </x:c>
      <x:c r="B1602" s="34" t="str">
        <x:v>EX-1574</x:v>
      </x:c>
      <x:c r="C1602" s="34" t="str">
        <x:v>Robotics:</x:v>
      </x:c>
      <x:c r="D1602" s="34" t="str">
        <x:v>UNMAPPED</x:v>
      </x:c>
      <x:c r="E1602" s="34" t="str">
        <x:v>72.0</x:v>
      </x:c>
      <x:c r="F1602" s="34" t="str">
        <x:v>MI-0146</x:v>
      </x:c>
      <x:c r="G1602" s="39" t="str">
        <x:v>CST</x:v>
      </x:c>
      <x:c r="H1602" s="39" t="str">
        <x:v>H6</x:v>
      </x:c>
      <x:c r="I1602" s="39" t="str">
        <x:v>P3/CLARIFY</x:v>
      </x:c>
      <x:c r="J1602" s="39" t="str">
        <x:v>H23</x:v>
      </x:c>
      <x:c r="K1602" s="39" t="str">
        <x:v>نیازمند پالایش؛ حذف نشده</x:v>
      </x:c>
      <x:c r="L1602" s="39"/>
      <x:c r="M1602" s="39"/>
      <x:c r="N1602" s="39" t="str">
        <x:v>1154878548.docx::P4313.1</x:v>
      </x:c>
      <x:c r="O1602" s="39"/>
    </x:row>
    <x:row r="1603">
      <x:c r="A1603" s="34" t="str">
        <x:v>☐</x:v>
      </x:c>
      <x:c r="B1603" s="34" t="str">
        <x:v>EX-1575</x:v>
      </x:c>
      <x:c r="C1603" s="34" t="str">
        <x:v>رباتیک هوشمند</x:v>
      </x:c>
      <x:c r="D1603" s="34" t="str">
        <x:v>POSSIBLE</x:v>
      </x:c>
      <x:c r="E1603" s="34" t="str">
        <x:v>90.0</x:v>
      </x:c>
      <x:c r="F1603" s="34" t="str">
        <x:v>MI-0608</x:v>
      </x:c>
      <x:c r="G1603" s="39" t="str">
        <x:v>رباتیک</x:v>
      </x:c>
      <x:c r="H1603" s="39" t="str">
        <x:v>H7</x:v>
      </x:c>
      <x:c r="I1603" s="39" t="str">
        <x:v>P1</x:v>
      </x:c>
      <x:c r="J1603" s="39" t="str">
        <x:v>H7</x:v>
      </x:c>
      <x:c r="K1603" s="39" t="str">
        <x:v>تطبیق احتمالی با پایه</x:v>
      </x:c>
      <x:c r="L1603" s="39" t="str">
        <x:v>MI-0608</x:v>
      </x:c>
      <x:c r="M1603" s="39" t="str">
        <x:v>رباتیک</x:v>
      </x:c>
      <x:c r="N1603" s="39" t="str">
        <x:v>1154878548.docx::P4316.1</x:v>
      </x:c>
      <x:c r="O1603" s="39"/>
    </x:row>
    <x:row r="1604">
      <x:c r="A1604" s="34" t="str">
        <x:v>☐</x:v>
      </x:c>
      <x:c r="B1604" s="34" t="str">
        <x:v>EX-1576</x:v>
      </x:c>
      <x:c r="C1604" s="34" t="str">
        <x:v>5.3 داده و سیستمهای سازمانی</x:v>
      </x:c>
      <x:c r="D1604" s="34" t="str">
        <x:v>POSSIBLE</x:v>
      </x:c>
      <x:c r="E1604" s="34" t="str">
        <x:v>85.5</x:v>
      </x:c>
      <x:c r="F1604" s="34" t="str">
        <x:v>MI-1513</x:v>
      </x:c>
      <x:c r="G1604" s="39" t="str">
        <x:v>تولید و کارآفرینی: توانایی تولید محصول و خدمات و ایجاد شغل.</x:v>
      </x:c>
      <x:c r="H1604" s="39" t="str">
        <x:v>H1</x:v>
      </x:c>
      <x:c r="I1604" s="39" t="str">
        <x:v>P0</x:v>
      </x:c>
      <x:c r="J1604" s="39" t="str">
        <x:v>H1</x:v>
      </x:c>
      <x:c r="K1604" s="39" t="str">
        <x:v>تطبیق احتمالی با پایه</x:v>
      </x:c>
      <x:c r="L1604" s="39" t="str">
        <x:v>MI-1513</x:v>
      </x:c>
      <x:c r="M1604" s="39" t="str">
        <x:v>تولید و کارآفرینی: توانایی تولید محصول و خدمات و ایجاد شغل.</x:v>
      </x:c>
      <x:c r="N1604" s="39" t="str">
        <x:v>1154878548.docx::P4317.1</x:v>
      </x:c>
      <x:c r="O1604" s="39"/>
    </x:row>
    <x:row r="1605">
      <x:c r="A1605" s="34" t="str">
        <x:v>☐</x:v>
      </x:c>
      <x:c r="B1605" s="34" t="str">
        <x:v>EX-1577</x:v>
      </x:c>
      <x:c r="C1605" s="34" t="str">
        <x:v>💻 6. وب، IT و سیستمها</x:v>
      </x:c>
      <x:c r="D1605" s="34" t="str">
        <x:v>POSSIBLE</x:v>
      </x:c>
      <x:c r="E1605" s="34" t="str">
        <x:v>85.5</x:v>
      </x:c>
      <x:c r="F1605" s="34" t="str">
        <x:v>MI-1513</x:v>
      </x:c>
      <x:c r="G1605" s="39" t="str">
        <x:v>تولید و کارآفرینی: توانایی تولید محصول و خدمات و ایجاد شغل.</x:v>
      </x:c>
      <x:c r="H1605" s="39" t="str">
        <x:v>H1</x:v>
      </x:c>
      <x:c r="I1605" s="39" t="str">
        <x:v>P0</x:v>
      </x:c>
      <x:c r="J1605" s="39" t="str">
        <x:v>H1</x:v>
      </x:c>
      <x:c r="K1605" s="39" t="str">
        <x:v>تطبیق احتمالی با پایه</x:v>
      </x:c>
      <x:c r="L1605" s="39" t="str">
        <x:v>MI-1513</x:v>
      </x:c>
      <x:c r="M1605" s="39" t="str">
        <x:v>تولید و کارآفرینی: توانایی تولید محصول و خدمات و ایجاد شغل.</x:v>
      </x:c>
      <x:c r="N1605" s="39" t="str">
        <x:v>1154878548.docx::P4323.1</x:v>
      </x:c>
      <x:c r="O1605" s="39"/>
    </x:row>
    <x:row r="1606">
      <x:c r="A1606" s="34" t="str">
        <x:v>☐</x:v>
      </x:c>
      <x:c r="B1606" s="34" t="str">
        <x:v>EX-1578</x:v>
      </x:c>
      <x:c r="C1606" s="34" t="str">
        <x:v>6.1 توسعه وب</x:v>
      </x:c>
      <x:c r="D1606" s="34" t="str">
        <x:v>POSSIBLE</x:v>
      </x:c>
      <x:c r="E1606" s="34" t="str">
        <x:v>85.5</x:v>
      </x:c>
      <x:c r="F1606" s="34" t="str">
        <x:v>MI-0050</x:v>
      </x:c>
      <x:c r="G1606" s="39" t="str">
        <x:v>گرفتن گواهینامه پایه 1</x:v>
      </x:c>
      <x:c r="H1606" s="39" t="str">
        <x:v>H1</x:v>
      </x:c>
      <x:c r="I1606" s="39" t="str">
        <x:v>P0</x:v>
      </x:c>
      <x:c r="J1606" s="39" t="str">
        <x:v>H1</x:v>
      </x:c>
      <x:c r="K1606" s="39" t="str">
        <x:v>تطبیق احتمالی با پایه</x:v>
      </x:c>
      <x:c r="L1606" s="39" t="str">
        <x:v>MI-0050</x:v>
      </x:c>
      <x:c r="M1606" s="39" t="str">
        <x:v>گرفتن گواهینامه پایه 1</x:v>
      </x:c>
      <x:c r="N1606" s="39" t="str">
        <x:v>1154878548.docx::P4324.1</x:v>
      </x:c>
      <x:c r="O1606" s="39"/>
    </x:row>
    <x:row r="1607">
      <x:c r="A1607" s="34" t="str">
        <x:v>☐</x:v>
      </x:c>
      <x:c r="B1607" s="34" t="str">
        <x:v>EX-1579</x:v>
      </x:c>
      <x:c r="C1607" s="34" t="str">
        <x:v>6.2 امنیت</x:v>
      </x:c>
      <x:c r="D1607" s="34" t="str">
        <x:v>POSSIBLE</x:v>
      </x:c>
      <x:c r="E1607" s="34" t="str">
        <x:v>85.5</x:v>
      </x:c>
      <x:c r="F1607" s="34" t="str">
        <x:v>MI-1485</x:v>
      </x:c>
      <x:c r="G1607" s="39" t="str">
        <x:v>شبکه سازی و امنیت:</x:v>
      </x:c>
      <x:c r="H1607" s="39" t="str">
        <x:v>H4</x:v>
      </x:c>
      <x:c r="I1607" s="39" t="str">
        <x:v>P1</x:v>
      </x:c>
      <x:c r="J1607" s="39" t="str">
        <x:v>H4</x:v>
      </x:c>
      <x:c r="K1607" s="39" t="str">
        <x:v>تطبیق احتمالی با پایه</x:v>
      </x:c>
      <x:c r="L1607" s="39" t="str">
        <x:v>MI-1485</x:v>
      </x:c>
      <x:c r="M1607" s="39" t="str">
        <x:v>شبکه سازی و امنیت:</x:v>
      </x:c>
      <x:c r="N1607" s="39" t="str">
        <x:v>1154878548.docx::P4331.1</x:v>
      </x:c>
      <x:c r="O1607" s="39"/>
    </x:row>
    <x:row r="1608">
      <x:c r="A1608" s="34" t="str">
        <x:v>☐</x:v>
      </x:c>
      <x:c r="B1608" s="34" t="str">
        <x:v>EX-1580</x:v>
      </x:c>
      <x:c r="C1608" s="34" t="str">
        <x:v>OWASP Top 10</x:v>
      </x:c>
      <x:c r="D1608" s="34" t="str">
        <x:v>POSSIBLE</x:v>
      </x:c>
      <x:c r="E1608" s="34" t="str">
        <x:v>85.5</x:v>
      </x:c>
      <x:c r="F1608" s="34" t="str">
        <x:v>MI-2559</x:v>
      </x:c>
      <x:c r="G1608" s="39" t="str">
        <x:v>10. اتصال به سرمایه</x:v>
      </x:c>
      <x:c r="H1608" s="39" t="str">
        <x:v>H8</x:v>
      </x:c>
      <x:c r="I1608" s="39" t="str">
        <x:v>P2</x:v>
      </x:c>
      <x:c r="J1608" s="39" t="str">
        <x:v>H8</x:v>
      </x:c>
      <x:c r="K1608" s="39" t="str">
        <x:v>تطبیق احتمالی با پایه</x:v>
      </x:c>
      <x:c r="L1608" s="39" t="str">
        <x:v>MI-2559</x:v>
      </x:c>
      <x:c r="M1608" s="39" t="str">
        <x:v>10. اتصال به سرمایه</x:v>
      </x:c>
      <x:c r="N1608" s="39" t="str">
        <x:v>1154878548.docx::P4332.1</x:v>
      </x:c>
      <x:c r="O1608" s="39"/>
    </x:row>
    <x:row r="1609">
      <x:c r="A1609" s="34" t="str">
        <x:v>☐</x:v>
      </x:c>
      <x:c r="B1609" s="34" t="str">
        <x:v>EX-1581</x:v>
      </x:c>
      <x:c r="C1609" s="34" t="str">
        <x:v>6.3 برنامهنویسی تکمیلی</x:v>
      </x:c>
      <x:c r="D1609" s="34" t="str">
        <x:v>POSSIBLE</x:v>
      </x:c>
      <x:c r="E1609" s="34" t="str">
        <x:v>85.5</x:v>
      </x:c>
      <x:c r="F1609" s="34" t="str">
        <x:v>MI-1712</x:v>
      </x:c>
      <x:c r="G1609" s="39" t="str">
        <x:v>o ماه 3–6: اجرای پایلوت + جذب شریک/سرمایه</x:v>
      </x:c>
      <x:c r="H1609" s="39" t="str">
        <x:v>H8</x:v>
      </x:c>
      <x:c r="I1609" s="39" t="str">
        <x:v>P2</x:v>
      </x:c>
      <x:c r="J1609" s="39" t="str">
        <x:v>H8</x:v>
      </x:c>
      <x:c r="K1609" s="39" t="str">
        <x:v>تطبیق احتمالی با پایه</x:v>
      </x:c>
      <x:c r="L1609" s="39" t="str">
        <x:v>MI-1712</x:v>
      </x:c>
      <x:c r="M1609" s="39" t="str">
        <x:v>o ماه 3–6: اجرای پایلوت + جذب شریک/سرمایه</x:v>
      </x:c>
      <x:c r="N1609" s="39" t="str">
        <x:v>1154878548.docx::P4333.1</x:v>
      </x:c>
      <x:c r="O1609" s="39"/>
    </x:row>
    <x:row r="1610">
      <x:c r="A1610" s="34" t="str">
        <x:v>☐</x:v>
      </x:c>
      <x:c r="B1610" s="34" t="str">
        <x:v>EX-1582</x:v>
      </x:c>
      <x:c r="C1610" s="34" t="str">
        <x:v>Android</x:v>
      </x:c>
      <x:c r="D1610" s="34" t="str">
        <x:v>POSSIBLE</x:v>
      </x:c>
      <x:c r="E1610" s="34" t="str">
        <x:v>85.5</x:v>
      </x:c>
      <x:c r="F1610" s="34" t="str">
        <x:v>MI-0161</x:v>
      </x:c>
      <x:c r="G1610" s="39" t="str">
        <x:v>N&amp;N</x:v>
      </x:c>
      <x:c r="H1610" s="39" t="str">
        <x:v>H23</x:v>
      </x:c>
      <x:c r="I1610" s="39" t="str">
        <x:v>P3/CLARIFY</x:v>
      </x:c>
      <x:c r="J1610" s="39" t="str">
        <x:v>H23</x:v>
      </x:c>
      <x:c r="K1610" s="39" t="str">
        <x:v>تطبیق احتمالی با پایه</x:v>
      </x:c>
      <x:c r="L1610" s="39" t="str">
        <x:v>MI-0161</x:v>
      </x:c>
      <x:c r="M1610" s="39" t="str">
        <x:v>N&amp;N</x:v>
      </x:c>
      <x:c r="N1610" s="39" t="str">
        <x:v>1154878548.docx::P4334.1</x:v>
      </x:c>
      <x:c r="O1610" s="39"/>
    </x:row>
    <x:row r="1611">
      <x:c r="A1611" s="34" t="str">
        <x:v>☐</x:v>
      </x:c>
      <x:c r="B1611" s="34" t="str">
        <x:v>EX-1583</x:v>
      </x:c>
      <x:c r="C1611" s="34" t="str">
        <x:v>Arduino</x:v>
      </x:c>
      <x:c r="D1611" s="34" t="str">
        <x:v>POSSIBLE</x:v>
      </x:c>
      <x:c r="E1611" s="34" t="str">
        <x:v>85.7</x:v>
      </x:c>
      <x:c r="F1611" s="34" t="str">
        <x:v>MI-0169</x:v>
      </x:c>
      <x:c r="G1611" s="39" t="str">
        <x:v>ARDUINU</x:v>
      </x:c>
      <x:c r="H1611" s="39" t="str">
        <x:v>H7</x:v>
      </x:c>
      <x:c r="I1611" s="39" t="str">
        <x:v>P1</x:v>
      </x:c>
      <x:c r="J1611" s="39" t="str">
        <x:v>H7</x:v>
      </x:c>
      <x:c r="K1611" s="39" t="str">
        <x:v>تطبیق احتمالی با پایه</x:v>
      </x:c>
      <x:c r="L1611" s="39" t="str">
        <x:v>MI-0169</x:v>
      </x:c>
      <x:c r="M1611" s="39" t="str">
        <x:v>ARDUINU</x:v>
      </x:c>
      <x:c r="N1611" s="39" t="str">
        <x:v>1154878548.docx::P4335.1</x:v>
      </x:c>
      <x:c r="O1611" s="39"/>
    </x:row>
    <x:row r="1612">
      <x:c r="A1612" s="34" t="str">
        <x:v>☐</x:v>
      </x:c>
      <x:c r="B1612" s="34" t="str">
        <x:v>EX-1584</x:v>
      </x:c>
      <x:c r="C1612" s="34" t="str">
        <x:v>🎬 7. مالتیمدیا و سهبعدی</x:v>
      </x:c>
      <x:c r="D1612" s="34" t="str">
        <x:v>POSSIBLE</x:v>
      </x:c>
      <x:c r="E1612" s="34" t="str">
        <x:v>85.5</x:v>
      </x:c>
      <x:c r="F1612" s="34" t="str">
        <x:v>MI-1513</x:v>
      </x:c>
      <x:c r="G1612" s="39" t="str">
        <x:v>تولید و کارآفرینی: توانایی تولید محصول و خدمات و ایجاد شغل.</x:v>
      </x:c>
      <x:c r="H1612" s="39" t="str">
        <x:v>H1</x:v>
      </x:c>
      <x:c r="I1612" s="39" t="str">
        <x:v>P0</x:v>
      </x:c>
      <x:c r="J1612" s="39" t="str">
        <x:v>H1</x:v>
      </x:c>
      <x:c r="K1612" s="39" t="str">
        <x:v>تطبیق احتمالی با پایه</x:v>
      </x:c>
      <x:c r="L1612" s="39" t="str">
        <x:v>MI-1513</x:v>
      </x:c>
      <x:c r="M1612" s="39" t="str">
        <x:v>تولید و کارآفرینی: توانایی تولید محصول و خدمات و ایجاد شغل.</x:v>
      </x:c>
      <x:c r="N1612" s="39" t="str">
        <x:v>1154878548.docx::P4338.1</x:v>
      </x:c>
      <x:c r="O1612" s="39"/>
    </x:row>
    <x:row r="1613">
      <x:c r="A1613" s="34" t="str">
        <x:v>☐</x:v>
      </x:c>
      <x:c r="B1613" s="34" t="str">
        <x:v>EX-1585</x:v>
      </x:c>
      <x:c r="C1613" s="34" t="str">
        <x:v>Unreal Engine</x:v>
      </x:c>
      <x:c r="D1613" s="34" t="str">
        <x:v>POSSIBLE</x:v>
      </x:c>
      <x:c r="E1613" s="34" t="str">
        <x:v>85.5</x:v>
      </x:c>
      <x:c r="F1613" s="34" t="str">
        <x:v>MI-0161</x:v>
      </x:c>
      <x:c r="G1613" s="39" t="str">
        <x:v>N&amp;N</x:v>
      </x:c>
      <x:c r="H1613" s="39" t="str">
        <x:v>H23</x:v>
      </x:c>
      <x:c r="I1613" s="39" t="str">
        <x:v>P3/CLARIFY</x:v>
      </x:c>
      <x:c r="J1613" s="39" t="str">
        <x:v>H23</x:v>
      </x:c>
      <x:c r="K1613" s="39" t="str">
        <x:v>تطبیق احتمالی با پایه</x:v>
      </x:c>
      <x:c r="L1613" s="39" t="str">
        <x:v>MI-0161</x:v>
      </x:c>
      <x:c r="M1613" s="39" t="str">
        <x:v>N&amp;N</x:v>
      </x:c>
      <x:c r="N1613" s="39" t="str">
        <x:v>1154878548.docx::P4341.1</x:v>
      </x:c>
      <x:c r="O1613" s="39"/>
    </x:row>
    <x:row r="1614">
      <x:c r="A1614" s="34" t="str">
        <x:v>☐</x:v>
      </x:c>
      <x:c r="B1614" s="34" t="str">
        <x:v>EX-1586</x:v>
      </x:c>
      <x:c r="C1614" s="34" t="str">
        <x:v>مدلسازی سهبعدی</x:v>
      </x:c>
      <x:c r="D1614" s="34" t="str">
        <x:v>UNMAPPED</x:v>
      </x:c>
      <x:c r="E1614" s="34" t="str">
        <x:v>64.3</x:v>
      </x:c>
      <x:c r="F1614" s="34" t="str">
        <x:v>MI-0845</x:v>
      </x:c>
      <x:c r="G1614" s="39" t="str">
        <x:v>رزرو کمد در سایت و عکس از نمای سه بعدی بالای ساختمان و نحوه قرار گیری کمد ها</x:v>
      </x:c>
      <x:c r="H1614" s="39" t="str">
        <x:v>H18</x:v>
      </x:c>
      <x:c r="I1614" s="39" t="str">
        <x:v>BANK</x:v>
      </x:c>
      <x:c r="J1614" s="39" t="str">
        <x:v>H23</x:v>
      </x:c>
      <x:c r="K1614" s="39" t="str">
        <x:v>نیازمند پالایش؛ حذف نشده</x:v>
      </x:c>
      <x:c r="L1614" s="39"/>
      <x:c r="M1614" s="39"/>
      <x:c r="N1614" s="39" t="str">
        <x:v>1154878548.docx::P4343.1</x:v>
      </x:c>
      <x:c r="O1614" s="39"/>
    </x:row>
    <x:row r="1615">
      <x:c r="A1615" s="34" t="str">
        <x:v>☐</x:v>
      </x:c>
      <x:c r="B1615" s="34" t="str">
        <x:v>EX-1587</x:v>
      </x:c>
      <x:c r="C1615" s="34" t="str">
        <x:v>🔬 8. تجهیزات و آزمایشگاه</x:v>
      </x:c>
      <x:c r="D1615" s="34" t="str">
        <x:v>POSSIBLE</x:v>
      </x:c>
      <x:c r="E1615" s="34" t="str">
        <x:v>85.5</x:v>
      </x:c>
      <x:c r="F1615" s="34" t="str">
        <x:v>MI-1513</x:v>
      </x:c>
      <x:c r="G1615" s="39" t="str">
        <x:v>تولید و کارآفرینی: توانایی تولید محصول و خدمات و ایجاد شغل.</x:v>
      </x:c>
      <x:c r="H1615" s="39" t="str">
        <x:v>H1</x:v>
      </x:c>
      <x:c r="I1615" s="39" t="str">
        <x:v>P0</x:v>
      </x:c>
      <x:c r="J1615" s="39" t="str">
        <x:v>H1</x:v>
      </x:c>
      <x:c r="K1615" s="39" t="str">
        <x:v>تطبیق احتمالی با پایه</x:v>
      </x:c>
      <x:c r="L1615" s="39" t="str">
        <x:v>MI-1513</x:v>
      </x:c>
      <x:c r="M1615" s="39" t="str">
        <x:v>تولید و کارآفرینی: توانایی تولید محصول و خدمات و ایجاد شغل.</x:v>
      </x:c>
      <x:c r="N1615" s="39" t="str">
        <x:v>1154878548.docx::P4344.1</x:v>
      </x:c>
      <x:c r="O1615" s="39"/>
    </x:row>
    <x:row r="1616">
      <x:c r="A1616" s="34" t="str">
        <x:v>☐</x:v>
      </x:c>
      <x:c r="B1616" s="34" t="str">
        <x:v>EX-1588</x:v>
      </x:c>
      <x:c r="C1616" s="34" t="str">
        <x:v>📊 9. مدیریت، اقتصاد و کسبوکار</x:v>
      </x:c>
      <x:c r="D1616" s="34" t="str">
        <x:v>POSSIBLE</x:v>
      </x:c>
      <x:c r="E1616" s="34" t="str">
        <x:v>85.5</x:v>
      </x:c>
      <x:c r="F1616" s="34" t="str">
        <x:v>MI-1513</x:v>
      </x:c>
      <x:c r="G1616" s="39" t="str">
        <x:v>تولید و کارآفرینی: توانایی تولید محصول و خدمات و ایجاد شغل.</x:v>
      </x:c>
      <x:c r="H1616" s="39" t="str">
        <x:v>H1</x:v>
      </x:c>
      <x:c r="I1616" s="39" t="str">
        <x:v>P0</x:v>
      </x:c>
      <x:c r="J1616" s="39" t="str">
        <x:v>H1</x:v>
      </x:c>
      <x:c r="K1616" s="39" t="str">
        <x:v>تطبیق احتمالی با پایه</x:v>
      </x:c>
      <x:c r="L1616" s="39" t="str">
        <x:v>MI-1513</x:v>
      </x:c>
      <x:c r="M1616" s="39" t="str">
        <x:v>تولید و کارآفرینی: توانایی تولید محصول و خدمات و ایجاد شغل.</x:v>
      </x:c>
      <x:c r="N1616" s="39" t="str">
        <x:v>1154878548.docx::P4349.1</x:v>
      </x:c>
      <x:c r="O1616" s="39"/>
    </x:row>
    <x:row r="1617">
      <x:c r="A1617" s="34" t="str">
        <x:v>☐</x:v>
      </x:c>
      <x:c r="B1617" s="34" t="str">
        <x:v>EX-1589</x:v>
      </x:c>
      <x:c r="C1617" s="34" t="str">
        <x:v>9.1 مدیریت</x:v>
      </x:c>
      <x:c r="D1617" s="34" t="str">
        <x:v>POSSIBLE</x:v>
      </x:c>
      <x:c r="E1617" s="34" t="str">
        <x:v>85.5</x:v>
      </x:c>
      <x:c r="F1617" s="34" t="str">
        <x:v>MI-1501</x:v>
      </x:c>
      <x:c r="G1617" s="39" t="str">
        <x:v>مدیریت ریسک: شناسایی ریسک ها، ارزیابی اثرات، تدوین برنامه های مقابله با ریسک ها.</x:v>
      </x:c>
      <x:c r="H1617" s="39" t="str">
        <x:v>H1</x:v>
      </x:c>
      <x:c r="I1617" s="39" t="str">
        <x:v>P0</x:v>
      </x:c>
      <x:c r="J1617" s="39" t="str">
        <x:v>H1</x:v>
      </x:c>
      <x:c r="K1617" s="39" t="str">
        <x:v>تطبیق احتمالی با پایه</x:v>
      </x:c>
      <x:c r="L1617" s="39" t="str">
        <x:v>MI-1501</x:v>
      </x:c>
      <x:c r="M1617" s="39" t="str">
        <x:v>مدیریت ریسک: شناسایی ریسک ها، ارزیابی اثرات، تدوین برنامه های مقابله با ریسک ها.</x:v>
      </x:c>
      <x:c r="N1617" s="39" t="str">
        <x:v>1154878548.docx::P4350.1</x:v>
      </x:c>
      <x:c r="O1617" s="39"/>
    </x:row>
    <x:row r="1618">
      <x:c r="A1618" s="34" t="str">
        <x:v>☐</x:v>
      </x:c>
      <x:c r="B1618" s="34" t="str">
        <x:v>EX-1590</x:v>
      </x:c>
      <x:c r="C1618" s="34" t="str">
        <x:v>مدیریت استراتژیک</x:v>
      </x:c>
      <x:c r="D1618" s="34" t="str">
        <x:v>POSSIBLE</x:v>
      </x:c>
      <x:c r="E1618" s="34" t="str">
        <x:v>90.0</x:v>
      </x:c>
      <x:c r="F1618" s="34" t="str">
        <x:v>MI-1495</x:v>
      </x:c>
      <x:c r="G1618" s="39" t="str">
        <x:v>مدیریت استراتژیک: تدوین چشم انداز، تعیین اهداف، طراحی استراتژی ها.</x:v>
      </x:c>
      <x:c r="H1618" s="39" t="str">
        <x:v>H19</x:v>
      </x:c>
      <x:c r="I1618" s="39" t="str">
        <x:v>P3</x:v>
      </x:c>
      <x:c r="J1618" s="39" t="str">
        <x:v>H19</x:v>
      </x:c>
      <x:c r="K1618" s="39" t="str">
        <x:v>تطبیق احتمالی با پایه</x:v>
      </x:c>
      <x:c r="L1618" s="39" t="str">
        <x:v>MI-1495</x:v>
      </x:c>
      <x:c r="M1618" s="39" t="str">
        <x:v>مدیریت استراتژیک: تدوین چشم انداز، تعیین اهداف، طراحی استراتژی ها.</x:v>
      </x:c>
      <x:c r="N1618" s="39" t="str">
        <x:v>1154878548.docx::P4351.1</x:v>
      </x:c>
      <x:c r="O1618" s="39"/>
    </x:row>
    <x:row r="1619">
      <x:c r="A1619" s="34" t="str">
        <x:v>☐</x:v>
      </x:c>
      <x:c r="B1619" s="34" t="str">
        <x:v>EX-1591</x:v>
      </x:c>
      <x:c r="C1619" s="34" t="str">
        <x:v>مدیریت محصول</x:v>
      </x:c>
      <x:c r="D1619" s="34" t="str">
        <x:v>POSSIBLE</x:v>
      </x:c>
      <x:c r="E1619" s="34" t="str">
        <x:v>90.9</x:v>
      </x:c>
      <x:c r="F1619" s="34" t="str">
        <x:v>MI-0118</x:v>
      </x:c>
      <x:c r="G1619" s="39" t="str">
        <x:v>مدیر محصول</x:v>
      </x:c>
      <x:c r="H1619" s="39" t="str">
        <x:v>H23</x:v>
      </x:c>
      <x:c r="I1619" s="39" t="str">
        <x:v>P3/CLARIFY</x:v>
      </x:c>
      <x:c r="J1619" s="39" t="str">
        <x:v>H23</x:v>
      </x:c>
      <x:c r="K1619" s="39" t="str">
        <x:v>تطبیق احتمالی با پایه</x:v>
      </x:c>
      <x:c r="L1619" s="39" t="str">
        <x:v>MI-0118</x:v>
      </x:c>
      <x:c r="M1619" s="39" t="str">
        <x:v>مدیر محصول</x:v>
      </x:c>
      <x:c r="N1619" s="39" t="str">
        <x:v>1154878548.docx::P4358.1</x:v>
      </x:c>
      <x:c r="O1619" s="39"/>
    </x:row>
    <x:row r="1620">
      <x:c r="A1620" s="34" t="str">
        <x:v>☐</x:v>
      </x:c>
      <x:c r="B1620" s="34" t="str">
        <x:v>EX-1592</x:v>
      </x:c>
      <x:c r="C1620" s="34" t="str">
        <x:v>9.2 عملیات و بهینهسازی</x:v>
      </x:c>
      <x:c r="D1620" s="34" t="str">
        <x:v>POSSIBLE</x:v>
      </x:c>
      <x:c r="E1620" s="34" t="str">
        <x:v>85.5</x:v>
      </x:c>
      <x:c r="F1620" s="34" t="str">
        <x:v>MI-1513</x:v>
      </x:c>
      <x:c r="G1620" s="39" t="str">
        <x:v>تولید و کارآفرینی: توانایی تولید محصول و خدمات و ایجاد شغل.</x:v>
      </x:c>
      <x:c r="H1620" s="39" t="str">
        <x:v>H1</x:v>
      </x:c>
      <x:c r="I1620" s="39" t="str">
        <x:v>P0</x:v>
      </x:c>
      <x:c r="J1620" s="39" t="str">
        <x:v>H1</x:v>
      </x:c>
      <x:c r="K1620" s="39" t="str">
        <x:v>تطبیق احتمالی با پایه</x:v>
      </x:c>
      <x:c r="L1620" s="39" t="str">
        <x:v>MI-1513</x:v>
      </x:c>
      <x:c r="M1620" s="39" t="str">
        <x:v>تولید و کارآفرینی: توانایی تولید محصول و خدمات و ایجاد شغل.</x:v>
      </x:c>
      <x:c r="N1620" s="39" t="str">
        <x:v>1154878548.docx::P4359.1</x:v>
      </x:c>
      <x:c r="O1620" s="39"/>
    </x:row>
    <x:row r="1621">
      <x:c r="A1621" s="34" t="str">
        <x:v>☐</x:v>
      </x:c>
      <x:c r="B1621" s="34" t="str">
        <x:v>EX-1593</x:v>
      </x:c>
      <x:c r="C1621" s="34" t="str">
        <x:v>اقتصاد مهندسی</x:v>
      </x:c>
      <x:c r="D1621" s="34" t="str">
        <x:v>POSSIBLE</x:v>
      </x:c>
      <x:c r="E1621" s="34" t="str">
        <x:v>85.5</x:v>
      </x:c>
      <x:c r="F1621" s="34" t="str">
        <x:v>MI-1509</x:v>
      </x:c>
      <x:c r="G1621" s="39" t="str">
        <x:v>سرمایه گذاری و اقتصاد:</x:v>
      </x:c>
      <x:c r="H1621" s="39" t="str">
        <x:v>H1</x:v>
      </x:c>
      <x:c r="I1621" s="39" t="str">
        <x:v>P0</x:v>
      </x:c>
      <x:c r="J1621" s="39" t="str">
        <x:v>H1</x:v>
      </x:c>
      <x:c r="K1621" s="39" t="str">
        <x:v>تطبیق احتمالی با پایه</x:v>
      </x:c>
      <x:c r="L1621" s="39" t="str">
        <x:v>MI-1509</x:v>
      </x:c>
      <x:c r="M1621" s="39" t="str">
        <x:v>سرمایه گذاری و اقتصاد:</x:v>
      </x:c>
      <x:c r="N1621" s="39" t="str">
        <x:v>1154878548.docx::P4364.1</x:v>
      </x:c>
      <x:c r="O1621" s="39"/>
    </x:row>
    <x:row r="1622">
      <x:c r="A1622" s="34" t="str">
        <x:v>☐</x:v>
      </x:c>
      <x:c r="B1622" s="34" t="str">
        <x:v>EX-1594</x:v>
      </x:c>
      <x:c r="C1622" s="34" t="str">
        <x:v>10.1 دیجیتال مارکتینگ</x:v>
      </x:c>
      <x:c r="D1622" s="34" t="str">
        <x:v>POSSIBLE</x:v>
      </x:c>
      <x:c r="E1622" s="34" t="str">
        <x:v>85.5</x:v>
      </x:c>
      <x:c r="F1622" s="34" t="str">
        <x:v>MI-1446</x:v>
      </x:c>
      <x:c r="G1622" s="39" t="str">
        <x:v>صدقه 10 تومن</x:v>
      </x:c>
      <x:c r="H1622" s="39" t="str">
        <x:v>H1</x:v>
      </x:c>
      <x:c r="I1622" s="39" t="str">
        <x:v>P0</x:v>
      </x:c>
      <x:c r="J1622" s="39" t="str">
        <x:v>H1</x:v>
      </x:c>
      <x:c r="K1622" s="39" t="str">
        <x:v>تطبیق احتمالی با پایه</x:v>
      </x:c>
      <x:c r="L1622" s="39" t="str">
        <x:v>MI-1446</x:v>
      </x:c>
      <x:c r="M1622" s="39" t="str">
        <x:v>صدقه 10 تومن</x:v>
      </x:c>
      <x:c r="N1622" s="39" t="str">
        <x:v>1154878548.docx::P4368.1</x:v>
      </x:c>
      <x:c r="O1622" s="39"/>
    </x:row>
    <x:row r="1623">
      <x:c r="A1623" s="34" t="str">
        <x:v>☐</x:v>
      </x:c>
      <x:c r="B1623" s="34" t="str">
        <x:v>EX-1595</x:v>
      </x:c>
      <x:c r="C1623" s="34" t="str">
        <x:v>Google Ads</x:v>
      </x:c>
      <x:c r="D1623" s="34" t="str">
        <x:v>POSSIBLE</x:v>
      </x:c>
      <x:c r="E1623" s="34" t="str">
        <x:v>85.5</x:v>
      </x:c>
      <x:c r="F1623" s="34" t="str">
        <x:v>MI-1488</x:v>
      </x:c>
      <x:c r="G1623" s="39" t="str">
        <x:v>Google Search Console</x:v>
      </x:c>
      <x:c r="H1623" s="39" t="str">
        <x:v>H7</x:v>
      </x:c>
      <x:c r="I1623" s="39" t="str">
        <x:v>P1</x:v>
      </x:c>
      <x:c r="J1623" s="39" t="str">
        <x:v>H7</x:v>
      </x:c>
      <x:c r="K1623" s="39" t="str">
        <x:v>تطبیق احتمالی با پایه</x:v>
      </x:c>
      <x:c r="L1623" s="39" t="str">
        <x:v>MI-1488</x:v>
      </x:c>
      <x:c r="M1623" s="39" t="str">
        <x:v>Google Search Console</x:v>
      </x:c>
      <x:c r="N1623" s="39" t="str">
        <x:v>1154878548.docx::P4369.1</x:v>
      </x:c>
      <x:c r="O1623" s="39"/>
    </x:row>
    <x:row r="1624">
      <x:c r="A1624" s="34" t="str">
        <x:v>☐</x:v>
      </x:c>
      <x:c r="B1624" s="34" t="str">
        <x:v>EX-1596</x:v>
      </x:c>
      <x:c r="C1624" s="34" t="str">
        <x:v>10.2 فروش</x:v>
      </x:c>
      <x:c r="D1624" s="34" t="str">
        <x:v>POSSIBLE</x:v>
      </x:c>
      <x:c r="E1624" s="34" t="str">
        <x:v>85.5</x:v>
      </x:c>
      <x:c r="F1624" s="34" t="str">
        <x:v>MI-0064</x:v>
      </x:c>
      <x:c r="G1624" s="39" t="str">
        <x:v>یادگیری تکنیک های مذاکره، زبان بدن، و پیشبرد فروش</x:v>
      </x:c>
      <x:c r="H1624" s="39" t="str">
        <x:v>H4</x:v>
      </x:c>
      <x:c r="I1624" s="39" t="str">
        <x:v>P1</x:v>
      </x:c>
      <x:c r="J1624" s="39" t="str">
        <x:v>H4</x:v>
      </x:c>
      <x:c r="K1624" s="39" t="str">
        <x:v>تطبیق احتمالی با پایه</x:v>
      </x:c>
      <x:c r="L1624" s="39" t="str">
        <x:v>MI-0064</x:v>
      </x:c>
      <x:c r="M1624" s="39" t="str">
        <x:v>یادگیری تکنیک های مذاکره، زبان بدن، و پیشبرد فروش</x:v>
      </x:c>
      <x:c r="N1624" s="39" t="str">
        <x:v>1154878548.docx::P4373.1</x:v>
      </x:c>
      <x:c r="O1624" s="39"/>
    </x:row>
    <x:row r="1625">
      <x:c r="A1625" s="34" t="str">
        <x:v>☐</x:v>
      </x:c>
      <x:c r="B1625" s="34" t="str">
        <x:v>EX-1597</x:v>
      </x:c>
      <x:c r="C1625" s="34" t="str">
        <x:v>روانشناسی فروش</x:v>
      </x:c>
      <x:c r="D1625" s="34" t="str">
        <x:v>POSSIBLE</x:v>
      </x:c>
      <x:c r="E1625" s="34" t="str">
        <x:v>85.5</x:v>
      </x:c>
      <x:c r="F1625" s="34" t="str">
        <x:v>MI-0001</x:v>
      </x:c>
      <x:c r="G1625" s="39" t="str">
        <x:v>روانشناسی کنترل خشم و استرس و تحمل و صبر</x:v>
      </x:c>
      <x:c r="H1625" s="39" t="str">
        <x:v>H1</x:v>
      </x:c>
      <x:c r="I1625" s="39" t="str">
        <x:v>P0</x:v>
      </x:c>
      <x:c r="J1625" s="39" t="str">
        <x:v>H1</x:v>
      </x:c>
      <x:c r="K1625" s="39" t="str">
        <x:v>تطبیق احتمالی با پایه</x:v>
      </x:c>
      <x:c r="L1625" s="39" t="str">
        <x:v>MI-0001</x:v>
      </x:c>
      <x:c r="M1625" s="39" t="str">
        <x:v>روانشناسی کنترل خشم و استرس و تحمل و صبر</x:v>
      </x:c>
      <x:c r="N1625" s="39" t="str">
        <x:v>1154878548.docx::P4374.1</x:v>
      </x:c>
      <x:c r="O1625" s="39"/>
    </x:row>
    <x:row r="1626">
      <x:c r="A1626" s="34" t="str">
        <x:v>☐</x:v>
      </x:c>
      <x:c r="B1626" s="34" t="str">
        <x:v>EX-1598</x:v>
      </x:c>
      <x:c r="C1626" s="34" t="str">
        <x:v>زبان بدن</x:v>
      </x:c>
      <x:c r="D1626" s="34" t="str">
        <x:v>POSSIBLE</x:v>
      </x:c>
      <x:c r="E1626" s="34" t="str">
        <x:v>90.0</x:v>
      </x:c>
      <x:c r="F1626" s="34" t="str">
        <x:v>MI-0064</x:v>
      </x:c>
      <x:c r="G1626" s="39" t="str">
        <x:v>یادگیری تکنیک های مذاکره، زبان بدن، و پیشبرد فروش</x:v>
      </x:c>
      <x:c r="H1626" s="39" t="str">
        <x:v>H4</x:v>
      </x:c>
      <x:c r="I1626" s="39" t="str">
        <x:v>P1</x:v>
      </x:c>
      <x:c r="J1626" s="39" t="str">
        <x:v>H4</x:v>
      </x:c>
      <x:c r="K1626" s="39" t="str">
        <x:v>تطبیق احتمالی با پایه</x:v>
      </x:c>
      <x:c r="L1626" s="39" t="str">
        <x:v>MI-0064</x:v>
      </x:c>
      <x:c r="M1626" s="39" t="str">
        <x:v>یادگیری تکنیک های مذاکره، زبان بدن، و پیشبرد فروش</x:v>
      </x:c>
      <x:c r="N1626" s="39" t="str">
        <x:v>1154878548.docx::P4375.1</x:v>
      </x:c>
      <x:c r="O1626" s="39"/>
    </x:row>
    <x:row r="1627">
      <x:c r="A1627" s="34" t="str">
        <x:v>☐</x:v>
      </x:c>
      <x:c r="B1627" s="34" t="str">
        <x:v>EX-1599</x:v>
      </x:c>
      <x:c r="C1627" s="34" t="str">
        <x:v>دانش محصول</x:v>
      </x:c>
      <x:c r="D1627" s="34" t="str">
        <x:v>POSSIBLE</x:v>
      </x:c>
      <x:c r="E1627" s="34" t="str">
        <x:v>90.0</x:v>
      </x:c>
      <x:c r="F1627" s="34" t="str">
        <x:v>MI-0009</x:v>
      </x:c>
      <x:c r="G1627" s="39" t="str">
        <x:v>آشنایی با دانش محصول</x:v>
      </x:c>
      <x:c r="H1627" s="39" t="str">
        <x:v>H17</x:v>
      </x:c>
      <x:c r="I1627" s="39" t="str">
        <x:v>P3</x:v>
      </x:c>
      <x:c r="J1627" s="39" t="str">
        <x:v>H17</x:v>
      </x:c>
      <x:c r="K1627" s="39" t="str">
        <x:v>تطبیق احتمالی با پایه</x:v>
      </x:c>
      <x:c r="L1627" s="39" t="str">
        <x:v>MI-0009</x:v>
      </x:c>
      <x:c r="M1627" s="39" t="str">
        <x:v>آشنایی با دانش محصول</x:v>
      </x:c>
      <x:c r="N1627" s="39" t="str">
        <x:v>1154878548.docx::P4376.1</x:v>
      </x:c>
      <x:c r="O1627" s="39"/>
    </x:row>
    <x:row r="1628">
      <x:c r="A1628" s="34" t="str">
        <x:v>☐</x:v>
      </x:c>
      <x:c r="B1628" s="34" t="str">
        <x:v>EX-1600</x:v>
      </x:c>
      <x:c r="C1628" s="34" t="str">
        <x:v>مدیریت فروش در رکود</x:v>
      </x:c>
      <x:c r="D1628" s="34" t="str">
        <x:v>POSSIBLE</x:v>
      </x:c>
      <x:c r="E1628" s="34" t="str">
        <x:v>85.5</x:v>
      </x:c>
      <x:c r="F1628" s="34" t="str">
        <x:v>MI-1501</x:v>
      </x:c>
      <x:c r="G1628" s="39" t="str">
        <x:v>مدیریت ریسک: شناسایی ریسک ها، ارزیابی اثرات، تدوین برنامه های مقابله با ریسک ها.</x:v>
      </x:c>
      <x:c r="H1628" s="39" t="str">
        <x:v>H1</x:v>
      </x:c>
      <x:c r="I1628" s="39" t="str">
        <x:v>P0</x:v>
      </x:c>
      <x:c r="J1628" s="39" t="str">
        <x:v>H1</x:v>
      </x:c>
      <x:c r="K1628" s="39" t="str">
        <x:v>تطبیق احتمالی با پایه</x:v>
      </x:c>
      <x:c r="L1628" s="39" t="str">
        <x:v>MI-1501</x:v>
      </x:c>
      <x:c r="M1628" s="39" t="str">
        <x:v>مدیریت ریسک: شناسایی ریسک ها، ارزیابی اثرات، تدوین برنامه های مقابله با ریسک ها.</x:v>
      </x:c>
      <x:c r="N1628" s="39" t="str">
        <x:v>1154878548.docx::P4377.1</x:v>
      </x:c>
      <x:c r="O1628" s="39"/>
    </x:row>
    <x:row r="1629">
      <x:c r="A1629" s="34" t="str">
        <x:v>☐</x:v>
      </x:c>
      <x:c r="B1629" s="34" t="str">
        <x:v>EX-1601</x:v>
      </x:c>
      <x:c r="C1629" s="34" t="str">
        <x:v>💰 11. حسابداری و مالی</x:v>
      </x:c>
      <x:c r="D1629" s="34" t="str">
        <x:v>POSSIBLE</x:v>
      </x:c>
      <x:c r="E1629" s="34" t="str">
        <x:v>85.5</x:v>
      </x:c>
      <x:c r="F1629" s="34" t="str">
        <x:v>MI-1513</x:v>
      </x:c>
      <x:c r="G1629" s="39" t="str">
        <x:v>تولید و کارآفرینی: توانایی تولید محصول و خدمات و ایجاد شغل.</x:v>
      </x:c>
      <x:c r="H1629" s="39" t="str">
        <x:v>H1</x:v>
      </x:c>
      <x:c r="I1629" s="39" t="str">
        <x:v>P0</x:v>
      </x:c>
      <x:c r="J1629" s="39" t="str">
        <x:v>H1</x:v>
      </x:c>
      <x:c r="K1629" s="39" t="str">
        <x:v>تطبیق احتمالی با پایه</x:v>
      </x:c>
      <x:c r="L1629" s="39" t="str">
        <x:v>MI-1513</x:v>
      </x:c>
      <x:c r="M1629" s="39" t="str">
        <x:v>تولید و کارآفرینی: توانایی تولید محصول و خدمات و ایجاد شغل.</x:v>
      </x:c>
      <x:c r="N1629" s="39" t="str">
        <x:v>1154878548.docx::P4379.1</x:v>
      </x:c>
      <x:c r="O1629" s="39"/>
    </x:row>
    <x:row r="1630">
      <x:c r="A1630" s="34" t="str">
        <x:v>☐</x:v>
      </x:c>
      <x:c r="B1630" s="34" t="str">
        <x:v>EX-1602</x:v>
      </x:c>
      <x:c r="C1630" s="34" t="str">
        <x:v>نرمافزار هلو</x:v>
      </x:c>
      <x:c r="D1630" s="34" t="str">
        <x:v>POSSIBLE</x:v>
      </x:c>
      <x:c r="E1630" s="34" t="str">
        <x:v>85.5</x:v>
      </x:c>
      <x:c r="F1630" s="34" t="str">
        <x:v>MI-0074</x:v>
      </x:c>
      <x:c r="G1630" s="39" t="str">
        <x:v>یادگیری نرم افزار حسابداری هلو یا سپیدار</x:v>
      </x:c>
      <x:c r="H1630" s="39" t="str">
        <x:v>H8</x:v>
      </x:c>
      <x:c r="I1630" s="39" t="str">
        <x:v>P2</x:v>
      </x:c>
      <x:c r="J1630" s="39" t="str">
        <x:v>H8</x:v>
      </x:c>
      <x:c r="K1630" s="39" t="str">
        <x:v>تطبیق احتمالی با پایه</x:v>
      </x:c>
      <x:c r="L1630" s="39" t="str">
        <x:v>MI-0074</x:v>
      </x:c>
      <x:c r="M1630" s="39" t="str">
        <x:v>یادگیری نرم افزار حسابداری هلو یا سپیدار</x:v>
      </x:c>
      <x:c r="N1630" s="39" t="str">
        <x:v>1154878548.docx::P4380.1</x:v>
      </x:c>
      <x:c r="O1630" s="39"/>
    </x:row>
    <x:row r="1631">
      <x:c r="A1631" s="34" t="str">
        <x:v>☐</x:v>
      </x:c>
      <x:c r="B1631" s="34" t="str">
        <x:v>EX-1603</x:v>
      </x:c>
      <x:c r="C1631" s="34" t="str">
        <x:v>سپیدار</x:v>
      </x:c>
      <x:c r="D1631" s="34" t="str">
        <x:v>POSSIBLE</x:v>
      </x:c>
      <x:c r="E1631" s="34" t="str">
        <x:v>90.0</x:v>
      </x:c>
      <x:c r="F1631" s="34" t="str">
        <x:v>MI-0074</x:v>
      </x:c>
      <x:c r="G1631" s="39" t="str">
        <x:v>یادگیری نرم افزار حسابداری هلو یا سپیدار</x:v>
      </x:c>
      <x:c r="H1631" s="39" t="str">
        <x:v>H8</x:v>
      </x:c>
      <x:c r="I1631" s="39" t="str">
        <x:v>P2</x:v>
      </x:c>
      <x:c r="J1631" s="39" t="str">
        <x:v>H8</x:v>
      </x:c>
      <x:c r="K1631" s="39" t="str">
        <x:v>تطبیق احتمالی با پایه</x:v>
      </x:c>
      <x:c r="L1631" s="39" t="str">
        <x:v>MI-0074</x:v>
      </x:c>
      <x:c r="M1631" s="39" t="str">
        <x:v>یادگیری نرم افزار حسابداری هلو یا سپیدار</x:v>
      </x:c>
      <x:c r="N1631" s="39" t="str">
        <x:v>1154878548.docx::P4381.1</x:v>
      </x:c>
      <x:c r="O1631" s="39"/>
    </x:row>
    <x:row r="1632">
      <x:c r="A1632" s="34" t="str">
        <x:v>☐</x:v>
      </x:c>
      <x:c r="B1632" s="34" t="str">
        <x:v>EX-1604</x:v>
      </x:c>
      <x:c r="C1632" s="34" t="str">
        <x:v>محاسبان</x:v>
      </x:c>
      <x:c r="D1632" s="34" t="str">
        <x:v>POSSIBLE</x:v>
      </x:c>
      <x:c r="E1632" s="34" t="str">
        <x:v>90.0</x:v>
      </x:c>
      <x:c r="F1632" s="34" t="str">
        <x:v>MI-0058</x:v>
      </x:c>
      <x:c r="G1632" s="39" t="str">
        <x:v>نرم افزار محاسبان</x:v>
      </x:c>
      <x:c r="H1632" s="39" t="str">
        <x:v>H8</x:v>
      </x:c>
      <x:c r="I1632" s="39" t="str">
        <x:v>P2</x:v>
      </x:c>
      <x:c r="J1632" s="39" t="str">
        <x:v>H8</x:v>
      </x:c>
      <x:c r="K1632" s="39" t="str">
        <x:v>تطبیق احتمالی با پایه</x:v>
      </x:c>
      <x:c r="L1632" s="39" t="str">
        <x:v>MI-0058</x:v>
      </x:c>
      <x:c r="M1632" s="39" t="str">
        <x:v>نرم افزار محاسبان</x:v>
      </x:c>
      <x:c r="N1632" s="39" t="str">
        <x:v>1154878548.docx::P4382.1</x:v>
      </x:c>
      <x:c r="O1632" s="39"/>
    </x:row>
    <x:row r="1633">
      <x:c r="A1633" s="34" t="str">
        <x:v>☐</x:v>
      </x:c>
      <x:c r="B1633" s="34" t="str">
        <x:v>EX-1605</x:v>
      </x:c>
      <x:c r="C1633" s="34" t="str">
        <x:v>بورس</x:v>
      </x:c>
      <x:c r="D1633" s="34" t="str">
        <x:v>POSSIBLE</x:v>
      </x:c>
      <x:c r="E1633" s="34" t="str">
        <x:v>90.0</x:v>
      </x:c>
      <x:c r="F1633" s="34" t="str">
        <x:v>MI-1514</x:v>
      </x:c>
      <x:c r="G1633" s="39" t="str">
        <x:v>آشنایی با مفهوم بورس</x:v>
      </x:c>
      <x:c r="H1633" s="39" t="str">
        <x:v>H8</x:v>
      </x:c>
      <x:c r="I1633" s="39" t="str">
        <x:v>P2</x:v>
      </x:c>
      <x:c r="J1633" s="39" t="str">
        <x:v>H8</x:v>
      </x:c>
      <x:c r="K1633" s="39" t="str">
        <x:v>تطبیق احتمالی با پایه</x:v>
      </x:c>
      <x:c r="L1633" s="39" t="str">
        <x:v>MI-1514</x:v>
      </x:c>
      <x:c r="M1633" s="39" t="str">
        <x:v>آشنایی با مفهوم بورس</x:v>
      </x:c>
      <x:c r="N1633" s="39" t="str">
        <x:v>1154878548.docx::P4384.1</x:v>
      </x:c>
      <x:c r="O1633" s="39"/>
    </x:row>
    <x:row r="1634">
      <x:c r="A1634" s="34" t="str">
        <x:v>☐</x:v>
      </x:c>
      <x:c r="B1634" s="34" t="str">
        <x:v>EX-1606</x:v>
      </x:c>
      <x:c r="C1634" s="34" t="str">
        <x:v>ارتباط با فعالان بازار سرمایه</x:v>
      </x:c>
      <x:c r="D1634" s="34" t="str">
        <x:v>POSSIBLE</x:v>
      </x:c>
      <x:c r="E1634" s="34" t="str">
        <x:v>90.0</x:v>
      </x:c>
      <x:c r="F1634" s="34" t="str">
        <x:v>MI-1735</x:v>
      </x:c>
      <x:c r="G1634" s="39" t="str">
        <x:v>سرمایه</x:v>
      </x:c>
      <x:c r="H1634" s="39" t="str">
        <x:v>H8</x:v>
      </x:c>
      <x:c r="I1634" s="39" t="str">
        <x:v>P2</x:v>
      </x:c>
      <x:c r="J1634" s="39" t="str">
        <x:v>H8</x:v>
      </x:c>
      <x:c r="K1634" s="39" t="str">
        <x:v>تطبیق احتمالی با پایه</x:v>
      </x:c>
      <x:c r="L1634" s="39" t="str">
        <x:v>MI-1735</x:v>
      </x:c>
      <x:c r="M1634" s="39" t="str">
        <x:v>سرمایه</x:v>
      </x:c>
      <x:c r="N1634" s="39" t="str">
        <x:v>1154878548.docx::P4385.1</x:v>
      </x:c>
      <x:c r="O1634" s="39"/>
    </x:row>
    <x:row r="1635">
      <x:c r="A1635" s="34" t="str">
        <x:v>☐</x:v>
      </x:c>
      <x:c r="B1635" s="34" t="str">
        <x:v>EX-1607</x:v>
      </x:c>
      <x:c r="C1635" s="34" t="str">
        <x:v>🧠 12. توسعه فردی و مهارتهای نرم</x:v>
      </x:c>
      <x:c r="D1635" s="34" t="str">
        <x:v>POSSIBLE</x:v>
      </x:c>
      <x:c r="E1635" s="34" t="str">
        <x:v>86.4</x:v>
      </x:c>
      <x:c r="F1635" s="34" t="str">
        <x:v>MI-1470</x:v>
      </x:c>
      <x:c r="G1635" s="39" t="str">
        <x:v>مهارت های نرم:</x:v>
      </x:c>
      <x:c r="H1635" s="39" t="str">
        <x:v>H1</x:v>
      </x:c>
      <x:c r="I1635" s="39" t="str">
        <x:v>P0</x:v>
      </x:c>
      <x:c r="J1635" s="39" t="str">
        <x:v>H1</x:v>
      </x:c>
      <x:c r="K1635" s="39" t="str">
        <x:v>تطبیق احتمالی با پایه</x:v>
      </x:c>
      <x:c r="L1635" s="39" t="str">
        <x:v>MI-1470</x:v>
      </x:c>
      <x:c r="M1635" s="39" t="str">
        <x:v>مهارت های نرم:</x:v>
      </x:c>
      <x:c r="N1635" s="39" t="str">
        <x:v>1154878548.docx::P4386.1</x:v>
      </x:c>
      <x:c r="O1635" s="39"/>
    </x:row>
    <x:row r="1636">
      <x:c r="A1636" s="34" t="str">
        <x:v>☐</x:v>
      </x:c>
      <x:c r="B1636" s="34" t="str">
        <x:v>EX-1608</x:v>
      </x:c>
      <x:c r="C1636" s="34" t="str">
        <x:v>12.1 مهارتهای ارتباطی</x:v>
      </x:c>
      <x:c r="D1636" s="34" t="str">
        <x:v>POSSIBLE</x:v>
      </x:c>
      <x:c r="E1636" s="34" t="str">
        <x:v>85.5</x:v>
      </x:c>
      <x:c r="F1636" s="34" t="str">
        <x:v>MI-1447</x:v>
      </x:c>
      <x:c r="G1636" s="39" t="str">
        <x:v>صدقه 12 ت</x:v>
      </x:c>
      <x:c r="H1636" s="39" t="str">
        <x:v>H1</x:v>
      </x:c>
      <x:c r="I1636" s="39" t="str">
        <x:v>P0</x:v>
      </x:c>
      <x:c r="J1636" s="39" t="str">
        <x:v>H1</x:v>
      </x:c>
      <x:c r="K1636" s="39" t="str">
        <x:v>تطبیق احتمالی با پایه</x:v>
      </x:c>
      <x:c r="L1636" s="39" t="str">
        <x:v>MI-1447</x:v>
      </x:c>
      <x:c r="M1636" s="39" t="str">
        <x:v>صدقه 12 ت</x:v>
      </x:c>
      <x:c r="N1636" s="39" t="str">
        <x:v>1154878548.docx::P4387.1</x:v>
      </x:c>
      <x:c r="O1636" s="39"/>
    </x:row>
    <x:row r="1637">
      <x:c r="A1637" s="34" t="str">
        <x:v>☐</x:v>
      </x:c>
      <x:c r="B1637" s="34" t="str">
        <x:v>EX-1609</x:v>
      </x:c>
      <x:c r="C1637" s="34" t="str">
        <x:v>سخنوری</x:v>
      </x:c>
      <x:c r="D1637" s="34" t="str">
        <x:v>POSSIBLE</x:v>
      </x:c>
      <x:c r="E1637" s="34" t="str">
        <x:v>90.0</x:v>
      </x:c>
      <x:c r="F1637" s="34" t="str">
        <x:v>MI-0071</x:v>
      </x:c>
      <x:c r="G1637" s="39" t="str">
        <x:v>یادگیری فن سخنوری</x:v>
      </x:c>
      <x:c r="H1637" s="39" t="str">
        <x:v>H1</x:v>
      </x:c>
      <x:c r="I1637" s="39" t="str">
        <x:v>P0</x:v>
      </x:c>
      <x:c r="J1637" s="39" t="str">
        <x:v>H1</x:v>
      </x:c>
      <x:c r="K1637" s="39" t="str">
        <x:v>تطبیق احتمالی با پایه</x:v>
      </x:c>
      <x:c r="L1637" s="39" t="str">
        <x:v>MI-0071</x:v>
      </x:c>
      <x:c r="M1637" s="39" t="str">
        <x:v>یادگیری فن سخنوری</x:v>
      </x:c>
      <x:c r="N1637" s="39" t="str">
        <x:v>1154878548.docx::P4390.1</x:v>
      </x:c>
      <x:c r="O1637" s="39"/>
    </x:row>
    <x:row r="1638">
      <x:c r="A1638" s="34" t="str">
        <x:v>☐</x:v>
      </x:c>
      <x:c r="B1638" s="34" t="str">
        <x:v>EX-1610</x:v>
      </x:c>
      <x:c r="C1638" s="34" t="str">
        <x:v>گویندگی و اجرا</x:v>
      </x:c>
      <x:c r="D1638" s="34" t="str">
        <x:v>POSSIBLE</x:v>
      </x:c>
      <x:c r="E1638" s="34" t="str">
        <x:v>90.0</x:v>
      </x:c>
      <x:c r="F1638" s="34" t="str">
        <x:v>MI-0072</x:v>
      </x:c>
      <x:c r="G1638" s="39" t="str">
        <x:v>یادگیری گویندگی و اجرا</x:v>
      </x:c>
      <x:c r="H1638" s="39" t="str">
        <x:v>H4</x:v>
      </x:c>
      <x:c r="I1638" s="39" t="str">
        <x:v>P1</x:v>
      </x:c>
      <x:c r="J1638" s="39" t="str">
        <x:v>H4</x:v>
      </x:c>
      <x:c r="K1638" s="39" t="str">
        <x:v>تطبیق احتمالی با پایه</x:v>
      </x:c>
      <x:c r="L1638" s="39" t="str">
        <x:v>MI-0072</x:v>
      </x:c>
      <x:c r="M1638" s="39" t="str">
        <x:v>یادگیری گویندگی و اجرا</x:v>
      </x:c>
      <x:c r="N1638" s="39" t="str">
        <x:v>1154878548.docx::P4391.1</x:v>
      </x:c>
      <x:c r="O1638" s="39"/>
    </x:row>
    <x:row r="1639">
      <x:c r="A1639" s="34" t="str">
        <x:v>☐</x:v>
      </x:c>
      <x:c r="B1639" s="34" t="str">
        <x:v>EX-1611</x:v>
      </x:c>
      <x:c r="C1639" s="34" t="str">
        <x:v>12.2 مهارتهای روانشناختی</x:v>
      </x:c>
      <x:c r="D1639" s="34" t="str">
        <x:v>POSSIBLE</x:v>
      </x:c>
      <x:c r="E1639" s="34" t="str">
        <x:v>85.5</x:v>
      </x:c>
      <x:c r="F1639" s="34" t="str">
        <x:v>MI-1447</x:v>
      </x:c>
      <x:c r="G1639" s="39" t="str">
        <x:v>صدقه 12 ت</x:v>
      </x:c>
      <x:c r="H1639" s="39" t="str">
        <x:v>H1</x:v>
      </x:c>
      <x:c r="I1639" s="39" t="str">
        <x:v>P0</x:v>
      </x:c>
      <x:c r="J1639" s="39" t="str">
        <x:v>H1</x:v>
      </x:c>
      <x:c r="K1639" s="39" t="str">
        <x:v>تطبیق احتمالی با پایه</x:v>
      </x:c>
      <x:c r="L1639" s="39" t="str">
        <x:v>MI-1447</x:v>
      </x:c>
      <x:c r="M1639" s="39" t="str">
        <x:v>صدقه 12 ت</x:v>
      </x:c>
      <x:c r="N1639" s="39" t="str">
        <x:v>1154878548.docx::P4395.1</x:v>
      </x:c>
      <x:c r="O1639" s="39"/>
    </x:row>
    <x:row r="1640">
      <x:c r="A1640" s="34" t="str">
        <x:v>☐</x:v>
      </x:c>
      <x:c r="B1640" s="34" t="str">
        <x:v>EX-1612</x:v>
      </x:c>
      <x:c r="C1640" s="34" t="str">
        <x:v>کنترل خشم</x:v>
      </x:c>
      <x:c r="D1640" s="34" t="str">
        <x:v>POSSIBLE</x:v>
      </x:c>
      <x:c r="E1640" s="34" t="str">
        <x:v>90.0</x:v>
      </x:c>
      <x:c r="F1640" s="34" t="str">
        <x:v>MI-0001</x:v>
      </x:c>
      <x:c r="G1640" s="39" t="str">
        <x:v>روانشناسی کنترل خشم و استرس و تحمل و صبر</x:v>
      </x:c>
      <x:c r="H1640" s="39" t="str">
        <x:v>H1</x:v>
      </x:c>
      <x:c r="I1640" s="39" t="str">
        <x:v>P0</x:v>
      </x:c>
      <x:c r="J1640" s="39" t="str">
        <x:v>H1</x:v>
      </x:c>
      <x:c r="K1640" s="39" t="str">
        <x:v>تطبیق احتمالی با پایه</x:v>
      </x:c>
      <x:c r="L1640" s="39" t="str">
        <x:v>MI-0001</x:v>
      </x:c>
      <x:c r="M1640" s="39" t="str">
        <x:v>روانشناسی کنترل خشم و استرس و تحمل و صبر</x:v>
      </x:c>
      <x:c r="N1640" s="39" t="str">
        <x:v>1154878548.docx::P4396.1</x:v>
      </x:c>
      <x:c r="O1640" s="39"/>
    </x:row>
    <x:row r="1641">
      <x:c r="A1641" s="34" t="str">
        <x:v>☐</x:v>
      </x:c>
      <x:c r="B1641" s="34" t="str">
        <x:v>EX-1613</x:v>
      </x:c>
      <x:c r="C1641" s="34" t="str">
        <x:v>مدیریت استرس</x:v>
      </x:c>
      <x:c r="D1641" s="34" t="str">
        <x:v>POSSIBLE</x:v>
      </x:c>
      <x:c r="E1641" s="34" t="str">
        <x:v>90.0</x:v>
      </x:c>
      <x:c r="F1641" s="34" t="str">
        <x:v>MI-1453</x:v>
      </x:c>
      <x:c r="G1641" s="39" t="str">
        <x:v>سلامت روان: مدیریت استرس، کاهش اضطراب، بهبود خلق و خو، درمان اختلالات روانی.</x:v>
      </x:c>
      <x:c r="H1641" s="39" t="str">
        <x:v>H1</x:v>
      </x:c>
      <x:c r="I1641" s="39" t="str">
        <x:v>P0</x:v>
      </x:c>
      <x:c r="J1641" s="39" t="str">
        <x:v>H1</x:v>
      </x:c>
      <x:c r="K1641" s="39" t="str">
        <x:v>تطبیق احتمالی با پایه</x:v>
      </x:c>
      <x:c r="L1641" s="39" t="str">
        <x:v>MI-1453</x:v>
      </x:c>
      <x:c r="M1641" s="39" t="str">
        <x:v>سلامت روان: مدیریت استرس، کاهش اضطراب، بهبود خلق و خو، درمان اختلالات روانی.</x:v>
      </x:c>
      <x:c r="N1641" s="39" t="str">
        <x:v>1154878548.docx::P4397.1</x:v>
      </x:c>
      <x:c r="O1641" s="39"/>
    </x:row>
    <x:row r="1642">
      <x:c r="A1642" s="34" t="str">
        <x:v>☐</x:v>
      </x:c>
      <x:c r="B1642" s="34" t="str">
        <x:v>EX-1614</x:v>
      </x:c>
      <x:c r="C1642" s="34" t="str">
        <x:v>هوش هیجانی</x:v>
      </x:c>
      <x:c r="D1642" s="34" t="str">
        <x:v>POSSIBLE</x:v>
      </x:c>
      <x:c r="E1642" s="34" t="str">
        <x:v>90.0</x:v>
      </x:c>
      <x:c r="F1642" s="34" t="str">
        <x:v>MI-0077</x:v>
      </x:c>
      <x:c r="G1642" s="39" t="str">
        <x:v>یادگیری هوش هیجانی و قدرت تصمیم گیری بالا در لحظه</x:v>
      </x:c>
      <x:c r="H1642" s="39" t="str">
        <x:v>H1</x:v>
      </x:c>
      <x:c r="I1642" s="39" t="str">
        <x:v>P0</x:v>
      </x:c>
      <x:c r="J1642" s="39" t="str">
        <x:v>H1</x:v>
      </x:c>
      <x:c r="K1642" s="39" t="str">
        <x:v>تطبیق احتمالی با پایه</x:v>
      </x:c>
      <x:c r="L1642" s="39" t="str">
        <x:v>MI-0077</x:v>
      </x:c>
      <x:c r="M1642" s="39" t="str">
        <x:v>یادگیری هوش هیجانی و قدرت تصمیم گیری بالا در لحظه</x:v>
      </x:c>
      <x:c r="N1642" s="39" t="str">
        <x:v>1154878548.docx::P4399.1</x:v>
      </x:c>
      <x:c r="O1642" s="39"/>
    </x:row>
    <x:row r="1643">
      <x:c r="A1643" s="34" t="str">
        <x:v>☐</x:v>
      </x:c>
      <x:c r="B1643" s="34" t="str">
        <x:v>EX-1615</x:v>
      </x:c>
      <x:c r="C1643" s="34" t="str">
        <x:v>تصمیمگیری سریع</x:v>
      </x:c>
      <x:c r="D1643" s="34" t="str">
        <x:v>POSSIBLE</x:v>
      </x:c>
      <x:c r="E1643" s="34" t="str">
        <x:v>85.5</x:v>
      </x:c>
      <x:c r="F1643" s="34" t="str">
        <x:v>MI-1507</x:v>
      </x:c>
      <x:c r="G1643" s="39" t="str">
        <x:v>انعطاف پذیری: تطبیق با شرایط جدید، یادگیری سریع.</x:v>
      </x:c>
      <x:c r="H1643" s="39" t="str">
        <x:v>H1</x:v>
      </x:c>
      <x:c r="I1643" s="39" t="str">
        <x:v>P0</x:v>
      </x:c>
      <x:c r="J1643" s="39" t="str">
        <x:v>H1</x:v>
      </x:c>
      <x:c r="K1643" s="39" t="str">
        <x:v>تطبیق احتمالی با پایه</x:v>
      </x:c>
      <x:c r="L1643" s="39" t="str">
        <x:v>MI-1507</x:v>
      </x:c>
      <x:c r="M1643" s="39" t="str">
        <x:v>انعطاف پذیری: تطبیق با شرایط جدید، یادگیری سریع.</x:v>
      </x:c>
      <x:c r="N1643" s="39" t="str">
        <x:v>1154878548.docx::P4400.1</x:v>
      </x:c>
      <x:c r="O1643" s="39"/>
    </x:row>
    <x:row r="1644">
      <x:c r="A1644" s="34" t="str">
        <x:v>☐</x:v>
      </x:c>
      <x:c r="B1644" s="34" t="str">
        <x:v>EX-1616</x:v>
      </x:c>
      <x:c r="C1644" s="34" t="str">
        <x:v>تعامل مؤثر با افراد</x:v>
      </x:c>
      <x:c r="D1644" s="34" t="str">
        <x:v>POSSIBLE</x:v>
      </x:c>
      <x:c r="E1644" s="34" t="str">
        <x:v>90.0</x:v>
      </x:c>
      <x:c r="F1644" s="34" t="str">
        <x:v>MI-2713</x:v>
      </x:c>
      <x:c r="G1644" s="39" t="str">
        <x:v>تعامل</x:v>
      </x:c>
      <x:c r="H1644" s="39" t="str">
        <x:v>H4</x:v>
      </x:c>
      <x:c r="I1644" s="39" t="str">
        <x:v>P1</x:v>
      </x:c>
      <x:c r="J1644" s="39" t="str">
        <x:v>H4</x:v>
      </x:c>
      <x:c r="K1644" s="39" t="str">
        <x:v>تطبیق احتمالی با پایه</x:v>
      </x:c>
      <x:c r="L1644" s="39" t="str">
        <x:v>MI-2713</x:v>
      </x:c>
      <x:c r="M1644" s="39" t="str">
        <x:v>تعامل</x:v>
      </x:c>
      <x:c r="N1644" s="39" t="str">
        <x:v>1154878548.docx::P4401.1</x:v>
      </x:c>
      <x:c r="O1644" s="39"/>
    </x:row>
    <x:row r="1645">
      <x:c r="A1645" s="34" t="str">
        <x:v>☐</x:v>
      </x:c>
      <x:c r="B1645" s="34" t="str">
        <x:v>EX-1617</x:v>
      </x:c>
      <x:c r="C1645" s="34" t="str">
        <x:v>12.3 مهارتهای پایه</x:v>
      </x:c>
      <x:c r="D1645" s="34" t="str">
        <x:v>POSSIBLE</x:v>
      </x:c>
      <x:c r="E1645" s="34" t="str">
        <x:v>85.5</x:v>
      </x:c>
      <x:c r="F1645" s="34" t="str">
        <x:v>MI-1447</x:v>
      </x:c>
      <x:c r="G1645" s="39" t="str">
        <x:v>صدقه 12 ت</x:v>
      </x:c>
      <x:c r="H1645" s="39" t="str">
        <x:v>H1</x:v>
      </x:c>
      <x:c r="I1645" s="39" t="str">
        <x:v>P0</x:v>
      </x:c>
      <x:c r="J1645" s="39" t="str">
        <x:v>H1</x:v>
      </x:c>
      <x:c r="K1645" s="39" t="str">
        <x:v>تطبیق احتمالی با پایه</x:v>
      </x:c>
      <x:c r="L1645" s="39" t="str">
        <x:v>MI-1447</x:v>
      </x:c>
      <x:c r="M1645" s="39" t="str">
        <x:v>صدقه 12 ت</x:v>
      </x:c>
      <x:c r="N1645" s="39" t="str">
        <x:v>1154878548.docx::P4402.1</x:v>
      </x:c>
      <x:c r="O1645" s="39"/>
    </x:row>
    <x:row r="1646">
      <x:c r="A1646" s="34" t="str">
        <x:v>☐</x:v>
      </x:c>
      <x:c r="B1646" s="34" t="str">
        <x:v>EX-1618</x:v>
      </x:c>
      <x:c r="C1646" s="34" t="str">
        <x:v>جستجوی سریع</x:v>
      </x:c>
      <x:c r="D1646" s="34" t="str">
        <x:v>POSSIBLE</x:v>
      </x:c>
      <x:c r="E1646" s="34" t="str">
        <x:v>85.5</x:v>
      </x:c>
      <x:c r="F1646" s="34" t="str">
        <x:v>MI-0173</x:v>
      </x:c>
      <x:c r="G1646" s="39" t="str">
        <x:v>جستجو در منابع سریع</x:v>
      </x:c>
      <x:c r="H1646" s="39" t="str">
        <x:v>H1</x:v>
      </x:c>
      <x:c r="I1646" s="39" t="str">
        <x:v>P0</x:v>
      </x:c>
      <x:c r="J1646" s="39" t="str">
        <x:v>H1</x:v>
      </x:c>
      <x:c r="K1646" s="39" t="str">
        <x:v>تطبیق احتمالی با پایه</x:v>
      </x:c>
      <x:c r="L1646" s="39" t="str">
        <x:v>MI-0173</x:v>
      </x:c>
      <x:c r="M1646" s="39" t="str">
        <x:v>جستجو در منابع سریع</x:v>
      </x:c>
      <x:c r="N1646" s="39" t="str">
        <x:v>1154878548.docx::P4406.1</x:v>
      </x:c>
      <x:c r="O1646" s="39"/>
    </x:row>
    <x:row r="1647">
      <x:c r="A1647" s="34" t="str">
        <x:v>☐</x:v>
      </x:c>
      <x:c r="B1647" s="34" t="str">
        <x:v>EX-1619</x:v>
      </x:c>
      <x:c r="C1647" s="34" t="str">
        <x:v>📚 13. کتاب، فرهنگ و تاریخ</x:v>
      </x:c>
      <x:c r="D1647" s="34" t="str">
        <x:v>POSSIBLE</x:v>
      </x:c>
      <x:c r="E1647" s="34" t="str">
        <x:v>85.5</x:v>
      </x:c>
      <x:c r="F1647" s="34" t="str">
        <x:v>MI-1513</x:v>
      </x:c>
      <x:c r="G1647" s="39" t="str">
        <x:v>تولید و کارآفرینی: توانایی تولید محصول و خدمات و ایجاد شغل.</x:v>
      </x:c>
      <x:c r="H1647" s="39" t="str">
        <x:v>H1</x:v>
      </x:c>
      <x:c r="I1647" s="39" t="str">
        <x:v>P0</x:v>
      </x:c>
      <x:c r="J1647" s="39" t="str">
        <x:v>H1</x:v>
      </x:c>
      <x:c r="K1647" s="39" t="str">
        <x:v>تطبیق احتمالی با پایه</x:v>
      </x:c>
      <x:c r="L1647" s="39" t="str">
        <x:v>MI-1513</x:v>
      </x:c>
      <x:c r="M1647" s="39" t="str">
        <x:v>تولید و کارآفرینی: توانایی تولید محصول و خدمات و ایجاد شغل.</x:v>
      </x:c>
      <x:c r="N1647" s="39" t="str">
        <x:v>1154878548.docx::P4408.1</x:v>
      </x:c>
      <x:c r="O1647" s="39"/>
    </x:row>
    <x:row r="1648">
      <x:c r="A1648" s="34" t="str">
        <x:v>☐</x:v>
      </x:c>
      <x:c r="B1648" s="34" t="str">
        <x:v>EX-1620</x:v>
      </x:c>
      <x:c r="C1648" s="34" t="str">
        <x:v>کتابهای انگلیسی لولبندی</x:v>
      </x:c>
      <x:c r="D1648" s="34" t="str">
        <x:v>POSSIBLE</x:v>
      </x:c>
      <x:c r="E1648" s="34" t="str">
        <x:v>85.5</x:v>
      </x:c>
      <x:c r="F1648" s="34" t="str">
        <x:v>MI-0087</x:v>
      </x:c>
      <x:c r="G1648" s="39" t="str">
        <x:v>خواندن دیکشنری فرهنگ لغت انگلیسی به فارسی</x:v>
      </x:c>
      <x:c r="H1648" s="39" t="str">
        <x:v>H1</x:v>
      </x:c>
      <x:c r="I1648" s="39" t="str">
        <x:v>BANK</x:v>
      </x:c>
      <x:c r="J1648" s="39" t="str">
        <x:v>H1</x:v>
      </x:c>
      <x:c r="K1648" s="39" t="str">
        <x:v>تطبیق احتمالی با پایه</x:v>
      </x:c>
      <x:c r="L1648" s="39" t="str">
        <x:v>MI-0087</x:v>
      </x:c>
      <x:c r="M1648" s="39" t="str">
        <x:v>خواندن دیکشنری فرهنگ لغت انگلیسی به فارسی</x:v>
      </x:c>
      <x:c r="N1648" s="39" t="str">
        <x:v>1154878548.docx::P4410.1</x:v>
      </x:c>
      <x:c r="O1648" s="39"/>
    </x:row>
    <x:row r="1649">
      <x:c r="A1649" s="34" t="str">
        <x:v>☐</x:v>
      </x:c>
      <x:c r="B1649" s="34" t="str">
        <x:v>EX-1621</x:v>
      </x:c>
      <x:c r="C1649" s="34" t="str">
        <x:v>نهجالبلاغه</x:v>
      </x:c>
      <x:c r="D1649" s="34" t="str">
        <x:v>UNMAPPED</x:v>
      </x:c>
      <x:c r="E1649" s="34" t="str">
        <x:v>81.0</x:v>
      </x:c>
      <x:c r="F1649" s="34" t="str">
        <x:v>MI-0036</x:v>
      </x:c>
      <x:c r="G1649" s="39" t="str">
        <x:v>خوانش و بررسی کتاب نهج البلاغه</x:v>
      </x:c>
      <x:c r="H1649" s="39" t="str">
        <x:v>H15</x:v>
      </x:c>
      <x:c r="I1649" s="39" t="str">
        <x:v>BANK</x:v>
      </x:c>
      <x:c r="J1649" s="39" t="str">
        <x:v>H23</x:v>
      </x:c>
      <x:c r="K1649" s="39" t="str">
        <x:v>نیازمند پالایش؛ حذف نشده</x:v>
      </x:c>
      <x:c r="L1649" s="39"/>
      <x:c r="M1649" s="39"/>
      <x:c r="N1649" s="39" t="str">
        <x:v>1154878548.docx::P4413.1</x:v>
      </x:c>
      <x:c r="O1649" s="39"/>
    </x:row>
    <x:row r="1650">
      <x:c r="A1650" s="34" t="str">
        <x:v>☐</x:v>
      </x:c>
      <x:c r="B1650" s="34" t="str">
        <x:v>EX-1622</x:v>
      </x:c>
      <x:c r="C1650" s="34" t="str">
        <x:v>روایات پیامبران و ائمه</x:v>
      </x:c>
      <x:c r="D1650" s="34" t="str">
        <x:v>POSSIBLE</x:v>
      </x:c>
      <x:c r="E1650" s="34" t="str">
        <x:v>85.5</x:v>
      </x:c>
      <x:c r="F1650" s="34" t="str">
        <x:v>MI-1513</x:v>
      </x:c>
      <x:c r="G1650" s="39" t="str">
        <x:v>تولید و کارآفرینی: توانایی تولید محصول و خدمات و ایجاد شغل.</x:v>
      </x:c>
      <x:c r="H1650" s="39" t="str">
        <x:v>H1</x:v>
      </x:c>
      <x:c r="I1650" s="39" t="str">
        <x:v>P0</x:v>
      </x:c>
      <x:c r="J1650" s="39" t="str">
        <x:v>H1</x:v>
      </x:c>
      <x:c r="K1650" s="39" t="str">
        <x:v>تطبیق احتمالی با پایه</x:v>
      </x:c>
      <x:c r="L1650" s="39" t="str">
        <x:v>MI-1513</x:v>
      </x:c>
      <x:c r="M1650" s="39" t="str">
        <x:v>تولید و کارآفرینی: توانایی تولید محصول و خدمات و ایجاد شغل.</x:v>
      </x:c>
      <x:c r="N1650" s="39" t="str">
        <x:v>1154878548.docx::P4416.1</x:v>
      </x:c>
      <x:c r="O1650" s="39"/>
    </x:row>
    <x:row r="1651">
      <x:c r="A1651" s="34" t="str">
        <x:v>☐</x:v>
      </x:c>
      <x:c r="B1651" s="34" t="str">
        <x:v>EX-1623</x:v>
      </x:c>
      <x:c r="C1651" s="34" t="str">
        <x:v>🎖️ 14. اجتماعی، رسانهای و جهادی</x:v>
      </x:c>
      <x:c r="D1651" s="34" t="str">
        <x:v>POSSIBLE</x:v>
      </x:c>
      <x:c r="E1651" s="34" t="str">
        <x:v>90.0</x:v>
      </x:c>
      <x:c r="F1651" s="34" t="str">
        <x:v>MI-0815</x:v>
      </x:c>
      <x:c r="G1651" s="39" t="str">
        <x:v>رسانه:</x:v>
      </x:c>
      <x:c r="H1651" s="39" t="str">
        <x:v>H11</x:v>
      </x:c>
      <x:c r="I1651" s="39" t="str">
        <x:v>DELEGATE/P2</x:v>
      </x:c>
      <x:c r="J1651" s="39" t="str">
        <x:v>H11</x:v>
      </x:c>
      <x:c r="K1651" s="39" t="str">
        <x:v>تطبیق احتمالی با پایه</x:v>
      </x:c>
      <x:c r="L1651" s="39" t="str">
        <x:v>MI-0815</x:v>
      </x:c>
      <x:c r="M1651" s="39" t="str">
        <x:v>رسانه:</x:v>
      </x:c>
      <x:c r="N1651" s="39" t="str">
        <x:v>1154878548.docx::P4417.1</x:v>
      </x:c>
      <x:c r="O1651" s="39"/>
    </x:row>
    <x:row r="1652">
      <x:c r="A1652" s="34" t="str">
        <x:v>☐</x:v>
      </x:c>
      <x:c r="B1652" s="34" t="str">
        <x:v>EX-1624</x:v>
      </x:c>
      <x:c r="C1652" s="34" t="str">
        <x:v>14.1 فعالیتهای جهادی</x:v>
      </x:c>
      <x:c r="D1652" s="34" t="str">
        <x:v>POSSIBLE</x:v>
      </x:c>
      <x:c r="E1652" s="34" t="str">
        <x:v>90.0</x:v>
      </x:c>
      <x:c r="F1652" s="34" t="str">
        <x:v>MI-1539</x:v>
      </x:c>
      <x:c r="G1652" s="39" t="str">
        <x:v>جهادی</x:v>
      </x:c>
      <x:c r="H1652" s="39" t="str">
        <x:v>H23</x:v>
      </x:c>
      <x:c r="I1652" s="39" t="str">
        <x:v>P3/CLARIFY</x:v>
      </x:c>
      <x:c r="J1652" s="39" t="str">
        <x:v>H23</x:v>
      </x:c>
      <x:c r="K1652" s="39" t="str">
        <x:v>تطبیق احتمالی با پایه</x:v>
      </x:c>
      <x:c r="L1652" s="39" t="str">
        <x:v>MI-1539</x:v>
      </x:c>
      <x:c r="M1652" s="39" t="str">
        <x:v>جهادی</x:v>
      </x:c>
      <x:c r="N1652" s="39" t="str">
        <x:v>1154878548.docx::P4418.1</x:v>
      </x:c>
      <x:c r="O1652" s="39"/>
    </x:row>
    <x:row r="1653">
      <x:c r="A1653" s="34" t="str">
        <x:v>☐</x:v>
      </x:c>
      <x:c r="B1653" s="34" t="str">
        <x:v>EX-1625</x:v>
      </x:c>
      <x:c r="C1653" s="34" t="str">
        <x:v>بسیج دانشجویی</x:v>
      </x:c>
      <x:c r="D1653" s="34" t="str">
        <x:v>POSSIBLE</x:v>
      </x:c>
      <x:c r="E1653" s="34" t="str">
        <x:v>90.0</x:v>
      </x:c>
      <x:c r="F1653" s="34" t="str">
        <x:v>MI-0209</x:v>
      </x:c>
      <x:c r="G1653" s="39" t="str">
        <x:v>جهادی و بسیج دانشجویی</x:v>
      </x:c>
      <x:c r="H1653" s="39" t="str">
        <x:v>H11</x:v>
      </x:c>
      <x:c r="I1653" s="39" t="str">
        <x:v>DELEGATE/P2</x:v>
      </x:c>
      <x:c r="J1653" s="39" t="str">
        <x:v>H11</x:v>
      </x:c>
      <x:c r="K1653" s="39" t="str">
        <x:v>تطبیق احتمالی با پایه</x:v>
      </x:c>
      <x:c r="L1653" s="39" t="str">
        <x:v>MI-0209</x:v>
      </x:c>
      <x:c r="M1653" s="39" t="str">
        <x:v>جهادی و بسیج دانشجویی</x:v>
      </x:c>
      <x:c r="N1653" s="39" t="str">
        <x:v>1154878548.docx::P4419.1</x:v>
      </x:c>
      <x:c r="O1653" s="39"/>
    </x:row>
    <x:row r="1654">
      <x:c r="A1654" s="34" t="str">
        <x:v>☐</x:v>
      </x:c>
      <x:c r="B1654" s="34" t="str">
        <x:v>EX-1626</x:v>
      </x:c>
      <x:c r="C1654" s="34" t="str">
        <x:v>ستاد تحول</x:v>
      </x:c>
      <x:c r="D1654" s="34" t="str">
        <x:v>POSSIBLE</x:v>
      </x:c>
      <x:c r="E1654" s="34" t="str">
        <x:v>90.0</x:v>
      </x:c>
      <x:c r="F1654" s="34" t="str">
        <x:v>MI-1530</x:v>
      </x:c>
      <x:c r="G1654" s="39" t="str">
        <x:v>ایجاد ستاد تحول بسیج</x:v>
      </x:c>
      <x:c r="H1654" s="39" t="str">
        <x:v>H1</x:v>
      </x:c>
      <x:c r="I1654" s="39" t="str">
        <x:v>P0</x:v>
      </x:c>
      <x:c r="J1654" s="39" t="str">
        <x:v>H1</x:v>
      </x:c>
      <x:c r="K1654" s="39" t="str">
        <x:v>تطبیق احتمالی با پایه</x:v>
      </x:c>
      <x:c r="L1654" s="39" t="str">
        <x:v>MI-1530</x:v>
      </x:c>
      <x:c r="M1654" s="39" t="str">
        <x:v>ایجاد ستاد تحول بسیج</x:v>
      </x:c>
      <x:c r="N1654" s="39" t="str">
        <x:v>1154878548.docx::P4420.1</x:v>
      </x:c>
      <x:c r="O1654" s="39"/>
    </x:row>
    <x:row r="1655">
      <x:c r="A1655" s="34" t="str">
        <x:v>☐</x:v>
      </x:c>
      <x:c r="B1655" s="34" t="str">
        <x:v>EX-1627</x:v>
      </x:c>
      <x:c r="C1655" s="34" t="str">
        <x:v>دفتر بسیج خوابگاه</x:v>
      </x:c>
      <x:c r="D1655" s="34" t="str">
        <x:v>POSSIBLE</x:v>
      </x:c>
      <x:c r="E1655" s="34" t="str">
        <x:v>90.0</x:v>
      </x:c>
      <x:c r="F1655" s="34" t="str">
        <x:v>MI-1531</x:v>
      </x:c>
      <x:c r="G1655" s="39" t="str">
        <x:v>باز کردن دفتر بسیج خوابگاه</x:v>
      </x:c>
      <x:c r="H1655" s="39" t="str">
        <x:v>H1</x:v>
      </x:c>
      <x:c r="I1655" s="39" t="str">
        <x:v>P0</x:v>
      </x:c>
      <x:c r="J1655" s="39" t="str">
        <x:v>H1</x:v>
      </x:c>
      <x:c r="K1655" s="39" t="str">
        <x:v>تطبیق احتمالی با پایه</x:v>
      </x:c>
      <x:c r="L1655" s="39" t="str">
        <x:v>MI-1531</x:v>
      </x:c>
      <x:c r="M1655" s="39" t="str">
        <x:v>باز کردن دفتر بسیج خوابگاه</x:v>
      </x:c>
      <x:c r="N1655" s="39" t="str">
        <x:v>1154878548.docx::P4421.1</x:v>
      </x:c>
      <x:c r="O1655" s="39"/>
    </x:row>
    <x:row r="1656">
      <x:c r="A1656" s="34" t="str">
        <x:v>☐</x:v>
      </x:c>
      <x:c r="B1656" s="34" t="str">
        <x:v>EX-1628</x:v>
      </x:c>
      <x:c r="C1656" s="34" t="str">
        <x:v>اردوهای جهادی</x:v>
      </x:c>
      <x:c r="D1656" s="34" t="str">
        <x:v>POSSIBLE</x:v>
      </x:c>
      <x:c r="E1656" s="34" t="str">
        <x:v>90.0</x:v>
      </x:c>
      <x:c r="F1656" s="34" t="str">
        <x:v>MI-0017</x:v>
      </x:c>
      <x:c r="G1656" s="39" t="str">
        <x:v>آشنایی با مسیولین اردوهای جهادی برای شرکت در اردو</x:v>
      </x:c>
      <x:c r="H1656" s="39" t="str">
        <x:v>H14</x:v>
      </x:c>
      <x:c r="I1656" s="39" t="str">
        <x:v>P3</x:v>
      </x:c>
      <x:c r="J1656" s="39" t="str">
        <x:v>H14</x:v>
      </x:c>
      <x:c r="K1656" s="39" t="str">
        <x:v>تطبیق احتمالی با پایه</x:v>
      </x:c>
      <x:c r="L1656" s="39" t="str">
        <x:v>MI-0017</x:v>
      </x:c>
      <x:c r="M1656" s="39" t="str">
        <x:v>آشنایی با مسیولین اردوهای جهادی برای شرکت در اردو</x:v>
      </x:c>
      <x:c r="N1656" s="39" t="str">
        <x:v>1154878548.docx::P4422.1</x:v>
      </x:c>
      <x:c r="O1656" s="39"/>
    </x:row>
    <x:row r="1657">
      <x:c r="A1657" s="34" t="str">
        <x:v>☐</x:v>
      </x:c>
      <x:c r="B1657" s="34" t="str">
        <x:v>EX-1629</x:v>
      </x:c>
      <x:c r="C1657" s="34" t="str">
        <x:v>14.2 رسانه</x:v>
      </x:c>
      <x:c r="D1657" s="34" t="str">
        <x:v>POSSIBLE</x:v>
      </x:c>
      <x:c r="E1657" s="34" t="str">
        <x:v>90.0</x:v>
      </x:c>
      <x:c r="F1657" s="34" t="str">
        <x:v>MI-0815</x:v>
      </x:c>
      <x:c r="G1657" s="39" t="str">
        <x:v>رسانه:</x:v>
      </x:c>
      <x:c r="H1657" s="39" t="str">
        <x:v>H11</x:v>
      </x:c>
      <x:c r="I1657" s="39" t="str">
        <x:v>DELEGATE/P2</x:v>
      </x:c>
      <x:c r="J1657" s="39" t="str">
        <x:v>H11</x:v>
      </x:c>
      <x:c r="K1657" s="39" t="str">
        <x:v>تطبیق احتمالی با پایه</x:v>
      </x:c>
      <x:c r="L1657" s="39" t="str">
        <x:v>MI-0815</x:v>
      </x:c>
      <x:c r="M1657" s="39" t="str">
        <x:v>رسانه:</x:v>
      </x:c>
      <x:c r="N1657" s="39" t="str">
        <x:v>1154878548.docx::P4423.1</x:v>
      </x:c>
      <x:c r="O1657" s="39"/>
    </x:row>
    <x:row r="1658">
      <x:c r="A1658" s="34" t="str">
        <x:v>☐</x:v>
      </x:c>
      <x:c r="B1658" s="34" t="str">
        <x:v>EX-1630</x:v>
      </x:c>
      <x:c r="C1658" s="34" t="str">
        <x:v>پارت همدردی</x:v>
      </x:c>
      <x:c r="D1658" s="34" t="str">
        <x:v>POSSIBLE</x:v>
      </x:c>
      <x:c r="E1658" s="34" t="str">
        <x:v>90.0</x:v>
      </x:c>
      <x:c r="F1658" s="34" t="str">
        <x:v>MI-0027</x:v>
      </x:c>
      <x:c r="G1658" s="39" t="str">
        <x:v>پارت همدردی رادیو تب</x:v>
      </x:c>
      <x:c r="H1658" s="39" t="str">
        <x:v>H15</x:v>
      </x:c>
      <x:c r="I1658" s="39" t="str">
        <x:v>P3/CLARIFY</x:v>
      </x:c>
      <x:c r="J1658" s="39" t="str">
        <x:v>H15</x:v>
      </x:c>
      <x:c r="K1658" s="39" t="str">
        <x:v>تطبیق احتمالی با پایه</x:v>
      </x:c>
      <x:c r="L1658" s="39" t="str">
        <x:v>MI-0027</x:v>
      </x:c>
      <x:c r="M1658" s="39" t="str">
        <x:v>پارت همدردی رادیو تب</x:v>
      </x:c>
      <x:c r="N1658" s="39" t="str">
        <x:v>1154878548.docx::P4426.1</x:v>
      </x:c>
      <x:c r="O1658" s="39"/>
    </x:row>
    <x:row r="1659">
      <x:c r="A1659" s="34" t="str">
        <x:v>☐</x:v>
      </x:c>
      <x:c r="B1659" s="34" t="str">
        <x:v>EX-1631</x:v>
      </x:c>
      <x:c r="C1659" s="34" t="str">
        <x:v>سایت شجامث</x:v>
      </x:c>
      <x:c r="D1659" s="34" t="str">
        <x:v>POSSIBLE</x:v>
      </x:c>
      <x:c r="E1659" s="34" t="str">
        <x:v>85.5</x:v>
      </x:c>
      <x:c r="F1659" s="34" t="str">
        <x:v>MI-1532</x:v>
      </x:c>
      <x:c r="G1659" s="39" t="str">
        <x:v>راه اندازی سایت و گروه های اجتماعی</x:v>
      </x:c>
      <x:c r="H1659" s="39" t="str">
        <x:v>H1</x:v>
      </x:c>
      <x:c r="I1659" s="39" t="str">
        <x:v>BANK</x:v>
      </x:c>
      <x:c r="J1659" s="39" t="str">
        <x:v>H1</x:v>
      </x:c>
      <x:c r="K1659" s="39" t="str">
        <x:v>تطبیق احتمالی با پایه</x:v>
      </x:c>
      <x:c r="L1659" s="39" t="str">
        <x:v>MI-1532</x:v>
      </x:c>
      <x:c r="M1659" s="39" t="str">
        <x:v>راه اندازی سایت و گروه های اجتماعی</x:v>
      </x:c>
      <x:c r="N1659" s="39" t="str">
        <x:v>1154878548.docx::P4427.1</x:v>
      </x:c>
      <x:c r="O1659" s="39"/>
    </x:row>
    <x:row r="1660">
      <x:c r="A1660" s="34" t="str">
        <x:v>☐</x:v>
      </x:c>
      <x:c r="B1660" s="34" t="str">
        <x:v>EX-1632</x:v>
      </x:c>
      <x:c r="C1660" s="34" t="str">
        <x:v>تلگرام</x:v>
      </x:c>
      <x:c r="D1660" s="34" t="str">
        <x:v>POSSIBLE</x:v>
      </x:c>
      <x:c r="E1660" s="34" t="str">
        <x:v>90.0</x:v>
      </x:c>
      <x:c r="F1660" s="34" t="str">
        <x:v>MI-0770</x:v>
      </x:c>
      <x:c r="G1660" s="39" t="str">
        <x:v>بات تلگرامی نظر سنجی</x:v>
      </x:c>
      <x:c r="H1660" s="39" t="str">
        <x:v>H11</x:v>
      </x:c>
      <x:c r="I1660" s="39" t="str">
        <x:v>DELEGATE/P2</x:v>
      </x:c>
      <x:c r="J1660" s="39" t="str">
        <x:v>H11</x:v>
      </x:c>
      <x:c r="K1660" s="39" t="str">
        <x:v>تطبیق احتمالی با پایه</x:v>
      </x:c>
      <x:c r="L1660" s="39" t="str">
        <x:v>MI-0770</x:v>
      </x:c>
      <x:c r="M1660" s="39" t="str">
        <x:v>بات تلگرامی نظر سنجی</x:v>
      </x:c>
      <x:c r="N1660" s="39" t="str">
        <x:v>1154878548.docx::P4430.1</x:v>
      </x:c>
      <x:c r="O1660" s="39"/>
    </x:row>
    <x:row r="1661">
      <x:c r="A1661" s="34" t="str">
        <x:v>☐</x:v>
      </x:c>
      <x:c r="B1661" s="34" t="str">
        <x:v>EX-1633</x:v>
      </x:c>
      <x:c r="C1661" s="34" t="str">
        <x:v>ایتا</x:v>
      </x:c>
      <x:c r="D1661" s="34" t="str">
        <x:v>UNMAPPED</x:v>
      </x:c>
      <x:c r="E1661" s="34" t="str">
        <x:v>77.1</x:v>
      </x:c>
      <x:c r="F1661" s="34" t="str">
        <x:v>MI-2013</x:v>
      </x:c>
      <x:c r="G1661" s="39" t="str">
        <x:v>اتاق بازرگانی</x:v>
      </x:c>
      <x:c r="H1661" s="39" t="str">
        <x:v>H8</x:v>
      </x:c>
      <x:c r="I1661" s="39" t="str">
        <x:v>P2</x:v>
      </x:c>
      <x:c r="J1661" s="39" t="str">
        <x:v>H23</x:v>
      </x:c>
      <x:c r="K1661" s="39" t="str">
        <x:v>نیازمند پالایش؛ حذف نشده</x:v>
      </x:c>
      <x:c r="L1661" s="39"/>
      <x:c r="M1661" s="39"/>
      <x:c r="N1661" s="39" t="str">
        <x:v>1154878548.docx::P4431.1</x:v>
      </x:c>
      <x:c r="O1661" s="39"/>
    </x:row>
    <x:row r="1662">
      <x:c r="A1662" s="34" t="str">
        <x:v>☐</x:v>
      </x:c>
      <x:c r="B1662" s="34" t="str">
        <x:v>EX-1634</x:v>
      </x:c>
      <x:c r="C1662" s="34" t="str">
        <x:v>بله</x:v>
      </x:c>
      <x:c r="D1662" s="34" t="str">
        <x:v>UNMAPPED</x:v>
      </x:c>
      <x:c r="E1662" s="34" t="str">
        <x:v>72.0</x:v>
      </x:c>
      <x:c r="F1662" s="34" t="str">
        <x:v>MI-1600</x:v>
      </x:c>
      <x:c r="G1662" s="39" t="str">
        <x:v>• به تیم ها منتور می دهند</x:v>
      </x:c>
      <x:c r="H1662" s="39" t="str">
        <x:v>H10</x:v>
      </x:c>
      <x:c r="I1662" s="39" t="str">
        <x:v>P2</x:v>
      </x:c>
      <x:c r="J1662" s="39" t="str">
        <x:v>H23</x:v>
      </x:c>
      <x:c r="K1662" s="39" t="str">
        <x:v>نیازمند پالایش؛ حذف نشده</x:v>
      </x:c>
      <x:c r="L1662" s="39"/>
      <x:c r="M1662" s="39"/>
      <x:c r="N1662" s="39" t="str">
        <x:v>1154878548.docx::P4432.1 | 1154878548.docx::P7401.1 | 1154878548.docx::T4R4C5.1</x:v>
      </x:c>
      <x:c r="O1662" s="39"/>
    </x:row>
    <x:row r="1663">
      <x:c r="A1663" s="34" t="str">
        <x:v>☐</x:v>
      </x:c>
      <x:c r="B1663" s="34" t="str">
        <x:v>EX-1635</x:v>
      </x:c>
      <x:c r="C1663" s="34" t="str">
        <x:v>روبیکا</x:v>
      </x:c>
      <x:c r="D1663" s="34" t="str">
        <x:v>UNMAPPED</x:v>
      </x:c>
      <x:c r="E1663" s="34" t="str">
        <x:v>72.0</x:v>
      </x:c>
      <x:c r="F1663" s="34" t="str">
        <x:v>MI-0380</x:v>
      </x:c>
      <x:c r="G1663" s="39" t="str">
        <x:v>هفتم اکتبر ایران و آمریکا</x:v>
      </x:c>
      <x:c r="H1663" s="39" t="str">
        <x:v>H18</x:v>
      </x:c>
      <x:c r="I1663" s="39" t="str">
        <x:v>BANK</x:v>
      </x:c>
      <x:c r="J1663" s="39" t="str">
        <x:v>H23</x:v>
      </x:c>
      <x:c r="K1663" s="39" t="str">
        <x:v>نیازمند پالایش؛ حذف نشده</x:v>
      </x:c>
      <x:c r="L1663" s="39"/>
      <x:c r="M1663" s="39"/>
      <x:c r="N1663" s="39" t="str">
        <x:v>1154878548.docx::P4433.1</x:v>
      </x:c>
      <x:c r="O1663" s="39"/>
    </x:row>
    <x:row r="1664">
      <x:c r="A1664" s="34" t="str">
        <x:v>☐</x:v>
      </x:c>
      <x:c r="B1664" s="34" t="str">
        <x:v>EX-1636</x:v>
      </x:c>
      <x:c r="C1664" s="34" t="str">
        <x:v>🛡️ 15. راهبردی، نظامی و سیاسی</x:v>
      </x:c>
      <x:c r="D1664" s="34" t="str">
        <x:v>POSSIBLE</x:v>
      </x:c>
      <x:c r="E1664" s="34" t="str">
        <x:v>90.0</x:v>
      </x:c>
      <x:c r="F1664" s="34" t="str">
        <x:v>MI-0105</x:v>
      </x:c>
      <x:c r="G1664" s="39" t="str">
        <x:v>راهبر</x:v>
      </x:c>
      <x:c r="H1664" s="39" t="str">
        <x:v>H6</x:v>
      </x:c>
      <x:c r="I1664" s="39" t="str">
        <x:v>P3/CLARIFY</x:v>
      </x:c>
      <x:c r="J1664" s="39" t="str">
        <x:v>H6</x:v>
      </x:c>
      <x:c r="K1664" s="39" t="str">
        <x:v>تطبیق احتمالی با پایه</x:v>
      </x:c>
      <x:c r="L1664" s="39" t="str">
        <x:v>MI-0105</x:v>
      </x:c>
      <x:c r="M1664" s="39" t="str">
        <x:v>راهبر</x:v>
      </x:c>
      <x:c r="N1664" s="39" t="str">
        <x:v>1154878548.docx::P4434.1</x:v>
      </x:c>
      <x:c r="O1664" s="39"/>
    </x:row>
    <x:row r="1665">
      <x:c r="A1665" s="34" t="str">
        <x:v>☐</x:v>
      </x:c>
      <x:c r="B1665" s="34" t="str">
        <x:v>EX-1637</x:v>
      </x:c>
      <x:c r="C1665" s="34" t="str">
        <x:v>استراتژیهای جنگی</x:v>
      </x:c>
      <x:c r="D1665" s="34" t="str">
        <x:v>POSSIBLE</x:v>
      </x:c>
      <x:c r="E1665" s="34" t="str">
        <x:v>85.5</x:v>
      </x:c>
      <x:c r="F1665" s="34" t="str">
        <x:v>MI-0030</x:v>
      </x:c>
      <x:c r="G1665" s="39" t="str">
        <x:v>جمع آوری استراتژی های جنگی</x:v>
      </x:c>
      <x:c r="H1665" s="39" t="str">
        <x:v>H23</x:v>
      </x:c>
      <x:c r="I1665" s="39" t="str">
        <x:v>P3/CLARIFY</x:v>
      </x:c>
      <x:c r="J1665" s="39" t="str">
        <x:v>H23</x:v>
      </x:c>
      <x:c r="K1665" s="39" t="str">
        <x:v>تطبیق احتمالی با پایه</x:v>
      </x:c>
      <x:c r="L1665" s="39" t="str">
        <x:v>MI-0030</x:v>
      </x:c>
      <x:c r="M1665" s="39" t="str">
        <x:v>جمع آوری استراتژی های جنگی</x:v>
      </x:c>
      <x:c r="N1665" s="39" t="str">
        <x:v>1154878548.docx::P4435.1</x:v>
      </x:c>
      <x:c r="O1665" s="39"/>
    </x:row>
    <x:row r="1666">
      <x:c r="A1666" s="34" t="str">
        <x:v>☐</x:v>
      </x:c>
      <x:c r="B1666" s="34" t="str">
        <x:v>EX-1638</x:v>
      </x:c>
      <x:c r="C1666" s="34" t="str">
        <x:v>جامعهشناسی سیاسی</x:v>
      </x:c>
      <x:c r="D1666" s="34" t="str">
        <x:v>POSSIBLE</x:v>
      </x:c>
      <x:c r="E1666" s="34" t="str">
        <x:v>85.5</x:v>
      </x:c>
      <x:c r="F1666" s="34" t="str">
        <x:v>MI-0257</x:v>
      </x:c>
      <x:c r="G1666" s="39" t="str">
        <x:v>جهاد تبیین سیاسی و اقتصادی و فرهنگی</x:v>
      </x:c>
      <x:c r="H1666" s="39" t="str">
        <x:v>H16</x:v>
      </x:c>
      <x:c r="I1666" s="39" t="str">
        <x:v>P3/CLARIFY</x:v>
      </x:c>
      <x:c r="J1666" s="39" t="str">
        <x:v>H16</x:v>
      </x:c>
      <x:c r="K1666" s="39" t="str">
        <x:v>تطبیق احتمالی با پایه</x:v>
      </x:c>
      <x:c r="L1666" s="39" t="str">
        <x:v>MI-0257</x:v>
      </x:c>
      <x:c r="M1666" s="39" t="str">
        <x:v>جهاد تبیین سیاسی و اقتصادی و فرهنگی</x:v>
      </x:c>
      <x:c r="N1666" s="39" t="str">
        <x:v>1154878548.docx::P4436.1</x:v>
      </x:c>
      <x:c r="O1666" s="39"/>
    </x:row>
    <x:row r="1667">
      <x:c r="A1667" s="34" t="str">
        <x:v>☐</x:v>
      </x:c>
      <x:c r="B1667" s="34" t="str">
        <x:v>EX-1639</x:v>
      </x:c>
      <x:c r="C1667" s="34" t="str">
        <x:v>جامعهشناسی فرهنگی</x:v>
      </x:c>
      <x:c r="D1667" s="34" t="str">
        <x:v>POSSIBLE</x:v>
      </x:c>
      <x:c r="E1667" s="34" t="str">
        <x:v>90.0</x:v>
      </x:c>
      <x:c r="F1667" s="34" t="str">
        <x:v>MI-0289</x:v>
      </x:c>
      <x:c r="G1667" s="39" t="str">
        <x:v>فرهنگی</x:v>
      </x:c>
      <x:c r="H1667" s="39" t="str">
        <x:v>H15</x:v>
      </x:c>
      <x:c r="I1667" s="39" t="str">
        <x:v>P3/CLARIFY</x:v>
      </x:c>
      <x:c r="J1667" s="39" t="str">
        <x:v>H15</x:v>
      </x:c>
      <x:c r="K1667" s="39" t="str">
        <x:v>تطبیق احتمالی با پایه</x:v>
      </x:c>
      <x:c r="L1667" s="39" t="str">
        <x:v>MI-0289</x:v>
      </x:c>
      <x:c r="M1667" s="39" t="str">
        <x:v>فرهنگی</x:v>
      </x:c>
      <x:c r="N1667" s="39" t="str">
        <x:v>1154878548.docx::P4437.1</x:v>
      </x:c>
      <x:c r="O1667" s="39"/>
    </x:row>
    <x:row r="1668">
      <x:c r="A1668" s="34" t="str">
        <x:v>☐</x:v>
      </x:c>
      <x:c r="B1668" s="34" t="str">
        <x:v>EX-1640</x:v>
      </x:c>
      <x:c r="C1668" s="34" t="str">
        <x:v>📜 16. مدارک و مجوزهای متفرقه</x:v>
      </x:c>
      <x:c r="D1668" s="34" t="str">
        <x:v>POSSIBLE</x:v>
      </x:c>
      <x:c r="E1668" s="34" t="str">
        <x:v>85.5</x:v>
      </x:c>
      <x:c r="F1668" s="34" t="str">
        <x:v>MI-1513</x:v>
      </x:c>
      <x:c r="G1668" s="39" t="str">
        <x:v>تولید و کارآفرینی: توانایی تولید محصول و خدمات و ایجاد شغل.</x:v>
      </x:c>
      <x:c r="H1668" s="39" t="str">
        <x:v>H1</x:v>
      </x:c>
      <x:c r="I1668" s="39" t="str">
        <x:v>P0</x:v>
      </x:c>
      <x:c r="J1668" s="39" t="str">
        <x:v>H1</x:v>
      </x:c>
      <x:c r="K1668" s="39" t="str">
        <x:v>تطبیق احتمالی با پایه</x:v>
      </x:c>
      <x:c r="L1668" s="39" t="str">
        <x:v>MI-1513</x:v>
      </x:c>
      <x:c r="M1668" s="39" t="str">
        <x:v>تولید و کارآفرینی: توانایی تولید محصول و خدمات و ایجاد شغل.</x:v>
      </x:c>
      <x:c r="N1668" s="39" t="str">
        <x:v>1154878548.docx::P4440.1</x:v>
      </x:c>
      <x:c r="O1668" s="39"/>
    </x:row>
    <x:row r="1669">
      <x:c r="A1669" s="34" t="str">
        <x:v>☐</x:v>
      </x:c>
      <x:c r="B1669" s="34" t="str">
        <x:v>EX-1641</x:v>
      </x:c>
      <x:c r="C1669" s="34" t="str">
        <x:v>گواهینامه پایه یک</x:v>
      </x:c>
      <x:c r="D1669" s="34" t="str">
        <x:v>POSSIBLE</x:v>
      </x:c>
      <x:c r="E1669" s="34" t="str">
        <x:v>85.8</x:v>
      </x:c>
      <x:c r="F1669" s="34" t="str">
        <x:v>MI-0050</x:v>
      </x:c>
      <x:c r="G1669" s="39" t="str">
        <x:v>گرفتن گواهینامه پایه 1</x:v>
      </x:c>
      <x:c r="H1669" s="39" t="str">
        <x:v>H1</x:v>
      </x:c>
      <x:c r="I1669" s="39" t="str">
        <x:v>P0</x:v>
      </x:c>
      <x:c r="J1669" s="39" t="str">
        <x:v>H1</x:v>
      </x:c>
      <x:c r="K1669" s="39" t="str">
        <x:v>تطبیق احتمالی با پایه</x:v>
      </x:c>
      <x:c r="L1669" s="39" t="str">
        <x:v>MI-0050</x:v>
      </x:c>
      <x:c r="M1669" s="39" t="str">
        <x:v>گرفتن گواهینامه پایه 1</x:v>
      </x:c>
      <x:c r="N1669" s="39" t="str">
        <x:v>1154878548.docx::P4441.1</x:v>
      </x:c>
      <x:c r="O1669" s="39"/>
    </x:row>
    <x:row r="1670">
      <x:c r="A1670" s="34" t="str">
        <x:v>☐</x:v>
      </x:c>
      <x:c r="B1670" s="34" t="str">
        <x:v>EX-1642</x:v>
      </x:c>
      <x:c r="C1670" s="34" t="str">
        <x:v>تزریقات</x:v>
      </x:c>
      <x:c r="D1670" s="34" t="str">
        <x:v>POSSIBLE</x:v>
      </x:c>
      <x:c r="E1670" s="34" t="str">
        <x:v>90.0</x:v>
      </x:c>
      <x:c r="F1670" s="34" t="str">
        <x:v>MI-0054</x:v>
      </x:c>
      <x:c r="G1670" s="39" t="str">
        <x:v>گرفتن مدرک تزریقات</x:v>
      </x:c>
      <x:c r="H1670" s="39" t="str">
        <x:v>H2</x:v>
      </x:c>
      <x:c r="I1670" s="39" t="str">
        <x:v>P3/CLARIFY</x:v>
      </x:c>
      <x:c r="J1670" s="39" t="str">
        <x:v>H2</x:v>
      </x:c>
      <x:c r="K1670" s="39" t="str">
        <x:v>تطبیق احتمالی با پایه</x:v>
      </x:c>
      <x:c r="L1670" s="39" t="str">
        <x:v>MI-0054</x:v>
      </x:c>
      <x:c r="M1670" s="39" t="str">
        <x:v>گرفتن مدرک تزریقات</x:v>
      </x:c>
      <x:c r="N1670" s="39" t="str">
        <x:v>1154878548.docx::P4442.1</x:v>
      </x:c>
      <x:c r="O1670" s="39"/>
    </x:row>
    <x:row r="1671">
      <x:c r="A1671" s="34" t="str">
        <x:v>☐</x:v>
      </x:c>
      <x:c r="B1671" s="34" t="str">
        <x:v>EX-1643</x:v>
      </x:c>
      <x:c r="C1671" s="34" t="str">
        <x:v>تکنسین داروخانه</x:v>
      </x:c>
      <x:c r="D1671" s="34" t="str">
        <x:v>POSSIBLE</x:v>
      </x:c>
      <x:c r="E1671" s="34" t="str">
        <x:v>90.0</x:v>
      </x:c>
      <x:c r="F1671" s="34" t="str">
        <x:v>MI-0055</x:v>
      </x:c>
      <x:c r="G1671" s="39" t="str">
        <x:v>گرفتن مدرک تکنسین داروخانه</x:v>
      </x:c>
      <x:c r="H1671" s="39" t="str">
        <x:v>H1</x:v>
      </x:c>
      <x:c r="I1671" s="39" t="str">
        <x:v>P0</x:v>
      </x:c>
      <x:c r="J1671" s="39" t="str">
        <x:v>H1</x:v>
      </x:c>
      <x:c r="K1671" s="39" t="str">
        <x:v>تطبیق احتمالی با پایه</x:v>
      </x:c>
      <x:c r="L1671" s="39" t="str">
        <x:v>MI-0055</x:v>
      </x:c>
      <x:c r="M1671" s="39" t="str">
        <x:v>گرفتن مدرک تکنسین داروخانه</x:v>
      </x:c>
      <x:c r="N1671" s="39" t="str">
        <x:v>1154878548.docx::P4443.1</x:v>
      </x:c>
      <x:c r="O1671" s="39"/>
    </x:row>
    <x:row r="1672">
      <x:c r="A1672" s="34" t="str">
        <x:v>☐</x:v>
      </x:c>
      <x:c r="B1672" s="34" t="str">
        <x:v>EX-1644</x:v>
      </x:c>
      <x:c r="C1672" s="34" t="str">
        <x:v>قوانین و مقررات</x:v>
      </x:c>
      <x:c r="D1672" s="34" t="str">
        <x:v>POSSIBLE</x:v>
      </x:c>
      <x:c r="E1672" s="34" t="str">
        <x:v>90.0</x:v>
      </x:c>
      <x:c r="F1672" s="34" t="str">
        <x:v>MI-1525</x:v>
      </x:c>
      <x:c r="G1672" s="39" t="str">
        <x:v>آشنایی با قوانین و مقررات: قوانین مدنی، کیفری، تجاری، کار، مالیاتی.</x:v>
      </x:c>
      <x:c r="H1672" s="39" t="str">
        <x:v>H1</x:v>
      </x:c>
      <x:c r="I1672" s="39" t="str">
        <x:v>P0</x:v>
      </x:c>
      <x:c r="J1672" s="39" t="str">
        <x:v>H1</x:v>
      </x:c>
      <x:c r="K1672" s="39" t="str">
        <x:v>تطبیق احتمالی با پایه</x:v>
      </x:c>
      <x:c r="L1672" s="39" t="str">
        <x:v>MI-1525</x:v>
      </x:c>
      <x:c r="M1672" s="39" t="str">
        <x:v>آشنایی با قوانین و مقررات: قوانین مدنی، کیفری، تجاری، کار، مالیاتی.</x:v>
      </x:c>
      <x:c r="N1672" s="39" t="str">
        <x:v>1154878548.docx::P4444.1</x:v>
      </x:c>
      <x:c r="O1672" s="39"/>
    </x:row>
    <x:row r="1673">
      <x:c r="A1673" s="34" t="str">
        <x:v>☐</x:v>
      </x:c>
      <x:c r="B1673" s="34" t="str">
        <x:v>EX-1645</x:v>
      </x:c>
      <x:c r="C1673" s="34" t="str">
        <x:v>👥 17. زندگی شخصی و اجتماعی</x:v>
      </x:c>
      <x:c r="D1673" s="34" t="str">
        <x:v>POSSIBLE</x:v>
      </x:c>
      <x:c r="E1673" s="34" t="str">
        <x:v>90.0</x:v>
      </x:c>
      <x:c r="F1673" s="34" t="str">
        <x:v>MI-0288</x:v>
      </x:c>
      <x:c r="G1673" s="39" t="str">
        <x:v>اجتماعی</x:v>
      </x:c>
      <x:c r="H1673" s="39" t="str">
        <x:v>H15</x:v>
      </x:c>
      <x:c r="I1673" s="39" t="str">
        <x:v>P3/CLARIFY</x:v>
      </x:c>
      <x:c r="J1673" s="39" t="str">
        <x:v>H15</x:v>
      </x:c>
      <x:c r="K1673" s="39" t="str">
        <x:v>تطبیق احتمالی با پایه</x:v>
      </x:c>
      <x:c r="L1673" s="39" t="str">
        <x:v>MI-0288</x:v>
      </x:c>
      <x:c r="M1673" s="39" t="str">
        <x:v>اجتماعی</x:v>
      </x:c>
      <x:c r="N1673" s="39" t="str">
        <x:v>1154878548.docx::P4445.1</x:v>
      </x:c>
      <x:c r="O1673" s="39"/>
    </x:row>
    <x:row r="1674">
      <x:c r="A1674" s="34" t="str">
        <x:v>☐</x:v>
      </x:c>
      <x:c r="B1674" s="34" t="str">
        <x:v>EX-1646</x:v>
      </x:c>
      <x:c r="C1674" s="34" t="str">
        <x:v>مدیریت روابط دوستانه</x:v>
      </x:c>
      <x:c r="D1674" s="34" t="str">
        <x:v>POSSIBLE</x:v>
      </x:c>
      <x:c r="E1674" s="34" t="str">
        <x:v>85.5</x:v>
      </x:c>
      <x:c r="F1674" s="34" t="str">
        <x:v>MI-1501</x:v>
      </x:c>
      <x:c r="G1674" s="39" t="str">
        <x:v>مدیریت ریسک: شناسایی ریسک ها، ارزیابی اثرات، تدوین برنامه های مقابله با ریسک ها.</x:v>
      </x:c>
      <x:c r="H1674" s="39" t="str">
        <x:v>H1</x:v>
      </x:c>
      <x:c r="I1674" s="39" t="str">
        <x:v>P0</x:v>
      </x:c>
      <x:c r="J1674" s="39" t="str">
        <x:v>H1</x:v>
      </x:c>
      <x:c r="K1674" s="39" t="str">
        <x:v>تطبیق احتمالی با پایه</x:v>
      </x:c>
      <x:c r="L1674" s="39" t="str">
        <x:v>MI-1501</x:v>
      </x:c>
      <x:c r="M1674" s="39" t="str">
        <x:v>مدیریت ریسک: شناسایی ریسک ها، ارزیابی اثرات، تدوین برنامه های مقابله با ریسک ها.</x:v>
      </x:c>
      <x:c r="N1674" s="39" t="str">
        <x:v>1154878548.docx::P4446.1</x:v>
      </x:c>
      <x:c r="O1674" s="39"/>
    </x:row>
    <x:row r="1675">
      <x:c r="A1675" s="34" t="str">
        <x:v>☐</x:v>
      </x:c>
      <x:c r="B1675" s="34" t="str">
        <x:v>EX-1647</x:v>
      </x:c>
      <x:c r="C1675" s="34" t="str">
        <x:v>قرارهای اجتماعی</x:v>
      </x:c>
      <x:c r="D1675" s="34" t="str">
        <x:v>POSSIBLE</x:v>
      </x:c>
      <x:c r="E1675" s="34" t="str">
        <x:v>90.0</x:v>
      </x:c>
      <x:c r="F1675" s="34" t="str">
        <x:v>MI-0288</x:v>
      </x:c>
      <x:c r="G1675" s="39" t="str">
        <x:v>اجتماعی</x:v>
      </x:c>
      <x:c r="H1675" s="39" t="str">
        <x:v>H15</x:v>
      </x:c>
      <x:c r="I1675" s="39" t="str">
        <x:v>P3/CLARIFY</x:v>
      </x:c>
      <x:c r="J1675" s="39" t="str">
        <x:v>H15</x:v>
      </x:c>
      <x:c r="K1675" s="39" t="str">
        <x:v>تطبیق احتمالی با پایه</x:v>
      </x:c>
      <x:c r="L1675" s="39" t="str">
        <x:v>MI-0288</x:v>
      </x:c>
      <x:c r="M1675" s="39" t="str">
        <x:v>اجتماعی</x:v>
      </x:c>
      <x:c r="N1675" s="39" t="str">
        <x:v>1154878548.docx::P4447.1</x:v>
      </x:c>
      <x:c r="O1675" s="39"/>
    </x:row>
    <x:row r="1676">
      <x:c r="A1676" s="34" t="str">
        <x:v>☐</x:v>
      </x:c>
      <x:c r="B1676" s="34" t="str">
        <x:v>EX-1648</x:v>
      </x:c>
      <x:c r="C1676" s="34" t="str">
        <x:v>بهینهسازی ابزارهای شخصی (مثل ایرپاد مناسب)</x:v>
      </x:c>
      <x:c r="D1676" s="34" t="str">
        <x:v>POSSIBLE</x:v>
      </x:c>
      <x:c r="E1676" s="34" t="str">
        <x:v>90.0</x:v>
      </x:c>
      <x:c r="F1676" s="34" t="str">
        <x:v>MI-2970</x:v>
      </x:c>
      <x:c r="G1676" s="39" t="str">
        <x:v>ابزارها:</x:v>
      </x:c>
      <x:c r="H1676" s="39" t="str">
        <x:v>H20</x:v>
      </x:c>
      <x:c r="I1676" s="39" t="str">
        <x:v>P3/CLARIFY</x:v>
      </x:c>
      <x:c r="J1676" s="39" t="str">
        <x:v>H20</x:v>
      </x:c>
      <x:c r="K1676" s="39" t="str">
        <x:v>تطبیق احتمالی با پایه</x:v>
      </x:c>
      <x:c r="L1676" s="39" t="str">
        <x:v>MI-2970</x:v>
      </x:c>
      <x:c r="M1676" s="39" t="str">
        <x:v>ابزارها:</x:v>
      </x:c>
      <x:c r="N1676" s="39" t="str">
        <x:v>1154878548.docx::P4448.1</x:v>
      </x:c>
      <x:c r="O1676" s="39"/>
    </x:row>
    <x:row r="1677">
      <x:c r="A1677" s="34" t="str">
        <x:v>☐</x:v>
      </x:c>
      <x:c r="B1677" s="34" t="str">
        <x:v>EX-1649</x:v>
      </x:c>
      <x:c r="C1677" s="34" t="str">
        <x:v>هدف مسابقه</x:v>
      </x:c>
      <x:c r="D1677" s="34" t="str">
        <x:v>POSSIBLE</x:v>
      </x:c>
      <x:c r="E1677" s="34" t="str">
        <x:v>90.0</x:v>
      </x:c>
      <x:c r="F1677" s="34" t="str">
        <x:v>MI-2557</x:v>
      </x:c>
      <x:c r="G1677" s="39" t="str">
        <x:v>هدف:</x:v>
      </x:c>
      <x:c r="H1677" s="39" t="str">
        <x:v>H20</x:v>
      </x:c>
      <x:c r="I1677" s="39" t="str">
        <x:v>P3/CLARIFY</x:v>
      </x:c>
      <x:c r="J1677" s="39" t="str">
        <x:v>H20</x:v>
      </x:c>
      <x:c r="K1677" s="39" t="str">
        <x:v>تطبیق احتمالی با پایه</x:v>
      </x:c>
      <x:c r="L1677" s="39" t="str">
        <x:v>MI-2557</x:v>
      </x:c>
      <x:c r="M1677" s="39" t="str">
        <x:v>هدف:</x:v>
      </x:c>
      <x:c r="N1677" s="39" t="str">
        <x:v>1154878548.docx::P4467.1</x:v>
      </x:c>
      <x:c r="O1677" s="39"/>
    </x:row>
    <x:row r="1678">
      <x:c r="A1678" s="34" t="str">
        <x:v>☐</x:v>
      </x:c>
      <x:c r="B1678" s="34" t="str">
        <x:v>EX-1650</x:v>
      </x:c>
      <x:c r="C1678" s="34" t="str">
        <x:v>طرح توسعه</x:v>
      </x:c>
      <x:c r="D1678" s="34" t="str">
        <x:v>POSSIBLE</x:v>
      </x:c>
      <x:c r="E1678" s="34" t="str">
        <x:v>85.5</x:v>
      </x:c>
      <x:c r="F1678" s="34" t="str">
        <x:v>MI-3147</x:v>
      </x:c>
      <x:c r="G1678" s="39" t="str">
        <x:v>ارزش 7: مهارت و توسعه فردی</x:v>
      </x:c>
      <x:c r="H1678" s="39" t="str">
        <x:v>H1</x:v>
      </x:c>
      <x:c r="I1678" s="39" t="str">
        <x:v>P0</x:v>
      </x:c>
      <x:c r="J1678" s="39" t="str">
        <x:v>H1</x:v>
      </x:c>
      <x:c r="K1678" s="39" t="str">
        <x:v>تطبیق احتمالی با پایه</x:v>
      </x:c>
      <x:c r="L1678" s="39" t="str">
        <x:v>MI-3147</x:v>
      </x:c>
      <x:c r="M1678" s="39" t="str">
        <x:v>ارزش 7: مهارت و توسعه فردی</x:v>
      </x:c>
      <x:c r="N1678" s="39" t="str">
        <x:v>1154878548.docx::P4468.1</x:v>
      </x:c>
      <x:c r="O1678" s="39"/>
    </x:row>
    <x:row r="1679">
      <x:c r="A1679" s="34" t="str">
        <x:v>☐</x:v>
      </x:c>
      <x:c r="B1679" s="34" t="str">
        <x:v>EX-1651</x:v>
      </x:c>
      <x:c r="C1679" s="34" t="str">
        <x:v>نهاد رسمی</x:v>
      </x:c>
      <x:c r="D1679" s="34" t="str">
        <x:v>POSSIBLE</x:v>
      </x:c>
      <x:c r="E1679" s="34" t="str">
        <x:v>90.0</x:v>
      </x:c>
      <x:c r="F1679" s="34" t="str">
        <x:v>MI-1099</x:v>
      </x:c>
      <x:c r="G1679" s="39" t="str">
        <x:v>نهاد</x:v>
      </x:c>
      <x:c r="H1679" s="39" t="str">
        <x:v>H23</x:v>
      </x:c>
      <x:c r="I1679" s="39" t="str">
        <x:v>P3/CLARIFY</x:v>
      </x:c>
      <x:c r="J1679" s="39" t="str">
        <x:v>H23</x:v>
      </x:c>
      <x:c r="K1679" s="39" t="str">
        <x:v>تطبیق احتمالی با پایه</x:v>
      </x:c>
      <x:c r="L1679" s="39" t="str">
        <x:v>MI-1099</x:v>
      </x:c>
      <x:c r="M1679" s="39" t="str">
        <x:v>نهاد</x:v>
      </x:c>
      <x:c r="N1679" s="39" t="str">
        <x:v>1154878548.docx::P4469.1</x:v>
      </x:c>
      <x:c r="O1679" s="39"/>
    </x:row>
    <x:row r="1680">
      <x:c r="A1680" s="34" t="str">
        <x:v>☐</x:v>
      </x:c>
      <x:c r="B1680" s="34" t="str">
        <x:v>EX-1652</x:v>
      </x:c>
      <x:c r="C1680" s="34" t="str">
        <x:v>واحد تامین</x:v>
      </x:c>
      <x:c r="D1680" s="34" t="str">
        <x:v>POSSIBLE</x:v>
      </x:c>
      <x:c r="E1680" s="34" t="str">
        <x:v>85.5</x:v>
      </x:c>
      <x:c r="F1680" s="34" t="str">
        <x:v>MI-2911</x:v>
      </x:c>
      <x:c r="G1680" s="39" t="str">
        <x:v>واحد تیم سازی و نوآوری</x:v>
      </x:c>
      <x:c r="H1680" s="39" t="str">
        <x:v>H4</x:v>
      </x:c>
      <x:c r="I1680" s="39" t="str">
        <x:v>P1</x:v>
      </x:c>
      <x:c r="J1680" s="39" t="str">
        <x:v>H4</x:v>
      </x:c>
      <x:c r="K1680" s="39" t="str">
        <x:v>تطبیق احتمالی با پایه</x:v>
      </x:c>
      <x:c r="L1680" s="39" t="str">
        <x:v>MI-2911</x:v>
      </x:c>
      <x:c r="M1680" s="39" t="str">
        <x:v>واحد تیم سازی و نوآوری</x:v>
      </x:c>
      <x:c r="N1680" s="39" t="str">
        <x:v>1154878548.docx::P4470.1</x:v>
      </x:c>
      <x:c r="O1680" s="39"/>
    </x:row>
    <x:row r="1681">
      <x:c r="A1681" s="34" t="str">
        <x:v>☐</x:v>
      </x:c>
      <x:c r="B1681" s="34" t="str">
        <x:v>EX-1653</x:v>
      </x:c>
      <x:c r="C1681" s="34" t="str">
        <x:v>تامین مواد اولیه ساخت</x:v>
      </x:c>
      <x:c r="D1681" s="34" t="str">
        <x:v>POSSIBLE</x:v>
      </x:c>
      <x:c r="E1681" s="34" t="str">
        <x:v>85.5</x:v>
      </x:c>
      <x:c r="F1681" s="34" t="str">
        <x:v>MI-1802</x:v>
      </x:c>
      <x:c r="G1681" s="39" t="str">
        <x:v>4. مراکز ساخت و اجرا (Builder Ecosystem)</x:v>
      </x:c>
      <x:c r="H1681" s="39" t="str">
        <x:v>H6</x:v>
      </x:c>
      <x:c r="I1681" s="39" t="str">
        <x:v>P3/CLARIFY</x:v>
      </x:c>
      <x:c r="J1681" s="39" t="str">
        <x:v>H6</x:v>
      </x:c>
      <x:c r="K1681" s="39" t="str">
        <x:v>تطبیق احتمالی با پایه</x:v>
      </x:c>
      <x:c r="L1681" s="39" t="str">
        <x:v>MI-1802</x:v>
      </x:c>
      <x:c r="M1681" s="39" t="str">
        <x:v>4. مراکز ساخت و اجرا (Builder Ecosystem)</x:v>
      </x:c>
      <x:c r="N1681" s="39" t="str">
        <x:v>1154878548.docx::P4471.1</x:v>
      </x:c>
      <x:c r="O1681" s="39"/>
    </x:row>
    <x:row r="1682">
      <x:c r="A1682" s="34" t="str">
        <x:v>☐</x:v>
      </x:c>
      <x:c r="B1682" s="34" t="str">
        <x:v>EX-1654</x:v>
      </x:c>
      <x:c r="C1682" s="34" t="str">
        <x:v>تامین نیرو انسانی</x:v>
      </x:c>
      <x:c r="D1682" s="34" t="str">
        <x:v>POSSIBLE</x:v>
      </x:c>
      <x:c r="E1682" s="34" t="str">
        <x:v>90.0</x:v>
      </x:c>
      <x:c r="F1682" s="34" t="str">
        <x:v>MI-0644</x:v>
      </x:c>
      <x:c r="G1682" s="39" t="str">
        <x:v>نیرو انسانی</x:v>
      </x:c>
      <x:c r="H1682" s="39" t="str">
        <x:v>H11</x:v>
      </x:c>
      <x:c r="I1682" s="39" t="str">
        <x:v>DELEGATE/P2</x:v>
      </x:c>
      <x:c r="J1682" s="39" t="str">
        <x:v>H11</x:v>
      </x:c>
      <x:c r="K1682" s="39" t="str">
        <x:v>تطبیق احتمالی با پایه</x:v>
      </x:c>
      <x:c r="L1682" s="39" t="str">
        <x:v>MI-0644</x:v>
      </x:c>
      <x:c r="M1682" s="39" t="str">
        <x:v>نیرو انسانی</x:v>
      </x:c>
      <x:c r="N1682" s="39" t="str">
        <x:v>1154878548.docx::P4472.1</x:v>
      </x:c>
      <x:c r="O1682" s="39"/>
    </x:row>
    <x:row r="1683">
      <x:c r="A1683" s="34" t="str">
        <x:v>☐</x:v>
      </x:c>
      <x:c r="B1683" s="34" t="str">
        <x:v>EX-1655</x:v>
      </x:c>
      <x:c r="C1683" s="34" t="str">
        <x:v>تعداد نفرات</x:v>
      </x:c>
      <x:c r="D1683" s="34" t="str">
        <x:v>POSSIBLE</x:v>
      </x:c>
      <x:c r="E1683" s="34" t="str">
        <x:v>85.5</x:v>
      </x:c>
      <x:c r="F1683" s="34" t="str">
        <x:v>MI-3004</x:v>
      </x:c>
      <x:c r="G1683" s="39" t="str">
        <x:v>تعداد شغل ایجاد شده</x:v>
      </x:c>
      <x:c r="H1683" s="39" t="str">
        <x:v>H3</x:v>
      </x:c>
      <x:c r="I1683" s="39" t="str">
        <x:v>P3/CLARIFY</x:v>
      </x:c>
      <x:c r="J1683" s="39" t="str">
        <x:v>H3</x:v>
      </x:c>
      <x:c r="K1683" s="39" t="str">
        <x:v>تطبیق احتمالی با پایه</x:v>
      </x:c>
      <x:c r="L1683" s="39" t="str">
        <x:v>MI-3004</x:v>
      </x:c>
      <x:c r="M1683" s="39" t="str">
        <x:v>تعداد شغل ایجاد شده</x:v>
      </x:c>
      <x:c r="N1683" s="39" t="str">
        <x:v>1154878548.docx::P4473.1</x:v>
      </x:c>
      <x:c r="O1683" s="39"/>
    </x:row>
    <x:row r="1684">
      <x:c r="A1684" s="34" t="str">
        <x:v>☐</x:v>
      </x:c>
      <x:c r="B1684" s="34" t="str">
        <x:v>EX-1656</x:v>
      </x:c>
      <x:c r="C1684" s="34" t="str">
        <x:v>تقسیم کار و مسئولیت</x:v>
      </x:c>
      <x:c r="D1684" s="34" t="str">
        <x:v>POSSIBLE</x:v>
      </x:c>
      <x:c r="E1684" s="34" t="str">
        <x:v>90.0</x:v>
      </x:c>
      <x:c r="F1684" s="34" t="str">
        <x:v>MI-2545</x:v>
      </x:c>
      <x:c r="G1684" s="39" t="str">
        <x:v>کار:</x:v>
      </x:c>
      <x:c r="H1684" s="39" t="str">
        <x:v>H20</x:v>
      </x:c>
      <x:c r="I1684" s="39" t="str">
        <x:v>P3/CLARIFY</x:v>
      </x:c>
      <x:c r="J1684" s="39" t="str">
        <x:v>H20</x:v>
      </x:c>
      <x:c r="K1684" s="39" t="str">
        <x:v>تطبیق احتمالی با پایه</x:v>
      </x:c>
      <x:c r="L1684" s="39" t="str">
        <x:v>MI-2545</x:v>
      </x:c>
      <x:c r="M1684" s="39" t="str">
        <x:v>کار:</x:v>
      </x:c>
      <x:c r="N1684" s="39" t="str">
        <x:v>1154878548.docx::P4474.1</x:v>
      </x:c>
      <x:c r="O1684" s="39"/>
    </x:row>
    <x:row r="1685">
      <x:c r="A1685" s="34" t="str">
        <x:v>☐</x:v>
      </x:c>
      <x:c r="B1685" s="34" t="str">
        <x:v>EX-1657</x:v>
      </x:c>
      <x:c r="C1685" s="34" t="str">
        <x:v>تعهد و دریافت ای دی کارت</x:v>
      </x:c>
      <x:c r="D1685" s="34" t="str">
        <x:v>POSSIBLE</x:v>
      </x:c>
      <x:c r="E1685" s="34" t="str">
        <x:v>90.0</x:v>
      </x:c>
      <x:c r="F1685" s="34" t="str">
        <x:v>MI-2545</x:v>
      </x:c>
      <x:c r="G1685" s="39" t="str">
        <x:v>کار:</x:v>
      </x:c>
      <x:c r="H1685" s="39" t="str">
        <x:v>H20</x:v>
      </x:c>
      <x:c r="I1685" s="39" t="str">
        <x:v>P3/CLARIFY</x:v>
      </x:c>
      <x:c r="J1685" s="39" t="str">
        <x:v>H20</x:v>
      </x:c>
      <x:c r="K1685" s="39" t="str">
        <x:v>تطبیق احتمالی با پایه</x:v>
      </x:c>
      <x:c r="L1685" s="39" t="str">
        <x:v>MI-2545</x:v>
      </x:c>
      <x:c r="M1685" s="39" t="str">
        <x:v>کار:</x:v>
      </x:c>
      <x:c r="N1685" s="39" t="str">
        <x:v>1154878548.docx::P4475.1</x:v>
      </x:c>
      <x:c r="O1685" s="39"/>
    </x:row>
    <x:row r="1686">
      <x:c r="A1686" s="34" t="str">
        <x:v>☐</x:v>
      </x:c>
      <x:c r="B1686" s="34" t="str">
        <x:v>EX-1658</x:v>
      </x:c>
      <x:c r="C1686" s="34" t="str">
        <x:v>روش جذب و امتیاز و حقوق و مزایا</x:v>
      </x:c>
      <x:c r="D1686" s="34" t="str">
        <x:v>POSSIBLE</x:v>
      </x:c>
      <x:c r="E1686" s="34" t="str">
        <x:v>85.5</x:v>
      </x:c>
      <x:c r="F1686" s="34" t="str">
        <x:v>MI-1513</x:v>
      </x:c>
      <x:c r="G1686" s="39" t="str">
        <x:v>تولید و کارآفرینی: توانایی تولید محصول و خدمات و ایجاد شغل.</x:v>
      </x:c>
      <x:c r="H1686" s="39" t="str">
        <x:v>H1</x:v>
      </x:c>
      <x:c r="I1686" s="39" t="str">
        <x:v>P0</x:v>
      </x:c>
      <x:c r="J1686" s="39" t="str">
        <x:v>H1</x:v>
      </x:c>
      <x:c r="K1686" s="39" t="str">
        <x:v>تطبیق احتمالی با پایه</x:v>
      </x:c>
      <x:c r="L1686" s="39" t="str">
        <x:v>MI-1513</x:v>
      </x:c>
      <x:c r="M1686" s="39" t="str">
        <x:v>تولید و کارآفرینی: توانایی تولید محصول و خدمات و ایجاد شغل.</x:v>
      </x:c>
      <x:c r="N1686" s="39" t="str">
        <x:v>1154878548.docx::P4476.1</x:v>
      </x:c>
      <x:c r="O1686" s="39"/>
    </x:row>
    <x:row r="1687">
      <x:c r="A1687" s="34" t="str">
        <x:v>☐</x:v>
      </x:c>
      <x:c r="B1687" s="34" t="str">
        <x:v>EX-1659</x:v>
      </x:c>
      <x:c r="C1687" s="34" t="str">
        <x:v>سرمایه گذاری جهت توسعه فردی</x:v>
      </x:c>
      <x:c r="D1687" s="34" t="str">
        <x:v>POSSIBLE</x:v>
      </x:c>
      <x:c r="E1687" s="34" t="str">
        <x:v>90.0</x:v>
      </x:c>
      <x:c r="F1687" s="34" t="str">
        <x:v>MI-1669</x:v>
      </x:c>
      <x:c r="G1687" s="39" t="str">
        <x:v>• سرمایه گذار</x:v>
      </x:c>
      <x:c r="H1687" s="39" t="str">
        <x:v>H8</x:v>
      </x:c>
      <x:c r="I1687" s="39" t="str">
        <x:v>P2</x:v>
      </x:c>
      <x:c r="J1687" s="39" t="str">
        <x:v>H8</x:v>
      </x:c>
      <x:c r="K1687" s="39" t="str">
        <x:v>تطبیق احتمالی با پایه</x:v>
      </x:c>
      <x:c r="L1687" s="39" t="str">
        <x:v>MI-1669</x:v>
      </x:c>
      <x:c r="M1687" s="39" t="str">
        <x:v>• سرمایه گذار</x:v>
      </x:c>
      <x:c r="N1687" s="39" t="str">
        <x:v>1154878548.docx::P4477.1</x:v>
      </x:c>
      <x:c r="O1687" s="39"/>
    </x:row>
    <x:row r="1688">
      <x:c r="A1688" s="34" t="str">
        <x:v>☐</x:v>
      </x:c>
      <x:c r="B1688" s="34" t="str">
        <x:v>EX-1660</x:v>
      </x:c>
      <x:c r="C1688" s="34" t="str">
        <x:v>مهارت نرم افزاری</x:v>
      </x:c>
      <x:c r="D1688" s="34" t="str">
        <x:v>POSSIBLE</x:v>
      </x:c>
      <x:c r="E1688" s="34" t="str">
        <x:v>85.5</x:v>
      </x:c>
      <x:c r="F1688" s="34" t="str">
        <x:v>MI-0019</x:v>
      </x:c>
      <x:c r="G1688" s="39" t="str">
        <x:v>آشنایی با نرم افزار املاک</x:v>
      </x:c>
      <x:c r="H1688" s="39" t="str">
        <x:v>H1</x:v>
      </x:c>
      <x:c r="I1688" s="39" t="str">
        <x:v>P0</x:v>
      </x:c>
      <x:c r="J1688" s="39" t="str">
        <x:v>H1</x:v>
      </x:c>
      <x:c r="K1688" s="39" t="str">
        <x:v>تطبیق احتمالی با پایه</x:v>
      </x:c>
      <x:c r="L1688" s="39" t="str">
        <x:v>MI-0019</x:v>
      </x:c>
      <x:c r="M1688" s="39" t="str">
        <x:v>آشنایی با نرم افزار املاک</x:v>
      </x:c>
      <x:c r="N1688" s="39" t="str">
        <x:v>1154878548.docx::P4479.1</x:v>
      </x:c>
      <x:c r="O1688" s="39"/>
    </x:row>
    <x:row r="1689">
      <x:c r="A1689" s="34" t="str">
        <x:v>☐</x:v>
      </x:c>
      <x:c r="B1689" s="34" t="str">
        <x:v>EX-1661</x:v>
      </x:c>
      <x:c r="C1689" s="34" t="str">
        <x:v>مهارت سخت افزاری و کارگاه</x:v>
      </x:c>
      <x:c r="D1689" s="34" t="str">
        <x:v>POSSIBLE</x:v>
      </x:c>
      <x:c r="E1689" s="34" t="str">
        <x:v>85.5</x:v>
      </x:c>
      <x:c r="F1689" s="34" t="str">
        <x:v>MI-1513</x:v>
      </x:c>
      <x:c r="G1689" s="39" t="str">
        <x:v>تولید و کارآفرینی: توانایی تولید محصول و خدمات و ایجاد شغل.</x:v>
      </x:c>
      <x:c r="H1689" s="39" t="str">
        <x:v>H1</x:v>
      </x:c>
      <x:c r="I1689" s="39" t="str">
        <x:v>P0</x:v>
      </x:c>
      <x:c r="J1689" s="39" t="str">
        <x:v>H1</x:v>
      </x:c>
      <x:c r="K1689" s="39" t="str">
        <x:v>تطبیق احتمالی با پایه</x:v>
      </x:c>
      <x:c r="L1689" s="39" t="str">
        <x:v>MI-1513</x:v>
      </x:c>
      <x:c r="M1689" s="39" t="str">
        <x:v>تولید و کارآفرینی: توانایی تولید محصول و خدمات و ایجاد شغل.</x:v>
      </x:c>
      <x:c r="N1689" s="39" t="str">
        <x:v>1154878548.docx::P4480.1</x:v>
      </x:c>
      <x:c r="O1689" s="39"/>
    </x:row>
    <x:row r="1690">
      <x:c r="A1690" s="34" t="str">
        <x:v>☐</x:v>
      </x:c>
      <x:c r="B1690" s="34" t="str">
        <x:v>EX-1662</x:v>
      </x:c>
      <x:c r="C1690" s="34" t="str">
        <x:v>ارزیابی جهت تعیین هدف  و مسیر شغلی و بررسی  نیاز های مسیر</x:v>
      </x:c>
      <x:c r="D1690" s="34" t="str">
        <x:v>POSSIBLE</x:v>
      </x:c>
      <x:c r="E1690" s="34" t="str">
        <x:v>90.0</x:v>
      </x:c>
      <x:c r="F1690" s="34" t="str">
        <x:v>MI-0736</x:v>
      </x:c>
      <x:c r="G1690" s="39" t="str">
        <x:v>ارزیابی</x:v>
      </x:c>
      <x:c r="H1690" s="39" t="str">
        <x:v>H11</x:v>
      </x:c>
      <x:c r="I1690" s="39" t="str">
        <x:v>DELEGATE/P2</x:v>
      </x:c>
      <x:c r="J1690" s="39" t="str">
        <x:v>H11</x:v>
      </x:c>
      <x:c r="K1690" s="39" t="str">
        <x:v>تطبیق احتمالی با پایه</x:v>
      </x:c>
      <x:c r="L1690" s="39" t="str">
        <x:v>MI-0736</x:v>
      </x:c>
      <x:c r="M1690" s="39" t="str">
        <x:v>ارزیابی</x:v>
      </x:c>
      <x:c r="N1690" s="39" t="str">
        <x:v>1154878548.docx::P4481.1</x:v>
      </x:c>
      <x:c r="O1690" s="39"/>
    </x:row>
    <x:row r="1691">
      <x:c r="A1691" s="34" t="str">
        <x:v>☐</x:v>
      </x:c>
      <x:c r="B1691" s="34" t="str">
        <x:v>EX-1663</x:v>
      </x:c>
      <x:c r="C1691" s="34" t="str">
        <x:v>به کمک فن جو</x:v>
      </x:c>
      <x:c r="D1691" s="34" t="str">
        <x:v>POSSIBLE</x:v>
      </x:c>
      <x:c r="E1691" s="34" t="str">
        <x:v>90.0</x:v>
      </x:c>
      <x:c r="F1691" s="34" t="str">
        <x:v>MI-1158</x:v>
      </x:c>
      <x:c r="G1691" s="39" t="str">
        <x:v>فن جو</x:v>
      </x:c>
      <x:c r="H1691" s="39" t="str">
        <x:v>H14</x:v>
      </x:c>
      <x:c r="I1691" s="39" t="str">
        <x:v>P3</x:v>
      </x:c>
      <x:c r="J1691" s="39" t="str">
        <x:v>H14</x:v>
      </x:c>
      <x:c r="K1691" s="39" t="str">
        <x:v>تطبیق احتمالی با پایه</x:v>
      </x:c>
      <x:c r="L1691" s="39" t="str">
        <x:v>MI-1158</x:v>
      </x:c>
      <x:c r="M1691" s="39" t="str">
        <x:v>فن جو</x:v>
      </x:c>
      <x:c r="N1691" s="39" t="str">
        <x:v>1154878548.docx::P4482.1</x:v>
      </x:c>
      <x:c r="O1691" s="39"/>
    </x:row>
    <x:row r="1692">
      <x:c r="A1692" s="34" t="str">
        <x:v>☐</x:v>
      </x:c>
      <x:c r="B1692" s="34" t="str">
        <x:v>EX-1664</x:v>
      </x:c>
      <x:c r="C1692" s="34" t="str">
        <x:v>گواهی</x:v>
      </x:c>
      <x:c r="D1692" s="34" t="str">
        <x:v>POSSIBLE</x:v>
      </x:c>
      <x:c r="E1692" s="34" t="str">
        <x:v>90.0</x:v>
      </x:c>
      <x:c r="F1692" s="34" t="str">
        <x:v>MI-0050</x:v>
      </x:c>
      <x:c r="G1692" s="39" t="str">
        <x:v>گرفتن گواهینامه پایه 1</x:v>
      </x:c>
      <x:c r="H1692" s="39" t="str">
        <x:v>H1</x:v>
      </x:c>
      <x:c r="I1692" s="39" t="str">
        <x:v>P0</x:v>
      </x:c>
      <x:c r="J1692" s="39" t="str">
        <x:v>H1</x:v>
      </x:c>
      <x:c r="K1692" s="39" t="str">
        <x:v>تطبیق احتمالی با پایه</x:v>
      </x:c>
      <x:c r="L1692" s="39" t="str">
        <x:v>MI-0050</x:v>
      </x:c>
      <x:c r="M1692" s="39" t="str">
        <x:v>گرفتن گواهینامه پایه 1</x:v>
      </x:c>
      <x:c r="N1692" s="39" t="str">
        <x:v>1154878548.docx::P4483.1</x:v>
      </x:c>
      <x:c r="O1692" s="39"/>
    </x:row>
    <x:row r="1693">
      <x:c r="A1693" s="34" t="str">
        <x:v>☐</x:v>
      </x:c>
      <x:c r="B1693" s="34" t="str">
        <x:v>EX-1665</x:v>
      </x:c>
      <x:c r="C1693" s="34" t="str">
        <x:v>حقوق نفر ساعت</x:v>
      </x:c>
      <x:c r="D1693" s="34" t="str">
        <x:v>POSSIBLE</x:v>
      </x:c>
      <x:c r="E1693" s="34" t="str">
        <x:v>85.5</x:v>
      </x:c>
      <x:c r="F1693" s="34" t="str">
        <x:v>MI-1526</x:v>
      </x:c>
      <x:c r="G1693" s="39" t="str">
        <x:v>حقوق شهروندی: حقوق و وظایف شهروندان.</x:v>
      </x:c>
      <x:c r="H1693" s="39" t="str">
        <x:v>H1</x:v>
      </x:c>
      <x:c r="I1693" s="39" t="str">
        <x:v>P0</x:v>
      </x:c>
      <x:c r="J1693" s="39" t="str">
        <x:v>H1</x:v>
      </x:c>
      <x:c r="K1693" s="39" t="str">
        <x:v>تطبیق احتمالی با پایه</x:v>
      </x:c>
      <x:c r="L1693" s="39" t="str">
        <x:v>MI-1526</x:v>
      </x:c>
      <x:c r="M1693" s="39" t="str">
        <x:v>حقوق شهروندی: حقوق و وظایف شهروندان.</x:v>
      </x:c>
      <x:c r="N1693" s="39" t="str">
        <x:v>1154878548.docx::P4484.1</x:v>
      </x:c>
      <x:c r="O1693" s="39"/>
    </x:row>
    <x:row r="1694">
      <x:c r="A1694" s="34" t="str">
        <x:v>☐</x:v>
      </x:c>
      <x:c r="B1694" s="34" t="str">
        <x:v>EX-1666</x:v>
      </x:c>
      <x:c r="C1694" s="34" t="str">
        <x:v>پک هدیه ( لیوان - ماگ - لوح - جایزه نفدی)</x:v>
      </x:c>
      <x:c r="D1694" s="34" t="str">
        <x:v>POSSIBLE</x:v>
      </x:c>
      <x:c r="E1694" s="34" t="str">
        <x:v>85.5</x:v>
      </x:c>
      <x:c r="F1694" s="34" t="str">
        <x:v>MI-0859</x:v>
      </x:c>
      <x:c r="G1694" s="39" t="str">
        <x:v>پک صبحانه مصوبه وزارت</x:v>
      </x:c>
      <x:c r="H1694" s="39" t="str">
        <x:v>H11</x:v>
      </x:c>
      <x:c r="I1694" s="39" t="str">
        <x:v>DELEGATE/P2</x:v>
      </x:c>
      <x:c r="J1694" s="39" t="str">
        <x:v>H11</x:v>
      </x:c>
      <x:c r="K1694" s="39" t="str">
        <x:v>تطبیق احتمالی با پایه</x:v>
      </x:c>
      <x:c r="L1694" s="39" t="str">
        <x:v>MI-0859</x:v>
      </x:c>
      <x:c r="M1694" s="39" t="str">
        <x:v>پک صبحانه مصوبه وزارت</x:v>
      </x:c>
      <x:c r="N1694" s="39" t="str">
        <x:v>1154878548.docx::P4485.1</x:v>
      </x:c>
      <x:c r="O1694" s="39"/>
    </x:row>
    <x:row r="1695">
      <x:c r="A1695" s="34" t="str">
        <x:v>☐</x:v>
      </x:c>
      <x:c r="B1695" s="34" t="str">
        <x:v>EX-1667</x:v>
      </x:c>
      <x:c r="C1695" s="34" t="str">
        <x:v>تخفیف دوره های پولی قابل توجه</x:v>
      </x:c>
      <x:c r="D1695" s="34" t="str">
        <x:v>POSSIBLE</x:v>
      </x:c>
      <x:c r="E1695" s="34" t="str">
        <x:v>90.0</x:v>
      </x:c>
      <x:c r="F1695" s="34" t="str">
        <x:v>MI-1437</x:v>
      </x:c>
      <x:c r="G1695" s="39" t="str">
        <x:v>دوره ها</x:v>
      </x:c>
      <x:c r="H1695" s="39" t="str">
        <x:v>H8</x:v>
      </x:c>
      <x:c r="I1695" s="39" t="str">
        <x:v>P2</x:v>
      </x:c>
      <x:c r="J1695" s="39" t="str">
        <x:v>H8</x:v>
      </x:c>
      <x:c r="K1695" s="39" t="str">
        <x:v>تطبیق احتمالی با پایه</x:v>
      </x:c>
      <x:c r="L1695" s="39" t="str">
        <x:v>MI-1437</x:v>
      </x:c>
      <x:c r="M1695" s="39" t="str">
        <x:v>دوره ها</x:v>
      </x:c>
      <x:c r="N1695" s="39" t="str">
        <x:v>1154878548.docx::P4486.1</x:v>
      </x:c>
      <x:c r="O1695" s="39"/>
    </x:row>
    <x:row r="1696">
      <x:c r="A1696" s="34" t="str">
        <x:v>☐</x:v>
      </x:c>
      <x:c r="B1696" s="34" t="str">
        <x:v>EX-1668</x:v>
      </x:c>
      <x:c r="C1696" s="34" t="str">
        <x:v>رزومه</x:v>
      </x:c>
      <x:c r="D1696" s="34" t="str">
        <x:v>UNMAPPED</x:v>
      </x:c>
      <x:c r="E1696" s="34" t="str">
        <x:v>72.0</x:v>
      </x:c>
      <x:c r="F1696" s="34" t="str">
        <x:v>MI-2896</x:v>
      </x:c>
      <x:c r="G1696" s="39" t="str">
        <x:v>مهم:</x:v>
      </x:c>
      <x:c r="H1696" s="39" t="str">
        <x:v>H20</x:v>
      </x:c>
      <x:c r="I1696" s="39" t="str">
        <x:v>P3/CLARIFY</x:v>
      </x:c>
      <x:c r="J1696" s="39" t="str">
        <x:v>H23</x:v>
      </x:c>
      <x:c r="K1696" s="39" t="str">
        <x:v>نیازمند پالایش؛ حذف نشده</x:v>
      </x:c>
      <x:c r="L1696" s="39"/>
      <x:c r="M1696" s="39"/>
      <x:c r="N1696" s="39" t="str">
        <x:v>1154878548.docx::P4487.1</x:v>
      </x:c>
      <x:c r="O1696" s="39"/>
    </x:row>
    <x:row r="1697">
      <x:c r="A1697" s="34" t="str">
        <x:v>☐</x:v>
      </x:c>
      <x:c r="B1697" s="34" t="str">
        <x:v>EX-1669</x:v>
      </x:c>
      <x:c r="C1697" s="34" t="str">
        <x:v>امتیاز نخبگی</x:v>
      </x:c>
      <x:c r="D1697" s="34" t="str">
        <x:v>UNMAPPED</x:v>
      </x:c>
      <x:c r="E1697" s="34" t="str">
        <x:v>72.0</x:v>
      </x:c>
      <x:c r="F1697" s="34" t="str">
        <x:v>MI-1567</x:v>
      </x:c>
      <x:c r="G1697" s="39" t="str">
        <x:v>وام</x:v>
      </x:c>
      <x:c r="H1697" s="39" t="str">
        <x:v>H19</x:v>
      </x:c>
      <x:c r="I1697" s="39" t="str">
        <x:v>P3</x:v>
      </x:c>
      <x:c r="J1697" s="39" t="str">
        <x:v>H23</x:v>
      </x:c>
      <x:c r="K1697" s="39" t="str">
        <x:v>نیازمند پالایش؛ حذف نشده</x:v>
      </x:c>
      <x:c r="L1697" s="39"/>
      <x:c r="M1697" s="39"/>
      <x:c r="N1697" s="39" t="str">
        <x:v>1154878548.docx::P4488.1</x:v>
      </x:c>
      <x:c r="O1697" s="39"/>
    </x:row>
    <x:row r="1698">
      <x:c r="A1698" s="34" t="str">
        <x:v>☐</x:v>
      </x:c>
      <x:c r="B1698" s="34" t="str">
        <x:v>EX-1670</x:v>
      </x:c>
      <x:c r="C1698" s="34" t="str">
        <x:v>دعوت به شرکت به دوره تخصصی توسط خود مرکز</x:v>
      </x:c>
      <x:c r="D1698" s="34" t="str">
        <x:v>POSSIBLE</x:v>
      </x:c>
      <x:c r="E1698" s="34" t="str">
        <x:v>85.5</x:v>
      </x:c>
      <x:c r="F1698" s="34" t="str">
        <x:v>MI-1435</x:v>
      </x:c>
      <x:c r="G1698" s="39" t="str">
        <x:v>دوره ترک گناه</x:v>
      </x:c>
      <x:c r="H1698" s="39" t="str">
        <x:v>H1</x:v>
      </x:c>
      <x:c r="I1698" s="39" t="str">
        <x:v>P0</x:v>
      </x:c>
      <x:c r="J1698" s="39" t="str">
        <x:v>H1</x:v>
      </x:c>
      <x:c r="K1698" s="39" t="str">
        <x:v>تطبیق احتمالی با پایه</x:v>
      </x:c>
      <x:c r="L1698" s="39" t="str">
        <x:v>MI-1435</x:v>
      </x:c>
      <x:c r="M1698" s="39" t="str">
        <x:v>دوره ترک گناه</x:v>
      </x:c>
      <x:c r="N1698" s="39" t="str">
        <x:v>1154878548.docx::P4489.1</x:v>
      </x:c>
      <x:c r="O1698" s="39"/>
    </x:row>
    <x:row r="1699">
      <x:c r="A1699" s="34" t="str">
        <x:v>☐</x:v>
      </x:c>
      <x:c r="B1699" s="34" t="str">
        <x:v>EX-1671</x:v>
      </x:c>
      <x:c r="C1699" s="34" t="str">
        <x:v>برگزاری اردو برای کل تیم</x:v>
      </x:c>
      <x:c r="D1699" s="34" t="str">
        <x:v>POSSIBLE</x:v>
      </x:c>
      <x:c r="E1699" s="34" t="str">
        <x:v>90.0</x:v>
      </x:c>
      <x:c r="F1699" s="34" t="str">
        <x:v>MI-2268</x:v>
      </x:c>
      <x:c r="G1699" s="39" t="str">
        <x:v>برای:</x:v>
      </x:c>
      <x:c r="H1699" s="39" t="str">
        <x:v>H20</x:v>
      </x:c>
      <x:c r="I1699" s="39" t="str">
        <x:v>P3/CLARIFY</x:v>
      </x:c>
      <x:c r="J1699" s="39" t="str">
        <x:v>H20</x:v>
      </x:c>
      <x:c r="K1699" s="39" t="str">
        <x:v>تطبیق احتمالی با پایه</x:v>
      </x:c>
      <x:c r="L1699" s="39" t="str">
        <x:v>MI-2268</x:v>
      </x:c>
      <x:c r="M1699" s="39" t="str">
        <x:v>برای:</x:v>
      </x:c>
      <x:c r="N1699" s="39" t="str">
        <x:v>1154878548.docx::P4490.1</x:v>
      </x:c>
      <x:c r="O1699" s="39"/>
    </x:row>
    <x:row r="1700">
      <x:c r="A1700" s="34" t="str">
        <x:v>☐</x:v>
      </x:c>
      <x:c r="B1700" s="34" t="str">
        <x:v>EX-1672</x:v>
      </x:c>
      <x:c r="C1700" s="34" t="str">
        <x:v>اسپانسر</x:v>
      </x:c>
      <x:c r="D1700" s="34" t="str">
        <x:v>UNMAPPED</x:v>
      </x:c>
      <x:c r="E1700" s="34" t="str">
        <x:v>71.2</x:v>
      </x:c>
      <x:c r="F1700" s="34" t="str">
        <x:v>MI-0609</x:v>
      </x:c>
      <x:c r="G1700" s="39" t="str">
        <x:v>کتاب رباتیک اسپانگ</x:v>
      </x:c>
      <x:c r="H1700" s="39" t="str">
        <x:v>H18</x:v>
      </x:c>
      <x:c r="I1700" s="39" t="str">
        <x:v>BANK</x:v>
      </x:c>
      <x:c r="J1700" s="39" t="str">
        <x:v>H23</x:v>
      </x:c>
      <x:c r="K1700" s="39" t="str">
        <x:v>نیازمند پالایش؛ حذف نشده</x:v>
      </x:c>
      <x:c r="L1700" s="39"/>
      <x:c r="M1700" s="39"/>
      <x:c r="N1700" s="39" t="str">
        <x:v>1154878548.docx::P4493.1</x:v>
      </x:c>
      <x:c r="O1700" s="39"/>
    </x:row>
    <x:row r="1701">
      <x:c r="A1701" s="34" t="str">
        <x:v>☐</x:v>
      </x:c>
      <x:c r="B1701" s="34" t="str">
        <x:v>EX-1673</x:v>
      </x:c>
      <x:c r="C1701" s="34" t="str">
        <x:v>شرکت های خصوصی در حوزه پهپاد</x:v>
      </x:c>
      <x:c r="D1701" s="34" t="str">
        <x:v>POSSIBLE</x:v>
      </x:c>
      <x:c r="E1701" s="34" t="str">
        <x:v>90.0</x:v>
      </x:c>
      <x:c r="F1701" s="34" t="str">
        <x:v>MI-1974</x:v>
      </x:c>
      <x:c r="G1701" s="39" t="str">
        <x:v>شرکت ها</x:v>
      </x:c>
      <x:c r="H1701" s="39" t="str">
        <x:v>H20</x:v>
      </x:c>
      <x:c r="I1701" s="39" t="str">
        <x:v>P3/CLARIFY</x:v>
      </x:c>
      <x:c r="J1701" s="39" t="str">
        <x:v>H20</x:v>
      </x:c>
      <x:c r="K1701" s="39" t="str">
        <x:v>تطبیق احتمالی با پایه</x:v>
      </x:c>
      <x:c r="L1701" s="39" t="str">
        <x:v>MI-1974</x:v>
      </x:c>
      <x:c r="M1701" s="39" t="str">
        <x:v>شرکت ها</x:v>
      </x:c>
      <x:c r="N1701" s="39" t="str">
        <x:v>1154878548.docx::P4494.1</x:v>
      </x:c>
      <x:c r="O1701" s="39"/>
    </x:row>
    <x:row r="1702">
      <x:c r="A1702" s="34" t="str">
        <x:v>☐</x:v>
      </x:c>
      <x:c r="B1702" s="34" t="str">
        <x:v>EX-1674</x:v>
      </x:c>
      <x:c r="C1702" s="34" t="str">
        <x:v>ایپاک</x:v>
      </x:c>
      <x:c r="D1702" s="34" t="str">
        <x:v>POSSIBLE</x:v>
      </x:c>
      <x:c r="E1702" s="34" t="str">
        <x:v>90.0</x:v>
      </x:c>
      <x:c r="F1702" s="34" t="str">
        <x:v>MI-0277</x:v>
      </x:c>
      <x:c r="G1702" s="39" t="str">
        <x:v>ایپاک رییسش در نوشیروانی فارغ التحصیل شد</x:v>
      </x:c>
      <x:c r="H1702" s="39" t="str">
        <x:v>H10</x:v>
      </x:c>
      <x:c r="I1702" s="39" t="str">
        <x:v>P2</x:v>
      </x:c>
      <x:c r="J1702" s="39" t="str">
        <x:v>H10</x:v>
      </x:c>
      <x:c r="K1702" s="39" t="str">
        <x:v>تطبیق احتمالی با پایه</x:v>
      </x:c>
      <x:c r="L1702" s="39" t="str">
        <x:v>MI-0277</x:v>
      </x:c>
      <x:c r="M1702" s="39" t="str">
        <x:v>ایپاک رییسش در نوشیروانی فارغ التحصیل شد</x:v>
      </x:c>
      <x:c r="N1702" s="39" t="str">
        <x:v>1154878548.docx::P4495.1</x:v>
      </x:c>
      <x:c r="O1702" s="39"/>
    </x:row>
    <x:row r="1703">
      <x:c r="A1703" s="34" t="str">
        <x:v>☐</x:v>
      </x:c>
      <x:c r="B1703" s="34" t="str">
        <x:v>EX-1675</x:v>
      </x:c>
      <x:c r="C1703" s="34" t="str">
        <x:v>شرکت هواپیمایی معراج وابسته به بنیاد شهید</x:v>
      </x:c>
      <x:c r="D1703" s="34" t="str">
        <x:v>POSSIBLE</x:v>
      </x:c>
      <x:c r="E1703" s="34" t="str">
        <x:v>85.5</x:v>
      </x:c>
      <x:c r="F1703" s="34" t="str">
        <x:v>MI-1448</x:v>
      </x:c>
      <x:c r="G1703" s="39" t="str">
        <x:v>پول هییت قبلا چوقدر هست دست من؟؟؟ قبلا 4,290 بوده . چقدر به سید دادم.</x:v>
      </x:c>
      <x:c r="H1703" s="39" t="str">
        <x:v>H1</x:v>
      </x:c>
      <x:c r="I1703" s="39" t="str">
        <x:v>P0</x:v>
      </x:c>
      <x:c r="J1703" s="39" t="str">
        <x:v>H1</x:v>
      </x:c>
      <x:c r="K1703" s="39" t="str">
        <x:v>تطبیق احتمالی با پایه</x:v>
      </x:c>
      <x:c r="L1703" s="39" t="str">
        <x:v>MI-1448</x:v>
      </x:c>
      <x:c r="M1703" s="39" t="str">
        <x:v>پول هییت قبلا چوقدر هست دست من؟؟؟ قبلا 4,290 بوده . چقدر به سید دادم.</x:v>
      </x:c>
      <x:c r="N1703" s="39" t="str">
        <x:v>1154878548.docx::P4496.1</x:v>
      </x:c>
      <x:c r="O1703" s="39"/>
    </x:row>
    <x:row r="1704">
      <x:c r="A1704" s="34" t="str">
        <x:v>☐</x:v>
      </x:c>
      <x:c r="B1704" s="34" t="str">
        <x:v>EX-1676</x:v>
      </x:c>
      <x:c r="C1704" s="34" t="str">
        <x:v>mini gold</x:v>
      </x:c>
      <x:c r="D1704" s="34" t="str">
        <x:v>POSSIBLE</x:v>
      </x:c>
      <x:c r="E1704" s="34" t="str">
        <x:v>85.5</x:v>
      </x:c>
      <x:c r="F1704" s="34" t="str">
        <x:v>MI-0161</x:v>
      </x:c>
      <x:c r="G1704" s="39" t="str">
        <x:v>N&amp;N</x:v>
      </x:c>
      <x:c r="H1704" s="39" t="str">
        <x:v>H23</x:v>
      </x:c>
      <x:c r="I1704" s="39" t="str">
        <x:v>P3/CLARIFY</x:v>
      </x:c>
      <x:c r="J1704" s="39" t="str">
        <x:v>H23</x:v>
      </x:c>
      <x:c r="K1704" s="39" t="str">
        <x:v>تطبیق احتمالی با پایه</x:v>
      </x:c>
      <x:c r="L1704" s="39" t="str">
        <x:v>MI-0161</x:v>
      </x:c>
      <x:c r="M1704" s="39" t="str">
        <x:v>N&amp;N</x:v>
      </x:c>
      <x:c r="N1704" s="39" t="str">
        <x:v>1154878548.docx::P4498.1</x:v>
      </x:c>
      <x:c r="O1704" s="39"/>
    </x:row>
    <x:row r="1705">
      <x:c r="A1705" s="34" t="str">
        <x:v>☐</x:v>
      </x:c>
      <x:c r="B1705" s="34" t="str">
        <x:v>EX-1677</x:v>
      </x:c>
      <x:c r="C1705" s="34" t="str">
        <x:v>bank</x:v>
      </x:c>
      <x:c r="D1705" s="34" t="str">
        <x:v>UNMAPPED</x:v>
      </x:c>
      <x:c r="E1705" s="34" t="str">
        <x:v>60.0</x:v>
      </x:c>
      <x:c r="F1705" s="34" t="str">
        <x:v>MI-0162</x:v>
      </x:c>
      <x:c r="G1705" s="39" t="str">
        <x:v>SIMULINK</x:v>
      </x:c>
      <x:c r="H1705" s="39" t="str">
        <x:v>H1</x:v>
      </x:c>
      <x:c r="I1705" s="39" t="str">
        <x:v>P0</x:v>
      </x:c>
      <x:c r="J1705" s="39" t="str">
        <x:v>H23</x:v>
      </x:c>
      <x:c r="K1705" s="39" t="str">
        <x:v>نیازمند پالایش؛ حذف نشده</x:v>
      </x:c>
      <x:c r="L1705" s="39"/>
      <x:c r="M1705" s="39"/>
      <x:c r="N1705" s="39" t="str">
        <x:v>1154878548.docx::P4499.1</x:v>
      </x:c>
      <x:c r="O1705" s="39"/>
    </x:row>
    <x:row r="1706">
      <x:c r="A1706" s="34" t="str">
        <x:v>☐</x:v>
      </x:c>
      <x:c r="B1706" s="34" t="str">
        <x:v>EX-1678</x:v>
      </x:c>
      <x:c r="C1706" s="34" t="str">
        <x:v>kaleh</x:v>
      </x:c>
      <x:c r="D1706" s="34" t="str">
        <x:v>UNMAPPED</x:v>
      </x:c>
      <x:c r="E1706" s="34" t="str">
        <x:v>72.7</x:v>
      </x:c>
      <x:c r="F1706" s="34" t="str">
        <x:v>MI-1829</x:v>
      </x:c>
      <x:c r="G1706" s="39" t="str">
        <x:v>Kaggle</x:v>
      </x:c>
      <x:c r="H1706" s="39" t="str">
        <x:v>H20</x:v>
      </x:c>
      <x:c r="I1706" s="39" t="str">
        <x:v>P3/CLARIFY</x:v>
      </x:c>
      <x:c r="J1706" s="39" t="str">
        <x:v>H23</x:v>
      </x:c>
      <x:c r="K1706" s="39" t="str">
        <x:v>نیازمند پالایش؛ حذف نشده</x:v>
      </x:c>
      <x:c r="L1706" s="39"/>
      <x:c r="M1706" s="39"/>
      <x:c r="N1706" s="39" t="str">
        <x:v>1154878548.docx::P4500.1</x:v>
      </x:c>
      <x:c r="O1706" s="39"/>
    </x:row>
    <x:row r="1707">
      <x:c r="A1707" s="34" t="str">
        <x:v>☐</x:v>
      </x:c>
      <x:c r="B1707" s="34" t="str">
        <x:v>EX-1679</x:v>
      </x:c>
      <x:c r="C1707" s="34" t="str">
        <x:v>rightel - mci - mtn</x:v>
      </x:c>
      <x:c r="D1707" s="34" t="str">
        <x:v>POSSIBLE</x:v>
      </x:c>
      <x:c r="E1707" s="34" t="str">
        <x:v>85.5</x:v>
      </x:c>
      <x:c r="F1707" s="34" t="str">
        <x:v>MI-0161</x:v>
      </x:c>
      <x:c r="G1707" s="39" t="str">
        <x:v>N&amp;N</x:v>
      </x:c>
      <x:c r="H1707" s="39" t="str">
        <x:v>H23</x:v>
      </x:c>
      <x:c r="I1707" s="39" t="str">
        <x:v>P3/CLARIFY</x:v>
      </x:c>
      <x:c r="J1707" s="39" t="str">
        <x:v>H23</x:v>
      </x:c>
      <x:c r="K1707" s="39" t="str">
        <x:v>تطبیق احتمالی با پایه</x:v>
      </x:c>
      <x:c r="L1707" s="39" t="str">
        <x:v>MI-0161</x:v>
      </x:c>
      <x:c r="M1707" s="39" t="str">
        <x:v>N&amp;N</x:v>
      </x:c>
      <x:c r="N1707" s="39" t="str">
        <x:v>1154878548.docx::P4501.1</x:v>
      </x:c>
      <x:c r="O1707" s="39"/>
    </x:row>
    <x:row r="1708">
      <x:c r="A1708" s="34" t="str">
        <x:v>☐</x:v>
      </x:c>
      <x:c r="B1708" s="34" t="str">
        <x:v>EX-1680</x:v>
      </x:c>
      <x:c r="C1708" s="34" t="str">
        <x:v>تامین تغذیه</x:v>
      </x:c>
      <x:c r="D1708" s="34" t="str">
        <x:v>POSSIBLE</x:v>
      </x:c>
      <x:c r="E1708" s="34" t="str">
        <x:v>90.0</x:v>
      </x:c>
      <x:c r="F1708" s="34" t="str">
        <x:v>MI-0707</x:v>
      </x:c>
      <x:c r="G1708" s="39" t="str">
        <x:v>تغذیه</x:v>
      </x:c>
      <x:c r="H1708" s="39" t="str">
        <x:v>H11</x:v>
      </x:c>
      <x:c r="I1708" s="39" t="str">
        <x:v>DELEGATE/P2</x:v>
      </x:c>
      <x:c r="J1708" s="39" t="str">
        <x:v>H11</x:v>
      </x:c>
      <x:c r="K1708" s="39" t="str">
        <x:v>تطبیق احتمالی با پایه</x:v>
      </x:c>
      <x:c r="L1708" s="39" t="str">
        <x:v>MI-0707</x:v>
      </x:c>
      <x:c r="M1708" s="39" t="str">
        <x:v>تغذیه</x:v>
      </x:c>
      <x:c r="N1708" s="39" t="str">
        <x:v>1154878548.docx::P4502.1</x:v>
      </x:c>
      <x:c r="O1708" s="39"/>
    </x:row>
    <x:row r="1709">
      <x:c r="A1709" s="34" t="str">
        <x:v>☐</x:v>
      </x:c>
      <x:c r="B1709" s="34" t="str">
        <x:v>EX-1681</x:v>
      </x:c>
      <x:c r="C1709" s="34" t="str">
        <x:v>تامین فضا</x:v>
      </x:c>
      <x:c r="D1709" s="34" t="str">
        <x:v>POSSIBLE</x:v>
      </x:c>
      <x:c r="E1709" s="34" t="str">
        <x:v>85.5</x:v>
      </x:c>
      <x:c r="F1709" s="34" t="str">
        <x:v>MI-0196</x:v>
      </x:c>
      <x:c r="G1709" s="39" t="str">
        <x:v>لجستیک و زنجیره تامین</x:v>
      </x:c>
      <x:c r="H1709" s="39" t="str">
        <x:v>H6</x:v>
      </x:c>
      <x:c r="I1709" s="39" t="str">
        <x:v>P3/CLARIFY</x:v>
      </x:c>
      <x:c r="J1709" s="39" t="str">
        <x:v>H6</x:v>
      </x:c>
      <x:c r="K1709" s="39" t="str">
        <x:v>تطبیق احتمالی با پایه</x:v>
      </x:c>
      <x:c r="L1709" s="39" t="str">
        <x:v>MI-0196</x:v>
      </x:c>
      <x:c r="M1709" s="39" t="str">
        <x:v>لجستیک و زنجیره تامین</x:v>
      </x:c>
      <x:c r="N1709" s="39" t="str">
        <x:v>1154878548.docx::P4503.1</x:v>
      </x:c>
      <x:c r="O1709" s="39"/>
    </x:row>
    <x:row r="1710">
      <x:c r="A1710" s="34" t="str">
        <x:v>☐</x:v>
      </x:c>
      <x:c r="B1710" s="34" t="str">
        <x:v>EX-1682</x:v>
      </x:c>
      <x:c r="C1710" s="34" t="str">
        <x:v>فضاسازی</x:v>
      </x:c>
      <x:c r="D1710" s="34" t="str">
        <x:v>UNMAPPED</x:v>
      </x:c>
      <x:c r="E1710" s="34" t="str">
        <x:v>75.0</x:v>
      </x:c>
      <x:c r="F1710" s="34" t="str">
        <x:v>MI-1747</x:v>
      </x:c>
      <x:c r="G1710" s="39" t="str">
        <x:v>فعال سازی</x:v>
      </x:c>
      <x:c r="H1710" s="39" t="str">
        <x:v>H20</x:v>
      </x:c>
      <x:c r="I1710" s="39" t="str">
        <x:v>P3/CLARIFY</x:v>
      </x:c>
      <x:c r="J1710" s="39" t="str">
        <x:v>H23</x:v>
      </x:c>
      <x:c r="K1710" s="39" t="str">
        <x:v>نیازمند پالایش؛ حذف نشده</x:v>
      </x:c>
      <x:c r="L1710" s="39"/>
      <x:c r="M1710" s="39"/>
      <x:c r="N1710" s="39" t="str">
        <x:v>1154878548.docx::P4504.1</x:v>
      </x:c>
      <x:c r="O1710" s="39"/>
    </x:row>
    <x:row r="1711">
      <x:c r="A1711" s="34" t="str">
        <x:v>☐</x:v>
      </x:c>
      <x:c r="B1711" s="34" t="str">
        <x:v>EX-1683</x:v>
      </x:c>
      <x:c r="C1711" s="34" t="str">
        <x:v>محل برگزاری</x:v>
      </x:c>
      <x:c r="D1711" s="34" t="str">
        <x:v>POSSIBLE</x:v>
      </x:c>
      <x:c r="E1711" s="34" t="str">
        <x:v>85.5</x:v>
      </x:c>
      <x:c r="F1711" s="34" t="str">
        <x:v>MI-2700</x:v>
      </x:c>
      <x:c r="G1711" s="39" t="str">
        <x:v>استان مازندران ظرفیت بسیار خوبی برای برگزاری کمپ ها و اردوگاه های علمی و کارآفرینی دارد.</x:v>
      </x:c>
      <x:c r="H1711" s="39" t="str">
        <x:v>H10</x:v>
      </x:c>
      <x:c r="I1711" s="39" t="str">
        <x:v>P2</x:v>
      </x:c>
      <x:c r="J1711" s="39" t="str">
        <x:v>H10</x:v>
      </x:c>
      <x:c r="K1711" s="39" t="str">
        <x:v>تطبیق احتمالی با پایه</x:v>
      </x:c>
      <x:c r="L1711" s="39" t="str">
        <x:v>MI-2700</x:v>
      </x:c>
      <x:c r="M1711" s="39" t="str">
        <x:v>استان مازندران ظرفیت بسیار خوبی برای برگزاری کمپ ها و اردوگاه های علمی و کارآفرینی دارد.</x:v>
      </x:c>
      <x:c r="N1711" s="39" t="str">
        <x:v>1154878548.docx::P4505.1</x:v>
      </x:c>
      <x:c r="O1711" s="39"/>
    </x:row>
    <x:row r="1712">
      <x:c r="A1712" s="34" t="str">
        <x:v>☐</x:v>
      </x:c>
      <x:c r="B1712" s="34" t="str">
        <x:v>EX-1684</x:v>
      </x:c>
      <x:c r="C1712" s="34" t="str">
        <x:v>مازندران</x:v>
      </x:c>
      <x:c r="D1712" s="34" t="str">
        <x:v>POSSIBLE</x:v>
      </x:c>
      <x:c r="E1712" s="34" t="str">
        <x:v>90.0</x:v>
      </x:c>
      <x:c r="F1712" s="34" t="str">
        <x:v>MI-1678</x:v>
      </x:c>
      <x:c r="G1712" s="39" t="str">
        <x:v>اگر درست طراحی شود، مازندران می تواند تبدیل شود به:</x:v>
      </x:c>
      <x:c r="H1712" s="39" t="str">
        <x:v>H2</x:v>
      </x:c>
      <x:c r="I1712" s="39" t="str">
        <x:v>P3/CLARIFY</x:v>
      </x:c>
      <x:c r="J1712" s="39" t="str">
        <x:v>H2</x:v>
      </x:c>
      <x:c r="K1712" s="39" t="str">
        <x:v>تطبیق احتمالی با پایه</x:v>
      </x:c>
      <x:c r="L1712" s="39" t="str">
        <x:v>MI-1678</x:v>
      </x:c>
      <x:c r="M1712" s="39" t="str">
        <x:v>اگر درست طراحی شود، مازندران می تواند تبدیل شود به:</x:v>
      </x:c>
      <x:c r="N1712" s="39" t="str">
        <x:v>1154878548.docx::P4506.1 | 1154878548.docx::P7514.1</x:v>
      </x:c>
      <x:c r="O1712" s="39"/>
    </x:row>
    <x:row r="1713">
      <x:c r="A1713" s="34" t="str">
        <x:v>☐</x:v>
      </x:c>
      <x:c r="B1713" s="34" t="str">
        <x:v>EX-1685</x:v>
      </x:c>
      <x:c r="C1713" s="34" t="str">
        <x:v>نوشیروانی</x:v>
      </x:c>
      <x:c r="D1713" s="34" t="str">
        <x:v>POSSIBLE</x:v>
      </x:c>
      <x:c r="E1713" s="34" t="str">
        <x:v>90.0</x:v>
      </x:c>
      <x:c r="F1713" s="34" t="str">
        <x:v>MI-0021</x:v>
      </x:c>
      <x:c r="G1713" s="39" t="str">
        <x:v>برنامه ریزی بسیار جدی تر برای دروس دانشگاه نوشیروانی بابل</x:v>
      </x:c>
      <x:c r="H1713" s="39" t="str">
        <x:v>H1</x:v>
      </x:c>
      <x:c r="I1713" s="39" t="str">
        <x:v>P0</x:v>
      </x:c>
      <x:c r="J1713" s="39" t="str">
        <x:v>H1</x:v>
      </x:c>
      <x:c r="K1713" s="39" t="str">
        <x:v>تطبیق احتمالی با پایه</x:v>
      </x:c>
      <x:c r="L1713" s="39" t="str">
        <x:v>MI-0021</x:v>
      </x:c>
      <x:c r="M1713" s="39" t="str">
        <x:v>برنامه ریزی بسیار جدی تر برای دروس دانشگاه نوشیروانی بابل</x:v>
      </x:c>
      <x:c r="N1713" s="39" t="str">
        <x:v>1154878548.docx::P4507.1 | 1154878548.docx::P7513.1</x:v>
      </x:c>
      <x:c r="O1713" s="39"/>
    </x:row>
    <x:row r="1714">
      <x:c r="A1714" s="34" t="str">
        <x:v>☐</x:v>
      </x:c>
      <x:c r="B1714" s="34" t="str">
        <x:v>EX-1686</x:v>
      </x:c>
      <x:c r="C1714" s="34" t="str">
        <x:v>فاکتور های انتخابی</x:v>
      </x:c>
      <x:c r="D1714" s="34" t="str">
        <x:v>POSSIBLE</x:v>
      </x:c>
      <x:c r="E1714" s="34" t="str">
        <x:v>85.5</x:v>
      </x:c>
      <x:c r="F1714" s="34" t="str">
        <x:v>MI-1501</x:v>
      </x:c>
      <x:c r="G1714" s="39" t="str">
        <x:v>مدیریت ریسک: شناسایی ریسک ها، ارزیابی اثرات، تدوین برنامه های مقابله با ریسک ها.</x:v>
      </x:c>
      <x:c r="H1714" s="39" t="str">
        <x:v>H1</x:v>
      </x:c>
      <x:c r="I1714" s="39" t="str">
        <x:v>P0</x:v>
      </x:c>
      <x:c r="J1714" s="39" t="str">
        <x:v>H1</x:v>
      </x:c>
      <x:c r="K1714" s="39" t="str">
        <x:v>تطبیق احتمالی با پایه</x:v>
      </x:c>
      <x:c r="L1714" s="39" t="str">
        <x:v>MI-1501</x:v>
      </x:c>
      <x:c r="M1714" s="39" t="str">
        <x:v>مدیریت ریسک: شناسایی ریسک ها، ارزیابی اثرات، تدوین برنامه های مقابله با ریسک ها.</x:v>
      </x:c>
      <x:c r="N1714" s="39" t="str">
        <x:v>1154878548.docx::P4508.1</x:v>
      </x:c>
      <x:c r="O1714" s="39"/>
    </x:row>
    <x:row r="1715">
      <x:c r="A1715" s="34" t="str">
        <x:v>☐</x:v>
      </x:c>
      <x:c r="B1715" s="34" t="str">
        <x:v>EX-1687</x:v>
      </x:c>
      <x:c r="C1715" s="34" t="str">
        <x:v>اسکان غیر بومی ها</x:v>
      </x:c>
      <x:c r="D1715" s="34" t="str">
        <x:v>POSSIBLE</x:v>
      </x:c>
      <x:c r="E1715" s="34" t="str">
        <x:v>90.0</x:v>
      </x:c>
      <x:c r="F1715" s="34" t="str">
        <x:v>MI-1551</x:v>
      </x:c>
      <x:c r="G1715" s="39" t="str">
        <x:v>اسکان</x:v>
      </x:c>
      <x:c r="H1715" s="39" t="str">
        <x:v>H11</x:v>
      </x:c>
      <x:c r="I1715" s="39" t="str">
        <x:v>DELEGATE/P2</x:v>
      </x:c>
      <x:c r="J1715" s="39" t="str">
        <x:v>H11</x:v>
      </x:c>
      <x:c r="K1715" s="39" t="str">
        <x:v>تطبیق احتمالی با پایه</x:v>
      </x:c>
      <x:c r="L1715" s="39" t="str">
        <x:v>MI-1551</x:v>
      </x:c>
      <x:c r="M1715" s="39" t="str">
        <x:v>اسکان</x:v>
      </x:c>
      <x:c r="N1715" s="39" t="str">
        <x:v>1154878548.docx::P4510.1</x:v>
      </x:c>
      <x:c r="O1715" s="39"/>
    </x:row>
    <x:row r="1716">
      <x:c r="A1716" s="34" t="str">
        <x:v>☐</x:v>
      </x:c>
      <x:c r="B1716" s="34" t="str">
        <x:v>EX-1688</x:v>
      </x:c>
      <x:c r="C1716" s="34" t="str">
        <x:v>اسکان هیئت نظارت</x:v>
      </x:c>
      <x:c r="D1716" s="34" t="str">
        <x:v>POSSIBLE</x:v>
      </x:c>
      <x:c r="E1716" s="34" t="str">
        <x:v>90.0</x:v>
      </x:c>
      <x:c r="F1716" s="34" t="str">
        <x:v>MI-1551</x:v>
      </x:c>
      <x:c r="G1716" s="39" t="str">
        <x:v>اسکان</x:v>
      </x:c>
      <x:c r="H1716" s="39" t="str">
        <x:v>H11</x:v>
      </x:c>
      <x:c r="I1716" s="39" t="str">
        <x:v>DELEGATE/P2</x:v>
      </x:c>
      <x:c r="J1716" s="39" t="str">
        <x:v>H11</x:v>
      </x:c>
      <x:c r="K1716" s="39" t="str">
        <x:v>تطبیق احتمالی با پایه</x:v>
      </x:c>
      <x:c r="L1716" s="39" t="str">
        <x:v>MI-1551</x:v>
      </x:c>
      <x:c r="M1716" s="39" t="str">
        <x:v>اسکان</x:v>
      </x:c>
      <x:c r="N1716" s="39" t="str">
        <x:v>1154878548.docx::P4511.1</x:v>
      </x:c>
      <x:c r="O1716" s="39"/>
    </x:row>
    <x:row r="1717">
      <x:c r="A1717" s="34" t="str">
        <x:v>☐</x:v>
      </x:c>
      <x:c r="B1717" s="34" t="str">
        <x:v>EX-1689</x:v>
      </x:c>
      <x:c r="C1717" s="34" t="str">
        <x:v>اسکان تیم اجرایی</x:v>
      </x:c>
      <x:c r="D1717" s="34" t="str">
        <x:v>POSSIBLE</x:v>
      </x:c>
      <x:c r="E1717" s="34" t="str">
        <x:v>90.0</x:v>
      </x:c>
      <x:c r="F1717" s="34" t="str">
        <x:v>MI-1551</x:v>
      </x:c>
      <x:c r="G1717" s="39" t="str">
        <x:v>اسکان</x:v>
      </x:c>
      <x:c r="H1717" s="39" t="str">
        <x:v>H11</x:v>
      </x:c>
      <x:c r="I1717" s="39" t="str">
        <x:v>DELEGATE/P2</x:v>
      </x:c>
      <x:c r="J1717" s="39" t="str">
        <x:v>H11</x:v>
      </x:c>
      <x:c r="K1717" s="39" t="str">
        <x:v>تطبیق احتمالی با پایه</x:v>
      </x:c>
      <x:c r="L1717" s="39" t="str">
        <x:v>MI-1551</x:v>
      </x:c>
      <x:c r="M1717" s="39" t="str">
        <x:v>اسکان</x:v>
      </x:c>
      <x:c r="N1717" s="39" t="str">
        <x:v>1154878548.docx::P4512.1</x:v>
      </x:c>
      <x:c r="O1717" s="39"/>
    </x:row>
    <x:row r="1718">
      <x:c r="A1718" s="34" t="str">
        <x:v>☐</x:v>
      </x:c>
      <x:c r="B1718" s="34" t="str">
        <x:v>EX-1690</x:v>
      </x:c>
      <x:c r="C1718" s="34" t="str">
        <x:v>اسکان اساتید دوره</x:v>
      </x:c>
      <x:c r="D1718" s="34" t="str">
        <x:v>POSSIBLE</x:v>
      </x:c>
      <x:c r="E1718" s="34" t="str">
        <x:v>90.0</x:v>
      </x:c>
      <x:c r="F1718" s="34" t="str">
        <x:v>MI-1551</x:v>
      </x:c>
      <x:c r="G1718" s="39" t="str">
        <x:v>اسکان</x:v>
      </x:c>
      <x:c r="H1718" s="39" t="str">
        <x:v>H11</x:v>
      </x:c>
      <x:c r="I1718" s="39" t="str">
        <x:v>DELEGATE/P2</x:v>
      </x:c>
      <x:c r="J1718" s="39" t="str">
        <x:v>H11</x:v>
      </x:c>
      <x:c r="K1718" s="39" t="str">
        <x:v>تطبیق احتمالی با پایه</x:v>
      </x:c>
      <x:c r="L1718" s="39" t="str">
        <x:v>MI-1551</x:v>
      </x:c>
      <x:c r="M1718" s="39" t="str">
        <x:v>اسکان</x:v>
      </x:c>
      <x:c r="N1718" s="39" t="str">
        <x:v>1154878548.docx::P4513.1</x:v>
      </x:c>
      <x:c r="O1718" s="39"/>
    </x:row>
    <x:row r="1719">
      <x:c r="A1719" s="34" t="str">
        <x:v>☐</x:v>
      </x:c>
      <x:c r="B1719" s="34" t="str">
        <x:v>EX-1691</x:v>
      </x:c>
      <x:c r="C1719" s="34" t="str">
        <x:v>فضا</x:v>
      </x:c>
      <x:c r="D1719" s="34" t="str">
        <x:v>POSSIBLE</x:v>
      </x:c>
      <x:c r="E1719" s="34" t="str">
        <x:v>90.0</x:v>
      </x:c>
      <x:c r="F1719" s="34" t="str">
        <x:v>MI-0407</x:v>
      </x:c>
      <x:c r="G1719" s="39" t="str">
        <x:v>کمیته رصد فضای مجازی</x:v>
      </x:c>
      <x:c r="H1719" s="39" t="str">
        <x:v>H18</x:v>
      </x:c>
      <x:c r="I1719" s="39" t="str">
        <x:v>BANK</x:v>
      </x:c>
      <x:c r="J1719" s="39" t="str">
        <x:v>H18</x:v>
      </x:c>
      <x:c r="K1719" s="39" t="str">
        <x:v>تطبیق احتمالی با پایه</x:v>
      </x:c>
      <x:c r="L1719" s="39" t="str">
        <x:v>MI-0407</x:v>
      </x:c>
      <x:c r="M1719" s="39" t="str">
        <x:v>کمیته رصد فضای مجازی</x:v>
      </x:c>
      <x:c r="N1719" s="39" t="str">
        <x:v>1154878548.docx::P4515.1</x:v>
      </x:c>
      <x:c r="O1719" s="39"/>
    </x:row>
    <x:row r="1720">
      <x:c r="A1720" s="34" t="str">
        <x:v>☐</x:v>
      </x:c>
      <x:c r="B1720" s="34" t="str">
        <x:v>EX-1692</x:v>
      </x:c>
      <x:c r="C1720" s="34" t="str">
        <x:v>کارگاهی</x:v>
      </x:c>
      <x:c r="D1720" s="34" t="str">
        <x:v>POSSIBLE</x:v>
      </x:c>
      <x:c r="E1720" s="34" t="str">
        <x:v>90.0</x:v>
      </x:c>
      <x:c r="F1720" s="34" t="str">
        <x:v>MI-2545</x:v>
      </x:c>
      <x:c r="G1720" s="39" t="str">
        <x:v>کار:</x:v>
      </x:c>
      <x:c r="H1720" s="39" t="str">
        <x:v>H20</x:v>
      </x:c>
      <x:c r="I1720" s="39" t="str">
        <x:v>P3/CLARIFY</x:v>
      </x:c>
      <x:c r="J1720" s="39" t="str">
        <x:v>H20</x:v>
      </x:c>
      <x:c r="K1720" s="39" t="str">
        <x:v>تطبیق احتمالی با پایه</x:v>
      </x:c>
      <x:c r="L1720" s="39" t="str">
        <x:v>MI-2545</x:v>
      </x:c>
      <x:c r="M1720" s="39" t="str">
        <x:v>کار:</x:v>
      </x:c>
      <x:c r="N1720" s="39" t="str">
        <x:v>1154878548.docx::P4516.1</x:v>
      </x:c>
      <x:c r="O1720" s="39"/>
    </x:row>
    <x:row r="1721">
      <x:c r="A1721" s="34" t="str">
        <x:v>☐</x:v>
      </x:c>
      <x:c r="B1721" s="34" t="str">
        <x:v>EX-1693</x:v>
      </x:c>
      <x:c r="C1721" s="34" t="str">
        <x:v>مسابقه</x:v>
      </x:c>
      <x:c r="D1721" s="34" t="str">
        <x:v>POSSIBLE</x:v>
      </x:c>
      <x:c r="E1721" s="34" t="str">
        <x:v>90.0</x:v>
      </x:c>
      <x:c r="F1721" s="34" t="str">
        <x:v>MI-1109</x:v>
      </x:c>
      <x:c r="G1721" s="39" t="str">
        <x:v>مسابقه اذان و قرآن نداریم</x:v>
      </x:c>
      <x:c r="H1721" s="39" t="str">
        <x:v>H15</x:v>
      </x:c>
      <x:c r="I1721" s="39" t="str">
        <x:v>P3/CLARIFY</x:v>
      </x:c>
      <x:c r="J1721" s="39" t="str">
        <x:v>H15</x:v>
      </x:c>
      <x:c r="K1721" s="39" t="str">
        <x:v>تطبیق احتمالی با پایه</x:v>
      </x:c>
      <x:c r="L1721" s="39" t="str">
        <x:v>MI-1109</x:v>
      </x:c>
      <x:c r="M1721" s="39" t="str">
        <x:v>مسابقه اذان و قرآن نداریم</x:v>
      </x:c>
      <x:c r="N1721" s="39" t="str">
        <x:v>1154878548.docx::P4517.1</x:v>
      </x:c>
      <x:c r="O1721" s="39"/>
    </x:row>
    <x:row r="1722">
      <x:c r="A1722" s="34" t="str">
        <x:v>☐</x:v>
      </x:c>
      <x:c r="B1722" s="34" t="str">
        <x:v>EX-1694</x:v>
      </x:c>
      <x:c r="C1722" s="34" t="str">
        <x:v>کلاس ها</x:v>
      </x:c>
      <x:c r="D1722" s="34" t="str">
        <x:v>POSSIBLE</x:v>
      </x:c>
      <x:c r="E1722" s="34" t="str">
        <x:v>90.0</x:v>
      </x:c>
      <x:c r="F1722" s="34" t="str">
        <x:v>MI-1072</x:v>
      </x:c>
      <x:c r="G1722" s="39" t="str">
        <x:v>وضعیت کلاس ها</x:v>
      </x:c>
      <x:c r="H1722" s="39" t="str">
        <x:v>H11</x:v>
      </x:c>
      <x:c r="I1722" s="39" t="str">
        <x:v>DELEGATE/P2</x:v>
      </x:c>
      <x:c r="J1722" s="39" t="str">
        <x:v>H11</x:v>
      </x:c>
      <x:c r="K1722" s="39" t="str">
        <x:v>تطبیق احتمالی با پایه</x:v>
      </x:c>
      <x:c r="L1722" s="39" t="str">
        <x:v>MI-1072</x:v>
      </x:c>
      <x:c r="M1722" s="39" t="str">
        <x:v>وضعیت کلاس ها</x:v>
      </x:c>
      <x:c r="N1722" s="39" t="str">
        <x:v>1154878548.docx::P4518.1</x:v>
      </x:c>
      <x:c r="O1722" s="39"/>
    </x:row>
    <x:row r="1723">
      <x:c r="A1723" s="34" t="str">
        <x:v>☐</x:v>
      </x:c>
      <x:c r="B1723" s="34" t="str">
        <x:v>EX-1695</x:v>
      </x:c>
      <x:c r="C1723" s="34" t="str">
        <x:v>آیا دانشگاه هزینه ای من باب این رویداد تقبل میکنه یا نه؟</x:v>
      </x:c>
      <x:c r="D1723" s="34" t="str">
        <x:v>POSSIBLE</x:v>
      </x:c>
      <x:c r="E1723" s="34" t="str">
        <x:v>85.5</x:v>
      </x:c>
      <x:c r="F1723" s="34" t="str">
        <x:v>MI-3113</x:v>
      </x:c>
      <x:c r="G1723"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1723" s="39" t="str">
        <x:v>H1</x:v>
      </x:c>
      <x:c r="I1723" s="39" t="str">
        <x:v>P0</x:v>
      </x:c>
      <x:c r="J1723" s="39" t="str">
        <x:v>H1</x:v>
      </x:c>
      <x:c r="K1723" s="39" t="str">
        <x:v>تطبیق احتمالی با پایه</x:v>
      </x:c>
      <x:c r="L1723" s="39" t="str">
        <x:v>MI-3113</x:v>
      </x:c>
      <x:c r="M1723"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N1723" s="39" t="str">
        <x:v>1154878548.docx::P4520.1</x:v>
      </x:c>
      <x:c r="O1723" s="39"/>
    </x:row>
    <x:row r="1724">
      <x:c r="A1724" s="34" t="str">
        <x:v>☐</x:v>
      </x:c>
      <x:c r="B1724" s="34" t="str">
        <x:v>EX-1696</x:v>
      </x:c>
      <x:c r="C1724" s="34" t="str">
        <x:v>آیا سلف دانشگاه میتواند تامین تغذیه و خوراکی و تدارکات رو به عهده بگیره یا نه</x:v>
      </x:c>
      <x:c r="D1724" s="34" t="str">
        <x:v>POSSIBLE</x:v>
      </x:c>
      <x:c r="E1724" s="34" t="str">
        <x:v>85.5</x:v>
      </x:c>
      <x:c r="F1724" s="34" t="str">
        <x:v>MI-0022</x:v>
      </x:c>
      <x:c r="G1724" s="39" t="str">
        <x:v>برنامه ریزی جدی برای دروس دانشگاه پیام نور</x:v>
      </x:c>
      <x:c r="H1724" s="39" t="str">
        <x:v>H1</x:v>
      </x:c>
      <x:c r="I1724" s="39" t="str">
        <x:v>P0</x:v>
      </x:c>
      <x:c r="J1724" s="39" t="str">
        <x:v>H1</x:v>
      </x:c>
      <x:c r="K1724" s="39" t="str">
        <x:v>تطبیق احتمالی با پایه</x:v>
      </x:c>
      <x:c r="L1724" s="39" t="str">
        <x:v>MI-0022</x:v>
      </x:c>
      <x:c r="M1724" s="39" t="str">
        <x:v>برنامه ریزی جدی برای دروس دانشگاه پیام نور</x:v>
      </x:c>
      <x:c r="N1724" s="39" t="str">
        <x:v>1154878548.docx::P4522.1</x:v>
      </x:c>
      <x:c r="O1724" s="39"/>
    </x:row>
    <x:row r="1725">
      <x:c r="A1725" s="34" t="str">
        <x:v>☐</x:v>
      </x:c>
      <x:c r="B1725" s="34" t="str">
        <x:v>EX-1697</x:v>
      </x:c>
      <x:c r="C1725" s="34" t="str">
        <x:v>اساتید</x:v>
      </x:c>
      <x:c r="D1725" s="34" t="str">
        <x:v>POSSIBLE</x:v>
      </x:c>
      <x:c r="E1725" s="34" t="str">
        <x:v>90.0</x:v>
      </x:c>
      <x:c r="F1725" s="34" t="str">
        <x:v>MI-1042</x:v>
      </x:c>
      <x:c r="G1725" s="39" t="str">
        <x:v>ترغیب حضور اساتید در بازدید علمی</x:v>
      </x:c>
      <x:c r="H1725" s="39" t="str">
        <x:v>H9</x:v>
      </x:c>
      <x:c r="I1725" s="39" t="str">
        <x:v>P2</x:v>
      </x:c>
      <x:c r="J1725" s="39" t="str">
        <x:v>H9</x:v>
      </x:c>
      <x:c r="K1725" s="39" t="str">
        <x:v>تطبیق احتمالی با پایه</x:v>
      </x:c>
      <x:c r="L1725" s="39" t="str">
        <x:v>MI-1042</x:v>
      </x:c>
      <x:c r="M1725" s="39" t="str">
        <x:v>ترغیب حضور اساتید در بازدید علمی</x:v>
      </x:c>
      <x:c r="N1725" s="39" t="str">
        <x:v>1154878548.docx::P4525.1</x:v>
      </x:c>
      <x:c r="O1725" s="39"/>
    </x:row>
    <x:row r="1726">
      <x:c r="A1726" s="34" t="str">
        <x:v>☐</x:v>
      </x:c>
      <x:c r="B1726" s="34" t="str">
        <x:v>EX-1698</x:v>
      </x:c>
      <x:c r="C1726" s="34" t="str">
        <x:v>با لینک با استید متبهر و مشهور و فعال در این زمینه</x:v>
      </x:c>
      <x:c r="D1726" s="34" t="str">
        <x:v>POSSIBLE</x:v>
      </x:c>
      <x:c r="E1726" s="34" t="str">
        <x:v>85.5</x:v>
      </x:c>
      <x:c r="F1726" s="34" t="str">
        <x:v>MI-1501</x:v>
      </x:c>
      <x:c r="G1726" s="39" t="str">
        <x:v>مدیریت ریسک: شناسایی ریسک ها، ارزیابی اثرات، تدوین برنامه های مقابله با ریسک ها.</x:v>
      </x:c>
      <x:c r="H1726" s="39" t="str">
        <x:v>H1</x:v>
      </x:c>
      <x:c r="I1726" s="39" t="str">
        <x:v>P0</x:v>
      </x:c>
      <x:c r="J1726" s="39" t="str">
        <x:v>H1</x:v>
      </x:c>
      <x:c r="K1726" s="39" t="str">
        <x:v>تطبیق احتمالی با پایه</x:v>
      </x:c>
      <x:c r="L1726" s="39" t="str">
        <x:v>MI-1501</x:v>
      </x:c>
      <x:c r="M1726" s="39" t="str">
        <x:v>مدیریت ریسک: شناسایی ریسک ها، ارزیابی اثرات، تدوین برنامه های مقابله با ریسک ها.</x:v>
      </x:c>
      <x:c r="N1726" s="39" t="str">
        <x:v>1154878548.docx::P4527.1</x:v>
      </x:c>
      <x:c r="O1726" s="39"/>
    </x:row>
    <x:row r="1727">
      <x:c r="A1727" s="34" t="str">
        <x:v>☐</x:v>
      </x:c>
      <x:c r="B1727" s="34" t="str">
        <x:v>EX-1699</x:v>
      </x:c>
      <x:c r="C1727" s="34" t="str">
        <x:v>خدماتی - پشتیبانی - تدارکات - نظافت</x:v>
      </x:c>
      <x:c r="D1727" s="34" t="str">
        <x:v>POSSIBLE</x:v>
      </x:c>
      <x:c r="E1727" s="34" t="str">
        <x:v>85.5</x:v>
      </x:c>
      <x:c r="F1727" s="34" t="str">
        <x:v>MI-0910</x:v>
      </x:c>
      <x:c r="G1727" s="39" t="str">
        <x:v>چاپ و نصب اطلاعیه برای نزاشتن ظروف روی سینک های آشپزخانه جهت سهولت نظافت خدماتی ها و هچنین استفاده از فضا برای دیگر دوستان</x:v>
      </x:c>
      <x:c r="H1727" s="39" t="str">
        <x:v>H11</x:v>
      </x:c>
      <x:c r="I1727" s="39" t="str">
        <x:v>DELEGATE/P2</x:v>
      </x:c>
      <x:c r="J1727" s="39" t="str">
        <x:v>H11</x:v>
      </x:c>
      <x:c r="K1727" s="39" t="str">
        <x:v>تطبیق احتمالی با پایه</x:v>
      </x:c>
      <x:c r="L1727" s="39" t="str">
        <x:v>MI-0910</x:v>
      </x:c>
      <x:c r="M1727" s="39" t="str">
        <x:v>چاپ و نصب اطلاعیه برای نزاشتن ظروف روی سینک های آشپزخانه جهت سهولت نظافت خدماتی ها و هچنین استفاده از فضا برای دیگر دوستان</x:v>
      </x:c>
      <x:c r="N1727" s="39" t="str">
        <x:v>1154878548.docx::P4528.1</x:v>
      </x:c>
      <x:c r="O1727" s="39"/>
    </x:row>
    <x:row r="1728">
      <x:c r="A1728" s="34" t="str">
        <x:v>☐</x:v>
      </x:c>
      <x:c r="B1728" s="34" t="str">
        <x:v>EX-1700</x:v>
      </x:c>
      <x:c r="C1728" s="34" t="str">
        <x:v>نیروی خدماتی میتونه معرفی کنه برای  انجام امور خدماتی و پشتیبانی و تدارکات</x:v>
      </x:c>
      <x:c r="D1728" s="34" t="str">
        <x:v>POSSIBLE</x:v>
      </x:c>
      <x:c r="E1728" s="34" t="str">
        <x:v>85.5</x:v>
      </x:c>
      <x:c r="F1728" s="34" t="str">
        <x:v>MI-0022</x:v>
      </x:c>
      <x:c r="G1728" s="39" t="str">
        <x:v>برنامه ریزی جدی برای دروس دانشگاه پیام نور</x:v>
      </x:c>
      <x:c r="H1728" s="39" t="str">
        <x:v>H1</x:v>
      </x:c>
      <x:c r="I1728" s="39" t="str">
        <x:v>P0</x:v>
      </x:c>
      <x:c r="J1728" s="39" t="str">
        <x:v>H1</x:v>
      </x:c>
      <x:c r="K1728" s="39" t="str">
        <x:v>تطبیق احتمالی با پایه</x:v>
      </x:c>
      <x:c r="L1728" s="39" t="str">
        <x:v>MI-0022</x:v>
      </x:c>
      <x:c r="M1728" s="39" t="str">
        <x:v>برنامه ریزی جدی برای دروس دانشگاه پیام نور</x:v>
      </x:c>
      <x:c r="N1728" s="39" t="str">
        <x:v>1154878548.docx::P4529.1</x:v>
      </x:c>
      <x:c r="O1728" s="39"/>
    </x:row>
    <x:row r="1729">
      <x:c r="A1729" s="34" t="str">
        <x:v>☐</x:v>
      </x:c>
      <x:c r="B1729" s="34" t="str">
        <x:v>EX-1701</x:v>
      </x:c>
      <x:c r="C1729" s="34" t="str">
        <x:v>تامین فضای کلاسی</x:v>
      </x:c>
      <x:c r="D1729" s="34" t="str">
        <x:v>POSSIBLE</x:v>
      </x:c>
      <x:c r="E1729" s="34" t="str">
        <x:v>85.5</x:v>
      </x:c>
      <x:c r="F1729" s="34" t="str">
        <x:v>MI-1431</x:v>
      </x:c>
      <x:c r="G1729" s="39" t="str">
        <x:v>از فضای کنار ریاست فناوری استفاده بشه و اقتباس گرفته از کتابخانه ملی</x:v>
      </x:c>
      <x:c r="H1729" s="39" t="str">
        <x:v>H2</x:v>
      </x:c>
      <x:c r="I1729" s="39" t="str">
        <x:v>BANK</x:v>
      </x:c>
      <x:c r="J1729" s="39" t="str">
        <x:v>H2</x:v>
      </x:c>
      <x:c r="K1729" s="39" t="str">
        <x:v>تطبیق احتمالی با پایه</x:v>
      </x:c>
      <x:c r="L1729" s="39" t="str">
        <x:v>MI-1431</x:v>
      </x:c>
      <x:c r="M1729" s="39" t="str">
        <x:v>از فضای کنار ریاست فناوری استفاده بشه و اقتباس گرفته از کتابخانه ملی</x:v>
      </x:c>
      <x:c r="N1729" s="39" t="str">
        <x:v>1154878548.docx::P4531.1</x:v>
      </x:c>
      <x:c r="O1729" s="39"/>
    </x:row>
    <x:row r="1730">
      <x:c r="A1730" s="34" t="str">
        <x:v>☐</x:v>
      </x:c>
      <x:c r="B1730" s="34" t="str">
        <x:v>EX-1702</x:v>
      </x:c>
      <x:c r="C1730" s="34" t="str">
        <x:v>تامین فضای کارگاهی</x:v>
      </x:c>
      <x:c r="D1730" s="34" t="str">
        <x:v>POSSIBLE</x:v>
      </x:c>
      <x:c r="E1730" s="34" t="str">
        <x:v>90.0</x:v>
      </x:c>
      <x:c r="F1730" s="34" t="str">
        <x:v>MI-2545</x:v>
      </x:c>
      <x:c r="G1730" s="39" t="str">
        <x:v>کار:</x:v>
      </x:c>
      <x:c r="H1730" s="39" t="str">
        <x:v>H20</x:v>
      </x:c>
      <x:c r="I1730" s="39" t="str">
        <x:v>P3/CLARIFY</x:v>
      </x:c>
      <x:c r="J1730" s="39" t="str">
        <x:v>H20</x:v>
      </x:c>
      <x:c r="K1730" s="39" t="str">
        <x:v>تطبیق احتمالی با پایه</x:v>
      </x:c>
      <x:c r="L1730" s="39" t="str">
        <x:v>MI-2545</x:v>
      </x:c>
      <x:c r="M1730" s="39" t="str">
        <x:v>کار:</x:v>
      </x:c>
      <x:c r="N1730" s="39" t="str">
        <x:v>1154878548.docx::P4532.1</x:v>
      </x:c>
      <x:c r="O1730" s="39"/>
    </x:row>
    <x:row r="1731">
      <x:c r="A1731" s="34" t="str">
        <x:v>☐</x:v>
      </x:c>
      <x:c r="B1731" s="34" t="str">
        <x:v>EX-1703</x:v>
      </x:c>
      <x:c r="C1731" s="34" t="str">
        <x:v>تامین فضای مسابقات</x:v>
      </x:c>
      <x:c r="D1731" s="34" t="str">
        <x:v>POSSIBLE</x:v>
      </x:c>
      <x:c r="E1731" s="34" t="str">
        <x:v>85.5</x:v>
      </x:c>
      <x:c r="F1731" s="34" t="str">
        <x:v>MI-1431</x:v>
      </x:c>
      <x:c r="G1731" s="39" t="str">
        <x:v>از فضای کنار ریاست فناوری استفاده بشه و اقتباس گرفته از کتابخانه ملی</x:v>
      </x:c>
      <x:c r="H1731" s="39" t="str">
        <x:v>H2</x:v>
      </x:c>
      <x:c r="I1731" s="39" t="str">
        <x:v>BANK</x:v>
      </x:c>
      <x:c r="J1731" s="39" t="str">
        <x:v>H2</x:v>
      </x:c>
      <x:c r="K1731" s="39" t="str">
        <x:v>تطبیق احتمالی با پایه</x:v>
      </x:c>
      <x:c r="L1731" s="39" t="str">
        <x:v>MI-1431</x:v>
      </x:c>
      <x:c r="M1731" s="39" t="str">
        <x:v>از فضای کنار ریاست فناوری استفاده بشه و اقتباس گرفته از کتابخانه ملی</x:v>
      </x:c>
      <x:c r="N1731" s="39" t="str">
        <x:v>1154878548.docx::P4533.1</x:v>
      </x:c>
      <x:c r="O1731" s="39"/>
    </x:row>
    <x:row r="1732">
      <x:c r="A1732" s="34" t="str">
        <x:v>☐</x:v>
      </x:c>
      <x:c r="B1732" s="34" t="str">
        <x:v>EX-1704</x:v>
      </x:c>
      <x:c r="C1732" s="34" t="str">
        <x:v>تامین اسکان</x:v>
      </x:c>
      <x:c r="D1732" s="34" t="str">
        <x:v>POSSIBLE</x:v>
      </x:c>
      <x:c r="E1732" s="34" t="str">
        <x:v>90.0</x:v>
      </x:c>
      <x:c r="F1732" s="34" t="str">
        <x:v>MI-1551</x:v>
      </x:c>
      <x:c r="G1732" s="39" t="str">
        <x:v>اسکان</x:v>
      </x:c>
      <x:c r="H1732" s="39" t="str">
        <x:v>H11</x:v>
      </x:c>
      <x:c r="I1732" s="39" t="str">
        <x:v>DELEGATE/P2</x:v>
      </x:c>
      <x:c r="J1732" s="39" t="str">
        <x:v>H11</x:v>
      </x:c>
      <x:c r="K1732" s="39" t="str">
        <x:v>تطبیق احتمالی با پایه</x:v>
      </x:c>
      <x:c r="L1732" s="39" t="str">
        <x:v>MI-1551</x:v>
      </x:c>
      <x:c r="M1732" s="39" t="str">
        <x:v>اسکان</x:v>
      </x:c>
      <x:c r="N1732" s="39" t="str">
        <x:v>1154878548.docx::P4534.1</x:v>
      </x:c>
      <x:c r="O1732" s="39"/>
    </x:row>
    <x:row r="1733">
      <x:c r="A1733" s="34" t="str">
        <x:v>☐</x:v>
      </x:c>
      <x:c r="B1733" s="34" t="str">
        <x:v>EX-1705</x:v>
      </x:c>
      <x:c r="C1733" s="34" t="str">
        <x:v>تامین تجهیزات صوتی و تصویری</x:v>
      </x:c>
      <x:c r="D1733" s="34" t="str">
        <x:v>POSSIBLE</x:v>
      </x:c>
      <x:c r="E1733" s="34" t="str">
        <x:v>85.5</x:v>
      </x:c>
      <x:c r="F1733" s="34" t="str">
        <x:v>MI-1513</x:v>
      </x:c>
      <x:c r="G1733" s="39" t="str">
        <x:v>تولید و کارآفرینی: توانایی تولید محصول و خدمات و ایجاد شغل.</x:v>
      </x:c>
      <x:c r="H1733" s="39" t="str">
        <x:v>H1</x:v>
      </x:c>
      <x:c r="I1733" s="39" t="str">
        <x:v>P0</x:v>
      </x:c>
      <x:c r="J1733" s="39" t="str">
        <x:v>H1</x:v>
      </x:c>
      <x:c r="K1733" s="39" t="str">
        <x:v>تطبیق احتمالی با پایه</x:v>
      </x:c>
      <x:c r="L1733" s="39" t="str">
        <x:v>MI-1513</x:v>
      </x:c>
      <x:c r="M1733" s="39" t="str">
        <x:v>تولید و کارآفرینی: توانایی تولید محصول و خدمات و ایجاد شغل.</x:v>
      </x:c>
      <x:c r="N1733" s="39" t="str">
        <x:v>1154878548.docx::P4535.1</x:v>
      </x:c>
      <x:c r="O1733" s="39"/>
    </x:row>
    <x:row r="1734">
      <x:c r="A1734" s="34" t="str">
        <x:v>☐</x:v>
      </x:c>
      <x:c r="B1734" s="34" t="str">
        <x:v>EX-1706</x:v>
      </x:c>
      <x:c r="C1734" s="34" t="str">
        <x:v>تقسیم کار و تعداد نفرات</x:v>
      </x:c>
      <x:c r="D1734" s="34" t="str">
        <x:v>POSSIBLE</x:v>
      </x:c>
      <x:c r="E1734" s="34" t="str">
        <x:v>90.0</x:v>
      </x:c>
      <x:c r="F1734" s="34" t="str">
        <x:v>MI-2545</x:v>
      </x:c>
      <x:c r="G1734" s="39" t="str">
        <x:v>کار:</x:v>
      </x:c>
      <x:c r="H1734" s="39" t="str">
        <x:v>H20</x:v>
      </x:c>
      <x:c r="I1734" s="39" t="str">
        <x:v>P3/CLARIFY</x:v>
      </x:c>
      <x:c r="J1734" s="39" t="str">
        <x:v>H20</x:v>
      </x:c>
      <x:c r="K1734" s="39" t="str">
        <x:v>تطبیق احتمالی با پایه</x:v>
      </x:c>
      <x:c r="L1734" s="39" t="str">
        <x:v>MI-2545</x:v>
      </x:c>
      <x:c r="M1734" s="39" t="str">
        <x:v>کار:</x:v>
      </x:c>
      <x:c r="N1734" s="39" t="str">
        <x:v>1154878548.docx::P4537.1</x:v>
      </x:c>
      <x:c r="O1734" s="39"/>
    </x:row>
    <x:row r="1735">
      <x:c r="A1735" s="34" t="str">
        <x:v>☐</x:v>
      </x:c>
      <x:c r="B1735" s="34" t="str">
        <x:v>EX-1707</x:v>
      </x:c>
      <x:c r="C1735" s="34" t="str">
        <x:v>تبلیغات</x:v>
      </x:c>
      <x:c r="D1735" s="34" t="str">
        <x:v>POSSIBLE</x:v>
      </x:c>
      <x:c r="E1735" s="34" t="str">
        <x:v>90.0</x:v>
      </x:c>
      <x:c r="F1735" s="34" t="str">
        <x:v>MI-0212</x:v>
      </x:c>
      <x:c r="G1735" s="39" t="str">
        <x:v>دیجیتال مارکتینگ و تبلیغات آنلاین</x:v>
      </x:c>
      <x:c r="H1735" s="39" t="str">
        <x:v>H8</x:v>
      </x:c>
      <x:c r="I1735" s="39" t="str">
        <x:v>P2</x:v>
      </x:c>
      <x:c r="J1735" s="39" t="str">
        <x:v>H8</x:v>
      </x:c>
      <x:c r="K1735" s="39" t="str">
        <x:v>تطبیق احتمالی با پایه</x:v>
      </x:c>
      <x:c r="L1735" s="39" t="str">
        <x:v>MI-0212</x:v>
      </x:c>
      <x:c r="M1735" s="39" t="str">
        <x:v>دیجیتال مارکتینگ و تبلیغات آنلاین</x:v>
      </x:c>
      <x:c r="N1735" s="39" t="str">
        <x:v>1154878548.docx::P4538.1</x:v>
      </x:c>
      <x:c r="O1735" s="39"/>
    </x:row>
    <x:row r="1736">
      <x:c r="A1736" s="34" t="str">
        <x:v>☐</x:v>
      </x:c>
      <x:c r="B1736" s="34" t="str">
        <x:v>EX-1708</x:v>
      </x:c>
      <x:c r="C1736" s="34" t="str">
        <x:v>واحد گرافیک</x:v>
      </x:c>
      <x:c r="D1736" s="34" t="str">
        <x:v>POSSIBLE</x:v>
      </x:c>
      <x:c r="E1736" s="34" t="str">
        <x:v>85.5</x:v>
      </x:c>
      <x:c r="F1736" s="34" t="str">
        <x:v>MI-2911</x:v>
      </x:c>
      <x:c r="G1736" s="39" t="str">
        <x:v>واحد تیم سازی و نوآوری</x:v>
      </x:c>
      <x:c r="H1736" s="39" t="str">
        <x:v>H4</x:v>
      </x:c>
      <x:c r="I1736" s="39" t="str">
        <x:v>P1</x:v>
      </x:c>
      <x:c r="J1736" s="39" t="str">
        <x:v>H4</x:v>
      </x:c>
      <x:c r="K1736" s="39" t="str">
        <x:v>تطبیق احتمالی با پایه</x:v>
      </x:c>
      <x:c r="L1736" s="39" t="str">
        <x:v>MI-2911</x:v>
      </x:c>
      <x:c r="M1736" s="39" t="str">
        <x:v>واحد تیم سازی و نوآوری</x:v>
      </x:c>
      <x:c r="N1736" s="39" t="str">
        <x:v>1154878548.docx::P4539.1</x:v>
      </x:c>
      <x:c r="O1736" s="39"/>
    </x:row>
    <x:row r="1737">
      <x:c r="A1737" s="34" t="str">
        <x:v>☐</x:v>
      </x:c>
      <x:c r="B1737" s="34" t="str">
        <x:v>EX-1709</x:v>
      </x:c>
      <x:c r="C1737" s="34" t="str">
        <x:v>بروشور</x:v>
      </x:c>
      <x:c r="D1737" s="34" t="str">
        <x:v>UNMAPPED</x:v>
      </x:c>
      <x:c r="E1737" s="34" t="str">
        <x:v>62.2</x:v>
      </x:c>
      <x:c r="F1737" s="34" t="str">
        <x:v>MI-1521</x:v>
      </x:c>
      <x:c r="G1737" s="39" t="str">
        <x:v>بازاریابی و فروش:</x:v>
      </x:c>
      <x:c r="H1737" s="39" t="str">
        <x:v>H8</x:v>
      </x:c>
      <x:c r="I1737" s="39" t="str">
        <x:v>P2</x:v>
      </x:c>
      <x:c r="J1737" s="39" t="str">
        <x:v>H23</x:v>
      </x:c>
      <x:c r="K1737" s="39" t="str">
        <x:v>نیازمند پالایش؛ حذف نشده</x:v>
      </x:c>
      <x:c r="L1737" s="39"/>
      <x:c r="M1737" s="39"/>
      <x:c r="N1737" s="39" t="str">
        <x:v>1154878548.docx::P4540.1</x:v>
      </x:c>
      <x:c r="O1737" s="39"/>
    </x:row>
    <x:row r="1738">
      <x:c r="A1738" s="34" t="str">
        <x:v>☐</x:v>
      </x:c>
      <x:c r="B1738" s="34" t="str">
        <x:v>EX-1710</x:v>
      </x:c>
      <x:c r="C1738" s="34" t="str">
        <x:v>طراحی پوستر</x:v>
      </x:c>
      <x:c r="D1738" s="34" t="str">
        <x:v>POSSIBLE</x:v>
      </x:c>
      <x:c r="E1738" s="34" t="str">
        <x:v>90.0</x:v>
      </x:c>
      <x:c r="F1738" s="34" t="str">
        <x:v>MI-0640</x:v>
      </x:c>
      <x:c r="G1738" s="39" t="str">
        <x:v>پوستر</x:v>
      </x:c>
      <x:c r="H1738" s="39" t="str">
        <x:v>H4</x:v>
      </x:c>
      <x:c r="I1738" s="39" t="str">
        <x:v>P1</x:v>
      </x:c>
      <x:c r="J1738" s="39" t="str">
        <x:v>H4</x:v>
      </x:c>
      <x:c r="K1738" s="39" t="str">
        <x:v>تطبیق احتمالی با پایه</x:v>
      </x:c>
      <x:c r="L1738" s="39" t="str">
        <x:v>MI-0640</x:v>
      </x:c>
      <x:c r="M1738" s="39" t="str">
        <x:v>پوستر</x:v>
      </x:c>
      <x:c r="N1738" s="39" t="str">
        <x:v>1154878548.docx::P4541.1</x:v>
      </x:c>
      <x:c r="O1738" s="39"/>
    </x:row>
    <x:row r="1739">
      <x:c r="A1739" s="34" t="str">
        <x:v>☐</x:v>
      </x:c>
      <x:c r="B1739" s="34" t="str">
        <x:v>EX-1711</x:v>
      </x:c>
      <x:c r="C1739" s="34" t="str">
        <x:v>کلیپ و تدوین</x:v>
      </x:c>
      <x:c r="D1739" s="34" t="str">
        <x:v>POSSIBLE</x:v>
      </x:c>
      <x:c r="E1739" s="34" t="str">
        <x:v>90.0</x:v>
      </x:c>
      <x:c r="F1739" s="34" t="str">
        <x:v>MI-0888</x:v>
      </x:c>
      <x:c r="G1739" s="39" t="str">
        <x:v>کلی</x:v>
      </x:c>
      <x:c r="H1739" s="39" t="str">
        <x:v>H11</x:v>
      </x:c>
      <x:c r="I1739" s="39" t="str">
        <x:v>DELEGATE/P2</x:v>
      </x:c>
      <x:c r="J1739" s="39" t="str">
        <x:v>H11</x:v>
      </x:c>
      <x:c r="K1739" s="39" t="str">
        <x:v>تطبیق احتمالی با پایه</x:v>
      </x:c>
      <x:c r="L1739" s="39" t="str">
        <x:v>MI-0888</x:v>
      </x:c>
      <x:c r="M1739" s="39" t="str">
        <x:v>کلی</x:v>
      </x:c>
      <x:c r="N1739" s="39" t="str">
        <x:v>1154878548.docx::P4542.1</x:v>
      </x:c>
      <x:c r="O1739" s="39"/>
    </x:row>
    <x:row r="1740">
      <x:c r="A1740" s="34" t="str">
        <x:v>☐</x:v>
      </x:c>
      <x:c r="B1740" s="34" t="str">
        <x:v>EX-1712</x:v>
      </x:c>
      <x:c r="C1740" s="34" t="str">
        <x:v>طراحی آی دی کارت متناسب با هر فرد در هر بخش</x:v>
      </x:c>
      <x:c r="D1740" s="34" t="str">
        <x:v>POSSIBLE</x:v>
      </x:c>
      <x:c r="E1740" s="34" t="str">
        <x:v>85.5</x:v>
      </x:c>
      <x:c r="F1740" s="34" t="str">
        <x:v>MI-1501</x:v>
      </x:c>
      <x:c r="G1740" s="39" t="str">
        <x:v>مدیریت ریسک: شناسایی ریسک ها، ارزیابی اثرات، تدوین برنامه های مقابله با ریسک ها.</x:v>
      </x:c>
      <x:c r="H1740" s="39" t="str">
        <x:v>H1</x:v>
      </x:c>
      <x:c r="I1740" s="39" t="str">
        <x:v>P0</x:v>
      </x:c>
      <x:c r="J1740" s="39" t="str">
        <x:v>H1</x:v>
      </x:c>
      <x:c r="K1740" s="39" t="str">
        <x:v>تطبیق احتمالی با پایه</x:v>
      </x:c>
      <x:c r="L1740" s="39" t="str">
        <x:v>MI-1501</x:v>
      </x:c>
      <x:c r="M1740" s="39" t="str">
        <x:v>مدیریت ریسک: شناسایی ریسک ها، ارزیابی اثرات، تدوین برنامه های مقابله با ریسک ها.</x:v>
      </x:c>
      <x:c r="N1740" s="39" t="str">
        <x:v>1154878548.docx::P4543.1</x:v>
      </x:c>
      <x:c r="O1740" s="39"/>
    </x:row>
    <x:row r="1741">
      <x:c r="A1741" s="34" t="str">
        <x:v>☐</x:v>
      </x:c>
      <x:c r="B1741" s="34" t="str">
        <x:v>EX-1713</x:v>
      </x:c>
      <x:c r="C1741" s="34" t="str">
        <x:v>طراحی بنر</x:v>
      </x:c>
      <x:c r="D1741" s="34" t="str">
        <x:v>POSSIBLE</x:v>
      </x:c>
      <x:c r="E1741" s="34" t="str">
        <x:v>85.5</x:v>
      </x:c>
      <x:c r="F1741" s="34" t="str">
        <x:v>MI-1678</x:v>
      </x:c>
      <x:c r="G1741" s="39" t="str">
        <x:v>اگر درست طراحی شود، مازندران می تواند تبدیل شود به:</x:v>
      </x:c>
      <x:c r="H1741" s="39" t="str">
        <x:v>H2</x:v>
      </x:c>
      <x:c r="I1741" s="39" t="str">
        <x:v>P3/CLARIFY</x:v>
      </x:c>
      <x:c r="J1741" s="39" t="str">
        <x:v>H2</x:v>
      </x:c>
      <x:c r="K1741" s="39" t="str">
        <x:v>تطبیق احتمالی با پایه</x:v>
      </x:c>
      <x:c r="L1741" s="39" t="str">
        <x:v>MI-1678</x:v>
      </x:c>
      <x:c r="M1741" s="39" t="str">
        <x:v>اگر درست طراحی شود، مازندران می تواند تبدیل شود به:</x:v>
      </x:c>
      <x:c r="N1741" s="39" t="str">
        <x:v>1154878548.docx::P4544.1</x:v>
      </x:c>
      <x:c r="O1741" s="39"/>
    </x:row>
    <x:row r="1742">
      <x:c r="A1742" s="34" t="str">
        <x:v>☐</x:v>
      </x:c>
      <x:c r="B1742" s="34" t="str">
        <x:v>EX-1714</x:v>
      </x:c>
      <x:c r="C1742" s="34" t="str">
        <x:v>طراحی لوگو</x:v>
      </x:c>
      <x:c r="D1742" s="34" t="str">
        <x:v>POSSIBLE</x:v>
      </x:c>
      <x:c r="E1742" s="34" t="str">
        <x:v>90.0</x:v>
      </x:c>
      <x:c r="F1742" s="34" t="str">
        <x:v>MI-0883</x:v>
      </x:c>
      <x:c r="G1742" s="39" t="str">
        <x:v>حساب کتاب های طراحی لوگو و سربرگ و واریز وجه</x:v>
      </x:c>
      <x:c r="H1742" s="39" t="str">
        <x:v>H11</x:v>
      </x:c>
      <x:c r="I1742" s="39" t="str">
        <x:v>BANK</x:v>
      </x:c>
      <x:c r="J1742" s="39" t="str">
        <x:v>H11</x:v>
      </x:c>
      <x:c r="K1742" s="39" t="str">
        <x:v>تطبیق احتمالی با پایه</x:v>
      </x:c>
      <x:c r="L1742" s="39" t="str">
        <x:v>MI-0883</x:v>
      </x:c>
      <x:c r="M1742" s="39" t="str">
        <x:v>حساب کتاب های طراحی لوگو و سربرگ و واریز وجه</x:v>
      </x:c>
      <x:c r="N1742" s="39" t="str">
        <x:v>1154878548.docx::P4545.1</x:v>
      </x:c>
      <x:c r="O1742" s="39"/>
    </x:row>
    <x:row r="1743">
      <x:c r="A1743" s="34" t="str">
        <x:v>☐</x:v>
      </x:c>
      <x:c r="B1743" s="34" t="str">
        <x:v>EX-1715</x:v>
      </x:c>
      <x:c r="C1743" s="34" t="str">
        <x:v>طراحی استند</x:v>
      </x:c>
      <x:c r="D1743" s="34" t="str">
        <x:v>POSSIBLE</x:v>
      </x:c>
      <x:c r="E1743" s="34" t="str">
        <x:v>85.5</x:v>
      </x:c>
      <x:c r="F1743" s="34" t="str">
        <x:v>MI-1678</x:v>
      </x:c>
      <x:c r="G1743" s="39" t="str">
        <x:v>اگر درست طراحی شود، مازندران می تواند تبدیل شود به:</x:v>
      </x:c>
      <x:c r="H1743" s="39" t="str">
        <x:v>H2</x:v>
      </x:c>
      <x:c r="I1743" s="39" t="str">
        <x:v>P3/CLARIFY</x:v>
      </x:c>
      <x:c r="J1743" s="39" t="str">
        <x:v>H2</x:v>
      </x:c>
      <x:c r="K1743" s="39" t="str">
        <x:v>تطبیق احتمالی با پایه</x:v>
      </x:c>
      <x:c r="L1743" s="39" t="str">
        <x:v>MI-1678</x:v>
      </x:c>
      <x:c r="M1743" s="39" t="str">
        <x:v>اگر درست طراحی شود، مازندران می تواند تبدیل شود به:</x:v>
      </x:c>
      <x:c r="N1743" s="39" t="str">
        <x:v>1154878548.docx::P4546.1</x:v>
      </x:c>
      <x:c r="O1743" s="39"/>
    </x:row>
    <x:row r="1744">
      <x:c r="A1744" s="34" t="str">
        <x:v>☐</x:v>
      </x:c>
      <x:c r="B1744" s="34" t="str">
        <x:v>EX-1716</x:v>
      </x:c>
      <x:c r="C1744" s="34" t="str">
        <x:v>طراحی لباس تیمی با طرح لوگو</x:v>
      </x:c>
      <x:c r="D1744" s="34" t="str">
        <x:v>POSSIBLE</x:v>
      </x:c>
      <x:c r="E1744" s="34" t="str">
        <x:v>85.5</x:v>
      </x:c>
      <x:c r="F1744" s="34" t="str">
        <x:v>MI-1501</x:v>
      </x:c>
      <x:c r="G1744" s="39" t="str">
        <x:v>مدیریت ریسک: شناسایی ریسک ها، ارزیابی اثرات، تدوین برنامه های مقابله با ریسک ها.</x:v>
      </x:c>
      <x:c r="H1744" s="39" t="str">
        <x:v>H1</x:v>
      </x:c>
      <x:c r="I1744" s="39" t="str">
        <x:v>P0</x:v>
      </x:c>
      <x:c r="J1744" s="39" t="str">
        <x:v>H1</x:v>
      </x:c>
      <x:c r="K1744" s="39" t="str">
        <x:v>تطبیق احتمالی با پایه</x:v>
      </x:c>
      <x:c r="L1744" s="39" t="str">
        <x:v>MI-1501</x:v>
      </x:c>
      <x:c r="M1744" s="39" t="str">
        <x:v>مدیریت ریسک: شناسایی ریسک ها، ارزیابی اثرات، تدوین برنامه های مقابله با ریسک ها.</x:v>
      </x:c>
      <x:c r="N1744" s="39" t="str">
        <x:v>1154878548.docx::P4547.1</x:v>
      </x:c>
      <x:c r="O1744" s="39"/>
    </x:row>
    <x:row r="1745">
      <x:c r="A1745" s="34" t="str">
        <x:v>☐</x:v>
      </x:c>
      <x:c r="B1745" s="34" t="str">
        <x:v>EX-1717</x:v>
      </x:c>
      <x:c r="C1745" s="34" t="str">
        <x:v>تولید محتوا میدانی و تهیه کلیپ</x:v>
      </x:c>
      <x:c r="D1745" s="34" t="str">
        <x:v>POSSIBLE</x:v>
      </x:c>
      <x:c r="E1745" s="34" t="str">
        <x:v>90.0</x:v>
      </x:c>
      <x:c r="F1745" s="34" t="str">
        <x:v>MI-0828</x:v>
      </x:c>
      <x:c r="G1745" s="39" t="str">
        <x:v>- تهیه کلیپ</x:v>
      </x:c>
      <x:c r="H1745" s="39" t="str">
        <x:v>H11</x:v>
      </x:c>
      <x:c r="I1745" s="39" t="str">
        <x:v>DELEGATE/P2</x:v>
      </x:c>
      <x:c r="J1745" s="39" t="str">
        <x:v>H11</x:v>
      </x:c>
      <x:c r="K1745" s="39" t="str">
        <x:v>تطبیق احتمالی با پایه</x:v>
      </x:c>
      <x:c r="L1745" s="39" t="str">
        <x:v>MI-0828</x:v>
      </x:c>
      <x:c r="M1745" s="39" t="str">
        <x:v>- تهیه کلیپ</x:v>
      </x:c>
      <x:c r="N1745" s="39" t="str">
        <x:v>1154878548.docx::P4548.1</x:v>
      </x:c>
      <x:c r="O1745" s="39"/>
    </x:row>
    <x:row r="1746">
      <x:c r="A1746" s="34" t="str">
        <x:v>☐</x:v>
      </x:c>
      <x:c r="B1746" s="34" t="str">
        <x:v>EX-1718</x:v>
      </x:c>
      <x:c r="C1746" s="34" t="str">
        <x:v>ابزار مورد نیاز</x:v>
      </x:c>
      <x:c r="D1746" s="34" t="str">
        <x:v>POSSIBLE</x:v>
      </x:c>
      <x:c r="E1746" s="34" t="str">
        <x:v>85.5</x:v>
      </x:c>
      <x:c r="F1746" s="34" t="str">
        <x:v>MI-2505</x:v>
      </x:c>
      <x:c r="G1746" s="39" t="str">
        <x:v>تمرکز روی مهارت هایی که بازار نیاز دارد.</x:v>
      </x:c>
      <x:c r="H1746" s="39" t="str">
        <x:v>H1</x:v>
      </x:c>
      <x:c r="I1746" s="39" t="str">
        <x:v>P0</x:v>
      </x:c>
      <x:c r="J1746" s="39" t="str">
        <x:v>H1</x:v>
      </x:c>
      <x:c r="K1746" s="39" t="str">
        <x:v>تطبیق احتمالی با پایه</x:v>
      </x:c>
      <x:c r="L1746" s="39" t="str">
        <x:v>MI-2505</x:v>
      </x:c>
      <x:c r="M1746" s="39" t="str">
        <x:v>تمرکز روی مهارت هایی که بازار نیاز دارد.</x:v>
      </x:c>
      <x:c r="N1746" s="39" t="str">
        <x:v>1154878548.docx::P4549.1</x:v>
      </x:c>
      <x:c r="O1746" s="39"/>
    </x:row>
    <x:row r="1747">
      <x:c r="A1747" s="34" t="str">
        <x:v>☐</x:v>
      </x:c>
      <x:c r="B1747" s="34" t="str">
        <x:v>EX-1719</x:v>
      </x:c>
      <x:c r="C1747" s="34" t="str">
        <x:v>پخش زنده رویداد در اثنای کار</x:v>
      </x:c>
      <x:c r="D1747" s="34" t="str">
        <x:v>POSSIBLE</x:v>
      </x:c>
      <x:c r="E1747" s="34" t="str">
        <x:v>85.5</x:v>
      </x:c>
      <x:c r="F1747" s="34" t="str">
        <x:v>MI-0077</x:v>
      </x:c>
      <x:c r="G1747" s="39" t="str">
        <x:v>یادگیری هوش هیجانی و قدرت تصمیم گیری بالا در لحظه</x:v>
      </x:c>
      <x:c r="H1747" s="39" t="str">
        <x:v>H1</x:v>
      </x:c>
      <x:c r="I1747" s="39" t="str">
        <x:v>P0</x:v>
      </x:c>
      <x:c r="J1747" s="39" t="str">
        <x:v>H1</x:v>
      </x:c>
      <x:c r="K1747" s="39" t="str">
        <x:v>تطبیق احتمالی با پایه</x:v>
      </x:c>
      <x:c r="L1747" s="39" t="str">
        <x:v>MI-0077</x:v>
      </x:c>
      <x:c r="M1747" s="39" t="str">
        <x:v>یادگیری هوش هیجانی و قدرت تصمیم گیری بالا در لحظه</x:v>
      </x:c>
      <x:c r="N1747" s="39" t="str">
        <x:v>1154878548.docx::P4550.1</x:v>
      </x:c>
      <x:c r="O1747" s="39"/>
    </x:row>
    <x:row r="1748">
      <x:c r="A1748" s="34" t="str">
        <x:v>☐</x:v>
      </x:c>
      <x:c r="B1748" s="34" t="str">
        <x:v>EX-1720</x:v>
      </x:c>
      <x:c r="C1748" s="34" t="str">
        <x:v>عکاسی</x:v>
      </x:c>
      <x:c r="D1748" s="34" t="str">
        <x:v>UNMAPPED</x:v>
      </x:c>
      <x:c r="E1748" s="34" t="str">
        <x:v>72.0</x:v>
      </x:c>
      <x:c r="F1748" s="34" t="str">
        <x:v>MI-0415</x:v>
      </x:c>
      <x:c r="G1748" s="39" t="str">
        <x:v>یوسراییل و صهیوناکراسی</x:v>
      </x:c>
      <x:c r="H1748" s="39" t="str">
        <x:v>H18</x:v>
      </x:c>
      <x:c r="I1748" s="39" t="str">
        <x:v>BANK</x:v>
      </x:c>
      <x:c r="J1748" s="39" t="str">
        <x:v>H23</x:v>
      </x:c>
      <x:c r="K1748" s="39" t="str">
        <x:v>نیازمند پالایش؛ حذف نشده</x:v>
      </x:c>
      <x:c r="L1748" s="39"/>
      <x:c r="M1748" s="39"/>
      <x:c r="N1748" s="39" t="str">
        <x:v>1154878548.docx::P4551.1</x:v>
      </x:c>
      <x:c r="O1748" s="39"/>
    </x:row>
    <x:row r="1749">
      <x:c r="A1749" s="34" t="str">
        <x:v>☐</x:v>
      </x:c>
      <x:c r="B1749" s="34" t="str">
        <x:v>EX-1721</x:v>
      </x:c>
      <x:c r="C1749" s="34" t="str">
        <x:v>فیلم برداری</x:v>
      </x:c>
      <x:c r="D1749" s="34" t="str">
        <x:v>POSSIBLE</x:v>
      </x:c>
      <x:c r="E1749" s="34" t="str">
        <x:v>85.5</x:v>
      </x:c>
      <x:c r="F1749" s="34" t="str">
        <x:v>MI-0638</x:v>
      </x:c>
      <x:c r="G1749" s="39" t="str">
        <x:v>تولید فیلم و کلیپ از بازدید و ...</x:v>
      </x:c>
      <x:c r="H1749" s="39" t="str">
        <x:v>H4</x:v>
      </x:c>
      <x:c r="I1749" s="39" t="str">
        <x:v>P1</x:v>
      </x:c>
      <x:c r="J1749" s="39" t="str">
        <x:v>H4</x:v>
      </x:c>
      <x:c r="K1749" s="39" t="str">
        <x:v>تطبیق احتمالی با پایه</x:v>
      </x:c>
      <x:c r="L1749" s="39" t="str">
        <x:v>MI-0638</x:v>
      </x:c>
      <x:c r="M1749" s="39" t="str">
        <x:v>تولید فیلم و کلیپ از بازدید و ...</x:v>
      </x:c>
      <x:c r="N1749" s="39" t="str">
        <x:v>1154878548.docx::P4552.1</x:v>
      </x:c>
      <x:c r="O1749" s="39"/>
    </x:row>
    <x:row r="1750">
      <x:c r="A1750" s="34" t="str">
        <x:v>☐</x:v>
      </x:c>
      <x:c r="B1750" s="34" t="str">
        <x:v>EX-1722</x:v>
      </x:c>
      <x:c r="C1750" s="34" t="str">
        <x:v>روابط عمومی</x:v>
      </x:c>
      <x:c r="D1750" s="34" t="str">
        <x:v>POSSIBLE</x:v>
      </x:c>
      <x:c r="E1750" s="34" t="str">
        <x:v>90.0</x:v>
      </x:c>
      <x:c r="F1750" s="34" t="str">
        <x:v>MI-0610</x:v>
      </x:c>
      <x:c r="G1750" s="39" t="str">
        <x:v>روابط عمومی دانشگاه</x:v>
      </x:c>
      <x:c r="H1750" s="39" t="str">
        <x:v>H4</x:v>
      </x:c>
      <x:c r="I1750" s="39" t="str">
        <x:v>P1</x:v>
      </x:c>
      <x:c r="J1750" s="39" t="str">
        <x:v>H4</x:v>
      </x:c>
      <x:c r="K1750" s="39" t="str">
        <x:v>تطبیق احتمالی با پایه</x:v>
      </x:c>
      <x:c r="L1750" s="39" t="str">
        <x:v>MI-0610</x:v>
      </x:c>
      <x:c r="M1750" s="39" t="str">
        <x:v>روابط عمومی دانشگاه</x:v>
      </x:c>
      <x:c r="N1750" s="39" t="str">
        <x:v>1154878548.docx::P4553.1</x:v>
      </x:c>
      <x:c r="O1750" s="39"/>
    </x:row>
    <x:row r="1751">
      <x:c r="A1751" s="34" t="str">
        <x:v>☐</x:v>
      </x:c>
      <x:c r="B1751" s="34" t="str">
        <x:v>EX-1723</x:v>
      </x:c>
      <x:c r="C1751" s="34" t="str">
        <x:v>پاسخ دهی به سوالات</x:v>
      </x:c>
      <x:c r="D1751" s="34" t="str">
        <x:v>POSSIBLE</x:v>
      </x:c>
      <x:c r="E1751" s="34" t="str">
        <x:v>85.5</x:v>
      </x:c>
      <x:c r="F1751" s="34" t="str">
        <x:v>MI-1448</x:v>
      </x:c>
      <x:c r="G1751" s="39" t="str">
        <x:v>پول هییت قبلا چوقدر هست دست من؟؟؟ قبلا 4,290 بوده . چقدر به سید دادم.</x:v>
      </x:c>
      <x:c r="H1751" s="39" t="str">
        <x:v>H1</x:v>
      </x:c>
      <x:c r="I1751" s="39" t="str">
        <x:v>P0</x:v>
      </x:c>
      <x:c r="J1751" s="39" t="str">
        <x:v>H1</x:v>
      </x:c>
      <x:c r="K1751" s="39" t="str">
        <x:v>تطبیق احتمالی با پایه</x:v>
      </x:c>
      <x:c r="L1751" s="39" t="str">
        <x:v>MI-1448</x:v>
      </x:c>
      <x:c r="M1751" s="39" t="str">
        <x:v>پول هییت قبلا چوقدر هست دست من؟؟؟ قبلا 4,290 بوده . چقدر به سید دادم.</x:v>
      </x:c>
      <x:c r="N1751" s="39" t="str">
        <x:v>1154878548.docx::P4554.1</x:v>
      </x:c>
      <x:c r="O1751" s="39"/>
    </x:row>
    <x:row r="1752">
      <x:c r="A1752" s="34" t="str">
        <x:v>☐</x:v>
      </x:c>
      <x:c r="B1752" s="34" t="str">
        <x:v>EX-1724</x:v>
      </x:c>
      <x:c r="C1752" s="34" t="str">
        <x:v>تولید محتوا و جاگذاری در سایت</x:v>
      </x:c>
      <x:c r="D1752" s="34" t="str">
        <x:v>POSSIBLE</x:v>
      </x:c>
      <x:c r="E1752" s="34" t="str">
        <x:v>90.0</x:v>
      </x:c>
      <x:c r="F1752" s="34" t="str">
        <x:v>MI-0673</x:v>
      </x:c>
      <x:c r="G1752" s="39" t="str">
        <x:v>تولید محتوا</x:v>
      </x:c>
      <x:c r="H1752" s="39" t="str">
        <x:v>H12</x:v>
      </x:c>
      <x:c r="I1752" s="39" t="str">
        <x:v>P2</x:v>
      </x:c>
      <x:c r="J1752" s="39" t="str">
        <x:v>H12</x:v>
      </x:c>
      <x:c r="K1752" s="39" t="str">
        <x:v>تطبیق احتمالی با پایه</x:v>
      </x:c>
      <x:c r="L1752" s="39" t="str">
        <x:v>MI-0673</x:v>
      </x:c>
      <x:c r="M1752" s="39" t="str">
        <x:v>تولید محتوا</x:v>
      </x:c>
      <x:c r="N1752" s="39" t="str">
        <x:v>1154878548.docx::P4555.1</x:v>
      </x:c>
      <x:c r="O1752" s="39"/>
    </x:row>
    <x:row r="1753">
      <x:c r="A1753" s="34" t="str">
        <x:v>☐</x:v>
      </x:c>
      <x:c r="B1753" s="34" t="str">
        <x:v>EX-1725</x:v>
      </x:c>
      <x:c r="C1753" s="34" t="str">
        <x:v>معرفی دوره ها</x:v>
      </x:c>
      <x:c r="D1753" s="34" t="str">
        <x:v>POSSIBLE</x:v>
      </x:c>
      <x:c r="E1753" s="34" t="str">
        <x:v>90.0</x:v>
      </x:c>
      <x:c r="F1753" s="34" t="str">
        <x:v>MI-1437</x:v>
      </x:c>
      <x:c r="G1753" s="39" t="str">
        <x:v>دوره ها</x:v>
      </x:c>
      <x:c r="H1753" s="39" t="str">
        <x:v>H8</x:v>
      </x:c>
      <x:c r="I1753" s="39" t="str">
        <x:v>P2</x:v>
      </x:c>
      <x:c r="J1753" s="39" t="str">
        <x:v>H8</x:v>
      </x:c>
      <x:c r="K1753" s="39" t="str">
        <x:v>تطبیق احتمالی با پایه</x:v>
      </x:c>
      <x:c r="L1753" s="39" t="str">
        <x:v>MI-1437</x:v>
      </x:c>
      <x:c r="M1753" s="39" t="str">
        <x:v>دوره ها</x:v>
      </x:c>
      <x:c r="N1753" s="39" t="str">
        <x:v>1154878548.docx::P4556.1</x:v>
      </x:c>
      <x:c r="O1753" s="39"/>
    </x:row>
    <x:row r="1754">
      <x:c r="A1754" s="34" t="str">
        <x:v>☐</x:v>
      </x:c>
      <x:c r="B1754" s="34" t="str">
        <x:v>EX-1726</x:v>
      </x:c>
      <x:c r="C1754" s="34" t="str">
        <x:v>معرفی اساتید</x:v>
      </x:c>
      <x:c r="D1754" s="34" t="str">
        <x:v>POSSIBLE</x:v>
      </x:c>
      <x:c r="E1754" s="34" t="str">
        <x:v>85.5</x:v>
      </x:c>
      <x:c r="F1754" s="34" t="str">
        <x:v>MI-0663</x:v>
      </x:c>
      <x:c r="G1754" s="39" t="str">
        <x:v>آشنایی با مهندسی ها با اساتید مطرح در سراج ( مصاحبه - تولید محتوا - پادکست شغلی و رشته معرفی)</x:v>
      </x:c>
      <x:c r="H1754" s="39" t="str">
        <x:v>H3</x:v>
      </x:c>
      <x:c r="I1754" s="39" t="str">
        <x:v>P3/CLARIFY</x:v>
      </x:c>
      <x:c r="J1754" s="39" t="str">
        <x:v>H3</x:v>
      </x:c>
      <x:c r="K1754" s="39" t="str">
        <x:v>تطبیق احتمالی با پایه</x:v>
      </x:c>
      <x:c r="L1754" s="39" t="str">
        <x:v>MI-0663</x:v>
      </x:c>
      <x:c r="M1754" s="39" t="str">
        <x:v>آشنایی با مهندسی ها با اساتید مطرح در سراج ( مصاحبه - تولید محتوا - پادکست شغلی و رشته معرفی)</x:v>
      </x:c>
      <x:c r="N1754" s="39" t="str">
        <x:v>1154878548.docx::P4557.1</x:v>
      </x:c>
      <x:c r="O1754" s="39"/>
    </x:row>
    <x:row r="1755">
      <x:c r="A1755" s="34" t="str">
        <x:v>☐</x:v>
      </x:c>
      <x:c r="B1755" s="34" t="str">
        <x:v>EX-1727</x:v>
      </x:c>
      <x:c r="C1755" s="34" t="str">
        <x:v>معرفی امتیازات</x:v>
      </x:c>
      <x:c r="D1755" s="34" t="str">
        <x:v>POSSIBLE</x:v>
      </x:c>
      <x:c r="E1755" s="34" t="str">
        <x:v>85.5</x:v>
      </x:c>
      <x:c r="F1755" s="34" t="str">
        <x:v>MI-0663</x:v>
      </x:c>
      <x:c r="G1755" s="39" t="str">
        <x:v>آشنایی با مهندسی ها با اساتید مطرح در سراج ( مصاحبه - تولید محتوا - پادکست شغلی و رشته معرفی)</x:v>
      </x:c>
      <x:c r="H1755" s="39" t="str">
        <x:v>H3</x:v>
      </x:c>
      <x:c r="I1755" s="39" t="str">
        <x:v>P3/CLARIFY</x:v>
      </x:c>
      <x:c r="J1755" s="39" t="str">
        <x:v>H3</x:v>
      </x:c>
      <x:c r="K1755" s="39" t="str">
        <x:v>تطبیق احتمالی با پایه</x:v>
      </x:c>
      <x:c r="L1755" s="39" t="str">
        <x:v>MI-0663</x:v>
      </x:c>
      <x:c r="M1755" s="39" t="str">
        <x:v>آشنایی با مهندسی ها با اساتید مطرح در سراج ( مصاحبه - تولید محتوا - پادکست شغلی و رشته معرفی)</x:v>
      </x:c>
      <x:c r="N1755" s="39" t="str">
        <x:v>1154878548.docx::P4558.1</x:v>
      </x:c>
      <x:c r="O1755" s="39"/>
    </x:row>
    <x:row r="1756">
      <x:c r="A1756" s="34" t="str">
        <x:v>☐</x:v>
      </x:c>
      <x:c r="B1756" s="34" t="str">
        <x:v>EX-1728</x:v>
      </x:c>
      <x:c r="C1756" s="34" t="str">
        <x:v>دستاوردها</x:v>
      </x:c>
      <x:c r="D1756" s="34" t="str">
        <x:v>UNMAPPED</x:v>
      </x:c>
      <x:c r="E1756" s="34" t="str">
        <x:v>78.8</x:v>
      </x:c>
      <x:c r="F1756" s="34" t="str">
        <x:v>MI-3149</x:v>
      </x:c>
      <x:c r="G1756" s="39" t="str">
        <x:v>ارزش 9: دستاورد</x:v>
      </x:c>
      <x:c r="H1756" s="39" t="str">
        <x:v>H22</x:v>
      </x:c>
      <x:c r="I1756" s="39" t="str">
        <x:v>P3/CLARIFY</x:v>
      </x:c>
      <x:c r="J1756" s="39" t="str">
        <x:v>H23</x:v>
      </x:c>
      <x:c r="K1756" s="39" t="str">
        <x:v>نیازمند پالایش؛ حذف نشده</x:v>
      </x:c>
      <x:c r="L1756" s="39"/>
      <x:c r="M1756" s="39"/>
      <x:c r="N1756" s="39" t="str">
        <x:v>1154878548.docx::P4559.1</x:v>
      </x:c>
      <x:c r="O1756" s="39"/>
    </x:row>
    <x:row r="1757">
      <x:c r="A1757" s="34" t="str">
        <x:v>☐</x:v>
      </x:c>
      <x:c r="B1757" s="34" t="str">
        <x:v>EX-1729</x:v>
      </x:c>
      <x:c r="C1757" s="34" t="str">
        <x:v>تولید محتوا از دوره ها و جاگذاری در سایت</x:v>
      </x:c>
      <x:c r="D1757" s="34" t="str">
        <x:v>POSSIBLE</x:v>
      </x:c>
      <x:c r="E1757" s="34" t="str">
        <x:v>90.0</x:v>
      </x:c>
      <x:c r="F1757" s="34" t="str">
        <x:v>MI-1437</x:v>
      </x:c>
      <x:c r="G1757" s="39" t="str">
        <x:v>دوره ها</x:v>
      </x:c>
      <x:c r="H1757" s="39" t="str">
        <x:v>H8</x:v>
      </x:c>
      <x:c r="I1757" s="39" t="str">
        <x:v>P2</x:v>
      </x:c>
      <x:c r="J1757" s="39" t="str">
        <x:v>H8</x:v>
      </x:c>
      <x:c r="K1757" s="39" t="str">
        <x:v>تطبیق احتمالی با پایه</x:v>
      </x:c>
      <x:c r="L1757" s="39" t="str">
        <x:v>MI-1437</x:v>
      </x:c>
      <x:c r="M1757" s="39" t="str">
        <x:v>دوره ها</x:v>
      </x:c>
      <x:c r="N1757" s="39" t="str">
        <x:v>1154878548.docx::P4560.1</x:v>
      </x:c>
      <x:c r="O1757" s="39"/>
    </x:row>
    <x:row r="1758">
      <x:c r="A1758" s="34" t="str">
        <x:v>☐</x:v>
      </x:c>
      <x:c r="B1758" s="34" t="str">
        <x:v>EX-1730</x:v>
      </x:c>
      <x:c r="C1758" s="34" t="str">
        <x:v>دسترسی پولی یا رایگان</x:v>
      </x:c>
      <x:c r="D1758" s="34" t="str">
        <x:v>POSSIBLE</x:v>
      </x:c>
      <x:c r="E1758" s="34" t="str">
        <x:v>85.5</x:v>
      </x:c>
      <x:c r="F1758" s="34" t="str">
        <x:v>MI-1442</x:v>
      </x:c>
      <x:c r="G1758" s="39" t="str">
        <x:v>این نیت کردم نمیدونم انجام شده یا نه چه کنم</x:v>
      </x:c>
      <x:c r="H1758" s="39" t="str">
        <x:v>H1</x:v>
      </x:c>
      <x:c r="I1758" s="39" t="str">
        <x:v>P0</x:v>
      </x:c>
      <x:c r="J1758" s="39" t="str">
        <x:v>H1</x:v>
      </x:c>
      <x:c r="K1758" s="39" t="str">
        <x:v>تطبیق احتمالی با پایه</x:v>
      </x:c>
      <x:c r="L1758" s="39" t="str">
        <x:v>MI-1442</x:v>
      </x:c>
      <x:c r="M1758" s="39" t="str">
        <x:v>این نیت کردم نمیدونم انجام شده یا نه چه کنم</x:v>
      </x:c>
      <x:c r="N1758" s="39" t="str">
        <x:v>1154878548.docx::P4561.1</x:v>
      </x:c>
      <x:c r="O1758" s="39"/>
    </x:row>
    <x:row r="1759">
      <x:c r="A1759" s="34" t="str">
        <x:v>☐</x:v>
      </x:c>
      <x:c r="B1759" s="34" t="str">
        <x:v>EX-1731</x:v>
      </x:c>
      <x:c r="C1759" s="34" t="str">
        <x:v>پ</x:v>
      </x:c>
      <x:c r="D1759" s="34" t="str">
        <x:v>POSSIBLE</x:v>
      </x:c>
      <x:c r="E1759" s="34" t="str">
        <x:v>90.0</x:v>
      </x:c>
      <x:c r="F1759" s="34" t="str">
        <x:v>MI-0640</x:v>
      </x:c>
      <x:c r="G1759" s="39" t="str">
        <x:v>پوستر</x:v>
      </x:c>
      <x:c r="H1759" s="39" t="str">
        <x:v>H4</x:v>
      </x:c>
      <x:c r="I1759" s="39" t="str">
        <x:v>P1</x:v>
      </x:c>
      <x:c r="J1759" s="39" t="str">
        <x:v>H4</x:v>
      </x:c>
      <x:c r="K1759" s="39" t="str">
        <x:v>تطبیق احتمالی با پایه</x:v>
      </x:c>
      <x:c r="L1759" s="39" t="str">
        <x:v>MI-0640</x:v>
      </x:c>
      <x:c r="M1759" s="39" t="str">
        <x:v>پوستر</x:v>
      </x:c>
      <x:c r="N1759" s="39" t="str">
        <x:v>1154878548.docx::P4563.1</x:v>
      </x:c>
      <x:c r="O1759" s="39"/>
    </x:row>
    <x:row r="1760">
      <x:c r="A1760" s="34" t="str">
        <x:v>☐</x:v>
      </x:c>
      <x:c r="B1760" s="34" t="str">
        <x:v>EX-1732</x:v>
      </x:c>
      <x:c r="C1760" s="34" t="str">
        <x:v>پذیرش و ثبت نام و اجرا</x:v>
      </x:c>
      <x:c r="D1760" s="34" t="str">
        <x:v>POSSIBLE</x:v>
      </x:c>
      <x:c r="E1760" s="34" t="str">
        <x:v>85.5</x:v>
      </x:c>
      <x:c r="F1760" s="34" t="str">
        <x:v>MI-1513</x:v>
      </x:c>
      <x:c r="G1760" s="39" t="str">
        <x:v>تولید و کارآفرینی: توانایی تولید محصول و خدمات و ایجاد شغل.</x:v>
      </x:c>
      <x:c r="H1760" s="39" t="str">
        <x:v>H1</x:v>
      </x:c>
      <x:c r="I1760" s="39" t="str">
        <x:v>P0</x:v>
      </x:c>
      <x:c r="J1760" s="39" t="str">
        <x:v>H1</x:v>
      </x:c>
      <x:c r="K1760" s="39" t="str">
        <x:v>تطبیق احتمالی با پایه</x:v>
      </x:c>
      <x:c r="L1760" s="39" t="str">
        <x:v>MI-1513</x:v>
      </x:c>
      <x:c r="M1760" s="39" t="str">
        <x:v>تولید و کارآفرینی: توانایی تولید محصول و خدمات و ایجاد شغل.</x:v>
      </x:c>
      <x:c r="N1760" s="39" t="str">
        <x:v>1154878548.docx::P4564.1</x:v>
      </x:c>
      <x:c r="O1760" s="39"/>
    </x:row>
    <x:row r="1761">
      <x:c r="A1761" s="34" t="str">
        <x:v>☐</x:v>
      </x:c>
      <x:c r="B1761" s="34" t="str">
        <x:v>EX-1733</x:v>
      </x:c>
      <x:c r="C1761" s="34" t="str">
        <x:v>فراخوان ها</x:v>
      </x:c>
      <x:c r="D1761" s="34" t="str">
        <x:v>POSSIBLE</x:v>
      </x:c>
      <x:c r="E1761" s="34" t="str">
        <x:v>85.5</x:v>
      </x:c>
      <x:c r="F1761" s="34" t="str">
        <x:v>MI-1501</x:v>
      </x:c>
      <x:c r="G1761" s="39" t="str">
        <x:v>مدیریت ریسک: شناسایی ریسک ها، ارزیابی اثرات، تدوین برنامه های مقابله با ریسک ها.</x:v>
      </x:c>
      <x:c r="H1761" s="39" t="str">
        <x:v>H1</x:v>
      </x:c>
      <x:c r="I1761" s="39" t="str">
        <x:v>P0</x:v>
      </x:c>
      <x:c r="J1761" s="39" t="str">
        <x:v>H1</x:v>
      </x:c>
      <x:c r="K1761" s="39" t="str">
        <x:v>تطبیق احتمالی با پایه</x:v>
      </x:c>
      <x:c r="L1761" s="39" t="str">
        <x:v>MI-1501</x:v>
      </x:c>
      <x:c r="M1761" s="39" t="str">
        <x:v>مدیریت ریسک: شناسایی ریسک ها، ارزیابی اثرات، تدوین برنامه های مقابله با ریسک ها.</x:v>
      </x:c>
      <x:c r="N1761" s="39" t="str">
        <x:v>1154878548.docx::P4565.1</x:v>
      </x:c>
      <x:c r="O1761" s="39"/>
    </x:row>
    <x:row r="1762">
      <x:c r="A1762" s="34" t="str">
        <x:v>☐</x:v>
      </x:c>
      <x:c r="B1762" s="34" t="str">
        <x:v>EX-1734</x:v>
      </x:c>
      <x:c r="C1762" s="34" t="str">
        <x:v>زمان بندی</x:v>
      </x:c>
      <x:c r="D1762" s="34" t="str">
        <x:v>POSSIBLE</x:v>
      </x:c>
      <x:c r="E1762" s="34" t="str">
        <x:v>85.5</x:v>
      </x:c>
      <x:c r="F1762" s="34" t="str">
        <x:v>MI-1503</x:v>
      </x:c>
      <x:c r="G1762" s="39" t="str">
        <x:v>مدیریت زمان: اولویت بندی، برنامه ریزی، تمرکز.</x:v>
      </x:c>
      <x:c r="H1762" s="39" t="str">
        <x:v>H1</x:v>
      </x:c>
      <x:c r="I1762" s="39" t="str">
        <x:v>P0</x:v>
      </x:c>
      <x:c r="J1762" s="39" t="str">
        <x:v>H1</x:v>
      </x:c>
      <x:c r="K1762" s="39" t="str">
        <x:v>تطبیق احتمالی با پایه</x:v>
      </x:c>
      <x:c r="L1762" s="39" t="str">
        <x:v>MI-1503</x:v>
      </x:c>
      <x:c r="M1762" s="39" t="str">
        <x:v>مدیریت زمان: اولویت بندی، برنامه ریزی، تمرکز.</x:v>
      </x:c>
      <x:c r="N1762" s="39" t="str">
        <x:v>1154878548.docx::P4566.1</x:v>
      </x:c>
      <x:c r="O1762" s="39"/>
    </x:row>
    <x:row r="1763">
      <x:c r="A1763" s="34" t="str">
        <x:v>☐</x:v>
      </x:c>
      <x:c r="B1763" s="34" t="str">
        <x:v>EX-1735</x:v>
      </x:c>
      <x:c r="C1763" s="34" t="str">
        <x:v>فراخوان</x:v>
      </x:c>
      <x:c r="D1763" s="34" t="str">
        <x:v>UNMAPPED</x:v>
      </x:c>
      <x:c r="E1763" s="34" t="str">
        <x:v>77.1</x:v>
      </x:c>
      <x:c r="F1763" s="34" t="str">
        <x:v>MI-1324</x:v>
      </x:c>
      <x:c r="G1763" s="39" t="str">
        <x:v>وانت</x:v>
      </x:c>
      <x:c r="H1763" s="39" t="str">
        <x:v>H12</x:v>
      </x:c>
      <x:c r="I1763" s="39" t="str">
        <x:v>P2</x:v>
      </x:c>
      <x:c r="J1763" s="39" t="str">
        <x:v>H23</x:v>
      </x:c>
      <x:c r="K1763" s="39" t="str">
        <x:v>نیازمند پالایش؛ حذف نشده</x:v>
      </x:c>
      <x:c r="L1763" s="39"/>
      <x:c r="M1763" s="39"/>
      <x:c r="N1763" s="39" t="str">
        <x:v>1154878548.docx::P4567.1</x:v>
      </x:c>
      <x:c r="O1763" s="39"/>
    </x:row>
    <x:row r="1764">
      <x:c r="A1764" s="34" t="str">
        <x:v>☐</x:v>
      </x:c>
      <x:c r="B1764" s="34" t="str">
        <x:v>EX-1736</x:v>
      </x:c>
      <x:c r="C1764" s="34" t="str">
        <x:v>ثبت نام</x:v>
      </x:c>
      <x:c r="D1764" s="34" t="str">
        <x:v>POSSIBLE</x:v>
      </x:c>
      <x:c r="E1764" s="34" t="str">
        <x:v>85.5</x:v>
      </x:c>
      <x:c r="F1764" s="34" t="str">
        <x:v>MI-2999</x:v>
      </x:c>
      <x:c r="G1764" s="39" t="str">
        <x:v>تعداد استعدادهای ثبت شده</x:v>
      </x:c>
      <x:c r="H1764" s="39" t="str">
        <x:v>H10</x:v>
      </x:c>
      <x:c r="I1764" s="39" t="str">
        <x:v>P2</x:v>
      </x:c>
      <x:c r="J1764" s="39" t="str">
        <x:v>H10</x:v>
      </x:c>
      <x:c r="K1764" s="39" t="str">
        <x:v>تطبیق احتمالی با پایه</x:v>
      </x:c>
      <x:c r="L1764" s="39" t="str">
        <x:v>MI-2999</x:v>
      </x:c>
      <x:c r="M1764" s="39" t="str">
        <x:v>تعداد استعدادهای ثبت شده</x:v>
      </x:c>
      <x:c r="N1764" s="39" t="str">
        <x:v>1154878548.docx::P4568.1</x:v>
      </x:c>
      <x:c r="O1764" s="39"/>
    </x:row>
    <x:row r="1765">
      <x:c r="A1765" s="34" t="str">
        <x:v>☐</x:v>
      </x:c>
      <x:c r="B1765" s="34" t="str">
        <x:v>EX-1737</x:v>
      </x:c>
      <x:c r="C1765" s="34" t="str">
        <x:v>مصاحبه و فیلتراسیون</x:v>
      </x:c>
      <x:c r="D1765" s="34" t="str">
        <x:v>POSSIBLE</x:v>
      </x:c>
      <x:c r="E1765" s="34" t="str">
        <x:v>85.5</x:v>
      </x:c>
      <x:c r="F1765" s="34" t="str">
        <x:v>MI-1513</x:v>
      </x:c>
      <x:c r="G1765" s="39" t="str">
        <x:v>تولید و کارآفرینی: توانایی تولید محصول و خدمات و ایجاد شغل.</x:v>
      </x:c>
      <x:c r="H1765" s="39" t="str">
        <x:v>H1</x:v>
      </x:c>
      <x:c r="I1765" s="39" t="str">
        <x:v>P0</x:v>
      </x:c>
      <x:c r="J1765" s="39" t="str">
        <x:v>H1</x:v>
      </x:c>
      <x:c r="K1765" s="39" t="str">
        <x:v>تطبیق احتمالی با پایه</x:v>
      </x:c>
      <x:c r="L1765" s="39" t="str">
        <x:v>MI-1513</x:v>
      </x:c>
      <x:c r="M1765" s="39" t="str">
        <x:v>تولید و کارآفرینی: توانایی تولید محصول و خدمات و ایجاد شغل.</x:v>
      </x:c>
      <x:c r="N1765" s="39" t="str">
        <x:v>1154878548.docx::P4569.1</x:v>
      </x:c>
      <x:c r="O1765" s="39"/>
    </x:row>
    <x:row r="1766">
      <x:c r="A1766" s="34" t="str">
        <x:v>☐</x:v>
      </x:c>
      <x:c r="B1766" s="34" t="str">
        <x:v>EX-1738</x:v>
      </x:c>
      <x:c r="C1766" s="34" t="str">
        <x:v>ارائه طرح پیشنهادی افراد</x:v>
      </x:c>
      <x:c r="D1766" s="34" t="str">
        <x:v>POSSIBLE</x:v>
      </x:c>
      <x:c r="E1766" s="34" t="str">
        <x:v>90.0</x:v>
      </x:c>
      <x:c r="F1766" s="34" t="str">
        <x:v>MI-2997</x:v>
      </x:c>
      <x:c r="G1766" s="39" t="str">
        <x:v>افراد</x:v>
      </x:c>
      <x:c r="H1766" s="39" t="str">
        <x:v>H14</x:v>
      </x:c>
      <x:c r="I1766" s="39" t="str">
        <x:v>P3</x:v>
      </x:c>
      <x:c r="J1766" s="39" t="str">
        <x:v>H14</x:v>
      </x:c>
      <x:c r="K1766" s="39" t="str">
        <x:v>تطبیق احتمالی با پایه</x:v>
      </x:c>
      <x:c r="L1766" s="39" t="str">
        <x:v>MI-2997</x:v>
      </x:c>
      <x:c r="M1766" s="39" t="str">
        <x:v>افراد</x:v>
      </x:c>
      <x:c r="N1766" s="39" t="str">
        <x:v>1154878548.docx::P4570.1</x:v>
      </x:c>
      <x:c r="O1766" s="39"/>
    </x:row>
    <x:row r="1767">
      <x:c r="A1767" s="34" t="str">
        <x:v>☐</x:v>
      </x:c>
      <x:c r="B1767" s="34" t="str">
        <x:v>EX-1739</x:v>
      </x:c>
      <x:c r="C1767" s="34" t="str">
        <x:v>بررسی طرح ها</x:v>
      </x:c>
      <x:c r="D1767" s="34" t="str">
        <x:v>POSSIBLE</x:v>
      </x:c>
      <x:c r="E1767" s="34" t="str">
        <x:v>90.0</x:v>
      </x:c>
      <x:c r="F1767" s="34" t="str">
        <x:v>MI-1299</x:v>
      </x:c>
      <x:c r="G1767" s="39" t="str">
        <x:v>طرح ها</x:v>
      </x:c>
      <x:c r="H1767" s="39" t="str">
        <x:v>H12</x:v>
      </x:c>
      <x:c r="I1767" s="39" t="str">
        <x:v>P2</x:v>
      </x:c>
      <x:c r="J1767" s="39" t="str">
        <x:v>H12</x:v>
      </x:c>
      <x:c r="K1767" s="39" t="str">
        <x:v>تطبیق احتمالی با پایه</x:v>
      </x:c>
      <x:c r="L1767" s="39" t="str">
        <x:v>MI-1299</x:v>
      </x:c>
      <x:c r="M1767" s="39" t="str">
        <x:v>طرح ها</x:v>
      </x:c>
      <x:c r="N1767" s="39" t="str">
        <x:v>1154878548.docx::P4571.1</x:v>
      </x:c>
      <x:c r="O1767" s="39"/>
    </x:row>
    <x:row r="1768">
      <x:c r="A1768" s="34" t="str">
        <x:v>☐</x:v>
      </x:c>
      <x:c r="B1768" s="34" t="str">
        <x:v>EX-1740</x:v>
      </x:c>
      <x:c r="C1768" s="34" t="str">
        <x:v>اصلاحیه لازم و تائید طرح ها</x:v>
      </x:c>
      <x:c r="D1768" s="34" t="str">
        <x:v>POSSIBLE</x:v>
      </x:c>
      <x:c r="E1768" s="34" t="str">
        <x:v>90.0</x:v>
      </x:c>
      <x:c r="F1768" s="34" t="str">
        <x:v>MI-1299</x:v>
      </x:c>
      <x:c r="G1768" s="39" t="str">
        <x:v>طرح ها</x:v>
      </x:c>
      <x:c r="H1768" s="39" t="str">
        <x:v>H12</x:v>
      </x:c>
      <x:c r="I1768" s="39" t="str">
        <x:v>P2</x:v>
      </x:c>
      <x:c r="J1768" s="39" t="str">
        <x:v>H12</x:v>
      </x:c>
      <x:c r="K1768" s="39" t="str">
        <x:v>تطبیق احتمالی با پایه</x:v>
      </x:c>
      <x:c r="L1768" s="39" t="str">
        <x:v>MI-1299</x:v>
      </x:c>
      <x:c r="M1768" s="39" t="str">
        <x:v>طرح ها</x:v>
      </x:c>
      <x:c r="N1768" s="39" t="str">
        <x:v>1154878548.docx::P4572.1</x:v>
      </x:c>
      <x:c r="O1768" s="39"/>
    </x:row>
    <x:row r="1769">
      <x:c r="A1769" s="34" t="str">
        <x:v>☐</x:v>
      </x:c>
      <x:c r="B1769" s="34" t="str">
        <x:v>EX-1741</x:v>
      </x:c>
      <x:c r="C1769" s="34" t="str">
        <x:v>ساخت</x:v>
      </x:c>
      <x:c r="D1769" s="34" t="str">
        <x:v>POSSIBLE</x:v>
      </x:c>
      <x:c r="E1769" s="34" t="str">
        <x:v>90.0</x:v>
      </x:c>
      <x:c r="F1769" s="34" t="str">
        <x:v>MI-3034</x:v>
      </x:c>
      <x:c r="G1769" s="39" t="str">
        <x:v>7. ساختار تصمیم گیری</x:v>
      </x:c>
      <x:c r="H1769" s="39" t="str">
        <x:v>H1</x:v>
      </x:c>
      <x:c r="I1769" s="39" t="str">
        <x:v>P0</x:v>
      </x:c>
      <x:c r="J1769" s="39" t="str">
        <x:v>H1</x:v>
      </x:c>
      <x:c r="K1769" s="39" t="str">
        <x:v>تطبیق احتمالی با پایه</x:v>
      </x:c>
      <x:c r="L1769" s="39" t="str">
        <x:v>MI-3034</x:v>
      </x:c>
      <x:c r="M1769" s="39" t="str">
        <x:v>7. ساختار تصمیم گیری</x:v>
      </x:c>
      <x:c r="N1769" s="39" t="str">
        <x:v>1154878548.docx::P4573.1</x:v>
      </x:c>
      <x:c r="O1769" s="39"/>
    </x:row>
    <x:row r="1770">
      <x:c r="A1770" s="34" t="str">
        <x:v>☐</x:v>
      </x:c>
      <x:c r="B1770" s="34" t="str">
        <x:v>EX-1742</x:v>
      </x:c>
      <x:c r="C1770" s="34" t="str">
        <x:v>عیب یابی</x:v>
      </x:c>
      <x:c r="D1770" s="34" t="str">
        <x:v>POSSIBLE</x:v>
      </x:c>
      <x:c r="E1770" s="34" t="str">
        <x:v>85.5</x:v>
      </x:c>
      <x:c r="F1770" s="34" t="str">
        <x:v>MI-0875</x:v>
      </x:c>
      <x:c r="G1770" s="39" t="str">
        <x:v>استعداد یابی جهت کار و همکاری بیشتر میدانی</x:v>
      </x:c>
      <x:c r="H1770" s="39" t="str">
        <x:v>H11</x:v>
      </x:c>
      <x:c r="I1770" s="39" t="str">
        <x:v>DELEGATE/P2</x:v>
      </x:c>
      <x:c r="J1770" s="39" t="str">
        <x:v>H11</x:v>
      </x:c>
      <x:c r="K1770" s="39" t="str">
        <x:v>تطبیق احتمالی با پایه</x:v>
      </x:c>
      <x:c r="L1770" s="39" t="str">
        <x:v>MI-0875</x:v>
      </x:c>
      <x:c r="M1770" s="39" t="str">
        <x:v>استعداد یابی جهت کار و همکاری بیشتر میدانی</x:v>
      </x:c>
      <x:c r="N1770" s="39" t="str">
        <x:v>1154878548.docx::P4574.1</x:v>
      </x:c>
      <x:c r="O1770" s="39"/>
    </x:row>
    <x:row r="1771">
      <x:c r="A1771" s="34" t="str">
        <x:v>☐</x:v>
      </x:c>
      <x:c r="B1771" s="34" t="str">
        <x:v>EX-1743</x:v>
      </x:c>
      <x:c r="C1771" s="34" t="str">
        <x:v>تست</x:v>
      </x:c>
      <x:c r="D1771" s="34" t="str">
        <x:v>UNMAPPED</x:v>
      </x:c>
      <x:c r="E1771" s="34" t="str">
        <x:v>72.0</x:v>
      </x:c>
      <x:c r="F1771" s="34" t="str">
        <x:v>MI-0053</x:v>
      </x:c>
      <x:c r="G1771" s="39" t="str">
        <x:v>گرفتن مدرک آیلتس</x:v>
      </x:c>
      <x:c r="H1771" s="39" t="str">
        <x:v>H1</x:v>
      </x:c>
      <x:c r="I1771" s="39" t="str">
        <x:v>P0</x:v>
      </x:c>
      <x:c r="J1771" s="39" t="str">
        <x:v>H23</x:v>
      </x:c>
      <x:c r="K1771" s="39" t="str">
        <x:v>نیازمند پالایش؛ حذف نشده</x:v>
      </x:c>
      <x:c r="L1771" s="39"/>
      <x:c r="M1771" s="39"/>
      <x:c r="N1771" s="39" t="str">
        <x:v>1154878548.docx::P4575.1</x:v>
      </x:c>
      <x:c r="O1771" s="39"/>
    </x:row>
    <x:row r="1772">
      <x:c r="A1772" s="34" t="str">
        <x:v>☐</x:v>
      </x:c>
      <x:c r="B1772" s="34" t="str">
        <x:v>EX-1744</x:v>
      </x:c>
      <x:c r="C1772" s="34" t="str">
        <x:v>اتیاز دهی</x:v>
      </x:c>
      <x:c r="D1772" s="34" t="str">
        <x:v>POSSIBLE</x:v>
      </x:c>
      <x:c r="E1772" s="34" t="str">
        <x:v>85.5</x:v>
      </x:c>
      <x:c r="F1772" s="34" t="str">
        <x:v>MI-1500</x:v>
      </x:c>
      <x:c r="G1772" s="39" t="str">
        <x:v>مدیریت مالی: تخصیص منابع، کنترل هزینه ها، گزارش دهی مالی.</x:v>
      </x:c>
      <x:c r="H1772" s="39" t="str">
        <x:v>H1</x:v>
      </x:c>
      <x:c r="I1772" s="39" t="str">
        <x:v>P0</x:v>
      </x:c>
      <x:c r="J1772" s="39" t="str">
        <x:v>H1</x:v>
      </x:c>
      <x:c r="K1772" s="39" t="str">
        <x:v>تطبیق احتمالی با پایه</x:v>
      </x:c>
      <x:c r="L1772" s="39" t="str">
        <x:v>MI-1500</x:v>
      </x:c>
      <x:c r="M1772" s="39" t="str">
        <x:v>مدیریت مالی: تخصیص منابع، کنترل هزینه ها، گزارش دهی مالی.</x:v>
      </x:c>
      <x:c r="N1772" s="39" t="str">
        <x:v>1154878548.docx::P4576.1</x:v>
      </x:c>
      <x:c r="O1772" s="39"/>
    </x:row>
    <x:row r="1773">
      <x:c r="A1773" s="34" t="str">
        <x:v>☐</x:v>
      </x:c>
      <x:c r="B1773" s="34" t="str">
        <x:v>EX-1745</x:v>
      </x:c>
      <x:c r="C1773" s="34" t="str">
        <x:v>اعلام برنده</x:v>
      </x:c>
      <x:c r="D1773" s="34" t="str">
        <x:v>POSSIBLE</x:v>
      </x:c>
      <x:c r="E1773" s="34" t="str">
        <x:v>85.5</x:v>
      </x:c>
      <x:c r="F1773" s="34" t="str">
        <x:v>MI-0783</x:v>
      </x:c>
      <x:c r="G1773" s="39" t="str">
        <x:v>- گذاشتن راه ارتباطی برای اعلام مشکلات سلف</x:v>
      </x:c>
      <x:c r="H1773" s="39" t="str">
        <x:v>H11</x:v>
      </x:c>
      <x:c r="I1773" s="39" t="str">
        <x:v>DELEGATE/P2</x:v>
      </x:c>
      <x:c r="J1773" s="39" t="str">
        <x:v>H11</x:v>
      </x:c>
      <x:c r="K1773" s="39" t="str">
        <x:v>تطبیق احتمالی با پایه</x:v>
      </x:c>
      <x:c r="L1773" s="39" t="str">
        <x:v>MI-0783</x:v>
      </x:c>
      <x:c r="M1773" s="39" t="str">
        <x:v>- گذاشتن راه ارتباطی برای اعلام مشکلات سلف</x:v>
      </x:c>
      <x:c r="N1773" s="39" t="str">
        <x:v>1154878548.docx::P4577.1</x:v>
      </x:c>
      <x:c r="O1773" s="39"/>
    </x:row>
    <x:row r="1774">
      <x:c r="A1774" s="34" t="str">
        <x:v>☐</x:v>
      </x:c>
      <x:c r="B1774" s="34" t="str">
        <x:v>EX-1746</x:v>
      </x:c>
      <x:c r="C1774" s="34" t="str">
        <x:v>رویه ثبت نام</x:v>
      </x:c>
      <x:c r="D1774" s="34" t="str">
        <x:v>POSSIBLE</x:v>
      </x:c>
      <x:c r="E1774" s="34" t="str">
        <x:v>85.5</x:v>
      </x:c>
      <x:c r="F1774" s="34" t="str">
        <x:v>MI-3062</x:v>
      </x:c>
      <x:c r="G1774" s="39" t="str">
        <x:v>بهترین شغل از نظر شما چیست؟ نام برده و دلیل آن را بنویسید.</x:v>
      </x:c>
      <x:c r="H1774" s="39" t="str">
        <x:v>H3</x:v>
      </x:c>
      <x:c r="I1774" s="39" t="str">
        <x:v>P3/CLARIFY</x:v>
      </x:c>
      <x:c r="J1774" s="39" t="str">
        <x:v>H3</x:v>
      </x:c>
      <x:c r="K1774" s="39" t="str">
        <x:v>تطبیق احتمالی با پایه</x:v>
      </x:c>
      <x:c r="L1774" s="39" t="str">
        <x:v>MI-3062</x:v>
      </x:c>
      <x:c r="M1774" s="39" t="str">
        <x:v>بهترین شغل از نظر شما چیست؟ نام برده و دلیل آن را بنویسید.</x:v>
      </x:c>
      <x:c r="N1774" s="39" t="str">
        <x:v>1154878548.docx::P4578.1</x:v>
      </x:c>
      <x:c r="O1774" s="39"/>
    </x:row>
    <x:row r="1775">
      <x:c r="A1775" s="34" t="str">
        <x:v>☐</x:v>
      </x:c>
      <x:c r="B1775" s="34" t="str">
        <x:v>EX-1747</x:v>
      </x:c>
      <x:c r="C1775" s="34" t="str">
        <x:v>طراحی فرم ثبت نام منحصر به فرد در پلتفرم و موضوع خود مسابقه</x:v>
      </x:c>
      <x:c r="D1775" s="34" t="str">
        <x:v>POSSIBLE</x:v>
      </x:c>
      <x:c r="E1775" s="34" t="str">
        <x:v>85.5</x:v>
      </x:c>
      <x:c r="F1775" s="34" t="str">
        <x:v>MI-0023</x:v>
      </x:c>
      <x:c r="G1775" s="39" t="str">
        <x:v>برنامه ریزی دقیق و علمگرا هییت دانشگاه</x:v>
      </x:c>
      <x:c r="H1775" s="39" t="str">
        <x:v>H1</x:v>
      </x:c>
      <x:c r="I1775" s="39" t="str">
        <x:v>P0</x:v>
      </x:c>
      <x:c r="J1775" s="39" t="str">
        <x:v>H1</x:v>
      </x:c>
      <x:c r="K1775" s="39" t="str">
        <x:v>تطبیق احتمالی با پایه</x:v>
      </x:c>
      <x:c r="L1775" s="39" t="str">
        <x:v>MI-0023</x:v>
      </x:c>
      <x:c r="M1775" s="39" t="str">
        <x:v>برنامه ریزی دقیق و علمگرا هییت دانشگاه</x:v>
      </x:c>
      <x:c r="N1775" s="39" t="str">
        <x:v>1154878548.docx::P4579.1</x:v>
      </x:c>
      <x:c r="O1775" s="39"/>
    </x:row>
    <x:row r="1776">
      <x:c r="A1776" s="34" t="str">
        <x:v>☐</x:v>
      </x:c>
      <x:c r="B1776" s="34" t="str">
        <x:v>EX-1748</x:v>
      </x:c>
      <x:c r="C1776" s="34" t="str">
        <x:v>دریافت رزومه</x:v>
      </x:c>
      <x:c r="D1776" s="34" t="str">
        <x:v>POSSIBLE</x:v>
      </x:c>
      <x:c r="E1776" s="34" t="str">
        <x:v>85.5</x:v>
      </x:c>
      <x:c r="F1776" s="34" t="str">
        <x:v>MI-0676</x:v>
      </x:c>
      <x:c r="G1776" s="39" t="str">
        <x:v>پرکردن رزومه افراد متناسب با نیاز های شغلی</x:v>
      </x:c>
      <x:c r="H1776" s="39" t="str">
        <x:v>H3</x:v>
      </x:c>
      <x:c r="I1776" s="39" t="str">
        <x:v>P0/P1</x:v>
      </x:c>
      <x:c r="J1776" s="39" t="str">
        <x:v>H3</x:v>
      </x:c>
      <x:c r="K1776" s="39" t="str">
        <x:v>تطبیق احتمالی با پایه</x:v>
      </x:c>
      <x:c r="L1776" s="39" t="str">
        <x:v>MI-0676</x:v>
      </x:c>
      <x:c r="M1776" s="39" t="str">
        <x:v>پرکردن رزومه افراد متناسب با نیاز های شغلی</x:v>
      </x:c>
      <x:c r="N1776" s="39" t="str">
        <x:v>1154878548.docx::P4580.1</x:v>
      </x:c>
      <x:c r="O1776" s="39"/>
    </x:row>
    <x:row r="1777">
      <x:c r="A1777" s="34" t="str">
        <x:v>☐</x:v>
      </x:c>
      <x:c r="B1777" s="34" t="str">
        <x:v>EX-1749</x:v>
      </x:c>
      <x:c r="C1777" s="34" t="str">
        <x:v>برگزاری آزمون اولیه</x:v>
      </x:c>
      <x:c r="D1777" s="34" t="str">
        <x:v>POSSIBLE</x:v>
      </x:c>
      <x:c r="E1777" s="34" t="str">
        <x:v>85.5</x:v>
      </x:c>
      <x:c r="F1777" s="34" t="str">
        <x:v>MI-0084</x:v>
      </x:c>
      <x:c r="G1777" s="39" t="str">
        <x:v>تسلط بر دروس آزمون ارشد مکانیک جامدات</x:v>
      </x:c>
      <x:c r="H1777" s="39" t="str">
        <x:v>H2</x:v>
      </x:c>
      <x:c r="I1777" s="39" t="str">
        <x:v>P3/CLARIFY</x:v>
      </x:c>
      <x:c r="J1777" s="39" t="str">
        <x:v>H2</x:v>
      </x:c>
      <x:c r="K1777" s="39" t="str">
        <x:v>تطبیق احتمالی با پایه</x:v>
      </x:c>
      <x:c r="L1777" s="39" t="str">
        <x:v>MI-0084</x:v>
      </x:c>
      <x:c r="M1777" s="39" t="str">
        <x:v>تسلط بر دروس آزمون ارشد مکانیک جامدات</x:v>
      </x:c>
      <x:c r="N1777" s="39" t="str">
        <x:v>1154878548.docx::P4581.1</x:v>
      </x:c>
      <x:c r="O1777" s="39"/>
    </x:row>
    <x:row r="1778">
      <x:c r="A1778" s="34" t="str">
        <x:v>☐</x:v>
      </x:c>
      <x:c r="B1778" s="34" t="str">
        <x:v>EX-1750</x:v>
      </x:c>
      <x:c r="C1778" s="34" t="str">
        <x:v>مصاحبه اولیه</x:v>
      </x:c>
      <x:c r="D1778" s="34" t="str">
        <x:v>POSSIBLE</x:v>
      </x:c>
      <x:c r="E1778" s="34" t="str">
        <x:v>85.5</x:v>
      </x:c>
      <x:c r="F1778" s="34" t="str">
        <x:v>MI-0663</x:v>
      </x:c>
      <x:c r="G1778" s="39" t="str">
        <x:v>آشنایی با مهندسی ها با اساتید مطرح در سراج ( مصاحبه - تولید محتوا - پادکست شغلی و رشته معرفی)</x:v>
      </x:c>
      <x:c r="H1778" s="39" t="str">
        <x:v>H3</x:v>
      </x:c>
      <x:c r="I1778" s="39" t="str">
        <x:v>P3/CLARIFY</x:v>
      </x:c>
      <x:c r="J1778" s="39" t="str">
        <x:v>H3</x:v>
      </x:c>
      <x:c r="K1778" s="39" t="str">
        <x:v>تطبیق احتمالی با پایه</x:v>
      </x:c>
      <x:c r="L1778" s="39" t="str">
        <x:v>MI-0663</x:v>
      </x:c>
      <x:c r="M1778" s="39" t="str">
        <x:v>آشنایی با مهندسی ها با اساتید مطرح در سراج ( مصاحبه - تولید محتوا - پادکست شغلی و رشته معرفی)</x:v>
      </x:c>
      <x:c r="N1778" s="39" t="str">
        <x:v>1154878548.docx::P4582.1</x:v>
      </x:c>
      <x:c r="O1778" s="39"/>
    </x:row>
    <x:row r="1779">
      <x:c r="A1779" s="34" t="str">
        <x:v>☐</x:v>
      </x:c>
      <x:c r="B1779" s="34" t="str">
        <x:v>EX-1751</x:v>
      </x:c>
      <x:c r="C1779" s="34" t="str">
        <x:v>مرحله بندی مسابقات</x:v>
      </x:c>
      <x:c r="D1779" s="34" t="str">
        <x:v>POSSIBLE</x:v>
      </x:c>
      <x:c r="E1779" s="34" t="str">
        <x:v>85.5</x:v>
      </x:c>
      <x:c r="F1779" s="34" t="str">
        <x:v>MI-0035</x:v>
      </x:c>
      <x:c r="G1779" s="39" t="str">
        <x:v>خواندن کتب انگلیسی لول بندی شده</x:v>
      </x:c>
      <x:c r="H1779" s="39" t="str">
        <x:v>H1</x:v>
      </x:c>
      <x:c r="I1779" s="39" t="str">
        <x:v>BANK</x:v>
      </x:c>
      <x:c r="J1779" s="39" t="str">
        <x:v>H1</x:v>
      </x:c>
      <x:c r="K1779" s="39" t="str">
        <x:v>تطبیق احتمالی با پایه</x:v>
      </x:c>
      <x:c r="L1779" s="39" t="str">
        <x:v>MI-0035</x:v>
      </x:c>
      <x:c r="M1779" s="39" t="str">
        <x:v>خواندن کتب انگلیسی لول بندی شده</x:v>
      </x:c>
      <x:c r="N1779" s="39" t="str">
        <x:v>1154878548.docx::P4583.1</x:v>
      </x:c>
      <x:c r="O1779" s="39"/>
    </x:row>
    <x:row r="1780">
      <x:c r="A1780" s="34" t="str">
        <x:v>☐</x:v>
      </x:c>
      <x:c r="B1780" s="34" t="str">
        <x:v>EX-1752</x:v>
      </x:c>
      <x:c r="C1780" s="34" t="str">
        <x:v>تک مرحله ای</x:v>
      </x:c>
      <x:c r="D1780" s="34" t="str">
        <x:v>POSSIBLE</x:v>
      </x:c>
      <x:c r="E1780" s="34" t="str">
        <x:v>85.5</x:v>
      </x:c>
      <x:c r="F1780" s="34" t="str">
        <x:v>MI-1906</x:v>
      </x:c>
      <x:c r="G1780" s="39" t="str">
        <x:v>مراکز فنی و حرفه ای</x:v>
      </x:c>
      <x:c r="H1780" s="39" t="str">
        <x:v>H3</x:v>
      </x:c>
      <x:c r="I1780" s="39" t="str">
        <x:v>P3/CLARIFY</x:v>
      </x:c>
      <x:c r="J1780" s="39" t="str">
        <x:v>H3</x:v>
      </x:c>
      <x:c r="K1780" s="39" t="str">
        <x:v>تطبیق احتمالی با پایه</x:v>
      </x:c>
      <x:c r="L1780" s="39" t="str">
        <x:v>MI-1906</x:v>
      </x:c>
      <x:c r="M1780" s="39" t="str">
        <x:v>مراکز فنی و حرفه ای</x:v>
      </x:c>
      <x:c r="N1780" s="39" t="str">
        <x:v>1154878548.docx::P4584.1</x:v>
      </x:c>
      <x:c r="O1780" s="39"/>
    </x:row>
    <x:row r="1781">
      <x:c r="A1781" s="34" t="str">
        <x:v>☐</x:v>
      </x:c>
      <x:c r="B1781" s="34" t="str">
        <x:v>EX-1753</x:v>
      </x:c>
      <x:c r="C1781" s="34" t="str">
        <x:v>چند مرحله ای</x:v>
      </x:c>
      <x:c r="D1781" s="34" t="str">
        <x:v>POSSIBLE</x:v>
      </x:c>
      <x:c r="E1781" s="34" t="str">
        <x:v>90.0</x:v>
      </x:c>
      <x:c r="F1781" s="34" t="str">
        <x:v>MI-1498</x:v>
      </x:c>
      <x:c r="G1781" s="39" t="str">
        <x:v>مدیریت پروژه های چند مرحله ای</x:v>
      </x:c>
      <x:c r="H1781" s="39" t="str">
        <x:v>H6</x:v>
      </x:c>
      <x:c r="I1781" s="39" t="str">
        <x:v>P3/CLARIFY</x:v>
      </x:c>
      <x:c r="J1781" s="39" t="str">
        <x:v>H6</x:v>
      </x:c>
      <x:c r="K1781" s="39" t="str">
        <x:v>تطبیق احتمالی با پایه</x:v>
      </x:c>
      <x:c r="L1781" s="39" t="str">
        <x:v>MI-1498</x:v>
      </x:c>
      <x:c r="M1781" s="39" t="str">
        <x:v>مدیریت پروژه های چند مرحله ای</x:v>
      </x:c>
      <x:c r="N1781" s="39" t="str">
        <x:v>1154878548.docx::P4585.1</x:v>
      </x:c>
      <x:c r="O1781" s="39"/>
    </x:row>
    <x:row r="1782">
      <x:c r="A1782" s="34" t="str">
        <x:v>☐</x:v>
      </x:c>
      <x:c r="B1782" s="34" t="str">
        <x:v>EX-1754</x:v>
      </x:c>
      <x:c r="C1782" s="34" t="str">
        <x:v>نحوه اجرا</x:v>
      </x:c>
      <x:c r="D1782" s="34" t="str">
        <x:v>POSSIBLE</x:v>
      </x:c>
      <x:c r="E1782" s="34" t="str">
        <x:v>85.5</x:v>
      </x:c>
      <x:c r="F1782" s="34" t="str">
        <x:v>MI-0072</x:v>
      </x:c>
      <x:c r="G1782" s="39" t="str">
        <x:v>یادگیری گویندگی و اجرا</x:v>
      </x:c>
      <x:c r="H1782" s="39" t="str">
        <x:v>H4</x:v>
      </x:c>
      <x:c r="I1782" s="39" t="str">
        <x:v>P1</x:v>
      </x:c>
      <x:c r="J1782" s="39" t="str">
        <x:v>H4</x:v>
      </x:c>
      <x:c r="K1782" s="39" t="str">
        <x:v>تطبیق احتمالی با پایه</x:v>
      </x:c>
      <x:c r="L1782" s="39" t="str">
        <x:v>MI-0072</x:v>
      </x:c>
      <x:c r="M1782" s="39" t="str">
        <x:v>یادگیری گویندگی و اجرا</x:v>
      </x:c>
      <x:c r="N1782" s="39" t="str">
        <x:v>1154878548.docx::P4586.1</x:v>
      </x:c>
      <x:c r="O1782" s="39"/>
    </x:row>
    <x:row r="1783">
      <x:c r="A1783" s="34" t="str">
        <x:v>☐</x:v>
      </x:c>
      <x:c r="B1783" s="34" t="str">
        <x:v>EX-1755</x:v>
      </x:c>
      <x:c r="C1783" s="34" t="str">
        <x:v>الگوبرداری از  آر اف پی های سایت مبین جهت تعیین مسیر اجرا</x:v>
      </x:c>
      <x:c r="D1783" s="34" t="str">
        <x:v>POSSIBLE</x:v>
      </x:c>
      <x:c r="E1783" s="34" t="str">
        <x:v>85.5</x:v>
      </x:c>
      <x:c r="F1783" s="34" t="str">
        <x:v>MI-1461</x:v>
      </x:c>
      <x:c r="G1783" s="39" t="str">
        <x:v>مهارت های ارتباطی و بین فردی</x:v>
      </x:c>
      <x:c r="H1783" s="39" t="str">
        <x:v>H1</x:v>
      </x:c>
      <x:c r="I1783" s="39" t="str">
        <x:v>P0</x:v>
      </x:c>
      <x:c r="J1783" s="39" t="str">
        <x:v>H1</x:v>
      </x:c>
      <x:c r="K1783" s="39" t="str">
        <x:v>تطبیق احتمالی با پایه</x:v>
      </x:c>
      <x:c r="L1783" s="39" t="str">
        <x:v>MI-1461</x:v>
      </x:c>
      <x:c r="M1783" s="39" t="str">
        <x:v>مهارت های ارتباطی و بین فردی</x:v>
      </x:c>
      <x:c r="N1783" s="39" t="str">
        <x:v>1154878548.docx::P4587.1</x:v>
      </x:c>
      <x:c r="O1783" s="39"/>
    </x:row>
    <x:row r="1784">
      <x:c r="A1784" s="34" t="str">
        <x:v>☐</x:v>
      </x:c>
      <x:c r="B1784" s="34" t="str">
        <x:v>EX-1756</x:v>
      </x:c>
      <x:c r="C1784" s="34" t="str">
        <x:v>شرایط تشکیل تیم</x:v>
      </x:c>
      <x:c r="D1784" s="34" t="str">
        <x:v>POSSIBLE</x:v>
      </x:c>
      <x:c r="E1784" s="34" t="str">
        <x:v>90.0</x:v>
      </x:c>
      <x:c r="F1784" s="34" t="str">
        <x:v>MI-1811</x:v>
      </x:c>
      <x:c r="G1784" s="39" t="str">
        <x:v>تشکیل تیم</x:v>
      </x:c>
      <x:c r="H1784" s="39" t="str">
        <x:v>H20</x:v>
      </x:c>
      <x:c r="I1784" s="39" t="str">
        <x:v>P3/CLARIFY</x:v>
      </x:c>
      <x:c r="J1784" s="39" t="str">
        <x:v>H20</x:v>
      </x:c>
      <x:c r="K1784" s="39" t="str">
        <x:v>تطبیق احتمالی با پایه</x:v>
      </x:c>
      <x:c r="L1784" s="39" t="str">
        <x:v>MI-1811</x:v>
      </x:c>
      <x:c r="M1784" s="39" t="str">
        <x:v>تشکیل تیم</x:v>
      </x:c>
      <x:c r="N1784" s="39" t="str">
        <x:v>1154878548.docx::P4588.1</x:v>
      </x:c>
      <x:c r="O1784" s="39"/>
    </x:row>
    <x:row r="1785">
      <x:c r="A1785" s="34" t="str">
        <x:v>☐</x:v>
      </x:c>
      <x:c r="B1785" s="34" t="str">
        <x:v>EX-1757</x:v>
      </x:c>
      <x:c r="C1785" s="34" t="str">
        <x:v>تیم داره یا میخواد</x:v>
      </x:c>
      <x:c r="D1785" s="34" t="str">
        <x:v>POSSIBLE</x:v>
      </x:c>
      <x:c r="E1785" s="34" t="str">
        <x:v>85.5</x:v>
      </x:c>
      <x:c r="F1785" s="34" t="str">
        <x:v>MI-1442</x:v>
      </x:c>
      <x:c r="G1785" s="39" t="str">
        <x:v>این نیت کردم نمیدونم انجام شده یا نه چه کنم</x:v>
      </x:c>
      <x:c r="H1785" s="39" t="str">
        <x:v>H1</x:v>
      </x:c>
      <x:c r="I1785" s="39" t="str">
        <x:v>P0</x:v>
      </x:c>
      <x:c r="J1785" s="39" t="str">
        <x:v>H1</x:v>
      </x:c>
      <x:c r="K1785" s="39" t="str">
        <x:v>تطبیق احتمالی با پایه</x:v>
      </x:c>
      <x:c r="L1785" s="39" t="str">
        <x:v>MI-1442</x:v>
      </x:c>
      <x:c r="M1785" s="39" t="str">
        <x:v>این نیت کردم نمیدونم انجام شده یا نه چه کنم</x:v>
      </x:c>
      <x:c r="N1785" s="39" t="str">
        <x:v>1154878548.docx::P4589.1</x:v>
      </x:c>
      <x:c r="O1785" s="39"/>
    </x:row>
    <x:row r="1786">
      <x:c r="A1786" s="34" t="str">
        <x:v>☐</x:v>
      </x:c>
      <x:c r="B1786" s="34" t="str">
        <x:v>EX-1758</x:v>
      </x:c>
      <x:c r="C1786" s="34" t="str">
        <x:v>شرایط</x:v>
      </x:c>
      <x:c r="D1786" s="34" t="str">
        <x:v>POSSIBLE</x:v>
      </x:c>
      <x:c r="E1786" s="34" t="str">
        <x:v>90.0</x:v>
      </x:c>
      <x:c r="F1786" s="34" t="str">
        <x:v>MI-0613</x:v>
      </x:c>
      <x:c r="G1786" s="39" t="str">
        <x:v>نحوه اطلاع رسانی در شرایط بحرانی</x:v>
      </x:c>
      <x:c r="H1786" s="39" t="str">
        <x:v>H4</x:v>
      </x:c>
      <x:c r="I1786" s="39" t="str">
        <x:v>P1</x:v>
      </x:c>
      <x:c r="J1786" s="39" t="str">
        <x:v>H4</x:v>
      </x:c>
      <x:c r="K1786" s="39" t="str">
        <x:v>تطبیق احتمالی با پایه</x:v>
      </x:c>
      <x:c r="L1786" s="39" t="str">
        <x:v>MI-0613</x:v>
      </x:c>
      <x:c r="M1786" s="39" t="str">
        <x:v>نحوه اطلاع رسانی در شرایط بحرانی</x:v>
      </x:c>
      <x:c r="N1786" s="39" t="str">
        <x:v>1154878548.docx::P4590.1</x:v>
      </x:c>
      <x:c r="O1786" s="39"/>
    </x:row>
    <x:row r="1787">
      <x:c r="A1787" s="34" t="str">
        <x:v>☐</x:v>
      </x:c>
      <x:c r="B1787" s="34" t="str">
        <x:v>EX-1759</x:v>
      </x:c>
      <x:c r="C1787" s="34" t="str">
        <x:v>نیاز های رشته های مختلف با مشورت هیئت نظارت</x:v>
      </x:c>
      <x:c r="D1787" s="34" t="str">
        <x:v>POSSIBLE</x:v>
      </x:c>
      <x:c r="E1787" s="34" t="str">
        <x:v>85.5</x:v>
      </x:c>
      <x:c r="F1787" s="34" t="str">
        <x:v>MI-1501</x:v>
      </x:c>
      <x:c r="G1787" s="39" t="str">
        <x:v>مدیریت ریسک: شناسایی ریسک ها، ارزیابی اثرات، تدوین برنامه های مقابله با ریسک ها.</x:v>
      </x:c>
      <x:c r="H1787" s="39" t="str">
        <x:v>H1</x:v>
      </x:c>
      <x:c r="I1787" s="39" t="str">
        <x:v>P0</x:v>
      </x:c>
      <x:c r="J1787" s="39" t="str">
        <x:v>H1</x:v>
      </x:c>
      <x:c r="K1787" s="39" t="str">
        <x:v>تطبیق احتمالی با پایه</x:v>
      </x:c>
      <x:c r="L1787" s="39" t="str">
        <x:v>MI-1501</x:v>
      </x:c>
      <x:c r="M1787" s="39" t="str">
        <x:v>مدیریت ریسک: شناسایی ریسک ها، ارزیابی اثرات، تدوین برنامه های مقابله با ریسک ها.</x:v>
      </x:c>
      <x:c r="N1787" s="39" t="str">
        <x:v>1154878548.docx::P4591.1</x:v>
      </x:c>
      <x:c r="O1787" s="39"/>
    </x:row>
    <x:row r="1788">
      <x:c r="A1788" s="34" t="str">
        <x:v>☐</x:v>
      </x:c>
      <x:c r="B1788" s="34" t="str">
        <x:v>EX-1760</x:v>
      </x:c>
      <x:c r="C1788" s="34" t="str">
        <x:v>کامپیوتر</x:v>
      </x:c>
      <x:c r="D1788" s="34" t="str">
        <x:v>POSSIBLE</x:v>
      </x:c>
      <x:c r="E1788" s="34" t="str">
        <x:v>90.0</x:v>
      </x:c>
      <x:c r="F1788" s="34" t="str">
        <x:v>MI-1002</x:v>
      </x:c>
      <x:c r="G1788" s="39" t="str">
        <x:v>ارتقا سیستم های کامپیوتری جهت استفاده از نرم افزار های مهندسی</x:v>
      </x:c>
      <x:c r="H1788" s="39" t="str">
        <x:v>H11</x:v>
      </x:c>
      <x:c r="I1788" s="39" t="str">
        <x:v>DELEGATE/P2</x:v>
      </x:c>
      <x:c r="J1788" s="39" t="str">
        <x:v>H11</x:v>
      </x:c>
      <x:c r="K1788" s="39" t="str">
        <x:v>تطبیق احتمالی با پایه</x:v>
      </x:c>
      <x:c r="L1788" s="39" t="str">
        <x:v>MI-1002</x:v>
      </x:c>
      <x:c r="M1788" s="39" t="str">
        <x:v>ارتقا سیستم های کامپیوتری جهت استفاده از نرم افزار های مهندسی</x:v>
      </x:c>
      <x:c r="N1788" s="39" t="str">
        <x:v>1154878548.docx::P4592.1</x:v>
      </x:c>
      <x:c r="O1788" s="39"/>
    </x:row>
    <x:row r="1789">
      <x:c r="A1789" s="34" t="str">
        <x:v>☐</x:v>
      </x:c>
      <x:c r="B1789" s="34" t="str">
        <x:v>EX-1761</x:v>
      </x:c>
      <x:c r="C1789" s="34" t="str">
        <x:v>برق</x:v>
      </x:c>
      <x:c r="D1789" s="34" t="str">
        <x:v>POSSIBLE</x:v>
      </x:c>
      <x:c r="E1789" s="34" t="str">
        <x:v>90.0</x:v>
      </x:c>
      <x:c r="F1789" s="34" t="str">
        <x:v>MI-0726</x:v>
      </x:c>
      <x:c r="G1789" s="39" t="str">
        <x:v>دانشکده جدید برق</x:v>
      </x:c>
      <x:c r="H1789" s="39" t="str">
        <x:v>H11</x:v>
      </x:c>
      <x:c r="I1789" s="39" t="str">
        <x:v>DELEGATE/P2</x:v>
      </x:c>
      <x:c r="J1789" s="39" t="str">
        <x:v>H11</x:v>
      </x:c>
      <x:c r="K1789" s="39" t="str">
        <x:v>تطبیق احتمالی با پایه</x:v>
      </x:c>
      <x:c r="L1789" s="39" t="str">
        <x:v>MI-0726</x:v>
      </x:c>
      <x:c r="M1789" s="39" t="str">
        <x:v>دانشکده جدید برق</x:v>
      </x:c>
      <x:c r="N1789" s="39" t="str">
        <x:v>1154878548.docx::P4593.1</x:v>
      </x:c>
      <x:c r="O1789" s="39"/>
    </x:row>
    <x:row r="1790">
      <x:c r="A1790" s="34" t="str">
        <x:v>☐</x:v>
      </x:c>
      <x:c r="B1790" s="34" t="str">
        <x:v>EX-1762</x:v>
      </x:c>
      <x:c r="C1790" s="34" t="str">
        <x:v>مکانیک</x:v>
      </x:c>
      <x:c r="D1790" s="34" t="str">
        <x:v>POSSIBLE</x:v>
      </x:c>
      <x:c r="E1790" s="34" t="str">
        <x:v>90.0</x:v>
      </x:c>
      <x:c r="F1790" s="34" t="str">
        <x:v>MI-0084</x:v>
      </x:c>
      <x:c r="G1790" s="39" t="str">
        <x:v>تسلط بر دروس آزمون ارشد مکانیک جامدات</x:v>
      </x:c>
      <x:c r="H1790" s="39" t="str">
        <x:v>H2</x:v>
      </x:c>
      <x:c r="I1790" s="39" t="str">
        <x:v>P3/CLARIFY</x:v>
      </x:c>
      <x:c r="J1790" s="39" t="str">
        <x:v>H2</x:v>
      </x:c>
      <x:c r="K1790" s="39" t="str">
        <x:v>تطبیق احتمالی با پایه</x:v>
      </x:c>
      <x:c r="L1790" s="39" t="str">
        <x:v>MI-0084</x:v>
      </x:c>
      <x:c r="M1790" s="39" t="str">
        <x:v>تسلط بر دروس آزمون ارشد مکانیک جامدات</x:v>
      </x:c>
      <x:c r="N1790" s="39" t="str">
        <x:v>1154878548.docx::P4594.1</x:v>
      </x:c>
      <x:c r="O1790" s="39"/>
    </x:row>
    <x:row r="1791">
      <x:c r="A1791" s="34" t="str">
        <x:v>☐</x:v>
      </x:c>
      <x:c r="B1791" s="34" t="str">
        <x:v>EX-1763</x:v>
      </x:c>
      <x:c r="C1791" s="34" t="str">
        <x:v>دوره کلاسی</x:v>
      </x:c>
      <x:c r="D1791" s="34" t="str">
        <x:v>POSSIBLE</x:v>
      </x:c>
      <x:c r="E1791" s="34" t="str">
        <x:v>85.5</x:v>
      </x:c>
      <x:c r="F1791" s="34" t="str">
        <x:v>MI-0065</x:v>
      </x:c>
      <x:c r="G1791" s="39" t="str">
        <x:v>یادگیری دوره تربیت مدرس ttc</x:v>
      </x:c>
      <x:c r="H1791" s="39" t="str">
        <x:v>H2</x:v>
      </x:c>
      <x:c r="I1791" s="39" t="str">
        <x:v>P3/CLARIFY</x:v>
      </x:c>
      <x:c r="J1791" s="39" t="str">
        <x:v>H2</x:v>
      </x:c>
      <x:c r="K1791" s="39" t="str">
        <x:v>تطبیق احتمالی با پایه</x:v>
      </x:c>
      <x:c r="L1791" s="39" t="str">
        <x:v>MI-0065</x:v>
      </x:c>
      <x:c r="M1791" s="39" t="str">
        <x:v>یادگیری دوره تربیت مدرس ttc</x:v>
      </x:c>
      <x:c r="N1791" s="39" t="str">
        <x:v>1154878548.docx::P4596.1</x:v>
      </x:c>
      <x:c r="O1791" s="39"/>
    </x:row>
    <x:row r="1792">
      <x:c r="A1792" s="34" t="str">
        <x:v>☐</x:v>
      </x:c>
      <x:c r="B1792" s="34" t="str">
        <x:v>EX-1764</x:v>
      </x:c>
      <x:c r="C1792" s="34" t="str">
        <x:v>اساتید دوره</x:v>
      </x:c>
      <x:c r="D1792" s="34" t="str">
        <x:v>POSSIBLE</x:v>
      </x:c>
      <x:c r="E1792" s="34" t="str">
        <x:v>85.5</x:v>
      </x:c>
      <x:c r="F1792" s="34" t="str">
        <x:v>MI-0065</x:v>
      </x:c>
      <x:c r="G1792" s="39" t="str">
        <x:v>یادگیری دوره تربیت مدرس ttc</x:v>
      </x:c>
      <x:c r="H1792" s="39" t="str">
        <x:v>H2</x:v>
      </x:c>
      <x:c r="I1792" s="39" t="str">
        <x:v>P3/CLARIFY</x:v>
      </x:c>
      <x:c r="J1792" s="39" t="str">
        <x:v>H2</x:v>
      </x:c>
      <x:c r="K1792" s="39" t="str">
        <x:v>تطبیق احتمالی با پایه</x:v>
      </x:c>
      <x:c r="L1792" s="39" t="str">
        <x:v>MI-0065</x:v>
      </x:c>
      <x:c r="M1792" s="39" t="str">
        <x:v>یادگیری دوره تربیت مدرس ttc</x:v>
      </x:c>
      <x:c r="N1792" s="39" t="str">
        <x:v>1154878548.docx::P4597.1</x:v>
      </x:c>
      <x:c r="O1792" s="39"/>
    </x:row>
    <x:row r="1793">
      <x:c r="A1793" s="34" t="str">
        <x:v>☐</x:v>
      </x:c>
      <x:c r="B1793" s="34" t="str">
        <x:v>EX-1765</x:v>
      </x:c>
      <x:c r="C1793" s="34" t="str">
        <x:v>مردانی</x:v>
      </x:c>
      <x:c r="D1793" s="34" t="str">
        <x:v>POSSIBLE</x:v>
      </x:c>
      <x:c r="E1793" s="34" t="str">
        <x:v>83.3</x:v>
      </x:c>
      <x:c r="F1793" s="34" t="str">
        <x:v>MI-0297</x:v>
      </x:c>
      <x:c r="G1793" s="39" t="str">
        <x:v>عمرانی</x:v>
      </x:c>
      <x:c r="H1793" s="39" t="str">
        <x:v>H11</x:v>
      </x:c>
      <x:c r="I1793" s="39" t="str">
        <x:v>DELEGATE/P2</x:v>
      </x:c>
      <x:c r="J1793" s="39" t="str">
        <x:v>H11</x:v>
      </x:c>
      <x:c r="K1793" s="39" t="str">
        <x:v>تطبیق احتمالی با پایه</x:v>
      </x:c>
      <x:c r="L1793" s="39" t="str">
        <x:v>MI-0297</x:v>
      </x:c>
      <x:c r="M1793" s="39" t="str">
        <x:v>عمرانی</x:v>
      </x:c>
      <x:c r="N1793" s="39" t="str">
        <x:v>1154878548.docx::P4598.1</x:v>
      </x:c>
      <x:c r="O1793" s="39"/>
    </x:row>
    <x:row r="1794">
      <x:c r="A1794" s="34" t="str">
        <x:v>☐</x:v>
      </x:c>
      <x:c r="B1794" s="34" t="str">
        <x:v>EX-1766</x:v>
      </x:c>
      <x:c r="C1794" s="34" t="str">
        <x:v>برنامه ریزی کلاسی</x:v>
      </x:c>
      <x:c r="D1794" s="34" t="str">
        <x:v>POSSIBLE</x:v>
      </x:c>
      <x:c r="E1794" s="34" t="str">
        <x:v>85.5</x:v>
      </x:c>
      <x:c r="F1794" s="34" t="str">
        <x:v>MI-1501</x:v>
      </x:c>
      <x:c r="G1794" s="39" t="str">
        <x:v>مدیریت ریسک: شناسایی ریسک ها، ارزیابی اثرات، تدوین برنامه های مقابله با ریسک ها.</x:v>
      </x:c>
      <x:c r="H1794" s="39" t="str">
        <x:v>H1</x:v>
      </x:c>
      <x:c r="I1794" s="39" t="str">
        <x:v>P0</x:v>
      </x:c>
      <x:c r="J1794" s="39" t="str">
        <x:v>H1</x:v>
      </x:c>
      <x:c r="K1794" s="39" t="str">
        <x:v>تطبیق احتمالی با پایه</x:v>
      </x:c>
      <x:c r="L1794" s="39" t="str">
        <x:v>MI-1501</x:v>
      </x:c>
      <x:c r="M1794" s="39" t="str">
        <x:v>مدیریت ریسک: شناسایی ریسک ها، ارزیابی اثرات، تدوین برنامه های مقابله با ریسک ها.</x:v>
      </x:c>
      <x:c r="N1794" s="39" t="str">
        <x:v>1154878548.docx::P4600.1</x:v>
      </x:c>
      <x:c r="O1794" s="39"/>
    </x:row>
    <x:row r="1795">
      <x:c r="A1795" s="34" t="str">
        <x:v>☐</x:v>
      </x:c>
      <x:c r="B1795" s="34" t="str">
        <x:v>EX-1767</x:v>
      </x:c>
      <x:c r="C1795" s="34" t="str">
        <x:v>کدوم کلاس کدوم استاد</x:v>
      </x:c>
      <x:c r="D1795" s="34" t="str">
        <x:v>POSSIBLE</x:v>
      </x:c>
      <x:c r="E1795" s="34" t="str">
        <x:v>85.5</x:v>
      </x:c>
      <x:c r="F1795" s="34" t="str">
        <x:v>MI-1409</x:v>
      </x:c>
      <x:c r="G1795" s="39" t="str">
        <x:v>بررسی پروپوزال طرح بحث و مناظره در داخل کلاس جهت ایجاد گفتگو و انتقال محتویات</x:v>
      </x:c>
      <x:c r="H1795" s="39" t="str">
        <x:v>H9</x:v>
      </x:c>
      <x:c r="I1795" s="39" t="str">
        <x:v>BANK</x:v>
      </x:c>
      <x:c r="J1795" s="39" t="str">
        <x:v>H9</x:v>
      </x:c>
      <x:c r="K1795" s="39" t="str">
        <x:v>تطبیق احتمالی با پایه</x:v>
      </x:c>
      <x:c r="L1795" s="39" t="str">
        <x:v>MI-1409</x:v>
      </x:c>
      <x:c r="M1795" s="39" t="str">
        <x:v>بررسی پروپوزال طرح بحث و مناظره در داخل کلاس جهت ایجاد گفتگو و انتقال محتویات</x:v>
      </x:c>
      <x:c r="N1795" s="39" t="str">
        <x:v>1154878548.docx::P4601.1</x:v>
      </x:c>
      <x:c r="O1795" s="39"/>
    </x:row>
    <x:row r="1796">
      <x:c r="A1796" s="34" t="str">
        <x:v>☐</x:v>
      </x:c>
      <x:c r="B1796" s="34" t="str">
        <x:v>EX-1768</x:v>
      </x:c>
      <x:c r="C1796" s="34" t="str">
        <x:v>دینامیک پرواز</x:v>
      </x:c>
      <x:c r="D1796" s="34" t="str">
        <x:v>UNMAPPED</x:v>
      </x:c>
      <x:c r="E1796" s="34" t="str">
        <x:v>66.5</x:v>
      </x:c>
      <x:c r="F1796" s="34" t="str">
        <x:v>MI-0106</x:v>
      </x:c>
      <x:c r="G1796" s="39" t="str">
        <x:v>تحلیل دینامیک سازه</x:v>
      </x:c>
      <x:c r="H1796" s="39" t="str">
        <x:v>H6</x:v>
      </x:c>
      <x:c r="I1796" s="39" t="str">
        <x:v>P3/CLARIFY</x:v>
      </x:c>
      <x:c r="J1796" s="39" t="str">
        <x:v>H23</x:v>
      </x:c>
      <x:c r="K1796" s="39" t="str">
        <x:v>نیازمند پالایش؛ حذف نشده</x:v>
      </x:c>
      <x:c r="L1796" s="39"/>
      <x:c r="M1796" s="39"/>
      <x:c r="N1796" s="39" t="str">
        <x:v>1154878548.docx::P4603.1</x:v>
      </x:c>
      <x:c r="O1796" s="39"/>
    </x:row>
    <x:row r="1797">
      <x:c r="A1797" s="34" t="str">
        <x:v>☐</x:v>
      </x:c>
      <x:c r="B1797" s="34" t="str">
        <x:v>EX-1769</x:v>
      </x:c>
      <x:c r="C1797" s="34" t="str">
        <x:v>کنترل</x:v>
      </x:c>
      <x:c r="D1797" s="34" t="str">
        <x:v>POSSIBLE</x:v>
      </x:c>
      <x:c r="E1797" s="34" t="str">
        <x:v>90.9</x:v>
      </x:c>
      <x:c r="F1797" s="34" t="str">
        <x:v>MI-0645</x:v>
      </x:c>
      <x:c r="G1797" s="39" t="str">
        <x:v>کنترلر</x:v>
      </x:c>
      <x:c r="H1797" s="39" t="str">
        <x:v>H11</x:v>
      </x:c>
      <x:c r="I1797" s="39" t="str">
        <x:v>DELEGATE/P2</x:v>
      </x:c>
      <x:c r="J1797" s="39" t="str">
        <x:v>H11</x:v>
      </x:c>
      <x:c r="K1797" s="39" t="str">
        <x:v>تطبیق احتمالی با پایه</x:v>
      </x:c>
      <x:c r="L1797" s="39" t="str">
        <x:v>MI-0645</x:v>
      </x:c>
      <x:c r="M1797" s="39" t="str">
        <x:v>کنترلر</x:v>
      </x:c>
      <x:c r="N1797" s="39" t="str">
        <x:v>1154878548.docx::P4604.1</x:v>
      </x:c>
      <x:c r="O1797" s="39"/>
    </x:row>
    <x:row r="1798">
      <x:c r="A1798" s="34" t="str">
        <x:v>☐</x:v>
      </x:c>
      <x:c r="B1798" s="34" t="str">
        <x:v>EX-1770</x:v>
      </x:c>
      <x:c r="C1798" s="34" t="str">
        <x:v>مدار منطقی</x:v>
      </x:c>
      <x:c r="D1798" s="34" t="str">
        <x:v>POSSIBLE</x:v>
      </x:c>
      <x:c r="E1798" s="34" t="str">
        <x:v>85.5</x:v>
      </x:c>
      <x:c r="F1798" s="34" t="str">
        <x:v>MI-0693</x:v>
      </x:c>
      <x:c r="G1798" s="39" t="str">
        <x:v>دوربین مدار بسته سالن مطالعه کتابخانه سردار و سالن های مطالعه خوابگاه ها</x:v>
      </x:c>
      <x:c r="H1798" s="39" t="str">
        <x:v>H11</x:v>
      </x:c>
      <x:c r="I1798" s="39" t="str">
        <x:v>BANK</x:v>
      </x:c>
      <x:c r="J1798" s="39" t="str">
        <x:v>H11</x:v>
      </x:c>
      <x:c r="K1798" s="39" t="str">
        <x:v>تطبیق احتمالی با پایه</x:v>
      </x:c>
      <x:c r="L1798" s="39" t="str">
        <x:v>MI-0693</x:v>
      </x:c>
      <x:c r="M1798" s="39" t="str">
        <x:v>دوربین مدار بسته سالن مطالعه کتابخانه سردار و سالن های مطالعه خوابگاه ها</x:v>
      </x:c>
      <x:c r="N1798" s="39" t="str">
        <x:v>1154878548.docx::P4605.1</x:v>
      </x:c>
      <x:c r="O1798" s="39"/>
    </x:row>
    <x:row r="1799">
      <x:c r="A1799" s="34" t="str">
        <x:v>☐</x:v>
      </x:c>
      <x:c r="B1799" s="34" t="str">
        <x:v>EX-1771</x:v>
      </x:c>
      <x:c r="C1799" s="34" t="str">
        <x:v>اصول رباتیک</x:v>
      </x:c>
      <x:c r="D1799" s="34" t="str">
        <x:v>POSSIBLE</x:v>
      </x:c>
      <x:c r="E1799" s="34" t="str">
        <x:v>90.0</x:v>
      </x:c>
      <x:c r="F1799" s="34" t="str">
        <x:v>MI-0608</x:v>
      </x:c>
      <x:c r="G1799" s="39" t="str">
        <x:v>رباتیک</x:v>
      </x:c>
      <x:c r="H1799" s="39" t="str">
        <x:v>H7</x:v>
      </x:c>
      <x:c r="I1799" s="39" t="str">
        <x:v>P1</x:v>
      </x:c>
      <x:c r="J1799" s="39" t="str">
        <x:v>H7</x:v>
      </x:c>
      <x:c r="K1799" s="39" t="str">
        <x:v>تطبیق احتمالی با پایه</x:v>
      </x:c>
      <x:c r="L1799" s="39" t="str">
        <x:v>MI-0608</x:v>
      </x:c>
      <x:c r="M1799" s="39" t="str">
        <x:v>رباتیک</x:v>
      </x:c>
      <x:c r="N1799" s="39" t="str">
        <x:v>1154878548.docx::P4606.1</x:v>
      </x:c>
      <x:c r="O1799" s="39"/>
    </x:row>
    <x:row r="1800">
      <x:c r="A1800" s="34" t="str">
        <x:v>☐</x:v>
      </x:c>
      <x:c r="B1800" s="34" t="str">
        <x:v>EX-1772</x:v>
      </x:c>
      <x:c r="C1800" s="34" t="str">
        <x:v>دوره ساخت و تست</x:v>
      </x:c>
      <x:c r="D1800" s="34" t="str">
        <x:v>POSSIBLE</x:v>
      </x:c>
      <x:c r="E1800" s="34" t="str">
        <x:v>85.5</x:v>
      </x:c>
      <x:c r="F1800" s="34" t="str">
        <x:v>MI-1513</x:v>
      </x:c>
      <x:c r="G1800" s="39" t="str">
        <x:v>تولید و کارآفرینی: توانایی تولید محصول و خدمات و ایجاد شغل.</x:v>
      </x:c>
      <x:c r="H1800" s="39" t="str">
        <x:v>H1</x:v>
      </x:c>
      <x:c r="I1800" s="39" t="str">
        <x:v>P0</x:v>
      </x:c>
      <x:c r="J1800" s="39" t="str">
        <x:v>H1</x:v>
      </x:c>
      <x:c r="K1800" s="39" t="str">
        <x:v>تطبیق احتمالی با پایه</x:v>
      </x:c>
      <x:c r="L1800" s="39" t="str">
        <x:v>MI-1513</x:v>
      </x:c>
      <x:c r="M1800" s="39" t="str">
        <x:v>تولید و کارآفرینی: توانایی تولید محصول و خدمات و ایجاد شغل.</x:v>
      </x:c>
      <x:c r="N1800" s="39" t="str">
        <x:v>1154878548.docx::P4607.1</x:v>
      </x:c>
      <x:c r="O1800" s="39"/>
    </x:row>
    <x:row r="1801">
      <x:c r="A1801" s="34" t="str">
        <x:v>☐</x:v>
      </x:c>
      <x:c r="B1801" s="34" t="str">
        <x:v>EX-1773</x:v>
      </x:c>
      <x:c r="C1801" s="34" t="str">
        <x:v>استقامتی</x:v>
      </x:c>
      <x:c r="D1801" s="34" t="str">
        <x:v>UNMAPPED</x:v>
      </x:c>
      <x:c r="E1801" s="34" t="str">
        <x:v>71.4</x:v>
      </x:c>
      <x:c r="F1801" s="34" t="str">
        <x:v>MI-0286</x:v>
      </x:c>
      <x:c r="G1801" s="39" t="str">
        <x:v>اسلامی</x:v>
      </x:c>
      <x:c r="H1801" s="39" t="str">
        <x:v>H16</x:v>
      </x:c>
      <x:c r="I1801" s="39" t="str">
        <x:v>P3/CLARIFY</x:v>
      </x:c>
      <x:c r="J1801" s="39" t="str">
        <x:v>H23</x:v>
      </x:c>
      <x:c r="K1801" s="39" t="str">
        <x:v>نیازمند پالایش؛ حذف نشده</x:v>
      </x:c>
      <x:c r="L1801" s="39"/>
      <x:c r="M1801" s="39"/>
      <x:c r="N1801" s="39" t="str">
        <x:v>1154878548.docx::P4608.1</x:v>
      </x:c>
      <x:c r="O1801" s="39"/>
    </x:row>
    <x:row r="1802">
      <x:c r="A1802" s="34" t="str">
        <x:v>☐</x:v>
      </x:c>
      <x:c r="B1802" s="34" t="str">
        <x:v>EX-1774</x:v>
      </x:c>
      <x:c r="C1802" s="34" t="str">
        <x:v>پرواز با مانع</x:v>
      </x:c>
      <x:c r="D1802" s="34" t="str">
        <x:v>POSSIBLE</x:v>
      </x:c>
      <x:c r="E1802" s="34" t="str">
        <x:v>85.5</x:v>
      </x:c>
      <x:c r="F1802" s="34" t="str">
        <x:v>MI-1501</x:v>
      </x:c>
      <x:c r="G1802" s="39" t="str">
        <x:v>مدیریت ریسک: شناسایی ریسک ها، ارزیابی اثرات، تدوین برنامه های مقابله با ریسک ها.</x:v>
      </x:c>
      <x:c r="H1802" s="39" t="str">
        <x:v>H1</x:v>
      </x:c>
      <x:c r="I1802" s="39" t="str">
        <x:v>P0</x:v>
      </x:c>
      <x:c r="J1802" s="39" t="str">
        <x:v>H1</x:v>
      </x:c>
      <x:c r="K1802" s="39" t="str">
        <x:v>تطبیق احتمالی با پایه</x:v>
      </x:c>
      <x:c r="L1802" s="39" t="str">
        <x:v>MI-1501</x:v>
      </x:c>
      <x:c r="M1802" s="39" t="str">
        <x:v>مدیریت ریسک: شناسایی ریسک ها، ارزیابی اثرات، تدوین برنامه های مقابله با ریسک ها.</x:v>
      </x:c>
      <x:c r="N1802" s="39" t="str">
        <x:v>1154878548.docx::P4609.1</x:v>
      </x:c>
      <x:c r="O1802" s="39"/>
    </x:row>
    <x:row r="1803">
      <x:c r="A1803" s="34" t="str">
        <x:v>☐</x:v>
      </x:c>
      <x:c r="B1803" s="34" t="str">
        <x:v>EX-1775</x:v>
      </x:c>
      <x:c r="C1803" s="34" t="str">
        <x:v>ماموریتی</x:v>
      </x:c>
      <x:c r="D1803" s="34" t="str">
        <x:v>POSSIBLE</x:v>
      </x:c>
      <x:c r="E1803" s="34" t="str">
        <x:v>84.0</x:v>
      </x:c>
      <x:c r="F1803" s="34" t="str">
        <x:v>MI-1703</x:v>
      </x:c>
      <x:c r="G1803" s="39" t="str">
        <x:v>• ماموریت 1–3 ماهه:</x:v>
      </x:c>
      <x:c r="H1803" s="39" t="str">
        <x:v>H20</x:v>
      </x:c>
      <x:c r="I1803" s="39" t="str">
        <x:v>P3/CLARIFY</x:v>
      </x:c>
      <x:c r="J1803" s="39" t="str">
        <x:v>H20</x:v>
      </x:c>
      <x:c r="K1803" s="39" t="str">
        <x:v>تطبیق احتمالی با پایه</x:v>
      </x:c>
      <x:c r="L1803" s="39" t="str">
        <x:v>MI-1703</x:v>
      </x:c>
      <x:c r="M1803" s="39" t="str">
        <x:v>• ماموریت 1–3 ماهه:</x:v>
      </x:c>
      <x:c r="N1803" s="39" t="str">
        <x:v>1154878548.docx::P4610.1</x:v>
      </x:c>
      <x:c r="O1803" s="39"/>
    </x:row>
    <x:row r="1804">
      <x:c r="A1804" s="34" t="str">
        <x:v>☐</x:v>
      </x:c>
      <x:c r="B1804" s="34" t="str">
        <x:v>EX-1776</x:v>
      </x:c>
      <x:c r="C1804" s="34" t="str">
        <x:v>رقابتی</x:v>
      </x:c>
      <x:c r="D1804" s="34" t="str">
        <x:v>POSSIBLE</x:v>
      </x:c>
      <x:c r="E1804" s="34" t="str">
        <x:v>90.0</x:v>
      </x:c>
      <x:c r="F1804" s="34" t="str">
        <x:v>MI-3135</x:v>
      </x:c>
      <x:c r="G1804" s="39" t="str">
        <x:v>هالند رقابتی/متقاعدکننده: 75</x:v>
      </x:c>
      <x:c r="H1804" s="39" t="str">
        <x:v>H22</x:v>
      </x:c>
      <x:c r="I1804" s="39" t="str">
        <x:v>P3/CLARIFY</x:v>
      </x:c>
      <x:c r="J1804" s="39" t="str">
        <x:v>H22</x:v>
      </x:c>
      <x:c r="K1804" s="39" t="str">
        <x:v>تطبیق احتمالی با پایه</x:v>
      </x:c>
      <x:c r="L1804" s="39" t="str">
        <x:v>MI-3135</x:v>
      </x:c>
      <x:c r="M1804" s="39" t="str">
        <x:v>هالند رقابتی/متقاعدکننده: 75</x:v>
      </x:c>
      <x:c r="N1804" s="39" t="str">
        <x:v>1154878548.docx::P4611.1</x:v>
      </x:c>
      <x:c r="O1804" s="39"/>
    </x:row>
    <x:row r="1805">
      <x:c r="A1805" s="34" t="str">
        <x:v>☐</x:v>
      </x:c>
      <x:c r="B1805" s="34" t="str">
        <x:v>EX-1777</x:v>
      </x:c>
      <x:c r="C1805" s="34" t="str">
        <x:v>الگو برداری</x:v>
      </x:c>
      <x:c r="D1805" s="34" t="str">
        <x:v>POSSIBLE</x:v>
      </x:c>
      <x:c r="E1805" s="34" t="str">
        <x:v>90.0</x:v>
      </x:c>
      <x:c r="F1805" s="34" t="str">
        <x:v>MI-1000</x:v>
      </x:c>
      <x:c r="G1805" s="39" t="str">
        <x:v>الگو برداری از نمونه های موفق سایر دانشگا ها</x:v>
      </x:c>
      <x:c r="H1805" s="39" t="str">
        <x:v>H11</x:v>
      </x:c>
      <x:c r="I1805" s="39" t="str">
        <x:v>DELEGATE/P2</x:v>
      </x:c>
      <x:c r="J1805" s="39" t="str">
        <x:v>H11</x:v>
      </x:c>
      <x:c r="K1805" s="39" t="str">
        <x:v>تطبیق احتمالی با پایه</x:v>
      </x:c>
      <x:c r="L1805" s="39" t="str">
        <x:v>MI-1000</x:v>
      </x:c>
      <x:c r="M1805" s="39" t="str">
        <x:v>الگو برداری از نمونه های موفق سایر دانشگا ها</x:v>
      </x:c>
      <x:c r="N1805" s="39" t="str">
        <x:v>1154878548.docx::P4612.1</x:v>
      </x:c>
      <x:c r="O1805" s="39"/>
    </x:row>
    <x:row r="1806">
      <x:c r="A1806" s="34" t="str">
        <x:v>☐</x:v>
      </x:c>
      <x:c r="B1806" s="34" t="str">
        <x:v>EX-1778</x:v>
      </x:c>
      <x:c r="C1806" s="34" t="str">
        <x:v>جام آبی</x:v>
      </x:c>
      <x:c r="D1806" s="34" t="str">
        <x:v>POSSIBLE</x:v>
      </x:c>
      <x:c r="E1806" s="34" t="str">
        <x:v>85.5</x:v>
      </x:c>
      <x:c r="F1806" s="34" t="str">
        <x:v>MI-1214</x:v>
      </x:c>
      <x:c r="G1806" s="39" t="str">
        <x:v>پروپوزال حیدری برای جام هوایی</x:v>
      </x:c>
      <x:c r="H1806" s="39" t="str">
        <x:v>H9</x:v>
      </x:c>
      <x:c r="I1806" s="39" t="str">
        <x:v>P2</x:v>
      </x:c>
      <x:c r="J1806" s="39" t="str">
        <x:v>H9</x:v>
      </x:c>
      <x:c r="K1806" s="39" t="str">
        <x:v>تطبیق احتمالی با پایه</x:v>
      </x:c>
      <x:c r="L1806" s="39" t="str">
        <x:v>MI-1214</x:v>
      </x:c>
      <x:c r="M1806" s="39" t="str">
        <x:v>پروپوزال حیدری برای جام هوایی</x:v>
      </x:c>
      <x:c r="N1806" s="39" t="str">
        <x:v>1154878548.docx::P4613.1</x:v>
      </x:c>
      <x:c r="O1806" s="39"/>
    </x:row>
    <x:row r="1807">
      <x:c r="A1807" s="34" t="str">
        <x:v>☐</x:v>
      </x:c>
      <x:c r="B1807" s="34" t="str">
        <x:v>EX-1779</x:v>
      </x:c>
      <x:c r="C1807" s="34" t="str">
        <x:v>امتیازات جام</x:v>
      </x:c>
      <x:c r="D1807" s="34" t="str">
        <x:v>POSSIBLE</x:v>
      </x:c>
      <x:c r="E1807" s="34" t="str">
        <x:v>85.5</x:v>
      </x:c>
      <x:c r="F1807" s="34" t="str">
        <x:v>MI-1214</x:v>
      </x:c>
      <x:c r="G1807" s="39" t="str">
        <x:v>پروپوزال حیدری برای جام هوایی</x:v>
      </x:c>
      <x:c r="H1807" s="39" t="str">
        <x:v>H9</x:v>
      </x:c>
      <x:c r="I1807" s="39" t="str">
        <x:v>P2</x:v>
      </x:c>
      <x:c r="J1807" s="39" t="str">
        <x:v>H9</x:v>
      </x:c>
      <x:c r="K1807" s="39" t="str">
        <x:v>تطبیق احتمالی با پایه</x:v>
      </x:c>
      <x:c r="L1807" s="39" t="str">
        <x:v>MI-1214</x:v>
      </x:c>
      <x:c r="M1807" s="39" t="str">
        <x:v>پروپوزال حیدری برای جام هوایی</x:v>
      </x:c>
      <x:c r="N1807" s="39" t="str">
        <x:v>1154878548.docx::P4614.1</x:v>
      </x:c>
      <x:c r="O1807" s="39"/>
    </x:row>
    <x:row r="1808">
      <x:c r="A1808" s="34" t="str">
        <x:v>☐</x:v>
      </x:c>
      <x:c r="B1808" s="34" t="str">
        <x:v>EX-1780</x:v>
      </x:c>
      <x:c r="C1808" s="34" t="str">
        <x:v>جوایز نقدی</x:v>
      </x:c>
      <x:c r="D1808" s="34" t="str">
        <x:v>UNMAPPED</x:v>
      </x:c>
      <x:c r="E1808" s="34" t="str">
        <x:v>63.2</x:v>
      </x:c>
      <x:c r="F1808" s="34" t="str">
        <x:v>MI-1082</x:v>
      </x:c>
      <x:c r="G1808" s="39" t="str">
        <x:v>جواد خانی</x:v>
      </x:c>
      <x:c r="H1808" s="39" t="str">
        <x:v>H14</x:v>
      </x:c>
      <x:c r="I1808" s="39" t="str">
        <x:v>P3</x:v>
      </x:c>
      <x:c r="J1808" s="39" t="str">
        <x:v>H23</x:v>
      </x:c>
      <x:c r="K1808" s="39" t="str">
        <x:v>نیازمند پالایش؛ حذف نشده</x:v>
      </x:c>
      <x:c r="L1808" s="39"/>
      <x:c r="M1808" s="39"/>
      <x:c r="N1808" s="39" t="str">
        <x:v>1154878548.docx::P4615.1</x:v>
      </x:c>
      <x:c r="O1808" s="39"/>
    </x:row>
    <x:row r="1809">
      <x:c r="A1809" s="34" t="str">
        <x:v>☐</x:v>
      </x:c>
      <x:c r="B1809" s="34" t="str">
        <x:v>EX-1781</x:v>
      </x:c>
      <x:c r="C1809" s="34" t="str">
        <x:v>تخفیف دوره های تاپ</x:v>
      </x:c>
      <x:c r="D1809" s="34" t="str">
        <x:v>POSSIBLE</x:v>
      </x:c>
      <x:c r="E1809" s="34" t="str">
        <x:v>90.0</x:v>
      </x:c>
      <x:c r="F1809" s="34" t="str">
        <x:v>MI-1437</x:v>
      </x:c>
      <x:c r="G1809" s="39" t="str">
        <x:v>دوره ها</x:v>
      </x:c>
      <x:c r="H1809" s="39" t="str">
        <x:v>H8</x:v>
      </x:c>
      <x:c r="I1809" s="39" t="str">
        <x:v>P2</x:v>
      </x:c>
      <x:c r="J1809" s="39" t="str">
        <x:v>H8</x:v>
      </x:c>
      <x:c r="K1809" s="39" t="str">
        <x:v>تطبیق احتمالی با پایه</x:v>
      </x:c>
      <x:c r="L1809" s="39" t="str">
        <x:v>MI-1437</x:v>
      </x:c>
      <x:c r="M1809" s="39" t="str">
        <x:v>دوره ها</x:v>
      </x:c>
      <x:c r="N1809" s="39" t="str">
        <x:v>1154878548.docx::P4616.1</x:v>
      </x:c>
      <x:c r="O1809" s="39"/>
    </x:row>
    <x:row r="1810">
      <x:c r="A1810" s="34" t="str">
        <x:v>☐</x:v>
      </x:c>
      <x:c r="B1810" s="34" t="str">
        <x:v>EX-1782</x:v>
      </x:c>
      <x:c r="C1810" s="34" t="str">
        <x:v>طرح جایگزین سربازی / امریه / سرباز نخبه</x:v>
      </x:c>
      <x:c r="D1810" s="34" t="str">
        <x:v>POSSIBLE</x:v>
      </x:c>
      <x:c r="E1810" s="34" t="str">
        <x:v>85.5</x:v>
      </x:c>
      <x:c r="F1810" s="34" t="str">
        <x:v>MI-1409</x:v>
      </x:c>
      <x:c r="G1810" s="39" t="str">
        <x:v>بررسی پروپوزال طرح بحث و مناظره در داخل کلاس جهت ایجاد گفتگو و انتقال محتویات</x:v>
      </x:c>
      <x:c r="H1810" s="39" t="str">
        <x:v>H9</x:v>
      </x:c>
      <x:c r="I1810" s="39" t="str">
        <x:v>BANK</x:v>
      </x:c>
      <x:c r="J1810" s="39" t="str">
        <x:v>H9</x:v>
      </x:c>
      <x:c r="K1810" s="39" t="str">
        <x:v>تطبیق احتمالی با پایه</x:v>
      </x:c>
      <x:c r="L1810" s="39" t="str">
        <x:v>MI-1409</x:v>
      </x:c>
      <x:c r="M1810" s="39" t="str">
        <x:v>بررسی پروپوزال طرح بحث و مناظره در داخل کلاس جهت ایجاد گفتگو و انتقال محتویات</x:v>
      </x:c>
      <x:c r="N1810" s="39" t="str">
        <x:v>1154878548.docx::P4617.1</x:v>
      </x:c>
      <x:c r="O1810" s="39"/>
    </x:row>
    <x:row r="1811">
      <x:c r="A1811" s="34" t="str">
        <x:v>☐</x:v>
      </x:c>
      <x:c r="B1811" s="34" t="str">
        <x:v>EX-1783</x:v>
      </x:c>
      <x:c r="C1811" s="34" t="str">
        <x:v>معرفی جهت استخدام به ارگان ها - نهاد های دولتی - شرکت های خصوصی</x:v>
      </x:c>
      <x:c r="D1811" s="34" t="str">
        <x:v>POSSIBLE</x:v>
      </x:c>
      <x:c r="E1811" s="34" t="str">
        <x:v>90.0</x:v>
      </x:c>
      <x:c r="F1811" s="34" t="str">
        <x:v>MI-2834</x:v>
      </x:c>
      <x:c r="G1811" s="39" t="str">
        <x:v>شرکت های خصوصی</x:v>
      </x:c>
      <x:c r="H1811" s="39" t="str">
        <x:v>H20</x:v>
      </x:c>
      <x:c r="I1811" s="39" t="str">
        <x:v>P3/CLARIFY</x:v>
      </x:c>
      <x:c r="J1811" s="39" t="str">
        <x:v>H20</x:v>
      </x:c>
      <x:c r="K1811" s="39" t="str">
        <x:v>تطبیق احتمالی با پایه</x:v>
      </x:c>
      <x:c r="L1811" s="39" t="str">
        <x:v>MI-2834</x:v>
      </x:c>
      <x:c r="M1811" s="39" t="str">
        <x:v>شرکت های خصوصی</x:v>
      </x:c>
      <x:c r="N1811" s="39" t="str">
        <x:v>1154878548.docx::P4619.1</x:v>
      </x:c>
      <x:c r="O1811" s="39"/>
    </x:row>
    <x:row r="1812">
      <x:c r="A1812" s="34" t="str">
        <x:v>☐</x:v>
      </x:c>
      <x:c r="B1812" s="34" t="str">
        <x:v>EX-1784</x:v>
      </x:c>
      <x:c r="C1812" s="34" t="str">
        <x:v>اداره پست</x:v>
      </x:c>
      <x:c r="D1812" s="34" t="str">
        <x:v>POSSIBLE</x:v>
      </x:c>
      <x:c r="E1812" s="34" t="str">
        <x:v>85.5</x:v>
      </x:c>
      <x:c r="F1812" s="34" t="str">
        <x:v>MI-0258</x:v>
      </x:c>
      <x:c r="G1812" s="39" t="str">
        <x:v>مرکز آموزشی توسط دانشجو اداره بشه با کاظمی</x:v>
      </x:c>
      <x:c r="H1812" s="39" t="str">
        <x:v>H11</x:v>
      </x:c>
      <x:c r="I1812" s="39" t="str">
        <x:v>DELEGATE/P2</x:v>
      </x:c>
      <x:c r="J1812" s="39" t="str">
        <x:v>H11</x:v>
      </x:c>
      <x:c r="K1812" s="39" t="str">
        <x:v>تطبیق احتمالی با پایه</x:v>
      </x:c>
      <x:c r="L1812" s="39" t="str">
        <x:v>MI-0258</x:v>
      </x:c>
      <x:c r="M1812" s="39" t="str">
        <x:v>مرکز آموزشی توسط دانشجو اداره بشه با کاظمی</x:v>
      </x:c>
      <x:c r="N1812" s="39" t="str">
        <x:v>1154878548.docx::P4620.1</x:v>
      </x:c>
      <x:c r="O1812" s="39"/>
    </x:row>
    <x:row r="1813">
      <x:c r="A1813" s="34" t="str">
        <x:v>☐</x:v>
      </x:c>
      <x:c r="B1813" s="34" t="str">
        <x:v>EX-1785</x:v>
      </x:c>
      <x:c r="C1813" s="34" t="str">
        <x:v>خدمات دولتی</x:v>
      </x:c>
      <x:c r="D1813" s="34" t="str">
        <x:v>POSSIBLE</x:v>
      </x:c>
      <x:c r="E1813" s="34" t="str">
        <x:v>85.5</x:v>
      </x:c>
      <x:c r="F1813" s="34" t="str">
        <x:v>MI-1513</x:v>
      </x:c>
      <x:c r="G1813" s="39" t="str">
        <x:v>تولید و کارآفرینی: توانایی تولید محصول و خدمات و ایجاد شغل.</x:v>
      </x:c>
      <x:c r="H1813" s="39" t="str">
        <x:v>H1</x:v>
      </x:c>
      <x:c r="I1813" s="39" t="str">
        <x:v>P0</x:v>
      </x:c>
      <x:c r="J1813" s="39" t="str">
        <x:v>H1</x:v>
      </x:c>
      <x:c r="K1813" s="39" t="str">
        <x:v>تطبیق احتمالی با پایه</x:v>
      </x:c>
      <x:c r="L1813" s="39" t="str">
        <x:v>MI-1513</x:v>
      </x:c>
      <x:c r="M1813" s="39" t="str">
        <x:v>تولید و کارآفرینی: توانایی تولید محصول و خدمات و ایجاد شغل.</x:v>
      </x:c>
      <x:c r="N1813" s="39" t="str">
        <x:v>1154878548.docx::P4621.1</x:v>
      </x:c>
      <x:c r="O1813" s="39"/>
    </x:row>
    <x:row r="1814">
      <x:c r="A1814" s="34" t="str">
        <x:v>☐</x:v>
      </x:c>
      <x:c r="B1814" s="34" t="str">
        <x:v>EX-1786</x:v>
      </x:c>
      <x:c r="C1814" s="34" t="str">
        <x:v>املاک و مستغلات و تصویر برداری هوایی</x:v>
      </x:c>
      <x:c r="D1814" s="34" t="str">
        <x:v>POSSIBLE</x:v>
      </x:c>
      <x:c r="E1814" s="34" t="str">
        <x:v>85.5</x:v>
      </x:c>
      <x:c r="F1814" s="34" t="str">
        <x:v>MI-1513</x:v>
      </x:c>
      <x:c r="G1814" s="39" t="str">
        <x:v>تولید و کارآفرینی: توانایی تولید محصول و خدمات و ایجاد شغل.</x:v>
      </x:c>
      <x:c r="H1814" s="39" t="str">
        <x:v>H1</x:v>
      </x:c>
      <x:c r="I1814" s="39" t="str">
        <x:v>P0</x:v>
      </x:c>
      <x:c r="J1814" s="39" t="str">
        <x:v>H1</x:v>
      </x:c>
      <x:c r="K1814" s="39" t="str">
        <x:v>تطبیق احتمالی با پایه</x:v>
      </x:c>
      <x:c r="L1814" s="39" t="str">
        <x:v>MI-1513</x:v>
      </x:c>
      <x:c r="M1814" s="39" t="str">
        <x:v>تولید و کارآفرینی: توانایی تولید محصول و خدمات و ایجاد شغل.</x:v>
      </x:c>
      <x:c r="N1814" s="39" t="str">
        <x:v>1154878548.docx::P4622.1</x:v>
      </x:c>
      <x:c r="O1814" s="39"/>
    </x:row>
    <x:row r="1815">
      <x:c r="A1815" s="34" t="str">
        <x:v>☐</x:v>
      </x:c>
      <x:c r="B1815" s="34" t="str">
        <x:v>EX-1787</x:v>
      </x:c>
      <x:c r="C1815" s="34" t="str">
        <x:v>تشکیل هسته فناور و ادامه روند تحقیق و توسعه محصول نهایی</x:v>
      </x:c>
      <x:c r="D1815" s="34" t="str">
        <x:v>POSSIBLE</x:v>
      </x:c>
      <x:c r="E1815" s="34" t="str">
        <x:v>90.0</x:v>
      </x:c>
      <x:c r="F1815" s="34" t="str">
        <x:v>MI-2853</x:v>
      </x:c>
      <x:c r="G1815" s="39" t="str">
        <x:v>توسعه محصول</x:v>
      </x:c>
      <x:c r="H1815" s="39" t="str">
        <x:v>H20</x:v>
      </x:c>
      <x:c r="I1815" s="39" t="str">
        <x:v>P3/CLARIFY</x:v>
      </x:c>
      <x:c r="J1815" s="39" t="str">
        <x:v>H20</x:v>
      </x:c>
      <x:c r="K1815" s="39" t="str">
        <x:v>تطبیق احتمالی با پایه</x:v>
      </x:c>
      <x:c r="L1815" s="39" t="str">
        <x:v>MI-2853</x:v>
      </x:c>
      <x:c r="M1815" s="39" t="str">
        <x:v>توسعه محصول</x:v>
      </x:c>
      <x:c r="N1815" s="39" t="str">
        <x:v>1154878548.docx::P4624.1</x:v>
      </x:c>
      <x:c r="O1815" s="39"/>
    </x:row>
    <x:row r="1816">
      <x:c r="A1816" s="34" t="str">
        <x:v>☐</x:v>
      </x:c>
      <x:c r="B1816" s="34" t="str">
        <x:v>EX-1788</x:v>
      </x:c>
      <x:c r="C1816" s="34" t="str">
        <x:v>نیرو هوایی</x:v>
      </x:c>
      <x:c r="D1816" s="34" t="str">
        <x:v>POSSIBLE</x:v>
      </x:c>
      <x:c r="E1816" s="34" t="str">
        <x:v>85.5</x:v>
      </x:c>
      <x:c r="F1816" s="34" t="str">
        <x:v>MI-1214</x:v>
      </x:c>
      <x:c r="G1816" s="39" t="str">
        <x:v>پروپوزال حیدری برای جام هوایی</x:v>
      </x:c>
      <x:c r="H1816" s="39" t="str">
        <x:v>H9</x:v>
      </x:c>
      <x:c r="I1816" s="39" t="str">
        <x:v>P2</x:v>
      </x:c>
      <x:c r="J1816" s="39" t="str">
        <x:v>H9</x:v>
      </x:c>
      <x:c r="K1816" s="39" t="str">
        <x:v>تطبیق احتمالی با پایه</x:v>
      </x:c>
      <x:c r="L1816" s="39" t="str">
        <x:v>MI-1214</x:v>
      </x:c>
      <x:c r="M1816" s="39" t="str">
        <x:v>پروپوزال حیدری برای جام هوایی</x:v>
      </x:c>
      <x:c r="N1816" s="39" t="str">
        <x:v>1154878548.docx::P4625.1</x:v>
      </x:c>
      <x:c r="O1816" s="39"/>
    </x:row>
    <x:row r="1817">
      <x:c r="A1817" s="34" t="str">
        <x:v>☐</x:v>
      </x:c>
      <x:c r="B1817" s="34" t="str">
        <x:v>EX-1789</x:v>
      </x:c>
      <x:c r="C1817" s="34" t="str">
        <x:v>مرکز تحقیقات جهاد خودکفایی</x:v>
      </x:c>
      <x:c r="D1817" s="34" t="str">
        <x:v>POSSIBLE</x:v>
      </x:c>
      <x:c r="E1817" s="34" t="str">
        <x:v>90.0</x:v>
      </x:c>
      <x:c r="F1817" s="34" t="str">
        <x:v>MI-0647</x:v>
      </x:c>
      <x:c r="G1817" s="39" t="str">
        <x:v>مرکز تحقیقات</x:v>
      </x:c>
      <x:c r="H1817" s="39" t="str">
        <x:v>H11</x:v>
      </x:c>
      <x:c r="I1817" s="39" t="str">
        <x:v>DELEGATE/P2</x:v>
      </x:c>
      <x:c r="J1817" s="39" t="str">
        <x:v>H11</x:v>
      </x:c>
      <x:c r="K1817" s="39" t="str">
        <x:v>تطبیق احتمالی با پایه</x:v>
      </x:c>
      <x:c r="L1817" s="39" t="str">
        <x:v>MI-0647</x:v>
      </x:c>
      <x:c r="M1817" s="39" t="str">
        <x:v>مرکز تحقیقات</x:v>
      </x:c>
      <x:c r="N1817" s="39" t="str">
        <x:v>1154878548.docx::P4626.1</x:v>
      </x:c>
      <x:c r="O1817" s="39"/>
    </x:row>
    <x:row r="1818">
      <x:c r="A1818" s="34" t="str">
        <x:v>☐</x:v>
      </x:c>
      <x:c r="B1818" s="34" t="str">
        <x:v>EX-1790</x:v>
      </x:c>
      <x:c r="C1818" s="34" t="str">
        <x:v>کل شرکت کنندگان</x:v>
      </x:c>
      <x:c r="D1818" s="34" t="str">
        <x:v>POSSIBLE</x:v>
      </x:c>
      <x:c r="E1818" s="34" t="str">
        <x:v>85.5</x:v>
      </x:c>
      <x:c r="F1818" s="34" t="str">
        <x:v>MI-1538</x:v>
      </x:c>
      <x:c r="G1818" s="39" t="str">
        <x:v>فعالیت های فرهنگی: شرکت در فعالیت های هنری، موسیقی، تیاتر، سینما، نگارش، خوشنویسی.</x:v>
      </x:c>
      <x:c r="H1818" s="39" t="str">
        <x:v>H1</x:v>
      </x:c>
      <x:c r="I1818" s="39" t="str">
        <x:v>P0</x:v>
      </x:c>
      <x:c r="J1818" s="39" t="str">
        <x:v>H1</x:v>
      </x:c>
      <x:c r="K1818" s="39" t="str">
        <x:v>تطبیق احتمالی با پایه</x:v>
      </x:c>
      <x:c r="L1818" s="39" t="str">
        <x:v>MI-1538</x:v>
      </x:c>
      <x:c r="M1818" s="39" t="str">
        <x:v>فعالیت های فرهنگی: شرکت در فعالیت های هنری، موسیقی، تیاتر، سینما، نگارش، خوشنویسی.</x:v>
      </x:c>
      <x:c r="N1818" s="39" t="str">
        <x:v>1154878548.docx::P4627.1</x:v>
      </x:c>
      <x:c r="O1818" s="39"/>
    </x:row>
    <x:row r="1819">
      <x:c r="A1819" s="34" t="str">
        <x:v>☐</x:v>
      </x:c>
      <x:c r="B1819" s="34" t="str">
        <x:v>EX-1791</x:v>
      </x:c>
      <x:c r="C1819" s="34" t="str">
        <x:v>لوح - یادگاری</x:v>
      </x:c>
      <x:c r="D1819" s="34" t="str">
        <x:v>UNMAPPED</x:v>
      </x:c>
      <x:c r="E1819" s="34" t="str">
        <x:v>72.0</x:v>
      </x:c>
      <x:c r="F1819" s="34" t="str">
        <x:v>MI-1464</x:v>
      </x:c>
      <x:c r="G1819" s="39" t="str">
        <x:v>تحصیلات و یادگیری</x:v>
      </x:c>
      <x:c r="H1819" s="39" t="str">
        <x:v>H1</x:v>
      </x:c>
      <x:c r="I1819" s="39" t="str">
        <x:v>P0</x:v>
      </x:c>
      <x:c r="J1819" s="39" t="str">
        <x:v>H23</x:v>
      </x:c>
      <x:c r="K1819" s="39" t="str">
        <x:v>نیازمند پالایش؛ حذف نشده</x:v>
      </x:c>
      <x:c r="L1819" s="39"/>
      <x:c r="M1819" s="39"/>
      <x:c r="N1819" s="39" t="str">
        <x:v>1154878548.docx::P4628.1</x:v>
      </x:c>
      <x:c r="O1819" s="39"/>
    </x:row>
    <x:row r="1820">
      <x:c r="A1820" s="34" t="str">
        <x:v>☐</x:v>
      </x:c>
      <x:c r="B1820" s="34" t="str">
        <x:v>EX-1792</x:v>
      </x:c>
      <x:c r="C1820" s="34" t="str">
        <x:v>المان جام آبی با طراحی لوگو</x:v>
      </x:c>
      <x:c r="D1820" s="34" t="str">
        <x:v>POSSIBLE</x:v>
      </x:c>
      <x:c r="E1820" s="34" t="str">
        <x:v>85.5</x:v>
      </x:c>
      <x:c r="F1820" s="34" t="str">
        <x:v>MI-1501</x:v>
      </x:c>
      <x:c r="G1820" s="39" t="str">
        <x:v>مدیریت ریسک: شناسایی ریسک ها، ارزیابی اثرات، تدوین برنامه های مقابله با ریسک ها.</x:v>
      </x:c>
      <x:c r="H1820" s="39" t="str">
        <x:v>H1</x:v>
      </x:c>
      <x:c r="I1820" s="39" t="str">
        <x:v>P0</x:v>
      </x:c>
      <x:c r="J1820" s="39" t="str">
        <x:v>H1</x:v>
      </x:c>
      <x:c r="K1820" s="39" t="str">
        <x:v>تطبیق احتمالی با پایه</x:v>
      </x:c>
      <x:c r="L1820" s="39" t="str">
        <x:v>MI-1501</x:v>
      </x:c>
      <x:c r="M1820" s="39" t="str">
        <x:v>مدیریت ریسک: شناسایی ریسک ها، ارزیابی اثرات، تدوین برنامه های مقابله با ریسک ها.</x:v>
      </x:c>
      <x:c r="N1820" s="39" t="str">
        <x:v>1154878548.docx::P4629.1</x:v>
      </x:c>
      <x:c r="O1820" s="39"/>
    </x:row>
    <x:row r="1821">
      <x:c r="A1821" s="34" t="str">
        <x:v>☐</x:v>
      </x:c>
      <x:c r="B1821" s="34" t="str">
        <x:v>EX-1793</x:v>
      </x:c>
      <x:c r="C1821" s="34" t="str">
        <x:v>معرفی مستقیم به پذیرش و م ثبت نام در بوتکمپ با تخفیف یا رایگان</x:v>
      </x:c>
      <x:c r="D1821" s="34" t="str">
        <x:v>POSSIBLE</x:v>
      </x:c>
      <x:c r="E1821" s="34" t="str">
        <x:v>85.5</x:v>
      </x:c>
      <x:c r="F1821" s="34" t="str">
        <x:v>MI-0019</x:v>
      </x:c>
      <x:c r="G1821" s="39" t="str">
        <x:v>آشنایی با نرم افزار املاک</x:v>
      </x:c>
      <x:c r="H1821" s="39" t="str">
        <x:v>H1</x:v>
      </x:c>
      <x:c r="I1821" s="39" t="str">
        <x:v>P0</x:v>
      </x:c>
      <x:c r="J1821" s="39" t="str">
        <x:v>H1</x:v>
      </x:c>
      <x:c r="K1821" s="39" t="str">
        <x:v>تطبیق احتمالی با پایه</x:v>
      </x:c>
      <x:c r="L1821" s="39" t="str">
        <x:v>MI-0019</x:v>
      </x:c>
      <x:c r="M1821" s="39" t="str">
        <x:v>آشنایی با نرم افزار املاک</x:v>
      </x:c>
      <x:c r="N1821" s="39" t="str">
        <x:v>1154878548.docx::P4630.1</x:v>
      </x:c>
      <x:c r="O1821" s="39"/>
    </x:row>
    <x:row r="1822">
      <x:c r="A1822" s="34" t="str">
        <x:v>☐</x:v>
      </x:c>
      <x:c r="B1822" s="34" t="str">
        <x:v>EX-1794</x:v>
      </x:c>
      <x:c r="C1822" s="34" t="str">
        <x:v>حمایت و سرمایه گذاری برای تولید</x:v>
      </x:c>
      <x:c r="D1822" s="34" t="str">
        <x:v>POSSIBLE</x:v>
      </x:c>
      <x:c r="E1822" s="34" t="str">
        <x:v>90.0</x:v>
      </x:c>
      <x:c r="F1822" s="34" t="str">
        <x:v>MI-1669</x:v>
      </x:c>
      <x:c r="G1822" s="39" t="str">
        <x:v>• سرمایه گذار</x:v>
      </x:c>
      <x:c r="H1822" s="39" t="str">
        <x:v>H8</x:v>
      </x:c>
      <x:c r="I1822" s="39" t="str">
        <x:v>P2</x:v>
      </x:c>
      <x:c r="J1822" s="39" t="str">
        <x:v>H8</x:v>
      </x:c>
      <x:c r="K1822" s="39" t="str">
        <x:v>تطبیق احتمالی با پایه</x:v>
      </x:c>
      <x:c r="L1822" s="39" t="str">
        <x:v>MI-1669</x:v>
      </x:c>
      <x:c r="M1822" s="39" t="str">
        <x:v>• سرمایه گذار</x:v>
      </x:c>
      <x:c r="N1822" s="39" t="str">
        <x:v>1154878548.docx::P4631.1</x:v>
      </x:c>
      <x:c r="O1822" s="39"/>
    </x:row>
    <x:row r="1823">
      <x:c r="A1823" s="34" t="str">
        <x:v>☐</x:v>
      </x:c>
      <x:c r="B1823" s="34" t="str">
        <x:v>EX-1795</x:v>
      </x:c>
      <x:c r="C1823" s="34" t="str">
        <x:v>نقشه کشی</x:v>
      </x:c>
      <x:c r="D1823" s="34" t="str">
        <x:v>POSSIBLE</x:v>
      </x:c>
      <x:c r="E1823" s="34" t="str">
        <x:v>85.5</x:v>
      </x:c>
      <x:c r="F1823" s="34" t="str">
        <x:v>MI-1875</x:v>
      </x:c>
      <x:c r="G1823" s="39" t="str">
        <x:v>نقشه کامل اکوسیستم منابع انسانی (HR Ecosystem Map)</x:v>
      </x:c>
      <x:c r="H1823" s="39" t="str">
        <x:v>H10</x:v>
      </x:c>
      <x:c r="I1823" s="39" t="str">
        <x:v>P2</x:v>
      </x:c>
      <x:c r="J1823" s="39" t="str">
        <x:v>H10</x:v>
      </x:c>
      <x:c r="K1823" s="39" t="str">
        <x:v>تطبیق احتمالی با پایه</x:v>
      </x:c>
      <x:c r="L1823" s="39" t="str">
        <x:v>MI-1875</x:v>
      </x:c>
      <x:c r="M1823" s="39" t="str">
        <x:v>نقشه کامل اکوسیستم منابع انسانی (HR Ecosystem Map)</x:v>
      </x:c>
      <x:c r="N1823" s="39" t="str">
        <x:v>1154878548.docx::P4632.1</x:v>
      </x:c>
      <x:c r="O1823" s="39"/>
    </x:row>
    <x:row r="1824">
      <x:c r="A1824" s="34" t="str">
        <x:v>☐</x:v>
      </x:c>
      <x:c r="B1824" s="34" t="str">
        <x:v>EX-1796</x:v>
      </x:c>
      <x:c r="C1824" s="34" t="str">
        <x:v>نظامی</x:v>
      </x:c>
      <x:c r="D1824" s="34" t="str">
        <x:v>POSSIBLE</x:v>
      </x:c>
      <x:c r="E1824" s="34" t="str">
        <x:v>90.0</x:v>
      </x:c>
      <x:c r="F1824" s="34" t="str">
        <x:v>MI-0223</x:v>
      </x:c>
      <x:c r="G1824" s="39" t="str">
        <x:v>مطالعات راهبردی و نظامی</x:v>
      </x:c>
      <x:c r="H1824" s="39" t="str">
        <x:v>H6</x:v>
      </x:c>
      <x:c r="I1824" s="39" t="str">
        <x:v>P3/CLARIFY</x:v>
      </x:c>
      <x:c r="J1824" s="39" t="str">
        <x:v>H6</x:v>
      </x:c>
      <x:c r="K1824" s="39" t="str">
        <x:v>تطبیق احتمالی با پایه</x:v>
      </x:c>
      <x:c r="L1824" s="39" t="str">
        <x:v>MI-0223</x:v>
      </x:c>
      <x:c r="M1824" s="39" t="str">
        <x:v>مطالعات راهبردی و نظامی</x:v>
      </x:c>
      <x:c r="N1824" s="39" t="str">
        <x:v>1154878548.docx::P4634.1</x:v>
      </x:c>
      <x:c r="O1824" s="39"/>
    </x:row>
    <x:row r="1825">
      <x:c r="A1825" s="34" t="str">
        <x:v>☐</x:v>
      </x:c>
      <x:c r="B1825" s="34" t="str">
        <x:v>EX-1797</x:v>
      </x:c>
      <x:c r="C1825" s="34" t="str">
        <x:v>خدماتی</x:v>
      </x:c>
      <x:c r="D1825" s="34" t="str">
        <x:v>POSSIBLE</x:v>
      </x:c>
      <x:c r="E1825" s="34" t="str">
        <x:v>90.0</x:v>
      </x:c>
      <x:c r="F1825" s="34" t="str">
        <x:v>MI-0689</x:v>
      </x:c>
      <x:c r="G1825" s="39" t="str">
        <x:v>تایم خدماتی ها و جلسه با طالب تبار</x:v>
      </x:c>
      <x:c r="H1825" s="39" t="str">
        <x:v>H14</x:v>
      </x:c>
      <x:c r="I1825" s="39" t="str">
        <x:v>P3</x:v>
      </x:c>
      <x:c r="J1825" s="39" t="str">
        <x:v>H14</x:v>
      </x:c>
      <x:c r="K1825" s="39" t="str">
        <x:v>تطبیق احتمالی با پایه</x:v>
      </x:c>
      <x:c r="L1825" s="39" t="str">
        <x:v>MI-0689</x:v>
      </x:c>
      <x:c r="M1825" s="39" t="str">
        <x:v>تایم خدماتی ها و جلسه با طالب تبار</x:v>
      </x:c>
      <x:c r="N1825" s="39" t="str">
        <x:v>1154878548.docx::P4636.1</x:v>
      </x:c>
      <x:c r="O1825" s="39"/>
    </x:row>
    <x:row r="1826">
      <x:c r="A1826" s="34" t="str">
        <x:v>☐</x:v>
      </x:c>
      <x:c r="B1826" s="34" t="str">
        <x:v>EX-1798</x:v>
      </x:c>
      <x:c r="C1826" s="34" t="str">
        <x:v>پستی</x:v>
      </x:c>
      <x:c r="D1826" s="34" t="str">
        <x:v>UNMAPPED</x:v>
      </x:c>
      <x:c r="E1826" s="34" t="str">
        <x:v>77.1</x:v>
      </x:c>
      <x:c r="F1826" s="34" t="str">
        <x:v>MI-0712</x:v>
      </x:c>
      <x:c r="G1826" s="39" t="str">
        <x:v>اسنپ و تپسی</x:v>
      </x:c>
      <x:c r="H1826" s="39" t="str">
        <x:v>H11</x:v>
      </x:c>
      <x:c r="I1826" s="39" t="str">
        <x:v>DELEGATE/P2</x:v>
      </x:c>
      <x:c r="J1826" s="39" t="str">
        <x:v>H23</x:v>
      </x:c>
      <x:c r="K1826" s="39" t="str">
        <x:v>نیازمند پالایش؛ حذف نشده</x:v>
      </x:c>
      <x:c r="L1826" s="39"/>
      <x:c r="M1826" s="39"/>
      <x:c r="N1826" s="39" t="str">
        <x:v>1154878548.docx::P4637.1</x:v>
      </x:c>
      <x:c r="O1826" s="39"/>
    </x:row>
    <x:row r="1827">
      <x:c r="A1827" s="34" t="str">
        <x:v>☐</x:v>
      </x:c>
      <x:c r="B1827" s="34" t="str">
        <x:v>EX-1799</x:v>
      </x:c>
      <x:c r="C1827" s="34" t="str">
        <x:v>آورده ها</x:v>
      </x:c>
      <x:c r="D1827" s="34" t="str">
        <x:v>POSSIBLE</x:v>
      </x:c>
      <x:c r="E1827" s="34" t="str">
        <x:v>85.5</x:v>
      </x:c>
      <x:c r="F1827" s="34" t="str">
        <x:v>MI-1510</x:v>
      </x:c>
      <x:c r="G1827" s="39" t="str">
        <x:v>دانش مالی: درک مفاهیم مالی، آشنایی با انواع سرمایه گذاری ها.</x:v>
      </x:c>
      <x:c r="H1827" s="39" t="str">
        <x:v>H1</x:v>
      </x:c>
      <x:c r="I1827" s="39" t="str">
        <x:v>P0</x:v>
      </x:c>
      <x:c r="J1827" s="39" t="str">
        <x:v>H1</x:v>
      </x:c>
      <x:c r="K1827" s="39" t="str">
        <x:v>تطبیق احتمالی با پایه</x:v>
      </x:c>
      <x:c r="L1827" s="39" t="str">
        <x:v>MI-1510</x:v>
      </x:c>
      <x:c r="M1827" s="39" t="str">
        <x:v>دانش مالی: درک مفاهیم مالی، آشنایی با انواع سرمایه گذاری ها.</x:v>
      </x:c>
      <x:c r="N1827" s="39" t="str">
        <x:v>1154878548.docx::P4638.1</x:v>
      </x:c>
      <x:c r="O1827" s="39"/>
    </x:row>
    <x:row r="1828">
      <x:c r="A1828" s="34" t="str">
        <x:v>☐</x:v>
      </x:c>
      <x:c r="B1828" s="34" t="str">
        <x:v>EX-1800</x:v>
      </x:c>
      <x:c r="C1828" s="34" t="str">
        <x:v>جذب مخاطب جهت شرکت در دوره هاو با برندینگ مخاطبین منتخب و برتر</x:v>
      </x:c>
      <x:c r="D1828" s="34" t="str">
        <x:v>POSSIBLE</x:v>
      </x:c>
      <x:c r="E1828" s="34" t="str">
        <x:v>85.5</x:v>
      </x:c>
      <x:c r="F1828" s="34" t="str">
        <x:v>MI-0019</x:v>
      </x:c>
      <x:c r="G1828" s="39" t="str">
        <x:v>آشنایی با نرم افزار املاک</x:v>
      </x:c>
      <x:c r="H1828" s="39" t="str">
        <x:v>H1</x:v>
      </x:c>
      <x:c r="I1828" s="39" t="str">
        <x:v>P0</x:v>
      </x:c>
      <x:c r="J1828" s="39" t="str">
        <x:v>H1</x:v>
      </x:c>
      <x:c r="K1828" s="39" t="str">
        <x:v>تطبیق احتمالی با پایه</x:v>
      </x:c>
      <x:c r="L1828" s="39" t="str">
        <x:v>MI-0019</x:v>
      </x:c>
      <x:c r="M1828" s="39" t="str">
        <x:v>آشنایی با نرم افزار املاک</x:v>
      </x:c>
      <x:c r="N1828" s="39" t="str">
        <x:v>1154878548.docx::P4640.1</x:v>
      </x:c>
      <x:c r="O1828" s="39"/>
    </x:row>
    <x:row r="1829">
      <x:c r="A1829" s="34" t="str">
        <x:v>☐</x:v>
      </x:c>
      <x:c r="B1829" s="34" t="str">
        <x:v>EX-1801</x:v>
      </x:c>
      <x:c r="C1829" s="34" t="str">
        <x:v>بررسی آر اف پی ها و جهت دهی افراد برای ماموریت بعدی یا شروع پروژه جدید یا توسعه پروژه فعلی</x:v>
      </x:c>
      <x:c r="D1829" s="34" t="str">
        <x:v>POSSIBLE</x:v>
      </x:c>
      <x:c r="E1829" s="34" t="str">
        <x:v>85.5</x:v>
      </x:c>
      <x:c r="F1829" s="34" t="str">
        <x:v>MI-1513</x:v>
      </x:c>
      <x:c r="G1829" s="39" t="str">
        <x:v>تولید و کارآفرینی: توانایی تولید محصول و خدمات و ایجاد شغل.</x:v>
      </x:c>
      <x:c r="H1829" s="39" t="str">
        <x:v>H1</x:v>
      </x:c>
      <x:c r="I1829" s="39" t="str">
        <x:v>P0</x:v>
      </x:c>
      <x:c r="J1829" s="39" t="str">
        <x:v>H1</x:v>
      </x:c>
      <x:c r="K1829" s="39" t="str">
        <x:v>تطبیق احتمالی با پایه</x:v>
      </x:c>
      <x:c r="L1829" s="39" t="str">
        <x:v>MI-1513</x:v>
      </x:c>
      <x:c r="M1829" s="39" t="str">
        <x:v>تولید و کارآفرینی: توانایی تولید محصول و خدمات و ایجاد شغل.</x:v>
      </x:c>
      <x:c r="N1829" s="39" t="str">
        <x:v>1154878548.docx::P4641.1</x:v>
      </x:c>
      <x:c r="O1829" s="39"/>
    </x:row>
    <x:row r="1830">
      <x:c r="A1830" s="34" t="str">
        <x:v>☐</x:v>
      </x:c>
      <x:c r="B1830" s="34" t="str">
        <x:v>EX-1802</x:v>
      </x:c>
      <x:c r="C1830" s="34" t="str">
        <x:v>انجام پروژه های خصوصی</x:v>
      </x:c>
      <x:c r="D1830" s="34" t="str">
        <x:v>POSSIBLE</x:v>
      </x:c>
      <x:c r="E1830" s="34" t="str">
        <x:v>90.0</x:v>
      </x:c>
      <x:c r="F1830" s="34" t="str">
        <x:v>MI-0685</x:v>
      </x:c>
      <x:c r="G1830" s="39" t="str">
        <x:v>پروژه ها:</x:v>
      </x:c>
      <x:c r="H1830" s="39" t="str">
        <x:v>H11</x:v>
      </x:c>
      <x:c r="I1830" s="39" t="str">
        <x:v>DELEGATE/P2</x:v>
      </x:c>
      <x:c r="J1830" s="39" t="str">
        <x:v>H11</x:v>
      </x:c>
      <x:c r="K1830" s="39" t="str">
        <x:v>تطبیق احتمالی با پایه</x:v>
      </x:c>
      <x:c r="L1830" s="39" t="str">
        <x:v>MI-0685</x:v>
      </x:c>
      <x:c r="M1830" s="39" t="str">
        <x:v>پروژه ها:</x:v>
      </x:c>
      <x:c r="N1830" s="39" t="str">
        <x:v>1154878548.docx::P4642.1</x:v>
      </x:c>
      <x:c r="O1830" s="39"/>
    </x:row>
    <x:row r="1831">
      <x:c r="A1831" s="34" t="str">
        <x:v>☐</x:v>
      </x:c>
      <x:c r="B1831" s="34" t="str">
        <x:v>EX-1803</x:v>
      </x:c>
      <x:c r="C1831" s="34" t="str">
        <x:v>تربیت نیروی مهندسی با شرکت دادن در بوتکپ ها و یا معرفی به دوره های خاص</x:v>
      </x:c>
      <x:c r="D1831" s="34" t="str">
        <x:v>POSSIBLE</x:v>
      </x:c>
      <x:c r="E1831" s="34" t="str">
        <x:v>85.5</x:v>
      </x:c>
      <x:c r="F1831" s="34" t="str">
        <x:v>MI-0019</x:v>
      </x:c>
      <x:c r="G1831" s="39" t="str">
        <x:v>آشنایی با نرم افزار املاک</x:v>
      </x:c>
      <x:c r="H1831" s="39" t="str">
        <x:v>H1</x:v>
      </x:c>
      <x:c r="I1831" s="39" t="str">
        <x:v>P0</x:v>
      </x:c>
      <x:c r="J1831" s="39" t="str">
        <x:v>H1</x:v>
      </x:c>
      <x:c r="K1831" s="39" t="str">
        <x:v>تطبیق احتمالی با پایه</x:v>
      </x:c>
      <x:c r="L1831" s="39" t="str">
        <x:v>MI-0019</x:v>
      </x:c>
      <x:c r="M1831" s="39" t="str">
        <x:v>آشنایی با نرم افزار املاک</x:v>
      </x:c>
      <x:c r="N1831" s="39" t="str">
        <x:v>1154878548.docx::P4643.1</x:v>
      </x:c>
      <x:c r="O1831" s="39"/>
    </x:row>
    <x:row r="1832">
      <x:c r="A1832" s="34" t="str">
        <x:v>☐</x:v>
      </x:c>
      <x:c r="B1832" s="34" t="str">
        <x:v>EX-1804</x:v>
      </x:c>
      <x:c r="C1832" s="34" t="str">
        <x:v>آورده مالی جهت تجهیز یا تهیه بستر مناسب برای رویداد های بعدی</x:v>
      </x:c>
      <x:c r="D1832" s="34" t="str">
        <x:v>POSSIBLE</x:v>
      </x:c>
      <x:c r="E1832" s="34" t="str">
        <x:v>85.5</x:v>
      </x:c>
      <x:c r="F1832" s="34" t="str">
        <x:v>MI-1451</x:v>
      </x:c>
      <x:c r="G1832" s="39" t="str">
        <x:v>تهیه بهترین ایرپاد</x:v>
      </x:c>
      <x:c r="H1832" s="39" t="str">
        <x:v>H1</x:v>
      </x:c>
      <x:c r="I1832" s="39" t="str">
        <x:v>P0</x:v>
      </x:c>
      <x:c r="J1832" s="39" t="str">
        <x:v>H1</x:v>
      </x:c>
      <x:c r="K1832" s="39" t="str">
        <x:v>تطبیق احتمالی با پایه</x:v>
      </x:c>
      <x:c r="L1832" s="39" t="str">
        <x:v>MI-1451</x:v>
      </x:c>
      <x:c r="M1832" s="39" t="str">
        <x:v>تهیه بهترین ایرپاد</x:v>
      </x:c>
      <x:c r="N1832" s="39" t="str">
        <x:v>1154878548.docx::P4644.1</x:v>
      </x:c>
      <x:c r="O1832" s="39"/>
    </x:row>
    <x:row r="1833">
      <x:c r="A1833" s="34" t="str">
        <x:v>☐</x:v>
      </x:c>
      <x:c r="B1833" s="34" t="str">
        <x:v>EX-1805</x:v>
      </x:c>
      <x:c r="C1833" s="34" t="str">
        <x:v>رزومه خوب مجموعه جهت برگزاری رویداد های بزرگتر</x:v>
      </x:c>
      <x:c r="D1833" s="34" t="str">
        <x:v>POSSIBLE</x:v>
      </x:c>
      <x:c r="E1833" s="34" t="str">
        <x:v>85.5</x:v>
      </x:c>
      <x:c r="F1833" s="34" t="str">
        <x:v>MI-1501</x:v>
      </x:c>
      <x:c r="G1833" s="39" t="str">
        <x:v>مدیریت ریسک: شناسایی ریسک ها، ارزیابی اثرات، تدوین برنامه های مقابله با ریسک ها.</x:v>
      </x:c>
      <x:c r="H1833" s="39" t="str">
        <x:v>H1</x:v>
      </x:c>
      <x:c r="I1833" s="39" t="str">
        <x:v>P0</x:v>
      </x:c>
      <x:c r="J1833" s="39" t="str">
        <x:v>H1</x:v>
      </x:c>
      <x:c r="K1833" s="39" t="str">
        <x:v>تطبیق احتمالی با پایه</x:v>
      </x:c>
      <x:c r="L1833" s="39" t="str">
        <x:v>MI-1501</x:v>
      </x:c>
      <x:c r="M1833" s="39" t="str">
        <x:v>مدیریت ریسک: شناسایی ریسک ها، ارزیابی اثرات، تدوین برنامه های مقابله با ریسک ها.</x:v>
      </x:c>
      <x:c r="N1833" s="39" t="str">
        <x:v>1154878548.docx::P4645.1</x:v>
      </x:c>
      <x:c r="O1833" s="39"/>
    </x:row>
    <x:row r="1834">
      <x:c r="A1834" s="34" t="str">
        <x:v>☐</x:v>
      </x:c>
      <x:c r="B1834" s="34" t="str">
        <x:v>EX-1806</x:v>
      </x:c>
      <x:c r="C1834" s="34" t="str">
        <x:v>🟦 ۱. حوزه فرهنگی، اجتماعی، مذهبی</x:v>
      </x:c>
      <x:c r="D1834" s="34" t="str">
        <x:v>POSSIBLE</x:v>
      </x:c>
      <x:c r="E1834" s="34" t="str">
        <x:v>90.0</x:v>
      </x:c>
      <x:c r="F1834" s="34" t="str">
        <x:v>MI-0288</x:v>
      </x:c>
      <x:c r="G1834" s="39" t="str">
        <x:v>اجتماعی</x:v>
      </x:c>
      <x:c r="H1834" s="39" t="str">
        <x:v>H15</x:v>
      </x:c>
      <x:c r="I1834" s="39" t="str">
        <x:v>P3/CLARIFY</x:v>
      </x:c>
      <x:c r="J1834" s="39" t="str">
        <x:v>H15</x:v>
      </x:c>
      <x:c r="K1834" s="39" t="str">
        <x:v>تطبیق احتمالی با پایه</x:v>
      </x:c>
      <x:c r="L1834" s="39" t="str">
        <x:v>MI-0288</x:v>
      </x:c>
      <x:c r="M1834" s="39" t="str">
        <x:v>اجتماعی</x:v>
      </x:c>
      <x:c r="N1834" s="39" t="str">
        <x:v>1154878548.docx::P4666.1</x:v>
      </x:c>
      <x:c r="O1834" s="39"/>
    </x:row>
    <x:row r="1835">
      <x:c r="A1835" s="34" t="str">
        <x:v>☐</x:v>
      </x:c>
      <x:c r="B1835" s="34" t="str">
        <x:v>EX-1807</x:v>
      </x:c>
      <x:c r="C1835" s="34" t="str">
        <x:v>زیرحوزه ۱-۱: فعالیتهای میدانی و اجتماعی (اجرایی)</x:v>
      </x:c>
      <x:c r="D1835" s="34" t="str">
        <x:v>POSSIBLE</x:v>
      </x:c>
      <x:c r="E1835" s="34" t="str">
        <x:v>90.0</x:v>
      </x:c>
      <x:c r="F1835" s="34" t="str">
        <x:v>MI-0288</x:v>
      </x:c>
      <x:c r="G1835" s="39" t="str">
        <x:v>اجتماعی</x:v>
      </x:c>
      <x:c r="H1835" s="39" t="str">
        <x:v>H15</x:v>
      </x:c>
      <x:c r="I1835" s="39" t="str">
        <x:v>P3/CLARIFY</x:v>
      </x:c>
      <x:c r="J1835" s="39" t="str">
        <x:v>H15</x:v>
      </x:c>
      <x:c r="K1835" s="39" t="str">
        <x:v>تطبیق احتمالی با پایه</x:v>
      </x:c>
      <x:c r="L1835" s="39" t="str">
        <x:v>MI-0288</x:v>
      </x:c>
      <x:c r="M1835" s="39" t="str">
        <x:v>اجتماعی</x:v>
      </x:c>
      <x:c r="N1835" s="39" t="str">
        <x:v>1154878548.docx::P4667.1</x:v>
      </x:c>
      <x:c r="O1835" s="39"/>
    </x:row>
    <x:row r="1836">
      <x:c r="A1836" s="34" t="str">
        <x:v>☐</x:v>
      </x:c>
      <x:c r="B1836" s="34" t="str">
        <x:v>EX-1808</x:v>
      </x:c>
      <x:c r="C1836" s="34" t="str">
        <x:v>مسجد امام حسن مجتبی (ع)</x:v>
      </x:c>
      <x:c r="D1836" s="34" t="str">
        <x:v>POSSIBLE</x:v>
      </x:c>
      <x:c r="E1836" s="34" t="str">
        <x:v>90.2</x:v>
      </x:c>
      <x:c r="F1836" s="34" t="str">
        <x:v>MI-0236</x:v>
      </x:c>
      <x:c r="G1836" s="39" t="str">
        <x:v>مسجد امام حسن مجتبی علیه السلام</x:v>
      </x:c>
      <x:c r="H1836" s="39" t="str">
        <x:v>H11</x:v>
      </x:c>
      <x:c r="I1836" s="39" t="str">
        <x:v>DELEGATE/P2</x:v>
      </x:c>
      <x:c r="J1836" s="39" t="str">
        <x:v>H11</x:v>
      </x:c>
      <x:c r="K1836" s="39" t="str">
        <x:v>تطبیق احتمالی با پایه</x:v>
      </x:c>
      <x:c r="L1836" s="39" t="str">
        <x:v>MI-0236</x:v>
      </x:c>
      <x:c r="M1836" s="39" t="str">
        <x:v>مسجد امام حسن مجتبی علیه السلام</x:v>
      </x:c>
      <x:c r="N1836" s="39" t="str">
        <x:v>1154878548.docx::P4673.1</x:v>
      </x:c>
      <x:c r="O1836" s="39"/>
    </x:row>
    <x:row r="1837">
      <x:c r="A1837" s="34" t="str">
        <x:v>☐</x:v>
      </x:c>
      <x:c r="B1837" s="34" t="str">
        <x:v>EX-1809</x:v>
      </x:c>
      <x:c r="C1837" s="34" t="str">
        <x:v>خیر و کمک:</x:v>
      </x:c>
      <x:c r="D1837" s="34" t="str">
        <x:v>POSSIBLE</x:v>
      </x:c>
      <x:c r="E1837" s="34" t="str">
        <x:v>90.0</x:v>
      </x:c>
      <x:c r="F1837" s="34" t="str">
        <x:v>MI-0263</x:v>
      </x:c>
      <x:c r="G1837" s="39" t="str">
        <x:v>خیر و کمک به سرطانی و لاعلاج</x:v>
      </x:c>
      <x:c r="H1837" s="39" t="str">
        <x:v>H13</x:v>
      </x:c>
      <x:c r="I1837" s="39" t="str">
        <x:v>P2</x:v>
      </x:c>
      <x:c r="J1837" s="39" t="str">
        <x:v>H13</x:v>
      </x:c>
      <x:c r="K1837" s="39" t="str">
        <x:v>تطبیق احتمالی با پایه</x:v>
      </x:c>
      <x:c r="L1837" s="39" t="str">
        <x:v>MI-0263</x:v>
      </x:c>
      <x:c r="M1837" s="39" t="str">
        <x:v>خیر و کمک به سرطانی و لاعلاج</x:v>
      </x:c>
      <x:c r="N1837" s="39" t="str">
        <x:v>1154878548.docx::P4676.1</x:v>
      </x:c>
      <x:c r="O1837" s="39"/>
    </x:row>
    <x:row r="1838">
      <x:c r="A1838" s="34" t="str">
        <x:v>☐</x:v>
      </x:c>
      <x:c r="B1838" s="34" t="str">
        <x:v>EX-1810</x:v>
      </x:c>
      <x:c r="C1838" s="34" t="str">
        <x:v>اماس</x:v>
      </x:c>
      <x:c r="D1838" s="34" t="str">
        <x:v>POSSIBLE</x:v>
      </x:c>
      <x:c r="E1838" s="34" t="str">
        <x:v>88.9</x:v>
      </x:c>
      <x:c r="F1838" s="34" t="str">
        <x:v>MI-0265</x:v>
      </x:c>
      <x:c r="G1838" s="39" t="str">
        <x:v>ام اس</x:v>
      </x:c>
      <x:c r="H1838" s="39" t="str">
        <x:v>H13</x:v>
      </x:c>
      <x:c r="I1838" s="39" t="str">
        <x:v>P2</x:v>
      </x:c>
      <x:c r="J1838" s="39" t="str">
        <x:v>H13</x:v>
      </x:c>
      <x:c r="K1838" s="39" t="str">
        <x:v>تطبیق احتمالی با پایه</x:v>
      </x:c>
      <x:c r="L1838" s="39" t="str">
        <x:v>MI-0265</x:v>
      </x:c>
      <x:c r="M1838" s="39" t="str">
        <x:v>ام اس</x:v>
      </x:c>
      <x:c r="N1838" s="39" t="str">
        <x:v>1154878548.docx::P4679.1</x:v>
      </x:c>
      <x:c r="O1838" s="39"/>
    </x:row>
    <x:row r="1839">
      <x:c r="A1839" s="34" t="str">
        <x:v>☐</x:v>
      </x:c>
      <x:c r="B1839" s="34" t="str">
        <x:v>EX-1811</x:v>
      </x:c>
      <x:c r="C1839" s="34" t="str">
        <x:v>پیوند قلب، کبد، استخوان</x:v>
      </x:c>
      <x:c r="D1839" s="34" t="str">
        <x:v>POSSIBLE</x:v>
      </x:c>
      <x:c r="E1839" s="34" t="str">
        <x:v>87.5</x:v>
      </x:c>
      <x:c r="F1839" s="34" t="str">
        <x:v>MI-0267</x:v>
      </x:c>
      <x:c r="G1839" s="39" t="str">
        <x:v>پیوند قلب و کبد و استخوان</x:v>
      </x:c>
      <x:c r="H1839" s="39" t="str">
        <x:v>H13</x:v>
      </x:c>
      <x:c r="I1839" s="39" t="str">
        <x:v>P2</x:v>
      </x:c>
      <x:c r="J1839" s="39" t="str">
        <x:v>H13</x:v>
      </x:c>
      <x:c r="K1839" s="39" t="str">
        <x:v>تطبیق احتمالی با پایه</x:v>
      </x:c>
      <x:c r="L1839" s="39" t="str">
        <x:v>MI-0267</x:v>
      </x:c>
      <x:c r="M1839" s="39" t="str">
        <x:v>پیوند قلب و کبد و استخوان</x:v>
      </x:c>
      <x:c r="N1839" s="39" t="str">
        <x:v>1154878548.docx::P4681.1</x:v>
      </x:c>
      <x:c r="O1839" s="39"/>
    </x:row>
    <x:row r="1840">
      <x:c r="A1840" s="34" t="str">
        <x:v>☐</x:v>
      </x:c>
      <x:c r="B1840" s="34" t="str">
        <x:v>EX-1812</x:v>
      </x:c>
      <x:c r="C1840" s="34" t="str">
        <x:v>زیرحوزه ۱-۲: مدیریت فضاهای مذهبی (اجرایی / مسئلهمحور)</x:v>
      </x:c>
      <x:c r="D1840" s="34" t="str">
        <x:v>POSSIBLE</x:v>
      </x:c>
      <x:c r="E1840" s="34" t="str">
        <x:v>85.5</x:v>
      </x:c>
      <x:c r="F1840" s="34" t="str">
        <x:v>MI-1501</x:v>
      </x:c>
      <x:c r="G1840" s="39" t="str">
        <x:v>مدیریت ریسک: شناسایی ریسک ها، ارزیابی اثرات، تدوین برنامه های مقابله با ریسک ها.</x:v>
      </x:c>
      <x:c r="H1840" s="39" t="str">
        <x:v>H1</x:v>
      </x:c>
      <x:c r="I1840" s="39" t="str">
        <x:v>P0</x:v>
      </x:c>
      <x:c r="J1840" s="39" t="str">
        <x:v>H1</x:v>
      </x:c>
      <x:c r="K1840" s="39" t="str">
        <x:v>تطبیق احتمالی با پایه</x:v>
      </x:c>
      <x:c r="L1840" s="39" t="str">
        <x:v>MI-1501</x:v>
      </x:c>
      <x:c r="M1840" s="39" t="str">
        <x:v>مدیریت ریسک: شناسایی ریسک ها، ارزیابی اثرات، تدوین برنامه های مقابله با ریسک ها.</x:v>
      </x:c>
      <x:c r="N1840" s="39" t="str">
        <x:v>1154878548.docx::P4685.1</x:v>
      </x:c>
      <x:c r="O1840" s="39"/>
    </x:row>
    <x:row r="1841">
      <x:c r="A1841" s="34" t="str">
        <x:v>☐</x:v>
      </x:c>
      <x:c r="B1841" s="34" t="str">
        <x:v>EX-1813</x:v>
      </x:c>
      <x:c r="C1841" s="34" t="str">
        <x:v>جاروبرقی، نظافت، سرمایش و گرمایش مسجد</x:v>
      </x:c>
      <x:c r="D1841" s="34" t="str">
        <x:v>POSSIBLE</x:v>
      </x:c>
      <x:c r="E1841" s="34" t="str">
        <x:v>85.5</x:v>
      </x:c>
      <x:c r="F1841" s="34" t="str">
        <x:v>MI-1513</x:v>
      </x:c>
      <x:c r="G1841" s="39" t="str">
        <x:v>تولید و کارآفرینی: توانایی تولید محصول و خدمات و ایجاد شغل.</x:v>
      </x:c>
      <x:c r="H1841" s="39" t="str">
        <x:v>H1</x:v>
      </x:c>
      <x:c r="I1841" s="39" t="str">
        <x:v>P0</x:v>
      </x:c>
      <x:c r="J1841" s="39" t="str">
        <x:v>H1</x:v>
      </x:c>
      <x:c r="K1841" s="39" t="str">
        <x:v>تطبیق احتمالی با پایه</x:v>
      </x:c>
      <x:c r="L1841" s="39" t="str">
        <x:v>MI-1513</x:v>
      </x:c>
      <x:c r="M1841" s="39" t="str">
        <x:v>تولید و کارآفرینی: توانایی تولید محصول و خدمات و ایجاد شغل.</x:v>
      </x:c>
      <x:c r="N1841" s="39" t="str">
        <x:v>1154878548.docx::P4686.1</x:v>
      </x:c>
      <x:c r="O1841" s="39"/>
    </x:row>
    <x:row r="1842">
      <x:c r="A1842" s="34" t="str">
        <x:v>☐</x:v>
      </x:c>
      <x:c r="B1842" s="34" t="str">
        <x:v>EX-1814</x:v>
      </x:c>
      <x:c r="C1842" s="34" t="str">
        <x:v>مشکلات بلندگو</x:v>
      </x:c>
      <x:c r="D1842" s="34" t="str">
        <x:v>POSSIBLE</x:v>
      </x:c>
      <x:c r="E1842" s="34" t="str">
        <x:v>85.5</x:v>
      </x:c>
      <x:c r="F1842" s="34" t="str">
        <x:v>MI-0783</x:v>
      </x:c>
      <x:c r="G1842" s="39" t="str">
        <x:v>- گذاشتن راه ارتباطی برای اعلام مشکلات سلف</x:v>
      </x:c>
      <x:c r="H1842" s="39" t="str">
        <x:v>H11</x:v>
      </x:c>
      <x:c r="I1842" s="39" t="str">
        <x:v>DELEGATE/P2</x:v>
      </x:c>
      <x:c r="J1842" s="39" t="str">
        <x:v>H11</x:v>
      </x:c>
      <x:c r="K1842" s="39" t="str">
        <x:v>تطبیق احتمالی با پایه</x:v>
      </x:c>
      <x:c r="L1842" s="39" t="str">
        <x:v>MI-0783</x:v>
      </x:c>
      <x:c r="M1842" s="39" t="str">
        <x:v>- گذاشتن راه ارتباطی برای اعلام مشکلات سلف</x:v>
      </x:c>
      <x:c r="N1842" s="39" t="str">
        <x:v>1154878548.docx::P4687.1</x:v>
      </x:c>
      <x:c r="O1842" s="39"/>
    </x:row>
    <x:row r="1843">
      <x:c r="A1843" s="34" t="str">
        <x:v>☐</x:v>
      </x:c>
      <x:c r="B1843" s="34" t="str">
        <x:v>EX-1815</x:v>
      </x:c>
      <x:c r="C1843" s="34" t="str">
        <x:v>ساعت اذانگو</x:v>
      </x:c>
      <x:c r="D1843" s="34" t="str">
        <x:v>POSSIBLE</x:v>
      </x:c>
      <x:c r="E1843" s="34" t="str">
        <x:v>85.5</x:v>
      </x:c>
      <x:c r="F1843" s="34" t="str">
        <x:v>MI-1118</x:v>
      </x:c>
      <x:c r="G1843" s="39" t="str">
        <x:v>نامه به حراست برای هماهنگی برای باز بودن درب پشتی دانشگاه تا ساعت فلان برای مراسم هییت</x:v>
      </x:c>
      <x:c r="H1843" s="39" t="str">
        <x:v>H11</x:v>
      </x:c>
      <x:c r="I1843" s="39" t="str">
        <x:v>DELEGATE/P2</x:v>
      </x:c>
      <x:c r="J1843" s="39" t="str">
        <x:v>H11</x:v>
      </x:c>
      <x:c r="K1843" s="39" t="str">
        <x:v>تطبیق احتمالی با پایه</x:v>
      </x:c>
      <x:c r="L1843" s="39" t="str">
        <x:v>MI-1118</x:v>
      </x:c>
      <x:c r="M1843" s="39" t="str">
        <x:v>نامه به حراست برای هماهنگی برای باز بودن درب پشتی دانشگاه تا ساعت فلان برای مراسم هییت</x:v>
      </x:c>
      <x:c r="N1843" s="39" t="str">
        <x:v>1154878548.docx::P4688.1</x:v>
      </x:c>
      <x:c r="O1843" s="39"/>
    </x:row>
    <x:row r="1844">
      <x:c r="A1844" s="34" t="str">
        <x:v>☐</x:v>
      </x:c>
      <x:c r="B1844" s="34" t="str">
        <x:v>EX-1816</x:v>
      </x:c>
      <x:c r="C1844" s="34" t="str">
        <x:v>انبار آبدارخانه</x:v>
      </x:c>
      <x:c r="D1844" s="34" t="str">
        <x:v>POSSIBLE</x:v>
      </x:c>
      <x:c r="E1844" s="34" t="str">
        <x:v>85.5</x:v>
      </x:c>
      <x:c r="F1844" s="34" t="str">
        <x:v>MI-0732</x:v>
      </x:c>
      <x:c r="G1844" s="39" t="str">
        <x:v>برنامه تغییر وضعیت انبار و روند کار آن در جلسه با منعمی</x:v>
      </x:c>
      <x:c r="H1844" s="39" t="str">
        <x:v>H14</x:v>
      </x:c>
      <x:c r="I1844" s="39" t="str">
        <x:v>P3</x:v>
      </x:c>
      <x:c r="J1844" s="39" t="str">
        <x:v>H14</x:v>
      </x:c>
      <x:c r="K1844" s="39" t="str">
        <x:v>تطبیق احتمالی با پایه</x:v>
      </x:c>
      <x:c r="L1844" s="39" t="str">
        <x:v>MI-0732</x:v>
      </x:c>
      <x:c r="M1844" s="39" t="str">
        <x:v>برنامه تغییر وضعیت انبار و روند کار آن در جلسه با منعمی</x:v>
      </x:c>
      <x:c r="N1844" s="39" t="str">
        <x:v>1154878548.docx::P4689.1</x:v>
      </x:c>
      <x:c r="O1844" s="39"/>
    </x:row>
    <x:row r="1845">
      <x:c r="A1845" s="34" t="str">
        <x:v>☐</x:v>
      </x:c>
      <x:c r="B1845" s="34" t="str">
        <x:v>EX-1817</x:v>
      </x:c>
      <x:c r="C1845" s="34" t="str">
        <x:v>دفتر هیئت (نظافت، کلید، استفاده نادرست)</x:v>
      </x:c>
      <x:c r="D1845" s="34" t="str">
        <x:v>POSSIBLE</x:v>
      </x:c>
      <x:c r="E1845" s="34" t="str">
        <x:v>85.5</x:v>
      </x:c>
      <x:c r="F1845" s="34" t="str">
        <x:v>MI-1431</x:v>
      </x:c>
      <x:c r="G1845" s="39" t="str">
        <x:v>از فضای کنار ریاست فناوری استفاده بشه و اقتباس گرفته از کتابخانه ملی</x:v>
      </x:c>
      <x:c r="H1845" s="39" t="str">
        <x:v>H2</x:v>
      </x:c>
      <x:c r="I1845" s="39" t="str">
        <x:v>BANK</x:v>
      </x:c>
      <x:c r="J1845" s="39" t="str">
        <x:v>H2</x:v>
      </x:c>
      <x:c r="K1845" s="39" t="str">
        <x:v>تطبیق احتمالی با پایه</x:v>
      </x:c>
      <x:c r="L1845" s="39" t="str">
        <x:v>MI-1431</x:v>
      </x:c>
      <x:c r="M1845" s="39" t="str">
        <x:v>از فضای کنار ریاست فناوری استفاده بشه و اقتباس گرفته از کتابخانه ملی</x:v>
      </x:c>
      <x:c r="N1845" s="39" t="str">
        <x:v>1154878548.docx::P4690.1</x:v>
      </x:c>
      <x:c r="O1845" s="39"/>
    </x:row>
    <x:row r="1846">
      <x:c r="A1846" s="34" t="str">
        <x:v>☐</x:v>
      </x:c>
      <x:c r="B1846" s="34" t="str">
        <x:v>EX-1818</x:v>
      </x:c>
      <x:c r="C1846" s="34" t="str">
        <x:v>کاهش جمعیت هیئت</x:v>
      </x:c>
      <x:c r="D1846" s="34" t="str">
        <x:v>POSSIBLE</x:v>
      </x:c>
      <x:c r="E1846" s="34" t="str">
        <x:v>85.5</x:v>
      </x:c>
      <x:c r="F1846" s="34" t="str">
        <x:v>MI-1453</x:v>
      </x:c>
      <x:c r="G1846" s="39" t="str">
        <x:v>سلامت روان: مدیریت استرس، کاهش اضطراب، بهبود خلق و خو، درمان اختلالات روانی.</x:v>
      </x:c>
      <x:c r="H1846" s="39" t="str">
        <x:v>H1</x:v>
      </x:c>
      <x:c r="I1846" s="39" t="str">
        <x:v>P0</x:v>
      </x:c>
      <x:c r="J1846" s="39" t="str">
        <x:v>H1</x:v>
      </x:c>
      <x:c r="K1846" s="39" t="str">
        <x:v>تطبیق احتمالی با پایه</x:v>
      </x:c>
      <x:c r="L1846" s="39" t="str">
        <x:v>MI-1453</x:v>
      </x:c>
      <x:c r="M1846" s="39" t="str">
        <x:v>سلامت روان: مدیریت استرس، کاهش اضطراب، بهبود خلق و خو، درمان اختلالات روانی.</x:v>
      </x:c>
      <x:c r="N1846" s="39" t="str">
        <x:v>1154878548.docx::P4691.1</x:v>
      </x:c>
      <x:c r="O1846" s="39"/>
    </x:row>
    <x:row r="1847">
      <x:c r="A1847" s="34" t="str">
        <x:v>☐</x:v>
      </x:c>
      <x:c r="B1847" s="34" t="str">
        <x:v>EX-1819</x:v>
      </x:c>
      <x:c r="C1847" s="34" t="str">
        <x:v>کیفیت پذیرایی</x:v>
      </x:c>
      <x:c r="D1847" s="34" t="str">
        <x:v>POSSIBLE</x:v>
      </x:c>
      <x:c r="E1847" s="34" t="str">
        <x:v>90.0</x:v>
      </x:c>
      <x:c r="F1847" s="34" t="str">
        <x:v>MI-0720</x:v>
      </x:c>
      <x:c r="G1847" s="39" t="str">
        <x:v>کیفیت</x:v>
      </x:c>
      <x:c r="H1847" s="39" t="str">
        <x:v>H11</x:v>
      </x:c>
      <x:c r="I1847" s="39" t="str">
        <x:v>DELEGATE/P2</x:v>
      </x:c>
      <x:c r="J1847" s="39" t="str">
        <x:v>H11</x:v>
      </x:c>
      <x:c r="K1847" s="39" t="str">
        <x:v>تطبیق احتمالی با پایه</x:v>
      </x:c>
      <x:c r="L1847" s="39" t="str">
        <x:v>MI-0720</x:v>
      </x:c>
      <x:c r="M1847" s="39" t="str">
        <x:v>کیفیت</x:v>
      </x:c>
      <x:c r="N1847" s="39" t="str">
        <x:v>1154878548.docx::P4692.1</x:v>
      </x:c>
      <x:c r="O1847" s="39"/>
    </x:row>
    <x:row r="1848">
      <x:c r="A1848" s="34" t="str">
        <x:v>☐</x:v>
      </x:c>
      <x:c r="B1848" s="34" t="str">
        <x:v>EX-1820</x:v>
      </x:c>
      <x:c r="C1848" s="34" t="str">
        <x:v>غرفهها (خواهران / برادران)</x:v>
      </x:c>
      <x:c r="D1848" s="34" t="str">
        <x:v>POSSIBLE</x:v>
      </x:c>
      <x:c r="E1848" s="34" t="str">
        <x:v>85.5</x:v>
      </x:c>
      <x:c r="F1848" s="34" t="str">
        <x:v>MI-0307</x:v>
      </x:c>
      <x:c r="G1848" s="39" t="str">
        <x:v>حاجی پیگیر شدین نظافته درست شد ، سرویسبهداشتی خواهران و برادران الان هیچ مشکلی نداره،</x:v>
      </x:c>
      <x:c r="H1848" s="39" t="str">
        <x:v>H13</x:v>
      </x:c>
      <x:c r="I1848" s="39" t="str">
        <x:v>P2</x:v>
      </x:c>
      <x:c r="J1848" s="39" t="str">
        <x:v>H13</x:v>
      </x:c>
      <x:c r="K1848" s="39" t="str">
        <x:v>تطبیق احتمالی با پایه</x:v>
      </x:c>
      <x:c r="L1848" s="39" t="str">
        <x:v>MI-0307</x:v>
      </x:c>
      <x:c r="M1848" s="39" t="str">
        <x:v>حاجی پیگیر شدین نظافته درست شد ، سرویسبهداشتی خواهران و برادران الان هیچ مشکلی نداره،</x:v>
      </x:c>
      <x:c r="N1848" s="39" t="str">
        <x:v>1154878548.docx::P4693.1</x:v>
      </x:c>
      <x:c r="O1848" s="39"/>
    </x:row>
    <x:row r="1849">
      <x:c r="A1849" s="34" t="str">
        <x:v>☐</x:v>
      </x:c>
      <x:c r="B1849" s="34" t="str">
        <x:v>EX-1821</x:v>
      </x:c>
      <x:c r="C1849" s="34" t="str">
        <x:v>انتقاد از مسئولین، تعامل یا عدم تعامل</x:v>
      </x:c>
      <x:c r="D1849" s="34" t="str">
        <x:v>POSSIBLE</x:v>
      </x:c>
      <x:c r="E1849" s="34" t="str">
        <x:v>90.0</x:v>
      </x:c>
      <x:c r="F1849" s="34" t="str">
        <x:v>MI-2713</x:v>
      </x:c>
      <x:c r="G1849" s="39" t="str">
        <x:v>تعامل</x:v>
      </x:c>
      <x:c r="H1849" s="39" t="str">
        <x:v>H4</x:v>
      </x:c>
      <x:c r="I1849" s="39" t="str">
        <x:v>P1</x:v>
      </x:c>
      <x:c r="J1849" s="39" t="str">
        <x:v>H4</x:v>
      </x:c>
      <x:c r="K1849" s="39" t="str">
        <x:v>تطبیق احتمالی با پایه</x:v>
      </x:c>
      <x:c r="L1849" s="39" t="str">
        <x:v>MI-2713</x:v>
      </x:c>
      <x:c r="M1849" s="39" t="str">
        <x:v>تعامل</x:v>
      </x:c>
      <x:c r="N1849" s="39" t="str">
        <x:v>1154878548.docx::P4694.1</x:v>
      </x:c>
      <x:c r="O1849" s="39"/>
    </x:row>
    <x:row r="1850">
      <x:c r="A1850" s="34" t="str">
        <x:v>☐</x:v>
      </x:c>
      <x:c r="B1850" s="34" t="str">
        <x:v>EX-1822</x:v>
      </x:c>
      <x:c r="C1850" s="34" t="str">
        <x:v>🟦 ۲. حوزه فکر، تحلیل و سیاستگذاری دانشجویی (🧠 مغز سیستم)</x:v>
      </x:c>
      <x:c r="D1850" s="34" t="str">
        <x:v>POSSIBLE</x:v>
      </x:c>
      <x:c r="E1850" s="34" t="str">
        <x:v>85.5</x:v>
      </x:c>
      <x:c r="F1850" s="34" t="str">
        <x:v>MI-0029</x:v>
      </x:c>
      <x:c r="G1850" s="39" t="str">
        <x:v>تدریس ریاضی و فیزیک</x:v>
      </x:c>
      <x:c r="H1850" s="39" t="str">
        <x:v>H1</x:v>
      </x:c>
      <x:c r="I1850" s="39" t="str">
        <x:v>P0</x:v>
      </x:c>
      <x:c r="J1850" s="39" t="str">
        <x:v>H1</x:v>
      </x:c>
      <x:c r="K1850" s="39" t="str">
        <x:v>تطبیق احتمالی با پایه</x:v>
      </x:c>
      <x:c r="L1850" s="39" t="str">
        <x:v>MI-0029</x:v>
      </x:c>
      <x:c r="M1850" s="39" t="str">
        <x:v>تدریس ریاضی و فیزیک</x:v>
      </x:c>
      <x:c r="N1850" s="39" t="str">
        <x:v>1154878548.docx::P4695.1</x:v>
      </x:c>
      <x:c r="O1850" s="39"/>
    </x:row>
    <x:row r="1851">
      <x:c r="A1851" s="34" t="str">
        <x:v>☐</x:v>
      </x:c>
      <x:c r="B1851" s="34" t="str">
        <x:v>EX-1823</x:v>
      </x:c>
      <x:c r="C1851" s="34" t="str">
        <x:v>زیرحوزه ۲-۱: اتاق فکر</x:v>
      </x:c>
      <x:c r="D1851" s="34" t="str">
        <x:v>POSSIBLE</x:v>
      </x:c>
      <x:c r="E1851" s="34" t="str">
        <x:v>90.0</x:v>
      </x:c>
      <x:c r="F1851" s="34" t="str">
        <x:v>MI-0239</x:v>
      </x:c>
      <x:c r="G1851" s="39" t="str">
        <x:v>اتاق فکر</x:v>
      </x:c>
      <x:c r="H1851" s="39" t="str">
        <x:v>H23</x:v>
      </x:c>
      <x:c r="I1851" s="39" t="str">
        <x:v>P3/CLARIFY</x:v>
      </x:c>
      <x:c r="J1851" s="39" t="str">
        <x:v>H23</x:v>
      </x:c>
      <x:c r="K1851" s="39" t="str">
        <x:v>تطبیق احتمالی با پایه</x:v>
      </x:c>
      <x:c r="L1851" s="39" t="str">
        <x:v>MI-0239</x:v>
      </x:c>
      <x:c r="M1851" s="39" t="str">
        <x:v>اتاق فکر</x:v>
      </x:c>
      <x:c r="N1851" s="39" t="str">
        <x:v>1154878548.docx::P4696.1</x:v>
      </x:c>
      <x:c r="O1851" s="39"/>
    </x:row>
    <x:row r="1852">
      <x:c r="A1852" s="34" t="str">
        <x:v>☐</x:v>
      </x:c>
      <x:c r="B1852" s="34" t="str">
        <x:v>EX-1824</x:v>
      </x:c>
      <x:c r="C1852" s="34" t="str">
        <x:v>اتاق فکر (همه دانشجویان، همه مقاطع)</x:v>
      </x:c>
      <x:c r="D1852" s="34" t="str">
        <x:v>POSSIBLE</x:v>
      </x:c>
      <x:c r="E1852" s="34" t="str">
        <x:v>90.0</x:v>
      </x:c>
      <x:c r="F1852" s="34" t="str">
        <x:v>MI-2707</x:v>
      </x:c>
      <x:c r="G1852" s="39" t="str">
        <x:v>دانشجویان</x:v>
      </x:c>
      <x:c r="H1852" s="39" t="str">
        <x:v>H11</x:v>
      </x:c>
      <x:c r="I1852" s="39" t="str">
        <x:v>DELEGATE/P2</x:v>
      </x:c>
      <x:c r="J1852" s="39" t="str">
        <x:v>H11</x:v>
      </x:c>
      <x:c r="K1852" s="39" t="str">
        <x:v>تطبیق احتمالی با پایه</x:v>
      </x:c>
      <x:c r="L1852" s="39" t="str">
        <x:v>MI-2707</x:v>
      </x:c>
      <x:c r="M1852" s="39" t="str">
        <x:v>دانشجویان</x:v>
      </x:c>
      <x:c r="N1852" s="39" t="str">
        <x:v>1154878548.docx::P4697.1</x:v>
      </x:c>
      <x:c r="O1852" s="39"/>
    </x:row>
    <x:row r="1853">
      <x:c r="A1853" s="34" t="str">
        <x:v>☐</x:v>
      </x:c>
      <x:c r="B1853" s="34" t="str">
        <x:v>EX-1825</x:v>
      </x:c>
      <x:c r="C1853" s="34" t="str">
        <x:v>بررسی چالشهای:</x:v>
      </x:c>
      <x:c r="D1853" s="34" t="str">
        <x:v>POSSIBLE</x:v>
      </x:c>
      <x:c r="E1853" s="34" t="str">
        <x:v>90.0</x:v>
      </x:c>
      <x:c r="F1853" s="34" t="str">
        <x:v>MI-1428</x:v>
      </x:c>
      <x:c r="G1853" s="39" t="str">
        <x:v>چالش</x:v>
      </x:c>
      <x:c r="H1853" s="39" t="str">
        <x:v>H18</x:v>
      </x:c>
      <x:c r="I1853" s="39" t="str">
        <x:v>BANK</x:v>
      </x:c>
      <x:c r="J1853" s="39" t="str">
        <x:v>H18</x:v>
      </x:c>
      <x:c r="K1853" s="39" t="str">
        <x:v>تطبیق احتمالی با پایه</x:v>
      </x:c>
      <x:c r="L1853" s="39" t="str">
        <x:v>MI-1428</x:v>
      </x:c>
      <x:c r="M1853" s="39" t="str">
        <x:v>چالش</x:v>
      </x:c>
      <x:c r="N1853" s="39" t="str">
        <x:v>1154878548.docx::P4698.1</x:v>
      </x:c>
      <x:c r="O1853" s="39"/>
    </x:row>
    <x:row r="1854">
      <x:c r="A1854" s="34" t="str">
        <x:v>☐</x:v>
      </x:c>
      <x:c r="B1854" s="34" t="str">
        <x:v>EX-1826</x:v>
      </x:c>
      <x:c r="C1854" s="34" t="str">
        <x:v>تربیت</x:v>
      </x:c>
      <x:c r="D1854" s="34" t="str">
        <x:v>POSSIBLE</x:v>
      </x:c>
      <x:c r="E1854" s="34" t="str">
        <x:v>90.0</x:v>
      </x:c>
      <x:c r="F1854" s="34" t="str">
        <x:v>MI-0065</x:v>
      </x:c>
      <x:c r="G1854" s="39" t="str">
        <x:v>یادگیری دوره تربیت مدرس ttc</x:v>
      </x:c>
      <x:c r="H1854" s="39" t="str">
        <x:v>H2</x:v>
      </x:c>
      <x:c r="I1854" s="39" t="str">
        <x:v>P3/CLARIFY</x:v>
      </x:c>
      <x:c r="J1854" s="39" t="str">
        <x:v>H2</x:v>
      </x:c>
      <x:c r="K1854" s="39" t="str">
        <x:v>تطبیق احتمالی با پایه</x:v>
      </x:c>
      <x:c r="L1854" s="39" t="str">
        <x:v>MI-0065</x:v>
      </x:c>
      <x:c r="M1854" s="39" t="str">
        <x:v>یادگیری دوره تربیت مدرس ttc</x:v>
      </x:c>
      <x:c r="N1854" s="39" t="str">
        <x:v>1154878548.docx::P4701.1</x:v>
      </x:c>
      <x:c r="O1854" s="39"/>
    </x:row>
    <x:row r="1855">
      <x:c r="A1855" s="34" t="str">
        <x:v>☐</x:v>
      </x:c>
      <x:c r="B1855" s="34" t="str">
        <x:v>EX-1827</x:v>
      </x:c>
      <x:c r="C1855" s="34" t="str">
        <x:v>مساجد</x:v>
      </x:c>
      <x:c r="D1855" s="34" t="str">
        <x:v>POSSIBLE</x:v>
      </x:c>
      <x:c r="E1855" s="34" t="str">
        <x:v>90.0</x:v>
      </x:c>
      <x:c r="F1855" s="34" t="str">
        <x:v>MI-0243</x:v>
      </x:c>
      <x:c r="G1855" s="39" t="str">
        <x:v>چالش های مساجد و ارایه راهکار</x:v>
      </x:c>
      <x:c r="H1855" s="39" t="str">
        <x:v>H4</x:v>
      </x:c>
      <x:c r="I1855" s="39" t="str">
        <x:v>P1</x:v>
      </x:c>
      <x:c r="J1855" s="39" t="str">
        <x:v>H4</x:v>
      </x:c>
      <x:c r="K1855" s="39" t="str">
        <x:v>تطبیق احتمالی با پایه</x:v>
      </x:c>
      <x:c r="L1855" s="39" t="str">
        <x:v>MI-0243</x:v>
      </x:c>
      <x:c r="M1855" s="39" t="str">
        <x:v>چالش های مساجد و ارایه راهکار</x:v>
      </x:c>
      <x:c r="N1855" s="39" t="str">
        <x:v>1154878548.docx::P4702.1</x:v>
      </x:c>
      <x:c r="O1855" s="39"/>
    </x:row>
    <x:row r="1856">
      <x:c r="A1856" s="34" t="str">
        <x:v>☐</x:v>
      </x:c>
      <x:c r="B1856" s="34" t="str">
        <x:v>EX-1828</x:v>
      </x:c>
      <x:c r="C1856" s="34" t="str">
        <x:v>اقتصادی / تبیینی</x:v>
      </x:c>
      <x:c r="D1856" s="34" t="str">
        <x:v>POSSIBLE</x:v>
      </x:c>
      <x:c r="E1856" s="34" t="str">
        <x:v>90.0</x:v>
      </x:c>
      <x:c r="F1856" s="34" t="str">
        <x:v>MI-0283</x:v>
      </x:c>
      <x:c r="G1856" s="39" t="str">
        <x:v>اقتصادی</x:v>
      </x:c>
      <x:c r="H1856" s="39" t="str">
        <x:v>H16</x:v>
      </x:c>
      <x:c r="I1856" s="39" t="str">
        <x:v>P3/CLARIFY</x:v>
      </x:c>
      <x:c r="J1856" s="39" t="str">
        <x:v>H16</x:v>
      </x:c>
      <x:c r="K1856" s="39" t="str">
        <x:v>تطبیق احتمالی با پایه</x:v>
      </x:c>
      <x:c r="L1856" s="39" t="str">
        <x:v>MI-0283</x:v>
      </x:c>
      <x:c r="M1856" s="39" t="str">
        <x:v>اقتصادی</x:v>
      </x:c>
      <x:c r="N1856" s="39" t="str">
        <x:v>1154878548.docx::P4703.1</x:v>
      </x:c>
      <x:c r="O1856" s="39"/>
    </x:row>
    <x:row r="1857">
      <x:c r="A1857" s="34" t="str">
        <x:v>☐</x:v>
      </x:c>
      <x:c r="B1857" s="34" t="str">
        <x:v>EX-1829</x:v>
      </x:c>
      <x:c r="C1857" s="34" t="str">
        <x:v>جهاد تبیین (دانشگاه / سیاسی / اقتصادی / فرهنگی)</x:v>
      </x:c>
      <x:c r="D1857" s="34" t="str">
        <x:v>POSSIBLE</x:v>
      </x:c>
      <x:c r="E1857" s="34" t="str">
        <x:v>92.0</x:v>
      </x:c>
      <x:c r="F1857" s="34" t="str">
        <x:v>MI-0257</x:v>
      </x:c>
      <x:c r="G1857" s="39" t="str">
        <x:v>جهاد تبیین سیاسی و اقتصادی و فرهنگی</x:v>
      </x:c>
      <x:c r="H1857" s="39" t="str">
        <x:v>H16</x:v>
      </x:c>
      <x:c r="I1857" s="39" t="str">
        <x:v>P3/CLARIFY</x:v>
      </x:c>
      <x:c r="J1857" s="39" t="str">
        <x:v>H16</x:v>
      </x:c>
      <x:c r="K1857" s="39" t="str">
        <x:v>تطبیق احتمالی با پایه</x:v>
      </x:c>
      <x:c r="L1857" s="39" t="str">
        <x:v>MI-0257</x:v>
      </x:c>
      <x:c r="M1857" s="39" t="str">
        <x:v>جهاد تبیین سیاسی و اقتصادی و فرهنگی</x:v>
      </x:c>
      <x:c r="N1857" s="39" t="str">
        <x:v>1154878548.docx::P4705.1</x:v>
      </x:c>
      <x:c r="O1857" s="39"/>
    </x:row>
    <x:row r="1858">
      <x:c r="A1858" s="34" t="str">
        <x:v>☐</x:v>
      </x:c>
      <x:c r="B1858" s="34" t="str">
        <x:v>EX-1830</x:v>
      </x:c>
      <x:c r="C1858" s="34" t="str">
        <x:v>تاکیدات رهبر انقلاب (اقتصادی، صنعتی، علمی)</x:v>
      </x:c>
      <x:c r="D1858" s="34" t="str">
        <x:v>POSSIBLE</x:v>
      </x:c>
      <x:c r="E1858" s="34" t="str">
        <x:v>90.0</x:v>
      </x:c>
      <x:c r="F1858" s="34" t="str">
        <x:v>MI-0283</x:v>
      </x:c>
      <x:c r="G1858" s="39" t="str">
        <x:v>اقتصادی</x:v>
      </x:c>
      <x:c r="H1858" s="39" t="str">
        <x:v>H16</x:v>
      </x:c>
      <x:c r="I1858" s="39" t="str">
        <x:v>P3/CLARIFY</x:v>
      </x:c>
      <x:c r="J1858" s="39" t="str">
        <x:v>H16</x:v>
      </x:c>
      <x:c r="K1858" s="39" t="str">
        <x:v>تطبیق احتمالی با پایه</x:v>
      </x:c>
      <x:c r="L1858" s="39" t="str">
        <x:v>MI-0283</x:v>
      </x:c>
      <x:c r="M1858" s="39" t="str">
        <x:v>اقتصادی</x:v>
      </x:c>
      <x:c r="N1858" s="39" t="str">
        <x:v>1154878548.docx::P4706.1</x:v>
      </x:c>
      <x:c r="O1858" s="39"/>
    </x:row>
    <x:row r="1859">
      <x:c r="A1859" s="34" t="str">
        <x:v>☐</x:v>
      </x:c>
      <x:c r="B1859" s="34" t="str">
        <x:v>EX-1831</x:v>
      </x:c>
      <x:c r="C1859" s="34" t="str">
        <x:v>زیرحوزه ۲-۲: تحلیلگر و نیازسنجی</x:v>
      </x:c>
      <x:c r="D1859" s="34" t="str">
        <x:v>POSSIBLE</x:v>
      </x:c>
      <x:c r="E1859" s="34" t="str">
        <x:v>90.0</x:v>
      </x:c>
      <x:c r="F1859" s="34" t="str">
        <x:v>MI-0281</x:v>
      </x:c>
      <x:c r="G1859" s="39" t="str">
        <x:v>تحلیلگر</x:v>
      </x:c>
      <x:c r="H1859" s="39" t="str">
        <x:v>H23</x:v>
      </x:c>
      <x:c r="I1859" s="39" t="str">
        <x:v>P3/CLARIFY</x:v>
      </x:c>
      <x:c r="J1859" s="39" t="str">
        <x:v>H23</x:v>
      </x:c>
      <x:c r="K1859" s="39" t="str">
        <x:v>تطبیق احتمالی با پایه</x:v>
      </x:c>
      <x:c r="L1859" s="39" t="str">
        <x:v>MI-0281</x:v>
      </x:c>
      <x:c r="M1859" s="39" t="str">
        <x:v>تحلیلگر</x:v>
      </x:c>
      <x:c r="N1859" s="39" t="str">
        <x:v>1154878548.docx::P4707.1</x:v>
      </x:c>
      <x:c r="O1859" s="39"/>
    </x:row>
    <x:row r="1860">
      <x:c r="A1860" s="34" t="str">
        <x:v>☐</x:v>
      </x:c>
      <x:c r="B1860" s="34" t="str">
        <x:v>EX-1832</x:v>
      </x:c>
      <x:c r="C1860" s="34" t="str">
        <x:v>نیازسنجی:</x:v>
      </x:c>
      <x:c r="D1860" s="34" t="str">
        <x:v>POSSIBLE</x:v>
      </x:c>
      <x:c r="E1860" s="34" t="str">
        <x:v>90.0</x:v>
      </x:c>
      <x:c r="F1860" s="34" t="str">
        <x:v>MI-0282</x:v>
      </x:c>
      <x:c r="G1860" s="39" t="str">
        <x:v>نیازسنجی برای قشر دانشجو</x:v>
      </x:c>
      <x:c r="H1860" s="39" t="str">
        <x:v>H11</x:v>
      </x:c>
      <x:c r="I1860" s="39" t="str">
        <x:v>DELEGATE/P2</x:v>
      </x:c>
      <x:c r="J1860" s="39" t="str">
        <x:v>H11</x:v>
      </x:c>
      <x:c r="K1860" s="39" t="str">
        <x:v>تطبیق احتمالی با پایه</x:v>
      </x:c>
      <x:c r="L1860" s="39" t="str">
        <x:v>MI-0282</x:v>
      </x:c>
      <x:c r="M1860" s="39" t="str">
        <x:v>نیازسنجی برای قشر دانشجو</x:v>
      </x:c>
      <x:c r="N1860" s="39" t="str">
        <x:v>1154878548.docx::P4708.1</x:v>
      </x:c>
      <x:c r="O1860" s="39"/>
    </x:row>
    <x:row r="1861">
      <x:c r="A1861" s="34" t="str">
        <x:v>☐</x:v>
      </x:c>
      <x:c r="B1861" s="34" t="str">
        <x:v>EX-1833</x:v>
      </x:c>
      <x:c r="C1861" s="34" t="str">
        <x:v>اقتصادی (مقاومتی، تعاونی، اسلامی)</x:v>
      </x:c>
      <x:c r="D1861" s="34" t="str">
        <x:v>POSSIBLE</x:v>
      </x:c>
      <x:c r="E1861" s="34" t="str">
        <x:v>90.0</x:v>
      </x:c>
      <x:c r="F1861" s="34" t="str">
        <x:v>MI-0283</x:v>
      </x:c>
      <x:c r="G1861" s="39" t="str">
        <x:v>اقتصادی</x:v>
      </x:c>
      <x:c r="H1861" s="39" t="str">
        <x:v>H16</x:v>
      </x:c>
      <x:c r="I1861" s="39" t="str">
        <x:v>P3/CLARIFY</x:v>
      </x:c>
      <x:c r="J1861" s="39" t="str">
        <x:v>H16</x:v>
      </x:c>
      <x:c r="K1861" s="39" t="str">
        <x:v>تطبیق احتمالی با پایه</x:v>
      </x:c>
      <x:c r="L1861" s="39" t="str">
        <x:v>MI-0283</x:v>
      </x:c>
      <x:c r="M1861" s="39" t="str">
        <x:v>اقتصادی</x:v>
      </x:c>
      <x:c r="N1861" s="39" t="str">
        <x:v>1154878548.docx::P4710.1</x:v>
      </x:c>
      <x:c r="O1861" s="39"/>
    </x:row>
    <x:row r="1862">
      <x:c r="A1862" s="34" t="str">
        <x:v>☐</x:v>
      </x:c>
      <x:c r="B1862" s="34" t="str">
        <x:v>EX-1834</x:v>
      </x:c>
      <x:c r="C1862" s="34" t="str">
        <x:v>🟦 ۳. حوزه آموزش، پژوهش و مسیر تحصیلی</x:v>
      </x:c>
      <x:c r="D1862" s="34" t="str">
        <x:v>POSSIBLE</x:v>
      </x:c>
      <x:c r="E1862" s="34" t="str">
        <x:v>90.0</x:v>
      </x:c>
      <x:c r="F1862" s="34" t="str">
        <x:v>MI-2192</x:v>
      </x:c>
      <x:c r="G1862" s="39" t="str">
        <x:v>پژوهش</x:v>
      </x:c>
      <x:c r="H1862" s="39" t="str">
        <x:v>H9</x:v>
      </x:c>
      <x:c r="I1862" s="39" t="str">
        <x:v>P2</x:v>
      </x:c>
      <x:c r="J1862" s="39" t="str">
        <x:v>H9</x:v>
      </x:c>
      <x:c r="K1862" s="39" t="str">
        <x:v>تطبیق احتمالی با پایه</x:v>
      </x:c>
      <x:c r="L1862" s="39" t="str">
        <x:v>MI-2192</x:v>
      </x:c>
      <x:c r="M1862" s="39" t="str">
        <x:v>پژوهش</x:v>
      </x:c>
      <x:c r="N1862" s="39" t="str">
        <x:v>1154878548.docx::P4725.1</x:v>
      </x:c>
      <x:c r="O1862" s="39"/>
    </x:row>
    <x:row r="1863">
      <x:c r="A1863" s="34" t="str">
        <x:v>☐</x:v>
      </x:c>
      <x:c r="B1863" s="34" t="str">
        <x:v>EX-1835</x:v>
      </x:c>
      <x:c r="C1863" s="34" t="str">
        <x:v>زیرحوزه ۳-۱: راهنمایی و خدمات آموزشی (اجرایی)</x:v>
      </x:c>
      <x:c r="D1863" s="34" t="str">
        <x:v>POSSIBLE</x:v>
      </x:c>
      <x:c r="E1863" s="34" t="str">
        <x:v>85.5</x:v>
      </x:c>
      <x:c r="F1863" s="34" t="str">
        <x:v>MI-0029</x:v>
      </x:c>
      <x:c r="G1863" s="39" t="str">
        <x:v>تدریس ریاضی و فیزیک</x:v>
      </x:c>
      <x:c r="H1863" s="39" t="str">
        <x:v>H1</x:v>
      </x:c>
      <x:c r="I1863" s="39" t="str">
        <x:v>P0</x:v>
      </x:c>
      <x:c r="J1863" s="39" t="str">
        <x:v>H1</x:v>
      </x:c>
      <x:c r="K1863" s="39" t="str">
        <x:v>تطبیق احتمالی با پایه</x:v>
      </x:c>
      <x:c r="L1863" s="39" t="str">
        <x:v>MI-0029</x:v>
      </x:c>
      <x:c r="M1863" s="39" t="str">
        <x:v>تدریس ریاضی و فیزیک</x:v>
      </x:c>
      <x:c r="N1863" s="39" t="str">
        <x:v>1154878548.docx::P4726.1</x:v>
      </x:c>
      <x:c r="O1863" s="39"/>
    </x:row>
    <x:row r="1864">
      <x:c r="A1864" s="34" t="str">
        <x:v>☐</x:v>
      </x:c>
      <x:c r="B1864" s="34" t="str">
        <x:v>EX-1836</x:v>
      </x:c>
      <x:c r="C1864" s="34" t="str">
        <x:v>حذف:</x:v>
      </x:c>
      <x:c r="D1864" s="34" t="str">
        <x:v>POSSIBLE</x:v>
      </x:c>
      <x:c r="E1864" s="34" t="str">
        <x:v>90.0</x:v>
      </x:c>
      <x:c r="F1864" s="34" t="str">
        <x:v>MI-0251</x:v>
      </x:c>
      <x:c r="G1864" s="39" t="str">
        <x:v>حذف پزشکی</x:v>
      </x:c>
      <x:c r="H1864" s="39" t="str">
        <x:v>H13</x:v>
      </x:c>
      <x:c r="I1864" s="39" t="str">
        <x:v>P2</x:v>
      </x:c>
      <x:c r="J1864" s="39" t="str">
        <x:v>H13</x:v>
      </x:c>
      <x:c r="K1864" s="39" t="str">
        <x:v>تطبیق احتمالی با پایه</x:v>
      </x:c>
      <x:c r="L1864" s="39" t="str">
        <x:v>MI-0251</x:v>
      </x:c>
      <x:c r="M1864" s="39" t="str">
        <x:v>حذف پزشکی</x:v>
      </x:c>
      <x:c r="N1864" s="39" t="str">
        <x:v>1154878548.docx::P4728.1</x:v>
      </x:c>
      <x:c r="O1864" s="39"/>
    </x:row>
    <x:row r="1865">
      <x:c r="A1865" s="34" t="str">
        <x:v>☐</x:v>
      </x:c>
      <x:c r="B1865" s="34" t="str">
        <x:v>EX-1837</x:v>
      </x:c>
      <x:c r="C1865" s="34" t="str">
        <x:v>پزشکی</x:v>
      </x:c>
      <x:c r="D1865" s="34" t="str">
        <x:v>POSSIBLE</x:v>
      </x:c>
      <x:c r="E1865" s="34" t="str">
        <x:v>90.0</x:v>
      </x:c>
      <x:c r="F1865" s="34" t="str">
        <x:v>MI-0251</x:v>
      </x:c>
      <x:c r="G1865" s="39" t="str">
        <x:v>حذف پزشکی</x:v>
      </x:c>
      <x:c r="H1865" s="39" t="str">
        <x:v>H13</x:v>
      </x:c>
      <x:c r="I1865" s="39" t="str">
        <x:v>P2</x:v>
      </x:c>
      <x:c r="J1865" s="39" t="str">
        <x:v>H13</x:v>
      </x:c>
      <x:c r="K1865" s="39" t="str">
        <x:v>تطبیق احتمالی با پایه</x:v>
      </x:c>
      <x:c r="L1865" s="39" t="str">
        <x:v>MI-0251</x:v>
      </x:c>
      <x:c r="M1865" s="39" t="str">
        <x:v>حذف پزشکی</x:v>
      </x:c>
      <x:c r="N1865" s="39" t="str">
        <x:v>1154878548.docx::P4730.1</x:v>
      </x:c>
      <x:c r="O1865" s="39"/>
    </x:row>
    <x:row r="1866">
      <x:c r="A1866" s="34" t="str">
        <x:v>☐</x:v>
      </x:c>
      <x:c r="B1866" s="34" t="str">
        <x:v>EX-1838</x:v>
      </x:c>
      <x:c r="C1866" s="34" t="str">
        <x:v>اضطراری</x:v>
      </x:c>
      <x:c r="D1866" s="34" t="str">
        <x:v>POSSIBLE</x:v>
      </x:c>
      <x:c r="E1866" s="34" t="str">
        <x:v>90.0</x:v>
      </x:c>
      <x:c r="F1866" s="34" t="str">
        <x:v>MI-0252</x:v>
      </x:c>
      <x:c r="G1866" s="39" t="str">
        <x:v>حذف اضطراری</x:v>
      </x:c>
      <x:c r="H1866" s="39" t="str">
        <x:v>H23</x:v>
      </x:c>
      <x:c r="I1866" s="39" t="str">
        <x:v>P3/CLARIFY</x:v>
      </x:c>
      <x:c r="J1866" s="39" t="str">
        <x:v>H23</x:v>
      </x:c>
      <x:c r="K1866" s="39" t="str">
        <x:v>تطبیق احتمالی با پایه</x:v>
      </x:c>
      <x:c r="L1866" s="39" t="str">
        <x:v>MI-0252</x:v>
      </x:c>
      <x:c r="M1866" s="39" t="str">
        <x:v>حذف اضطراری</x:v>
      </x:c>
      <x:c r="N1866" s="39" t="str">
        <x:v>1154878548.docx::P4731.1</x:v>
      </x:c>
      <x:c r="O1866" s="39"/>
    </x:row>
    <x:row r="1867">
      <x:c r="A1867" s="34" t="str">
        <x:v>☐</x:v>
      </x:c>
      <x:c r="B1867" s="34" t="str">
        <x:v>EX-1839</x:v>
      </x:c>
      <x:c r="C1867" s="34" t="str">
        <x:v>صداقت</x:v>
      </x:c>
      <x:c r="D1867" s="34" t="str">
        <x:v>POSSIBLE</x:v>
      </x:c>
      <x:c r="E1867" s="34" t="str">
        <x:v>90.0</x:v>
      </x:c>
      <x:c r="F1867" s="34" t="str">
        <x:v>MI-3142</x:v>
      </x:c>
      <x:c r="G1867" s="39" t="str">
        <x:v>ارزش 2: صداقت</x:v>
      </x:c>
      <x:c r="H1867" s="39" t="str">
        <x:v>H22</x:v>
      </x:c>
      <x:c r="I1867" s="39" t="str">
        <x:v>P3/CLARIFY</x:v>
      </x:c>
      <x:c r="J1867" s="39" t="str">
        <x:v>H22</x:v>
      </x:c>
      <x:c r="K1867" s="39" t="str">
        <x:v>تطبیق احتمالی با پایه</x:v>
      </x:c>
      <x:c r="L1867" s="39" t="str">
        <x:v>MI-3142</x:v>
      </x:c>
      <x:c r="M1867" s="39" t="str">
        <x:v>ارزش 2: صداقت</x:v>
      </x:c>
      <x:c r="N1867" s="39" t="str">
        <x:v>1154878548.docx::P4732.1 | فرم_اطلاعات_نتایج_آزمونها_تحصیلی (1).xlsx::فرم نتایج تست ها!Z35</x:v>
      </x:c>
      <x:c r="O1867" s="39"/>
    </x:row>
    <x:row r="1868">
      <x:c r="A1868" s="34" t="str">
        <x:v>☐</x:v>
      </x:c>
      <x:c r="B1868" s="34" t="str">
        <x:v>EX-1840</x:v>
      </x:c>
      <x:c r="C1868" s="34" t="str">
        <x:v>نحوه:</x:v>
      </x:c>
      <x:c r="D1868" s="34" t="str">
        <x:v>POSSIBLE</x:v>
      </x:c>
      <x:c r="E1868" s="34" t="str">
        <x:v>90.0</x:v>
      </x:c>
      <x:c r="F1868" s="34" t="str">
        <x:v>MI-0613</x:v>
      </x:c>
      <x:c r="G1868" s="39" t="str">
        <x:v>نحوه اطلاع رسانی در شرایط بحرانی</x:v>
      </x:c>
      <x:c r="H1868" s="39" t="str">
        <x:v>H4</x:v>
      </x:c>
      <x:c r="I1868" s="39" t="str">
        <x:v>P1</x:v>
      </x:c>
      <x:c r="J1868" s="39" t="str">
        <x:v>H4</x:v>
      </x:c>
      <x:c r="K1868" s="39" t="str">
        <x:v>تطبیق احتمالی با پایه</x:v>
      </x:c>
      <x:c r="L1868" s="39" t="str">
        <x:v>MI-0613</x:v>
      </x:c>
      <x:c r="M1868" s="39" t="str">
        <x:v>نحوه اطلاع رسانی در شرایط بحرانی</x:v>
      </x:c>
      <x:c r="N1868" s="39" t="str">
        <x:v>1154878548.docx::P4733.1</x:v>
      </x:c>
      <x:c r="O1868" s="39"/>
    </x:row>
    <x:row r="1869">
      <x:c r="A1869" s="34" t="str">
        <x:v>☐</x:v>
      </x:c>
      <x:c r="B1869" s="34" t="str">
        <x:v>EX-1841</x:v>
      </x:c>
      <x:c r="C1869" s="34" t="str">
        <x:v>زیرحوزه ۳-۲: هدایت تحصیلی</x:v>
      </x:c>
      <x:c r="D1869" s="34" t="str">
        <x:v>POSSIBLE</x:v>
      </x:c>
      <x:c r="E1869" s="34" t="str">
        <x:v>90.0</x:v>
      </x:c>
      <x:c r="F1869" s="34" t="str">
        <x:v>MI-1059</x:v>
      </x:c>
      <x:c r="G1869" s="39" t="str">
        <x:v>هدایت تحصیلی</x:v>
      </x:c>
      <x:c r="H1869" s="39" t="str">
        <x:v>H11</x:v>
      </x:c>
      <x:c r="I1869" s="39" t="str">
        <x:v>DELEGATE/P2</x:v>
      </x:c>
      <x:c r="J1869" s="39" t="str">
        <x:v>H11</x:v>
      </x:c>
      <x:c r="K1869" s="39" t="str">
        <x:v>تطبیق احتمالی با پایه</x:v>
      </x:c>
      <x:c r="L1869" s="39" t="str">
        <x:v>MI-1059</x:v>
      </x:c>
      <x:c r="M1869" s="39" t="str">
        <x:v>هدایت تحصیلی</x:v>
      </x:c>
      <x:c r="N1869" s="39" t="str">
        <x:v>1154878548.docx::P4738.1</x:v>
      </x:c>
      <x:c r="O1869" s="39"/>
    </x:row>
    <x:row r="1870">
      <x:c r="A1870" s="34" t="str">
        <x:v>☐</x:v>
      </x:c>
      <x:c r="B1870" s="34" t="str">
        <x:v>EX-1842</x:v>
      </x:c>
      <x:c r="C1870" s="34" t="str">
        <x:v>پایش وضعیت تحصیلی</x:v>
      </x:c>
      <x:c r="D1870" s="34" t="str">
        <x:v>POSSIBLE</x:v>
      </x:c>
      <x:c r="E1870" s="34" t="str">
        <x:v>90.0</x:v>
      </x:c>
      <x:c r="F1870" s="34" t="str">
        <x:v>MI-0260</x:v>
      </x:c>
      <x:c r="G1870" s="39" t="str">
        <x:v>با پایش وضعیت تحصیلی دانشجویان</x:v>
      </x:c>
      <x:c r="H1870" s="39" t="str">
        <x:v>H11</x:v>
      </x:c>
      <x:c r="I1870" s="39" t="str">
        <x:v>DELEGATE/P2</x:v>
      </x:c>
      <x:c r="J1870" s="39" t="str">
        <x:v>H11</x:v>
      </x:c>
      <x:c r="K1870" s="39" t="str">
        <x:v>تطبیق احتمالی با پایه</x:v>
      </x:c>
      <x:c r="L1870" s="39" t="str">
        <x:v>MI-0260</x:v>
      </x:c>
      <x:c r="M1870" s="39" t="str">
        <x:v>با پایش وضعیت تحصیلی دانشجویان</x:v>
      </x:c>
      <x:c r="N1870" s="39" t="str">
        <x:v>1154878548.docx::P4740.1</x:v>
      </x:c>
      <x:c r="O1870" s="39"/>
    </x:row>
    <x:row r="1871">
      <x:c r="A1871" s="34" t="str">
        <x:v>☐</x:v>
      </x:c>
      <x:c r="B1871" s="34" t="str">
        <x:v>EX-1843</x:v>
      </x:c>
      <x:c r="C1871" s="34" t="str">
        <x:v>هدایت هوشمند با فنجو</x:v>
      </x:c>
      <x:c r="D1871" s="34" t="str">
        <x:v>POSSIBLE</x:v>
      </x:c>
      <x:c r="E1871" s="34" t="str">
        <x:v>90.0</x:v>
      </x:c>
      <x:c r="F1871" s="34" t="str">
        <x:v>MI-1165</x:v>
      </x:c>
      <x:c r="G1871" s="39" t="str">
        <x:v>فنجو</x:v>
      </x:c>
      <x:c r="H1871" s="39" t="str">
        <x:v>H11</x:v>
      </x:c>
      <x:c r="I1871" s="39" t="str">
        <x:v>DELEGATE/P2</x:v>
      </x:c>
      <x:c r="J1871" s="39" t="str">
        <x:v>H11</x:v>
      </x:c>
      <x:c r="K1871" s="39" t="str">
        <x:v>تطبیق احتمالی با پایه</x:v>
      </x:c>
      <x:c r="L1871" s="39" t="str">
        <x:v>MI-1165</x:v>
      </x:c>
      <x:c r="M1871" s="39" t="str">
        <x:v>فنجو</x:v>
      </x:c>
      <x:c r="N1871" s="39" t="str">
        <x:v>1154878548.docx::P4741.1</x:v>
      </x:c>
      <x:c r="O1871" s="39"/>
    </x:row>
    <x:row r="1872">
      <x:c r="A1872" s="34" t="str">
        <x:v>☐</x:v>
      </x:c>
      <x:c r="B1872" s="34" t="str">
        <x:v>EX-1844</x:v>
      </x:c>
      <x:c r="C1872" s="34" t="str">
        <x:v>پادکست معرفی رشتهها</x:v>
      </x:c>
      <x:c r="D1872" s="34" t="str">
        <x:v>POSSIBLE</x:v>
      </x:c>
      <x:c r="E1872" s="34" t="str">
        <x:v>85.5</x:v>
      </x:c>
      <x:c r="F1872" s="34" t="str">
        <x:v>MI-0670</x:v>
      </x:c>
      <x:c r="G1872" s="39" t="str">
        <x:v>پادکست رشته ها و توضیح آن برای ورودی ها ، بازار کار، درآمد ، کار ها ، درس ها</x:v>
      </x:c>
      <x:c r="H1872" s="39" t="str">
        <x:v>H3</x:v>
      </x:c>
      <x:c r="I1872" s="39" t="str">
        <x:v>P0/P1</x:v>
      </x:c>
      <x:c r="J1872" s="39" t="str">
        <x:v>H3</x:v>
      </x:c>
      <x:c r="K1872" s="39" t="str">
        <x:v>تطبیق احتمالی با پایه</x:v>
      </x:c>
      <x:c r="L1872" s="39" t="str">
        <x:v>MI-0670</x:v>
      </x:c>
      <x:c r="M1872" s="39" t="str">
        <x:v>پادکست رشته ها و توضیح آن برای ورودی ها ، بازار کار، درآمد ، کار ها ، درس ها</x:v>
      </x:c>
      <x:c r="N1872" s="39" t="str">
        <x:v>1154878548.docx::P4742.1</x:v>
      </x:c>
      <x:c r="O1872" s="39"/>
    </x:row>
    <x:row r="1873">
      <x:c r="A1873" s="34" t="str">
        <x:v>☐</x:v>
      </x:c>
      <x:c r="B1873" s="34" t="str">
        <x:v>EX-1845</x:v>
      </x:c>
      <x:c r="C1873" s="34" t="str">
        <x:v>زیرحوزه ۳-۳: پژوهش و مقاله</x:v>
      </x:c>
      <x:c r="D1873" s="34" t="str">
        <x:v>POSSIBLE</x:v>
      </x:c>
      <x:c r="E1873" s="34" t="str">
        <x:v>90.0</x:v>
      </x:c>
      <x:c r="F1873" s="34" t="str">
        <x:v>MI-2192</x:v>
      </x:c>
      <x:c r="G1873" s="39" t="str">
        <x:v>پژوهش</x:v>
      </x:c>
      <x:c r="H1873" s="39" t="str">
        <x:v>H9</x:v>
      </x:c>
      <x:c r="I1873" s="39" t="str">
        <x:v>P2</x:v>
      </x:c>
      <x:c r="J1873" s="39" t="str">
        <x:v>H9</x:v>
      </x:c>
      <x:c r="K1873" s="39" t="str">
        <x:v>تطبیق احتمالی با پایه</x:v>
      </x:c>
      <x:c r="L1873" s="39" t="str">
        <x:v>MI-2192</x:v>
      </x:c>
      <x:c r="M1873" s="39" t="str">
        <x:v>پژوهش</x:v>
      </x:c>
      <x:c r="N1873" s="39" t="str">
        <x:v>1154878548.docx::P4743.1</x:v>
      </x:c>
      <x:c r="O1873" s="39"/>
    </x:row>
    <x:row r="1874">
      <x:c r="A1874" s="34" t="str">
        <x:v>☐</x:v>
      </x:c>
      <x:c r="B1874" s="34" t="str">
        <x:v>EX-1846</x:v>
      </x:c>
      <x:c r="C1874" s="34" t="str">
        <x:v>🟦 ۴. حوزه مهارت، کار و آینده شغلی</x:v>
      </x:c>
      <x:c r="D1874" s="34" t="str">
        <x:v>POSSIBLE</x:v>
      </x:c>
      <x:c r="E1874" s="34" t="str">
        <x:v>85.5</x:v>
      </x:c>
      <x:c r="F1874" s="34" t="str">
        <x:v>MI-1513</x:v>
      </x:c>
      <x:c r="G1874" s="39" t="str">
        <x:v>تولید و کارآفرینی: توانایی تولید محصول و خدمات و ایجاد شغل.</x:v>
      </x:c>
      <x:c r="H1874" s="39" t="str">
        <x:v>H1</x:v>
      </x:c>
      <x:c r="I1874" s="39" t="str">
        <x:v>P0</x:v>
      </x:c>
      <x:c r="J1874" s="39" t="str">
        <x:v>H1</x:v>
      </x:c>
      <x:c r="K1874" s="39" t="str">
        <x:v>تطبیق احتمالی با پایه</x:v>
      </x:c>
      <x:c r="L1874" s="39" t="str">
        <x:v>MI-1513</x:v>
      </x:c>
      <x:c r="M1874" s="39" t="str">
        <x:v>تولید و کارآفرینی: توانایی تولید محصول و خدمات و ایجاد شغل.</x:v>
      </x:c>
      <x:c r="N1874" s="39" t="str">
        <x:v>1154878548.docx::P4753.1</x:v>
      </x:c>
      <x:c r="O1874" s="39"/>
    </x:row>
    <x:row r="1875">
      <x:c r="A1875" s="34" t="str">
        <x:v>☐</x:v>
      </x:c>
      <x:c r="B1875" s="34" t="str">
        <x:v>EX-1847</x:v>
      </x:c>
      <x:c r="C1875" s="34" t="str">
        <x:v>زیرحوزه ۴-۲: ارتباط با صنعت و RFP</x:v>
      </x:c>
      <x:c r="D1875" s="34" t="str">
        <x:v>POSSIBLE</x:v>
      </x:c>
      <x:c r="E1875" s="34" t="str">
        <x:v>90.0</x:v>
      </x:c>
      <x:c r="F1875" s="34" t="str">
        <x:v>MI-2602</x:v>
      </x:c>
      <x:c r="G1875" s="39" t="str">
        <x:v>صنعت</x:v>
      </x:c>
      <x:c r="H1875" s="39" t="str">
        <x:v>H12</x:v>
      </x:c>
      <x:c r="I1875" s="39" t="str">
        <x:v>P2</x:v>
      </x:c>
      <x:c r="J1875" s="39" t="str">
        <x:v>H12</x:v>
      </x:c>
      <x:c r="K1875" s="39" t="str">
        <x:v>تطبیق احتمالی با پایه</x:v>
      </x:c>
      <x:c r="L1875" s="39" t="str">
        <x:v>MI-2602</x:v>
      </x:c>
      <x:c r="M1875" s="39" t="str">
        <x:v>صنعت</x:v>
      </x:c>
      <x:c r="N1875" s="39" t="str">
        <x:v>1154878548.docx::P4754.1</x:v>
      </x:c>
      <x:c r="O1875" s="39"/>
    </x:row>
    <x:row r="1876">
      <x:c r="A1876" s="34" t="str">
        <x:v>☐</x:v>
      </x:c>
      <x:c r="B1876" s="34" t="str">
        <x:v>EX-1848</x:v>
      </x:c>
      <x:c r="C1876" s="34" t="str">
        <x:v>جلسه با:</x:v>
      </x:c>
      <x:c r="D1876" s="34" t="str">
        <x:v>POSSIBLE</x:v>
      </x:c>
      <x:c r="E1876" s="34" t="str">
        <x:v>90.0</x:v>
      </x:c>
      <x:c r="F1876" s="34" t="str">
        <x:v>MI-0877</x:v>
      </x:c>
      <x:c r="G1876" s="39" t="str">
        <x:v>جلسه با هر کدام از شورای صنفی دانشکده ها</x:v>
      </x:c>
      <x:c r="H1876" s="39" t="str">
        <x:v>H11</x:v>
      </x:c>
      <x:c r="I1876" s="39" t="str">
        <x:v>DELEGATE/P2</x:v>
      </x:c>
      <x:c r="J1876" s="39" t="str">
        <x:v>H11</x:v>
      </x:c>
      <x:c r="K1876" s="39" t="str">
        <x:v>تطبیق احتمالی با پایه</x:v>
      </x:c>
      <x:c r="L1876" s="39" t="str">
        <x:v>MI-0877</x:v>
      </x:c>
      <x:c r="M1876" s="39" t="str">
        <x:v>جلسه با هر کدام از شورای صنفی دانشکده ها</x:v>
      </x:c>
      <x:c r="N1876" s="39" t="str">
        <x:v>1154878548.docx::P4755.1</x:v>
      </x:c>
      <x:c r="O1876" s="39"/>
    </x:row>
    <x:row r="1877">
      <x:c r="A1877" s="34" t="str">
        <x:v>☐</x:v>
      </x:c>
      <x:c r="B1877" s="34" t="str">
        <x:v>EX-1849</x:v>
      </x:c>
      <x:c r="C1877" s="34" t="str">
        <x:v>رشد</x:v>
      </x:c>
      <x:c r="D1877" s="34" t="str">
        <x:v>POSSIBLE</x:v>
      </x:c>
      <x:c r="E1877" s="34" t="str">
        <x:v>90.0</x:v>
      </x:c>
      <x:c r="F1877" s="34" t="str">
        <x:v>MI-1858</x:v>
      </x:c>
      <x:c r="G1877" s="39" t="str">
        <x:v>مدیران ارشد شرکت ها</x:v>
      </x:c>
      <x:c r="H1877" s="39" t="str">
        <x:v>H2</x:v>
      </x:c>
      <x:c r="I1877" s="39" t="str">
        <x:v>P3/CLARIFY</x:v>
      </x:c>
      <x:c r="J1877" s="39" t="str">
        <x:v>H2</x:v>
      </x:c>
      <x:c r="K1877" s="39" t="str">
        <x:v>تطبیق احتمالی با پایه</x:v>
      </x:c>
      <x:c r="L1877" s="39" t="str">
        <x:v>MI-1858</x:v>
      </x:c>
      <x:c r="M1877" s="39" t="str">
        <x:v>مدیران ارشد شرکت ها</x:v>
      </x:c>
      <x:c r="N1877" s="39" t="str">
        <x:v>1154878548.docx::P4759.1</x:v>
      </x:c>
      <x:c r="O1877" s="39"/>
    </x:row>
    <x:row r="1878">
      <x:c r="A1878" s="34" t="str">
        <x:v>☐</x:v>
      </x:c>
      <x:c r="B1878" s="34" t="str">
        <x:v>EX-1850</x:v>
      </x:c>
      <x:c r="C1878" s="34" t="str">
        <x:v>اساتید کاری</x:v>
      </x:c>
      <x:c r="D1878" s="34" t="str">
        <x:v>POSSIBLE</x:v>
      </x:c>
      <x:c r="E1878" s="34" t="str">
        <x:v>90.0</x:v>
      </x:c>
      <x:c r="F1878" s="34" t="str">
        <x:v>MI-2545</x:v>
      </x:c>
      <x:c r="G1878" s="39" t="str">
        <x:v>کار:</x:v>
      </x:c>
      <x:c r="H1878" s="39" t="str">
        <x:v>H20</x:v>
      </x:c>
      <x:c r="I1878" s="39" t="str">
        <x:v>P3/CLARIFY</x:v>
      </x:c>
      <x:c r="J1878" s="39" t="str">
        <x:v>H20</x:v>
      </x:c>
      <x:c r="K1878" s="39" t="str">
        <x:v>تطبیق احتمالی با پایه</x:v>
      </x:c>
      <x:c r="L1878" s="39" t="str">
        <x:v>MI-2545</x:v>
      </x:c>
      <x:c r="M1878" s="39" t="str">
        <x:v>کار:</x:v>
      </x:c>
      <x:c r="N1878" s="39" t="str">
        <x:v>1154878548.docx::P4761.1</x:v>
      </x:c>
      <x:c r="O1878" s="39"/>
    </x:row>
    <x:row r="1879">
      <x:c r="A1879" s="34" t="str">
        <x:v>☐</x:v>
      </x:c>
      <x:c r="B1879" s="34" t="str">
        <x:v>EX-1851</x:v>
      </x:c>
      <x:c r="C1879" s="34" t="str">
        <x:v>لینک کردن افراد برای RFP</x:v>
      </x:c>
      <x:c r="D1879" s="34" t="str">
        <x:v>POSSIBLE</x:v>
      </x:c>
      <x:c r="E1879" s="34" t="str">
        <x:v>90.0</x:v>
      </x:c>
      <x:c r="F1879" s="34" t="str">
        <x:v>MI-2997</x:v>
      </x:c>
      <x:c r="G1879" s="39" t="str">
        <x:v>افراد</x:v>
      </x:c>
      <x:c r="H1879" s="39" t="str">
        <x:v>H14</x:v>
      </x:c>
      <x:c r="I1879" s="39" t="str">
        <x:v>P3</x:v>
      </x:c>
      <x:c r="J1879" s="39" t="str">
        <x:v>H14</x:v>
      </x:c>
      <x:c r="K1879" s="39" t="str">
        <x:v>تطبیق احتمالی با پایه</x:v>
      </x:c>
      <x:c r="L1879" s="39" t="str">
        <x:v>MI-2997</x:v>
      </x:c>
      <x:c r="M1879" s="39" t="str">
        <x:v>افراد</x:v>
      </x:c>
      <x:c r="N1879" s="39" t="str">
        <x:v>1154878548.docx::P4762.1</x:v>
      </x:c>
      <x:c r="O1879" s="39"/>
    </x:row>
    <x:row r="1880">
      <x:c r="A1880" s="34" t="str">
        <x:v>☐</x:v>
      </x:c>
      <x:c r="B1880" s="34" t="str">
        <x:v>EX-1852</x:v>
      </x:c>
      <x:c r="C1880" s="34" t="str">
        <x:v>بازدید علمی (شرکت مهام)</x:v>
      </x:c>
      <x:c r="D1880" s="34" t="str">
        <x:v>POSSIBLE</x:v>
      </x:c>
      <x:c r="E1880" s="34" t="str">
        <x:v>90.0</x:v>
      </x:c>
      <x:c r="F1880" s="34" t="str">
        <x:v>MI-0664</x:v>
      </x:c>
      <x:c r="G1880" s="39" t="str">
        <x:v>بازدید علمی شرکت مهام برای عموم آزاد است.</x:v>
      </x:c>
      <x:c r="H1880" s="39" t="str">
        <x:v>H11</x:v>
      </x:c>
      <x:c r="I1880" s="39" t="str">
        <x:v>DELEGATE/P2</x:v>
      </x:c>
      <x:c r="J1880" s="39" t="str">
        <x:v>H11</x:v>
      </x:c>
      <x:c r="K1880" s="39" t="str">
        <x:v>تطبیق احتمالی با پایه</x:v>
      </x:c>
      <x:c r="L1880" s="39" t="str">
        <x:v>MI-0664</x:v>
      </x:c>
      <x:c r="M1880" s="39" t="str">
        <x:v>بازدید علمی شرکت مهام برای عموم آزاد است.</x:v>
      </x:c>
      <x:c r="N1880" s="39" t="str">
        <x:v>1154878548.docx::P4763.1</x:v>
      </x:c>
      <x:c r="O1880" s="39"/>
    </x:row>
    <x:row r="1881">
      <x:c r="A1881" s="34" t="str">
        <x:v>☐</x:v>
      </x:c>
      <x:c r="B1881" s="34" t="str">
        <x:v>EX-1853</x:v>
      </x:c>
      <x:c r="C1881" s="34" t="str">
        <x:v>پژوهشکدههای صنعتی تهران</x:v>
      </x:c>
      <x:c r="D1881" s="34" t="str">
        <x:v>POSSIBLE</x:v>
      </x:c>
      <x:c r="E1881" s="34" t="str">
        <x:v>90.0</x:v>
      </x:c>
      <x:c r="F1881" s="34" t="str">
        <x:v>MI-2192</x:v>
      </x:c>
      <x:c r="G1881" s="39" t="str">
        <x:v>پژوهش</x:v>
      </x:c>
      <x:c r="H1881" s="39" t="str">
        <x:v>H9</x:v>
      </x:c>
      <x:c r="I1881" s="39" t="str">
        <x:v>P2</x:v>
      </x:c>
      <x:c r="J1881" s="39" t="str">
        <x:v>H9</x:v>
      </x:c>
      <x:c r="K1881" s="39" t="str">
        <x:v>تطبیق احتمالی با پایه</x:v>
      </x:c>
      <x:c r="L1881" s="39" t="str">
        <x:v>MI-2192</x:v>
      </x:c>
      <x:c r="M1881" s="39" t="str">
        <x:v>پژوهش</x:v>
      </x:c>
      <x:c r="N1881" s="39" t="str">
        <x:v>1154878548.docx::P4764.1</x:v>
      </x:c>
      <x:c r="O1881" s="39"/>
    </x:row>
    <x:row r="1882">
      <x:c r="A1882" s="34" t="str">
        <x:v>☐</x:v>
      </x:c>
      <x:c r="B1882" s="34" t="str">
        <x:v>EX-1854</x:v>
      </x:c>
      <x:c r="C1882" s="34" t="str">
        <x:v>زیرحوزه ۴-۱: بوتکمپ و کارگاه</x:v>
      </x:c>
      <x:c r="D1882" s="34" t="str">
        <x:v>POSSIBLE</x:v>
      </x:c>
      <x:c r="E1882" s="34" t="str">
        <x:v>90.0</x:v>
      </x:c>
      <x:c r="F1882" s="34" t="str">
        <x:v>MI-0271</x:v>
      </x:c>
      <x:c r="G1882" s="39" t="str">
        <x:v>بوتکمپ</x:v>
      </x:c>
      <x:c r="H1882" s="39" t="str">
        <x:v>H10</x:v>
      </x:c>
      <x:c r="I1882" s="39" t="str">
        <x:v>P2</x:v>
      </x:c>
      <x:c r="J1882" s="39" t="str">
        <x:v>H10</x:v>
      </x:c>
      <x:c r="K1882" s="39" t="str">
        <x:v>تطبیق احتمالی با پایه</x:v>
      </x:c>
      <x:c r="L1882" s="39" t="str">
        <x:v>MI-0271</x:v>
      </x:c>
      <x:c r="M1882" s="39" t="str">
        <x:v>بوتکمپ</x:v>
      </x:c>
      <x:c r="N1882" s="39" t="str">
        <x:v>1154878548.docx::P4765.1</x:v>
      </x:c>
      <x:c r="O1882" s="39"/>
    </x:row>
    <x:row r="1883">
      <x:c r="A1883" s="34" t="str">
        <x:v>☐</x:v>
      </x:c>
      <x:c r="B1883" s="34" t="str">
        <x:v>EX-1855</x:v>
      </x:c>
      <x:c r="C1883" s="34" t="str">
        <x:v>بوتکمپ جامع رشتهها</x:v>
      </x:c>
      <x:c r="D1883" s="34" t="str">
        <x:v>POSSIBLE</x:v>
      </x:c>
      <x:c r="E1883" s="34" t="str">
        <x:v>90.0</x:v>
      </x:c>
      <x:c r="F1883" s="34" t="str">
        <x:v>MI-0271</x:v>
      </x:c>
      <x:c r="G1883" s="39" t="str">
        <x:v>بوتکمپ</x:v>
      </x:c>
      <x:c r="H1883" s="39" t="str">
        <x:v>H10</x:v>
      </x:c>
      <x:c r="I1883" s="39" t="str">
        <x:v>P2</x:v>
      </x:c>
      <x:c r="J1883" s="39" t="str">
        <x:v>H10</x:v>
      </x:c>
      <x:c r="K1883" s="39" t="str">
        <x:v>تطبیق احتمالی با پایه</x:v>
      </x:c>
      <x:c r="L1883" s="39" t="str">
        <x:v>MI-0271</x:v>
      </x:c>
      <x:c r="M1883" s="39" t="str">
        <x:v>بوتکمپ</x:v>
      </x:c>
      <x:c r="N1883" s="39" t="str">
        <x:v>1154878548.docx::P4766.1</x:v>
      </x:c>
      <x:c r="O1883" s="39"/>
    </x:row>
    <x:row r="1884">
      <x:c r="A1884" s="34" t="str">
        <x:v>☐</x:v>
      </x:c>
      <x:c r="B1884" s="34" t="str">
        <x:v>EX-1856</x:v>
      </x:c>
      <x:c r="C1884" s="34" t="str">
        <x:v>بررسی نرمافزار و سختافزار</x:v>
      </x:c>
      <x:c r="D1884" s="34" t="str">
        <x:v>POSSIBLE</x:v>
      </x:c>
      <x:c r="E1884" s="34" t="str">
        <x:v>85.5</x:v>
      </x:c>
      <x:c r="F1884" s="34" t="str">
        <x:v>MI-1513</x:v>
      </x:c>
      <x:c r="G1884" s="39" t="str">
        <x:v>تولید و کارآفرینی: توانایی تولید محصول و خدمات و ایجاد شغل.</x:v>
      </x:c>
      <x:c r="H1884" s="39" t="str">
        <x:v>H1</x:v>
      </x:c>
      <x:c r="I1884" s="39" t="str">
        <x:v>P0</x:v>
      </x:c>
      <x:c r="J1884" s="39" t="str">
        <x:v>H1</x:v>
      </x:c>
      <x:c r="K1884" s="39" t="str">
        <x:v>تطبیق احتمالی با پایه</x:v>
      </x:c>
      <x:c r="L1884" s="39" t="str">
        <x:v>MI-1513</x:v>
      </x:c>
      <x:c r="M1884" s="39" t="str">
        <x:v>تولید و کارآفرینی: توانایی تولید محصول و خدمات و ایجاد شغل.</x:v>
      </x:c>
      <x:c r="N1884" s="39" t="str">
        <x:v>1154878548.docx::P4767.1</x:v>
      </x:c>
      <x:c r="O1884" s="39"/>
    </x:row>
    <x:row r="1885">
      <x:c r="A1885" s="34" t="str">
        <x:v>☐</x:v>
      </x:c>
      <x:c r="B1885" s="34" t="str">
        <x:v>EX-1857</x:v>
      </x:c>
      <x:c r="C1885" s="34" t="str">
        <x:v>گواهی و رزومه</x:v>
      </x:c>
      <x:c r="D1885" s="34" t="str">
        <x:v>POSSIBLE</x:v>
      </x:c>
      <x:c r="E1885" s="34" t="str">
        <x:v>85.5</x:v>
      </x:c>
      <x:c r="F1885" s="34" t="str">
        <x:v>MI-1513</x:v>
      </x:c>
      <x:c r="G1885" s="39" t="str">
        <x:v>تولید و کارآفرینی: توانایی تولید محصول و خدمات و ایجاد شغل.</x:v>
      </x:c>
      <x:c r="H1885" s="39" t="str">
        <x:v>H1</x:v>
      </x:c>
      <x:c r="I1885" s="39" t="str">
        <x:v>P0</x:v>
      </x:c>
      <x:c r="J1885" s="39" t="str">
        <x:v>H1</x:v>
      </x:c>
      <x:c r="K1885" s="39" t="str">
        <x:v>تطبیق احتمالی با پایه</x:v>
      </x:c>
      <x:c r="L1885" s="39" t="str">
        <x:v>MI-1513</x:v>
      </x:c>
      <x:c r="M1885" s="39" t="str">
        <x:v>تولید و کارآفرینی: توانایی تولید محصول و خدمات و ایجاد شغل.</x:v>
      </x:c>
      <x:c r="N1885" s="39" t="str">
        <x:v>1154878548.docx::P4768.1</x:v>
      </x:c>
      <x:c r="O1885" s="39"/>
    </x:row>
    <x:row r="1886">
      <x:c r="A1886" s="34" t="str">
        <x:v>☐</x:v>
      </x:c>
      <x:c r="B1886" s="34" t="str">
        <x:v>EX-1858</x:v>
      </x:c>
      <x:c r="C1886" s="34" t="str">
        <x:v>تعامل با انجمنها</x:v>
      </x:c>
      <x:c r="D1886" s="34" t="str">
        <x:v>POSSIBLE</x:v>
      </x:c>
      <x:c r="E1886" s="34" t="str">
        <x:v>90.0</x:v>
      </x:c>
      <x:c r="F1886" s="34" t="str">
        <x:v>MI-2713</x:v>
      </x:c>
      <x:c r="G1886" s="39" t="str">
        <x:v>تعامل</x:v>
      </x:c>
      <x:c r="H1886" s="39" t="str">
        <x:v>H4</x:v>
      </x:c>
      <x:c r="I1886" s="39" t="str">
        <x:v>P1</x:v>
      </x:c>
      <x:c r="J1886" s="39" t="str">
        <x:v>H4</x:v>
      </x:c>
      <x:c r="K1886" s="39" t="str">
        <x:v>تطبیق احتمالی با پایه</x:v>
      </x:c>
      <x:c r="L1886" s="39" t="str">
        <x:v>MI-2713</x:v>
      </x:c>
      <x:c r="M1886" s="39" t="str">
        <x:v>تعامل</x:v>
      </x:c>
      <x:c r="N1886" s="39" t="str">
        <x:v>1154878548.docx::P4769.1</x:v>
      </x:c>
      <x:c r="O1886" s="39"/>
    </x:row>
    <x:row r="1887">
      <x:c r="A1887" s="34" t="str">
        <x:v>☐</x:v>
      </x:c>
      <x:c r="B1887" s="34" t="str">
        <x:v>EX-1859</x:v>
      </x:c>
      <x:c r="C1887" s="34" t="str">
        <x:v>صحبت با «شروع»</x:v>
      </x:c>
      <x:c r="D1887" s="34" t="str">
        <x:v>POSSIBLE</x:v>
      </x:c>
      <x:c r="E1887" s="34" t="str">
        <x:v>90.0</x:v>
      </x:c>
      <x:c r="F1887" s="34" t="str">
        <x:v>MI-0671</x:v>
      </x:c>
      <x:c r="G1887" s="39" t="str">
        <x:v>شروع</x:v>
      </x:c>
      <x:c r="H1887" s="39" t="str">
        <x:v>H11</x:v>
      </x:c>
      <x:c r="I1887" s="39" t="str">
        <x:v>DELEGATE/P2</x:v>
      </x:c>
      <x:c r="J1887" s="39" t="str">
        <x:v>H11</x:v>
      </x:c>
      <x:c r="K1887" s="39" t="str">
        <x:v>تطبیق احتمالی با پایه</x:v>
      </x:c>
      <x:c r="L1887" s="39" t="str">
        <x:v>MI-0671</x:v>
      </x:c>
      <x:c r="M1887" s="39" t="str">
        <x:v>شروع</x:v>
      </x:c>
      <x:c r="N1887" s="39" t="str">
        <x:v>1154878548.docx::P4770.1</x:v>
      </x:c>
      <x:c r="O1887" s="39"/>
    </x:row>
    <x:row r="1888">
      <x:c r="A1888" s="34" t="str">
        <x:v>☐</x:v>
      </x:c>
      <x:c r="B1888" s="34" t="str">
        <x:v>EX-1860</x:v>
      </x:c>
      <x:c r="C1888" s="34" t="str">
        <x:v>دیتای استخدامی (ایمان واثق)</x:v>
      </x:c>
      <x:c r="D1888" s="34" t="str">
        <x:v>POSSIBLE</x:v>
      </x:c>
      <x:c r="E1888" s="34" t="str">
        <x:v>90.0</x:v>
      </x:c>
      <x:c r="F1888" s="34" t="str">
        <x:v>MI-1187</x:v>
      </x:c>
      <x:c r="G1888" s="39" t="str">
        <x:v>ایمان واثق</x:v>
      </x:c>
      <x:c r="H1888" s="39" t="str">
        <x:v>H11</x:v>
      </x:c>
      <x:c r="I1888" s="39" t="str">
        <x:v>DELEGATE/P2</x:v>
      </x:c>
      <x:c r="J1888" s="39" t="str">
        <x:v>H11</x:v>
      </x:c>
      <x:c r="K1888" s="39" t="str">
        <x:v>تطبیق احتمالی با پایه</x:v>
      </x:c>
      <x:c r="L1888" s="39" t="str">
        <x:v>MI-1187</x:v>
      </x:c>
      <x:c r="M1888" s="39" t="str">
        <x:v>ایمان واثق</x:v>
      </x:c>
      <x:c r="N1888" s="39" t="str">
        <x:v>1154878548.docx::P4771.1</x:v>
      </x:c>
      <x:c r="O1888" s="39"/>
    </x:row>
    <x:row r="1889">
      <x:c r="A1889" s="34" t="str">
        <x:v>☐</x:v>
      </x:c>
      <x:c r="B1889" s="34" t="str">
        <x:v>EX-1861</x:v>
      </x:c>
      <x:c r="C1889" s="34" t="str">
        <x:v>تایید استاد، ورکشاپ، کنفرانس</x:v>
      </x:c>
      <x:c r="D1889" s="34" t="str">
        <x:v>POSSIBLE</x:v>
      </x:c>
      <x:c r="E1889" s="34" t="str">
        <x:v>85.5</x:v>
      </x:c>
      <x:c r="F1889" s="34" t="str">
        <x:v>MI-1968</x:v>
      </x:c>
      <x:c r="G1889" s="39" t="str">
        <x:v>کنفرانس های علمی</x:v>
      </x:c>
      <x:c r="H1889" s="39" t="str">
        <x:v>H9</x:v>
      </x:c>
      <x:c r="I1889" s="39" t="str">
        <x:v>P2</x:v>
      </x:c>
      <x:c r="J1889" s="39" t="str">
        <x:v>H9</x:v>
      </x:c>
      <x:c r="K1889" s="39" t="str">
        <x:v>تطبیق احتمالی با پایه</x:v>
      </x:c>
      <x:c r="L1889" s="39" t="str">
        <x:v>MI-1968</x:v>
      </x:c>
      <x:c r="M1889" s="39" t="str">
        <x:v>کنفرانس های علمی</x:v>
      </x:c>
      <x:c r="N1889" s="39" t="str">
        <x:v>1154878548.docx::P4772.1</x:v>
      </x:c>
      <x:c r="O1889" s="39"/>
    </x:row>
    <x:row r="1890">
      <x:c r="A1890" s="34" t="str">
        <x:v>☐</x:v>
      </x:c>
      <x:c r="B1890" s="34" t="str">
        <x:v>EX-1862</x:v>
      </x:c>
      <x:c r="C1890" s="34" t="str">
        <x:v>🟦 ۵. حوزه تشکل، بسیج و سازماندهی</x:v>
      </x:c>
      <x:c r="D1890" s="34" t="str">
        <x:v>POSSIBLE</x:v>
      </x:c>
      <x:c r="E1890" s="34" t="str">
        <x:v>90.0</x:v>
      </x:c>
      <x:c r="F1890" s="34" t="str">
        <x:v>MI-0316</x:v>
      </x:c>
      <x:c r="G1890" s="39" t="str">
        <x:v>بسیج:</x:v>
      </x:c>
      <x:c r="H1890" s="39" t="str">
        <x:v>H11</x:v>
      </x:c>
      <x:c r="I1890" s="39" t="str">
        <x:v>DELEGATE/P2</x:v>
      </x:c>
      <x:c r="J1890" s="39" t="str">
        <x:v>H11</x:v>
      </x:c>
      <x:c r="K1890" s="39" t="str">
        <x:v>تطبیق احتمالی با پایه</x:v>
      </x:c>
      <x:c r="L1890" s="39" t="str">
        <x:v>MI-0316</x:v>
      </x:c>
      <x:c r="M1890" s="39" t="str">
        <x:v>بسیج:</x:v>
      </x:c>
      <x:c r="N1890" s="39" t="str">
        <x:v>1154878548.docx::P4773.1</x:v>
      </x:c>
      <x:c r="O1890" s="39"/>
    </x:row>
    <x:row r="1891">
      <x:c r="A1891" s="34" t="str">
        <x:v>☐</x:v>
      </x:c>
      <x:c r="B1891" s="34" t="str">
        <x:v>EX-1863</x:v>
      </x:c>
      <x:c r="C1891" s="34" t="str">
        <x:v>زیرحوزه ۵-۱: بسیج</x:v>
      </x:c>
      <x:c r="D1891" s="34" t="str">
        <x:v>POSSIBLE</x:v>
      </x:c>
      <x:c r="E1891" s="34" t="str">
        <x:v>90.0</x:v>
      </x:c>
      <x:c r="F1891" s="34" t="str">
        <x:v>MI-0316</x:v>
      </x:c>
      <x:c r="G1891" s="39" t="str">
        <x:v>بسیج:</x:v>
      </x:c>
      <x:c r="H1891" s="39" t="str">
        <x:v>H11</x:v>
      </x:c>
      <x:c r="I1891" s="39" t="str">
        <x:v>DELEGATE/P2</x:v>
      </x:c>
      <x:c r="J1891" s="39" t="str">
        <x:v>H11</x:v>
      </x:c>
      <x:c r="K1891" s="39" t="str">
        <x:v>تطبیق احتمالی با پایه</x:v>
      </x:c>
      <x:c r="L1891" s="39" t="str">
        <x:v>MI-0316</x:v>
      </x:c>
      <x:c r="M1891" s="39" t="str">
        <x:v>بسیج:</x:v>
      </x:c>
      <x:c r="N1891" s="39" t="str">
        <x:v>1154878548.docx::P4774.1</x:v>
      </x:c>
      <x:c r="O1891" s="39"/>
    </x:row>
    <x:row r="1892">
      <x:c r="A1892" s="34" t="str">
        <x:v>☐</x:v>
      </x:c>
      <x:c r="B1892" s="34" t="str">
        <x:v>EX-1864</x:v>
      </x:c>
      <x:c r="C1892" s="34" t="str">
        <x:v>ساخت نقشه تعاملی تاریخچه جنبش دانشجویی</x:v>
      </x:c>
      <x:c r="D1892" s="34" t="str">
        <x:v>POSSIBLE</x:v>
      </x:c>
      <x:c r="E1892" s="34" t="str">
        <x:v>90.0</x:v>
      </x:c>
      <x:c r="F1892" s="34" t="str">
        <x:v>MI-2713</x:v>
      </x:c>
      <x:c r="G1892" s="39" t="str">
        <x:v>تعامل</x:v>
      </x:c>
      <x:c r="H1892" s="39" t="str">
        <x:v>H4</x:v>
      </x:c>
      <x:c r="I1892" s="39" t="str">
        <x:v>P1</x:v>
      </x:c>
      <x:c r="J1892" s="39" t="str">
        <x:v>H4</x:v>
      </x:c>
      <x:c r="K1892" s="39" t="str">
        <x:v>تطبیق احتمالی با پایه</x:v>
      </x:c>
      <x:c r="L1892" s="39" t="str">
        <x:v>MI-2713</x:v>
      </x:c>
      <x:c r="M1892" s="39" t="str">
        <x:v>تعامل</x:v>
      </x:c>
      <x:c r="N1892" s="39" t="str">
        <x:v>1154878548.docx::P4775.1</x:v>
      </x:c>
      <x:c r="O1892" s="39"/>
    </x:row>
    <x:row r="1893">
      <x:c r="A1893" s="34" t="str">
        <x:v>☐</x:v>
      </x:c>
      <x:c r="B1893" s="34" t="str">
        <x:v>EX-1865</x:v>
      </x:c>
      <x:c r="C1893" s="34" t="str">
        <x:v>زیرحوزه ۵-۲: ساختارها</x:v>
      </x:c>
      <x:c r="D1893" s="34" t="str">
        <x:v>UNMAPPED</x:v>
      </x:c>
      <x:c r="E1893" s="34" t="str">
        <x:v>73.3</x:v>
      </x:c>
      <x:c r="F1893" s="34" t="str">
        <x:v>MI-1159</x:v>
      </x:c>
      <x:c r="G1893" s="39" t="str">
        <x:v>حوزه ها</x:v>
      </x:c>
      <x:c r="H1893" s="39" t="str">
        <x:v>H11</x:v>
      </x:c>
      <x:c r="I1893" s="39" t="str">
        <x:v>DELEGATE/P2</x:v>
      </x:c>
      <x:c r="J1893" s="39" t="str">
        <x:v>H23</x:v>
      </x:c>
      <x:c r="K1893" s="39" t="str">
        <x:v>نیازمند پالایش؛ حذف نشده</x:v>
      </x:c>
      <x:c r="L1893" s="39"/>
      <x:c r="M1893" s="39"/>
      <x:c r="N1893" s="39" t="str">
        <x:v>1154878548.docx::P4780.1</x:v>
      </x:c>
      <x:c r="O1893" s="39"/>
    </x:row>
    <x:row r="1894">
      <x:c r="A1894" s="34" t="str">
        <x:v>☐</x:v>
      </x:c>
      <x:c r="B1894" s="34" t="str">
        <x:v>EX-1866</x:v>
      </x:c>
      <x:c r="C1894" s="34" t="str">
        <x:v>مسئولیتها</x:v>
      </x:c>
      <x:c r="D1894" s="34" t="str">
        <x:v>UNMAPPED</x:v>
      </x:c>
      <x:c r="E1894" s="34" t="str">
        <x:v>67.5</x:v>
      </x:c>
      <x:c r="F1894" s="34" t="str">
        <x:v>MI-2223</x:v>
      </x:c>
      <x:c r="G1894" s="39" t="str">
        <x:v>تهران</x:v>
      </x:c>
      <x:c r="H1894" s="39" t="str">
        <x:v>H20</x:v>
      </x:c>
      <x:c r="I1894" s="39" t="str">
        <x:v>P3/CLARIFY</x:v>
      </x:c>
      <x:c r="J1894" s="39" t="str">
        <x:v>H23</x:v>
      </x:c>
      <x:c r="K1894" s="39" t="str">
        <x:v>نیازمند پالایش؛ حذف نشده</x:v>
      </x:c>
      <x:c r="L1894" s="39"/>
      <x:c r="M1894" s="39"/>
      <x:c r="N1894" s="39" t="str">
        <x:v>1154878548.docx::P4781.1</x:v>
      </x:c>
      <x:c r="O1894" s="39"/>
    </x:row>
    <x:row r="1895">
      <x:c r="A1895" s="34" t="str">
        <x:v>☐</x:v>
      </x:c>
      <x:c r="B1895" s="34" t="str">
        <x:v>EX-1867</x:v>
      </x:c>
      <x:c r="C1895" s="34" t="str">
        <x:v>همکاری تحکیم / انفرادی</x:v>
      </x:c>
      <x:c r="D1895" s="34" t="str">
        <x:v>POSSIBLE</x:v>
      </x:c>
      <x:c r="E1895" s="34" t="str">
        <x:v>90.0</x:v>
      </x:c>
      <x:c r="F1895" s="34" t="str">
        <x:v>MI-1810</x:v>
      </x:c>
      <x:c r="G1895" s="39" t="str">
        <x:v>همکاری</x:v>
      </x:c>
      <x:c r="H1895" s="39" t="str">
        <x:v>H20</x:v>
      </x:c>
      <x:c r="I1895" s="39" t="str">
        <x:v>P3/CLARIFY</x:v>
      </x:c>
      <x:c r="J1895" s="39" t="str">
        <x:v>H20</x:v>
      </x:c>
      <x:c r="K1895" s="39" t="str">
        <x:v>تطبیق احتمالی با پایه</x:v>
      </x:c>
      <x:c r="L1895" s="39" t="str">
        <x:v>MI-1810</x:v>
      </x:c>
      <x:c r="M1895" s="39" t="str">
        <x:v>همکاری</x:v>
      </x:c>
      <x:c r="N1895" s="39" t="str">
        <x:v>1154878548.docx::P4782.1</x:v>
      </x:c>
      <x:c r="O1895" s="39"/>
    </x:row>
    <x:row r="1896">
      <x:c r="A1896" s="34" t="str">
        <x:v>☐</x:v>
      </x:c>
      <x:c r="B1896" s="34" t="str">
        <x:v>EX-1868</x:v>
      </x:c>
      <x:c r="C1896" s="34" t="str">
        <x:v>🟦 ۶. حوزه رسانه، محتوا و روابط عمومی (📢 زبان سیستم)</x:v>
      </x:c>
      <x:c r="D1896" s="34" t="str">
        <x:v>POSSIBLE</x:v>
      </x:c>
      <x:c r="E1896" s="34" t="str">
        <x:v>85.5</x:v>
      </x:c>
      <x:c r="F1896" s="34" t="str">
        <x:v>MI-0029</x:v>
      </x:c>
      <x:c r="G1896" s="39" t="str">
        <x:v>تدریس ریاضی و فیزیک</x:v>
      </x:c>
      <x:c r="H1896" s="39" t="str">
        <x:v>H1</x:v>
      </x:c>
      <x:c r="I1896" s="39" t="str">
        <x:v>P0</x:v>
      </x:c>
      <x:c r="J1896" s="39" t="str">
        <x:v>H1</x:v>
      </x:c>
      <x:c r="K1896" s="39" t="str">
        <x:v>تطبیق احتمالی با پایه</x:v>
      </x:c>
      <x:c r="L1896" s="39" t="str">
        <x:v>MI-0029</x:v>
      </x:c>
      <x:c r="M1896" s="39" t="str">
        <x:v>تدریس ریاضی و فیزیک</x:v>
      </x:c>
      <x:c r="N1896" s="39" t="str">
        <x:v>1154878548.docx::P4783.1</x:v>
      </x:c>
      <x:c r="O1896" s="39"/>
    </x:row>
    <x:row r="1897">
      <x:c r="A1897" s="34" t="str">
        <x:v>☐</x:v>
      </x:c>
      <x:c r="B1897" s="34" t="str">
        <x:v>EX-1869</x:v>
      </x:c>
      <x:c r="C1897" s="34" t="str">
        <x:v>زیرحوزه ۶-۱: تولید محتوا</x:v>
      </x:c>
      <x:c r="D1897" s="34" t="str">
        <x:v>POSSIBLE</x:v>
      </x:c>
      <x:c r="E1897" s="34" t="str">
        <x:v>90.0</x:v>
      </x:c>
      <x:c r="F1897" s="34" t="str">
        <x:v>MI-0673</x:v>
      </x:c>
      <x:c r="G1897" s="39" t="str">
        <x:v>تولید محتوا</x:v>
      </x:c>
      <x:c r="H1897" s="39" t="str">
        <x:v>H12</x:v>
      </x:c>
      <x:c r="I1897" s="39" t="str">
        <x:v>P2</x:v>
      </x:c>
      <x:c r="J1897" s="39" t="str">
        <x:v>H12</x:v>
      </x:c>
      <x:c r="K1897" s="39" t="str">
        <x:v>تطبیق احتمالی با پایه</x:v>
      </x:c>
      <x:c r="L1897" s="39" t="str">
        <x:v>MI-0673</x:v>
      </x:c>
      <x:c r="M1897" s="39" t="str">
        <x:v>تولید محتوا</x:v>
      </x:c>
      <x:c r="N1897" s="39" t="str">
        <x:v>1154878548.docx::P4784.1</x:v>
      </x:c>
      <x:c r="O1897" s="39"/>
    </x:row>
    <x:row r="1898">
      <x:c r="A1898" s="34" t="str">
        <x:v>☐</x:v>
      </x:c>
      <x:c r="B1898" s="34" t="str">
        <x:v>EX-1870</x:v>
      </x:c>
      <x:c r="C1898" s="34" t="str">
        <x:v>کلیپ</x:v>
      </x:c>
      <x:c r="D1898" s="34" t="str">
        <x:v>POSSIBLE</x:v>
      </x:c>
      <x:c r="E1898" s="34" t="str">
        <x:v>90.0</x:v>
      </x:c>
      <x:c r="F1898" s="34" t="str">
        <x:v>MI-0638</x:v>
      </x:c>
      <x:c r="G1898" s="39" t="str">
        <x:v>تولید فیلم و کلیپ از بازدید و ...</x:v>
      </x:c>
      <x:c r="H1898" s="39" t="str">
        <x:v>H4</x:v>
      </x:c>
      <x:c r="I1898" s="39" t="str">
        <x:v>P1</x:v>
      </x:c>
      <x:c r="J1898" s="39" t="str">
        <x:v>H4</x:v>
      </x:c>
      <x:c r="K1898" s="39" t="str">
        <x:v>تطبیق احتمالی با پایه</x:v>
      </x:c>
      <x:c r="L1898" s="39" t="str">
        <x:v>MI-0638</x:v>
      </x:c>
      <x:c r="M1898" s="39" t="str">
        <x:v>تولید فیلم و کلیپ از بازدید و ...</x:v>
      </x:c>
      <x:c r="N1898" s="39" t="str">
        <x:v>1154878548.docx::P4786.1</x:v>
      </x:c>
      <x:c r="O1898" s="39"/>
    </x:row>
    <x:row r="1899">
      <x:c r="A1899" s="34" t="str">
        <x:v>☐</x:v>
      </x:c>
      <x:c r="B1899" s="34" t="str">
        <x:v>EX-1871</x:v>
      </x:c>
      <x:c r="C1899" s="34" t="str">
        <x:v>پادکست</x:v>
      </x:c>
      <x:c r="D1899" s="34" t="str">
        <x:v>POSSIBLE</x:v>
      </x:c>
      <x:c r="E1899" s="34" t="str">
        <x:v>90.0</x:v>
      </x:c>
      <x:c r="F1899" s="34" t="str">
        <x:v>MI-1235</x:v>
      </x:c>
      <x:c r="G1899" s="39" t="str">
        <x:v>پادکست جهاد تبیین</x:v>
      </x:c>
      <x:c r="H1899" s="39" t="str">
        <x:v>H12</x:v>
      </x:c>
      <x:c r="I1899" s="39" t="str">
        <x:v>P2</x:v>
      </x:c>
      <x:c r="J1899" s="39" t="str">
        <x:v>H12</x:v>
      </x:c>
      <x:c r="K1899" s="39" t="str">
        <x:v>تطبیق احتمالی با پایه</x:v>
      </x:c>
      <x:c r="L1899" s="39" t="str">
        <x:v>MI-1235</x:v>
      </x:c>
      <x:c r="M1899" s="39" t="str">
        <x:v>پادکست جهاد تبیین</x:v>
      </x:c>
      <x:c r="N1899" s="39" t="str">
        <x:v>1154878548.docx::P4788.1 | 1154878548.docx::P7358.1</x:v>
      </x:c>
      <x:c r="O1899" s="39"/>
    </x:row>
    <x:row r="1900">
      <x:c r="A1900" s="34" t="str">
        <x:v>☐</x:v>
      </x:c>
      <x:c r="B1900" s="34" t="str">
        <x:v>EX-1872</x:v>
      </x:c>
      <x:c r="C1900" s="34" t="str">
        <x:v>محوریت زندگی</x:v>
      </x:c>
      <x:c r="D1900" s="34" t="str">
        <x:v>POSSIBLE</x:v>
      </x:c>
      <x:c r="E1900" s="34" t="str">
        <x:v>90.0</x:v>
      </x:c>
      <x:c r="F1900" s="34" t="str">
        <x:v>MI-0596</x:v>
      </x:c>
      <x:c r="G1900" s="39" t="str">
        <x:v>زندگی</x:v>
      </x:c>
      <x:c r="H1900" s="39" t="str">
        <x:v>H18</x:v>
      </x:c>
      <x:c r="I1900" s="39" t="str">
        <x:v>BANK</x:v>
      </x:c>
      <x:c r="J1900" s="39" t="str">
        <x:v>H18</x:v>
      </x:c>
      <x:c r="K1900" s="39" t="str">
        <x:v>تطبیق احتمالی با پایه</x:v>
      </x:c>
      <x:c r="L1900" s="39" t="str">
        <x:v>MI-0596</x:v>
      </x:c>
      <x:c r="M1900" s="39" t="str">
        <x:v>زندگی</x:v>
      </x:c>
      <x:c r="N1900" s="39" t="str">
        <x:v>1154878548.docx::P4790.1</x:v>
      </x:c>
      <x:c r="O1900" s="39"/>
    </x:row>
    <x:row r="1901">
      <x:c r="A1901" s="34" t="str">
        <x:v>☐</x:v>
      </x:c>
      <x:c r="B1901" s="34" t="str">
        <x:v>EX-1873</x:v>
      </x:c>
      <x:c r="C1901" s="34" t="str">
        <x:v>توسعه فردی و آموزش</x:v>
      </x:c>
      <x:c r="D1901" s="34" t="str">
        <x:v>POSSIBLE</x:v>
      </x:c>
      <x:c r="E1901" s="34" t="str">
        <x:v>90.0</x:v>
      </x:c>
      <x:c r="F1901" s="34" t="str">
        <x:v>MI-2601</x:v>
      </x:c>
      <x:c r="G1901" s="39" t="str">
        <x:v>آموزش:</x:v>
      </x:c>
      <x:c r="H1901" s="39" t="str">
        <x:v>H20</x:v>
      </x:c>
      <x:c r="I1901" s="39" t="str">
        <x:v>P3/CLARIFY</x:v>
      </x:c>
      <x:c r="J1901" s="39" t="str">
        <x:v>H20</x:v>
      </x:c>
      <x:c r="K1901" s="39" t="str">
        <x:v>تطبیق احتمالی با پایه</x:v>
      </x:c>
      <x:c r="L1901" s="39" t="str">
        <x:v>MI-2601</x:v>
      </x:c>
      <x:c r="M1901" s="39" t="str">
        <x:v>آموزش:</x:v>
      </x:c>
      <x:c r="N1901" s="39" t="str">
        <x:v>1154878548.docx::P4791.1</x:v>
      </x:c>
      <x:c r="O1901" s="39"/>
    </x:row>
    <x:row r="1902">
      <x:c r="A1902" s="34" t="str">
        <x:v>☐</x:v>
      </x:c>
      <x:c r="B1902" s="34" t="str">
        <x:v>EX-1874</x:v>
      </x:c>
      <x:c r="C1902" s="34" t="str">
        <x:v>کار و درآمدزایی</x:v>
      </x:c>
      <x:c r="D1902" s="34" t="str">
        <x:v>POSSIBLE</x:v>
      </x:c>
      <x:c r="E1902" s="34" t="str">
        <x:v>90.0</x:v>
      </x:c>
      <x:c r="F1902" s="34" t="str">
        <x:v>MI-2545</x:v>
      </x:c>
      <x:c r="G1902" s="39" t="str">
        <x:v>کار:</x:v>
      </x:c>
      <x:c r="H1902" s="39" t="str">
        <x:v>H20</x:v>
      </x:c>
      <x:c r="I1902" s="39" t="str">
        <x:v>P3/CLARIFY</x:v>
      </x:c>
      <x:c r="J1902" s="39" t="str">
        <x:v>H20</x:v>
      </x:c>
      <x:c r="K1902" s="39" t="str">
        <x:v>تطبیق احتمالی با پایه</x:v>
      </x:c>
      <x:c r="L1902" s="39" t="str">
        <x:v>MI-2545</x:v>
      </x:c>
      <x:c r="M1902" s="39" t="str">
        <x:v>کار:</x:v>
      </x:c>
      <x:c r="N1902" s="39" t="str">
        <x:v>1154878548.docx::P4792.1</x:v>
      </x:c>
      <x:c r="O1902" s="39"/>
    </x:row>
    <x:row r="1903">
      <x:c r="A1903" s="34" t="str">
        <x:v>☐</x:v>
      </x:c>
      <x:c r="B1903" s="34" t="str">
        <x:v>EX-1875</x:v>
      </x:c>
      <x:c r="C1903" s="34" t="str">
        <x:v>شبکه سازی و لینک و کار های متفرقه و کارای دلی</x:v>
      </x:c>
      <x:c r="D1903" s="34" t="str">
        <x:v>POSSIBLE</x:v>
      </x:c>
      <x:c r="E1903" s="34" t="str">
        <x:v>90.0</x:v>
      </x:c>
      <x:c r="F1903" s="34" t="str">
        <x:v>MI-1741</x:v>
      </x:c>
      <x:c r="G1903" s="39" t="str">
        <x:v>شبکه سازی</x:v>
      </x:c>
      <x:c r="H1903" s="39" t="str">
        <x:v>H4</x:v>
      </x:c>
      <x:c r="I1903" s="39" t="str">
        <x:v>P1</x:v>
      </x:c>
      <x:c r="J1903" s="39" t="str">
        <x:v>H4</x:v>
      </x:c>
      <x:c r="K1903" s="39" t="str">
        <x:v>تطبیق احتمالی با پایه</x:v>
      </x:c>
      <x:c r="L1903" s="39" t="str">
        <x:v>MI-1741</x:v>
      </x:c>
      <x:c r="M1903" s="39" t="str">
        <x:v>شبکه سازی</x:v>
      </x:c>
      <x:c r="N1903" s="39" t="str">
        <x:v>1154878548.docx::P4793.1</x:v>
      </x:c>
      <x:c r="O1903" s="39"/>
    </x:row>
    <x:row r="1904">
      <x:c r="A1904" s="34" t="str">
        <x:v>☐</x:v>
      </x:c>
      <x:c r="B1904" s="34" t="str">
        <x:v>EX-1876</x:v>
      </x:c>
      <x:c r="C1904" s="34" t="str">
        <x:v>ا</x:v>
      </x:c>
      <x:c r="D1904" s="34" t="str">
        <x:v>POSSIBLE</x:v>
      </x:c>
      <x:c r="E1904" s="34" t="str">
        <x:v>90.0</x:v>
      </x:c>
      <x:c r="F1904" s="34" t="str">
        <x:v>MI-0186</x:v>
      </x:c>
      <x:c r="G1904" s="39" t="str">
        <x:v>فن بیان</x:v>
      </x:c>
      <x:c r="H1904" s="39" t="str">
        <x:v>H1</x:v>
      </x:c>
      <x:c r="I1904" s="39" t="str">
        <x:v>P0</x:v>
      </x:c>
      <x:c r="J1904" s="39" t="str">
        <x:v>H1</x:v>
      </x:c>
      <x:c r="K1904" s="39" t="str">
        <x:v>تطبیق احتمالی با پایه</x:v>
      </x:c>
      <x:c r="L1904" s="39" t="str">
        <x:v>MI-0186</x:v>
      </x:c>
      <x:c r="M1904" s="39" t="str">
        <x:v>فن بیان</x:v>
      </x:c>
      <x:c r="N1904" s="39" t="str">
        <x:v>1154878548.docx::P6383.1</x:v>
      </x:c>
      <x:c r="O1904" s="39"/>
    </x:row>
    <x:row r="1905">
      <x:c r="A1905" s="34" t="str">
        <x:v>☐</x:v>
      </x:c>
      <x:c r="B1905" s="34" t="str">
        <x:v>EX-1877</x:v>
      </x:c>
      <x:c r="C1905" s="34" t="str">
        <x:v>لیست ادغام شده اقلام قابل بازیافت (بدون حذف مطالب):</x:v>
      </x:c>
      <x:c r="D1905" s="34" t="str">
        <x:v>POSSIBLE</x:v>
      </x:c>
      <x:c r="E1905" s="34" t="str">
        <x:v>90.0</x:v>
      </x:c>
      <x:c r="F1905" s="34" t="str">
        <x:v>MI-0232</x:v>
      </x:c>
      <x:c r="G1905" s="39" t="str">
        <x:v>بازیافت</x:v>
      </x:c>
      <x:c r="H1905" s="39" t="str">
        <x:v>H12</x:v>
      </x:c>
      <x:c r="I1905" s="39" t="str">
        <x:v>P2</x:v>
      </x:c>
      <x:c r="J1905" s="39" t="str">
        <x:v>H12</x:v>
      </x:c>
      <x:c r="K1905" s="39" t="str">
        <x:v>تطبیق احتمالی با پایه</x:v>
      </x:c>
      <x:c r="L1905" s="39" t="str">
        <x:v>MI-0232</x:v>
      </x:c>
      <x:c r="M1905" s="39" t="str">
        <x:v>بازیافت</x:v>
      </x:c>
      <x:c r="N1905" s="39" t="str">
        <x:v>1154878548.docx::P6481.1 | 1154878548.docx::P6849.1</x:v>
      </x:c>
      <x:c r="O1905" s="39"/>
    </x:row>
    <x:row r="1906">
      <x:c r="A1906" s="34" t="str">
        <x:v>☐</x:v>
      </x:c>
      <x:c r="B1906" s="34" t="str">
        <x:v>EX-1878</x:v>
      </x:c>
      <x:c r="C1906" s="34" t="str">
        <x:v>1. کاغذ و مقوا:</x:v>
      </x:c>
      <x:c r="D1906" s="34" t="str">
        <x:v>POSSIBLE</x:v>
      </x:c>
      <x:c r="E1906" s="34" t="str">
        <x:v>87.1</x:v>
      </x:c>
      <x:c r="F1906" s="34" t="str">
        <x:v>MI-1273</x:v>
      </x:c>
      <x:c r="G1906" s="39" t="str">
        <x:v>کارتن و مقوا و کاغذ</x:v>
      </x:c>
      <x:c r="H1906" s="39" t="str">
        <x:v>H12</x:v>
      </x:c>
      <x:c r="I1906" s="39" t="str">
        <x:v>P2</x:v>
      </x:c>
      <x:c r="J1906" s="39" t="str">
        <x:v>H12</x:v>
      </x:c>
      <x:c r="K1906" s="39" t="str">
        <x:v>تطبیق احتمالی با پایه</x:v>
      </x:c>
      <x:c r="L1906" s="39" t="str">
        <x:v>MI-1273</x:v>
      </x:c>
      <x:c r="M1906" s="39" t="str">
        <x:v>کارتن و مقوا و کاغذ</x:v>
      </x:c>
      <x:c r="N1906" s="39" t="str">
        <x:v>1154878548.docx::P6482.1 | 1154878548.docx::P6850.1</x:v>
      </x:c>
      <x:c r="O1906" s="39"/>
    </x:row>
    <x:row r="1907">
      <x:c r="A1907" s="34" t="str">
        <x:v>☐</x:v>
      </x:c>
      <x:c r="B1907" s="34" t="str">
        <x:v>EX-1879</x:v>
      </x:c>
      <x:c r="C1907" s="34" t="str">
        <x:v>انواع      کاغذ چاپ و تحریر (سفید و رنگی، با پوشش و بدون پوشش، گلاسه، مات، براق)</x:v>
      </x:c>
      <x:c r="D1907" s="34" t="str">
        <x:v>POSSIBLE</x:v>
      </x:c>
      <x:c r="E1907" s="34" t="str">
        <x:v>85.5</x:v>
      </x:c>
      <x:c r="F1907" s="34" t="str">
        <x:v>MI-0019</x:v>
      </x:c>
      <x:c r="G1907" s="39" t="str">
        <x:v>آشنایی با نرم افزار املاک</x:v>
      </x:c>
      <x:c r="H1907" s="39" t="str">
        <x:v>H1</x:v>
      </x:c>
      <x:c r="I1907" s="39" t="str">
        <x:v>P0</x:v>
      </x:c>
      <x:c r="J1907" s="39" t="str">
        <x:v>H1</x:v>
      </x:c>
      <x:c r="K1907" s="39" t="str">
        <x:v>تطبیق احتمالی با پایه</x:v>
      </x:c>
      <x:c r="L1907" s="39" t="str">
        <x:v>MI-0019</x:v>
      </x:c>
      <x:c r="M1907" s="39" t="str">
        <x:v>آشنایی با نرم افزار املاک</x:v>
      </x:c>
      <x:c r="N1907" s="39" t="str">
        <x:v>1154878548.docx::P6483.1 | 1154878548.docx::P6851.1</x:v>
      </x:c>
      <x:c r="O1907" s="39"/>
    </x:row>
    <x:row r="1908">
      <x:c r="A1908" s="34" t="str">
        <x:v>☐</x:v>
      </x:c>
      <x:c r="B1908" s="34" t="str">
        <x:v>EX-1880</x:v>
      </x:c>
      <x:c r="C1908" s="34" t="str">
        <x:v>روزنامه،      مجله، کتاب، دفتر، سررسید، تقویم، دفترچه یادداشت، دفترچه تلفن</x:v>
      </x:c>
      <x:c r="D1908" s="34" t="str">
        <x:v>POSSIBLE</x:v>
      </x:c>
      <x:c r="E1908" s="34" t="str">
        <x:v>85.5</x:v>
      </x:c>
      <x:c r="F1908" s="34" t="str">
        <x:v>MI-3113</x:v>
      </x:c>
      <x:c r="G1908"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1908" s="39" t="str">
        <x:v>H1</x:v>
      </x:c>
      <x:c r="I1908" s="39" t="str">
        <x:v>P0</x:v>
      </x:c>
      <x:c r="J1908" s="39" t="str">
        <x:v>H1</x:v>
      </x:c>
      <x:c r="K1908" s="39" t="str">
        <x:v>تطبیق احتمالی با پایه</x:v>
      </x:c>
      <x:c r="L1908" s="39" t="str">
        <x:v>MI-3113</x:v>
      </x:c>
      <x:c r="M1908"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N1908" s="39" t="str">
        <x:v>1154878548.docx::P6484.1 | 1154878548.docx::P6852.1</x:v>
      </x:c>
      <x:c r="O1908" s="39"/>
    </x:row>
    <x:row r="1909">
      <x:c r="A1909" s="34" t="str">
        <x:v>☐</x:v>
      </x:c>
      <x:c r="B1909" s="34" t="str">
        <x:v>EX-1881</x:v>
      </x:c>
      <x:c r="C1909" s="34" t="str">
        <x:v>پاکت      نامه، کارت پستال، کارت ویزیت، کارت دعوت، کارت تبریک</x:v>
      </x:c>
      <x:c r="D1909" s="34" t="str">
        <x:v>POSSIBLE</x:v>
      </x:c>
      <x:c r="E1909" s="34" t="str">
        <x:v>85.5</x:v>
      </x:c>
      <x:c r="F1909" s="34" t="str">
        <x:v>MI-0527</x:v>
      </x:c>
      <x:c r="G1909" s="39" t="str">
        <x:v>یکی از رایج ترین کارهایی که دراین زمینه می توانید انجام بدهید، این است که یک کارت عضویت برای مشتریان تان تهیهکنید و دفعاتی را که مشتری به رستوران تان می آید، ثبت کنید. زمانی که تعداد مراجعه های مشتری به حد مشخصی رسید، به انتخاب خودتاناو را از یک غذای رایگان بهره مند کنید. ارایه ینوشیدنی ها و دسرهای رایگان هم انتخاب های خوبی هستند، چون از غذاهای اصلیارزان ترند و در عین حال مشتریان احساس می کنند مورد احترام قرار گرفته اند.</x:v>
      </x:c>
      <x:c r="H1909" s="39" t="str">
        <x:v>H8</x:v>
      </x:c>
      <x:c r="I1909" s="39" t="str">
        <x:v>P2</x:v>
      </x:c>
      <x:c r="J1909" s="39" t="str">
        <x:v>H8</x:v>
      </x:c>
      <x:c r="K1909" s="39" t="str">
        <x:v>تطبیق احتمالی با پایه</x:v>
      </x:c>
      <x:c r="L1909" s="39" t="str">
        <x:v>MI-0527</x:v>
      </x:c>
      <x:c r="M1909" s="39" t="str">
        <x:v>یکی از رایج ترین کارهایی که دراین زمینه می توانید انجام بدهید، این است که یک کارت عضویت برای مشتریان تان تهیهکنید و دفعاتی را که مشتری به رستوران تان می آید، ثبت کنید. زمانی که تعداد مراجعه های مشتری به حد مشخصی رسید، به انتخاب خودتاناو را از یک غذای رایگان بهره مند کنید. ارایه ینوشیدنی ها و دسرهای رایگان هم انتخاب های خوبی هستند، چون از غذاهای اصلیارزان ترند و در عین حال مشتریان احساس می کنند مورد احترام قرار گرفته اند.</x:v>
      </x:c>
      <x:c r="N1909" s="39" t="str">
        <x:v>1154878548.docx::P6485.1 | 1154878548.docx::P6853.1</x:v>
      </x:c>
      <x:c r="O1909" s="39"/>
    </x:row>
    <x:row r="1910">
      <x:c r="A1910" s="34" t="str">
        <x:v>☐</x:v>
      </x:c>
      <x:c r="B1910" s="34" t="str">
        <x:v>EX-1882</x:v>
      </x:c>
      <x:c r="C1910" s="34" t="str">
        <x:v>بروشور،      کاتالوگ، آگهی تبلیغاتی، پوستر، تراکت، بنر کاغذی</x:v>
      </x:c>
      <x:c r="D1910" s="34" t="str">
        <x:v>POSSIBLE</x:v>
      </x:c>
      <x:c r="E1910" s="34" t="str">
        <x:v>85.5</x:v>
      </x:c>
      <x:c r="F1910" s="34" t="str">
        <x:v>MI-0276</x:v>
      </x:c>
      <x:c r="G1910" s="39" t="str">
        <x:v>ایمان واثق و طرح گرفتن دیتای بسیار دقیق و حساب شده از تمامی رشته ها و گرایشات و دروس و نرم افزار های مورد نیاز از طریق آگهی استخدامی ها ف از طریق سایت ها ، و....</x:v>
      </x:c>
      <x:c r="H1910" s="39" t="str">
        <x:v>H10</x:v>
      </x:c>
      <x:c r="I1910" s="39" t="str">
        <x:v>BANK</x:v>
      </x:c>
      <x:c r="J1910" s="39" t="str">
        <x:v>H10</x:v>
      </x:c>
      <x:c r="K1910" s="39" t="str">
        <x:v>تطبیق احتمالی با پایه</x:v>
      </x:c>
      <x:c r="L1910" s="39" t="str">
        <x:v>MI-0276</x:v>
      </x:c>
      <x:c r="M1910" s="39" t="str">
        <x:v>ایمان واثق و طرح گرفتن دیتای بسیار دقیق و حساب شده از تمامی رشته ها و گرایشات و دروس و نرم افزار های مورد نیاز از طریق آگهی استخدامی ها ف از طریق سایت ها ، و....</x:v>
      </x:c>
      <x:c r="N1910" s="39" t="str">
        <x:v>1154878548.docx::P6486.1 | 1154878548.docx::P6854.1</x:v>
      </x:c>
      <x:c r="O1910" s="39"/>
    </x:row>
    <x:row r="1911">
      <x:c r="A1911" s="34" t="str">
        <x:v>☐</x:v>
      </x:c>
      <x:c r="B1911" s="34" t="str">
        <x:v>EX-1883</x:v>
      </x:c>
      <x:c r="C1911" s="34" t="str">
        <x:v>جعبههای      مقوایی (کارتن) در انواع مختلف (بستهبندی، حمل و نقل، اسبابکشی)</x:v>
      </x:c>
      <x:c r="D1911" s="34" t="str">
        <x:v>POSSIBLE</x:v>
      </x:c>
      <x:c r="E1911" s="34" t="str">
        <x:v>85.5</x:v>
      </x:c>
      <x:c r="F1911" s="34" t="str">
        <x:v>MI-0023</x:v>
      </x:c>
      <x:c r="G1911" s="39" t="str">
        <x:v>برنامه ریزی دقیق و علمگرا هییت دانشگاه</x:v>
      </x:c>
      <x:c r="H1911" s="39" t="str">
        <x:v>H1</x:v>
      </x:c>
      <x:c r="I1911" s="39" t="str">
        <x:v>P0</x:v>
      </x:c>
      <x:c r="J1911" s="39" t="str">
        <x:v>H1</x:v>
      </x:c>
      <x:c r="K1911" s="39" t="str">
        <x:v>تطبیق احتمالی با پایه</x:v>
      </x:c>
      <x:c r="L1911" s="39" t="str">
        <x:v>MI-0023</x:v>
      </x:c>
      <x:c r="M1911" s="39" t="str">
        <x:v>برنامه ریزی دقیق و علمگرا هییت دانشگاه</x:v>
      </x:c>
      <x:c r="N1911" s="39" t="str">
        <x:v>1154878548.docx::P6487.1 | 1154878548.docx::P6855.1</x:v>
      </x:c>
      <x:c r="O1911" s="39"/>
    </x:row>
    <x:row r="1912">
      <x:c r="A1912" s="34" t="str">
        <x:v>☐</x:v>
      </x:c>
      <x:c r="B1912" s="34" t="str">
        <x:v>EX-1884</x:v>
      </x:c>
      <x:c r="C1912" s="34" t="str">
        <x:v>کاغذهای      خرد شده، اسناد محرمانه (پس از خرد کردن و بستهبندی مناسب)</x:v>
      </x:c>
      <x:c r="D1912" s="34" t="str">
        <x:v>POSSIBLE</x:v>
      </x:c>
      <x:c r="E1912" s="34" t="str">
        <x:v>85.5</x:v>
      </x:c>
      <x:c r="F1912" s="34" t="str">
        <x:v>MI-0023</x:v>
      </x:c>
      <x:c r="G1912" s="39" t="str">
        <x:v>برنامه ریزی دقیق و علمگرا هییت دانشگاه</x:v>
      </x:c>
      <x:c r="H1912" s="39" t="str">
        <x:v>H1</x:v>
      </x:c>
      <x:c r="I1912" s="39" t="str">
        <x:v>P0</x:v>
      </x:c>
      <x:c r="J1912" s="39" t="str">
        <x:v>H1</x:v>
      </x:c>
      <x:c r="K1912" s="39" t="str">
        <x:v>تطبیق احتمالی با پایه</x:v>
      </x:c>
      <x:c r="L1912" s="39" t="str">
        <x:v>MI-0023</x:v>
      </x:c>
      <x:c r="M1912" s="39" t="str">
        <x:v>برنامه ریزی دقیق و علمگرا هییت دانشگاه</x:v>
      </x:c>
      <x:c r="N1912" s="39" t="str">
        <x:v>1154878548.docx::P6488.1 | 1154878548.docx::P6856.1</x:v>
      </x:c>
      <x:c r="O1912" s="39"/>
    </x:row>
    <x:row r="1913">
      <x:c r="A1913" s="34" t="str">
        <x:v>☐</x:v>
      </x:c>
      <x:c r="B1913" s="34" t="str">
        <x:v>EX-1885</x:v>
      </x:c>
      <x:c r="C1913" s="34" t="str">
        <x:v>مقوای      کنگرهای، شانههای تخم مرغ، لولههای مقوایی دستمال توالت و حوله</x:v>
      </x:c>
      <x:c r="D1913" s="34" t="str">
        <x:v>POSSIBLE</x:v>
      </x:c>
      <x:c r="E1913" s="34" t="str">
        <x:v>90.0</x:v>
      </x:c>
      <x:c r="F1913" s="34" t="str">
        <x:v>MI-1348</x:v>
      </x:c>
      <x:c r="G1913" s="39" t="str">
        <x:v>دستمال توالت</x:v>
      </x:c>
      <x:c r="H1913" s="39" t="str">
        <x:v>H12</x:v>
      </x:c>
      <x:c r="I1913" s="39" t="str">
        <x:v>P2</x:v>
      </x:c>
      <x:c r="J1913" s="39" t="str">
        <x:v>H12</x:v>
      </x:c>
      <x:c r="K1913" s="39" t="str">
        <x:v>تطبیق احتمالی با پایه</x:v>
      </x:c>
      <x:c r="L1913" s="39" t="str">
        <x:v>MI-1348</x:v>
      </x:c>
      <x:c r="M1913" s="39" t="str">
        <x:v>دستمال توالت</x:v>
      </x:c>
      <x:c r="N1913" s="39" t="str">
        <x:v>1154878548.docx::P6489.1 | 1154878548.docx::P6857.1</x:v>
      </x:c>
      <x:c r="O1913" s="39"/>
    </x:row>
    <x:row r="1914">
      <x:c r="A1914" s="34" t="str">
        <x:v>☐</x:v>
      </x:c>
      <x:c r="B1914" s="34" t="str">
        <x:v>EX-1886</x:v>
      </x:c>
      <x:c r="C1914" s="34" t="str">
        <x:v>کاغذهای      بستهبندی مواد غذایی (جعبههای پیتزا، بستهبندی خشکبار، جعبههای غلات)</x:v>
      </x:c>
      <x:c r="D1914" s="34" t="str">
        <x:v>POSSIBLE</x:v>
      </x:c>
      <x:c r="E1914" s="34" t="str">
        <x:v>86.4</x:v>
      </x:c>
      <x:c r="F1914" s="34" t="str">
        <x:v>MI-1340</x:v>
      </x:c>
      <x:c r="G1914" s="39" t="str">
        <x:v>جعبه های غلات</x:v>
      </x:c>
      <x:c r="H1914" s="39" t="str">
        <x:v>H12</x:v>
      </x:c>
      <x:c r="I1914" s="39" t="str">
        <x:v>P2</x:v>
      </x:c>
      <x:c r="J1914" s="39" t="str">
        <x:v>H12</x:v>
      </x:c>
      <x:c r="K1914" s="39" t="str">
        <x:v>تطبیق احتمالی با پایه</x:v>
      </x:c>
      <x:c r="L1914" s="39" t="str">
        <x:v>MI-1340</x:v>
      </x:c>
      <x:c r="M1914" s="39" t="str">
        <x:v>جعبه های غلات</x:v>
      </x:c>
      <x:c r="N1914" s="39" t="str">
        <x:v>1154878548.docx::P6490.1 | 1154878548.docx::P6858.1</x:v>
      </x:c>
      <x:c r="O1914" s="39"/>
    </x:row>
    <x:row r="1915">
      <x:c r="A1915" s="34" t="str">
        <x:v>☐</x:v>
      </x:c>
      <x:c r="B1915" s="34" t="str">
        <x:v>EX-1887</x:v>
      </x:c>
      <x:c r="C1915" s="34" t="str">
        <x:v>کاغذهای      بستهبندی بهداشتی (دستمال کاغذی، حوله کاغذی، دستمال سفره کاغذی - در برخی      مراکز)</x:v>
      </x:c>
      <x:c r="D1915" s="34" t="str">
        <x:v>POSSIBLE</x:v>
      </x:c>
      <x:c r="E1915" s="34" t="str">
        <x:v>85.5</x:v>
      </x:c>
      <x:c r="F1915" s="34" t="str">
        <x:v>MI-0077</x:v>
      </x:c>
      <x:c r="G1915" s="39" t="str">
        <x:v>یادگیری هوش هیجانی و قدرت تصمیم گیری بالا در لحظه</x:v>
      </x:c>
      <x:c r="H1915" s="39" t="str">
        <x:v>H1</x:v>
      </x:c>
      <x:c r="I1915" s="39" t="str">
        <x:v>P0</x:v>
      </x:c>
      <x:c r="J1915" s="39" t="str">
        <x:v>H1</x:v>
      </x:c>
      <x:c r="K1915" s="39" t="str">
        <x:v>تطبیق احتمالی با پایه</x:v>
      </x:c>
      <x:c r="L1915" s="39" t="str">
        <x:v>MI-0077</x:v>
      </x:c>
      <x:c r="M1915" s="39" t="str">
        <x:v>یادگیری هوش هیجانی و قدرت تصمیم گیری بالا در لحظه</x:v>
      </x:c>
      <x:c r="N1915" s="39" t="str">
        <x:v>1154878548.docx::P6491.1 | 1154878548.docx::P6859.1</x:v>
      </x:c>
      <x:c r="O1915" s="39"/>
    </x:row>
    <x:row r="1916">
      <x:c r="A1916" s="34" t="str">
        <x:v>☐</x:v>
      </x:c>
      <x:c r="B1916" s="34" t="str">
        <x:v>EX-1888</x:v>
      </x:c>
      <x:c r="C1916" s="34" t="str">
        <x:v>کاغذهای      دیواری، کاغذهای بستهبندی هدیه، کاغذهای بستهبندی گل</x:v>
      </x:c>
      <x:c r="D1916" s="34" t="str">
        <x:v>UNMAPPED</x:v>
      </x:c>
      <x:c r="E1916" s="34" t="str">
        <x:v>67.5</x:v>
      </x:c>
      <x:c r="F1916" s="34" t="str">
        <x:v>MI-1026</x:v>
      </x:c>
      <x:c r="G1916" s="39" t="str">
        <x:v>غذای نیک</x:v>
      </x:c>
      <x:c r="H1916" s="39" t="str">
        <x:v>H11</x:v>
      </x:c>
      <x:c r="I1916" s="39" t="str">
        <x:v>DELEGATE/P2</x:v>
      </x:c>
      <x:c r="J1916" s="39" t="str">
        <x:v>H23</x:v>
      </x:c>
      <x:c r="K1916" s="39" t="str">
        <x:v>نیازمند پالایش؛ حذف نشده</x:v>
      </x:c>
      <x:c r="L1916" s="39"/>
      <x:c r="M1916" s="39"/>
      <x:c r="N1916" s="39" t="str">
        <x:v>1154878548.docx::P6492.1 | 1154878548.docx::P6860.1</x:v>
      </x:c>
      <x:c r="O1916" s="39"/>
    </x:row>
    <x:row r="1917">
      <x:c r="A1917" s="34" t="str">
        <x:v>☐</x:v>
      </x:c>
      <x:c r="B1917" s="34" t="str">
        <x:v>EX-1889</x:v>
      </x:c>
      <x:c r="C1917" s="34" t="str">
        <x:v>انواع      لیبل کاغذی، برچسب کاغذی، فاکتور کاغذی، رسید کاغذی</x:v>
      </x:c>
      <x:c r="D1917" s="34" t="str">
        <x:v>POSSIBLE</x:v>
      </x:c>
      <x:c r="E1917" s="34" t="str">
        <x:v>85.5</x:v>
      </x:c>
      <x:c r="F1917" s="34" t="str">
        <x:v>MI-2748</x:v>
      </x:c>
      <x:c r="G1917" s="39" t="str">
        <x:v>انواع EiR</x:v>
      </x:c>
      <x:c r="H1917" s="39" t="str">
        <x:v>H10</x:v>
      </x:c>
      <x:c r="I1917" s="39" t="str">
        <x:v>P2</x:v>
      </x:c>
      <x:c r="J1917" s="39" t="str">
        <x:v>H10</x:v>
      </x:c>
      <x:c r="K1917" s="39" t="str">
        <x:v>تطبیق احتمالی با پایه</x:v>
      </x:c>
      <x:c r="L1917" s="39" t="str">
        <x:v>MI-2748</x:v>
      </x:c>
      <x:c r="M1917" s="39" t="str">
        <x:v>انواع EiR</x:v>
      </x:c>
      <x:c r="N1917" s="39" t="str">
        <x:v>1154878548.docx::P6493.1 | 1154878548.docx::P6861.1</x:v>
      </x:c>
      <x:c r="O1917" s="39"/>
    </x:row>
    <x:row r="1918">
      <x:c r="A1918" s="34" t="str">
        <x:v>☐</x:v>
      </x:c>
      <x:c r="B1918" s="34" t="str">
        <x:v>EX-1890</x:v>
      </x:c>
      <x:c r="C1918" s="34" t="str">
        <x:v>انواع      پاکت های کاغذی سیمان و گچ</x:v>
      </x:c>
      <x:c r="D1918" s="34" t="str">
        <x:v>POSSIBLE</x:v>
      </x:c>
      <x:c r="E1918" s="34" t="str">
        <x:v>85.5</x:v>
      </x:c>
      <x:c r="F1918" s="34" t="str">
        <x:v>MI-1501</x:v>
      </x:c>
      <x:c r="G1918" s="39" t="str">
        <x:v>مدیریت ریسک: شناسایی ریسک ها، ارزیابی اثرات، تدوین برنامه های مقابله با ریسک ها.</x:v>
      </x:c>
      <x:c r="H1918" s="39" t="str">
        <x:v>H1</x:v>
      </x:c>
      <x:c r="I1918" s="39" t="str">
        <x:v>P0</x:v>
      </x:c>
      <x:c r="J1918" s="39" t="str">
        <x:v>H1</x:v>
      </x:c>
      <x:c r="K1918" s="39" t="str">
        <x:v>تطبیق احتمالی با پایه</x:v>
      </x:c>
      <x:c r="L1918" s="39" t="str">
        <x:v>MI-1501</x:v>
      </x:c>
      <x:c r="M1918" s="39" t="str">
        <x:v>مدیریت ریسک: شناسایی ریسک ها، ارزیابی اثرات، تدوین برنامه های مقابله با ریسک ها.</x:v>
      </x:c>
      <x:c r="N1918" s="39" t="str">
        <x:v>1154878548.docx::P6494.1 | 1154878548.docx::P6862.1</x:v>
      </x:c>
      <x:c r="O1918" s="39"/>
    </x:row>
    <x:row r="1919">
      <x:c r="A1919" s="34" t="str">
        <x:v>☐</x:v>
      </x:c>
      <x:c r="B1919" s="34" t="str">
        <x:v>EX-1891</x:v>
      </x:c>
      <x:c r="C1919" s="34" t="str">
        <x:v>انواع      بلیطهای کاغذی (سینما، اتوبوس، قطار)</x:v>
      </x:c>
      <x:c r="D1919" s="34" t="str">
        <x:v>POSSIBLE</x:v>
      </x:c>
      <x:c r="E1919" s="34" t="str">
        <x:v>85.5</x:v>
      </x:c>
      <x:c r="F1919" s="34" t="str">
        <x:v>MI-1538</x:v>
      </x:c>
      <x:c r="G1919" s="39" t="str">
        <x:v>فعالیت های فرهنگی: شرکت در فعالیت های هنری، موسیقی، تیاتر، سینما، نگارش، خوشنویسی.</x:v>
      </x:c>
      <x:c r="H1919" s="39" t="str">
        <x:v>H1</x:v>
      </x:c>
      <x:c r="I1919" s="39" t="str">
        <x:v>P0</x:v>
      </x:c>
      <x:c r="J1919" s="39" t="str">
        <x:v>H1</x:v>
      </x:c>
      <x:c r="K1919" s="39" t="str">
        <x:v>تطبیق احتمالی با پایه</x:v>
      </x:c>
      <x:c r="L1919" s="39" t="str">
        <x:v>MI-1538</x:v>
      </x:c>
      <x:c r="M1919" s="39" t="str">
        <x:v>فعالیت های فرهنگی: شرکت در فعالیت های هنری، موسیقی، تیاتر، سینما، نگارش، خوشنویسی.</x:v>
      </x:c>
      <x:c r="N1919" s="39" t="str">
        <x:v>1154878548.docx::P6495.1 | 1154878548.docx::P6863.1</x:v>
      </x:c>
      <x:c r="O1919" s="39"/>
    </x:row>
    <x:row r="1920">
      <x:c r="A1920" s="34" t="str">
        <x:v>☐</x:v>
      </x:c>
      <x:c r="B1920" s="34" t="str">
        <x:v>EX-1892</x:v>
      </x:c>
      <x:c r="C1920" s="34" t="str">
        <x:v>کارتهای      بازی کاغذی</x:v>
      </x:c>
      <x:c r="D1920" s="34" t="str">
        <x:v>POSSIBLE</x:v>
      </x:c>
      <x:c r="E1920" s="34" t="str">
        <x:v>90.0</x:v>
      </x:c>
      <x:c r="F1920" s="34" t="str">
        <x:v>MI-2545</x:v>
      </x:c>
      <x:c r="G1920" s="39" t="str">
        <x:v>کار:</x:v>
      </x:c>
      <x:c r="H1920" s="39" t="str">
        <x:v>H20</x:v>
      </x:c>
      <x:c r="I1920" s="39" t="str">
        <x:v>P3/CLARIFY</x:v>
      </x:c>
      <x:c r="J1920" s="39" t="str">
        <x:v>H20</x:v>
      </x:c>
      <x:c r="K1920" s="39" t="str">
        <x:v>تطبیق احتمالی با پایه</x:v>
      </x:c>
      <x:c r="L1920" s="39" t="str">
        <x:v>MI-2545</x:v>
      </x:c>
      <x:c r="M1920" s="39" t="str">
        <x:v>کار:</x:v>
      </x:c>
      <x:c r="N1920" s="39" t="str">
        <x:v>1154878548.docx::P6496.1 | 1154878548.docx::P6864.1</x:v>
      </x:c>
      <x:c r="O1920" s="39"/>
    </x:row>
    <x:row r="1921">
      <x:c r="A1921" s="34" t="str">
        <x:v>☐</x:v>
      </x:c>
      <x:c r="B1921" s="34" t="str">
        <x:v>EX-1893</x:v>
      </x:c>
      <x:c r="C1921" s="34" t="str">
        <x:v>انواع      کاغذهای بسته بندی مواد دارویی</x:v>
      </x:c>
      <x:c r="D1921" s="34" t="str">
        <x:v>POSSIBLE</x:v>
      </x:c>
      <x:c r="E1921" s="34" t="str">
        <x:v>85.5</x:v>
      </x:c>
      <x:c r="F1921" s="34" t="str">
        <x:v>MI-1510</x:v>
      </x:c>
      <x:c r="G1921" s="39" t="str">
        <x:v>دانش مالی: درک مفاهیم مالی، آشنایی با انواع سرمایه گذاری ها.</x:v>
      </x:c>
      <x:c r="H1921" s="39" t="str">
        <x:v>H1</x:v>
      </x:c>
      <x:c r="I1921" s="39" t="str">
        <x:v>P0</x:v>
      </x:c>
      <x:c r="J1921" s="39" t="str">
        <x:v>H1</x:v>
      </x:c>
      <x:c r="K1921" s="39" t="str">
        <x:v>تطبیق احتمالی با پایه</x:v>
      </x:c>
      <x:c r="L1921" s="39" t="str">
        <x:v>MI-1510</x:v>
      </x:c>
      <x:c r="M1921" s="39" t="str">
        <x:v>دانش مالی: درک مفاهیم مالی، آشنایی با انواع سرمایه گذاری ها.</x:v>
      </x:c>
      <x:c r="N1921" s="39" t="str">
        <x:v>1154878548.docx::P6497.1 | 1154878548.docx::P6865.1</x:v>
      </x:c>
      <x:c r="O1921" s="39"/>
    </x:row>
    <x:row r="1922">
      <x:c r="A1922" s="34" t="str">
        <x:v>☐</x:v>
      </x:c>
      <x:c r="B1922" s="34" t="str">
        <x:v>EX-1894</x:v>
      </x:c>
      <x:c r="C1922" s="34" t="str">
        <x:v>بطریهای      پلاستیکی (PET، HDPE،      PVC، LDPE،      PP، PS) در انواع      رنگها و شکلها (نوشابه، آب معدنی، روغن، شویندهها)</x:v>
      </x:c>
      <x:c r="D1922" s="34" t="str">
        <x:v>POSSIBLE</x:v>
      </x:c>
      <x:c r="E1922" s="34" t="str">
        <x:v>85.5</x:v>
      </x:c>
      <x:c r="F1922" s="34" t="str">
        <x:v>MI-1513</x:v>
      </x:c>
      <x:c r="G1922" s="39" t="str">
        <x:v>تولید و کارآفرینی: توانایی تولید محصول و خدمات و ایجاد شغل.</x:v>
      </x:c>
      <x:c r="H1922" s="39" t="str">
        <x:v>H1</x:v>
      </x:c>
      <x:c r="I1922" s="39" t="str">
        <x:v>P0</x:v>
      </x:c>
      <x:c r="J1922" s="39" t="str">
        <x:v>H1</x:v>
      </x:c>
      <x:c r="K1922" s="39" t="str">
        <x:v>تطبیق احتمالی با پایه</x:v>
      </x:c>
      <x:c r="L1922" s="39" t="str">
        <x:v>MI-1513</x:v>
      </x:c>
      <x:c r="M1922" s="39" t="str">
        <x:v>تولید و کارآفرینی: توانایی تولید محصول و خدمات و ایجاد شغل.</x:v>
      </x:c>
      <x:c r="N1922" s="39" t="str">
        <x:v>1154878548.docx::P6499.1 | 1154878548.docx::P6867.1</x:v>
      </x:c>
      <x:c r="O1922" s="39"/>
    </x:row>
    <x:row r="1923">
      <x:c r="A1923" s="34" t="str">
        <x:v>☐</x:v>
      </x:c>
      <x:c r="B1923" s="34" t="str">
        <x:v>EX-1895</x:v>
      </x:c>
      <x:c r="C1923" s="34" t="str">
        <x:v>ظروف      پلاستیکی مواد غذایی (ماست، کره، سس، روغن، لبنیات، غذای آماده)</x:v>
      </x:c>
      <x:c r="D1923" s="34" t="str">
        <x:v>POSSIBLE</x:v>
      </x:c>
      <x:c r="E1923" s="34" t="str">
        <x:v>85.5</x:v>
      </x:c>
      <x:c r="F1923" s="34" t="str">
        <x:v>MI-0527</x:v>
      </x:c>
      <x:c r="G1923" s="39" t="str">
        <x:v>یکی از رایج ترین کارهایی که دراین زمینه می توانید انجام بدهید، این است که یک کارت عضویت برای مشتریان تان تهیهکنید و دفعاتی را که مشتری به رستوران تان می آید، ثبت کنید. زمانی که تعداد مراجعه های مشتری به حد مشخصی رسید، به انتخاب خودتاناو را از یک غذای رایگان بهره مند کنید. ارایه ینوشیدنی ها و دسرهای رایگان هم انتخاب های خوبی هستند، چون از غذاهای اصلیارزان ترند و در عین حال مشتریان احساس می کنند مورد احترام قرار گرفته اند.</x:v>
      </x:c>
      <x:c r="H1923" s="39" t="str">
        <x:v>H8</x:v>
      </x:c>
      <x:c r="I1923" s="39" t="str">
        <x:v>P2</x:v>
      </x:c>
      <x:c r="J1923" s="39" t="str">
        <x:v>H8</x:v>
      </x:c>
      <x:c r="K1923" s="39" t="str">
        <x:v>تطبیق احتمالی با پایه</x:v>
      </x:c>
      <x:c r="L1923" s="39" t="str">
        <x:v>MI-0527</x:v>
      </x:c>
      <x:c r="M1923" s="39" t="str">
        <x:v>یکی از رایج ترین کارهایی که دراین زمینه می توانید انجام بدهید، این است که یک کارت عضویت برای مشتریان تان تهیهکنید و دفعاتی را که مشتری به رستوران تان می آید، ثبت کنید. زمانی که تعداد مراجعه های مشتری به حد مشخصی رسید، به انتخاب خودتاناو را از یک غذای رایگان بهره مند کنید. ارایه ینوشیدنی ها و دسرهای رایگان هم انتخاب های خوبی هستند، چون از غذاهای اصلیارزان ترند و در عین حال مشتریان احساس می کنند مورد احترام قرار گرفته اند.</x:v>
      </x:c>
      <x:c r="N1923" s="39" t="str">
        <x:v>1154878548.docx::P6500.1 | 1154878548.docx::P6868.1</x:v>
      </x:c>
      <x:c r="O1923" s="39"/>
    </x:row>
    <x:row r="1924">
      <x:c r="A1924" s="34" t="str">
        <x:v>☐</x:v>
      </x:c>
      <x:c r="B1924" s="34" t="str">
        <x:v>EX-1896</x:v>
      </x:c>
      <x:c r="C1924" s="34" t="str">
        <x:v>ظروف      پلاستیکی مواد شوینده و بهداشتی (شامپو، مایع ظرفشویی، سفیدکننده، خمیر      دندان)</x:v>
      </x:c>
      <x:c r="D1924" s="34" t="str">
        <x:v>POSSIBLE</x:v>
      </x:c>
      <x:c r="E1924" s="34" t="str">
        <x:v>85.5</x:v>
      </x:c>
      <x:c r="F1924" s="34" t="str">
        <x:v>MI-0023</x:v>
      </x:c>
      <x:c r="G1924" s="39" t="str">
        <x:v>برنامه ریزی دقیق و علمگرا هییت دانشگاه</x:v>
      </x:c>
      <x:c r="H1924" s="39" t="str">
        <x:v>H1</x:v>
      </x:c>
      <x:c r="I1924" s="39" t="str">
        <x:v>P0</x:v>
      </x:c>
      <x:c r="J1924" s="39" t="str">
        <x:v>H1</x:v>
      </x:c>
      <x:c r="K1924" s="39" t="str">
        <x:v>تطبیق احتمالی با پایه</x:v>
      </x:c>
      <x:c r="L1924" s="39" t="str">
        <x:v>MI-0023</x:v>
      </x:c>
      <x:c r="M1924" s="39" t="str">
        <x:v>برنامه ریزی دقیق و علمگرا هییت دانشگاه</x:v>
      </x:c>
      <x:c r="N1924" s="39" t="str">
        <x:v>1154878548.docx::P6501.1 | 1154878548.docx::P6869.1</x:v>
      </x:c>
      <x:c r="O1924" s="39"/>
    </x:row>
    <x:row r="1925">
      <x:c r="A1925" s="34" t="str">
        <x:v>☐</x:v>
      </x:c>
      <x:c r="B1925" s="34" t="str">
        <x:v>EX-1897</x:v>
      </x:c>
      <x:c r="C1925" s="34" t="str">
        <x:v>کیسههای      پلاستیکی خرید، زباله، بستهبندی مواد غذایی، کیسههای فریزر</x:v>
      </x:c>
      <x:c r="D1925" s="34" t="str">
        <x:v>POSSIBLE</x:v>
      </x:c>
      <x:c r="E1925" s="34" t="str">
        <x:v>85.5</x:v>
      </x:c>
      <x:c r="F1925" s="34" t="str">
        <x:v>MI-1251</x:v>
      </x:c>
      <x:c r="G1925" s="39" t="str">
        <x:v>این روش بازیافت حتی تا حدی می تواند پیش برود که باعث شود مواد بازیافتی قابل خوراکی باشند و در انواع غذا ها مورد استفاده قرار بگیرند.</x:v>
      </x:c>
      <x:c r="H1925" s="39" t="str">
        <x:v>H12</x:v>
      </x:c>
      <x:c r="I1925" s="39" t="str">
        <x:v>P2</x:v>
      </x:c>
      <x:c r="J1925" s="39" t="str">
        <x:v>H12</x:v>
      </x:c>
      <x:c r="K1925" s="39" t="str">
        <x:v>تطبیق احتمالی با پایه</x:v>
      </x:c>
      <x:c r="L1925" s="39" t="str">
        <x:v>MI-1251</x:v>
      </x:c>
      <x:c r="M1925" s="39" t="str">
        <x:v>این روش بازیافت حتی تا حدی می تواند پیش برود که باعث شود مواد بازیافتی قابل خوراکی باشند و در انواع غذا ها مورد استفاده قرار بگیرند.</x:v>
      </x:c>
      <x:c r="N1925" s="39" t="str">
        <x:v>1154878548.docx::P6502.1 | 1154878548.docx::P6870.1</x:v>
      </x:c>
      <x:c r="O1925" s="39"/>
    </x:row>
    <x:row r="1926">
      <x:c r="A1926" s="34" t="str">
        <x:v>☐</x:v>
      </x:c>
      <x:c r="B1926" s="34" t="str">
        <x:v>EX-1898</x:v>
      </x:c>
      <x:c r="C1926" s="34" t="str">
        <x:v>درب      بطریها، ظروف پلاستیکی، اسپریها، پمپهای پلاستیکی</x:v>
      </x:c>
      <x:c r="D1926" s="34" t="str">
        <x:v>POSSIBLE</x:v>
      </x:c>
      <x:c r="E1926" s="34" t="str">
        <x:v>90.0</x:v>
      </x:c>
      <x:c r="F1926" s="34" t="str">
        <x:v>MI-1247</x:v>
      </x:c>
      <x:c r="G1926" s="39" t="str">
        <x:v>پلاستیک</x:v>
      </x:c>
      <x:c r="H1926" s="39" t="str">
        <x:v>H12</x:v>
      </x:c>
      <x:c r="I1926" s="39" t="str">
        <x:v>P2</x:v>
      </x:c>
      <x:c r="J1926" s="39" t="str">
        <x:v>H12</x:v>
      </x:c>
      <x:c r="K1926" s="39" t="str">
        <x:v>تطبیق احتمالی با پایه</x:v>
      </x:c>
      <x:c r="L1926" s="39" t="str">
        <x:v>MI-1247</x:v>
      </x:c>
      <x:c r="M1926" s="39" t="str">
        <x:v>پلاستیک</x:v>
      </x:c>
      <x:c r="N1926" s="39" t="str">
        <x:v>1154878548.docx::P6503.1 | 1154878548.docx::P6871.1</x:v>
      </x:c>
      <x:c r="O1926" s="39"/>
    </x:row>
    <x:row r="1927">
      <x:c r="A1927" s="34" t="str">
        <x:v>☐</x:v>
      </x:c>
      <x:c r="B1927" s="34" t="str">
        <x:v>EX-1899</x:v>
      </x:c>
      <x:c r="C1927" s="34" t="str">
        <x:v>ظروف      یکبار مصرف پلاستیکی (لیوان، بشقاب، قاشق، چنگال، نی، درب ظروف)</x:v>
      </x:c>
      <x:c r="D1927" s="34" t="str">
        <x:v>POSSIBLE</x:v>
      </x:c>
      <x:c r="E1927" s="34" t="str">
        <x:v>85.5</x:v>
      </x:c>
      <x:c r="F1927" s="34" t="str">
        <x:v>MI-1973</x:v>
      </x:c>
      <x:c r="G1927" s="39" t="str">
        <x:v>اینجا محل مصرف استعداد است.</x:v>
      </x:c>
      <x:c r="H1927" s="39" t="str">
        <x:v>H10</x:v>
      </x:c>
      <x:c r="I1927" s="39" t="str">
        <x:v>P2</x:v>
      </x:c>
      <x:c r="J1927" s="39" t="str">
        <x:v>H10</x:v>
      </x:c>
      <x:c r="K1927" s="39" t="str">
        <x:v>تطبیق احتمالی با پایه</x:v>
      </x:c>
      <x:c r="L1927" s="39" t="str">
        <x:v>MI-1973</x:v>
      </x:c>
      <x:c r="M1927" s="39" t="str">
        <x:v>اینجا محل مصرف استعداد است.</x:v>
      </x:c>
      <x:c r="N1927" s="39" t="str">
        <x:v>1154878548.docx::P6504.1 | 1154878548.docx::P6872.1</x:v>
      </x:c>
      <x:c r="O1927" s="39"/>
    </x:row>
    <x:row r="1928">
      <x:c r="A1928" s="34" t="str">
        <x:v>☐</x:v>
      </x:c>
      <x:c r="B1928" s="34" t="str">
        <x:v>EX-1900</x:v>
      </x:c>
      <x:c r="C1928" s="34" t="str">
        <x:v>لولههای      پلاستیکی (PVC، HDPE،      لولههای آبیاری، لولههای فاضلاب)</x:v>
      </x:c>
      <x:c r="D1928" s="34" t="str">
        <x:v>POSSIBLE</x:v>
      </x:c>
      <x:c r="E1928" s="34" t="str">
        <x:v>85.5</x:v>
      </x:c>
      <x:c r="F1928" s="34" t="str">
        <x:v>MI-1369</x:v>
      </x:c>
      <x:c r="G1928" s="39" t="str">
        <x:v>پلاستیک HDPE (مخفف High-Density Polyethylene) پلاستیک سفتی است که برای ساخت بطری های شیر، بطری های مواد شوینده و بطری های روغن، اسباب بازی ها و برخی کیسه های پلاستیکی استفاده می شود. HDPE رایج ترین پلاستیک بازیافتی است و یکی از ایمن ترین پلاستیک ها به حساب می آید. بازیافت پلاستیک HDPE برای استفاده ثانویه، یک فرایند نسبتاً ساده و مقرون به صرفه است.</x:v>
      </x:c>
      <x:c r="H1928" s="39" t="str">
        <x:v>H12</x:v>
      </x:c>
      <x:c r="I1928" s="39" t="str">
        <x:v>P2</x:v>
      </x:c>
      <x:c r="J1928" s="39" t="str">
        <x:v>H12</x:v>
      </x:c>
      <x:c r="K1928" s="39" t="str">
        <x:v>تطبیق احتمالی با پایه</x:v>
      </x:c>
      <x:c r="L1928" s="39" t="str">
        <x:v>MI-1369</x:v>
      </x:c>
      <x:c r="M1928" s="39" t="str">
        <x:v>پلاستیک HDPE (مخفف High-Density Polyethylene) پلاستیک سفتی است که برای ساخت بطری های شیر، بطری های مواد شوینده و بطری های روغن، اسباب بازی ها و برخی کیسه های پلاستیکی استفاده می شود. HDPE رایج ترین پلاستیک بازیافتی است و یکی از ایمن ترین پلاستیک ها به حساب می آید. بازیافت پلاستیک HDPE برای استفاده ثانویه، یک فرایند نسبتاً ساده و مقرون به صرفه است.</x:v>
      </x:c>
      <x:c r="N1928" s="39" t="str">
        <x:v>1154878548.docx::P6505.1 | 1154878548.docx::P6873.1</x:v>
      </x:c>
      <x:c r="O1928" s="39"/>
    </x:row>
    <x:row r="1929">
      <x:c r="A1929" s="34" t="str">
        <x:v>☐</x:v>
      </x:c>
      <x:c r="B1929" s="34" t="str">
        <x:v>EX-1901</x:v>
      </x:c>
      <x:c r="C1929" s="34" t="str">
        <x:v>اسباببازیهای      پلاستیکی، قطعات پلاستیکی اسباببازی، لگو، پازل پلاستیکی</x:v>
      </x:c>
      <x:c r="D1929" s="34" t="str">
        <x:v>POSSIBLE</x:v>
      </x:c>
      <x:c r="E1929" s="34" t="str">
        <x:v>85.5</x:v>
      </x:c>
      <x:c r="F1929" s="34" t="str">
        <x:v>MI-1292</x:v>
      </x:c>
      <x:c r="G1929" s="39" t="str">
        <x:v>قطعات برد های کامپیوتری</x:v>
      </x:c>
      <x:c r="H1929" s="39" t="str">
        <x:v>H12</x:v>
      </x:c>
      <x:c r="I1929" s="39" t="str">
        <x:v>P2</x:v>
      </x:c>
      <x:c r="J1929" s="39" t="str">
        <x:v>H12</x:v>
      </x:c>
      <x:c r="K1929" s="39" t="str">
        <x:v>تطبیق احتمالی با پایه</x:v>
      </x:c>
      <x:c r="L1929" s="39" t="str">
        <x:v>MI-1292</x:v>
      </x:c>
      <x:c r="M1929" s="39" t="str">
        <x:v>قطعات برد های کامپیوتری</x:v>
      </x:c>
      <x:c r="N1929" s="39" t="str">
        <x:v>1154878548.docx::P6506.1 | 1154878548.docx::P6874.1</x:v>
      </x:c>
      <x:c r="O1929" s="39"/>
    </x:row>
    <x:row r="1930">
      <x:c r="A1930" s="34" t="str">
        <x:v>☐</x:v>
      </x:c>
      <x:c r="B1930" s="34" t="str">
        <x:v>EX-1902</x:v>
      </x:c>
      <x:c r="C1930" s="34" t="str">
        <x:v>مبلمان      پلاستیکی (صندلی، میز، گلدان، حصیر پلاستیکی)</x:v>
      </x:c>
      <x:c r="D1930" s="34" t="str">
        <x:v>POSSIBLE</x:v>
      </x:c>
      <x:c r="E1930" s="34" t="str">
        <x:v>90.0</x:v>
      </x:c>
      <x:c r="F1930" s="34" t="str">
        <x:v>MI-1247</x:v>
      </x:c>
      <x:c r="G1930" s="39" t="str">
        <x:v>پلاستیک</x:v>
      </x:c>
      <x:c r="H1930" s="39" t="str">
        <x:v>H12</x:v>
      </x:c>
      <x:c r="I1930" s="39" t="str">
        <x:v>P2</x:v>
      </x:c>
      <x:c r="J1930" s="39" t="str">
        <x:v>H12</x:v>
      </x:c>
      <x:c r="K1930" s="39" t="str">
        <x:v>تطبیق احتمالی با پایه</x:v>
      </x:c>
      <x:c r="L1930" s="39" t="str">
        <x:v>MI-1247</x:v>
      </x:c>
      <x:c r="M1930" s="39" t="str">
        <x:v>پلاستیک</x:v>
      </x:c>
      <x:c r="N1930" s="39" t="str">
        <x:v>1154878548.docx::P6507.1 | 1154878548.docx::P6875.1</x:v>
      </x:c>
      <x:c r="O1930" s="39"/>
    </x:row>
    <x:row r="1931">
      <x:c r="A1931" s="34" t="str">
        <x:v>☐</x:v>
      </x:c>
      <x:c r="B1931" s="34" t="str">
        <x:v>EX-1903</x:v>
      </x:c>
      <x:c r="C1931" s="34" t="str">
        <x:v>انواع      فوم پلاستیکی (یونولیت، فوم بستهبندی، فوم عایق)</x:v>
      </x:c>
      <x:c r="D1931" s="34" t="str">
        <x:v>POSSIBLE</x:v>
      </x:c>
      <x:c r="E1931" s="34" t="str">
        <x:v>90.0</x:v>
      </x:c>
      <x:c r="F1931" s="34" t="str">
        <x:v>MI-1247</x:v>
      </x:c>
      <x:c r="G1931" s="39" t="str">
        <x:v>پلاستیک</x:v>
      </x:c>
      <x:c r="H1931" s="39" t="str">
        <x:v>H12</x:v>
      </x:c>
      <x:c r="I1931" s="39" t="str">
        <x:v>P2</x:v>
      </x:c>
      <x:c r="J1931" s="39" t="str">
        <x:v>H12</x:v>
      </x:c>
      <x:c r="K1931" s="39" t="str">
        <x:v>تطبیق احتمالی با پایه</x:v>
      </x:c>
      <x:c r="L1931" s="39" t="str">
        <x:v>MI-1247</x:v>
      </x:c>
      <x:c r="M1931" s="39" t="str">
        <x:v>پلاستیک</x:v>
      </x:c>
      <x:c r="N1931" s="39" t="str">
        <x:v>1154878548.docx::P6508.1 | 1154878548.docx::P6876.1</x:v>
      </x:c>
      <x:c r="O1931" s="39"/>
    </x:row>
    <x:row r="1932">
      <x:c r="A1932" s="34" t="str">
        <x:v>☐</x:v>
      </x:c>
      <x:c r="B1932" s="34" t="str">
        <x:v>EX-1904</x:v>
      </x:c>
      <x:c r="C1932" s="34" t="str">
        <x:v>انواع      نایلون (بستهبندی، روکش، سفره یکبار مصرف)</x:v>
      </x:c>
      <x:c r="D1932" s="34" t="str">
        <x:v>POSSIBLE</x:v>
      </x:c>
      <x:c r="E1932" s="34" t="str">
        <x:v>85.5</x:v>
      </x:c>
      <x:c r="F1932" s="34" t="str">
        <x:v>MI-1973</x:v>
      </x:c>
      <x:c r="G1932" s="39" t="str">
        <x:v>اینجا محل مصرف استعداد است.</x:v>
      </x:c>
      <x:c r="H1932" s="39" t="str">
        <x:v>H10</x:v>
      </x:c>
      <x:c r="I1932" s="39" t="str">
        <x:v>P2</x:v>
      </x:c>
      <x:c r="J1932" s="39" t="str">
        <x:v>H10</x:v>
      </x:c>
      <x:c r="K1932" s="39" t="str">
        <x:v>تطبیق احتمالی با پایه</x:v>
      </x:c>
      <x:c r="L1932" s="39" t="str">
        <x:v>MI-1973</x:v>
      </x:c>
      <x:c r="M1932" s="39" t="str">
        <x:v>اینجا محل مصرف استعداد است.</x:v>
      </x:c>
      <x:c r="N1932" s="39" t="str">
        <x:v>1154878548.docx::P6509.1 | 1154878548.docx::P6877.1</x:v>
      </x:c>
      <x:c r="O1932" s="39"/>
    </x:row>
    <x:row r="1933">
      <x:c r="A1933" s="34" t="str">
        <x:v>☐</x:v>
      </x:c>
      <x:c r="B1933" s="34" t="str">
        <x:v>EX-1905</x:v>
      </x:c>
      <x:c r="C1933" s="34" t="str">
        <x:v>انواع      ظروف اسپری پلاستیکی، قوطیهای اسپری پلاستیکی</x:v>
      </x:c>
      <x:c r="D1933" s="34" t="str">
        <x:v>POSSIBLE</x:v>
      </x:c>
      <x:c r="E1933" s="34" t="str">
        <x:v>90.0</x:v>
      </x:c>
      <x:c r="F1933" s="34" t="str">
        <x:v>MI-1247</x:v>
      </x:c>
      <x:c r="G1933" s="39" t="str">
        <x:v>پلاستیک</x:v>
      </x:c>
      <x:c r="H1933" s="39" t="str">
        <x:v>H12</x:v>
      </x:c>
      <x:c r="I1933" s="39" t="str">
        <x:v>P2</x:v>
      </x:c>
      <x:c r="J1933" s="39" t="str">
        <x:v>H12</x:v>
      </x:c>
      <x:c r="K1933" s="39" t="str">
        <x:v>تطبیق احتمالی با پایه</x:v>
      </x:c>
      <x:c r="L1933" s="39" t="str">
        <x:v>MI-1247</x:v>
      </x:c>
      <x:c r="M1933" s="39" t="str">
        <x:v>پلاستیک</x:v>
      </x:c>
      <x:c r="N1933" s="39" t="str">
        <x:v>1154878548.docx::P6510.1 | 1154878548.docx::P6878.1</x:v>
      </x:c>
      <x:c r="O1933" s="39"/>
    </x:row>
    <x:row r="1934">
      <x:c r="A1934" s="34" t="str">
        <x:v>☐</x:v>
      </x:c>
      <x:c r="B1934" s="34" t="str">
        <x:v>EX-1906</x:v>
      </x:c>
      <x:c r="C1934" s="34" t="str">
        <x:v>انواع      ظروف پلاستیکی دارویی، بستهبندی قرص و کپسول</x:v>
      </x:c>
      <x:c r="D1934" s="34" t="str">
        <x:v>POSSIBLE</x:v>
      </x:c>
      <x:c r="E1934" s="34" t="str">
        <x:v>90.0</x:v>
      </x:c>
      <x:c r="F1934" s="34" t="str">
        <x:v>MI-1247</x:v>
      </x:c>
      <x:c r="G1934" s="39" t="str">
        <x:v>پلاستیک</x:v>
      </x:c>
      <x:c r="H1934" s="39" t="str">
        <x:v>H12</x:v>
      </x:c>
      <x:c r="I1934" s="39" t="str">
        <x:v>P2</x:v>
      </x:c>
      <x:c r="J1934" s="39" t="str">
        <x:v>H12</x:v>
      </x:c>
      <x:c r="K1934" s="39" t="str">
        <x:v>تطبیق احتمالی با پایه</x:v>
      </x:c>
      <x:c r="L1934" s="39" t="str">
        <x:v>MI-1247</x:v>
      </x:c>
      <x:c r="M1934" s="39" t="str">
        <x:v>پلاستیک</x:v>
      </x:c>
      <x:c r="N1934" s="39" t="str">
        <x:v>1154878548.docx::P6511.1 | 1154878548.docx::P6879.1</x:v>
      </x:c>
      <x:c r="O1934" s="39"/>
    </x:row>
    <x:row r="1935">
      <x:c r="A1935" s="34" t="str">
        <x:v>☐</x:v>
      </x:c>
      <x:c r="B1935" s="34" t="str">
        <x:v>EX-1907</x:v>
      </x:c>
      <x:c r="C1935" s="34" t="str">
        <x:v>انواع      ظروف پلاستیکی آرایشی بهداشتی، بستهبندی لوازم آرایش</x:v>
      </x:c>
      <x:c r="D1935" s="34" t="str">
        <x:v>POSSIBLE</x:v>
      </x:c>
      <x:c r="E1935" s="34" t="str">
        <x:v>90.0</x:v>
      </x:c>
      <x:c r="F1935" s="34" t="str">
        <x:v>MI-1247</x:v>
      </x:c>
      <x:c r="G1935" s="39" t="str">
        <x:v>پلاستیک</x:v>
      </x:c>
      <x:c r="H1935" s="39" t="str">
        <x:v>H12</x:v>
      </x:c>
      <x:c r="I1935" s="39" t="str">
        <x:v>P2</x:v>
      </x:c>
      <x:c r="J1935" s="39" t="str">
        <x:v>H12</x:v>
      </x:c>
      <x:c r="K1935" s="39" t="str">
        <x:v>تطبیق احتمالی با پایه</x:v>
      </x:c>
      <x:c r="L1935" s="39" t="str">
        <x:v>MI-1247</x:v>
      </x:c>
      <x:c r="M1935" s="39" t="str">
        <x:v>پلاستیک</x:v>
      </x:c>
      <x:c r="N1935" s="39" t="str">
        <x:v>1154878548.docx::P6512.1 | 1154878548.docx::P6880.1</x:v>
      </x:c>
      <x:c r="O1935" s="39"/>
    </x:row>
    <x:row r="1936">
      <x:c r="A1936" s="34" t="str">
        <x:v>☐</x:v>
      </x:c>
      <x:c r="B1936" s="34" t="str">
        <x:v>EX-1908</x:v>
      </x:c>
      <x:c r="C1936" s="34" t="str">
        <x:v>انواع      کارت های پلاستیکی مانند کارت های اعتباری و غیره</x:v>
      </x:c>
      <x:c r="D1936" s="34" t="str">
        <x:v>POSSIBLE</x:v>
      </x:c>
      <x:c r="E1936" s="34" t="str">
        <x:v>90.0</x:v>
      </x:c>
      <x:c r="F1936" s="34" t="str">
        <x:v>MI-1247</x:v>
      </x:c>
      <x:c r="G1936" s="39" t="str">
        <x:v>پلاستیک</x:v>
      </x:c>
      <x:c r="H1936" s="39" t="str">
        <x:v>H12</x:v>
      </x:c>
      <x:c r="I1936" s="39" t="str">
        <x:v>P2</x:v>
      </x:c>
      <x:c r="J1936" s="39" t="str">
        <x:v>H12</x:v>
      </x:c>
      <x:c r="K1936" s="39" t="str">
        <x:v>تطبیق احتمالی با پایه</x:v>
      </x:c>
      <x:c r="L1936" s="39" t="str">
        <x:v>MI-1247</x:v>
      </x:c>
      <x:c r="M1936" s="39" t="str">
        <x:v>پلاستیک</x:v>
      </x:c>
      <x:c r="N1936" s="39" t="str">
        <x:v>1154878548.docx::P6513.1 | 1154878548.docx::P6881.1</x:v>
      </x:c>
      <x:c r="O1936" s="39"/>
    </x:row>
    <x:row r="1937">
      <x:c r="A1937" s="34" t="str">
        <x:v>☐</x:v>
      </x:c>
      <x:c r="B1937" s="34" t="str">
        <x:v>EX-1909</x:v>
      </x:c>
      <x:c r="C1937" s="34" t="str">
        <x:v>انواع      ظروف پلاستیکی مربوط به سموم و کودهای شیمیایی(با رعایت نکات ایمنی)</x:v>
      </x:c>
      <x:c r="D1937" s="34" t="str">
        <x:v>POSSIBLE</x:v>
      </x:c>
      <x:c r="E1937" s="34" t="str">
        <x:v>85.5</x:v>
      </x:c>
      <x:c r="F1937" s="34" t="str">
        <x:v>MI-0019</x:v>
      </x:c>
      <x:c r="G1937" s="39" t="str">
        <x:v>آشنایی با نرم افزار املاک</x:v>
      </x:c>
      <x:c r="H1937" s="39" t="str">
        <x:v>H1</x:v>
      </x:c>
      <x:c r="I1937" s="39" t="str">
        <x:v>P0</x:v>
      </x:c>
      <x:c r="J1937" s="39" t="str">
        <x:v>H1</x:v>
      </x:c>
      <x:c r="K1937" s="39" t="str">
        <x:v>تطبیق احتمالی با پایه</x:v>
      </x:c>
      <x:c r="L1937" s="39" t="str">
        <x:v>MI-0019</x:v>
      </x:c>
      <x:c r="M1937" s="39" t="str">
        <x:v>آشنایی با نرم افزار املاک</x:v>
      </x:c>
      <x:c r="N1937" s="39" t="str">
        <x:v>1154878548.docx::P6514.1 | 1154878548.docx::P6882.1</x:v>
      </x:c>
      <x:c r="O1937" s="39"/>
    </x:row>
    <x:row r="1938">
      <x:c r="A1938" s="34" t="str">
        <x:v>☐</x:v>
      </x:c>
      <x:c r="B1938" s="34" t="str">
        <x:v>EX-1910</x:v>
      </x:c>
      <x:c r="C1938" s="34" t="str">
        <x:v>انواع      سی دی و دی وی دی های پلاستیکی</x:v>
      </x:c>
      <x:c r="D1938" s="34" t="str">
        <x:v>POSSIBLE</x:v>
      </x:c>
      <x:c r="E1938" s="34" t="str">
        <x:v>90.0</x:v>
      </x:c>
      <x:c r="F1938" s="34" t="str">
        <x:v>MI-1247</x:v>
      </x:c>
      <x:c r="G1938" s="39" t="str">
        <x:v>پلاستیک</x:v>
      </x:c>
      <x:c r="H1938" s="39" t="str">
        <x:v>H12</x:v>
      </x:c>
      <x:c r="I1938" s="39" t="str">
        <x:v>P2</x:v>
      </x:c>
      <x:c r="J1938" s="39" t="str">
        <x:v>H12</x:v>
      </x:c>
      <x:c r="K1938" s="39" t="str">
        <x:v>تطبیق احتمالی با پایه</x:v>
      </x:c>
      <x:c r="L1938" s="39" t="str">
        <x:v>MI-1247</x:v>
      </x:c>
      <x:c r="M1938" s="39" t="str">
        <x:v>پلاستیک</x:v>
      </x:c>
      <x:c r="N1938" s="39" t="str">
        <x:v>1154878548.docx::P6515.1 | 1154878548.docx::P6883.1</x:v>
      </x:c>
      <x:c r="O1938" s="39"/>
    </x:row>
    <x:row r="1939">
      <x:c r="A1939" s="34" t="str">
        <x:v>☐</x:v>
      </x:c>
      <x:c r="B1939" s="34" t="str">
        <x:v>EX-1911</x:v>
      </x:c>
      <x:c r="C1939" s="34" t="str">
        <x:v>انواع      کارت های شناسایی پلاستیکی</x:v>
      </x:c>
      <x:c r="D1939" s="34" t="str">
        <x:v>POSSIBLE</x:v>
      </x:c>
      <x:c r="E1939" s="34" t="str">
        <x:v>90.0</x:v>
      </x:c>
      <x:c r="F1939" s="34" t="str">
        <x:v>MI-1247</x:v>
      </x:c>
      <x:c r="G1939" s="39" t="str">
        <x:v>پلاستیک</x:v>
      </x:c>
      <x:c r="H1939" s="39" t="str">
        <x:v>H12</x:v>
      </x:c>
      <x:c r="I1939" s="39" t="str">
        <x:v>P2</x:v>
      </x:c>
      <x:c r="J1939" s="39" t="str">
        <x:v>H12</x:v>
      </x:c>
      <x:c r="K1939" s="39" t="str">
        <x:v>تطبیق احتمالی با پایه</x:v>
      </x:c>
      <x:c r="L1939" s="39" t="str">
        <x:v>MI-1247</x:v>
      </x:c>
      <x:c r="M1939" s="39" t="str">
        <x:v>پلاستیک</x:v>
      </x:c>
      <x:c r="N1939" s="39" t="str">
        <x:v>1154878548.docx::P6516.1 | 1154878548.docx::P6884.1</x:v>
      </x:c>
      <x:c r="O1939" s="39"/>
    </x:row>
    <x:row r="1940">
      <x:c r="A1940" s="34" t="str">
        <x:v>☐</x:v>
      </x:c>
      <x:c r="B1940" s="34" t="str">
        <x:v>EX-1912</x:v>
      </x:c>
      <x:c r="C1940" s="34" t="str">
        <x:v>قوطیهای      آلومینیومی (نوشابه، کنسرو، اسپری، فویل آلومینیومی)</x:v>
      </x:c>
      <x:c r="D1940" s="34" t="str">
        <x:v>POSSIBLE</x:v>
      </x:c>
      <x:c r="E1940" s="34" t="str">
        <x:v>87.6</x:v>
      </x:c>
      <x:c r="F1940" s="34" t="str">
        <x:v>MI-1351</x:v>
      </x:c>
      <x:c r="G1940" s="39" t="str">
        <x:v>قوطی های آلومینیومی</x:v>
      </x:c>
      <x:c r="H1940" s="39" t="str">
        <x:v>H12</x:v>
      </x:c>
      <x:c r="I1940" s="39" t="str">
        <x:v>P2</x:v>
      </x:c>
      <x:c r="J1940" s="39" t="str">
        <x:v>H12</x:v>
      </x:c>
      <x:c r="K1940" s="39" t="str">
        <x:v>تطبیق احتمالی با پایه</x:v>
      </x:c>
      <x:c r="L1940" s="39" t="str">
        <x:v>MI-1351</x:v>
      </x:c>
      <x:c r="M1940" s="39" t="str">
        <x:v>قوطی های آلومینیومی</x:v>
      </x:c>
      <x:c r="N1940" s="39" t="str">
        <x:v>1154878548.docx::P6518.1 | 1154878548.docx::P6886.1</x:v>
      </x:c>
      <x:c r="O1940" s="39"/>
    </x:row>
    <x:row r="1941">
      <x:c r="A1941" s="34" t="str">
        <x:v>☐</x:v>
      </x:c>
      <x:c r="B1941" s="34" t="str">
        <x:v>EX-1913</x:v>
      </x:c>
      <x:c r="C1941" s="34" t="str">
        <x:v>قوطیهای      فولادی (کنسرو، رنگ، روغن، مواد شیمیایی، اسپری مو)</x:v>
      </x:c>
      <x:c r="D1941" s="34" t="str">
        <x:v>POSSIBLE</x:v>
      </x:c>
      <x:c r="E1941" s="34" t="str">
        <x:v>85.5</x:v>
      </x:c>
      <x:c r="F1941" s="34" t="str">
        <x:v>MI-0923</x:v>
      </x:c>
      <x:c r="G1941" s="39" t="str">
        <x:v>اسپری فوم لا درز لوله ها</x:v>
      </x:c>
      <x:c r="H1941" s="39" t="str">
        <x:v>H11</x:v>
      </x:c>
      <x:c r="I1941" s="39" t="str">
        <x:v>DELEGATE/P2</x:v>
      </x:c>
      <x:c r="J1941" s="39" t="str">
        <x:v>H11</x:v>
      </x:c>
      <x:c r="K1941" s="39" t="str">
        <x:v>تطبیق احتمالی با پایه</x:v>
      </x:c>
      <x:c r="L1941" s="39" t="str">
        <x:v>MI-0923</x:v>
      </x:c>
      <x:c r="M1941" s="39" t="str">
        <x:v>اسپری فوم لا درز لوله ها</x:v>
      </x:c>
      <x:c r="N1941" s="39" t="str">
        <x:v>1154878548.docx::P6519.1 | 1154878548.docx::P6887.1</x:v>
      </x:c>
      <x:c r="O1941" s="39"/>
    </x:row>
    <x:row r="1942">
      <x:c r="A1942" s="34" t="str">
        <x:v>☐</x:v>
      </x:c>
      <x:c r="B1942" s="34" t="str">
        <x:v>EX-1914</x:v>
      </x:c>
      <x:c r="C1942" s="34" t="str">
        <x:v>فویل      آلومینیومی، ظروف آلومینیومی یکبار مصرف، ورق آلومینیوم، درب ظروف آلومینیومی</x:v>
      </x:c>
      <x:c r="D1942" s="34" t="str">
        <x:v>POSSIBLE</x:v>
      </x:c>
      <x:c r="E1942" s="34" t="str">
        <x:v>85.5</x:v>
      </x:c>
      <x:c r="F1942" s="34" t="str">
        <x:v>MI-0910</x:v>
      </x:c>
      <x:c r="G1942" s="39" t="str">
        <x:v>چاپ و نصب اطلاعیه برای نزاشتن ظروف روی سینک های آشپزخانه جهت سهولت نظافت خدماتی ها و هچنین استفاده از فضا برای دیگر دوستان</x:v>
      </x:c>
      <x:c r="H1942" s="39" t="str">
        <x:v>H11</x:v>
      </x:c>
      <x:c r="I1942" s="39" t="str">
        <x:v>DELEGATE/P2</x:v>
      </x:c>
      <x:c r="J1942" s="39" t="str">
        <x:v>H11</x:v>
      </x:c>
      <x:c r="K1942" s="39" t="str">
        <x:v>تطبیق احتمالی با پایه</x:v>
      </x:c>
      <x:c r="L1942" s="39" t="str">
        <x:v>MI-0910</x:v>
      </x:c>
      <x:c r="M1942" s="39" t="str">
        <x:v>چاپ و نصب اطلاعیه برای نزاشتن ظروف روی سینک های آشپزخانه جهت سهولت نظافت خدماتی ها و هچنین استفاده از فضا برای دیگر دوستان</x:v>
      </x:c>
      <x:c r="N1942" s="39" t="str">
        <x:v>1154878548.docx::P6520.1 | 1154878548.docx::P6888.1</x:v>
      </x:c>
      <x:c r="O1942" s="39"/>
    </x:row>
    <x:row r="1943">
      <x:c r="A1943" s="34" t="str">
        <x:v>☐</x:v>
      </x:c>
      <x:c r="B1943" s="34" t="str">
        <x:v>EX-1915</x:v>
      </x:c>
      <x:c r="C1943" s="34" t="str">
        <x:v>ضایعات      فلزی (آهن، مس، برنج، آلومینیوم، سرب، روی، قلع، استیل، طلا، نقره)</x:v>
      </x:c>
      <x:c r="D1943" s="34" t="str">
        <x:v>POSSIBLE</x:v>
      </x:c>
      <x:c r="E1943" s="34" t="str">
        <x:v>85.5</x:v>
      </x:c>
      <x:c r="F1943" s="34" t="str">
        <x:v>MI-1258</x:v>
      </x:c>
      <x:c r="G1943" s="39" t="str">
        <x:v>ضایعات مصالح ساختمانی</x:v>
      </x:c>
      <x:c r="H1943" s="39" t="str">
        <x:v>H12</x:v>
      </x:c>
      <x:c r="I1943" s="39" t="str">
        <x:v>P2</x:v>
      </x:c>
      <x:c r="J1943" s="39" t="str">
        <x:v>H12</x:v>
      </x:c>
      <x:c r="K1943" s="39" t="str">
        <x:v>تطبیق احتمالی با پایه</x:v>
      </x:c>
      <x:c r="L1943" s="39" t="str">
        <x:v>MI-1258</x:v>
      </x:c>
      <x:c r="M1943" s="39" t="str">
        <x:v>ضایعات مصالح ساختمانی</x:v>
      </x:c>
      <x:c r="N1943" s="39" t="str">
        <x:v>1154878548.docx::P6521.1 | 1154878548.docx::P6889.1</x:v>
      </x:c>
      <x:c r="O1943" s="39"/>
    </x:row>
    <x:row r="1944">
      <x:c r="A1944" s="34" t="str">
        <x:v>☐</x:v>
      </x:c>
      <x:c r="B1944" s="34" t="str">
        <x:v>EX-1916</x:v>
      </x:c>
      <x:c r="C1944" s="34" t="str">
        <x:v>لولههای      فلزی (آهن، مس، استیل، گالوانیزه، لولههای آب و گاز)</x:v>
      </x:c>
      <x:c r="D1944" s="34" t="str">
        <x:v>POSSIBLE</x:v>
      </x:c>
      <x:c r="E1944" s="34" t="str">
        <x:v>85.5</x:v>
      </x:c>
      <x:c r="F1944" s="34" t="str">
        <x:v>MI-0029</x:v>
      </x:c>
      <x:c r="G1944" s="39" t="str">
        <x:v>تدریس ریاضی و فیزیک</x:v>
      </x:c>
      <x:c r="H1944" s="39" t="str">
        <x:v>H1</x:v>
      </x:c>
      <x:c r="I1944" s="39" t="str">
        <x:v>P0</x:v>
      </x:c>
      <x:c r="J1944" s="39" t="str">
        <x:v>H1</x:v>
      </x:c>
      <x:c r="K1944" s="39" t="str">
        <x:v>تطبیق احتمالی با پایه</x:v>
      </x:c>
      <x:c r="L1944" s="39" t="str">
        <x:v>MI-0029</x:v>
      </x:c>
      <x:c r="M1944" s="39" t="str">
        <x:v>تدریس ریاضی و فیزیک</x:v>
      </x:c>
      <x:c r="N1944" s="39" t="str">
        <x:v>1154878548.docx::P6522.1 | 1154878548.docx::P6890.1</x:v>
      </x:c>
      <x:c r="O1944" s="39"/>
    </x:row>
    <x:row r="1945">
      <x:c r="A1945" s="34" t="str">
        <x:v>☐</x:v>
      </x:c>
      <x:c r="B1945" s="34" t="str">
        <x:v>EX-1917</x:v>
      </x:c>
      <x:c r="C1945" s="34" t="str">
        <x:v>سیم      و کابل فلزی (برق، تلفن، شبکه، کابلهای خودرو)</x:v>
      </x:c>
      <x:c r="D1945" s="34" t="str">
        <x:v>POSSIBLE</x:v>
      </x:c>
      <x:c r="E1945" s="34" t="str">
        <x:v>85.5</x:v>
      </x:c>
      <x:c r="F1945" s="34" t="str">
        <x:v>MI-0029</x:v>
      </x:c>
      <x:c r="G1945" s="39" t="str">
        <x:v>تدریس ریاضی و فیزیک</x:v>
      </x:c>
      <x:c r="H1945" s="39" t="str">
        <x:v>H1</x:v>
      </x:c>
      <x:c r="I1945" s="39" t="str">
        <x:v>P0</x:v>
      </x:c>
      <x:c r="J1945" s="39" t="str">
        <x:v>H1</x:v>
      </x:c>
      <x:c r="K1945" s="39" t="str">
        <x:v>تطبیق احتمالی با پایه</x:v>
      </x:c>
      <x:c r="L1945" s="39" t="str">
        <x:v>MI-0029</x:v>
      </x:c>
      <x:c r="M1945" s="39" t="str">
        <x:v>تدریس ریاضی و فیزیک</x:v>
      </x:c>
      <x:c r="N1945" s="39" t="str">
        <x:v>1154878548.docx::P6523.1 | 1154878548.docx::P6891.1</x:v>
      </x:c>
      <x:c r="O1945" s="39"/>
    </x:row>
    <x:row r="1946">
      <x:c r="A1946" s="34" t="str">
        <x:v>☐</x:v>
      </x:c>
      <x:c r="B1946" s="34" t="str">
        <x:v>EX-1918</x:v>
      </x:c>
      <x:c r="C1946" s="34" t="str">
        <x:v>لوازم      خانگی فلزی (یخچال، ماشین لباسشویی، اجاق گاز، کولر، مایکروویو)</x:v>
      </x:c>
      <x:c r="D1946" s="34" t="str">
        <x:v>POSSIBLE</x:v>
      </x:c>
      <x:c r="E1946" s="34" t="str">
        <x:v>85.5</x:v>
      </x:c>
      <x:c r="F1946" s="34" t="str">
        <x:v>MI-1357</x:v>
      </x:c>
      <x:c r="G1946" s="39" t="str">
        <x:v>بازیافت تایر، یک نمونه کلاسیک از فرایند بازیافت ثانویه است که طی آن، تایر به لاستیک تبدیل می شود و مجددا در تولید محصولات لاستیکی دیگر، به کار گرفته می رود. از آنجا که در این روش، هیچ تغییر شیمیایی دیگری برای به کارگیری محصول بازیافتی، مورد نیاز نیست، ماشین آلات مناسب می توانند لاستیک استفاده شده را مستقیماً به مواد قابل استفاده تبدیل کنند.</x:v>
      </x:c>
      <x:c r="H1946" s="39" t="str">
        <x:v>H12</x:v>
      </x:c>
      <x:c r="I1946" s="39" t="str">
        <x:v>P2</x:v>
      </x:c>
      <x:c r="J1946" s="39" t="str">
        <x:v>H12</x:v>
      </x:c>
      <x:c r="K1946" s="39" t="str">
        <x:v>تطبیق احتمالی با پایه</x:v>
      </x:c>
      <x:c r="L1946" s="39" t="str">
        <x:v>MI-1357</x:v>
      </x:c>
      <x:c r="M1946" s="39" t="str">
        <x:v>بازیافت تایر، یک نمونه کلاسیک از فرایند بازیافت ثانویه است که طی آن، تایر به لاستیک تبدیل می شود و مجددا در تولید محصولات لاستیکی دیگر، به کار گرفته می رود. از آنجا که در این روش، هیچ تغییر شیمیایی دیگری برای به کارگیری محصول بازیافتی، مورد نیاز نیست، ماشین آلات مناسب می توانند لاستیک استفاده شده را مستقیماً به مواد قابل استفاده تبدیل کنند.</x:v>
      </x:c>
      <x:c r="N1946" s="39" t="str">
        <x:v>1154878548.docx::P6524.1 | 1154878548.docx::P6892.1</x:v>
      </x:c>
      <x:c r="O1946" s="39"/>
    </x:row>
    <x:row r="1947">
      <x:c r="A1947" s="34" t="str">
        <x:v>☐</x:v>
      </x:c>
      <x:c r="B1947" s="34" t="str">
        <x:v>EX-1919</x:v>
      </x:c>
      <x:c r="C1947" s="34" t="str">
        <x:v>ضایعات      خودرو (بدنه، قطعات، رینگ، لاستیک فلزی، باتری خودرو)</x:v>
      </x:c>
      <x:c r="D1947" s="34" t="str">
        <x:v>POSSIBLE</x:v>
      </x:c>
      <x:c r="E1947" s="34" t="str">
        <x:v>85.5</x:v>
      </x:c>
      <x:c r="F1947" s="34" t="str">
        <x:v>MI-1258</x:v>
      </x:c>
      <x:c r="G1947" s="39" t="str">
        <x:v>ضایعات مصالح ساختمانی</x:v>
      </x:c>
      <x:c r="H1947" s="39" t="str">
        <x:v>H12</x:v>
      </x:c>
      <x:c r="I1947" s="39" t="str">
        <x:v>P2</x:v>
      </x:c>
      <x:c r="J1947" s="39" t="str">
        <x:v>H12</x:v>
      </x:c>
      <x:c r="K1947" s="39" t="str">
        <x:v>تطبیق احتمالی با پایه</x:v>
      </x:c>
      <x:c r="L1947" s="39" t="str">
        <x:v>MI-1258</x:v>
      </x:c>
      <x:c r="M1947" s="39" t="str">
        <x:v>ضایعات مصالح ساختمانی</x:v>
      </x:c>
      <x:c r="N1947" s="39" t="str">
        <x:v>1154878548.docx::P6525.1 | 1154878548.docx::P6893.1</x:v>
      </x:c>
      <x:c r="O1947" s="39"/>
    </x:row>
    <x:row r="1948">
      <x:c r="A1948" s="34" t="str">
        <x:v>☐</x:v>
      </x:c>
      <x:c r="B1948" s="34" t="str">
        <x:v>EX-1920</x:v>
      </x:c>
      <x:c r="C1948" s="34" t="str">
        <x:v>باتریهای      فلزی (قلمی، کتابی، دکمهای، خودرو، موتورسیکلت، باتریهای صنعتی)</x:v>
      </x:c>
      <x:c r="D1948" s="34" t="str">
        <x:v>POSSIBLE</x:v>
      </x:c>
      <x:c r="E1948" s="34" t="str">
        <x:v>85.5</x:v>
      </x:c>
      <x:c r="F1948" s="34" t="str">
        <x:v>MI-0441</x:v>
      </x:c>
      <x:c r="G1948" s="39" t="str">
        <x:v>دوره علمی صنعتی افرا</x:v>
      </x:c>
      <x:c r="H1948" s="39" t="str">
        <x:v>H9</x:v>
      </x:c>
      <x:c r="I1948" s="39" t="str">
        <x:v>BANK</x:v>
      </x:c>
      <x:c r="J1948" s="39" t="str">
        <x:v>H9</x:v>
      </x:c>
      <x:c r="K1948" s="39" t="str">
        <x:v>تطبیق احتمالی با پایه</x:v>
      </x:c>
      <x:c r="L1948" s="39" t="str">
        <x:v>MI-0441</x:v>
      </x:c>
      <x:c r="M1948" s="39" t="str">
        <x:v>دوره علمی صنعتی افرا</x:v>
      </x:c>
      <x:c r="N1948" s="39" t="str">
        <x:v>1154878548.docx::P6526.1 | 1154878548.docx::P6894.1</x:v>
      </x:c>
      <x:c r="O1948" s="39"/>
    </x:row>
    <x:row r="1949">
      <x:c r="A1949" s="34" t="str">
        <x:v>☐</x:v>
      </x:c>
      <x:c r="B1949" s="34" t="str">
        <x:v>EX-1921</x:v>
      </x:c>
      <x:c r="C1949" s="34" t="str">
        <x:v>انواع      پیچ و مهره فلزی، میخ، پرچ، بست، سیم خاردار، توری فلزی</x:v>
      </x:c>
      <x:c r="D1949" s="34" t="str">
        <x:v>POSSIBLE</x:v>
      </x:c>
      <x:c r="E1949" s="34" t="str">
        <x:v>85.5</x:v>
      </x:c>
      <x:c r="F1949" s="34" t="str">
        <x:v>MI-0023</x:v>
      </x:c>
      <x:c r="G1949" s="39" t="str">
        <x:v>برنامه ریزی دقیق و علمگرا هییت دانشگاه</x:v>
      </x:c>
      <x:c r="H1949" s="39" t="str">
        <x:v>H1</x:v>
      </x:c>
      <x:c r="I1949" s="39" t="str">
        <x:v>P0</x:v>
      </x:c>
      <x:c r="J1949" s="39" t="str">
        <x:v>H1</x:v>
      </x:c>
      <x:c r="K1949" s="39" t="str">
        <x:v>تطبیق احتمالی با پایه</x:v>
      </x:c>
      <x:c r="L1949" s="39" t="str">
        <x:v>MI-0023</x:v>
      </x:c>
      <x:c r="M1949" s="39" t="str">
        <x:v>برنامه ریزی دقیق و علمگرا هییت دانشگاه</x:v>
      </x:c>
      <x:c r="N1949" s="39" t="str">
        <x:v>1154878548.docx::P6527.1 | 1154878548.docx::P6895.1</x:v>
      </x:c>
      <x:c r="O1949" s="39"/>
    </x:row>
    <x:row r="1950">
      <x:c r="A1950" s="34" t="str">
        <x:v>☐</x:v>
      </x:c>
      <x:c r="B1950" s="34" t="str">
        <x:v>EX-1922</x:v>
      </x:c>
      <x:c r="C1950" s="34" t="str">
        <x:v>ابزارآلات      فلزی (آچار، انبردست، چکش، پیچگوشتی، اره، مته)</x:v>
      </x:c>
      <x:c r="D1950" s="34" t="str">
        <x:v>UNMAPPED</x:v>
      </x:c>
      <x:c r="E1950" s="34" t="str">
        <x:v>75.0</x:v>
      </x:c>
      <x:c r="F1950" s="34" t="str">
        <x:v>MI-2970</x:v>
      </x:c>
      <x:c r="G1950" s="39" t="str">
        <x:v>ابزارها:</x:v>
      </x:c>
      <x:c r="H1950" s="39" t="str">
        <x:v>H20</x:v>
      </x:c>
      <x:c r="I1950" s="39" t="str">
        <x:v>P3/CLARIFY</x:v>
      </x:c>
      <x:c r="J1950" s="39" t="str">
        <x:v>H23</x:v>
      </x:c>
      <x:c r="K1950" s="39" t="str">
        <x:v>نیازمند پالایش؛ حذف نشده</x:v>
      </x:c>
      <x:c r="L1950" s="39"/>
      <x:c r="M1950" s="39"/>
      <x:c r="N1950" s="39" t="str">
        <x:v>1154878548.docx::P6528.1 | 1154878548.docx::P6896.1</x:v>
      </x:c>
      <x:c r="O1950" s="39"/>
    </x:row>
    <x:row r="1951">
      <x:c r="A1951" s="34" t="str">
        <x:v>☐</x:v>
      </x:c>
      <x:c r="B1951" s="34" t="str">
        <x:v>EX-1923</x:v>
      </x:c>
      <x:c r="C1951" s="34" t="str">
        <x:v>ظروف      فلزی آشپزخانه (قابلمه، تابه، قاشق، چنگال، چاقو، آبکش)</x:v>
      </x:c>
      <x:c r="D1951" s="34" t="str">
        <x:v>POSSIBLE</x:v>
      </x:c>
      <x:c r="E1951" s="34" t="str">
        <x:v>85.5</x:v>
      </x:c>
      <x:c r="F1951" s="34" t="str">
        <x:v>MI-0910</x:v>
      </x:c>
      <x:c r="G1951" s="39" t="str">
        <x:v>چاپ و نصب اطلاعیه برای نزاشتن ظروف روی سینک های آشپزخانه جهت سهولت نظافت خدماتی ها و هچنین استفاده از فضا برای دیگر دوستان</x:v>
      </x:c>
      <x:c r="H1951" s="39" t="str">
        <x:v>H11</x:v>
      </x:c>
      <x:c r="I1951" s="39" t="str">
        <x:v>DELEGATE/P2</x:v>
      </x:c>
      <x:c r="J1951" s="39" t="str">
        <x:v>H11</x:v>
      </x:c>
      <x:c r="K1951" s="39" t="str">
        <x:v>تطبیق احتمالی با پایه</x:v>
      </x:c>
      <x:c r="L1951" s="39" t="str">
        <x:v>MI-0910</x:v>
      </x:c>
      <x:c r="M1951" s="39" t="str">
        <x:v>چاپ و نصب اطلاعیه برای نزاشتن ظروف روی سینک های آشپزخانه جهت سهولت نظافت خدماتی ها و هچنین استفاده از فضا برای دیگر دوستان</x:v>
      </x:c>
      <x:c r="N1951" s="39" t="str">
        <x:v>1154878548.docx::P6529.1 | 1154878548.docx::P6897.1</x:v>
      </x:c>
      <x:c r="O1951" s="39"/>
    </x:row>
    <x:row r="1952">
      <x:c r="A1952" s="34" t="str">
        <x:v>☐</x:v>
      </x:c>
      <x:c r="B1952" s="34" t="str">
        <x:v>EX-1924</x:v>
      </x:c>
      <x:c r="C1952" s="34" t="str">
        <x:v>انواع      شیرآلات فلزی، لولههای فلزی، اتصالات فلزی</x:v>
      </x:c>
      <x:c r="D1952" s="34" t="str">
        <x:v>POSSIBLE</x:v>
      </x:c>
      <x:c r="E1952" s="34" t="str">
        <x:v>85.5</x:v>
      </x:c>
      <x:c r="F1952" s="34" t="str">
        <x:v>MI-2748</x:v>
      </x:c>
      <x:c r="G1952" s="39" t="str">
        <x:v>انواع EiR</x:v>
      </x:c>
      <x:c r="H1952" s="39" t="str">
        <x:v>H10</x:v>
      </x:c>
      <x:c r="I1952" s="39" t="str">
        <x:v>P2</x:v>
      </x:c>
      <x:c r="J1952" s="39" t="str">
        <x:v>H10</x:v>
      </x:c>
      <x:c r="K1952" s="39" t="str">
        <x:v>تطبیق احتمالی با پایه</x:v>
      </x:c>
      <x:c r="L1952" s="39" t="str">
        <x:v>MI-2748</x:v>
      </x:c>
      <x:c r="M1952" s="39" t="str">
        <x:v>انواع EiR</x:v>
      </x:c>
      <x:c r="N1952" s="39" t="str">
        <x:v>1154878548.docx::P6530.1 | 1154878548.docx::P6898.1</x:v>
      </x:c>
      <x:c r="O1952" s="39"/>
    </x:row>
    <x:row r="1953">
      <x:c r="A1953" s="34" t="str">
        <x:v>☐</x:v>
      </x:c>
      <x:c r="B1953" s="34" t="str">
        <x:v>EX-1925</x:v>
      </x:c>
      <x:c r="C1953" s="34" t="str">
        <x:v>انواع      نردههای فلزی، حفاظ فلزی، درب فلزی، پنجره فلزی</x:v>
      </x:c>
      <x:c r="D1953" s="34" t="str">
        <x:v>POSSIBLE</x:v>
      </x:c>
      <x:c r="E1953" s="34" t="str">
        <x:v>85.5</x:v>
      </x:c>
      <x:c r="F1953" s="34" t="str">
        <x:v>MI-2748</x:v>
      </x:c>
      <x:c r="G1953" s="39" t="str">
        <x:v>انواع EiR</x:v>
      </x:c>
      <x:c r="H1953" s="39" t="str">
        <x:v>H10</x:v>
      </x:c>
      <x:c r="I1953" s="39" t="str">
        <x:v>P2</x:v>
      </x:c>
      <x:c r="J1953" s="39" t="str">
        <x:v>H10</x:v>
      </x:c>
      <x:c r="K1953" s="39" t="str">
        <x:v>تطبیق احتمالی با پایه</x:v>
      </x:c>
      <x:c r="L1953" s="39" t="str">
        <x:v>MI-2748</x:v>
      </x:c>
      <x:c r="M1953" s="39" t="str">
        <x:v>انواع EiR</x:v>
      </x:c>
      <x:c r="N1953" s="39" t="str">
        <x:v>1154878548.docx::P6531.1 | 1154878548.docx::P6899.1</x:v>
      </x:c>
      <x:c r="O1953" s="39"/>
    </x:row>
    <x:row r="1954">
      <x:c r="A1954" s="34" t="str">
        <x:v>☐</x:v>
      </x:c>
      <x:c r="B1954" s="34" t="str">
        <x:v>EX-1926</x:v>
      </x:c>
      <x:c r="C1954" s="34" t="str">
        <x:v>انواع      توری فلزی، ورق فلزی، میلگرد، نبشی، ناودان فلزی</x:v>
      </x:c>
      <x:c r="D1954" s="34" t="str">
        <x:v>POSSIBLE</x:v>
      </x:c>
      <x:c r="E1954" s="34" t="str">
        <x:v>85.5</x:v>
      </x:c>
      <x:c r="F1954" s="34" t="str">
        <x:v>MI-2748</x:v>
      </x:c>
      <x:c r="G1954" s="39" t="str">
        <x:v>انواع EiR</x:v>
      </x:c>
      <x:c r="H1954" s="39" t="str">
        <x:v>H10</x:v>
      </x:c>
      <x:c r="I1954" s="39" t="str">
        <x:v>P2</x:v>
      </x:c>
      <x:c r="J1954" s="39" t="str">
        <x:v>H10</x:v>
      </x:c>
      <x:c r="K1954" s="39" t="str">
        <x:v>تطبیق احتمالی با پایه</x:v>
      </x:c>
      <x:c r="L1954" s="39" t="str">
        <x:v>MI-2748</x:v>
      </x:c>
      <x:c r="M1954" s="39" t="str">
        <x:v>انواع EiR</x:v>
      </x:c>
      <x:c r="N1954" s="39" t="str">
        <x:v>1154878548.docx::P6532.1 | 1154878548.docx::P6900.1</x:v>
      </x:c>
      <x:c r="O1954" s="39"/>
    </x:row>
    <x:row r="1955">
      <x:c r="A1955" s="34" t="str">
        <x:v>☐</x:v>
      </x:c>
      <x:c r="B1955" s="34" t="str">
        <x:v>EX-1927</x:v>
      </x:c>
      <x:c r="C1955" s="34" t="str">
        <x:v>انواع      کلید و قفل فلزی</x:v>
      </x:c>
      <x:c r="D1955" s="34" t="str">
        <x:v>POSSIBLE</x:v>
      </x:c>
      <x:c r="E1955" s="34" t="str">
        <x:v>90.0</x:v>
      </x:c>
      <x:c r="F1955" s="34" t="str">
        <x:v>MI-0888</x:v>
      </x:c>
      <x:c r="G1955" s="39" t="str">
        <x:v>کلی</x:v>
      </x:c>
      <x:c r="H1955" s="39" t="str">
        <x:v>H11</x:v>
      </x:c>
      <x:c r="I1955" s="39" t="str">
        <x:v>DELEGATE/P2</x:v>
      </x:c>
      <x:c r="J1955" s="39" t="str">
        <x:v>H11</x:v>
      </x:c>
      <x:c r="K1955" s="39" t="str">
        <x:v>تطبیق احتمالی با پایه</x:v>
      </x:c>
      <x:c r="L1955" s="39" t="str">
        <x:v>MI-0888</x:v>
      </x:c>
      <x:c r="M1955" s="39" t="str">
        <x:v>کلی</x:v>
      </x:c>
      <x:c r="N1955" s="39" t="str">
        <x:v>1154878548.docx::P6533.1 | 1154878548.docx::P6901.1</x:v>
      </x:c>
      <x:c r="O1955" s="39"/>
    </x:row>
    <x:row r="1956">
      <x:c r="A1956" s="34" t="str">
        <x:v>☐</x:v>
      </x:c>
      <x:c r="B1956" s="34" t="str">
        <x:v>EX-1928</x:v>
      </x:c>
      <x:c r="C1956" s="34" t="str">
        <x:v>انواع      فنر های فلزی</x:v>
      </x:c>
      <x:c r="D1956" s="34" t="str">
        <x:v>POSSIBLE</x:v>
      </x:c>
      <x:c r="E1956" s="34" t="str">
        <x:v>85.5</x:v>
      </x:c>
      <x:c r="F1956" s="34" t="str">
        <x:v>MI-1501</x:v>
      </x:c>
      <x:c r="G1956" s="39" t="str">
        <x:v>مدیریت ریسک: شناسایی ریسک ها، ارزیابی اثرات، تدوین برنامه های مقابله با ریسک ها.</x:v>
      </x:c>
      <x:c r="H1956" s="39" t="str">
        <x:v>H1</x:v>
      </x:c>
      <x:c r="I1956" s="39" t="str">
        <x:v>P0</x:v>
      </x:c>
      <x:c r="J1956" s="39" t="str">
        <x:v>H1</x:v>
      </x:c>
      <x:c r="K1956" s="39" t="str">
        <x:v>تطبیق احتمالی با پایه</x:v>
      </x:c>
      <x:c r="L1956" s="39" t="str">
        <x:v>MI-1501</x:v>
      </x:c>
      <x:c r="M1956" s="39" t="str">
        <x:v>مدیریت ریسک: شناسایی ریسک ها، ارزیابی اثرات، تدوین برنامه های مقابله با ریسک ها.</x:v>
      </x:c>
      <x:c r="N1956" s="39" t="str">
        <x:v>1154878548.docx::P6534.1 | 1154878548.docx::P6902.1</x:v>
      </x:c>
      <x:c r="O1956" s="39"/>
    </x:row>
    <x:row r="1957">
      <x:c r="A1957" s="34" t="str">
        <x:v>☐</x:v>
      </x:c>
      <x:c r="B1957" s="34" t="str">
        <x:v>EX-1929</x:v>
      </x:c>
      <x:c r="C1957" s="34" t="str">
        <x:v>انواع      زنجیر های فلزی</x:v>
      </x:c>
      <x:c r="D1957" s="34" t="str">
        <x:v>POSSIBLE</x:v>
      </x:c>
      <x:c r="E1957" s="34" t="str">
        <x:v>85.5</x:v>
      </x:c>
      <x:c r="F1957" s="34" t="str">
        <x:v>MI-1501</x:v>
      </x:c>
      <x:c r="G1957" s="39" t="str">
        <x:v>مدیریت ریسک: شناسایی ریسک ها، ارزیابی اثرات، تدوین برنامه های مقابله با ریسک ها.</x:v>
      </x:c>
      <x:c r="H1957" s="39" t="str">
        <x:v>H1</x:v>
      </x:c>
      <x:c r="I1957" s="39" t="str">
        <x:v>P0</x:v>
      </x:c>
      <x:c r="J1957" s="39" t="str">
        <x:v>H1</x:v>
      </x:c>
      <x:c r="K1957" s="39" t="str">
        <x:v>تطبیق احتمالی با پایه</x:v>
      </x:c>
      <x:c r="L1957" s="39" t="str">
        <x:v>MI-1501</x:v>
      </x:c>
      <x:c r="M1957" s="39" t="str">
        <x:v>مدیریت ریسک: شناسایی ریسک ها، ارزیابی اثرات، تدوین برنامه های مقابله با ریسک ها.</x:v>
      </x:c>
      <x:c r="N1957" s="39" t="str">
        <x:v>1154878548.docx::P6535.1 | 1154878548.docx::P6903.1</x:v>
      </x:c>
      <x:c r="O1957" s="39"/>
    </x:row>
    <x:row r="1958">
      <x:c r="A1958" s="34" t="str">
        <x:v>☐</x:v>
      </x:c>
      <x:c r="B1958" s="34" t="str">
        <x:v>EX-1930</x:v>
      </x:c>
      <x:c r="C1958" s="34" t="str">
        <x:v>انواع      قفل و کلید های فلزی</x:v>
      </x:c>
      <x:c r="D1958" s="34" t="str">
        <x:v>POSSIBLE</x:v>
      </x:c>
      <x:c r="E1958" s="34" t="str">
        <x:v>85.5</x:v>
      </x:c>
      <x:c r="F1958" s="34" t="str">
        <x:v>MI-1501</x:v>
      </x:c>
      <x:c r="G1958" s="39" t="str">
        <x:v>مدیریت ریسک: شناسایی ریسک ها، ارزیابی اثرات، تدوین برنامه های مقابله با ریسک ها.</x:v>
      </x:c>
      <x:c r="H1958" s="39" t="str">
        <x:v>H1</x:v>
      </x:c>
      <x:c r="I1958" s="39" t="str">
        <x:v>P0</x:v>
      </x:c>
      <x:c r="J1958" s="39" t="str">
        <x:v>H1</x:v>
      </x:c>
      <x:c r="K1958" s="39" t="str">
        <x:v>تطبیق احتمالی با پایه</x:v>
      </x:c>
      <x:c r="L1958" s="39" t="str">
        <x:v>MI-1501</x:v>
      </x:c>
      <x:c r="M1958" s="39" t="str">
        <x:v>مدیریت ریسک: شناسایی ریسک ها، ارزیابی اثرات، تدوین برنامه های مقابله با ریسک ها.</x:v>
      </x:c>
      <x:c r="N1958" s="39" t="str">
        <x:v>1154878548.docx::P6536.1 | 1154878548.docx::P6904.1</x:v>
      </x:c>
      <x:c r="O1958" s="39"/>
    </x:row>
    <x:row r="1959">
      <x:c r="A1959" s="34" t="str">
        <x:v>☐</x:v>
      </x:c>
      <x:c r="B1959" s="34" t="str">
        <x:v>EX-1931</x:v>
      </x:c>
      <x:c r="C1959" s="34" t="str">
        <x:v>4. شیشه:</x:v>
      </x:c>
      <x:c r="D1959" s="34" t="str">
        <x:v>POSSIBLE</x:v>
      </x:c>
      <x:c r="E1959" s="34" t="str">
        <x:v>90.0</x:v>
      </x:c>
      <x:c r="F1959" s="34" t="str">
        <x:v>MI-1282</x:v>
      </x:c>
      <x:c r="G1959" s="39" t="str">
        <x:v>شیشه</x:v>
      </x:c>
      <x:c r="H1959" s="39" t="str">
        <x:v>H12</x:v>
      </x:c>
      <x:c r="I1959" s="39" t="str">
        <x:v>P2</x:v>
      </x:c>
      <x:c r="J1959" s="39" t="str">
        <x:v>H12</x:v>
      </x:c>
      <x:c r="K1959" s="39" t="str">
        <x:v>تطبیق احتمالی با پایه</x:v>
      </x:c>
      <x:c r="L1959" s="39" t="str">
        <x:v>MI-1282</x:v>
      </x:c>
      <x:c r="M1959" s="39" t="str">
        <x:v>شیشه</x:v>
      </x:c>
      <x:c r="N1959" s="39" t="str">
        <x:v>1154878548.docx::P6537.1 | 1154878548.docx::P6905.1</x:v>
      </x:c>
      <x:c r="O1959" s="39"/>
    </x:row>
    <x:row r="1960">
      <x:c r="A1960" s="34" t="str">
        <x:v>☐</x:v>
      </x:c>
      <x:c r="B1960" s="34" t="str">
        <x:v>EX-1932</x:v>
      </x:c>
      <x:c r="C1960" s="34" t="str">
        <x:v>بطریهای      شیشهای (نوشیدنی، مربا، سس، روغن، عرقیجات، شربت، دارو)</x:v>
      </x:c>
      <x:c r="D1960" s="34" t="str">
        <x:v>POSSIBLE</x:v>
      </x:c>
      <x:c r="E1960" s="34" t="str">
        <x:v>85.5</x:v>
      </x:c>
      <x:c r="F1960" s="34" t="str">
        <x:v>MI-1369</x:v>
      </x:c>
      <x:c r="G1960" s="39" t="str">
        <x:v>پلاستیک HDPE (مخفف High-Density Polyethylene) پلاستیک سفتی است که برای ساخت بطری های شیر، بطری های مواد شوینده و بطری های روغن، اسباب بازی ها و برخی کیسه های پلاستیکی استفاده می شود. HDPE رایج ترین پلاستیک بازیافتی است و یکی از ایمن ترین پلاستیک ها به حساب می آید. بازیافت پلاستیک HDPE برای استفاده ثانویه، یک فرایند نسبتاً ساده و مقرون به صرفه است.</x:v>
      </x:c>
      <x:c r="H1960" s="39" t="str">
        <x:v>H12</x:v>
      </x:c>
      <x:c r="I1960" s="39" t="str">
        <x:v>P2</x:v>
      </x:c>
      <x:c r="J1960" s="39" t="str">
        <x:v>H12</x:v>
      </x:c>
      <x:c r="K1960" s="39" t="str">
        <x:v>تطبیق احتمالی با پایه</x:v>
      </x:c>
      <x:c r="L1960" s="39" t="str">
        <x:v>MI-1369</x:v>
      </x:c>
      <x:c r="M1960" s="39" t="str">
        <x:v>پلاستیک HDPE (مخفف High-Density Polyethylene) پلاستیک سفتی است که برای ساخت بطری های شیر، بطری های مواد شوینده و بطری های روغن، اسباب بازی ها و برخی کیسه های پلاستیکی استفاده می شود. HDPE رایج ترین پلاستیک بازیافتی است و یکی از ایمن ترین پلاستیک ها به حساب می آید. بازیافت پلاستیک HDPE برای استفاده ثانویه، یک فرایند نسبتاً ساده و مقرون به صرفه است.</x:v>
      </x:c>
      <x:c r="N1960" s="39" t="str">
        <x:v>1154878548.docx::P6538.1 | 1154878548.docx::P6906.1</x:v>
      </x:c>
      <x:c r="O1960" s="39"/>
    </x:row>
    <x:row r="1961">
      <x:c r="A1961" s="34" t="str">
        <x:v>☐</x:v>
      </x:c>
      <x:c r="B1961" s="34" t="str">
        <x:v>EX-1933</x:v>
      </x:c>
      <x:c r="C1961" s="34" t="str">
        <x:v>ظروف      شیشهای مواد غذایی و دارویی (شربت، آمپول، ویال، شیشه سرم)</x:v>
      </x:c>
      <x:c r="D1961" s="34" t="str">
        <x:v>POSSIBLE</x:v>
      </x:c>
      <x:c r="E1961" s="34" t="str">
        <x:v>86.1</x:v>
      </x:c>
      <x:c r="F1961" s="34" t="str">
        <x:v>MI-1343</x:v>
      </x:c>
      <x:c r="G1961" s="39" t="str">
        <x:v>ظروف شیشه ای</x:v>
      </x:c>
      <x:c r="H1961" s="39" t="str">
        <x:v>H12</x:v>
      </x:c>
      <x:c r="I1961" s="39" t="str">
        <x:v>P2</x:v>
      </x:c>
      <x:c r="J1961" s="39" t="str">
        <x:v>H12</x:v>
      </x:c>
      <x:c r="K1961" s="39" t="str">
        <x:v>تطبیق احتمالی با پایه</x:v>
      </x:c>
      <x:c r="L1961" s="39" t="str">
        <x:v>MI-1343</x:v>
      </x:c>
      <x:c r="M1961" s="39" t="str">
        <x:v>ظروف شیشه ای</x:v>
      </x:c>
      <x:c r="N1961" s="39" t="str">
        <x:v>1154878548.docx::P6539.1 | 1154878548.docx::P6907.1</x:v>
      </x:c>
      <x:c r="O1961" s="39"/>
    </x:row>
    <x:row r="1962">
      <x:c r="A1962" s="34" t="str">
        <x:v>☐</x:v>
      </x:c>
      <x:c r="B1962" s="34" t="str">
        <x:v>EX-1934</x:v>
      </x:c>
      <x:c r="C1962" s="34" t="str">
        <x:v>شیشههای      شکسته (بستهبندی ایمن)، خرده شیشه، قطعات شیشهای</x:v>
      </x:c>
      <x:c r="D1962" s="34" t="str">
        <x:v>POSSIBLE</x:v>
      </x:c>
      <x:c r="E1962" s="34" t="str">
        <x:v>85.5</x:v>
      </x:c>
      <x:c r="F1962" s="34" t="str">
        <x:v>MI-3113</x:v>
      </x:c>
      <x:c r="G1962"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1962" s="39" t="str">
        <x:v>H1</x:v>
      </x:c>
      <x:c r="I1962" s="39" t="str">
        <x:v>P0</x:v>
      </x:c>
      <x:c r="J1962" s="39" t="str">
        <x:v>H1</x:v>
      </x:c>
      <x:c r="K1962" s="39" t="str">
        <x:v>تطبیق احتمالی با پایه</x:v>
      </x:c>
      <x:c r="L1962" s="39" t="str">
        <x:v>MI-3113</x:v>
      </x:c>
      <x:c r="M1962"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N1962" s="39" t="str">
        <x:v>1154878548.docx::P6540.1 | 1154878548.docx::P6908.1</x:v>
      </x:c>
      <x:c r="O1962" s="39"/>
    </x:row>
    <x:row r="1963">
      <x:c r="A1963" s="34" t="str">
        <x:v>☐</x:v>
      </x:c>
      <x:c r="B1963" s="34" t="str">
        <x:v>EX-1935</x:v>
      </x:c>
      <x:c r="C1963" s="34" t="str">
        <x:v>شیشههای      پنجره، آینه، ویترین، میز شیشهای، درب شیشهای، پارتیشن شیشهای</x:v>
      </x:c>
      <x:c r="D1963" s="34" t="str">
        <x:v>POSSIBLE</x:v>
      </x:c>
      <x:c r="E1963" s="34" t="str">
        <x:v>85.5</x:v>
      </x:c>
      <x:c r="F1963" s="34" t="str">
        <x:v>MI-0908</x:v>
      </x:c>
      <x:c r="G1963" s="39" t="str">
        <x:v>لیست خدمات کار دانشجویی هر کدام از بلوک ها و چاپ و پرینت و نصب بر درب های ورودی ( آیدی - شماره تماس - شماره اتاق)</x:v>
      </x:c>
      <x:c r="H1963" s="39" t="str">
        <x:v>H11</x:v>
      </x:c>
      <x:c r="I1963" s="39" t="str">
        <x:v>DELEGATE/P2</x:v>
      </x:c>
      <x:c r="J1963" s="39" t="str">
        <x:v>H11</x:v>
      </x:c>
      <x:c r="K1963" s="39" t="str">
        <x:v>تطبیق احتمالی با پایه</x:v>
      </x:c>
      <x:c r="L1963" s="39" t="str">
        <x:v>MI-0908</x:v>
      </x:c>
      <x:c r="M1963" s="39" t="str">
        <x:v>لیست خدمات کار دانشجویی هر کدام از بلوک ها و چاپ و پرینت و نصب بر درب های ورودی ( آیدی - شماره تماس - شماره اتاق)</x:v>
      </x:c>
      <x:c r="N1963" s="39" t="str">
        <x:v>1154878548.docx::P6541.1 | 1154878548.docx::P6909.1</x:v>
      </x:c>
      <x:c r="O1963" s="39"/>
    </x:row>
    <x:row r="1964">
      <x:c r="A1964" s="34" t="str">
        <x:v>☐</x:v>
      </x:c>
      <x:c r="B1964" s="34" t="str">
        <x:v>EX-1936</x:v>
      </x:c>
      <x:c r="C1964" s="34" t="str">
        <x:v>لامپهای      شیشهای (کممصرف، رشتهای، فلورسنت، LED)، لامپهای خودرو</x:v>
      </x:c>
      <x:c r="D1964" s="34" t="str">
        <x:v>POSSIBLE</x:v>
      </x:c>
      <x:c r="E1964" s="34" t="str">
        <x:v>85.5</x:v>
      </x:c>
      <x:c r="F1964" s="34" t="str">
        <x:v>MI-3063</x:v>
      </x:c>
      <x:c r="G1964"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1964" s="39" t="str">
        <x:v>H1</x:v>
      </x:c>
      <x:c r="I1964" s="39" t="str">
        <x:v>P0</x:v>
      </x:c>
      <x:c r="J1964" s="39" t="str">
        <x:v>H1</x:v>
      </x:c>
      <x:c r="K1964" s="39" t="str">
        <x:v>تطبیق احتمالی با پایه</x:v>
      </x:c>
      <x:c r="L1964" s="39" t="str">
        <x:v>MI-3063</x:v>
      </x:c>
      <x:c r="M1964"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1964" s="39" t="str">
        <x:v>1154878548.docx::P6542.1 | 1154878548.docx::P6910.1</x:v>
      </x:c>
      <x:c r="O1964" s="39"/>
    </x:row>
    <x:row r="1965">
      <x:c r="A1965" s="34" t="str">
        <x:v>☐</x:v>
      </x:c>
      <x:c r="B1965" s="34" t="str">
        <x:v>EX-1937</x:v>
      </x:c>
      <x:c r="C1965" s="34" t="str">
        <x:v>ظروف      پیرکس، ظروف آزمایشگاهی شیشهای، لولههای شیشهای آزمایشگاهی</x:v>
      </x:c>
      <x:c r="D1965" s="34" t="str">
        <x:v>POSSIBLE</x:v>
      </x:c>
      <x:c r="E1965" s="34" t="str">
        <x:v>85.5</x:v>
      </x:c>
      <x:c r="F1965" s="34" t="str">
        <x:v>MI-0910</x:v>
      </x:c>
      <x:c r="G1965" s="39" t="str">
        <x:v>چاپ و نصب اطلاعیه برای نزاشتن ظروف روی سینک های آشپزخانه جهت سهولت نظافت خدماتی ها و هچنین استفاده از فضا برای دیگر دوستان</x:v>
      </x:c>
      <x:c r="H1965" s="39" t="str">
        <x:v>H11</x:v>
      </x:c>
      <x:c r="I1965" s="39" t="str">
        <x:v>DELEGATE/P2</x:v>
      </x:c>
      <x:c r="J1965" s="39" t="str">
        <x:v>H11</x:v>
      </x:c>
      <x:c r="K1965" s="39" t="str">
        <x:v>تطبیق احتمالی با پایه</x:v>
      </x:c>
      <x:c r="L1965" s="39" t="str">
        <x:v>MI-0910</x:v>
      </x:c>
      <x:c r="M1965" s="39" t="str">
        <x:v>چاپ و نصب اطلاعیه برای نزاشتن ظروف روی سینک های آشپزخانه جهت سهولت نظافت خدماتی ها و هچنین استفاده از فضا برای دیگر دوستان</x:v>
      </x:c>
      <x:c r="N1965" s="39" t="str">
        <x:v>1154878548.docx::P6543.1 | 1154878548.docx::P6911.1</x:v>
      </x:c>
      <x:c r="O1965" s="39"/>
    </x:row>
    <x:row r="1966">
      <x:c r="A1966" s="34" t="str">
        <x:v>☐</x:v>
      </x:c>
      <x:c r="B1966" s="34" t="str">
        <x:v>EX-1938</x:v>
      </x:c>
      <x:c r="C1966" s="34" t="str">
        <x:v>انواع      کریستال، ظروف کریستالی، لوستر کریستالی، مجسمههای کریستالی</x:v>
      </x:c>
      <x:c r="D1966" s="34" t="str">
        <x:v>POSSIBLE</x:v>
      </x:c>
      <x:c r="E1966" s="34" t="str">
        <x:v>85.5</x:v>
      </x:c>
      <x:c r="F1966" s="34" t="str">
        <x:v>MI-2748</x:v>
      </x:c>
      <x:c r="G1966" s="39" t="str">
        <x:v>انواع EiR</x:v>
      </x:c>
      <x:c r="H1966" s="39" t="str">
        <x:v>H10</x:v>
      </x:c>
      <x:c r="I1966" s="39" t="str">
        <x:v>P2</x:v>
      </x:c>
      <x:c r="J1966" s="39" t="str">
        <x:v>H10</x:v>
      </x:c>
      <x:c r="K1966" s="39" t="str">
        <x:v>تطبیق احتمالی با پایه</x:v>
      </x:c>
      <x:c r="L1966" s="39" t="str">
        <x:v>MI-2748</x:v>
      </x:c>
      <x:c r="M1966" s="39" t="str">
        <x:v>انواع EiR</x:v>
      </x:c>
      <x:c r="N1966" s="39" t="str">
        <x:v>1154878548.docx::P6544.1 | 1154878548.docx::P6912.1</x:v>
      </x:c>
      <x:c r="O1966" s="39"/>
    </x:row>
    <x:row r="1967">
      <x:c r="A1967" s="34" t="str">
        <x:v>☐</x:v>
      </x:c>
      <x:c r="B1967" s="34" t="str">
        <x:v>EX-1939</x:v>
      </x:c>
      <x:c r="C1967" s="34" t="str">
        <x:v>انواع      ظروف شیشه ای تزئینی</x:v>
      </x:c>
      <x:c r="D1967" s="34" t="str">
        <x:v>POSSIBLE</x:v>
      </x:c>
      <x:c r="E1967" s="34" t="str">
        <x:v>90.0</x:v>
      </x:c>
      <x:c r="F1967" s="34" t="str">
        <x:v>MI-1282</x:v>
      </x:c>
      <x:c r="G1967" s="39" t="str">
        <x:v>شیشه</x:v>
      </x:c>
      <x:c r="H1967" s="39" t="str">
        <x:v>H12</x:v>
      </x:c>
      <x:c r="I1967" s="39" t="str">
        <x:v>P2</x:v>
      </x:c>
      <x:c r="J1967" s="39" t="str">
        <x:v>H12</x:v>
      </x:c>
      <x:c r="K1967" s="39" t="str">
        <x:v>تطبیق احتمالی با پایه</x:v>
      </x:c>
      <x:c r="L1967" s="39" t="str">
        <x:v>MI-1282</x:v>
      </x:c>
      <x:c r="M1967" s="39" t="str">
        <x:v>شیشه</x:v>
      </x:c>
      <x:c r="N1967" s="39" t="str">
        <x:v>1154878548.docx::P6545.1 | 1154878548.docx::P6913.1</x:v>
      </x:c>
      <x:c r="O1967" s="39"/>
    </x:row>
    <x:row r="1968">
      <x:c r="A1968" s="34" t="str">
        <x:v>☐</x:v>
      </x:c>
      <x:c r="B1968" s="34" t="str">
        <x:v>EX-1940</x:v>
      </x:c>
      <x:c r="C1968" s="34" t="str">
        <x:v>انواع      شیشه های ازمایشگاهی</x:v>
      </x:c>
      <x:c r="D1968" s="34" t="str">
        <x:v>POSSIBLE</x:v>
      </x:c>
      <x:c r="E1968" s="34" t="str">
        <x:v>90.0</x:v>
      </x:c>
      <x:c r="F1968" s="34" t="str">
        <x:v>MI-1282</x:v>
      </x:c>
      <x:c r="G1968" s="39" t="str">
        <x:v>شیشه</x:v>
      </x:c>
      <x:c r="H1968" s="39" t="str">
        <x:v>H12</x:v>
      </x:c>
      <x:c r="I1968" s="39" t="str">
        <x:v>P2</x:v>
      </x:c>
      <x:c r="J1968" s="39" t="str">
        <x:v>H12</x:v>
      </x:c>
      <x:c r="K1968" s="39" t="str">
        <x:v>تطبیق احتمالی با پایه</x:v>
      </x:c>
      <x:c r="L1968" s="39" t="str">
        <x:v>MI-1282</x:v>
      </x:c>
      <x:c r="M1968" s="39" t="str">
        <x:v>شیشه</x:v>
      </x:c>
      <x:c r="N1968" s="39" t="str">
        <x:v>1154878548.docx::P6546.1 | 1154878548.docx::P6914.1</x:v>
      </x:c>
      <x:c r="O1968" s="39"/>
    </x:row>
    <x:row r="1969">
      <x:c r="A1969" s="34" t="str">
        <x:v>☐</x:v>
      </x:c>
      <x:c r="B1969" s="34" t="str">
        <x:v>EX-1941</x:v>
      </x:c>
      <x:c r="C1969" s="34" t="str">
        <x:v>انواع      شیشه های چراغ خودرو</x:v>
      </x:c>
      <x:c r="D1969" s="34" t="str">
        <x:v>POSSIBLE</x:v>
      </x:c>
      <x:c r="E1969" s="34" t="str">
        <x:v>90.0</x:v>
      </x:c>
      <x:c r="F1969" s="34" t="str">
        <x:v>MI-1282</x:v>
      </x:c>
      <x:c r="G1969" s="39" t="str">
        <x:v>شیشه</x:v>
      </x:c>
      <x:c r="H1969" s="39" t="str">
        <x:v>H12</x:v>
      </x:c>
      <x:c r="I1969" s="39" t="str">
        <x:v>P2</x:v>
      </x:c>
      <x:c r="J1969" s="39" t="str">
        <x:v>H12</x:v>
      </x:c>
      <x:c r="K1969" s="39" t="str">
        <x:v>تطبیق احتمالی با پایه</x:v>
      </x:c>
      <x:c r="L1969" s="39" t="str">
        <x:v>MI-1282</x:v>
      </x:c>
      <x:c r="M1969" s="39" t="str">
        <x:v>شیشه</x:v>
      </x:c>
      <x:c r="N1969" s="39" t="str">
        <x:v>1154878548.docx::P6547.1 | 1154878548.docx::P6915.1</x:v>
      </x:c>
      <x:c r="O1969" s="39"/>
    </x:row>
    <x:row r="1970">
      <x:c r="A1970" s="34" t="str">
        <x:v>☐</x:v>
      </x:c>
      <x:c r="B1970" s="34" t="str">
        <x:v>EX-1942</x:v>
      </x:c>
      <x:c r="C1970" s="34" t="str">
        <x:v>5. منسوجات:</x:v>
      </x:c>
      <x:c r="D1970" s="34" t="str">
        <x:v>POSSIBLE</x:v>
      </x:c>
      <x:c r="E1970" s="34" t="str">
        <x:v>85.5</x:v>
      </x:c>
      <x:c r="F1970" s="34" t="str">
        <x:v>MI-2324</x:v>
      </x:c>
      <x:c r="G1970" s="39" t="str">
        <x:v>5. لجستیک شمال کشور</x:v>
      </x:c>
      <x:c r="H1970" s="39" t="str">
        <x:v>H6</x:v>
      </x:c>
      <x:c r="I1970" s="39" t="str">
        <x:v>P3/CLARIFY</x:v>
      </x:c>
      <x:c r="J1970" s="39" t="str">
        <x:v>H6</x:v>
      </x:c>
      <x:c r="K1970" s="39" t="str">
        <x:v>تطبیق احتمالی با پایه</x:v>
      </x:c>
      <x:c r="L1970" s="39" t="str">
        <x:v>MI-2324</x:v>
      </x:c>
      <x:c r="M1970" s="39" t="str">
        <x:v>5. لجستیک شمال کشور</x:v>
      </x:c>
      <x:c r="N1970" s="39" t="str">
        <x:v>1154878548.docx::P6548.1 | 1154878548.docx::P6916.1</x:v>
      </x:c>
      <x:c r="O1970" s="39"/>
    </x:row>
    <x:row r="1971">
      <x:c r="A1971" s="34" t="str">
        <x:v>☐</x:v>
      </x:c>
      <x:c r="B1971" s="34" t="str">
        <x:v>EX-1943</x:v>
      </x:c>
      <x:c r="C1971" s="34" t="str">
        <x:v>لباسهای      قدیمی و کهنه (نخی، پشمی، ابریشمی، جین، چرم، مخمل، ساتن، توری)</x:v>
      </x:c>
      <x:c r="D1971" s="34" t="str">
        <x:v>POSSIBLE</x:v>
      </x:c>
      <x:c r="E1971" s="34" t="str">
        <x:v>85.5</x:v>
      </x:c>
      <x:c r="F1971" s="34" t="str">
        <x:v>MI-0023</x:v>
      </x:c>
      <x:c r="G1971" s="39" t="str">
        <x:v>برنامه ریزی دقیق و علمگرا هییت دانشگاه</x:v>
      </x:c>
      <x:c r="H1971" s="39" t="str">
        <x:v>H1</x:v>
      </x:c>
      <x:c r="I1971" s="39" t="str">
        <x:v>P0</x:v>
      </x:c>
      <x:c r="J1971" s="39" t="str">
        <x:v>H1</x:v>
      </x:c>
      <x:c r="K1971" s="39" t="str">
        <x:v>تطبیق احتمالی با پایه</x:v>
      </x:c>
      <x:c r="L1971" s="39" t="str">
        <x:v>MI-0023</x:v>
      </x:c>
      <x:c r="M1971" s="39" t="str">
        <x:v>برنامه ریزی دقیق و علمگرا هییت دانشگاه</x:v>
      </x:c>
      <x:c r="N1971" s="39" t="str">
        <x:v>1154878548.docx::P6549.1 | 1154878548.docx::P6917.1</x:v>
      </x:c>
      <x:c r="O1971" s="39"/>
    </x:row>
    <x:row r="1972">
      <x:c r="A1972" s="34" t="str">
        <x:v>☐</x:v>
      </x:c>
      <x:c r="B1972" s="34" t="str">
        <x:v>EX-1944</x:v>
      </x:c>
      <x:c r="C1972" s="34" t="str">
        <x:v>پارچههای      ضایعاتی (پرده، ملحفه، رومیزی، حوله، دستمال، دستمال سفره، دستمال گردن)</x:v>
      </x:c>
      <x:c r="D1972" s="34" t="str">
        <x:v>POSSIBLE</x:v>
      </x:c>
      <x:c r="E1972" s="34" t="str">
        <x:v>85.5</x:v>
      </x:c>
      <x:c r="F1972" s="34" t="str">
        <x:v>MI-0808</x:v>
      </x:c>
      <x:c r="G1972" s="39" t="str">
        <x:v>- نداشتن تاریخ انقضا دستمال کاغذی در سلف</x:v>
      </x:c>
      <x:c r="H1972" s="39" t="str">
        <x:v>H11</x:v>
      </x:c>
      <x:c r="I1972" s="39" t="str">
        <x:v>DELEGATE/P2</x:v>
      </x:c>
      <x:c r="J1972" s="39" t="str">
        <x:v>H11</x:v>
      </x:c>
      <x:c r="K1972" s="39" t="str">
        <x:v>تطبیق احتمالی با پایه</x:v>
      </x:c>
      <x:c r="L1972" s="39" t="str">
        <x:v>MI-0808</x:v>
      </x:c>
      <x:c r="M1972" s="39" t="str">
        <x:v>- نداشتن تاریخ انقضا دستمال کاغذی در سلف</x:v>
      </x:c>
      <x:c r="N1972" s="39" t="str">
        <x:v>1154878548.docx::P6550.1 | 1154878548.docx::P6918.1</x:v>
      </x:c>
      <x:c r="O1972" s="39"/>
    </x:row>
    <x:row r="1973">
      <x:c r="A1973" s="34" t="str">
        <x:v>☐</x:v>
      </x:c>
      <x:c r="B1973" s="34" t="str">
        <x:v>EX-1945</x:v>
      </x:c>
      <x:c r="C1973" s="34" t="str">
        <x:v>کفش      و کیف کهنه (چرم، پارچهای، پلاستیکی، ورزشی، مجلسی)</x:v>
      </x:c>
      <x:c r="D1973" s="34" t="str">
        <x:v>POSSIBLE</x:v>
      </x:c>
      <x:c r="E1973" s="34" t="str">
        <x:v>90.0</x:v>
      </x:c>
      <x:c r="F1973" s="34" t="str">
        <x:v>MI-1247</x:v>
      </x:c>
      <x:c r="G1973" s="39" t="str">
        <x:v>پلاستیک</x:v>
      </x:c>
      <x:c r="H1973" s="39" t="str">
        <x:v>H12</x:v>
      </x:c>
      <x:c r="I1973" s="39" t="str">
        <x:v>P2</x:v>
      </x:c>
      <x:c r="J1973" s="39" t="str">
        <x:v>H12</x:v>
      </x:c>
      <x:c r="K1973" s="39" t="str">
        <x:v>تطبیق احتمالی با پایه</x:v>
      </x:c>
      <x:c r="L1973" s="39" t="str">
        <x:v>MI-1247</x:v>
      </x:c>
      <x:c r="M1973" s="39" t="str">
        <x:v>پلاستیک</x:v>
      </x:c>
      <x:c r="N1973" s="39" t="str">
        <x:v>1154878548.docx::P6551.1 | 1154878548.docx::P6919.1</x:v>
      </x:c>
      <x:c r="O1973" s="39"/>
    </x:row>
    <x:row r="1974">
      <x:c r="A1974" s="34" t="str">
        <x:v>☐</x:v>
      </x:c>
      <x:c r="B1974" s="34" t="str">
        <x:v>EX-1946</x:v>
      </x:c>
      <x:c r="C1974" s="34" t="str">
        <x:v>پتو،      ملحفه، روبالشی، روتختی، لحاف، تشک، بالش، کوسن</x:v>
      </x:c>
      <x:c r="D1974" s="34" t="str">
        <x:v>POSSIBLE</x:v>
      </x:c>
      <x:c r="E1974" s="34" t="str">
        <x:v>85.5</x:v>
      </x:c>
      <x:c r="F1974" s="34" t="str">
        <x:v>MI-1365</x:v>
      </x:c>
      <x:c r="G1974" s="39" t="str">
        <x:v>پلاستیک PET قابل بازیافت است و امروزه حدود 25 درصد از بطری های PET در ایالات متحده بازیافت می شوند. این بطری های پلاستیکی، در اثر فشار، تکه تکه و خرد شده و سپس به صورت پوسته های فلسی کوچک، برای تولید بطری های جدید PET مورد فراوری قرار می گیرند یا به رشته های پلی استر تبدیل می شوند. این رشته های بازیافتی، برای ساخت منسوجاتی مانند انواع لباس، فرش، آستر بالش، جلیقه نجات و محصولات دیگر، استفاده می شود.</x:v>
      </x:c>
      <x:c r="H1974" s="39" t="str">
        <x:v>H12</x:v>
      </x:c>
      <x:c r="I1974" s="39" t="str">
        <x:v>P2</x:v>
      </x:c>
      <x:c r="J1974" s="39" t="str">
        <x:v>H12</x:v>
      </x:c>
      <x:c r="K1974" s="39" t="str">
        <x:v>تطبیق احتمالی با پایه</x:v>
      </x:c>
      <x:c r="L1974" s="39" t="str">
        <x:v>MI-1365</x:v>
      </x:c>
      <x:c r="M1974" s="39" t="str">
        <x:v>پلاستیک PET قابل بازیافت است و امروزه حدود 25 درصد از بطری های PET در ایالات متحده بازیافت می شوند. این بطری های پلاستیکی، در اثر فشار، تکه تکه و خرد شده و سپس به صورت پوسته های فلسی کوچک، برای تولید بطری های جدید PET مورد فراوری قرار می گیرند یا به رشته های پلی استر تبدیل می شوند. این رشته های بازیافتی، برای ساخت منسوجاتی مانند انواع لباس، فرش، آستر بالش، جلیقه نجات و محصولات دیگر، استفاده می شود.</x:v>
      </x:c>
      <x:c r="N1974" s="39" t="str">
        <x:v>1154878548.docx::P6552.1 | 1154878548.docx::P6920.1</x:v>
      </x:c>
      <x:c r="O1974" s="39"/>
    </x:row>
    <x:row r="1975">
      <x:c r="A1975" s="34" t="str">
        <x:v>☐</x:v>
      </x:c>
      <x:c r="B1975" s="34" t="str">
        <x:v>EX-1947</x:v>
      </x:c>
      <x:c r="C1975" s="34" t="str">
        <x:v>الیاف      و نخهای کهنه (پنبه، پشم، پلیاستر، نایلون، ابریشم)</x:v>
      </x:c>
      <x:c r="D1975" s="34" t="str">
        <x:v>POSSIBLE</x:v>
      </x:c>
      <x:c r="E1975" s="34" t="str">
        <x:v>85.5</x:v>
      </x:c>
      <x:c r="F1975" s="34" t="str">
        <x:v>MI-0029</x:v>
      </x:c>
      <x:c r="G1975" s="39" t="str">
        <x:v>تدریس ریاضی و فیزیک</x:v>
      </x:c>
      <x:c r="H1975" s="39" t="str">
        <x:v>H1</x:v>
      </x:c>
      <x:c r="I1975" s="39" t="str">
        <x:v>P0</x:v>
      </x:c>
      <x:c r="J1975" s="39" t="str">
        <x:v>H1</x:v>
      </x:c>
      <x:c r="K1975" s="39" t="str">
        <x:v>تطبیق احتمالی با پایه</x:v>
      </x:c>
      <x:c r="L1975" s="39" t="str">
        <x:v>MI-0029</x:v>
      </x:c>
      <x:c r="M1975" s="39" t="str">
        <x:v>تدریس ریاضی و فیزیک</x:v>
      </x:c>
      <x:c r="N1975" s="39" t="str">
        <x:v>1154878548.docx::P6553.1 | 1154878548.docx::P6921.1</x:v>
      </x:c>
      <x:c r="O1975" s="39"/>
    </x:row>
    <x:row r="1976">
      <x:c r="A1976" s="34" t="str">
        <x:v>☐</x:v>
      </x:c>
      <x:c r="B1976" s="34" t="str">
        <x:v>EX-1948</x:v>
      </x:c>
      <x:c r="C1976" s="34" t="str">
        <x:v>فرش،      موکت، گلیم، جاجیم، قالیچه، پادری، روفرشی، زیرانداز</x:v>
      </x:c>
      <x:c r="D1976" s="34" t="str">
        <x:v>POSSIBLE</x:v>
      </x:c>
      <x:c r="E1976" s="34" t="str">
        <x:v>85.5</x:v>
      </x:c>
      <x:c r="F1976" s="34" t="str">
        <x:v>MI-1365</x:v>
      </x:c>
      <x:c r="G1976" s="39" t="str">
        <x:v>پلاستیک PET قابل بازیافت است و امروزه حدود 25 درصد از بطری های PET در ایالات متحده بازیافت می شوند. این بطری های پلاستیکی، در اثر فشار، تکه تکه و خرد شده و سپس به صورت پوسته های فلسی کوچک، برای تولید بطری های جدید PET مورد فراوری قرار می گیرند یا به رشته های پلی استر تبدیل می شوند. این رشته های بازیافتی، برای ساخت منسوجاتی مانند انواع لباس، فرش، آستر بالش، جلیقه نجات و محصولات دیگر، استفاده می شود.</x:v>
      </x:c>
      <x:c r="H1976" s="39" t="str">
        <x:v>H12</x:v>
      </x:c>
      <x:c r="I1976" s="39" t="str">
        <x:v>P2</x:v>
      </x:c>
      <x:c r="J1976" s="39" t="str">
        <x:v>H12</x:v>
      </x:c>
      <x:c r="K1976" s="39" t="str">
        <x:v>تطبیق احتمالی با پایه</x:v>
      </x:c>
      <x:c r="L1976" s="39" t="str">
        <x:v>MI-1365</x:v>
      </x:c>
      <x:c r="M1976" s="39" t="str">
        <x:v>پلاستیک PET قابل بازیافت است و امروزه حدود 25 درصد از بطری های PET در ایالات متحده بازیافت می شوند. این بطری های پلاستیکی، در اثر فشار، تکه تکه و خرد شده و سپس به صورت پوسته های فلسی کوچک، برای تولید بطری های جدید PET مورد فراوری قرار می گیرند یا به رشته های پلی استر تبدیل می شوند. این رشته های بازیافتی، برای ساخت منسوجاتی مانند انواع لباس، فرش، آستر بالش، جلیقه نجات و محصولات دیگر، استفاده می شود.</x:v>
      </x:c>
      <x:c r="N1976" s="39" t="str">
        <x:v>1154878548.docx::P6554.1 | 1154878548.docx::P6922.1</x:v>
      </x:c>
      <x:c r="O1976" s="39"/>
    </x:row>
    <x:row r="1977">
      <x:c r="A1977" s="34" t="str">
        <x:v>☐</x:v>
      </x:c>
      <x:c r="B1977" s="34" t="str">
        <x:v>EX-1949</x:v>
      </x:c>
      <x:c r="C1977" s="34" t="str">
        <x:v>انواع      پرده، والان، پرده کرکره، پرده زبرا، پرده شید، پرده لوردراپه</x:v>
      </x:c>
      <x:c r="D1977" s="34" t="str">
        <x:v>POSSIBLE</x:v>
      </x:c>
      <x:c r="E1977" s="34" t="str">
        <x:v>85.5</x:v>
      </x:c>
      <x:c r="F1977" s="34" t="str">
        <x:v>MI-2748</x:v>
      </x:c>
      <x:c r="G1977" s="39" t="str">
        <x:v>انواع EiR</x:v>
      </x:c>
      <x:c r="H1977" s="39" t="str">
        <x:v>H10</x:v>
      </x:c>
      <x:c r="I1977" s="39" t="str">
        <x:v>P2</x:v>
      </x:c>
      <x:c r="J1977" s="39" t="str">
        <x:v>H10</x:v>
      </x:c>
      <x:c r="K1977" s="39" t="str">
        <x:v>تطبیق احتمالی با پایه</x:v>
      </x:c>
      <x:c r="L1977" s="39" t="str">
        <x:v>MI-2748</x:v>
      </x:c>
      <x:c r="M1977" s="39" t="str">
        <x:v>انواع EiR</x:v>
      </x:c>
      <x:c r="N1977" s="39" t="str">
        <x:v>1154878548.docx::P6555.1 | 1154878548.docx::P6923.1</x:v>
      </x:c>
      <x:c r="O1977" s="39"/>
    </x:row>
    <x:row r="1978">
      <x:c r="A1978" s="34" t="str">
        <x:v>☐</x:v>
      </x:c>
      <x:c r="B1978" s="34" t="str">
        <x:v>EX-1950</x:v>
      </x:c>
      <x:c r="C1978" s="34" t="str">
        <x:v>انواع      عروسک پارچهای، اسباببازی پارچهای، کیسههای پارچهای</x:v>
      </x:c>
      <x:c r="D1978" s="34" t="str">
        <x:v>POSSIBLE</x:v>
      </x:c>
      <x:c r="E1978" s="34" t="str">
        <x:v>85.5</x:v>
      </x:c>
      <x:c r="F1978" s="34" t="str">
        <x:v>MI-2748</x:v>
      </x:c>
      <x:c r="G1978" s="39" t="str">
        <x:v>انواع EiR</x:v>
      </x:c>
      <x:c r="H1978" s="39" t="str">
        <x:v>H10</x:v>
      </x:c>
      <x:c r="I1978" s="39" t="str">
        <x:v>P2</x:v>
      </x:c>
      <x:c r="J1978" s="39" t="str">
        <x:v>H10</x:v>
      </x:c>
      <x:c r="K1978" s="39" t="str">
        <x:v>تطبیق احتمالی با پایه</x:v>
      </x:c>
      <x:c r="L1978" s="39" t="str">
        <x:v>MI-2748</x:v>
      </x:c>
      <x:c r="M1978" s="39" t="str">
        <x:v>انواع EiR</x:v>
      </x:c>
      <x:c r="N1978" s="39" t="str">
        <x:v>1154878548.docx::P6556.1 | 1154878548.docx::P6924.1</x:v>
      </x:c>
      <x:c r="O1978" s="39"/>
    </x:row>
    <x:row r="1979">
      <x:c r="A1979" s="34" t="str">
        <x:v>☐</x:v>
      </x:c>
      <x:c r="B1979" s="34" t="str">
        <x:v>EX-1951</x:v>
      </x:c>
      <x:c r="C1979" s="34" t="str">
        <x:v>انواع      دستکش پارچهای، کلاه پارچهای، شال گردن پارچهای، جوراب</x:v>
      </x:c>
      <x:c r="D1979" s="34" t="str">
        <x:v>POSSIBLE</x:v>
      </x:c>
      <x:c r="E1979" s="34" t="str">
        <x:v>85.5</x:v>
      </x:c>
      <x:c r="F1979" s="34" t="str">
        <x:v>MI-2748</x:v>
      </x:c>
      <x:c r="G1979" s="39" t="str">
        <x:v>انواع EiR</x:v>
      </x:c>
      <x:c r="H1979" s="39" t="str">
        <x:v>H10</x:v>
      </x:c>
      <x:c r="I1979" s="39" t="str">
        <x:v>P2</x:v>
      </x:c>
      <x:c r="J1979" s="39" t="str">
        <x:v>H10</x:v>
      </x:c>
      <x:c r="K1979" s="39" t="str">
        <x:v>تطبیق احتمالی با پایه</x:v>
      </x:c>
      <x:c r="L1979" s="39" t="str">
        <x:v>MI-2748</x:v>
      </x:c>
      <x:c r="M1979" s="39" t="str">
        <x:v>انواع EiR</x:v>
      </x:c>
      <x:c r="N1979" s="39" t="str">
        <x:v>1154878548.docx::P6557.1 | 1154878548.docx::P6925.1</x:v>
      </x:c>
      <x:c r="O1979" s="39"/>
    </x:row>
    <x:row r="1980">
      <x:c r="A1980" s="34" t="str">
        <x:v>☐</x:v>
      </x:c>
      <x:c r="B1980" s="34" t="str">
        <x:v>EX-1952</x:v>
      </x:c>
      <x:c r="C1980" s="34" t="str">
        <x:v>انواع      چادر، پارچه های برزنتی</x:v>
      </x:c>
      <x:c r="D1980" s="34" t="str">
        <x:v>POSSIBLE</x:v>
      </x:c>
      <x:c r="E1980" s="34" t="str">
        <x:v>85.5</x:v>
      </x:c>
      <x:c r="F1980" s="34" t="str">
        <x:v>MI-1501</x:v>
      </x:c>
      <x:c r="G1980" s="39" t="str">
        <x:v>مدیریت ریسک: شناسایی ریسک ها، ارزیابی اثرات، تدوین برنامه های مقابله با ریسک ها.</x:v>
      </x:c>
      <x:c r="H1980" s="39" t="str">
        <x:v>H1</x:v>
      </x:c>
      <x:c r="I1980" s="39" t="str">
        <x:v>P0</x:v>
      </x:c>
      <x:c r="J1980" s="39" t="str">
        <x:v>H1</x:v>
      </x:c>
      <x:c r="K1980" s="39" t="str">
        <x:v>تطبیق احتمالی با پایه</x:v>
      </x:c>
      <x:c r="L1980" s="39" t="str">
        <x:v>MI-1501</x:v>
      </x:c>
      <x:c r="M1980" s="39" t="str">
        <x:v>مدیریت ریسک: شناسایی ریسک ها، ارزیابی اثرات، تدوین برنامه های مقابله با ریسک ها.</x:v>
      </x:c>
      <x:c r="N1980" s="39" t="str">
        <x:v>1154878548.docx::P6558.1 | 1154878548.docx::P6926.1</x:v>
      </x:c>
      <x:c r="O1980" s="39"/>
    </x:row>
    <x:row r="1981">
      <x:c r="A1981" s="34" t="str">
        <x:v>☐</x:v>
      </x:c>
      <x:c r="B1981" s="34" t="str">
        <x:v>EX-1953</x:v>
      </x:c>
      <x:c r="C1981" s="34" t="str">
        <x:v>انواع      حوله های حمام و استخر</x:v>
      </x:c>
      <x:c r="D1981" s="34" t="str">
        <x:v>POSSIBLE</x:v>
      </x:c>
      <x:c r="E1981" s="34" t="str">
        <x:v>85.5</x:v>
      </x:c>
      <x:c r="F1981" s="34" t="str">
        <x:v>MI-1501</x:v>
      </x:c>
      <x:c r="G1981" s="39" t="str">
        <x:v>مدیریت ریسک: شناسایی ریسک ها، ارزیابی اثرات، تدوین برنامه های مقابله با ریسک ها.</x:v>
      </x:c>
      <x:c r="H1981" s="39" t="str">
        <x:v>H1</x:v>
      </x:c>
      <x:c r="I1981" s="39" t="str">
        <x:v>P0</x:v>
      </x:c>
      <x:c r="J1981" s="39" t="str">
        <x:v>H1</x:v>
      </x:c>
      <x:c r="K1981" s="39" t="str">
        <x:v>تطبیق احتمالی با پایه</x:v>
      </x:c>
      <x:c r="L1981" s="39" t="str">
        <x:v>MI-1501</x:v>
      </x:c>
      <x:c r="M1981" s="39" t="str">
        <x:v>مدیریت ریسک: شناسایی ریسک ها، ارزیابی اثرات، تدوین برنامه های مقابله با ریسک ها.</x:v>
      </x:c>
      <x:c r="N1981" s="39" t="str">
        <x:v>1154878548.docx::P6559.1 | 1154878548.docx::P6927.1</x:v>
      </x:c>
      <x:c r="O1981" s="39"/>
    </x:row>
    <x:row r="1982">
      <x:c r="A1982" s="34" t="str">
        <x:v>☐</x:v>
      </x:c>
      <x:c r="B1982" s="34" t="str">
        <x:v>EX-1954</x:v>
      </x:c>
      <x:c r="C1982" s="34" t="str">
        <x:v>انواع      بند و طناب های پارچه ای</x:v>
      </x:c>
      <x:c r="D1982" s="34" t="str">
        <x:v>POSSIBLE</x:v>
      </x:c>
      <x:c r="E1982" s="34" t="str">
        <x:v>85.5</x:v>
      </x:c>
      <x:c r="F1982" s="34" t="str">
        <x:v>MI-1501</x:v>
      </x:c>
      <x:c r="G1982" s="39" t="str">
        <x:v>مدیریت ریسک: شناسایی ریسک ها، ارزیابی اثرات، تدوین برنامه های مقابله با ریسک ها.</x:v>
      </x:c>
      <x:c r="H1982" s="39" t="str">
        <x:v>H1</x:v>
      </x:c>
      <x:c r="I1982" s="39" t="str">
        <x:v>P0</x:v>
      </x:c>
      <x:c r="J1982" s="39" t="str">
        <x:v>H1</x:v>
      </x:c>
      <x:c r="K1982" s="39" t="str">
        <x:v>تطبیق احتمالی با پایه</x:v>
      </x:c>
      <x:c r="L1982" s="39" t="str">
        <x:v>MI-1501</x:v>
      </x:c>
      <x:c r="M1982" s="39" t="str">
        <x:v>مدیریت ریسک: شناسایی ریسک ها، ارزیابی اثرات، تدوین برنامه های مقابله با ریسک ها.</x:v>
      </x:c>
      <x:c r="N1982" s="39" t="str">
        <x:v>1154878548.docx::P6560.1 | 1154878548.docx::P6928.1</x:v>
      </x:c>
      <x:c r="O1982" s="39"/>
    </x:row>
    <x:row r="1983">
      <x:c r="A1983" s="34" t="str">
        <x:v>☐</x:v>
      </x:c>
      <x:c r="B1983" s="34" t="str">
        <x:v>EX-1955</x:v>
      </x:c>
      <x:c r="C1983" s="34" t="str">
        <x:v>انواع      پارچه های روکش مبل</x:v>
      </x:c>
      <x:c r="D1983" s="34" t="str">
        <x:v>POSSIBLE</x:v>
      </x:c>
      <x:c r="E1983" s="34" t="str">
        <x:v>85.5</x:v>
      </x:c>
      <x:c r="F1983" s="34" t="str">
        <x:v>MI-1501</x:v>
      </x:c>
      <x:c r="G1983" s="39" t="str">
        <x:v>مدیریت ریسک: شناسایی ریسک ها، ارزیابی اثرات، تدوین برنامه های مقابله با ریسک ها.</x:v>
      </x:c>
      <x:c r="H1983" s="39" t="str">
        <x:v>H1</x:v>
      </x:c>
      <x:c r="I1983" s="39" t="str">
        <x:v>P0</x:v>
      </x:c>
      <x:c r="J1983" s="39" t="str">
        <x:v>H1</x:v>
      </x:c>
      <x:c r="K1983" s="39" t="str">
        <x:v>تطبیق احتمالی با پایه</x:v>
      </x:c>
      <x:c r="L1983" s="39" t="str">
        <x:v>MI-1501</x:v>
      </x:c>
      <x:c r="M1983" s="39" t="str">
        <x:v>مدیریت ریسک: شناسایی ریسک ها، ارزیابی اثرات، تدوین برنامه های مقابله با ریسک ها.</x:v>
      </x:c>
      <x:c r="N1983" s="39" t="str">
        <x:v>1154878548.docx::P6561.1 | 1154878548.docx::P6929.1</x:v>
      </x:c>
      <x:c r="O1983" s="39"/>
    </x:row>
    <x:row r="1984">
      <x:c r="A1984" s="34" t="str">
        <x:v>☐</x:v>
      </x:c>
      <x:c r="B1984" s="34" t="str">
        <x:v>EX-1956</x:v>
      </x:c>
      <x:c r="C1984" s="34" t="str">
        <x:v>6. لوازم الکترونیکی (E-waste):</x:v>
      </x:c>
      <x:c r="D1984" s="34" t="str">
        <x:v>POSSIBLE</x:v>
      </x:c>
      <x:c r="E1984" s="34" t="str">
        <x:v>85.5</x:v>
      </x:c>
      <x:c r="F1984" s="34" t="str">
        <x:v>MI-1599</x:v>
      </x:c>
      <x:c r="G1984" s="39" t="str">
        <x:v>کارآفرینان باتجربه داخل کشور برای مدتی (مثلاً 3–6 ماه) در یک مرکز نوآوری، پارک علم و فناوری یا دانشگاه مستقر می شوند و:</x:v>
      </x:c>
      <x:c r="H1984" s="39" t="str">
        <x:v>H10</x:v>
      </x:c>
      <x:c r="I1984" s="39" t="str">
        <x:v>P2</x:v>
      </x:c>
      <x:c r="J1984" s="39" t="str">
        <x:v>H10</x:v>
      </x:c>
      <x:c r="K1984" s="39" t="str">
        <x:v>تطبیق احتمالی با پایه</x:v>
      </x:c>
      <x:c r="L1984" s="39" t="str">
        <x:v>MI-1599</x:v>
      </x:c>
      <x:c r="M1984" s="39" t="str">
        <x:v>کارآفرینان باتجربه داخل کشور برای مدتی (مثلاً 3–6 ماه) در یک مرکز نوآوری، پارک علم و فناوری یا دانشگاه مستقر می شوند و:</x:v>
      </x:c>
      <x:c r="N1984" s="39" t="str">
        <x:v>1154878548.docx::P6562.1 | 1154878548.docx::P6930.1</x:v>
      </x:c>
      <x:c r="O1984" s="39"/>
    </x:row>
    <x:row r="1985">
      <x:c r="A1985" s="34" t="str">
        <x:v>☐</x:v>
      </x:c>
      <x:c r="B1985" s="34" t="str">
        <x:v>EX-1957</x:v>
      </x:c>
      <x:c r="C1985" s="34" t="str">
        <x:v>کامپیوتر،      لپتاپ، تبلت، تلفن همراه، مودم، روتر، سوئیچ، سرور</x:v>
      </x:c>
      <x:c r="D1985" s="34" t="str">
        <x:v>POSSIBLE</x:v>
      </x:c>
      <x:c r="E1985" s="34" t="str">
        <x:v>85.5</x:v>
      </x:c>
      <x:c r="F1985" s="34" t="str">
        <x:v>MI-3113</x:v>
      </x:c>
      <x:c r="G1985"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1985" s="39" t="str">
        <x:v>H1</x:v>
      </x:c>
      <x:c r="I1985" s="39" t="str">
        <x:v>P0</x:v>
      </x:c>
      <x:c r="J1985" s="39" t="str">
        <x:v>H1</x:v>
      </x:c>
      <x:c r="K1985" s="39" t="str">
        <x:v>تطبیق احتمالی با پایه</x:v>
      </x:c>
      <x:c r="L1985" s="39" t="str">
        <x:v>MI-3113</x:v>
      </x:c>
      <x:c r="M1985"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N1985" s="39" t="str">
        <x:v>1154878548.docx::P6563.1 | 1154878548.docx::P6931.1</x:v>
      </x:c>
      <x:c r="O1985" s="39"/>
    </x:row>
    <x:row r="1986">
      <x:c r="A1986" s="34" t="str">
        <x:v>☐</x:v>
      </x:c>
      <x:c r="B1986" s="34" t="str">
        <x:v>EX-1958</x:v>
      </x:c>
      <x:c r="C1986" s="34" t="str">
        <x:v>تلویزیون،      مانیتور، پروژکتور، ویدئو پروژکتور، دوربین مداربسته، دستگاه ضبط تصاویر</x:v>
      </x:c>
      <x:c r="D1986" s="34" t="str">
        <x:v>POSSIBLE</x:v>
      </x:c>
      <x:c r="E1986" s="34" t="str">
        <x:v>85.5</x:v>
      </x:c>
      <x:c r="F1986" s="34" t="str">
        <x:v>MI-0617</x:v>
      </x:c>
      <x:c r="G1986" s="39" t="str">
        <x:v>تجهیز اتاق استودیو برای ضبط</x:v>
      </x:c>
      <x:c r="H1986" s="39" t="str">
        <x:v>H4</x:v>
      </x:c>
      <x:c r="I1986" s="39" t="str">
        <x:v>P1</x:v>
      </x:c>
      <x:c r="J1986" s="39" t="str">
        <x:v>H4</x:v>
      </x:c>
      <x:c r="K1986" s="39" t="str">
        <x:v>تطبیق احتمالی با پایه</x:v>
      </x:c>
      <x:c r="L1986" s="39" t="str">
        <x:v>MI-0617</x:v>
      </x:c>
      <x:c r="M1986" s="39" t="str">
        <x:v>تجهیز اتاق استودیو برای ضبط</x:v>
      </x:c>
      <x:c r="N1986" s="39" t="str">
        <x:v>1154878548.docx::P6564.1 | 1154878548.docx::P6932.1</x:v>
      </x:c>
      <x:c r="O1986" s="39"/>
    </x:row>
    <x:row r="1987">
      <x:c r="A1987" s="34" t="str">
        <x:v>☐</x:v>
      </x:c>
      <x:c r="B1987" s="34" t="str">
        <x:v>EX-1959</x:v>
      </x:c>
      <x:c r="C1987" s="34" t="str">
        <x:v>لوازم      صوتی و تصویری (رادیو،      ضبط صوت، DVD پلیر، بلندگو، هدفون، میکروفون)</x:v>
      </x:c>
      <x:c r="D1987" s="34" t="str">
        <x:v>POSSIBLE</x:v>
      </x:c>
      <x:c r="E1987" s="34" t="str">
        <x:v>85.5</x:v>
      </x:c>
      <x:c r="F1987" s="34" t="str">
        <x:v>MI-0023</x:v>
      </x:c>
      <x:c r="G1987" s="39" t="str">
        <x:v>برنامه ریزی دقیق و علمگرا هییت دانشگاه</x:v>
      </x:c>
      <x:c r="H1987" s="39" t="str">
        <x:v>H1</x:v>
      </x:c>
      <x:c r="I1987" s="39" t="str">
        <x:v>P0</x:v>
      </x:c>
      <x:c r="J1987" s="39" t="str">
        <x:v>H1</x:v>
      </x:c>
      <x:c r="K1987" s="39" t="str">
        <x:v>تطبیق احتمالی با پایه</x:v>
      </x:c>
      <x:c r="L1987" s="39" t="str">
        <x:v>MI-0023</x:v>
      </x:c>
      <x:c r="M1987" s="39" t="str">
        <x:v>برنامه ریزی دقیق و علمگرا هییت دانشگاه</x:v>
      </x:c>
      <x:c r="N1987" s="39" t="str">
        <x:v>1154878548.docx::P6565.1 | 1154878548.docx::P6933.1</x:v>
      </x:c>
      <x:c r="O1987" s="39"/>
    </x:row>
    <x:row r="1988">
      <x:c r="A1988" s="34" t="str">
        <x:v>☐</x:v>
      </x:c>
      <x:c r="B1988" s="34" t="str">
        <x:v>EX-1960</x:v>
      </x:c>
      <x:c r="C1988" s="34" t="str">
        <x:v>لوازم      خانگی برقی (یخچال، ماشین لباسشویی، مایکروویو، جاروبرقی، اتو، سشوار)</x:v>
      </x:c>
      <x:c r="D1988" s="34" t="str">
        <x:v>POSSIBLE</x:v>
      </x:c>
      <x:c r="E1988" s="34" t="str">
        <x:v>85.5</x:v>
      </x:c>
      <x:c r="F1988" s="34" t="str">
        <x:v>MI-1357</x:v>
      </x:c>
      <x:c r="G1988" s="39" t="str">
        <x:v>بازیافت تایر، یک نمونه کلاسیک از فرایند بازیافت ثانویه است که طی آن، تایر به لاستیک تبدیل می شود و مجددا در تولید محصولات لاستیکی دیگر، به کار گرفته می رود. از آنجا که در این روش، هیچ تغییر شیمیایی دیگری برای به کارگیری محصول بازیافتی، مورد نیاز نیست، ماشین آلات مناسب می توانند لاستیک استفاده شده را مستقیماً به مواد قابل استفاده تبدیل کنند.</x:v>
      </x:c>
      <x:c r="H1988" s="39" t="str">
        <x:v>H12</x:v>
      </x:c>
      <x:c r="I1988" s="39" t="str">
        <x:v>P2</x:v>
      </x:c>
      <x:c r="J1988" s="39" t="str">
        <x:v>H12</x:v>
      </x:c>
      <x:c r="K1988" s="39" t="str">
        <x:v>تطبیق احتمالی با پایه</x:v>
      </x:c>
      <x:c r="L1988" s="39" t="str">
        <x:v>MI-1357</x:v>
      </x:c>
      <x:c r="M1988" s="39" t="str">
        <x:v>بازیافت تایر، یک نمونه کلاسیک از فرایند بازیافت ثانویه است که طی آن، تایر به لاستیک تبدیل می شود و مجددا در تولید محصولات لاستیکی دیگر، به کار گرفته می رود. از آنجا که در این روش، هیچ تغییر شیمیایی دیگری برای به کارگیری محصول بازیافتی، مورد نیاز نیست، ماشین آلات مناسب می توانند لاستیک استفاده شده را مستقیماً به مواد قابل استفاده تبدیل کنند.</x:v>
      </x:c>
      <x:c r="N1988" s="39" t="str">
        <x:v>1154878548.docx::P6566.1 | 1154878548.docx::P6934.1</x:v>
      </x:c>
      <x:c r="O1988" s="39"/>
    </x:row>
    <x:row r="1989">
      <x:c r="A1989" s="34" t="str">
        <x:v>☐</x:v>
      </x:c>
      <x:c r="B1989" s="34" t="str">
        <x:v>EX-1961</x:v>
      </x:c>
      <x:c r="C1989" s="34" t="str">
        <x:v>باتریهای      قلمی، کتابی، دکمهای، لیتیومی، نیکل-کادمیوم، سرب-اسید، باتریهای خورشیدی</x:v>
      </x:c>
      <x:c r="D1989" s="34" t="str">
        <x:v>UNMAPPED</x:v>
      </x:c>
      <x:c r="E1989" s="34" t="str">
        <x:v>67.5</x:v>
      </x:c>
      <x:c r="F1989" s="34" t="str">
        <x:v>MI-1922</x:v>
      </x:c>
      <x:c r="G1989" s="39" t="str">
        <x:v>اردوهای علمی</x:v>
      </x:c>
      <x:c r="H1989" s="39" t="str">
        <x:v>H9</x:v>
      </x:c>
      <x:c r="I1989" s="39" t="str">
        <x:v>P2</x:v>
      </x:c>
      <x:c r="J1989" s="39" t="str">
        <x:v>H23</x:v>
      </x:c>
      <x:c r="K1989" s="39" t="str">
        <x:v>نیازمند پالایش؛ حذف نشده</x:v>
      </x:c>
      <x:c r="L1989" s="39"/>
      <x:c r="M1989" s="39"/>
      <x:c r="N1989" s="39" t="str">
        <x:v>1154878548.docx::P6567.1 | 1154878548.docx::P6935.1</x:v>
      </x:c>
      <x:c r="O1989" s="39"/>
    </x:row>
    <x:row r="1990">
      <x:c r="A1990" s="34" t="str">
        <x:v>☐</x:v>
      </x:c>
      <x:c r="B1990" s="34" t="str">
        <x:v>EX-1962</x:v>
      </x:c>
      <x:c r="C1990" s="34" t="str">
        <x:v>سیم      و کابل برق، تلفن، شبکه، USB، HDMI</x:v>
      </x:c>
      <x:c r="D1990" s="34" t="str">
        <x:v>POSSIBLE</x:v>
      </x:c>
      <x:c r="E1990" s="34" t="str">
        <x:v>85.5</x:v>
      </x:c>
      <x:c r="F1990" s="34" t="str">
        <x:v>MI-1513</x:v>
      </x:c>
      <x:c r="G1990" s="39" t="str">
        <x:v>تولید و کارآفرینی: توانایی تولید محصول و خدمات و ایجاد شغل.</x:v>
      </x:c>
      <x:c r="H1990" s="39" t="str">
        <x:v>H1</x:v>
      </x:c>
      <x:c r="I1990" s="39" t="str">
        <x:v>P0</x:v>
      </x:c>
      <x:c r="J1990" s="39" t="str">
        <x:v>H1</x:v>
      </x:c>
      <x:c r="K1990" s="39" t="str">
        <x:v>تطبیق احتمالی با پایه</x:v>
      </x:c>
      <x:c r="L1990" s="39" t="str">
        <x:v>MI-1513</x:v>
      </x:c>
      <x:c r="M1990" s="39" t="str">
        <x:v>تولید و کارآفرینی: توانایی تولید محصول و خدمات و ایجاد شغل.</x:v>
      </x:c>
      <x:c r="N1990" s="39" t="str">
        <x:v>1154878548.docx::P6568.1 | 1154878548.docx::P6936.1</x:v>
      </x:c>
      <x:c r="O1990" s="39"/>
    </x:row>
    <x:row r="1991">
      <x:c r="A1991" s="34" t="str">
        <x:v>☐</x:v>
      </x:c>
      <x:c r="B1991" s="34" t="str">
        <x:v>EX-1963</x:v>
      </x:c>
      <x:c r="C1991" s="34" t="str">
        <x:v>انواع      مدار های چاپی</x:v>
      </x:c>
      <x:c r="D1991" s="34" t="str">
        <x:v>POSSIBLE</x:v>
      </x:c>
      <x:c r="E1991" s="34" t="str">
        <x:v>85.5</x:v>
      </x:c>
      <x:c r="F1991" s="34" t="str">
        <x:v>MI-1501</x:v>
      </x:c>
      <x:c r="G1991" s="39" t="str">
        <x:v>مدیریت ریسک: شناسایی ریسک ها، ارزیابی اثرات، تدوین برنامه های مقابله با ریسک ها.</x:v>
      </x:c>
      <x:c r="H1991" s="39" t="str">
        <x:v>H1</x:v>
      </x:c>
      <x:c r="I1991" s="39" t="str">
        <x:v>P0</x:v>
      </x:c>
      <x:c r="J1991" s="39" t="str">
        <x:v>H1</x:v>
      </x:c>
      <x:c r="K1991" s="39" t="str">
        <x:v>تطبیق احتمالی با پایه</x:v>
      </x:c>
      <x:c r="L1991" s="39" t="str">
        <x:v>MI-1501</x:v>
      </x:c>
      <x:c r="M1991" s="39" t="str">
        <x:v>مدیریت ریسک: شناسایی ریسک ها، ارزیابی اثرات، تدوین برنامه های مقابله با ریسک ها.</x:v>
      </x:c>
      <x:c r="N1991" s="39" t="str">
        <x:v>1154878548.docx::P6569.1 | 1154878548.docx::P6937.1</x:v>
      </x:c>
      <x:c r="O1991" s="39"/>
    </x:row>
    <x:row r="1992">
      <x:c r="A1992" s="34" t="str">
        <x:v>☐</x:v>
      </x:c>
      <x:c r="B1992" s="34" t="str">
        <x:v>EX-1964</x:v>
      </x:c>
      <x:c r="C1992" s="34" t="str">
        <x:v>انواع      سیم کارت ها</x:v>
      </x:c>
      <x:c r="D1992" s="34" t="str">
        <x:v>POSSIBLE</x:v>
      </x:c>
      <x:c r="E1992" s="34" t="str">
        <x:v>90.0</x:v>
      </x:c>
      <x:c r="F1992" s="34" t="str">
        <x:v>MI-2545</x:v>
      </x:c>
      <x:c r="G1992" s="39" t="str">
        <x:v>کار:</x:v>
      </x:c>
      <x:c r="H1992" s="39" t="str">
        <x:v>H20</x:v>
      </x:c>
      <x:c r="I1992" s="39" t="str">
        <x:v>P3/CLARIFY</x:v>
      </x:c>
      <x:c r="J1992" s="39" t="str">
        <x:v>H20</x:v>
      </x:c>
      <x:c r="K1992" s="39" t="str">
        <x:v>تطبیق احتمالی با پایه</x:v>
      </x:c>
      <x:c r="L1992" s="39" t="str">
        <x:v>MI-2545</x:v>
      </x:c>
      <x:c r="M1992" s="39" t="str">
        <x:v>کار:</x:v>
      </x:c>
      <x:c r="N1992" s="39" t="str">
        <x:v>1154878548.docx::P6570.1 | 1154878548.docx::P6938.1</x:v>
      </x:c>
      <x:c r="O1992" s="39"/>
    </x:row>
    <x:row r="1993">
      <x:c r="A1993" s="34" t="str">
        <x:v>☐</x:v>
      </x:c>
      <x:c r="B1993" s="34" t="str">
        <x:v>EX-1965</x:v>
      </x:c>
      <x:c r="C1993" s="34" t="str">
        <x:v>7. سایر موارد:</x:v>
      </x:c>
      <x:c r="D1993" s="34" t="str">
        <x:v>POSSIBLE</x:v>
      </x:c>
      <x:c r="E1993" s="34" t="str">
        <x:v>90.0</x:v>
      </x:c>
      <x:c r="F1993" s="34" t="str">
        <x:v>MI-1392</x:v>
      </x:c>
      <x:c r="G1993" s="39" t="str">
        <x:v>شماره 7: سایر موارد (BPA، پلی کربنات و لِکسان)</x:v>
      </x:c>
      <x:c r="H1993" s="39" t="str">
        <x:v>H12</x:v>
      </x:c>
      <x:c r="I1993" s="39" t="str">
        <x:v>P2</x:v>
      </x:c>
      <x:c r="J1993" s="39" t="str">
        <x:v>H12</x:v>
      </x:c>
      <x:c r="K1993" s="39" t="str">
        <x:v>تطبیق احتمالی با پایه</x:v>
      </x:c>
      <x:c r="L1993" s="39" t="str">
        <x:v>MI-1392</x:v>
      </x:c>
      <x:c r="M1993" s="39" t="str">
        <x:v>شماره 7: سایر موارد (BPA، پلی کربنات و لِکسان)</x:v>
      </x:c>
      <x:c r="N1993" s="39" t="str">
        <x:v>1154878548.docx::P6571.1 | 1154878548.docx::P6939.1</x:v>
      </x:c>
      <x:c r="O1993" s="39"/>
    </x:row>
    <x:row r="1994">
      <x:c r="A1994" s="34" t="str">
        <x:v>☐</x:v>
      </x:c>
      <x:c r="B1994" s="34" t="str">
        <x:v>EX-1966</x:v>
      </x:c>
      <x:c r="C1994" s="34" t="str">
        <x:v>انواع      چوب پنبه های طبیعی</x:v>
      </x:c>
      <x:c r="D1994" s="34" t="str">
        <x:v>POSSIBLE</x:v>
      </x:c>
      <x:c r="E1994" s="34" t="str">
        <x:v>90.0</x:v>
      </x:c>
      <x:c r="F1994" s="34" t="str">
        <x:v>MI-1296</x:v>
      </x:c>
      <x:c r="G1994" s="39" t="str">
        <x:v>چوب</x:v>
      </x:c>
      <x:c r="H1994" s="39" t="str">
        <x:v>H12</x:v>
      </x:c>
      <x:c r="I1994" s="39" t="str">
        <x:v>P2</x:v>
      </x:c>
      <x:c r="J1994" s="39" t="str">
        <x:v>H12</x:v>
      </x:c>
      <x:c r="K1994" s="39" t="str">
        <x:v>تطبیق احتمالی با پایه</x:v>
      </x:c>
      <x:c r="L1994" s="39" t="str">
        <x:v>MI-1296</x:v>
      </x:c>
      <x:c r="M1994" s="39" t="str">
        <x:v>چوب</x:v>
      </x:c>
      <x:c r="N1994" s="39" t="str">
        <x:v>1154878548.docx::P6572.1 | 1154878548.docx::P6940.1</x:v>
      </x:c>
      <x:c r="O1994" s="39"/>
    </x:row>
    <x:row r="1995">
      <x:c r="A1995" s="34" t="str">
        <x:v>☐</x:v>
      </x:c>
      <x:c r="B1995" s="34" t="str">
        <x:v>EX-1967</x:v>
      </x:c>
      <x:c r="C1995" s="34" t="str">
        <x:v>انواع      فیلتر های تصفیه اب خانگی</x:v>
      </x:c>
      <x:c r="D1995" s="34" t="str">
        <x:v>POSSIBLE</x:v>
      </x:c>
      <x:c r="E1995" s="34" t="str">
        <x:v>85.5</x:v>
      </x:c>
      <x:c r="F1995" s="34" t="str">
        <x:v>MI-1501</x:v>
      </x:c>
      <x:c r="G1995" s="39" t="str">
        <x:v>مدیریت ریسک: شناسایی ریسک ها، ارزیابی اثرات، تدوین برنامه های مقابله با ریسک ها.</x:v>
      </x:c>
      <x:c r="H1995" s="39" t="str">
        <x:v>H1</x:v>
      </x:c>
      <x:c r="I1995" s="39" t="str">
        <x:v>P0</x:v>
      </x:c>
      <x:c r="J1995" s="39" t="str">
        <x:v>H1</x:v>
      </x:c>
      <x:c r="K1995" s="39" t="str">
        <x:v>تطبیق احتمالی با پایه</x:v>
      </x:c>
      <x:c r="L1995" s="39" t="str">
        <x:v>MI-1501</x:v>
      </x:c>
      <x:c r="M1995" s="39" t="str">
        <x:v>مدیریت ریسک: شناسایی ریسک ها، ارزیابی اثرات، تدوین برنامه های مقابله با ریسک ها.</x:v>
      </x:c>
      <x:c r="N1995" s="39" t="str">
        <x:v>1154878548.docx::P6573.1 | 1154878548.docx::P6941.1</x:v>
      </x:c>
      <x:c r="O1995" s="39"/>
    </x:row>
    <x:row r="1996">
      <x:c r="A1996" s="34" t="str">
        <x:v>☐</x:v>
      </x:c>
      <x:c r="B1996" s="34" t="str">
        <x:v>EX-1968</x:v>
      </x:c>
      <x:c r="C1996" s="34" t="str">
        <x:v>انواع      آینه های شکسته</x:v>
      </x:c>
      <x:c r="D1996" s="34" t="str">
        <x:v>POSSIBLE</x:v>
      </x:c>
      <x:c r="E1996" s="34" t="str">
        <x:v>85.5</x:v>
      </x:c>
      <x:c r="F1996" s="34" t="str">
        <x:v>MI-1501</x:v>
      </x:c>
      <x:c r="G1996" s="39" t="str">
        <x:v>مدیریت ریسک: شناسایی ریسک ها، ارزیابی اثرات، تدوین برنامه های مقابله با ریسک ها.</x:v>
      </x:c>
      <x:c r="H1996" s="39" t="str">
        <x:v>H1</x:v>
      </x:c>
      <x:c r="I1996" s="39" t="str">
        <x:v>P0</x:v>
      </x:c>
      <x:c r="J1996" s="39" t="str">
        <x:v>H1</x:v>
      </x:c>
      <x:c r="K1996" s="39" t="str">
        <x:v>تطبیق احتمالی با پایه</x:v>
      </x:c>
      <x:c r="L1996" s="39" t="str">
        <x:v>MI-1501</x:v>
      </x:c>
      <x:c r="M1996" s="39" t="str">
        <x:v>مدیریت ریسک: شناسایی ریسک ها، ارزیابی اثرات، تدوین برنامه های مقابله با ریسک ها.</x:v>
      </x:c>
      <x:c r="N1996" s="39" t="str">
        <x:v>1154878548.docx::P6574.1 | 1154878548.docx::P6942.1</x:v>
      </x:c>
      <x:c r="O1996" s="39"/>
    </x:row>
    <x:row r="1997">
      <x:c r="A1997" s="34" t="str">
        <x:v>☐</x:v>
      </x:c>
      <x:c r="B1997" s="34" t="str">
        <x:v>EX-1969</x:v>
      </x:c>
      <x:c r="C1997" s="34" t="str">
        <x:v>انواع      مواد منفجره خاموش شده مانند ترقه ها و فشفشه ها(با رعایت نکات ایمنی)</x:v>
      </x:c>
      <x:c r="D1997" s="34" t="str">
        <x:v>POSSIBLE</x:v>
      </x:c>
      <x:c r="E1997" s="34" t="str">
        <x:v>85.5</x:v>
      </x:c>
      <x:c r="F1997" s="34" t="str">
        <x:v>MI-0019</x:v>
      </x:c>
      <x:c r="G1997" s="39" t="str">
        <x:v>آشنایی با نرم افزار املاک</x:v>
      </x:c>
      <x:c r="H1997" s="39" t="str">
        <x:v>H1</x:v>
      </x:c>
      <x:c r="I1997" s="39" t="str">
        <x:v>P0</x:v>
      </x:c>
      <x:c r="J1997" s="39" t="str">
        <x:v>H1</x:v>
      </x:c>
      <x:c r="K1997" s="39" t="str">
        <x:v>تطبیق احتمالی با پایه</x:v>
      </x:c>
      <x:c r="L1997" s="39" t="str">
        <x:v>MI-0019</x:v>
      </x:c>
      <x:c r="M1997" s="39" t="str">
        <x:v>آشنایی با نرم افزار املاک</x:v>
      </x:c>
      <x:c r="N1997" s="39" t="str">
        <x:v>1154878548.docx::P6575.1 | 1154878548.docx::P6943.1</x:v>
      </x:c>
      <x:c r="O1997" s="39"/>
    </x:row>
    <x:row r="1998">
      <x:c r="A1998" s="34" t="str">
        <x:v>☐</x:v>
      </x:c>
      <x:c r="B1998" s="34" t="str">
        <x:v>EX-1970</x:v>
      </x:c>
      <x:c r="C1998" s="34" t="str">
        <x:v>مواد      ساختمانی: نخالههای ساختمانی مانند آجر، بتن، گچ و کاشی، در برخی مراکز      بازیافت میشوند.</x:v>
      </x:c>
      <x:c r="D1998" s="34" t="str">
        <x:v>POSSIBLE</x:v>
      </x:c>
      <x:c r="E1998" s="34" t="str">
        <x:v>85.5</x:v>
      </x:c>
      <x:c r="F1998" s="34" t="str">
        <x:v>MI-1513</x:v>
      </x:c>
      <x:c r="G1998" s="39" t="str">
        <x:v>تولید و کارآفرینی: توانایی تولید محصول و خدمات و ایجاد شغل.</x:v>
      </x:c>
      <x:c r="H1998" s="39" t="str">
        <x:v>H1</x:v>
      </x:c>
      <x:c r="I1998" s="39" t="str">
        <x:v>P0</x:v>
      </x:c>
      <x:c r="J1998" s="39" t="str">
        <x:v>H1</x:v>
      </x:c>
      <x:c r="K1998" s="39" t="str">
        <x:v>تطبیق احتمالی با پایه</x:v>
      </x:c>
      <x:c r="L1998" s="39" t="str">
        <x:v>MI-1513</x:v>
      </x:c>
      <x:c r="M1998" s="39" t="str">
        <x:v>تولید و کارآفرینی: توانایی تولید محصول و خدمات و ایجاد شغل.</x:v>
      </x:c>
      <x:c r="N1998" s="39" t="str">
        <x:v>1154878548.docx::P6576.1 | 1154878548.docx::P6944.1</x:v>
      </x:c>
      <x:c r="O1998" s="39"/>
    </x:row>
    <x:row r="1999">
      <x:c r="A1999" s="34" t="str">
        <x:v>☐</x:v>
      </x:c>
      <x:c r="B1999" s="34" t="str">
        <x:v>EX-1971</x:v>
      </x:c>
      <x:c r="C1999" s="34" t="str">
        <x:v>مواد      آلی:پسماندهای غذایی و ضایعات باغی، قابل تبدیل به کمپوست هستند.</x:v>
      </x:c>
      <x:c r="D1999" s="34" t="str">
        <x:v>POSSIBLE</x:v>
      </x:c>
      <x:c r="E1999" s="34" t="str">
        <x:v>85.5</x:v>
      </x:c>
      <x:c r="F1999" s="34" t="str">
        <x:v>MI-0023</x:v>
      </x:c>
      <x:c r="G1999" s="39" t="str">
        <x:v>برنامه ریزی دقیق و علمگرا هییت دانشگاه</x:v>
      </x:c>
      <x:c r="H1999" s="39" t="str">
        <x:v>H1</x:v>
      </x:c>
      <x:c r="I1999" s="39" t="str">
        <x:v>P0</x:v>
      </x:c>
      <x:c r="J1999" s="39" t="str">
        <x:v>H1</x:v>
      </x:c>
      <x:c r="K1999" s="39" t="str">
        <x:v>تطبیق احتمالی با پایه</x:v>
      </x:c>
      <x:c r="L1999" s="39" t="str">
        <x:v>MI-0023</x:v>
      </x:c>
      <x:c r="M1999" s="39" t="str">
        <x:v>برنامه ریزی دقیق و علمگرا هییت دانشگاه</x:v>
      </x:c>
      <x:c r="N1999" s="39" t="str">
        <x:v>1154878548.docx::P6577.1 | 1154878548.docx::P6945.1</x:v>
      </x:c>
      <x:c r="O1999" s="39"/>
    </x:row>
    <x:row r="2000">
      <x:c r="A2000" s="34" t="str">
        <x:v>☐</x:v>
      </x:c>
      <x:c r="B2000" s="34" t="str">
        <x:v>EX-1972</x:v>
      </x:c>
      <x:c r="C2000" s="34" t="str">
        <x:v>مواد      خطرناک:مواد شیمیایی، دارویی و باتریهای خاص، نیاز به بازیافت ویژه دارند.</x:v>
      </x:c>
      <x:c r="D2000" s="34" t="str">
        <x:v>POSSIBLE</x:v>
      </x:c>
      <x:c r="E2000" s="34" t="str">
        <x:v>85.5</x:v>
      </x:c>
      <x:c r="F2000" s="34" t="str">
        <x:v>MI-0023</x:v>
      </x:c>
      <x:c r="G2000" s="39" t="str">
        <x:v>برنامه ریزی دقیق و علمگرا هییت دانشگاه</x:v>
      </x:c>
      <x:c r="H2000" s="39" t="str">
        <x:v>H1</x:v>
      </x:c>
      <x:c r="I2000" s="39" t="str">
        <x:v>P0</x:v>
      </x:c>
      <x:c r="J2000" s="39" t="str">
        <x:v>H1</x:v>
      </x:c>
      <x:c r="K2000" s="39" t="str">
        <x:v>تطبیق احتمالی با پایه</x:v>
      </x:c>
      <x:c r="L2000" s="39" t="str">
        <x:v>MI-0023</x:v>
      </x:c>
      <x:c r="M2000" s="39" t="str">
        <x:v>برنامه ریزی دقیق و علمگرا هییت دانشگاه</x:v>
      </x:c>
      <x:c r="N2000" s="39" t="str">
        <x:v>1154878548.docx::P6578.1 | 1154878548.docx::P6946.1</x:v>
      </x:c>
      <x:c r="O2000" s="39"/>
    </x:row>
    <x:row r="2001">
      <x:c r="A2001" s="34" t="str">
        <x:v>☐</x:v>
      </x:c>
      <x:c r="B2001" s="34" t="str">
        <x:v>EX-1973</x:v>
      </x:c>
      <x:c r="C2001" s="34" t="str">
        <x:v>8. لاستیک:</x:v>
      </x:c>
      <x:c r="D2001" s="34" t="str">
        <x:v>POSSIBLE</x:v>
      </x:c>
      <x:c r="E2001" s="34" t="str">
        <x:v>85.5</x:v>
      </x:c>
      <x:c r="F2001" s="34" t="str">
        <x:v>MI-2844</x:v>
      </x:c>
      <x:c r="G2001" s="39" t="str">
        <x:v>لایه 8 — رویدادهای اکوسیستم</x:v>
      </x:c>
      <x:c r="H2001" s="39" t="str">
        <x:v>H10</x:v>
      </x:c>
      <x:c r="I2001" s="39" t="str">
        <x:v>P2</x:v>
      </x:c>
      <x:c r="J2001" s="39" t="str">
        <x:v>H10</x:v>
      </x:c>
      <x:c r="K2001" s="39" t="str">
        <x:v>تطبیق احتمالی با پایه</x:v>
      </x:c>
      <x:c r="L2001" s="39" t="str">
        <x:v>MI-2844</x:v>
      </x:c>
      <x:c r="M2001" s="39" t="str">
        <x:v>لایه 8 — رویدادهای اکوسیستم</x:v>
      </x:c>
      <x:c r="N2001" s="39" t="str">
        <x:v>1154878548.docx::P6579.1 | 1154878548.docx::P6947.1</x:v>
      </x:c>
      <x:c r="O2001" s="39"/>
    </x:row>
    <x:row r="2002">
      <x:c r="A2002" s="34" t="str">
        <x:v>☐</x:v>
      </x:c>
      <x:c r="B2002" s="34" t="str">
        <x:v>EX-1974</x:v>
      </x:c>
      <x:c r="C2002" s="34" t="str">
        <x:v>لاستیکهای      فرسوده خودرو، موتورسیکلت و دوچرخه</x:v>
      </x:c>
      <x:c r="D2002" s="34" t="str">
        <x:v>POSSIBLE</x:v>
      </x:c>
      <x:c r="E2002" s="34" t="str">
        <x:v>85.5</x:v>
      </x:c>
      <x:c r="F2002" s="34" t="str">
        <x:v>MI-0029</x:v>
      </x:c>
      <x:c r="G2002" s="39" t="str">
        <x:v>تدریس ریاضی و فیزیک</x:v>
      </x:c>
      <x:c r="H2002" s="39" t="str">
        <x:v>H1</x:v>
      </x:c>
      <x:c r="I2002" s="39" t="str">
        <x:v>P0</x:v>
      </x:c>
      <x:c r="J2002" s="39" t="str">
        <x:v>H1</x:v>
      </x:c>
      <x:c r="K2002" s="39" t="str">
        <x:v>تطبیق احتمالی با پایه</x:v>
      </x:c>
      <x:c r="L2002" s="39" t="str">
        <x:v>MI-0029</x:v>
      </x:c>
      <x:c r="M2002" s="39" t="str">
        <x:v>تدریس ریاضی و فیزیک</x:v>
      </x:c>
      <x:c r="N2002" s="39" t="str">
        <x:v>1154878548.docx::P6580.1 | 1154878548.docx::P6948.1</x:v>
      </x:c>
      <x:c r="O2002" s="39"/>
    </x:row>
    <x:row r="2003">
      <x:c r="A2003" s="34" t="str">
        <x:v>☐</x:v>
      </x:c>
      <x:c r="B2003" s="34" t="str">
        <x:v>EX-1975</x:v>
      </x:c>
      <x:c r="C2003" s="34" t="str">
        <x:v>انواع      قطعات لاستیکی خودرو و وسایل نقلیه</x:v>
      </x:c>
      <x:c r="D2003" s="34" t="str">
        <x:v>POSSIBLE</x:v>
      </x:c>
      <x:c r="E2003" s="34" t="str">
        <x:v>85.5</x:v>
      </x:c>
      <x:c r="F2003" s="34" t="str">
        <x:v>MI-0029</x:v>
      </x:c>
      <x:c r="G2003" s="39" t="str">
        <x:v>تدریس ریاضی و فیزیک</x:v>
      </x:c>
      <x:c r="H2003" s="39" t="str">
        <x:v>H1</x:v>
      </x:c>
      <x:c r="I2003" s="39" t="str">
        <x:v>P0</x:v>
      </x:c>
      <x:c r="J2003" s="39" t="str">
        <x:v>H1</x:v>
      </x:c>
      <x:c r="K2003" s="39" t="str">
        <x:v>تطبیق احتمالی با پایه</x:v>
      </x:c>
      <x:c r="L2003" s="39" t="str">
        <x:v>MI-0029</x:v>
      </x:c>
      <x:c r="M2003" s="39" t="str">
        <x:v>تدریس ریاضی و فیزیک</x:v>
      </x:c>
      <x:c r="N2003" s="39" t="str">
        <x:v>1154878548.docx::P6581.1 | 1154878548.docx::P6949.1</x:v>
      </x:c>
      <x:c r="O2003" s="39"/>
    </x:row>
    <x:row r="2004">
      <x:c r="A2004" s="34" t="str">
        <x:v>☐</x:v>
      </x:c>
      <x:c r="B2004" s="34" t="str">
        <x:v>EX-1976</x:v>
      </x:c>
      <x:c r="C2004" s="34" t="str">
        <x:v>محصولات      لاستیکی صنعتی و کشاورزی</x:v>
      </x:c>
      <x:c r="D2004" s="34" t="str">
        <x:v>POSSIBLE</x:v>
      </x:c>
      <x:c r="E2004" s="34" t="str">
        <x:v>90.0</x:v>
      </x:c>
      <x:c r="F2004" s="34" t="str">
        <x:v>MI-2219</x:v>
      </x:c>
      <x:c r="G2004" s="39" t="str">
        <x:v>کشاورزی</x:v>
      </x:c>
      <x:c r="H2004" s="39" t="str">
        <x:v>H12</x:v>
      </x:c>
      <x:c r="I2004" s="39" t="str">
        <x:v>P2</x:v>
      </x:c>
      <x:c r="J2004" s="39" t="str">
        <x:v>H12</x:v>
      </x:c>
      <x:c r="K2004" s="39" t="str">
        <x:v>تطبیق احتمالی با پایه</x:v>
      </x:c>
      <x:c r="L2004" s="39" t="str">
        <x:v>MI-2219</x:v>
      </x:c>
      <x:c r="M2004" s="39" t="str">
        <x:v>کشاورزی</x:v>
      </x:c>
      <x:c r="N2004" s="39" t="str">
        <x:v>1154878548.docx::P6582.1 | 1154878548.docx::P6950.1</x:v>
      </x:c>
      <x:c r="O2004" s="39"/>
    </x:row>
    <x:row r="2005">
      <x:c r="A2005" s="34" t="str">
        <x:v>☐</x:v>
      </x:c>
      <x:c r="B2005" s="34" t="str">
        <x:v>EX-1977</x:v>
      </x:c>
      <x:c r="C2005" s="34" t="str">
        <x:v>انواع      کفپوشهای لاستیکی</x:v>
      </x:c>
      <x:c r="D2005" s="34" t="str">
        <x:v>POSSIBLE</x:v>
      </x:c>
      <x:c r="E2005" s="34" t="str">
        <x:v>85.5</x:v>
      </x:c>
      <x:c r="F2005" s="34" t="str">
        <x:v>MI-1510</x:v>
      </x:c>
      <x:c r="G2005" s="39" t="str">
        <x:v>دانش مالی: درک مفاهیم مالی، آشنایی با انواع سرمایه گذاری ها.</x:v>
      </x:c>
      <x:c r="H2005" s="39" t="str">
        <x:v>H1</x:v>
      </x:c>
      <x:c r="I2005" s="39" t="str">
        <x:v>P0</x:v>
      </x:c>
      <x:c r="J2005" s="39" t="str">
        <x:v>H1</x:v>
      </x:c>
      <x:c r="K2005" s="39" t="str">
        <x:v>تطبیق احتمالی با پایه</x:v>
      </x:c>
      <x:c r="L2005" s="39" t="str">
        <x:v>MI-1510</x:v>
      </x:c>
      <x:c r="M2005" s="39" t="str">
        <x:v>دانش مالی: درک مفاهیم مالی، آشنایی با انواع سرمایه گذاری ها.</x:v>
      </x:c>
      <x:c r="N2005" s="39" t="str">
        <x:v>1154878548.docx::P6583.1 | 1154878548.docx::P6951.1</x:v>
      </x:c>
      <x:c r="O2005" s="39"/>
    </x:row>
    <x:row r="2006">
      <x:c r="A2006" s="34" t="str">
        <x:v>☐</x:v>
      </x:c>
      <x:c r="B2006" s="34" t="str">
        <x:v>EX-1978</x:v>
      </x:c>
      <x:c r="C2006" s="34" t="str">
        <x:v>9. چوب:</x:v>
      </x:c>
      <x:c r="D2006" s="34" t="str">
        <x:v>POSSIBLE</x:v>
      </x:c>
      <x:c r="E2006" s="34" t="str">
        <x:v>90.0</x:v>
      </x:c>
      <x:c r="F2006" s="34" t="str">
        <x:v>MI-1296</x:v>
      </x:c>
      <x:c r="G2006" s="39" t="str">
        <x:v>چوب</x:v>
      </x:c>
      <x:c r="H2006" s="39" t="str">
        <x:v>H12</x:v>
      </x:c>
      <x:c r="I2006" s="39" t="str">
        <x:v>P2</x:v>
      </x:c>
      <x:c r="J2006" s="39" t="str">
        <x:v>H12</x:v>
      </x:c>
      <x:c r="K2006" s="39" t="str">
        <x:v>تطبیق احتمالی با پایه</x:v>
      </x:c>
      <x:c r="L2006" s="39" t="str">
        <x:v>MI-1296</x:v>
      </x:c>
      <x:c r="M2006" s="39" t="str">
        <x:v>چوب</x:v>
      </x:c>
      <x:c r="N2006" s="39" t="str">
        <x:v>1154878548.docx::P6584.1 | 1154878548.docx::P6952.1</x:v>
      </x:c>
      <x:c r="O2006" s="39"/>
    </x:row>
    <x:row r="2007">
      <x:c r="A2007" s="34" t="str">
        <x:v>☐</x:v>
      </x:c>
      <x:c r="B2007" s="34" t="str">
        <x:v>EX-1979</x:v>
      </x:c>
      <x:c r="C2007" s="34" t="str">
        <x:v>ضایعات      چوبی ساختمانی (تیر، تخته، الوار)</x:v>
      </x:c>
      <x:c r="D2007" s="34" t="str">
        <x:v>POSSIBLE</x:v>
      </x:c>
      <x:c r="E2007" s="34" t="str">
        <x:v>85.5</x:v>
      </x:c>
      <x:c r="F2007" s="34" t="str">
        <x:v>MI-1258</x:v>
      </x:c>
      <x:c r="G2007" s="39" t="str">
        <x:v>ضایعات مصالح ساختمانی</x:v>
      </x:c>
      <x:c r="H2007" s="39" t="str">
        <x:v>H12</x:v>
      </x:c>
      <x:c r="I2007" s="39" t="str">
        <x:v>P2</x:v>
      </x:c>
      <x:c r="J2007" s="39" t="str">
        <x:v>H12</x:v>
      </x:c>
      <x:c r="K2007" s="39" t="str">
        <x:v>تطبیق احتمالی با پایه</x:v>
      </x:c>
      <x:c r="L2007" s="39" t="str">
        <x:v>MI-1258</x:v>
      </x:c>
      <x:c r="M2007" s="39" t="str">
        <x:v>ضایعات مصالح ساختمانی</x:v>
      </x:c>
      <x:c r="N2007" s="39" t="str">
        <x:v>1154878548.docx::P6585.1 | 1154878548.docx::P6953.1</x:v>
      </x:c>
      <x:c r="O2007" s="39"/>
    </x:row>
    <x:row r="2008">
      <x:c r="A2008" s="34" t="str">
        <x:v>☐</x:v>
      </x:c>
      <x:c r="B2008" s="34" t="str">
        <x:v>EX-1980</x:v>
      </x:c>
      <x:c r="C2008" s="34" t="str">
        <x:v>مبلمان      چوبی فرسوده</x:v>
      </x:c>
      <x:c r="D2008" s="34" t="str">
        <x:v>POSSIBLE</x:v>
      </x:c>
      <x:c r="E2008" s="34" t="str">
        <x:v>90.0</x:v>
      </x:c>
      <x:c r="F2008" s="34" t="str">
        <x:v>MI-1296</x:v>
      </x:c>
      <x:c r="G2008" s="39" t="str">
        <x:v>چوب</x:v>
      </x:c>
      <x:c r="H2008" s="39" t="str">
        <x:v>H12</x:v>
      </x:c>
      <x:c r="I2008" s="39" t="str">
        <x:v>P2</x:v>
      </x:c>
      <x:c r="J2008" s="39" t="str">
        <x:v>H12</x:v>
      </x:c>
      <x:c r="K2008" s="39" t="str">
        <x:v>تطبیق احتمالی با پایه</x:v>
      </x:c>
      <x:c r="L2008" s="39" t="str">
        <x:v>MI-1296</x:v>
      </x:c>
      <x:c r="M2008" s="39" t="str">
        <x:v>چوب</x:v>
      </x:c>
      <x:c r="N2008" s="39" t="str">
        <x:v>1154878548.docx::P6586.1 | 1154878548.docx::P6954.1</x:v>
      </x:c>
      <x:c r="O2008" s="39"/>
    </x:row>
    <x:row r="2009">
      <x:c r="A2009" s="34" t="str">
        <x:v>☐</x:v>
      </x:c>
      <x:c r="B2009" s="34" t="str">
        <x:v>EX-1981</x:v>
      </x:c>
      <x:c r="C2009" s="34" t="str">
        <x:v>پالتهای      چوبی</x:v>
      </x:c>
      <x:c r="D2009" s="34" t="str">
        <x:v>POSSIBLE</x:v>
      </x:c>
      <x:c r="E2009" s="34" t="str">
        <x:v>90.0</x:v>
      </x:c>
      <x:c r="F2009" s="34" t="str">
        <x:v>MI-1296</x:v>
      </x:c>
      <x:c r="G2009" s="39" t="str">
        <x:v>چوب</x:v>
      </x:c>
      <x:c r="H2009" s="39" t="str">
        <x:v>H12</x:v>
      </x:c>
      <x:c r="I2009" s="39" t="str">
        <x:v>P2</x:v>
      </x:c>
      <x:c r="J2009" s="39" t="str">
        <x:v>H12</x:v>
      </x:c>
      <x:c r="K2009" s="39" t="str">
        <x:v>تطبیق احتمالی با پایه</x:v>
      </x:c>
      <x:c r="L2009" s="39" t="str">
        <x:v>MI-1296</x:v>
      </x:c>
      <x:c r="M2009" s="39" t="str">
        <x:v>چوب</x:v>
      </x:c>
      <x:c r="N2009" s="39" t="str">
        <x:v>1154878548.docx::P6587.1 | 1154878548.docx::P6955.1</x:v>
      </x:c>
      <x:c r="O2009" s="39"/>
    </x:row>
    <x:row r="2010">
      <x:c r="A2010" s="34" t="str">
        <x:v>☐</x:v>
      </x:c>
      <x:c r="B2010" s="34" t="str">
        <x:v>EX-1982</x:v>
      </x:c>
      <x:c r="C2010" s="34" t="str">
        <x:v>شاخه      و برگ درختان (قابل تبدیل به کمپوست)</x:v>
      </x:c>
      <x:c r="D2010" s="34" t="str">
        <x:v>POSSIBLE</x:v>
      </x:c>
      <x:c r="E2010" s="34" t="str">
        <x:v>90.0</x:v>
      </x:c>
      <x:c r="F2010" s="34" t="str">
        <x:v>MI-1267</x:v>
      </x:c>
      <x:c r="G2010" s="39" t="str">
        <x:v>کمپوست</x:v>
      </x:c>
      <x:c r="H2010" s="39" t="str">
        <x:v>H12</x:v>
      </x:c>
      <x:c r="I2010" s="39" t="str">
        <x:v>P2</x:v>
      </x:c>
      <x:c r="J2010" s="39" t="str">
        <x:v>H12</x:v>
      </x:c>
      <x:c r="K2010" s="39" t="str">
        <x:v>تطبیق احتمالی با پایه</x:v>
      </x:c>
      <x:c r="L2010" s="39" t="str">
        <x:v>MI-1267</x:v>
      </x:c>
      <x:c r="M2010" s="39" t="str">
        <x:v>کمپوست</x:v>
      </x:c>
      <x:c r="N2010" s="39" t="str">
        <x:v>1154878548.docx::P6588.1 | 1154878548.docx::P6956.1</x:v>
      </x:c>
      <x:c r="O2010" s="39"/>
    </x:row>
    <x:row r="2011">
      <x:c r="A2011" s="34" t="str">
        <x:v>☐</x:v>
      </x:c>
      <x:c r="B2011" s="34" t="str">
        <x:v>EX-1983</x:v>
      </x:c>
      <x:c r="C2011" s="34" t="str">
        <x:v>انواع      مصنوعات چوبی</x:v>
      </x:c>
      <x:c r="D2011" s="34" t="str">
        <x:v>POSSIBLE</x:v>
      </x:c>
      <x:c r="E2011" s="34" t="str">
        <x:v>90.0</x:v>
      </x:c>
      <x:c r="F2011" s="34" t="str">
        <x:v>MI-1296</x:v>
      </x:c>
      <x:c r="G2011" s="39" t="str">
        <x:v>چوب</x:v>
      </x:c>
      <x:c r="H2011" s="39" t="str">
        <x:v>H12</x:v>
      </x:c>
      <x:c r="I2011" s="39" t="str">
        <x:v>P2</x:v>
      </x:c>
      <x:c r="J2011" s="39" t="str">
        <x:v>H12</x:v>
      </x:c>
      <x:c r="K2011" s="39" t="str">
        <x:v>تطبیق احتمالی با پایه</x:v>
      </x:c>
      <x:c r="L2011" s="39" t="str">
        <x:v>MI-1296</x:v>
      </x:c>
      <x:c r="M2011" s="39" t="str">
        <x:v>چوب</x:v>
      </x:c>
      <x:c r="N2011" s="39" t="str">
        <x:v>1154878548.docx::P6589.1 | 1154878548.docx::P6957.1</x:v>
      </x:c>
      <x:c r="O2011" s="39"/>
    </x:row>
    <x:row r="2012">
      <x:c r="A2012" s="34" t="str">
        <x:v>☐</x:v>
      </x:c>
      <x:c r="B2012" s="34" t="str">
        <x:v>EX-1984</x:v>
      </x:c>
      <x:c r="C2012" s="34" t="str">
        <x:v>10. مواد ساختمانی:</x:v>
      </x:c>
      <x:c r="D2012" s="34" t="str">
        <x:v>POSSIBLE</x:v>
      </x:c>
      <x:c r="E2012" s="34" t="str">
        <x:v>85.5</x:v>
      </x:c>
      <x:c r="F2012" s="34" t="str">
        <x:v>MI-2017</x:v>
      </x:c>
      <x:c r="G2012" s="39" t="str">
        <x:v>10. گره های کلیدی اکوسیستم (Key Individuals)</x:v>
      </x:c>
      <x:c r="H2012" s="39" t="str">
        <x:v>H10</x:v>
      </x:c>
      <x:c r="I2012" s="39" t="str">
        <x:v>P2</x:v>
      </x:c>
      <x:c r="J2012" s="39" t="str">
        <x:v>H10</x:v>
      </x:c>
      <x:c r="K2012" s="39" t="str">
        <x:v>تطبیق احتمالی با پایه</x:v>
      </x:c>
      <x:c r="L2012" s="39" t="str">
        <x:v>MI-2017</x:v>
      </x:c>
      <x:c r="M2012" s="39" t="str">
        <x:v>10. گره های کلیدی اکوسیستم (Key Individuals)</x:v>
      </x:c>
      <x:c r="N2012" s="39" t="str">
        <x:v>1154878548.docx::P6590.1 | 1154878548.docx::P6958.1</x:v>
      </x:c>
      <x:c r="O2012" s="39"/>
    </x:row>
    <x:row r="2013">
      <x:c r="A2013" s="34" t="str">
        <x:v>☐</x:v>
      </x:c>
      <x:c r="B2013" s="34" t="str">
        <x:v>EX-1985</x:v>
      </x:c>
      <x:c r="C2013" s="34" t="str">
        <x:v>نخالههای      ساختمانی (آجر، بتن، گچ، کاشی، سرامیک)</x:v>
      </x:c>
      <x:c r="D2013" s="34" t="str">
        <x:v>POSSIBLE</x:v>
      </x:c>
      <x:c r="E2013" s="34" t="str">
        <x:v>85.5</x:v>
      </x:c>
      <x:c r="F2013" s="34" t="str">
        <x:v>MI-1258</x:v>
      </x:c>
      <x:c r="G2013" s="39" t="str">
        <x:v>ضایعات مصالح ساختمانی</x:v>
      </x:c>
      <x:c r="H2013" s="39" t="str">
        <x:v>H12</x:v>
      </x:c>
      <x:c r="I2013" s="39" t="str">
        <x:v>P2</x:v>
      </x:c>
      <x:c r="J2013" s="39" t="str">
        <x:v>H12</x:v>
      </x:c>
      <x:c r="K2013" s="39" t="str">
        <x:v>تطبیق احتمالی با پایه</x:v>
      </x:c>
      <x:c r="L2013" s="39" t="str">
        <x:v>MI-1258</x:v>
      </x:c>
      <x:c r="M2013" s="39" t="str">
        <x:v>ضایعات مصالح ساختمانی</x:v>
      </x:c>
      <x:c r="N2013" s="39" t="str">
        <x:v>1154878548.docx::P6591.1 | 1154878548.docx::P6959.1</x:v>
      </x:c>
      <x:c r="O2013" s="39"/>
    </x:row>
    <x:row r="2014">
      <x:c r="A2014" s="34" t="str">
        <x:v>☐</x:v>
      </x:c>
      <x:c r="B2014" s="34" t="str">
        <x:v>EX-1986</x:v>
      </x:c>
      <x:c r="C2014" s="34" t="str">
        <x:v>انواع      عایقهای ساختمانی</x:v>
      </x:c>
      <x:c r="D2014" s="34" t="str">
        <x:v>POSSIBLE</x:v>
      </x:c>
      <x:c r="E2014" s="34" t="str">
        <x:v>85.5</x:v>
      </x:c>
      <x:c r="F2014" s="34" t="str">
        <x:v>MI-1510</x:v>
      </x:c>
      <x:c r="G2014" s="39" t="str">
        <x:v>دانش مالی: درک مفاهیم مالی، آشنایی با انواع سرمایه گذاری ها.</x:v>
      </x:c>
      <x:c r="H2014" s="39" t="str">
        <x:v>H1</x:v>
      </x:c>
      <x:c r="I2014" s="39" t="str">
        <x:v>P0</x:v>
      </x:c>
      <x:c r="J2014" s="39" t="str">
        <x:v>H1</x:v>
      </x:c>
      <x:c r="K2014" s="39" t="str">
        <x:v>تطبیق احتمالی با پایه</x:v>
      </x:c>
      <x:c r="L2014" s="39" t="str">
        <x:v>MI-1510</x:v>
      </x:c>
      <x:c r="M2014" s="39" t="str">
        <x:v>دانش مالی: درک مفاهیم مالی، آشنایی با انواع سرمایه گذاری ها.</x:v>
      </x:c>
      <x:c r="N2014" s="39" t="str">
        <x:v>1154878548.docx::P6592.1 | 1154878548.docx::P6960.1</x:v>
      </x:c>
      <x:c r="O2014" s="39"/>
    </x:row>
    <x:row r="2015">
      <x:c r="A2015" s="34" t="str">
        <x:v>☐</x:v>
      </x:c>
      <x:c r="B2015" s="34" t="str">
        <x:v>EX-1987</x:v>
      </x:c>
      <x:c r="C2015" s="34" t="str">
        <x:v>لوله      و اتصالات ساختمانی</x:v>
      </x:c>
      <x:c r="D2015" s="34" t="str">
        <x:v>POSSIBLE</x:v>
      </x:c>
      <x:c r="E2015" s="34" t="str">
        <x:v>85.5</x:v>
      </x:c>
      <x:c r="F2015" s="34" t="str">
        <x:v>MI-1513</x:v>
      </x:c>
      <x:c r="G2015" s="39" t="str">
        <x:v>تولید و کارآفرینی: توانایی تولید محصول و خدمات و ایجاد شغل.</x:v>
      </x:c>
      <x:c r="H2015" s="39" t="str">
        <x:v>H1</x:v>
      </x:c>
      <x:c r="I2015" s="39" t="str">
        <x:v>P0</x:v>
      </x:c>
      <x:c r="J2015" s="39" t="str">
        <x:v>H1</x:v>
      </x:c>
      <x:c r="K2015" s="39" t="str">
        <x:v>تطبیق احتمالی با پایه</x:v>
      </x:c>
      <x:c r="L2015" s="39" t="str">
        <x:v>MI-1513</x:v>
      </x:c>
      <x:c r="M2015" s="39" t="str">
        <x:v>تولید و کارآفرینی: توانایی تولید محصول و خدمات و ایجاد شغل.</x:v>
      </x:c>
      <x:c r="N2015" s="39" t="str">
        <x:v>1154878548.docx::P6593.1 | 1154878548.docx::P6961.1</x:v>
      </x:c>
      <x:c r="O2015" s="39"/>
    </x:row>
    <x:row r="2016">
      <x:c r="A2016" s="34" t="str">
        <x:v>☐</x:v>
      </x:c>
      <x:c r="B2016" s="34" t="str">
        <x:v>EX-1988</x:v>
      </x:c>
      <x:c r="C2016" s="34" t="str">
        <x:v>درب      و پنجرههای ساختمانی</x:v>
      </x:c>
      <x:c r="D2016" s="34" t="str">
        <x:v>POSSIBLE</x:v>
      </x:c>
      <x:c r="E2016" s="34" t="str">
        <x:v>85.5</x:v>
      </x:c>
      <x:c r="F2016" s="34" t="str">
        <x:v>MI-1513</x:v>
      </x:c>
      <x:c r="G2016" s="39" t="str">
        <x:v>تولید و کارآفرینی: توانایی تولید محصول و خدمات و ایجاد شغل.</x:v>
      </x:c>
      <x:c r="H2016" s="39" t="str">
        <x:v>H1</x:v>
      </x:c>
      <x:c r="I2016" s="39" t="str">
        <x:v>P0</x:v>
      </x:c>
      <x:c r="J2016" s="39" t="str">
        <x:v>H1</x:v>
      </x:c>
      <x:c r="K2016" s="39" t="str">
        <x:v>تطبیق احتمالی با پایه</x:v>
      </x:c>
      <x:c r="L2016" s="39" t="str">
        <x:v>MI-1513</x:v>
      </x:c>
      <x:c r="M2016" s="39" t="str">
        <x:v>تولید و کارآفرینی: توانایی تولید محصول و خدمات و ایجاد شغل.</x:v>
      </x:c>
      <x:c r="N2016" s="39" t="str">
        <x:v>1154878548.docx::P6594.1 | 1154878548.docx::P6962.1</x:v>
      </x:c>
      <x:c r="O2016" s="39"/>
    </x:row>
    <x:row r="2017">
      <x:c r="A2017" s="34" t="str">
        <x:v>☐</x:v>
      </x:c>
      <x:c r="B2017" s="34" t="str">
        <x:v>EX-1989</x:v>
      </x:c>
      <x:c r="C2017" s="34" t="str">
        <x:v>11. مواد آلی:</x:v>
      </x:c>
      <x:c r="D2017" s="34" t="str">
        <x:v>POSSIBLE</x:v>
      </x:c>
      <x:c r="E2017" s="34" t="str">
        <x:v>85.5</x:v>
      </x:c>
      <x:c r="F2017" s="34" t="str">
        <x:v>MI-2862</x:v>
      </x:c>
      <x:c r="G2017" s="39" t="str">
        <x:v>لایه 11 — برنامه EiR</x:v>
      </x:c>
      <x:c r="H2017" s="39" t="str">
        <x:v>H10</x:v>
      </x:c>
      <x:c r="I2017" s="39" t="str">
        <x:v>P2</x:v>
      </x:c>
      <x:c r="J2017" s="39" t="str">
        <x:v>H10</x:v>
      </x:c>
      <x:c r="K2017" s="39" t="str">
        <x:v>تطبیق احتمالی با پایه</x:v>
      </x:c>
      <x:c r="L2017" s="39" t="str">
        <x:v>MI-2862</x:v>
      </x:c>
      <x:c r="M2017" s="39" t="str">
        <x:v>لایه 11 — برنامه EiR</x:v>
      </x:c>
      <x:c r="N2017" s="39" t="str">
        <x:v>1154878548.docx::P6595.1 | 1154878548.docx::P6963.1</x:v>
      </x:c>
      <x:c r="O2017" s="39"/>
    </x:row>
    <x:row r="2018">
      <x:c r="A2018" s="34" t="str">
        <x:v>☐</x:v>
      </x:c>
      <x:c r="B2018" s="34" t="str">
        <x:v>EX-1990</x:v>
      </x:c>
      <x:c r="C2018" s="34" t="str">
        <x:v>پسماندهای      غذایی (پوست میوه، سبزیجات، نان)</x:v>
      </x:c>
      <x:c r="D2018" s="34" t="str">
        <x:v>POSSIBLE</x:v>
      </x:c>
      <x:c r="E2018" s="34" t="str">
        <x:v>85.5</x:v>
      </x:c>
      <x:c r="F2018" s="34" t="str">
        <x:v>MI-0801</x:v>
      </x:c>
      <x:c r="G2018" s="39" t="str">
        <x:v>نظر سنجی در سایت رزرو سلف در مورد دو غذایی که کمترین رای را بیاورد و جایگزینی آن دو</x:v>
      </x:c>
      <x:c r="H2018" s="39" t="str">
        <x:v>H11</x:v>
      </x:c>
      <x:c r="I2018" s="39" t="str">
        <x:v>BANK</x:v>
      </x:c>
      <x:c r="J2018" s="39" t="str">
        <x:v>H11</x:v>
      </x:c>
      <x:c r="K2018" s="39" t="str">
        <x:v>تطبیق احتمالی با پایه</x:v>
      </x:c>
      <x:c r="L2018" s="39" t="str">
        <x:v>MI-0801</x:v>
      </x:c>
      <x:c r="M2018" s="39" t="str">
        <x:v>نظر سنجی در سایت رزرو سلف در مورد دو غذایی که کمترین رای را بیاورد و جایگزینی آن دو</x:v>
      </x:c>
      <x:c r="N2018" s="39" t="str">
        <x:v>1154878548.docx::P6596.1 | 1154878548.docx::P6964.1</x:v>
      </x:c>
      <x:c r="O2018" s="39"/>
    </x:row>
    <x:row r="2019">
      <x:c r="A2019" s="34" t="str">
        <x:v>☐</x:v>
      </x:c>
      <x:c r="B2019" s="34" t="str">
        <x:v>EX-1991</x:v>
      </x:c>
      <x:c r="C2019" s="34" t="str">
        <x:v>ضایعات      باغی (شاخه و برگ درختان، چمن)</x:v>
      </x:c>
      <x:c r="D2019" s="34" t="str">
        <x:v>POSSIBLE</x:v>
      </x:c>
      <x:c r="E2019" s="34" t="str">
        <x:v>85.5</x:v>
      </x:c>
      <x:c r="F2019" s="34" t="str">
        <x:v>MI-1513</x:v>
      </x:c>
      <x:c r="G2019" s="39" t="str">
        <x:v>تولید و کارآفرینی: توانایی تولید محصول و خدمات و ایجاد شغل.</x:v>
      </x:c>
      <x:c r="H2019" s="39" t="str">
        <x:v>H1</x:v>
      </x:c>
      <x:c r="I2019" s="39" t="str">
        <x:v>P0</x:v>
      </x:c>
      <x:c r="J2019" s="39" t="str">
        <x:v>H1</x:v>
      </x:c>
      <x:c r="K2019" s="39" t="str">
        <x:v>تطبیق احتمالی با پایه</x:v>
      </x:c>
      <x:c r="L2019" s="39" t="str">
        <x:v>MI-1513</x:v>
      </x:c>
      <x:c r="M2019" s="39" t="str">
        <x:v>تولید و کارآفرینی: توانایی تولید محصول و خدمات و ایجاد شغل.</x:v>
      </x:c>
      <x:c r="N2019" s="39" t="str">
        <x:v>1154878548.docx::P6597.1 | 1154878548.docx::P6965.1</x:v>
      </x:c>
      <x:c r="O2019" s="39"/>
    </x:row>
    <x:row r="2020">
      <x:c r="A2020" s="34" t="str">
        <x:v>☐</x:v>
      </x:c>
      <x:c r="B2020" s="34" t="str">
        <x:v>EX-1992</x:v>
      </x:c>
      <x:c r="C2020" s="34" t="str">
        <x:v>کود      حیوانی</x:v>
      </x:c>
      <x:c r="D2020" s="34" t="str">
        <x:v>UNMAPPED</x:v>
      </x:c>
      <x:c r="E2020" s="34" t="str">
        <x:v>67.5</x:v>
      </x:c>
      <x:c r="F2020" s="34" t="str">
        <x:v>MI-1324</x:v>
      </x:c>
      <x:c r="G2020" s="39" t="str">
        <x:v>وانت</x:v>
      </x:c>
      <x:c r="H2020" s="39" t="str">
        <x:v>H12</x:v>
      </x:c>
      <x:c r="I2020" s="39" t="str">
        <x:v>P2</x:v>
      </x:c>
      <x:c r="J2020" s="39" t="str">
        <x:v>H23</x:v>
      </x:c>
      <x:c r="K2020" s="39" t="str">
        <x:v>نیازمند پالایش؛ حذف نشده</x:v>
      </x:c>
      <x:c r="L2020" s="39"/>
      <x:c r="M2020" s="39"/>
      <x:c r="N2020" s="39" t="str">
        <x:v>1154878548.docx::P6598.1 | 1154878548.docx::P6966.1</x:v>
      </x:c>
      <x:c r="O2020" s="39"/>
    </x:row>
    <x:row r="2021">
      <x:c r="A2021" s="34" t="str">
        <x:v>☐</x:v>
      </x:c>
      <x:c r="B2021" s="34" t="str">
        <x:v>EX-1993</x:v>
      </x:c>
      <x:c r="C2021" s="34" t="str">
        <x:v>ضایعات      کشاورزی</x:v>
      </x:c>
      <x:c r="D2021" s="34" t="str">
        <x:v>POSSIBLE</x:v>
      </x:c>
      <x:c r="E2021" s="34" t="str">
        <x:v>90.0</x:v>
      </x:c>
      <x:c r="F2021" s="34" t="str">
        <x:v>MI-2219</x:v>
      </x:c>
      <x:c r="G2021" s="39" t="str">
        <x:v>کشاورزی</x:v>
      </x:c>
      <x:c r="H2021" s="39" t="str">
        <x:v>H12</x:v>
      </x:c>
      <x:c r="I2021" s="39" t="str">
        <x:v>P2</x:v>
      </x:c>
      <x:c r="J2021" s="39" t="str">
        <x:v>H12</x:v>
      </x:c>
      <x:c r="K2021" s="39" t="str">
        <x:v>تطبیق احتمالی با پایه</x:v>
      </x:c>
      <x:c r="L2021" s="39" t="str">
        <x:v>MI-2219</x:v>
      </x:c>
      <x:c r="M2021" s="39" t="str">
        <x:v>کشاورزی</x:v>
      </x:c>
      <x:c r="N2021" s="39" t="str">
        <x:v>1154878548.docx::P6599.1 | 1154878548.docx::P6967.1</x:v>
      </x:c>
      <x:c r="O2021" s="39"/>
    </x:row>
    <x:row r="2022">
      <x:c r="A2022" s="34" t="str">
        <x:v>☐</x:v>
      </x:c>
      <x:c r="B2022" s="34" t="str">
        <x:v>EX-1994</x:v>
      </x:c>
      <x:c r="C2022" s="34" t="str">
        <x:v>12. مواد خطرناک:</x:v>
      </x:c>
      <x:c r="D2022" s="34" t="str">
        <x:v>POSSIBLE</x:v>
      </x:c>
      <x:c r="E2022" s="34" t="str">
        <x:v>85.5</x:v>
      </x:c>
      <x:c r="F2022" s="34" t="str">
        <x:v>MI-1447</x:v>
      </x:c>
      <x:c r="G2022" s="39" t="str">
        <x:v>صدقه 12 ت</x:v>
      </x:c>
      <x:c r="H2022" s="39" t="str">
        <x:v>H1</x:v>
      </x:c>
      <x:c r="I2022" s="39" t="str">
        <x:v>P0</x:v>
      </x:c>
      <x:c r="J2022" s="39" t="str">
        <x:v>H1</x:v>
      </x:c>
      <x:c r="K2022" s="39" t="str">
        <x:v>تطبیق احتمالی با پایه</x:v>
      </x:c>
      <x:c r="L2022" s="39" t="str">
        <x:v>MI-1447</x:v>
      </x:c>
      <x:c r="M2022" s="39" t="str">
        <x:v>صدقه 12 ت</x:v>
      </x:c>
      <x:c r="N2022" s="39" t="str">
        <x:v>1154878548.docx::P6600.1 | 1154878548.docx::P6968.1</x:v>
      </x:c>
      <x:c r="O2022" s="39"/>
    </x:row>
    <x:row r="2023">
      <x:c r="A2023" s="34" t="str">
        <x:v>☐</x:v>
      </x:c>
      <x:c r="B2023" s="34" t="str">
        <x:v>EX-1995</x:v>
      </x:c>
      <x:c r="C2023" s="34" t="str">
        <x:v>باتریهای      اسیدی و قلیایی</x:v>
      </x:c>
      <x:c r="D2023" s="34" t="str">
        <x:v>POSSIBLE</x:v>
      </x:c>
      <x:c r="E2023" s="34" t="str">
        <x:v>90.0</x:v>
      </x:c>
      <x:c r="F2023" s="34" t="str">
        <x:v>MI-1280</x:v>
      </x:c>
      <x:c r="G2023" s="39" t="str">
        <x:v>باتری</x:v>
      </x:c>
      <x:c r="H2023" s="39" t="str">
        <x:v>H12</x:v>
      </x:c>
      <x:c r="I2023" s="39" t="str">
        <x:v>P2</x:v>
      </x:c>
      <x:c r="J2023" s="39" t="str">
        <x:v>H12</x:v>
      </x:c>
      <x:c r="K2023" s="39" t="str">
        <x:v>تطبیق احتمالی با پایه</x:v>
      </x:c>
      <x:c r="L2023" s="39" t="str">
        <x:v>MI-1280</x:v>
      </x:c>
      <x:c r="M2023" s="39" t="str">
        <x:v>باتری</x:v>
      </x:c>
      <x:c r="N2023" s="39" t="str">
        <x:v>1154878548.docx::P6601.1 | 1154878548.docx::P6969.1</x:v>
      </x:c>
      <x:c r="O2023" s="39"/>
    </x:row>
    <x:row r="2024">
      <x:c r="A2024" s="34" t="str">
        <x:v>☐</x:v>
      </x:c>
      <x:c r="B2024" s="34" t="str">
        <x:v>EX-1996</x:v>
      </x:c>
      <x:c r="C2024" s="34" t="str">
        <x:v>لامپهای      فلورسنت و کممصرف</x:v>
      </x:c>
      <x:c r="D2024" s="34" t="str">
        <x:v>POSSIBLE</x:v>
      </x:c>
      <x:c r="E2024" s="34" t="str">
        <x:v>90.0</x:v>
      </x:c>
      <x:c r="F2024" s="34" t="str">
        <x:v>MI-1285</x:v>
      </x:c>
      <x:c r="G2024" s="39" t="str">
        <x:v>لامپ</x:v>
      </x:c>
      <x:c r="H2024" s="39" t="str">
        <x:v>H12</x:v>
      </x:c>
      <x:c r="I2024" s="39" t="str">
        <x:v>P2</x:v>
      </x:c>
      <x:c r="J2024" s="39" t="str">
        <x:v>H12</x:v>
      </x:c>
      <x:c r="K2024" s="39" t="str">
        <x:v>تطبیق احتمالی با پایه</x:v>
      </x:c>
      <x:c r="L2024" s="39" t="str">
        <x:v>MI-1285</x:v>
      </x:c>
      <x:c r="M2024" s="39" t="str">
        <x:v>لامپ</x:v>
      </x:c>
      <x:c r="N2024" s="39" t="str">
        <x:v>1154878548.docx::P6602.1 | 1154878548.docx::P6970.1</x:v>
      </x:c>
      <x:c r="O2024" s="39"/>
    </x:row>
    <x:row r="2025">
      <x:c r="A2025" s="34" t="str">
        <x:v>☐</x:v>
      </x:c>
      <x:c r="B2025" s="34" t="str">
        <x:v>EX-1997</x:v>
      </x:c>
      <x:c r="C2025" s="34" t="str">
        <x:v>مواد      شیمیایی خانگی (رنگ، تینر، حلالها)</x:v>
      </x:c>
      <x:c r="D2025" s="34" t="str">
        <x:v>POSSIBLE</x:v>
      </x:c>
      <x:c r="E2025" s="34" t="str">
        <x:v>85.5</x:v>
      </x:c>
      <x:c r="F2025" s="34" t="str">
        <x:v>MI-1249</x:v>
      </x:c>
      <x:c r="G2025" s="39" t="str">
        <x:v>روش شیمیایی</x:v>
      </x:c>
      <x:c r="H2025" s="39" t="str">
        <x:v>H12</x:v>
      </x:c>
      <x:c r="I2025" s="39" t="str">
        <x:v>P2</x:v>
      </x:c>
      <x:c r="J2025" s="39" t="str">
        <x:v>H12</x:v>
      </x:c>
      <x:c r="K2025" s="39" t="str">
        <x:v>تطبیق احتمالی با پایه</x:v>
      </x:c>
      <x:c r="L2025" s="39" t="str">
        <x:v>MI-1249</x:v>
      </x:c>
      <x:c r="M2025" s="39" t="str">
        <x:v>روش شیمیایی</x:v>
      </x:c>
      <x:c r="N2025" s="39" t="str">
        <x:v>1154878548.docx::P6603.1 | 1154878548.docx::P6971.1</x:v>
      </x:c>
      <x:c r="O2025" s="39"/>
    </x:row>
    <x:row r="2026">
      <x:c r="A2026" s="34" t="str">
        <x:v>☐</x:v>
      </x:c>
      <x:c r="B2026" s="34" t="str">
        <x:v>EX-1998</x:v>
      </x:c>
      <x:c r="C2026" s="34" t="str">
        <x:v>داروهای      تاریخ گذشته</x:v>
      </x:c>
      <x:c r="D2026" s="34" t="str">
        <x:v>POSSIBLE</x:v>
      </x:c>
      <x:c r="E2026" s="34" t="str">
        <x:v>85.5</x:v>
      </x:c>
      <x:c r="F2026" s="34" t="str">
        <x:v>MI-0808</x:v>
      </x:c>
      <x:c r="G2026" s="39" t="str">
        <x:v>- نداشتن تاریخ انقضا دستمال کاغذی در سلف</x:v>
      </x:c>
      <x:c r="H2026" s="39" t="str">
        <x:v>H11</x:v>
      </x:c>
      <x:c r="I2026" s="39" t="str">
        <x:v>DELEGATE/P2</x:v>
      </x:c>
      <x:c r="J2026" s="39" t="str">
        <x:v>H11</x:v>
      </x:c>
      <x:c r="K2026" s="39" t="str">
        <x:v>تطبیق احتمالی با پایه</x:v>
      </x:c>
      <x:c r="L2026" s="39" t="str">
        <x:v>MI-0808</x:v>
      </x:c>
      <x:c r="M2026" s="39" t="str">
        <x:v>- نداشتن تاریخ انقضا دستمال کاغذی در سلف</x:v>
      </x:c>
      <x:c r="N2026" s="39" t="str">
        <x:v>1154878548.docx::P6604.1 | 1154878548.docx::P6972.1</x:v>
      </x:c>
      <x:c r="O2026" s="39"/>
    </x:row>
    <x:row r="2027">
      <x:c r="A2027" s="34" t="str">
        <x:v>☐</x:v>
      </x:c>
      <x:c r="B2027" s="34" t="str">
        <x:v>EX-1999</x:v>
      </x:c>
      <x:c r="C2027" s="34" t="str">
        <x:v>انواع      سموم</x:v>
      </x:c>
      <x:c r="D2027" s="34" t="str">
        <x:v>POSSIBLE</x:v>
      </x:c>
      <x:c r="E2027" s="34" t="str">
        <x:v>85.5</x:v>
      </x:c>
      <x:c r="F2027" s="34" t="str">
        <x:v>MI-1510</x:v>
      </x:c>
      <x:c r="G2027" s="39" t="str">
        <x:v>دانش مالی: درک مفاهیم مالی، آشنایی با انواع سرمایه گذاری ها.</x:v>
      </x:c>
      <x:c r="H2027" s="39" t="str">
        <x:v>H1</x:v>
      </x:c>
      <x:c r="I2027" s="39" t="str">
        <x:v>P0</x:v>
      </x:c>
      <x:c r="J2027" s="39" t="str">
        <x:v>H1</x:v>
      </x:c>
      <x:c r="K2027" s="39" t="str">
        <x:v>تطبیق احتمالی با پایه</x:v>
      </x:c>
      <x:c r="L2027" s="39" t="str">
        <x:v>MI-1510</x:v>
      </x:c>
      <x:c r="M2027" s="39" t="str">
        <x:v>دانش مالی: درک مفاهیم مالی، آشنایی با انواع سرمایه گذاری ها.</x:v>
      </x:c>
      <x:c r="N2027" s="39" t="str">
        <x:v>1154878548.docx::P6605.1 | 1154878548.docx::P6973.1</x:v>
      </x:c>
      <x:c r="O2027" s="39"/>
    </x:row>
    <x:row r="2028">
      <x:c r="A2028" s="34" t="str">
        <x:v>☐</x:v>
      </x:c>
      <x:c r="B2028" s="34" t="str">
        <x:v>EX-2000</x:v>
      </x:c>
      <x:c r="C2028" s="34" t="str">
        <x:v>دماسنج      ها و فشارسنج های جیوه ای</x:v>
      </x:c>
      <x:c r="D2028" s="34" t="str">
        <x:v>POSSIBLE</x:v>
      </x:c>
      <x:c r="E2028" s="34" t="str">
        <x:v>85.5</x:v>
      </x:c>
      <x:c r="F2028" s="34" t="str">
        <x:v>MI-1501</x:v>
      </x:c>
      <x:c r="G2028" s="39" t="str">
        <x:v>مدیریت ریسک: شناسایی ریسک ها، ارزیابی اثرات، تدوین برنامه های مقابله با ریسک ها.</x:v>
      </x:c>
      <x:c r="H2028" s="39" t="str">
        <x:v>H1</x:v>
      </x:c>
      <x:c r="I2028" s="39" t="str">
        <x:v>P0</x:v>
      </x:c>
      <x:c r="J2028" s="39" t="str">
        <x:v>H1</x:v>
      </x:c>
      <x:c r="K2028" s="39" t="str">
        <x:v>تطبیق احتمالی با پایه</x:v>
      </x:c>
      <x:c r="L2028" s="39" t="str">
        <x:v>MI-1501</x:v>
      </x:c>
      <x:c r="M2028" s="39" t="str">
        <x:v>مدیریت ریسک: شناسایی ریسک ها، ارزیابی اثرات، تدوین برنامه های مقابله با ریسک ها.</x:v>
      </x:c>
      <x:c r="N2028" s="39" t="str">
        <x:v>1154878548.docx::P6606.1 | 1154878548.docx::P6974.1</x:v>
      </x:c>
      <x:c r="O2028" s="39"/>
    </x:row>
    <x:row r="2029">
      <x:c r="A2029" s="34" t="str">
        <x:v>☐</x:v>
      </x:c>
      <x:c r="B2029" s="34" t="str">
        <x:v>EX-2001</x:v>
      </x:c>
      <x:c r="C2029" s="34" t="str">
        <x:v>مواد      رادیواکتیو</x:v>
      </x:c>
      <x:c r="D2029" s="34" t="str">
        <x:v>POSSIBLE</x:v>
      </x:c>
      <x:c r="E2029" s="34" t="str">
        <x:v>85.5</x:v>
      </x:c>
      <x:c r="F2029" s="34" t="str">
        <x:v>MI-1262</x:v>
      </x:c>
      <x:c r="G2029" s="39" t="str">
        <x:v>مواد غذایی ، پسماند گیاهی و جانوری</x:v>
      </x:c>
      <x:c r="H2029" s="39" t="str">
        <x:v>H12</x:v>
      </x:c>
      <x:c r="I2029" s="39" t="str">
        <x:v>P2</x:v>
      </x:c>
      <x:c r="J2029" s="39" t="str">
        <x:v>H12</x:v>
      </x:c>
      <x:c r="K2029" s="39" t="str">
        <x:v>تطبیق احتمالی با پایه</x:v>
      </x:c>
      <x:c r="L2029" s="39" t="str">
        <x:v>MI-1262</x:v>
      </x:c>
      <x:c r="M2029" s="39" t="str">
        <x:v>مواد غذایی ، پسماند گیاهی و جانوری</x:v>
      </x:c>
      <x:c r="N2029" s="39" t="str">
        <x:v>1154878548.docx::P6607.1 | 1154878548.docx::P6975.1</x:v>
      </x:c>
      <x:c r="O2029" s="39"/>
    </x:row>
    <x:row r="2030">
      <x:c r="A2030" s="34" t="str">
        <x:v>☐</x:v>
      </x:c>
      <x:c r="B2030" s="34" t="str">
        <x:v>EX-2002</x:v>
      </x:c>
      <x:c r="C2030" s="34" t="str">
        <x:v>مواد      منفجره و آتش زا</x:v>
      </x:c>
      <x:c r="D2030" s="34" t="str">
        <x:v>POSSIBLE</x:v>
      </x:c>
      <x:c r="E2030" s="34" t="str">
        <x:v>85.5</x:v>
      </x:c>
      <x:c r="F2030" s="34" t="str">
        <x:v>MI-1513</x:v>
      </x:c>
      <x:c r="G2030" s="39" t="str">
        <x:v>تولید و کارآفرینی: توانایی تولید محصول و خدمات و ایجاد شغل.</x:v>
      </x:c>
      <x:c r="H2030" s="39" t="str">
        <x:v>H1</x:v>
      </x:c>
      <x:c r="I2030" s="39" t="str">
        <x:v>P0</x:v>
      </x:c>
      <x:c r="J2030" s="39" t="str">
        <x:v>H1</x:v>
      </x:c>
      <x:c r="K2030" s="39" t="str">
        <x:v>تطبیق احتمالی با پایه</x:v>
      </x:c>
      <x:c r="L2030" s="39" t="str">
        <x:v>MI-1513</x:v>
      </x:c>
      <x:c r="M2030" s="39" t="str">
        <x:v>تولید و کارآفرینی: توانایی تولید محصول و خدمات و ایجاد شغل.</x:v>
      </x:c>
      <x:c r="N2030" s="39" t="str">
        <x:v>1154878548.docx::P6608.1 | 1154878548.docx::P6976.1</x:v>
      </x:c>
      <x:c r="O2030" s="39"/>
    </x:row>
    <x:row r="2031">
      <x:c r="A2031" s="34" t="str">
        <x:v>☐</x:v>
      </x:c>
      <x:c r="B2031" s="34" t="str">
        <x:v>EX-2003</x:v>
      </x:c>
      <x:c r="C2031" s="34" t="str">
        <x:v>13. روغن ها:</x:v>
      </x:c>
      <x:c r="D2031" s="34" t="str">
        <x:v>POSSIBLE</x:v>
      </x:c>
      <x:c r="E2031" s="34" t="str">
        <x:v>85.5</x:v>
      </x:c>
      <x:c r="F2031" s="34" t="str">
        <x:v>MI-1501</x:v>
      </x:c>
      <x:c r="G2031" s="39" t="str">
        <x:v>مدیریت ریسک: شناسایی ریسک ها، ارزیابی اثرات، تدوین برنامه های مقابله با ریسک ها.</x:v>
      </x:c>
      <x:c r="H2031" s="39" t="str">
        <x:v>H1</x:v>
      </x:c>
      <x:c r="I2031" s="39" t="str">
        <x:v>P0</x:v>
      </x:c>
      <x:c r="J2031" s="39" t="str">
        <x:v>H1</x:v>
      </x:c>
      <x:c r="K2031" s="39" t="str">
        <x:v>تطبیق احتمالی با پایه</x:v>
      </x:c>
      <x:c r="L2031" s="39" t="str">
        <x:v>MI-1501</x:v>
      </x:c>
      <x:c r="M2031" s="39" t="str">
        <x:v>مدیریت ریسک: شناسایی ریسک ها، ارزیابی اثرات، تدوین برنامه های مقابله با ریسک ها.</x:v>
      </x:c>
      <x:c r="N2031" s="39" t="str">
        <x:v>1154878548.docx::P6609.1 | 1154878548.docx::P6977.1</x:v>
      </x:c>
      <x:c r="O2031" s="39"/>
    </x:row>
    <x:row r="2032">
      <x:c r="A2032" s="34" t="str">
        <x:v>☐</x:v>
      </x:c>
      <x:c r="B2032" s="34" t="str">
        <x:v>EX-2004</x:v>
      </x:c>
      <x:c r="C2032" s="34" t="str">
        <x:v>روغن      های خوراکی سوخته</x:v>
      </x:c>
      <x:c r="D2032" s="34" t="str">
        <x:v>POSSIBLE</x:v>
      </x:c>
      <x:c r="E2032" s="34" t="str">
        <x:v>85.5</x:v>
      </x:c>
      <x:c r="F2032" s="34" t="str">
        <x:v>MI-1501</x:v>
      </x:c>
      <x:c r="G2032" s="39" t="str">
        <x:v>مدیریت ریسک: شناسایی ریسک ها، ارزیابی اثرات، تدوین برنامه های مقابله با ریسک ها.</x:v>
      </x:c>
      <x:c r="H2032" s="39" t="str">
        <x:v>H1</x:v>
      </x:c>
      <x:c r="I2032" s="39" t="str">
        <x:v>P0</x:v>
      </x:c>
      <x:c r="J2032" s="39" t="str">
        <x:v>H1</x:v>
      </x:c>
      <x:c r="K2032" s="39" t="str">
        <x:v>تطبیق احتمالی با پایه</x:v>
      </x:c>
      <x:c r="L2032" s="39" t="str">
        <x:v>MI-1501</x:v>
      </x:c>
      <x:c r="M2032" s="39" t="str">
        <x:v>مدیریت ریسک: شناسایی ریسک ها، ارزیابی اثرات، تدوین برنامه های مقابله با ریسک ها.</x:v>
      </x:c>
      <x:c r="N2032" s="39" t="str">
        <x:v>1154878548.docx::P6610.1 | 1154878548.docx::P6978.1</x:v>
      </x:c>
      <x:c r="O2032" s="39"/>
    </x:row>
    <x:row r="2033">
      <x:c r="A2033" s="34" t="str">
        <x:v>☐</x:v>
      </x:c>
      <x:c r="B2033" s="34" t="str">
        <x:v>EX-2005</x:v>
      </x:c>
      <x:c r="C2033" s="34" t="str">
        <x:v>روغن      موتور و سایر روغن های صنعتی</x:v>
      </x:c>
      <x:c r="D2033" s="34" t="str">
        <x:v>POSSIBLE</x:v>
      </x:c>
      <x:c r="E2033" s="34" t="str">
        <x:v>90.0</x:v>
      </x:c>
      <x:c r="F2033" s="34" t="str">
        <x:v>MI-1345</x:v>
      </x:c>
      <x:c r="G2033" s="39" t="str">
        <x:v>روغن موتور</x:v>
      </x:c>
      <x:c r="H2033" s="39" t="str">
        <x:v>H12</x:v>
      </x:c>
      <x:c r="I2033" s="39" t="str">
        <x:v>P2</x:v>
      </x:c>
      <x:c r="J2033" s="39" t="str">
        <x:v>H12</x:v>
      </x:c>
      <x:c r="K2033" s="39" t="str">
        <x:v>تطبیق احتمالی با پایه</x:v>
      </x:c>
      <x:c r="L2033" s="39" t="str">
        <x:v>MI-1345</x:v>
      </x:c>
      <x:c r="M2033" s="39" t="str">
        <x:v>روغن موتور</x:v>
      </x:c>
      <x:c r="N2033" s="39" t="str">
        <x:v>1154878548.docx::P6611.1 | 1154878548.docx::P6979.1</x:v>
      </x:c>
      <x:c r="O2033" s="39"/>
    </x:row>
    <x:row r="2034">
      <x:c r="A2034" s="34" t="str">
        <x:v>☐</x:v>
      </x:c>
      <x:c r="B2034" s="34" t="str">
        <x:v>EX-2006</x:v>
      </x:c>
      <x:c r="C2034" s="34" t="str">
        <x:v>فیلترهای      روغن</x:v>
      </x:c>
      <x:c r="D2034" s="34" t="str">
        <x:v>POSSIBLE</x:v>
      </x:c>
      <x:c r="E2034" s="34" t="str">
        <x:v>85.5</x:v>
      </x:c>
      <x:c r="F2034" s="34" t="str">
        <x:v>MI-1297</x:v>
      </x:c>
      <x:c r="G2034" s="39" t="str">
        <x:v>مواد آلی و روغن های موتو</x:v>
      </x:c>
      <x:c r="H2034" s="39" t="str">
        <x:v>H12</x:v>
      </x:c>
      <x:c r="I2034" s="39" t="str">
        <x:v>P2</x:v>
      </x:c>
      <x:c r="J2034" s="39" t="str">
        <x:v>H12</x:v>
      </x:c>
      <x:c r="K2034" s="39" t="str">
        <x:v>تطبیق احتمالی با پایه</x:v>
      </x:c>
      <x:c r="L2034" s="39" t="str">
        <x:v>MI-1297</x:v>
      </x:c>
      <x:c r="M2034" s="39" t="str">
        <x:v>مواد آلی و روغن های موتو</x:v>
      </x:c>
      <x:c r="N2034" s="39" t="str">
        <x:v>1154878548.docx::P6612.1 | 1154878548.docx::P6980.1</x:v>
      </x:c>
      <x:c r="O2034" s="39"/>
    </x:row>
    <x:row r="2035">
      <x:c r="A2035" s="34" t="str">
        <x:v>☐</x:v>
      </x:c>
      <x:c r="B2035" s="34" t="str">
        <x:v>EX-2007</x:v>
      </x:c>
      <x:c r="C2035" s="34" t="str">
        <x:v>14. منسوجات غیر معمول:</x:v>
      </x:c>
      <x:c r="D2035" s="34" t="str">
        <x:v>POSSIBLE</x:v>
      </x:c>
      <x:c r="E2035" s="34" t="str">
        <x:v>85.5</x:v>
      </x:c>
      <x:c r="F2035" s="34" t="str">
        <x:v>MI-2742</x:v>
      </x:c>
      <x:c r="G2035" s="39" t="str">
        <x:v>14. برنامه Entrepreneur in Residence (EiR)</x:v>
      </x:c>
      <x:c r="H2035" s="39" t="str">
        <x:v>H10</x:v>
      </x:c>
      <x:c r="I2035" s="39" t="str">
        <x:v>P2</x:v>
      </x:c>
      <x:c r="J2035" s="39" t="str">
        <x:v>H10</x:v>
      </x:c>
      <x:c r="K2035" s="39" t="str">
        <x:v>تطبیق احتمالی با پایه</x:v>
      </x:c>
      <x:c r="L2035" s="39" t="str">
        <x:v>MI-2742</x:v>
      </x:c>
      <x:c r="M2035" s="39" t="str">
        <x:v>14. برنامه Entrepreneur in Residence (EiR)</x:v>
      </x:c>
      <x:c r="N2035" s="39" t="str">
        <x:v>1154878548.docx::P6613.1 | 1154878548.docx::P6981.1</x:v>
      </x:c>
      <x:c r="O2035" s="39"/>
    </x:row>
    <x:row r="2036">
      <x:c r="A2036" s="34" t="str">
        <x:v>☐</x:v>
      </x:c>
      <x:c r="B2036" s="34" t="str">
        <x:v>EX-2008</x:v>
      </x:c>
      <x:c r="C2036" s="34" t="str">
        <x:v>چادرهای      مسافرتی و برزنت</x:v>
      </x:c>
      <x:c r="D2036" s="34" t="str">
        <x:v>POSSIBLE</x:v>
      </x:c>
      <x:c r="E2036" s="34" t="str">
        <x:v>85.5</x:v>
      </x:c>
      <x:c r="F2036" s="34" t="str">
        <x:v>MI-1513</x:v>
      </x:c>
      <x:c r="G2036" s="39" t="str">
        <x:v>تولید و کارآفرینی: توانایی تولید محصول و خدمات و ایجاد شغل.</x:v>
      </x:c>
      <x:c r="H2036" s="39" t="str">
        <x:v>H1</x:v>
      </x:c>
      <x:c r="I2036" s="39" t="str">
        <x:v>P0</x:v>
      </x:c>
      <x:c r="J2036" s="39" t="str">
        <x:v>H1</x:v>
      </x:c>
      <x:c r="K2036" s="39" t="str">
        <x:v>تطبیق احتمالی با پایه</x:v>
      </x:c>
      <x:c r="L2036" s="39" t="str">
        <x:v>MI-1513</x:v>
      </x:c>
      <x:c r="M2036" s="39" t="str">
        <x:v>تولید و کارآفرینی: توانایی تولید محصول و خدمات و ایجاد شغل.</x:v>
      </x:c>
      <x:c r="N2036" s="39" t="str">
        <x:v>1154878548.docx::P6614.1 | 1154878548.docx::P6982.1</x:v>
      </x:c>
      <x:c r="O2036" s="39"/>
    </x:row>
    <x:row r="2037">
      <x:c r="A2037" s="34" t="str">
        <x:v>☐</x:v>
      </x:c>
      <x:c r="B2037" s="34" t="str">
        <x:v>EX-2009</x:v>
      </x:c>
      <x:c r="C2037" s="34" t="str">
        <x:v>طناب      های کوهنوردی و ایمنی</x:v>
      </x:c>
      <x:c r="D2037" s="34" t="str">
        <x:v>POSSIBLE</x:v>
      </x:c>
      <x:c r="E2037" s="34" t="str">
        <x:v>85.5</x:v>
      </x:c>
      <x:c r="F2037" s="34" t="str">
        <x:v>MI-1501</x:v>
      </x:c>
      <x:c r="G2037" s="39" t="str">
        <x:v>مدیریت ریسک: شناسایی ریسک ها، ارزیابی اثرات، تدوین برنامه های مقابله با ریسک ها.</x:v>
      </x:c>
      <x:c r="H2037" s="39" t="str">
        <x:v>H1</x:v>
      </x:c>
      <x:c r="I2037" s="39" t="str">
        <x:v>P0</x:v>
      </x:c>
      <x:c r="J2037" s="39" t="str">
        <x:v>H1</x:v>
      </x:c>
      <x:c r="K2037" s="39" t="str">
        <x:v>تطبیق احتمالی با پایه</x:v>
      </x:c>
      <x:c r="L2037" s="39" t="str">
        <x:v>MI-1501</x:v>
      </x:c>
      <x:c r="M2037" s="39" t="str">
        <x:v>مدیریت ریسک: شناسایی ریسک ها، ارزیابی اثرات، تدوین برنامه های مقابله با ریسک ها.</x:v>
      </x:c>
      <x:c r="N2037" s="39" t="str">
        <x:v>1154878548.docx::P6615.1 | 1154878548.docx::P6983.1</x:v>
      </x:c>
      <x:c r="O2037" s="39"/>
    </x:row>
    <x:row r="2038">
      <x:c r="A2038" s="34" t="str">
        <x:v>☐</x:v>
      </x:c>
      <x:c r="B2038" s="34" t="str">
        <x:v>EX-2010</x:v>
      </x:c>
      <x:c r="C2038" s="34" t="str">
        <x:v>تورهای      ماهیگیری</x:v>
      </x:c>
      <x:c r="D2038" s="34" t="str">
        <x:v>UNMAPPED</x:v>
      </x:c>
      <x:c r="E2038" s="34" t="str">
        <x:v>75.0</x:v>
      </x:c>
      <x:c r="F2038" s="34" t="str">
        <x:v>MI-1763</x:v>
      </x:c>
      <x:c r="G2038" s="39" t="str">
        <x:v>منتورها</x:v>
      </x:c>
      <x:c r="H2038" s="39" t="str">
        <x:v>H10</x:v>
      </x:c>
      <x:c r="I2038" s="39" t="str">
        <x:v>P2</x:v>
      </x:c>
      <x:c r="J2038" s="39" t="str">
        <x:v>H23</x:v>
      </x:c>
      <x:c r="K2038" s="39" t="str">
        <x:v>نیازمند پالایش؛ حذف نشده</x:v>
      </x:c>
      <x:c r="L2038" s="39"/>
      <x:c r="M2038" s="39"/>
      <x:c r="N2038" s="39" t="str">
        <x:v>1154878548.docx::P6616.1 | 1154878548.docx::P6984.1</x:v>
      </x:c>
      <x:c r="O2038" s="39"/>
    </x:row>
    <x:row r="2039">
      <x:c r="A2039" s="34" t="str">
        <x:v>☐</x:v>
      </x:c>
      <x:c r="B2039" s="34" t="str">
        <x:v>EX-2011</x:v>
      </x:c>
      <x:c r="C2039" s="34" t="str">
        <x:v>پرده      های کرکره ای و لوردراپه</x:v>
      </x:c>
      <x:c r="D2039" s="34" t="str">
        <x:v>POSSIBLE</x:v>
      </x:c>
      <x:c r="E2039" s="34" t="str">
        <x:v>85.5</x:v>
      </x:c>
      <x:c r="F2039" s="34" t="str">
        <x:v>MI-1501</x:v>
      </x:c>
      <x:c r="G2039" s="39" t="str">
        <x:v>مدیریت ریسک: شناسایی ریسک ها، ارزیابی اثرات، تدوین برنامه های مقابله با ریسک ها.</x:v>
      </x:c>
      <x:c r="H2039" s="39" t="str">
        <x:v>H1</x:v>
      </x:c>
      <x:c r="I2039" s="39" t="str">
        <x:v>P0</x:v>
      </x:c>
      <x:c r="J2039" s="39" t="str">
        <x:v>H1</x:v>
      </x:c>
      <x:c r="K2039" s="39" t="str">
        <x:v>تطبیق احتمالی با پایه</x:v>
      </x:c>
      <x:c r="L2039" s="39" t="str">
        <x:v>MI-1501</x:v>
      </x:c>
      <x:c r="M2039" s="39" t="str">
        <x:v>مدیریت ریسک: شناسایی ریسک ها، ارزیابی اثرات، تدوین برنامه های مقابله با ریسک ها.</x:v>
      </x:c>
      <x:c r="N2039" s="39" t="str">
        <x:v>1154878548.docx::P6617.1 | 1154878548.docx::P6985.1</x:v>
      </x:c>
      <x:c r="O2039" s="39"/>
    </x:row>
    <x:row r="2040">
      <x:c r="A2040" s="34" t="str">
        <x:v>☐</x:v>
      </x:c>
      <x:c r="B2040" s="34" t="str">
        <x:v>EX-2012</x:v>
      </x:c>
      <x:c r="C2040" s="34" t="str">
        <x:v>15. وسایل نقلیه:</x:v>
      </x:c>
      <x:c r="D2040" s="34" t="str">
        <x:v>POSSIBLE</x:v>
      </x:c>
      <x:c r="E2040" s="34" t="str">
        <x:v>85.5</x:v>
      </x:c>
      <x:c r="F2040" s="34" t="str">
        <x:v>MI-0895</x:v>
      </x:c>
      <x:c r="G2040" s="39" t="str">
        <x:v>جلسه با مسیول باشگاه و منعمی برای کمبود وسایل و نظ</x:v>
      </x:c>
      <x:c r="H2040" s="39" t="str">
        <x:v>H11</x:v>
      </x:c>
      <x:c r="I2040" s="39" t="str">
        <x:v>DELEGATE/P2</x:v>
      </x:c>
      <x:c r="J2040" s="39" t="str">
        <x:v>H11</x:v>
      </x:c>
      <x:c r="K2040" s="39" t="str">
        <x:v>تطبیق احتمالی با پایه</x:v>
      </x:c>
      <x:c r="L2040" s="39" t="str">
        <x:v>MI-0895</x:v>
      </x:c>
      <x:c r="M2040" s="39" t="str">
        <x:v>جلسه با مسیول باشگاه و منعمی برای کمبود وسایل و نظ</x:v>
      </x:c>
      <x:c r="N2040" s="39" t="str">
        <x:v>1154878548.docx::P6618.1 | 1154878548.docx::P6986.1</x:v>
      </x:c>
      <x:c r="O2040" s="39"/>
    </x:row>
    <x:row r="2041">
      <x:c r="A2041" s="34" t="str">
        <x:v>☐</x:v>
      </x:c>
      <x:c r="B2041" s="34" t="str">
        <x:v>EX-2013</x:v>
      </x:c>
      <x:c r="C2041" s="34" t="str">
        <x:v>دوچرخه      های فرسوده و قطعات آنها</x:v>
      </x:c>
      <x:c r="D2041" s="34" t="str">
        <x:v>POSSIBLE</x:v>
      </x:c>
      <x:c r="E2041" s="34" t="str">
        <x:v>85.5</x:v>
      </x:c>
      <x:c r="F2041" s="34" t="str">
        <x:v>MI-1501</x:v>
      </x:c>
      <x:c r="G2041" s="39" t="str">
        <x:v>مدیریت ریسک: شناسایی ریسک ها، ارزیابی اثرات، تدوین برنامه های مقابله با ریسک ها.</x:v>
      </x:c>
      <x:c r="H2041" s="39" t="str">
        <x:v>H1</x:v>
      </x:c>
      <x:c r="I2041" s="39" t="str">
        <x:v>P0</x:v>
      </x:c>
      <x:c r="J2041" s="39" t="str">
        <x:v>H1</x:v>
      </x:c>
      <x:c r="K2041" s="39" t="str">
        <x:v>تطبیق احتمالی با پایه</x:v>
      </x:c>
      <x:c r="L2041" s="39" t="str">
        <x:v>MI-1501</x:v>
      </x:c>
      <x:c r="M2041" s="39" t="str">
        <x:v>مدیریت ریسک: شناسایی ریسک ها، ارزیابی اثرات، تدوین برنامه های مقابله با ریسک ها.</x:v>
      </x:c>
      <x:c r="N2041" s="39" t="str">
        <x:v>1154878548.docx::P6619.1 | 1154878548.docx::P6987.1</x:v>
      </x:c>
      <x:c r="O2041" s="39"/>
    </x:row>
    <x:row r="2042">
      <x:c r="A2042" s="34" t="str">
        <x:v>☐</x:v>
      </x:c>
      <x:c r="B2042" s="34" t="str">
        <x:v>EX-2014</x:v>
      </x:c>
      <x:c r="C2042" s="34" t="str">
        <x:v>موتورسیکلت      های فرسوده و قطعات آنها</x:v>
      </x:c>
      <x:c r="D2042" s="34" t="str">
        <x:v>POSSIBLE</x:v>
      </x:c>
      <x:c r="E2042" s="34" t="str">
        <x:v>85.5</x:v>
      </x:c>
      <x:c r="F2042" s="34" t="str">
        <x:v>MI-1501</x:v>
      </x:c>
      <x:c r="G2042" s="39" t="str">
        <x:v>مدیریت ریسک: شناسایی ریسک ها، ارزیابی اثرات، تدوین برنامه های مقابله با ریسک ها.</x:v>
      </x:c>
      <x:c r="H2042" s="39" t="str">
        <x:v>H1</x:v>
      </x:c>
      <x:c r="I2042" s="39" t="str">
        <x:v>P0</x:v>
      </x:c>
      <x:c r="J2042" s="39" t="str">
        <x:v>H1</x:v>
      </x:c>
      <x:c r="K2042" s="39" t="str">
        <x:v>تطبیق احتمالی با پایه</x:v>
      </x:c>
      <x:c r="L2042" s="39" t="str">
        <x:v>MI-1501</x:v>
      </x:c>
      <x:c r="M2042" s="39" t="str">
        <x:v>مدیریت ریسک: شناسایی ریسک ها، ارزیابی اثرات، تدوین برنامه های مقابله با ریسک ها.</x:v>
      </x:c>
      <x:c r="N2042" s="39" t="str">
        <x:v>1154878548.docx::P6620.1 | 1154878548.docx::P6988.1</x:v>
      </x:c>
      <x:c r="O2042" s="39"/>
    </x:row>
    <x:row r="2043">
      <x:c r="A2043" s="34" t="str">
        <x:v>☐</x:v>
      </x:c>
      <x:c r="B2043" s="34" t="str">
        <x:v>EX-2015</x:v>
      </x:c>
      <x:c r="C2043" s="34" t="str">
        <x:v>خودروهای      فرسوده و قطعات آنها</x:v>
      </x:c>
      <x:c r="D2043" s="34" t="str">
        <x:v>POSSIBLE</x:v>
      </x:c>
      <x:c r="E2043" s="34" t="str">
        <x:v>85.5</x:v>
      </x:c>
      <x:c r="F2043" s="34" t="str">
        <x:v>MI-1513</x:v>
      </x:c>
      <x:c r="G2043" s="39" t="str">
        <x:v>تولید و کارآفرینی: توانایی تولید محصول و خدمات و ایجاد شغل.</x:v>
      </x:c>
      <x:c r="H2043" s="39" t="str">
        <x:v>H1</x:v>
      </x:c>
      <x:c r="I2043" s="39" t="str">
        <x:v>P0</x:v>
      </x:c>
      <x:c r="J2043" s="39" t="str">
        <x:v>H1</x:v>
      </x:c>
      <x:c r="K2043" s="39" t="str">
        <x:v>تطبیق احتمالی با پایه</x:v>
      </x:c>
      <x:c r="L2043" s="39" t="str">
        <x:v>MI-1513</x:v>
      </x:c>
      <x:c r="M2043" s="39" t="str">
        <x:v>تولید و کارآفرینی: توانایی تولید محصول و خدمات و ایجاد شغل.</x:v>
      </x:c>
      <x:c r="N2043" s="39" t="str">
        <x:v>1154878548.docx::P6621.1 | 1154878548.docx::P6989.1</x:v>
      </x:c>
      <x:c r="O2043" s="39"/>
    </x:row>
    <x:row r="2044">
      <x:c r="A2044" s="34" t="str">
        <x:v>☐</x:v>
      </x:c>
      <x:c r="B2044" s="34" t="str">
        <x:v>EX-2016</x:v>
      </x:c>
      <x:c r="C2044" s="34" t="str">
        <x:v>باتری      های خودرو</x:v>
      </x:c>
      <x:c r="D2044" s="34" t="str">
        <x:v>POSSIBLE</x:v>
      </x:c>
      <x:c r="E2044" s="34" t="str">
        <x:v>90.0</x:v>
      </x:c>
      <x:c r="F2044" s="34" t="str">
        <x:v>MI-1280</x:v>
      </x:c>
      <x:c r="G2044" s="39" t="str">
        <x:v>باتری</x:v>
      </x:c>
      <x:c r="H2044" s="39" t="str">
        <x:v>H12</x:v>
      </x:c>
      <x:c r="I2044" s="39" t="str">
        <x:v>P2</x:v>
      </x:c>
      <x:c r="J2044" s="39" t="str">
        <x:v>H12</x:v>
      </x:c>
      <x:c r="K2044" s="39" t="str">
        <x:v>تطبیق احتمالی با پایه</x:v>
      </x:c>
      <x:c r="L2044" s="39" t="str">
        <x:v>MI-1280</x:v>
      </x:c>
      <x:c r="M2044" s="39" t="str">
        <x:v>باتری</x:v>
      </x:c>
      <x:c r="N2044" s="39" t="str">
        <x:v>1154878548.docx::P6622.1 | 1154878548.docx::P6990.1</x:v>
      </x:c>
      <x:c r="O2044" s="39"/>
    </x:row>
    <x:row r="2045">
      <x:c r="A2045" s="34" t="str">
        <x:v>☐</x:v>
      </x:c>
      <x:c r="B2045" s="34" t="str">
        <x:v>EX-2017</x:v>
      </x:c>
      <x:c r="C2045" s="34" t="str">
        <x:v>لاستیک      های خودرو</x:v>
      </x:c>
      <x:c r="D2045" s="34" t="str">
        <x:v>POSSIBLE</x:v>
      </x:c>
      <x:c r="E2045" s="34" t="str">
        <x:v>85.5</x:v>
      </x:c>
      <x:c r="F2045" s="34" t="str">
        <x:v>MI-1501</x:v>
      </x:c>
      <x:c r="G2045" s="39" t="str">
        <x:v>مدیریت ریسک: شناسایی ریسک ها، ارزیابی اثرات، تدوین برنامه های مقابله با ریسک ها.</x:v>
      </x:c>
      <x:c r="H2045" s="39" t="str">
        <x:v>H1</x:v>
      </x:c>
      <x:c r="I2045" s="39" t="str">
        <x:v>P0</x:v>
      </x:c>
      <x:c r="J2045" s="39" t="str">
        <x:v>H1</x:v>
      </x:c>
      <x:c r="K2045" s="39" t="str">
        <x:v>تطبیق احتمالی با پایه</x:v>
      </x:c>
      <x:c r="L2045" s="39" t="str">
        <x:v>MI-1501</x:v>
      </x:c>
      <x:c r="M2045" s="39" t="str">
        <x:v>مدیریت ریسک: شناسایی ریسک ها، ارزیابی اثرات، تدوین برنامه های مقابله با ریسک ها.</x:v>
      </x:c>
      <x:c r="N2045" s="39" t="str">
        <x:v>1154878548.docx::P6623.1 | 1154878548.docx::P6991.1</x:v>
      </x:c>
      <x:c r="O2045" s="39"/>
    </x:row>
    <x:row r="2046">
      <x:c r="A2046" s="34" t="str">
        <x:v>☐</x:v>
      </x:c>
      <x:c r="B2046" s="34" t="str">
        <x:v>EX-2018</x:v>
      </x:c>
      <x:c r="C2046" s="34" t="str">
        <x:v>16. وسایل پزشکی:</x:v>
      </x:c>
      <x:c r="D2046" s="34" t="str">
        <x:v>POSSIBLE</x:v>
      </x:c>
      <x:c r="E2046" s="34" t="str">
        <x:v>85.5</x:v>
      </x:c>
      <x:c r="F2046" s="34" t="str">
        <x:v>MI-0895</x:v>
      </x:c>
      <x:c r="G2046" s="39" t="str">
        <x:v>جلسه با مسیول باشگاه و منعمی برای کمبود وسایل و نظ</x:v>
      </x:c>
      <x:c r="H2046" s="39" t="str">
        <x:v>H11</x:v>
      </x:c>
      <x:c r="I2046" s="39" t="str">
        <x:v>DELEGATE/P2</x:v>
      </x:c>
      <x:c r="J2046" s="39" t="str">
        <x:v>H11</x:v>
      </x:c>
      <x:c r="K2046" s="39" t="str">
        <x:v>تطبیق احتمالی با پایه</x:v>
      </x:c>
      <x:c r="L2046" s="39" t="str">
        <x:v>MI-0895</x:v>
      </x:c>
      <x:c r="M2046" s="39" t="str">
        <x:v>جلسه با مسیول باشگاه و منعمی برای کمبود وسایل و نظ</x:v>
      </x:c>
      <x:c r="N2046" s="39" t="str">
        <x:v>1154878548.docx::P6624.1 | 1154878548.docx::P6992.1</x:v>
      </x:c>
      <x:c r="O2046" s="39"/>
    </x:row>
    <x:row r="2047">
      <x:c r="A2047" s="34" t="str">
        <x:v>☐</x:v>
      </x:c>
      <x:c r="B2047" s="34" t="str">
        <x:v>EX-2019</x:v>
      </x:c>
      <x:c r="C2047" s="34" t="str">
        <x:v>تجهیزات      پزشکی یکبار مصرف (با رعایت نکات بهداشتی)</x:v>
      </x:c>
      <x:c r="D2047" s="34" t="str">
        <x:v>POSSIBLE</x:v>
      </x:c>
      <x:c r="E2047" s="34" t="str">
        <x:v>85.5</x:v>
      </x:c>
      <x:c r="F2047" s="34" t="str">
        <x:v>MI-1501</x:v>
      </x:c>
      <x:c r="G2047" s="39" t="str">
        <x:v>مدیریت ریسک: شناسایی ریسک ها، ارزیابی اثرات، تدوین برنامه های مقابله با ریسک ها.</x:v>
      </x:c>
      <x:c r="H2047" s="39" t="str">
        <x:v>H1</x:v>
      </x:c>
      <x:c r="I2047" s="39" t="str">
        <x:v>P0</x:v>
      </x:c>
      <x:c r="J2047" s="39" t="str">
        <x:v>H1</x:v>
      </x:c>
      <x:c r="K2047" s="39" t="str">
        <x:v>تطبیق احتمالی با پایه</x:v>
      </x:c>
      <x:c r="L2047" s="39" t="str">
        <x:v>MI-1501</x:v>
      </x:c>
      <x:c r="M2047" s="39" t="str">
        <x:v>مدیریت ریسک: شناسایی ریسک ها، ارزیابی اثرات، تدوین برنامه های مقابله با ریسک ها.</x:v>
      </x:c>
      <x:c r="N2047" s="39" t="str">
        <x:v>1154878548.docx::P6625.1 | 1154878548.docx::P6993.1</x:v>
      </x:c>
      <x:c r="O2047" s="39"/>
    </x:row>
    <x:row r="2048">
      <x:c r="A2048" s="34" t="str">
        <x:v>☐</x:v>
      </x:c>
      <x:c r="B2048" s="34" t="str">
        <x:v>EX-2020</x:v>
      </x:c>
      <x:c r="C2048" s="34" t="str">
        <x:v>دستگاه      های پزشکی الکترونیکی</x:v>
      </x:c>
      <x:c r="D2048" s="34" t="str">
        <x:v>POSSIBLE</x:v>
      </x:c>
      <x:c r="E2048" s="34" t="str">
        <x:v>85.5</x:v>
      </x:c>
      <x:c r="F2048" s="34" t="str">
        <x:v>MI-1501</x:v>
      </x:c>
      <x:c r="G2048" s="39" t="str">
        <x:v>مدیریت ریسک: شناسایی ریسک ها، ارزیابی اثرات، تدوین برنامه های مقابله با ریسک ها.</x:v>
      </x:c>
      <x:c r="H2048" s="39" t="str">
        <x:v>H1</x:v>
      </x:c>
      <x:c r="I2048" s="39" t="str">
        <x:v>P0</x:v>
      </x:c>
      <x:c r="J2048" s="39" t="str">
        <x:v>H1</x:v>
      </x:c>
      <x:c r="K2048" s="39" t="str">
        <x:v>تطبیق احتمالی با پایه</x:v>
      </x:c>
      <x:c r="L2048" s="39" t="str">
        <x:v>MI-1501</x:v>
      </x:c>
      <x:c r="M2048" s="39" t="str">
        <x:v>مدیریت ریسک: شناسایی ریسک ها، ارزیابی اثرات، تدوین برنامه های مقابله با ریسک ها.</x:v>
      </x:c>
      <x:c r="N2048" s="39" t="str">
        <x:v>1154878548.docx::P6626.1 | 1154878548.docx::P6994.1</x:v>
      </x:c>
      <x:c r="O2048" s="39"/>
    </x:row>
    <x:row r="2049">
      <x:c r="A2049" s="34" t="str">
        <x:v>☐</x:v>
      </x:c>
      <x:c r="B2049" s="34" t="str">
        <x:v>EX-2021</x:v>
      </x:c>
      <x:c r="C2049" s="34" t="str">
        <x:v>انواع      پروتزها و اندام های مصنوعی</x:v>
      </x:c>
      <x:c r="D2049" s="34" t="str">
        <x:v>POSSIBLE</x:v>
      </x:c>
      <x:c r="E2049" s="34" t="str">
        <x:v>85.5</x:v>
      </x:c>
      <x:c r="F2049" s="34" t="str">
        <x:v>MI-1501</x:v>
      </x:c>
      <x:c r="G2049" s="39" t="str">
        <x:v>مدیریت ریسک: شناسایی ریسک ها، ارزیابی اثرات، تدوین برنامه های مقابله با ریسک ها.</x:v>
      </x:c>
      <x:c r="H2049" s="39" t="str">
        <x:v>H1</x:v>
      </x:c>
      <x:c r="I2049" s="39" t="str">
        <x:v>P0</x:v>
      </x:c>
      <x:c r="J2049" s="39" t="str">
        <x:v>H1</x:v>
      </x:c>
      <x:c r="K2049" s="39" t="str">
        <x:v>تطبیق احتمالی با پایه</x:v>
      </x:c>
      <x:c r="L2049" s="39" t="str">
        <x:v>MI-1501</x:v>
      </x:c>
      <x:c r="M2049" s="39" t="str">
        <x:v>مدیریت ریسک: شناسایی ریسک ها، ارزیابی اثرات، تدوین برنامه های مقابله با ریسک ها.</x:v>
      </x:c>
      <x:c r="N2049" s="39" t="str">
        <x:v>1154878548.docx::P6627.1 | 1154878548.docx::P6995.1</x:v>
      </x:c>
      <x:c r="O2049" s="39"/>
    </x:row>
    <x:row r="2050">
      <x:c r="A2050" s="34" t="str">
        <x:v>☐</x:v>
      </x:c>
      <x:c r="B2050" s="34" t="str">
        <x:v>EX-2022</x:v>
      </x:c>
      <x:c r="C2050" s="34" t="str">
        <x:v>17. مبلمان و وسایل منزل:</x:v>
      </x:c>
      <x:c r="D2050" s="34" t="str">
        <x:v>POSSIBLE</x:v>
      </x:c>
      <x:c r="E2050" s="34" t="str">
        <x:v>85.5</x:v>
      </x:c>
      <x:c r="F2050" s="34" t="str">
        <x:v>MI-1513</x:v>
      </x:c>
      <x:c r="G2050" s="39" t="str">
        <x:v>تولید و کارآفرینی: توانایی تولید محصول و خدمات و ایجاد شغل.</x:v>
      </x:c>
      <x:c r="H2050" s="39" t="str">
        <x:v>H1</x:v>
      </x:c>
      <x:c r="I2050" s="39" t="str">
        <x:v>P0</x:v>
      </x:c>
      <x:c r="J2050" s="39" t="str">
        <x:v>H1</x:v>
      </x:c>
      <x:c r="K2050" s="39" t="str">
        <x:v>تطبیق احتمالی با پایه</x:v>
      </x:c>
      <x:c r="L2050" s="39" t="str">
        <x:v>MI-1513</x:v>
      </x:c>
      <x:c r="M2050" s="39" t="str">
        <x:v>تولید و کارآفرینی: توانایی تولید محصول و خدمات و ایجاد شغل.</x:v>
      </x:c>
      <x:c r="N2050" s="39" t="str">
        <x:v>1154878548.docx::P6628.1 | 1154878548.docx::P6996.1</x:v>
      </x:c>
      <x:c r="O2050" s="39"/>
    </x:row>
    <x:row r="2051">
      <x:c r="A2051" s="34" t="str">
        <x:v>☐</x:v>
      </x:c>
      <x:c r="B2051" s="34" t="str">
        <x:v>EX-2023</x:v>
      </x:c>
      <x:c r="C2051" s="34" t="str">
        <x:v>مبلمان      چوبی، فلزی و پلاستیکی فرسوده</x:v>
      </x:c>
      <x:c r="D2051" s="34" t="str">
        <x:v>POSSIBLE</x:v>
      </x:c>
      <x:c r="E2051" s="34" t="str">
        <x:v>90.0</x:v>
      </x:c>
      <x:c r="F2051" s="34" t="str">
        <x:v>MI-1247</x:v>
      </x:c>
      <x:c r="G2051" s="39" t="str">
        <x:v>پلاستیک</x:v>
      </x:c>
      <x:c r="H2051" s="39" t="str">
        <x:v>H12</x:v>
      </x:c>
      <x:c r="I2051" s="39" t="str">
        <x:v>P2</x:v>
      </x:c>
      <x:c r="J2051" s="39" t="str">
        <x:v>H12</x:v>
      </x:c>
      <x:c r="K2051" s="39" t="str">
        <x:v>تطبیق احتمالی با پایه</x:v>
      </x:c>
      <x:c r="L2051" s="39" t="str">
        <x:v>MI-1247</x:v>
      </x:c>
      <x:c r="M2051" s="39" t="str">
        <x:v>پلاستیک</x:v>
      </x:c>
      <x:c r="N2051" s="39" t="str">
        <x:v>1154878548.docx::P6629.1 | 1154878548.docx::P6997.1</x:v>
      </x:c>
      <x:c r="O2051" s="39"/>
    </x:row>
    <x:row r="2052">
      <x:c r="A2052" s="34" t="str">
        <x:v>☐</x:v>
      </x:c>
      <x:c r="B2052" s="34" t="str">
        <x:v>EX-2024</x:v>
      </x:c>
      <x:c r="C2052" s="34" t="str">
        <x:v>تشک      و بالش های فرسوده</x:v>
      </x:c>
      <x:c r="D2052" s="34" t="str">
        <x:v>POSSIBLE</x:v>
      </x:c>
      <x:c r="E2052" s="34" t="str">
        <x:v>85.5</x:v>
      </x:c>
      <x:c r="F2052" s="34" t="str">
        <x:v>MI-1501</x:v>
      </x:c>
      <x:c r="G2052" s="39" t="str">
        <x:v>مدیریت ریسک: شناسایی ریسک ها، ارزیابی اثرات، تدوین برنامه های مقابله با ریسک ها.</x:v>
      </x:c>
      <x:c r="H2052" s="39" t="str">
        <x:v>H1</x:v>
      </x:c>
      <x:c r="I2052" s="39" t="str">
        <x:v>P0</x:v>
      </x:c>
      <x:c r="J2052" s="39" t="str">
        <x:v>H1</x:v>
      </x:c>
      <x:c r="K2052" s="39" t="str">
        <x:v>تطبیق احتمالی با پایه</x:v>
      </x:c>
      <x:c r="L2052" s="39" t="str">
        <x:v>MI-1501</x:v>
      </x:c>
      <x:c r="M2052" s="39" t="str">
        <x:v>مدیریت ریسک: شناسایی ریسک ها، ارزیابی اثرات، تدوین برنامه های مقابله با ریسک ها.</x:v>
      </x:c>
      <x:c r="N2052" s="39" t="str">
        <x:v>1154878548.docx::P6630.1 | 1154878548.docx::P6998.1</x:v>
      </x:c>
      <x:c r="O2052" s="39"/>
    </x:row>
    <x:row r="2053">
      <x:c r="A2053" s="34" t="str">
        <x:v>☐</x:v>
      </x:c>
      <x:c r="B2053" s="34" t="str">
        <x:v>EX-2025</x:v>
      </x:c>
      <x:c r="C2053" s="34" t="str">
        <x:v>فرش      و موکت های فرسوده</x:v>
      </x:c>
      <x:c r="D2053" s="34" t="str">
        <x:v>POSSIBLE</x:v>
      </x:c>
      <x:c r="E2053" s="34" t="str">
        <x:v>90.0</x:v>
      </x:c>
      <x:c r="F2053" s="34" t="str">
        <x:v>MI-1339</x:v>
      </x:c>
      <x:c r="G2053" s="39" t="str">
        <x:v>فرش</x:v>
      </x:c>
      <x:c r="H2053" s="39" t="str">
        <x:v>H12</x:v>
      </x:c>
      <x:c r="I2053" s="39" t="str">
        <x:v>P2</x:v>
      </x:c>
      <x:c r="J2053" s="39" t="str">
        <x:v>H12</x:v>
      </x:c>
      <x:c r="K2053" s="39" t="str">
        <x:v>تطبیق احتمالی با پایه</x:v>
      </x:c>
      <x:c r="L2053" s="39" t="str">
        <x:v>MI-1339</x:v>
      </x:c>
      <x:c r="M2053" s="39" t="str">
        <x:v>فرش</x:v>
      </x:c>
      <x:c r="N2053" s="39" t="str">
        <x:v>1154878548.docx::P6631.1 | 1154878548.docx::P6999.1</x:v>
      </x:c>
      <x:c r="O2053" s="39"/>
    </x:row>
    <x:row r="2054">
      <x:c r="A2054" s="34" t="str">
        <x:v>☐</x:v>
      </x:c>
      <x:c r="B2054" s="34" t="str">
        <x:v>EX-2026</x:v>
      </x:c>
      <x:c r="C2054" s="34" t="str">
        <x:v>لوازم      روشنایی (لوستر، آباژور)</x:v>
      </x:c>
      <x:c r="D2054" s="34" t="str">
        <x:v>POSSIBLE</x:v>
      </x:c>
      <x:c r="E2054" s="34" t="str">
        <x:v>90.0</x:v>
      </x:c>
      <x:c r="F2054" s="34" t="str">
        <x:v>MI-1286</x:v>
      </x:c>
      <x:c r="G2054" s="39" t="str">
        <x:v>لوستر</x:v>
      </x:c>
      <x:c r="H2054" s="39" t="str">
        <x:v>H12</x:v>
      </x:c>
      <x:c r="I2054" s="39" t="str">
        <x:v>P2</x:v>
      </x:c>
      <x:c r="J2054" s="39" t="str">
        <x:v>H12</x:v>
      </x:c>
      <x:c r="K2054" s="39" t="str">
        <x:v>تطبیق احتمالی با پایه</x:v>
      </x:c>
      <x:c r="L2054" s="39" t="str">
        <x:v>MI-1286</x:v>
      </x:c>
      <x:c r="M2054" s="39" t="str">
        <x:v>لوستر</x:v>
      </x:c>
      <x:c r="N2054" s="39" t="str">
        <x:v>1154878548.docx::P6632.1 | 1154878548.docx::P7000.1</x:v>
      </x:c>
      <x:c r="O2054" s="39"/>
    </x:row>
    <x:row r="2055">
      <x:c r="A2055" s="34" t="str">
        <x:v>☐</x:v>
      </x:c>
      <x:c r="B2055" s="34" t="str">
        <x:v>EX-2027</x:v>
      </x:c>
      <x:c r="C2055" s="34" t="str">
        <x:v>وسایل      تزئینی منزل</x:v>
      </x:c>
      <x:c r="D2055" s="34" t="str">
        <x:v>POSSIBLE</x:v>
      </x:c>
      <x:c r="E2055" s="34" t="str">
        <x:v>85.5</x:v>
      </x:c>
      <x:c r="F2055" s="34" t="str">
        <x:v>MI-0895</x:v>
      </x:c>
      <x:c r="G2055" s="39" t="str">
        <x:v>جلسه با مسیول باشگاه و منعمی برای کمبود وسایل و نظ</x:v>
      </x:c>
      <x:c r="H2055" s="39" t="str">
        <x:v>H11</x:v>
      </x:c>
      <x:c r="I2055" s="39" t="str">
        <x:v>DELEGATE/P2</x:v>
      </x:c>
      <x:c r="J2055" s="39" t="str">
        <x:v>H11</x:v>
      </x:c>
      <x:c r="K2055" s="39" t="str">
        <x:v>تطبیق احتمالی با پایه</x:v>
      </x:c>
      <x:c r="L2055" s="39" t="str">
        <x:v>MI-0895</x:v>
      </x:c>
      <x:c r="M2055" s="39" t="str">
        <x:v>جلسه با مسیول باشگاه و منعمی برای کمبود وسایل و نظ</x:v>
      </x:c>
      <x:c r="N2055" s="39" t="str">
        <x:v>1154878548.docx::P6633.1 | 1154878548.docx::P7001.1</x:v>
      </x:c>
      <x:c r="O2055" s="39"/>
    </x:row>
    <x:row r="2056">
      <x:c r="A2056" s="34" t="str">
        <x:v>☐</x:v>
      </x:c>
      <x:c r="B2056" s="34" t="str">
        <x:v>EX-2028</x:v>
      </x:c>
      <x:c r="C2056" s="34" t="str">
        <x:v>18. مواد بسته بندی:</x:v>
      </x:c>
      <x:c r="D2056" s="34" t="str">
        <x:v>POSSIBLE</x:v>
      </x:c>
      <x:c r="E2056" s="34" t="str">
        <x:v>85.5</x:v>
      </x:c>
      <x:c r="F2056" s="34" t="str">
        <x:v>MI-0035</x:v>
      </x:c>
      <x:c r="G2056" s="39" t="str">
        <x:v>خواندن کتب انگلیسی لول بندی شده</x:v>
      </x:c>
      <x:c r="H2056" s="39" t="str">
        <x:v>H1</x:v>
      </x:c>
      <x:c r="I2056" s="39" t="str">
        <x:v>BANK</x:v>
      </x:c>
      <x:c r="J2056" s="39" t="str">
        <x:v>H1</x:v>
      </x:c>
      <x:c r="K2056" s="39" t="str">
        <x:v>تطبیق احتمالی با پایه</x:v>
      </x:c>
      <x:c r="L2056" s="39" t="str">
        <x:v>MI-0035</x:v>
      </x:c>
      <x:c r="M2056" s="39" t="str">
        <x:v>خواندن کتب انگلیسی لول بندی شده</x:v>
      </x:c>
      <x:c r="N2056" s="39" t="str">
        <x:v>1154878548.docx::P6634.1 | 1154878548.docx::P7002.1</x:v>
      </x:c>
      <x:c r="O2056" s="39"/>
    </x:row>
    <x:row r="2057">
      <x:c r="A2057" s="34" t="str">
        <x:v>☐</x:v>
      </x:c>
      <x:c r="B2057" s="34" t="str">
        <x:v>EX-2029</x:v>
      </x:c>
      <x:c r="C2057" s="34" t="str">
        <x:v>جعبه      های مقوایی و کارتنی</x:v>
      </x:c>
      <x:c r="D2057" s="34" t="str">
        <x:v>POSSIBLE</x:v>
      </x:c>
      <x:c r="E2057" s="34" t="str">
        <x:v>90.0</x:v>
      </x:c>
      <x:c r="F2057" s="34" t="str">
        <x:v>MI-2545</x:v>
      </x:c>
      <x:c r="G2057" s="39" t="str">
        <x:v>کار:</x:v>
      </x:c>
      <x:c r="H2057" s="39" t="str">
        <x:v>H20</x:v>
      </x:c>
      <x:c r="I2057" s="39" t="str">
        <x:v>P3/CLARIFY</x:v>
      </x:c>
      <x:c r="J2057" s="39" t="str">
        <x:v>H20</x:v>
      </x:c>
      <x:c r="K2057" s="39" t="str">
        <x:v>تطبیق احتمالی با پایه</x:v>
      </x:c>
      <x:c r="L2057" s="39" t="str">
        <x:v>MI-2545</x:v>
      </x:c>
      <x:c r="M2057" s="39" t="str">
        <x:v>کار:</x:v>
      </x:c>
      <x:c r="N2057" s="39" t="str">
        <x:v>1154878548.docx::P6635.1 | 1154878548.docx::P7003.1</x:v>
      </x:c>
      <x:c r="O2057" s="39"/>
    </x:row>
    <x:row r="2058">
      <x:c r="A2058" s="34" t="str">
        <x:v>☐</x:v>
      </x:c>
      <x:c r="B2058" s="34" t="str">
        <x:v>EX-2030</x:v>
      </x:c>
      <x:c r="C2058" s="34" t="str">
        <x:v>پلاستیک      های حباب دار و فوم های بسته بندی</x:v>
      </x:c>
      <x:c r="D2058" s="34" t="str">
        <x:v>POSSIBLE</x:v>
      </x:c>
      <x:c r="E2058" s="34" t="str">
        <x:v>90.0</x:v>
      </x:c>
      <x:c r="F2058" s="34" t="str">
        <x:v>MI-1247</x:v>
      </x:c>
      <x:c r="G2058" s="39" t="str">
        <x:v>پلاستیک</x:v>
      </x:c>
      <x:c r="H2058" s="39" t="str">
        <x:v>H12</x:v>
      </x:c>
      <x:c r="I2058" s="39" t="str">
        <x:v>P2</x:v>
      </x:c>
      <x:c r="J2058" s="39" t="str">
        <x:v>H12</x:v>
      </x:c>
      <x:c r="K2058" s="39" t="str">
        <x:v>تطبیق احتمالی با پایه</x:v>
      </x:c>
      <x:c r="L2058" s="39" t="str">
        <x:v>MI-1247</x:v>
      </x:c>
      <x:c r="M2058" s="39" t="str">
        <x:v>پلاستیک</x:v>
      </x:c>
      <x:c r="N2058" s="39" t="str">
        <x:v>1154878548.docx::P6636.1 | 1154878548.docx::P7004.1</x:v>
      </x:c>
      <x:c r="O2058" s="39"/>
    </x:row>
    <x:row r="2059">
      <x:c r="A2059" s="34" t="str">
        <x:v>☐</x:v>
      </x:c>
      <x:c r="B2059" s="34" t="str">
        <x:v>EX-2031</x:v>
      </x:c>
      <x:c r="C2059" s="34" t="str">
        <x:v>پالت      های چوبی و پلاستیکی</x:v>
      </x:c>
      <x:c r="D2059" s="34" t="str">
        <x:v>POSSIBLE</x:v>
      </x:c>
      <x:c r="E2059" s="34" t="str">
        <x:v>90.0</x:v>
      </x:c>
      <x:c r="F2059" s="34" t="str">
        <x:v>MI-1247</x:v>
      </x:c>
      <x:c r="G2059" s="39" t="str">
        <x:v>پلاستیک</x:v>
      </x:c>
      <x:c r="H2059" s="39" t="str">
        <x:v>H12</x:v>
      </x:c>
      <x:c r="I2059" s="39" t="str">
        <x:v>P2</x:v>
      </x:c>
      <x:c r="J2059" s="39" t="str">
        <x:v>H12</x:v>
      </x:c>
      <x:c r="K2059" s="39" t="str">
        <x:v>تطبیق احتمالی با پایه</x:v>
      </x:c>
      <x:c r="L2059" s="39" t="str">
        <x:v>MI-1247</x:v>
      </x:c>
      <x:c r="M2059" s="39" t="str">
        <x:v>پلاستیک</x:v>
      </x:c>
      <x:c r="N2059" s="39" t="str">
        <x:v>1154878548.docx::P6637.1 | 1154878548.docx::P7005.1</x:v>
      </x:c>
      <x:c r="O2059" s="39"/>
    </x:row>
    <x:row r="2060">
      <x:c r="A2060" s="34" t="str">
        <x:v>☐</x:v>
      </x:c>
      <x:c r="B2060" s="34" t="str">
        <x:v>EX-2032</x:v>
      </x:c>
      <x:c r="C2060" s="34" t="str">
        <x:v>انواع      ظروف بسته بندی فلزی</x:v>
      </x:c>
      <x:c r="D2060" s="34" t="str">
        <x:v>POSSIBLE</x:v>
      </x:c>
      <x:c r="E2060" s="34" t="str">
        <x:v>90.0</x:v>
      </x:c>
      <x:c r="F2060" s="34" t="str">
        <x:v>MI-1284</x:v>
      </x:c>
      <x:c r="G2060" s="39" t="str">
        <x:v>ظروف</x:v>
      </x:c>
      <x:c r="H2060" s="39" t="str">
        <x:v>H12</x:v>
      </x:c>
      <x:c r="I2060" s="39" t="str">
        <x:v>P2</x:v>
      </x:c>
      <x:c r="J2060" s="39" t="str">
        <x:v>H12</x:v>
      </x:c>
      <x:c r="K2060" s="39" t="str">
        <x:v>تطبیق احتمالی با پایه</x:v>
      </x:c>
      <x:c r="L2060" s="39" t="str">
        <x:v>MI-1284</x:v>
      </x:c>
      <x:c r="M2060" s="39" t="str">
        <x:v>ظروف</x:v>
      </x:c>
      <x:c r="N2060" s="39" t="str">
        <x:v>1154878548.docx::P6638.1 | 1154878548.docx::P7006.1</x:v>
      </x:c>
      <x:c r="O2060" s="39"/>
    </x:row>
    <x:row r="2061">
      <x:c r="A2061" s="34" t="str">
        <x:v>☐</x:v>
      </x:c>
      <x:c r="B2061" s="34" t="str">
        <x:v>EX-2033</x:v>
      </x:c>
      <x:c r="C2061" s="34" t="str">
        <x:v>19. سایر موارد:</x:v>
      </x:c>
      <x:c r="D2061" s="34" t="str">
        <x:v>POSSIBLE</x:v>
      </x:c>
      <x:c r="E2061" s="34" t="str">
        <x:v>85.5</x:v>
      </x:c>
      <x:c r="F2061" s="34" t="str">
        <x:v>MI-1512</x:v>
      </x:c>
      <x:c r="G2061" s="39" t="str">
        <x:v>بازار سرمایه: آشنایی با بازار سهام، اوراق قرضه، و سایر ابزارهای مالی.</x:v>
      </x:c>
      <x:c r="H2061" s="39" t="str">
        <x:v>H1</x:v>
      </x:c>
      <x:c r="I2061" s="39" t="str">
        <x:v>P0</x:v>
      </x:c>
      <x:c r="J2061" s="39" t="str">
        <x:v>H1</x:v>
      </x:c>
      <x:c r="K2061" s="39" t="str">
        <x:v>تطبیق احتمالی با پایه</x:v>
      </x:c>
      <x:c r="L2061" s="39" t="str">
        <x:v>MI-1512</x:v>
      </x:c>
      <x:c r="M2061" s="39" t="str">
        <x:v>بازار سرمایه: آشنایی با بازار سهام، اوراق قرضه، و سایر ابزارهای مالی.</x:v>
      </x:c>
      <x:c r="N2061" s="39" t="str">
        <x:v>1154878548.docx::P6639.1 | 1154878548.docx::P7007.1</x:v>
      </x:c>
      <x:c r="O2061" s="39"/>
    </x:row>
    <x:row r="2062">
      <x:c r="A2062" s="34" t="str">
        <x:v>☐</x:v>
      </x:c>
      <x:c r="B2062" s="34" t="str">
        <x:v>EX-2034</x:v>
      </x:c>
      <x:c r="C2062" s="34" t="str">
        <x:v>اسباب      بازی های فرسوده</x:v>
      </x:c>
      <x:c r="D2062" s="34" t="str">
        <x:v>POSSIBLE</x:v>
      </x:c>
      <x:c r="E2062" s="34" t="str">
        <x:v>85.5</x:v>
      </x:c>
      <x:c r="F2062" s="34" t="str">
        <x:v>MI-1501</x:v>
      </x:c>
      <x:c r="G2062" s="39" t="str">
        <x:v>مدیریت ریسک: شناسایی ریسک ها، ارزیابی اثرات، تدوین برنامه های مقابله با ریسک ها.</x:v>
      </x:c>
      <x:c r="H2062" s="39" t="str">
        <x:v>H1</x:v>
      </x:c>
      <x:c r="I2062" s="39" t="str">
        <x:v>P0</x:v>
      </x:c>
      <x:c r="J2062" s="39" t="str">
        <x:v>H1</x:v>
      </x:c>
      <x:c r="K2062" s="39" t="str">
        <x:v>تطبیق احتمالی با پایه</x:v>
      </x:c>
      <x:c r="L2062" s="39" t="str">
        <x:v>MI-1501</x:v>
      </x:c>
      <x:c r="M2062" s="39" t="str">
        <x:v>مدیریت ریسک: شناسایی ریسک ها، ارزیابی اثرات، تدوین برنامه های مقابله با ریسک ها.</x:v>
      </x:c>
      <x:c r="N2062" s="39" t="str">
        <x:v>1154878548.docx::P6640.1 | 1154878548.docx::P7008.1</x:v>
      </x:c>
      <x:c r="O2062" s="39"/>
    </x:row>
    <x:row r="2063">
      <x:c r="A2063" s="34" t="str">
        <x:v>☐</x:v>
      </x:c>
      <x:c r="B2063" s="34" t="str">
        <x:v>EX-2035</x:v>
      </x:c>
      <x:c r="C2063" s="34" t="str">
        <x:v>وسایل      ورزشی فرسوده</x:v>
      </x:c>
      <x:c r="D2063" s="34" t="str">
        <x:v>POSSIBLE</x:v>
      </x:c>
      <x:c r="E2063" s="34" t="str">
        <x:v>85.5</x:v>
      </x:c>
      <x:c r="F2063" s="34" t="str">
        <x:v>MI-0895</x:v>
      </x:c>
      <x:c r="G2063" s="39" t="str">
        <x:v>جلسه با مسیول باشگاه و منعمی برای کمبود وسایل و نظ</x:v>
      </x:c>
      <x:c r="H2063" s="39" t="str">
        <x:v>H11</x:v>
      </x:c>
      <x:c r="I2063" s="39" t="str">
        <x:v>DELEGATE/P2</x:v>
      </x:c>
      <x:c r="J2063" s="39" t="str">
        <x:v>H11</x:v>
      </x:c>
      <x:c r="K2063" s="39" t="str">
        <x:v>تطبیق احتمالی با پایه</x:v>
      </x:c>
      <x:c r="L2063" s="39" t="str">
        <x:v>MI-0895</x:v>
      </x:c>
      <x:c r="M2063" s="39" t="str">
        <x:v>جلسه با مسیول باشگاه و منعمی برای کمبود وسایل و نظ</x:v>
      </x:c>
      <x:c r="N2063" s="39" t="str">
        <x:v>1154878548.docx::P6641.1 | 1154878548.docx::P7009.1</x:v>
      </x:c>
      <x:c r="O2063" s="39"/>
    </x:row>
    <x:row r="2064">
      <x:c r="A2064" s="34" t="str">
        <x:v>☐</x:v>
      </x:c>
      <x:c r="B2064" s="34" t="str">
        <x:v>EX-2036</x:v>
      </x:c>
      <x:c r="C2064" s="34" t="str">
        <x:v>انواع      چوب پنبه</x:v>
      </x:c>
      <x:c r="D2064" s="34" t="str">
        <x:v>POSSIBLE</x:v>
      </x:c>
      <x:c r="E2064" s="34" t="str">
        <x:v>90.0</x:v>
      </x:c>
      <x:c r="F2064" s="34" t="str">
        <x:v>MI-1296</x:v>
      </x:c>
      <x:c r="G2064" s="39" t="str">
        <x:v>چوب</x:v>
      </x:c>
      <x:c r="H2064" s="39" t="str">
        <x:v>H12</x:v>
      </x:c>
      <x:c r="I2064" s="39" t="str">
        <x:v>P2</x:v>
      </x:c>
      <x:c r="J2064" s="39" t="str">
        <x:v>H12</x:v>
      </x:c>
      <x:c r="K2064" s="39" t="str">
        <x:v>تطبیق احتمالی با پایه</x:v>
      </x:c>
      <x:c r="L2064" s="39" t="str">
        <x:v>MI-1296</x:v>
      </x:c>
      <x:c r="M2064" s="39" t="str">
        <x:v>چوب</x:v>
      </x:c>
      <x:c r="N2064" s="39" t="str">
        <x:v>1154878548.docx::P6642.1 | 1154878548.docx::P7010.1</x:v>
      </x:c>
      <x:c r="O2064" s="39"/>
    </x:row>
    <x:row r="2065">
      <x:c r="A2065" s="34" t="str">
        <x:v>☐</x:v>
      </x:c>
      <x:c r="B2065" s="34" t="str">
        <x:v>EX-2037</x:v>
      </x:c>
      <x:c r="C2065" s="34" t="str">
        <x:v>فیلترهای      تصفیه آب</x:v>
      </x:c>
      <x:c r="D2065" s="34" t="str">
        <x:v>POSSIBLE</x:v>
      </x:c>
      <x:c r="E2065" s="34" t="str">
        <x:v>85.5</x:v>
      </x:c>
      <x:c r="F2065" s="34" t="str">
        <x:v>MI-0936</x:v>
      </x:c>
      <x:c r="G2065" s="39" t="str">
        <x:v>نامه به تمامی روسای دانشگاه ها مبنی بر آب گرمکن سرویس های بهداشتی</x:v>
      </x:c>
      <x:c r="H2065" s="39" t="str">
        <x:v>H11</x:v>
      </x:c>
      <x:c r="I2065" s="39" t="str">
        <x:v>DELEGATE/P2</x:v>
      </x:c>
      <x:c r="J2065" s="39" t="str">
        <x:v>H11</x:v>
      </x:c>
      <x:c r="K2065" s="39" t="str">
        <x:v>تطبیق احتمالی با پایه</x:v>
      </x:c>
      <x:c r="L2065" s="39" t="str">
        <x:v>MI-0936</x:v>
      </x:c>
      <x:c r="M2065" s="39" t="str">
        <x:v>نامه به تمامی روسای دانشگاه ها مبنی بر آب گرمکن سرویس های بهداشتی</x:v>
      </x:c>
      <x:c r="N2065" s="39" t="str">
        <x:v>1154878548.docx::P6643.1 | 1154878548.docx::P7011.1</x:v>
      </x:c>
      <x:c r="O2065" s="39"/>
    </x:row>
    <x:row r="2066">
      <x:c r="A2066" s="34" t="str">
        <x:v>☐</x:v>
      </x:c>
      <x:c r="B2066" s="34" t="str">
        <x:v>EX-2038</x:v>
      </x:c>
      <x:c r="C2066" s="34" t="str">
        <x:v>آینه      های شکسته</x:v>
      </x:c>
      <x:c r="D2066" s="34" t="str">
        <x:v>POSSIBLE</x:v>
      </x:c>
      <x:c r="E2066" s="34" t="str">
        <x:v>85.5</x:v>
      </x:c>
      <x:c r="F2066" s="34" t="str">
        <x:v>MI-1501</x:v>
      </x:c>
      <x:c r="G2066" s="39" t="str">
        <x:v>مدیریت ریسک: شناسایی ریسک ها، ارزیابی اثرات، تدوین برنامه های مقابله با ریسک ها.</x:v>
      </x:c>
      <x:c r="H2066" s="39" t="str">
        <x:v>H1</x:v>
      </x:c>
      <x:c r="I2066" s="39" t="str">
        <x:v>P0</x:v>
      </x:c>
      <x:c r="J2066" s="39" t="str">
        <x:v>H1</x:v>
      </x:c>
      <x:c r="K2066" s="39" t="str">
        <x:v>تطبیق احتمالی با پایه</x:v>
      </x:c>
      <x:c r="L2066" s="39" t="str">
        <x:v>MI-1501</x:v>
      </x:c>
      <x:c r="M2066" s="39" t="str">
        <x:v>مدیریت ریسک: شناسایی ریسک ها، ارزیابی اثرات، تدوین برنامه های مقابله با ریسک ها.</x:v>
      </x:c>
      <x:c r="N2066" s="39" t="str">
        <x:v>1154878548.docx::P6644.1 | 1154878548.docx::P7012.1</x:v>
      </x:c>
      <x:c r="O2066" s="39"/>
    </x:row>
    <x:row r="2067">
      <x:c r="A2067" s="34" t="str">
        <x:v>☐</x:v>
      </x:c>
      <x:c r="B2067" s="34" t="str">
        <x:v>EX-2039</x:v>
      </x:c>
      <x:c r="C2067" s="34" t="str">
        <x:v>مواد      منفجره خاموش شده (با رعایت نکات ایمنی)</x:v>
      </x:c>
      <x:c r="D2067" s="34" t="str">
        <x:v>POSSIBLE</x:v>
      </x:c>
      <x:c r="E2067" s="34" t="str">
        <x:v>85.5</x:v>
      </x:c>
      <x:c r="F2067" s="34" t="str">
        <x:v>MI-1501</x:v>
      </x:c>
      <x:c r="G2067" s="39" t="str">
        <x:v>مدیریت ریسک: شناسایی ریسک ها، ارزیابی اثرات، تدوین برنامه های مقابله با ریسک ها.</x:v>
      </x:c>
      <x:c r="H2067" s="39" t="str">
        <x:v>H1</x:v>
      </x:c>
      <x:c r="I2067" s="39" t="str">
        <x:v>P0</x:v>
      </x:c>
      <x:c r="J2067" s="39" t="str">
        <x:v>H1</x:v>
      </x:c>
      <x:c r="K2067" s="39" t="str">
        <x:v>تطبیق احتمالی با پایه</x:v>
      </x:c>
      <x:c r="L2067" s="39" t="str">
        <x:v>MI-1501</x:v>
      </x:c>
      <x:c r="M2067" s="39" t="str">
        <x:v>مدیریت ریسک: شناسایی ریسک ها، ارزیابی اثرات، تدوین برنامه های مقابله با ریسک ها.</x:v>
      </x:c>
      <x:c r="N2067" s="39" t="str">
        <x:v>1154878548.docx::P6645.1 | 1154878548.docx::P7013.1</x:v>
      </x:c>
      <x:c r="O2067" s="39"/>
    </x:row>
    <x:row r="2068">
      <x:c r="A2068" s="34" t="str">
        <x:v>☐</x:v>
      </x:c>
      <x:c r="B2068" s="34" t="str">
        <x:v>EX-2040</x:v>
      </x:c>
      <x:c r="C2068" s="34" t="str">
        <x:v>20. وسایل باغبانی:</x:v>
      </x:c>
      <x:c r="D2068" s="34" t="str">
        <x:v>POSSIBLE</x:v>
      </x:c>
      <x:c r="E2068" s="34" t="str">
        <x:v>85.5</x:v>
      </x:c>
      <x:c r="F2068" s="34" t="str">
        <x:v>MI-1441</x:v>
      </x:c>
      <x:c r="G2068" s="39" t="str">
        <x:v>خدایا 20 هزار صلولت نذر میکنم که اگه بزارن کنکور</x:v>
      </x:c>
      <x:c r="H2068" s="39" t="str">
        <x:v>H1</x:v>
      </x:c>
      <x:c r="I2068" s="39" t="str">
        <x:v>P0</x:v>
      </x:c>
      <x:c r="J2068" s="39" t="str">
        <x:v>H1</x:v>
      </x:c>
      <x:c r="K2068" s="39" t="str">
        <x:v>تطبیق احتمالی با پایه</x:v>
      </x:c>
      <x:c r="L2068" s="39" t="str">
        <x:v>MI-1441</x:v>
      </x:c>
      <x:c r="M2068" s="39" t="str">
        <x:v>خدایا 20 هزار صلولت نذر میکنم که اگه بزارن کنکور</x:v>
      </x:c>
      <x:c r="N2068" s="39" t="str">
        <x:v>1154878548.docx::P6646.1 | 1154878548.docx::P7014.1</x:v>
      </x:c>
      <x:c r="O2068" s="39"/>
    </x:row>
    <x:row r="2069">
      <x:c r="A2069" s="34" t="str">
        <x:v>☐</x:v>
      </x:c>
      <x:c r="B2069" s="34" t="str">
        <x:v>EX-2041</x:v>
      </x:c>
      <x:c r="C2069" s="34" t="str">
        <x:v>گلدانهای      پلاستیکی و سفالی</x:v>
      </x:c>
      <x:c r="D2069" s="34" t="str">
        <x:v>POSSIBLE</x:v>
      </x:c>
      <x:c r="E2069" s="34" t="str">
        <x:v>90.0</x:v>
      </x:c>
      <x:c r="F2069" s="34" t="str">
        <x:v>MI-1247</x:v>
      </x:c>
      <x:c r="G2069" s="39" t="str">
        <x:v>پلاستیک</x:v>
      </x:c>
      <x:c r="H2069" s="39" t="str">
        <x:v>H12</x:v>
      </x:c>
      <x:c r="I2069" s="39" t="str">
        <x:v>P2</x:v>
      </x:c>
      <x:c r="J2069" s="39" t="str">
        <x:v>H12</x:v>
      </x:c>
      <x:c r="K2069" s="39" t="str">
        <x:v>تطبیق احتمالی با پایه</x:v>
      </x:c>
      <x:c r="L2069" s="39" t="str">
        <x:v>MI-1247</x:v>
      </x:c>
      <x:c r="M2069" s="39" t="str">
        <x:v>پلاستیک</x:v>
      </x:c>
      <x:c r="N2069" s="39" t="str">
        <x:v>1154878548.docx::P6647.1 | 1154878548.docx::P7015.1</x:v>
      </x:c>
      <x:c r="O2069" s="39"/>
    </x:row>
    <x:row r="2070">
      <x:c r="A2070" s="34" t="str">
        <x:v>☐</x:v>
      </x:c>
      <x:c r="B2070" s="34" t="str">
        <x:v>EX-2042</x:v>
      </x:c>
      <x:c r="C2070" s="34" t="str">
        <x:v>شلنگهای      باغبانی</x:v>
      </x:c>
      <x:c r="D2070" s="34" t="str">
        <x:v>UNMAPPED</x:v>
      </x:c>
      <x:c r="E2070" s="34" t="str">
        <x:v>72.0</x:v>
      </x:c>
      <x:c r="F2070" s="34" t="str">
        <x:v>MI-1397</x:v>
      </x:c>
      <x:c r="G2070" s="39" t="str">
        <x:v>بدانیم</x:v>
      </x:c>
      <x:c r="H2070" s="39" t="str">
        <x:v>H12</x:v>
      </x:c>
      <x:c r="I2070" s="39" t="str">
        <x:v>P2</x:v>
      </x:c>
      <x:c r="J2070" s="39" t="str">
        <x:v>H23</x:v>
      </x:c>
      <x:c r="K2070" s="39" t="str">
        <x:v>نیازمند پالایش؛ حذف نشده</x:v>
      </x:c>
      <x:c r="L2070" s="39"/>
      <x:c r="M2070" s="39"/>
      <x:c r="N2070" s="39" t="str">
        <x:v>1154878548.docx::P6648.1 | 1154878548.docx::P7016.1</x:v>
      </x:c>
      <x:c r="O2070" s="39"/>
    </x:row>
    <x:row r="2071">
      <x:c r="A2071" s="34" t="str">
        <x:v>☐</x:v>
      </x:c>
      <x:c r="B2071" s="34" t="str">
        <x:v>EX-2043</x:v>
      </x:c>
      <x:c r="C2071" s="34" t="str">
        <x:v>ابزار      باغبانی فرسوده</x:v>
      </x:c>
      <x:c r="D2071" s="34" t="str">
        <x:v>POSSIBLE</x:v>
      </x:c>
      <x:c r="E2071" s="34" t="str">
        <x:v>85.5</x:v>
      </x:c>
      <x:c r="F2071" s="34" t="str">
        <x:v>MI-1682</x:v>
      </x:c>
      <x:c r="G2071" s="39" t="str">
        <x:v>بله؛ می توان EiR را به یک ابزار عملی برای انتقال مدل های موفق، جذب سرمایه، و اجرای پروژه در مازندران تبدیل کرد. سه مسیر مکمل:</x:v>
      </x:c>
      <x:c r="H2071" s="39" t="str">
        <x:v>H10</x:v>
      </x:c>
      <x:c r="I2071" s="39" t="str">
        <x:v>P2</x:v>
      </x:c>
      <x:c r="J2071" s="39" t="str">
        <x:v>H10</x:v>
      </x:c>
      <x:c r="K2071" s="39" t="str">
        <x:v>تطبیق احتمالی با پایه</x:v>
      </x:c>
      <x:c r="L2071" s="39" t="str">
        <x:v>MI-1682</x:v>
      </x:c>
      <x:c r="M2071" s="39" t="str">
        <x:v>بله؛ می توان EiR را به یک ابزار عملی برای انتقال مدل های موفق، جذب سرمایه، و اجرای پروژه در مازندران تبدیل کرد. سه مسیر مکمل:</x:v>
      </x:c>
      <x:c r="N2071" s="39" t="str">
        <x:v>1154878548.docx::P6649.1 | 1154878548.docx::P7017.1</x:v>
      </x:c>
      <x:c r="O2071" s="39"/>
    </x:row>
    <x:row r="2072">
      <x:c r="A2072" s="34" t="str">
        <x:v>☐</x:v>
      </x:c>
      <x:c r="B2072" s="34" t="str">
        <x:v>EX-2044</x:v>
      </x:c>
      <x:c r="C2072" s="34" t="str">
        <x:v>کودهای      گیاهی (قابل تبدیل به کمپوست)</x:v>
      </x:c>
      <x:c r="D2072" s="34" t="str">
        <x:v>POSSIBLE</x:v>
      </x:c>
      <x:c r="E2072" s="34" t="str">
        <x:v>90.0</x:v>
      </x:c>
      <x:c r="F2072" s="34" t="str">
        <x:v>MI-1267</x:v>
      </x:c>
      <x:c r="G2072" s="39" t="str">
        <x:v>کمپوست</x:v>
      </x:c>
      <x:c r="H2072" s="39" t="str">
        <x:v>H12</x:v>
      </x:c>
      <x:c r="I2072" s="39" t="str">
        <x:v>P2</x:v>
      </x:c>
      <x:c r="J2072" s="39" t="str">
        <x:v>H12</x:v>
      </x:c>
      <x:c r="K2072" s="39" t="str">
        <x:v>تطبیق احتمالی با پایه</x:v>
      </x:c>
      <x:c r="L2072" s="39" t="str">
        <x:v>MI-1267</x:v>
      </x:c>
      <x:c r="M2072" s="39" t="str">
        <x:v>کمپوست</x:v>
      </x:c>
      <x:c r="N2072" s="39" t="str">
        <x:v>1154878548.docx::P6650.1 | 1154878548.docx::P7018.1</x:v>
      </x:c>
      <x:c r="O2072" s="39"/>
    </x:row>
    <x:row r="2073">
      <x:c r="A2073" s="34" t="str">
        <x:v>☐</x:v>
      </x:c>
      <x:c r="B2073" s="34" t="str">
        <x:v>EX-2045</x:v>
      </x:c>
      <x:c r="C2073" s="34" t="str">
        <x:v>21. وسایل آموزشی و هنری:</x:v>
      </x:c>
      <x:c r="D2073" s="34" t="str">
        <x:v>POSSIBLE</x:v>
      </x:c>
      <x:c r="E2073" s="34" t="str">
        <x:v>90.0</x:v>
      </x:c>
      <x:c r="F2073" s="34" t="str">
        <x:v>MI-2601</x:v>
      </x:c>
      <x:c r="G2073" s="39" t="str">
        <x:v>آموزش:</x:v>
      </x:c>
      <x:c r="H2073" s="39" t="str">
        <x:v>H20</x:v>
      </x:c>
      <x:c r="I2073" s="39" t="str">
        <x:v>P3/CLARIFY</x:v>
      </x:c>
      <x:c r="J2073" s="39" t="str">
        <x:v>H20</x:v>
      </x:c>
      <x:c r="K2073" s="39" t="str">
        <x:v>تطبیق احتمالی با پایه</x:v>
      </x:c>
      <x:c r="L2073" s="39" t="str">
        <x:v>MI-2601</x:v>
      </x:c>
      <x:c r="M2073" s="39" t="str">
        <x:v>آموزش:</x:v>
      </x:c>
      <x:c r="N2073" s="39" t="str">
        <x:v>1154878548.docx::P6651.1 | 1154878548.docx::P7019.1</x:v>
      </x:c>
      <x:c r="O2073" s="39"/>
    </x:row>
    <x:row r="2074">
      <x:c r="A2074" s="34" t="str">
        <x:v>☐</x:v>
      </x:c>
      <x:c r="B2074" s="34" t="str">
        <x:v>EX-2046</x:v>
      </x:c>
      <x:c r="C2074" s="34" t="str">
        <x:v>مداد      و خودکار فرسوده</x:v>
      </x:c>
      <x:c r="D2074" s="34" t="str">
        <x:v>POSSIBLE</x:v>
      </x:c>
      <x:c r="E2074" s="34" t="str">
        <x:v>90.0</x:v>
      </x:c>
      <x:c r="F2074" s="34" t="str">
        <x:v>MI-2545</x:v>
      </x:c>
      <x:c r="G2074" s="39" t="str">
        <x:v>کار:</x:v>
      </x:c>
      <x:c r="H2074" s="39" t="str">
        <x:v>H20</x:v>
      </x:c>
      <x:c r="I2074" s="39" t="str">
        <x:v>P3/CLARIFY</x:v>
      </x:c>
      <x:c r="J2074" s="39" t="str">
        <x:v>H20</x:v>
      </x:c>
      <x:c r="K2074" s="39" t="str">
        <x:v>تطبیق احتمالی با پایه</x:v>
      </x:c>
      <x:c r="L2074" s="39" t="str">
        <x:v>MI-2545</x:v>
      </x:c>
      <x:c r="M2074" s="39" t="str">
        <x:v>کار:</x:v>
      </x:c>
      <x:c r="N2074" s="39" t="str">
        <x:v>1154878548.docx::P6652.1 | 1154878548.docx::P7020.1</x:v>
      </x:c>
      <x:c r="O2074" s="39"/>
    </x:row>
    <x:row r="2075">
      <x:c r="A2075" s="34" t="str">
        <x:v>☐</x:v>
      </x:c>
      <x:c r="B2075" s="34" t="str">
        <x:v>EX-2047</x:v>
      </x:c>
      <x:c r="C2075" s="34" t="str">
        <x:v>کاغذهای      باطله نقاشی و طراحی</x:v>
      </x:c>
      <x:c r="D2075" s="34" t="str">
        <x:v>POSSIBLE</x:v>
      </x:c>
      <x:c r="E2075" s="34" t="str">
        <x:v>85.5</x:v>
      </x:c>
      <x:c r="F2075" s="34" t="str">
        <x:v>MI-1513</x:v>
      </x:c>
      <x:c r="G2075" s="39" t="str">
        <x:v>تولید و کارآفرینی: توانایی تولید محصول و خدمات و ایجاد شغل.</x:v>
      </x:c>
      <x:c r="H2075" s="39" t="str">
        <x:v>H1</x:v>
      </x:c>
      <x:c r="I2075" s="39" t="str">
        <x:v>P0</x:v>
      </x:c>
      <x:c r="J2075" s="39" t="str">
        <x:v>H1</x:v>
      </x:c>
      <x:c r="K2075" s="39" t="str">
        <x:v>تطبیق احتمالی با پایه</x:v>
      </x:c>
      <x:c r="L2075" s="39" t="str">
        <x:v>MI-1513</x:v>
      </x:c>
      <x:c r="M2075" s="39" t="str">
        <x:v>تولید و کارآفرینی: توانایی تولید محصول و خدمات و ایجاد شغل.</x:v>
      </x:c>
      <x:c r="N2075" s="39" t="str">
        <x:v>1154878548.docx::P6653.1 | 1154878548.docx::P7021.1</x:v>
      </x:c>
      <x:c r="O2075" s="39"/>
    </x:row>
    <x:row r="2076">
      <x:c r="A2076" s="34" t="str">
        <x:v>☐</x:v>
      </x:c>
      <x:c r="B2076" s="34" t="str">
        <x:v>EX-2048</x:v>
      </x:c>
      <x:c r="C2076" s="34" t="str">
        <x:v>رنگها      و چسبهای فرسوده</x:v>
      </x:c>
      <x:c r="D2076" s="34" t="str">
        <x:v>POSSIBLE</x:v>
      </x:c>
      <x:c r="E2076" s="34" t="str">
        <x:v>85.5</x:v>
      </x:c>
      <x:c r="F2076" s="34" t="str">
        <x:v>MI-1513</x:v>
      </x:c>
      <x:c r="G2076" s="39" t="str">
        <x:v>تولید و کارآفرینی: توانایی تولید محصول و خدمات و ایجاد شغل.</x:v>
      </x:c>
      <x:c r="H2076" s="39" t="str">
        <x:v>H1</x:v>
      </x:c>
      <x:c r="I2076" s="39" t="str">
        <x:v>P0</x:v>
      </x:c>
      <x:c r="J2076" s="39" t="str">
        <x:v>H1</x:v>
      </x:c>
      <x:c r="K2076" s="39" t="str">
        <x:v>تطبیق احتمالی با پایه</x:v>
      </x:c>
      <x:c r="L2076" s="39" t="str">
        <x:v>MI-1513</x:v>
      </x:c>
      <x:c r="M2076" s="39" t="str">
        <x:v>تولید و کارآفرینی: توانایی تولید محصول و خدمات و ایجاد شغل.</x:v>
      </x:c>
      <x:c r="N2076" s="39" t="str">
        <x:v>1154878548.docx::P6654.1 | 1154878548.docx::P7022.1</x:v>
      </x:c>
      <x:c r="O2076" s="39"/>
    </x:row>
    <x:row r="2077">
      <x:c r="A2077" s="34" t="str">
        <x:v>☐</x:v>
      </x:c>
      <x:c r="B2077" s="34" t="str">
        <x:v>EX-2049</x:v>
      </x:c>
      <x:c r="C2077" s="34" t="str">
        <x:v>انواع      مقوا و کارتنهای ضایعاتی</x:v>
      </x:c>
      <x:c r="D2077" s="34" t="str">
        <x:v>POSSIBLE</x:v>
      </x:c>
      <x:c r="E2077" s="34" t="str">
        <x:v>85.5</x:v>
      </x:c>
      <x:c r="F2077" s="34" t="str">
        <x:v>MI-1513</x:v>
      </x:c>
      <x:c r="G2077" s="39" t="str">
        <x:v>تولید و کارآفرینی: توانایی تولید محصول و خدمات و ایجاد شغل.</x:v>
      </x:c>
      <x:c r="H2077" s="39" t="str">
        <x:v>H1</x:v>
      </x:c>
      <x:c r="I2077" s="39" t="str">
        <x:v>P0</x:v>
      </x:c>
      <x:c r="J2077" s="39" t="str">
        <x:v>H1</x:v>
      </x:c>
      <x:c r="K2077" s="39" t="str">
        <x:v>تطبیق احتمالی با پایه</x:v>
      </x:c>
      <x:c r="L2077" s="39" t="str">
        <x:v>MI-1513</x:v>
      </x:c>
      <x:c r="M2077" s="39" t="str">
        <x:v>تولید و کارآفرینی: توانایی تولید محصول و خدمات و ایجاد شغل.</x:v>
      </x:c>
      <x:c r="N2077" s="39" t="str">
        <x:v>1154878548.docx::P6655.1 | 1154878548.docx::P7023.1</x:v>
      </x:c>
      <x:c r="O2077" s="39"/>
    </x:row>
    <x:row r="2078">
      <x:c r="A2078" s="34" t="str">
        <x:v>☐</x:v>
      </x:c>
      <x:c r="B2078" s="34" t="str">
        <x:v>EX-2050</x:v>
      </x:c>
      <x:c r="C2078" s="34" t="str">
        <x:v>وسایل      کمک آموزشی فرسوده</x:v>
      </x:c>
      <x:c r="D2078" s="34" t="str">
        <x:v>POSSIBLE</x:v>
      </x:c>
      <x:c r="E2078" s="34" t="str">
        <x:v>90.0</x:v>
      </x:c>
      <x:c r="F2078" s="34" t="str">
        <x:v>MI-2601</x:v>
      </x:c>
      <x:c r="G2078" s="39" t="str">
        <x:v>آموزش:</x:v>
      </x:c>
      <x:c r="H2078" s="39" t="str">
        <x:v>H20</x:v>
      </x:c>
      <x:c r="I2078" s="39" t="str">
        <x:v>P3/CLARIFY</x:v>
      </x:c>
      <x:c r="J2078" s="39" t="str">
        <x:v>H20</x:v>
      </x:c>
      <x:c r="K2078" s="39" t="str">
        <x:v>تطبیق احتمالی با پایه</x:v>
      </x:c>
      <x:c r="L2078" s="39" t="str">
        <x:v>MI-2601</x:v>
      </x:c>
      <x:c r="M2078" s="39" t="str">
        <x:v>آموزش:</x:v>
      </x:c>
      <x:c r="N2078" s="39" t="str">
        <x:v>1154878548.docx::P6656.1 | 1154878548.docx::P7024.1</x:v>
      </x:c>
      <x:c r="O2078" s="39"/>
    </x:row>
    <x:row r="2079">
      <x:c r="A2079" s="34" t="str">
        <x:v>☐</x:v>
      </x:c>
      <x:c r="B2079" s="34" t="str">
        <x:v>EX-2051</x:v>
      </x:c>
      <x:c r="C2079" s="34" t="str">
        <x:v>22. وسایل حیوانات خانگی:</x:v>
      </x:c>
      <x:c r="D2079" s="34" t="str">
        <x:v>POSSIBLE</x:v>
      </x:c>
      <x:c r="E2079" s="34" t="str">
        <x:v>85.5</x:v>
      </x:c>
      <x:c r="F2079" s="34" t="str">
        <x:v>MI-0895</x:v>
      </x:c>
      <x:c r="G2079" s="39" t="str">
        <x:v>جلسه با مسیول باشگاه و منعمی برای کمبود وسایل و نظ</x:v>
      </x:c>
      <x:c r="H2079" s="39" t="str">
        <x:v>H11</x:v>
      </x:c>
      <x:c r="I2079" s="39" t="str">
        <x:v>DELEGATE/P2</x:v>
      </x:c>
      <x:c r="J2079" s="39" t="str">
        <x:v>H11</x:v>
      </x:c>
      <x:c r="K2079" s="39" t="str">
        <x:v>تطبیق احتمالی با پایه</x:v>
      </x:c>
      <x:c r="L2079" s="39" t="str">
        <x:v>MI-0895</x:v>
      </x:c>
      <x:c r="M2079" s="39" t="str">
        <x:v>جلسه با مسیول باشگاه و منعمی برای کمبود وسایل و نظ</x:v>
      </x:c>
      <x:c r="N2079" s="39" t="str">
        <x:v>1154878548.docx::P6657.1 | 1154878548.docx::P7025.1</x:v>
      </x:c>
      <x:c r="O2079" s="39"/>
    </x:row>
    <x:row r="2080">
      <x:c r="A2080" s="34" t="str">
        <x:v>☐</x:v>
      </x:c>
      <x:c r="B2080" s="34" t="str">
        <x:v>EX-2052</x:v>
      </x:c>
      <x:c r="C2080" s="34" t="str">
        <x:v>ظروف      غذای حیوانات</x:v>
      </x:c>
      <x:c r="D2080" s="34" t="str">
        <x:v>POSSIBLE</x:v>
      </x:c>
      <x:c r="E2080" s="34" t="str">
        <x:v>90.0</x:v>
      </x:c>
      <x:c r="F2080" s="34" t="str">
        <x:v>MI-1284</x:v>
      </x:c>
      <x:c r="G2080" s="39" t="str">
        <x:v>ظروف</x:v>
      </x:c>
      <x:c r="H2080" s="39" t="str">
        <x:v>H12</x:v>
      </x:c>
      <x:c r="I2080" s="39" t="str">
        <x:v>P2</x:v>
      </x:c>
      <x:c r="J2080" s="39" t="str">
        <x:v>H12</x:v>
      </x:c>
      <x:c r="K2080" s="39" t="str">
        <x:v>تطبیق احتمالی با پایه</x:v>
      </x:c>
      <x:c r="L2080" s="39" t="str">
        <x:v>MI-1284</x:v>
      </x:c>
      <x:c r="M2080" s="39" t="str">
        <x:v>ظروف</x:v>
      </x:c>
      <x:c r="N2080" s="39" t="str">
        <x:v>1154878548.docx::P6658.1 | 1154878548.docx::P7026.1</x:v>
      </x:c>
      <x:c r="O2080" s="39"/>
    </x:row>
    <x:row r="2081">
      <x:c r="A2081" s="34" t="str">
        <x:v>☐</x:v>
      </x:c>
      <x:c r="B2081" s="34" t="str">
        <x:v>EX-2053</x:v>
      </x:c>
      <x:c r="C2081" s="34" t="str">
        <x:v>اسباب      بازیهای حیوانات</x:v>
      </x:c>
      <x:c r="D2081" s="34" t="str">
        <x:v>UNMAPPED</x:v>
      </x:c>
      <x:c r="E2081" s="34" t="str">
        <x:v>67.5</x:v>
      </x:c>
      <x:c r="F2081" s="34" t="str">
        <x:v>MI-1324</x:v>
      </x:c>
      <x:c r="G2081" s="39" t="str">
        <x:v>وانت</x:v>
      </x:c>
      <x:c r="H2081" s="39" t="str">
        <x:v>H12</x:v>
      </x:c>
      <x:c r="I2081" s="39" t="str">
        <x:v>P2</x:v>
      </x:c>
      <x:c r="J2081" s="39" t="str">
        <x:v>H23</x:v>
      </x:c>
      <x:c r="K2081" s="39" t="str">
        <x:v>نیازمند پالایش؛ حذف نشده</x:v>
      </x:c>
      <x:c r="L2081" s="39"/>
      <x:c r="M2081" s="39"/>
      <x:c r="N2081" s="39" t="str">
        <x:v>1154878548.docx::P6659.1 | 1154878548.docx::P7027.1</x:v>
      </x:c>
      <x:c r="O2081" s="39"/>
    </x:row>
    <x:row r="2082">
      <x:c r="A2082" s="34" t="str">
        <x:v>☐</x:v>
      </x:c>
      <x:c r="B2082" s="34" t="str">
        <x:v>EX-2054</x:v>
      </x:c>
      <x:c r="C2082" s="34" t="str">
        <x:v>قلاده      و بند حیوانات</x:v>
      </x:c>
      <x:c r="D2082" s="34" t="str">
        <x:v>POSSIBLE</x:v>
      </x:c>
      <x:c r="E2082" s="34" t="str">
        <x:v>85.5</x:v>
      </x:c>
      <x:c r="F2082" s="34" t="str">
        <x:v>MI-1513</x:v>
      </x:c>
      <x:c r="G2082" s="39" t="str">
        <x:v>تولید و کارآفرینی: توانایی تولید محصول و خدمات و ایجاد شغل.</x:v>
      </x:c>
      <x:c r="H2082" s="39" t="str">
        <x:v>H1</x:v>
      </x:c>
      <x:c r="I2082" s="39" t="str">
        <x:v>P0</x:v>
      </x:c>
      <x:c r="J2082" s="39" t="str">
        <x:v>H1</x:v>
      </x:c>
      <x:c r="K2082" s="39" t="str">
        <x:v>تطبیق احتمالی با پایه</x:v>
      </x:c>
      <x:c r="L2082" s="39" t="str">
        <x:v>MI-1513</x:v>
      </x:c>
      <x:c r="M2082" s="39" t="str">
        <x:v>تولید و کارآفرینی: توانایی تولید محصول و خدمات و ایجاد شغل.</x:v>
      </x:c>
      <x:c r="N2082" s="39" t="str">
        <x:v>1154878548.docx::P6660.1 | 1154878548.docx::P7028.1</x:v>
      </x:c>
      <x:c r="O2082" s="39"/>
    </x:row>
    <x:row r="2083">
      <x:c r="A2083" s="34" t="str">
        <x:v>☐</x:v>
      </x:c>
      <x:c r="B2083" s="34" t="str">
        <x:v>EX-2055</x:v>
      </x:c>
      <x:c r="C2083" s="34" t="str">
        <x:v>خاک      بستر حیوانات (با رعایت نکات بهداشتی)</x:v>
      </x:c>
      <x:c r="D2083" s="34" t="str">
        <x:v>POSSIBLE</x:v>
      </x:c>
      <x:c r="E2083" s="34" t="str">
        <x:v>85.5</x:v>
      </x:c>
      <x:c r="F2083" s="34" t="str">
        <x:v>MI-1501</x:v>
      </x:c>
      <x:c r="G2083" s="39" t="str">
        <x:v>مدیریت ریسک: شناسایی ریسک ها، ارزیابی اثرات، تدوین برنامه های مقابله با ریسک ها.</x:v>
      </x:c>
      <x:c r="H2083" s="39" t="str">
        <x:v>H1</x:v>
      </x:c>
      <x:c r="I2083" s="39" t="str">
        <x:v>P0</x:v>
      </x:c>
      <x:c r="J2083" s="39" t="str">
        <x:v>H1</x:v>
      </x:c>
      <x:c r="K2083" s="39" t="str">
        <x:v>تطبیق احتمالی با پایه</x:v>
      </x:c>
      <x:c r="L2083" s="39" t="str">
        <x:v>MI-1501</x:v>
      </x:c>
      <x:c r="M2083" s="39" t="str">
        <x:v>مدیریت ریسک: شناسایی ریسک ها، ارزیابی اثرات، تدوین برنامه های مقابله با ریسک ها.</x:v>
      </x:c>
      <x:c r="N2083" s="39" t="str">
        <x:v>1154878548.docx::P6661.1 | 1154878548.docx::P7029.1</x:v>
      </x:c>
      <x:c r="O2083" s="39"/>
    </x:row>
    <x:row r="2084">
      <x:c r="A2084" s="34" t="str">
        <x:v>☐</x:v>
      </x:c>
      <x:c r="B2084" s="34" t="str">
        <x:v>EX-2056</x:v>
      </x:c>
      <x:c r="C2084" s="34" t="str">
        <x:v>23. وسایل ورزشی:</x:v>
      </x:c>
      <x:c r="D2084" s="34" t="str">
        <x:v>POSSIBLE</x:v>
      </x:c>
      <x:c r="E2084" s="34" t="str">
        <x:v>85.5</x:v>
      </x:c>
      <x:c r="F2084" s="34" t="str">
        <x:v>MI-0895</x:v>
      </x:c>
      <x:c r="G2084" s="39" t="str">
        <x:v>جلسه با مسیول باشگاه و منعمی برای کمبود وسایل و نظ</x:v>
      </x:c>
      <x:c r="H2084" s="39" t="str">
        <x:v>H11</x:v>
      </x:c>
      <x:c r="I2084" s="39" t="str">
        <x:v>DELEGATE/P2</x:v>
      </x:c>
      <x:c r="J2084" s="39" t="str">
        <x:v>H11</x:v>
      </x:c>
      <x:c r="K2084" s="39" t="str">
        <x:v>تطبیق احتمالی با پایه</x:v>
      </x:c>
      <x:c r="L2084" s="39" t="str">
        <x:v>MI-0895</x:v>
      </x:c>
      <x:c r="M2084" s="39" t="str">
        <x:v>جلسه با مسیول باشگاه و منعمی برای کمبود وسایل و نظ</x:v>
      </x:c>
      <x:c r="N2084" s="39" t="str">
        <x:v>1154878548.docx::P6662.1 | 1154878548.docx::P7030.1</x:v>
      </x:c>
      <x:c r="O2084" s="39"/>
    </x:row>
    <x:row r="2085">
      <x:c r="A2085" s="34" t="str">
        <x:v>☐</x:v>
      </x:c>
      <x:c r="B2085" s="34" t="str">
        <x:v>EX-2057</x:v>
      </x:c>
      <x:c r="C2085" s="34" t="str">
        <x:v>توپهای      فرسوده</x:v>
      </x:c>
      <x:c r="D2085" s="34" t="str">
        <x:v>UNMAPPED</x:v>
      </x:c>
      <x:c r="E2085" s="34" t="str">
        <x:v>62.1</x:v>
      </x:c>
      <x:c r="F2085" s="34" t="str">
        <x:v>MI-2632</x:v>
      </x:c>
      <x:c r="G2085" s="39" t="str">
        <x:v>ثبت و پایش افراد</x:v>
      </x:c>
      <x:c r="H2085" s="39" t="str">
        <x:v>H14</x:v>
      </x:c>
      <x:c r="I2085" s="39" t="str">
        <x:v>P3</x:v>
      </x:c>
      <x:c r="J2085" s="39" t="str">
        <x:v>H23</x:v>
      </x:c>
      <x:c r="K2085" s="39" t="str">
        <x:v>نیازمند پالایش؛ حذف نشده</x:v>
      </x:c>
      <x:c r="L2085" s="39"/>
      <x:c r="M2085" s="39"/>
      <x:c r="N2085" s="39" t="str">
        <x:v>1154878548.docx::P6663.1 | 1154878548.docx::P7031.1</x:v>
      </x:c>
      <x:c r="O2085" s="39"/>
    </x:row>
    <x:row r="2086">
      <x:c r="A2086" s="34" t="str">
        <x:v>☐</x:v>
      </x:c>
      <x:c r="B2086" s="34" t="str">
        <x:v>EX-2058</x:v>
      </x:c>
      <x:c r="C2086" s="34" t="str">
        <x:v>راکتها      و چوبهای فرسوده</x:v>
      </x:c>
      <x:c r="D2086" s="34" t="str">
        <x:v>POSSIBLE</x:v>
      </x:c>
      <x:c r="E2086" s="34" t="str">
        <x:v>90.0</x:v>
      </x:c>
      <x:c r="F2086" s="34" t="str">
        <x:v>MI-1296</x:v>
      </x:c>
      <x:c r="G2086" s="39" t="str">
        <x:v>چوب</x:v>
      </x:c>
      <x:c r="H2086" s="39" t="str">
        <x:v>H12</x:v>
      </x:c>
      <x:c r="I2086" s="39" t="str">
        <x:v>P2</x:v>
      </x:c>
      <x:c r="J2086" s="39" t="str">
        <x:v>H12</x:v>
      </x:c>
      <x:c r="K2086" s="39" t="str">
        <x:v>تطبیق احتمالی با پایه</x:v>
      </x:c>
      <x:c r="L2086" s="39" t="str">
        <x:v>MI-1296</x:v>
      </x:c>
      <x:c r="M2086" s="39" t="str">
        <x:v>چوب</x:v>
      </x:c>
      <x:c r="N2086" s="39" t="str">
        <x:v>1154878548.docx::P6664.1 | 1154878548.docx::P7032.1</x:v>
      </x:c>
      <x:c r="O2086" s="39"/>
    </x:row>
    <x:row r="2087">
      <x:c r="A2087" s="34" t="str">
        <x:v>☐</x:v>
      </x:c>
      <x:c r="B2087" s="34" t="str">
        <x:v>EX-2059</x:v>
      </x:c>
      <x:c r="C2087" s="34" t="str">
        <x:v>لباسهای      ورزشی فرسوده</x:v>
      </x:c>
      <x:c r="D2087" s="34" t="str">
        <x:v>UNMAPPED</x:v>
      </x:c>
      <x:c r="E2087" s="34" t="str">
        <x:v>68.4</x:v>
      </x:c>
      <x:c r="F2087" s="34" t="str">
        <x:v>MI-1339</x:v>
      </x:c>
      <x:c r="G2087" s="39" t="str">
        <x:v>فرش</x:v>
      </x:c>
      <x:c r="H2087" s="39" t="str">
        <x:v>H12</x:v>
      </x:c>
      <x:c r="I2087" s="39" t="str">
        <x:v>P2</x:v>
      </x:c>
      <x:c r="J2087" s="39" t="str">
        <x:v>H23</x:v>
      </x:c>
      <x:c r="K2087" s="39" t="str">
        <x:v>نیازمند پالایش؛ حذف نشده</x:v>
      </x:c>
      <x:c r="L2087" s="39"/>
      <x:c r="M2087" s="39"/>
      <x:c r="N2087" s="39" t="str">
        <x:v>1154878548.docx::P6665.1 | 1154878548.docx::P7033.1</x:v>
      </x:c>
      <x:c r="O2087" s="39"/>
    </x:row>
    <x:row r="2088">
      <x:c r="A2088" s="34" t="str">
        <x:v>☐</x:v>
      </x:c>
      <x:c r="B2088" s="34" t="str">
        <x:v>EX-2060</x:v>
      </x:c>
      <x:c r="C2088" s="34" t="str">
        <x:v>کفشهای      ورزشی فرسوده</x:v>
      </x:c>
      <x:c r="D2088" s="34" t="str">
        <x:v>UNMAPPED</x:v>
      </x:c>
      <x:c r="E2088" s="34" t="str">
        <x:v>68.4</x:v>
      </x:c>
      <x:c r="F2088" s="34" t="str">
        <x:v>MI-1339</x:v>
      </x:c>
      <x:c r="G2088" s="39" t="str">
        <x:v>فرش</x:v>
      </x:c>
      <x:c r="H2088" s="39" t="str">
        <x:v>H12</x:v>
      </x:c>
      <x:c r="I2088" s="39" t="str">
        <x:v>P2</x:v>
      </x:c>
      <x:c r="J2088" s="39" t="str">
        <x:v>H23</x:v>
      </x:c>
      <x:c r="K2088" s="39" t="str">
        <x:v>نیازمند پالایش؛ حذف نشده</x:v>
      </x:c>
      <x:c r="L2088" s="39"/>
      <x:c r="M2088" s="39"/>
      <x:c r="N2088" s="39" t="str">
        <x:v>1154878548.docx::P6666.1 | 1154878548.docx::P7034.1</x:v>
      </x:c>
      <x:c r="O2088" s="39"/>
    </x:row>
    <x:row r="2089">
      <x:c r="A2089" s="34" t="str">
        <x:v>☐</x:v>
      </x:c>
      <x:c r="B2089" s="34" t="str">
        <x:v>EX-2061</x:v>
      </x:c>
      <x:c r="C2089" s="34" t="str">
        <x:v>وسایل      بدنسازی فرسوده</x:v>
      </x:c>
      <x:c r="D2089" s="34" t="str">
        <x:v>POSSIBLE</x:v>
      </x:c>
      <x:c r="E2089" s="34" t="str">
        <x:v>85.5</x:v>
      </x:c>
      <x:c r="F2089" s="34" t="str">
        <x:v>MI-0895</x:v>
      </x:c>
      <x:c r="G2089" s="39" t="str">
        <x:v>جلسه با مسیول باشگاه و منعمی برای کمبود وسایل و نظ</x:v>
      </x:c>
      <x:c r="H2089" s="39" t="str">
        <x:v>H11</x:v>
      </x:c>
      <x:c r="I2089" s="39" t="str">
        <x:v>DELEGATE/P2</x:v>
      </x:c>
      <x:c r="J2089" s="39" t="str">
        <x:v>H11</x:v>
      </x:c>
      <x:c r="K2089" s="39" t="str">
        <x:v>تطبیق احتمالی با پایه</x:v>
      </x:c>
      <x:c r="L2089" s="39" t="str">
        <x:v>MI-0895</x:v>
      </x:c>
      <x:c r="M2089" s="39" t="str">
        <x:v>جلسه با مسیول باشگاه و منعمی برای کمبود وسایل و نظ</x:v>
      </x:c>
      <x:c r="N2089" s="39" t="str">
        <x:v>1154878548.docx::P6667.1 | 1154878548.docx::P7035.1</x:v>
      </x:c>
      <x:c r="O2089" s="39"/>
    </x:row>
    <x:row r="2090">
      <x:c r="A2090" s="34" t="str">
        <x:v>☐</x:v>
      </x:c>
      <x:c r="B2090" s="34" t="str">
        <x:v>EX-2062</x:v>
      </x:c>
      <x:c r="C2090" s="34" t="str">
        <x:v>24. وسایل سفر:</x:v>
      </x:c>
      <x:c r="D2090" s="34" t="str">
        <x:v>POSSIBLE</x:v>
      </x:c>
      <x:c r="E2090" s="34" t="str">
        <x:v>85.5</x:v>
      </x:c>
      <x:c r="F2090" s="34" t="str">
        <x:v>MI-0895</x:v>
      </x:c>
      <x:c r="G2090" s="39" t="str">
        <x:v>جلسه با مسیول باشگاه و منعمی برای کمبود وسایل و نظ</x:v>
      </x:c>
      <x:c r="H2090" s="39" t="str">
        <x:v>H11</x:v>
      </x:c>
      <x:c r="I2090" s="39" t="str">
        <x:v>DELEGATE/P2</x:v>
      </x:c>
      <x:c r="J2090" s="39" t="str">
        <x:v>H11</x:v>
      </x:c>
      <x:c r="K2090" s="39" t="str">
        <x:v>تطبیق احتمالی با پایه</x:v>
      </x:c>
      <x:c r="L2090" s="39" t="str">
        <x:v>MI-0895</x:v>
      </x:c>
      <x:c r="M2090" s="39" t="str">
        <x:v>جلسه با مسیول باشگاه و منعمی برای کمبود وسایل و نظ</x:v>
      </x:c>
      <x:c r="N2090" s="39" t="str">
        <x:v>1154878548.docx::P6668.1 | 1154878548.docx::P7036.1</x:v>
      </x:c>
      <x:c r="O2090" s="39"/>
    </x:row>
    <x:row r="2091">
      <x:c r="A2091" s="34" t="str">
        <x:v>☐</x:v>
      </x:c>
      <x:c r="B2091" s="34" t="str">
        <x:v>EX-2063</x:v>
      </x:c>
      <x:c r="C2091" s="34" t="str">
        <x:v>چمدانهای      فرسوده</x:v>
      </x:c>
      <x:c r="D2091" s="34" t="str">
        <x:v>UNMAPPED</x:v>
      </x:c>
      <x:c r="E2091" s="34" t="str">
        <x:v>68.4</x:v>
      </x:c>
      <x:c r="F2091" s="34" t="str">
        <x:v>MI-1339</x:v>
      </x:c>
      <x:c r="G2091" s="39" t="str">
        <x:v>فرش</x:v>
      </x:c>
      <x:c r="H2091" s="39" t="str">
        <x:v>H12</x:v>
      </x:c>
      <x:c r="I2091" s="39" t="str">
        <x:v>P2</x:v>
      </x:c>
      <x:c r="J2091" s="39" t="str">
        <x:v>H23</x:v>
      </x:c>
      <x:c r="K2091" s="39" t="str">
        <x:v>نیازمند پالایش؛ حذف نشده</x:v>
      </x:c>
      <x:c r="L2091" s="39"/>
      <x:c r="M2091" s="39"/>
      <x:c r="N2091" s="39" t="str">
        <x:v>1154878548.docx::P6669.1 | 1154878548.docx::P7037.1</x:v>
      </x:c>
      <x:c r="O2091" s="39"/>
    </x:row>
    <x:row r="2092">
      <x:c r="A2092" s="34" t="str">
        <x:v>☐</x:v>
      </x:c>
      <x:c r="B2092" s="34" t="str">
        <x:v>EX-2064</x:v>
      </x:c>
      <x:c r="C2092" s="34" t="str">
        <x:v>کولهپشتیهای      فرسوده</x:v>
      </x:c>
      <x:c r="D2092" s="34" t="str">
        <x:v>UNMAPPED</x:v>
      </x:c>
      <x:c r="E2092" s="34" t="str">
        <x:v>68.4</x:v>
      </x:c>
      <x:c r="F2092" s="34" t="str">
        <x:v>MI-1339</x:v>
      </x:c>
      <x:c r="G2092" s="39" t="str">
        <x:v>فرش</x:v>
      </x:c>
      <x:c r="H2092" s="39" t="str">
        <x:v>H12</x:v>
      </x:c>
      <x:c r="I2092" s="39" t="str">
        <x:v>P2</x:v>
      </x:c>
      <x:c r="J2092" s="39" t="str">
        <x:v>H23</x:v>
      </x:c>
      <x:c r="K2092" s="39" t="str">
        <x:v>نیازمند پالایش؛ حذف نشده</x:v>
      </x:c>
      <x:c r="L2092" s="39"/>
      <x:c r="M2092" s="39"/>
      <x:c r="N2092" s="39" t="str">
        <x:v>1154878548.docx::P6670.1 | 1154878548.docx::P7038.1</x:v>
      </x:c>
      <x:c r="O2092" s="39"/>
    </x:row>
    <x:row r="2093">
      <x:c r="A2093" s="34" t="str">
        <x:v>☐</x:v>
      </x:c>
      <x:c r="B2093" s="34" t="str">
        <x:v>EX-2065</x:v>
      </x:c>
      <x:c r="C2093" s="34" t="str">
        <x:v>کیسهخوابهای      فرسوده</x:v>
      </x:c>
      <x:c r="D2093" s="34" t="str">
        <x:v>UNMAPPED</x:v>
      </x:c>
      <x:c r="E2093" s="34" t="str">
        <x:v>72.0</x:v>
      </x:c>
      <x:c r="F2093" s="34" t="str">
        <x:v>MI-0888</x:v>
      </x:c>
      <x:c r="G2093" s="39" t="str">
        <x:v>کلی</x:v>
      </x:c>
      <x:c r="H2093" s="39" t="str">
        <x:v>H11</x:v>
      </x:c>
      <x:c r="I2093" s="39" t="str">
        <x:v>DELEGATE/P2</x:v>
      </x:c>
      <x:c r="J2093" s="39" t="str">
        <x:v>H23</x:v>
      </x:c>
      <x:c r="K2093" s="39" t="str">
        <x:v>نیازمند پالایش؛ حذف نشده</x:v>
      </x:c>
      <x:c r="L2093" s="39"/>
      <x:c r="M2093" s="39"/>
      <x:c r="N2093" s="39" t="str">
        <x:v>1154878548.docx::P6671.1 | 1154878548.docx::P7039.1</x:v>
      </x:c>
      <x:c r="O2093" s="39"/>
    </x:row>
    <x:row r="2094">
      <x:c r="A2094" s="34" t="str">
        <x:v>☐</x:v>
      </x:c>
      <x:c r="B2094" s="34" t="str">
        <x:v>EX-2066</x:v>
      </x:c>
      <x:c r="C2094" s="34" t="str">
        <x:v>چادرهای      مسافرتی فرسوده</x:v>
      </x:c>
      <x:c r="D2094" s="34" t="str">
        <x:v>UNMAPPED</x:v>
      </x:c>
      <x:c r="E2094" s="34" t="str">
        <x:v>68.4</x:v>
      </x:c>
      <x:c r="F2094" s="34" t="str">
        <x:v>MI-1339</x:v>
      </x:c>
      <x:c r="G2094" s="39" t="str">
        <x:v>فرش</x:v>
      </x:c>
      <x:c r="H2094" s="39" t="str">
        <x:v>H12</x:v>
      </x:c>
      <x:c r="I2094" s="39" t="str">
        <x:v>P2</x:v>
      </x:c>
      <x:c r="J2094" s="39" t="str">
        <x:v>H23</x:v>
      </x:c>
      <x:c r="K2094" s="39" t="str">
        <x:v>نیازمند پالایش؛ حذف نشده</x:v>
      </x:c>
      <x:c r="L2094" s="39"/>
      <x:c r="M2094" s="39"/>
      <x:c r="N2094" s="39" t="str">
        <x:v>1154878548.docx::P6672.1 | 1154878548.docx::P7040.1</x:v>
      </x:c>
      <x:c r="O2094" s="39"/>
    </x:row>
    <x:row r="2095">
      <x:c r="A2095" s="34" t="str">
        <x:v>☐</x:v>
      </x:c>
      <x:c r="B2095" s="34" t="str">
        <x:v>EX-2067</x:v>
      </x:c>
      <x:c r="C2095" s="34" t="str">
        <x:v>25. وسایل الکترونیکی کوچک:</x:v>
      </x:c>
      <x:c r="D2095" s="34" t="str">
        <x:v>POSSIBLE</x:v>
      </x:c>
      <x:c r="E2095" s="34" t="str">
        <x:v>85.5</x:v>
      </x:c>
      <x:c r="F2095" s="34" t="str">
        <x:v>MI-0895</x:v>
      </x:c>
      <x:c r="G2095" s="39" t="str">
        <x:v>جلسه با مسیول باشگاه و منعمی برای کمبود وسایل و نظ</x:v>
      </x:c>
      <x:c r="H2095" s="39" t="str">
        <x:v>H11</x:v>
      </x:c>
      <x:c r="I2095" s="39" t="str">
        <x:v>DELEGATE/P2</x:v>
      </x:c>
      <x:c r="J2095" s="39" t="str">
        <x:v>H11</x:v>
      </x:c>
      <x:c r="K2095" s="39" t="str">
        <x:v>تطبیق احتمالی با پایه</x:v>
      </x:c>
      <x:c r="L2095" s="39" t="str">
        <x:v>MI-0895</x:v>
      </x:c>
      <x:c r="M2095" s="39" t="str">
        <x:v>جلسه با مسیول باشگاه و منعمی برای کمبود وسایل و نظ</x:v>
      </x:c>
      <x:c r="N2095" s="39" t="str">
        <x:v>1154878548.docx::P6673.1 | 1154878548.docx::P7041.1</x:v>
      </x:c>
      <x:c r="O2095" s="39"/>
    </x:row>
    <x:row r="2096">
      <x:c r="A2096" s="34" t="str">
        <x:v>☐</x:v>
      </x:c>
      <x:c r="B2096" s="34" t="str">
        <x:v>EX-2068</x:v>
      </x:c>
      <x:c r="C2096" s="34" t="str">
        <x:v>شارژرها      و آداپتورها</x:v>
      </x:c>
      <x:c r="D2096" s="34" t="str">
        <x:v>POSSIBLE</x:v>
      </x:c>
      <x:c r="E2096" s="34" t="str">
        <x:v>85.5</x:v>
      </x:c>
      <x:c r="F2096" s="34" t="str">
        <x:v>MI-1513</x:v>
      </x:c>
      <x:c r="G2096" s="39" t="str">
        <x:v>تولید و کارآفرینی: توانایی تولید محصول و خدمات و ایجاد شغل.</x:v>
      </x:c>
      <x:c r="H2096" s="39" t="str">
        <x:v>H1</x:v>
      </x:c>
      <x:c r="I2096" s="39" t="str">
        <x:v>P0</x:v>
      </x:c>
      <x:c r="J2096" s="39" t="str">
        <x:v>H1</x:v>
      </x:c>
      <x:c r="K2096" s="39" t="str">
        <x:v>تطبیق احتمالی با پایه</x:v>
      </x:c>
      <x:c r="L2096" s="39" t="str">
        <x:v>MI-1513</x:v>
      </x:c>
      <x:c r="M2096" s="39" t="str">
        <x:v>تولید و کارآفرینی: توانایی تولید محصول و خدمات و ایجاد شغل.</x:v>
      </x:c>
      <x:c r="N2096" s="39" t="str">
        <x:v>1154878548.docx::P6674.1 | 1154878548.docx::P7042.1</x:v>
      </x:c>
      <x:c r="O2096" s="39"/>
    </x:row>
    <x:row r="2097">
      <x:c r="A2097" s="34" t="str">
        <x:v>☐</x:v>
      </x:c>
      <x:c r="B2097" s="34" t="str">
        <x:v>EX-2069</x:v>
      </x:c>
      <x:c r="C2097" s="34" t="str">
        <x:v>هدفونها      و هندزفریها</x:v>
      </x:c>
      <x:c r="D2097" s="34" t="str">
        <x:v>POSSIBLE</x:v>
      </x:c>
      <x:c r="E2097" s="34" t="str">
        <x:v>90.0</x:v>
      </x:c>
      <x:c r="F2097" s="34" t="str">
        <x:v>MI-2557</x:v>
      </x:c>
      <x:c r="G2097" s="39" t="str">
        <x:v>هدف:</x:v>
      </x:c>
      <x:c r="H2097" s="39" t="str">
        <x:v>H20</x:v>
      </x:c>
      <x:c r="I2097" s="39" t="str">
        <x:v>P3/CLARIFY</x:v>
      </x:c>
      <x:c r="J2097" s="39" t="str">
        <x:v>H20</x:v>
      </x:c>
      <x:c r="K2097" s="39" t="str">
        <x:v>تطبیق احتمالی با پایه</x:v>
      </x:c>
      <x:c r="L2097" s="39" t="str">
        <x:v>MI-2557</x:v>
      </x:c>
      <x:c r="M2097" s="39" t="str">
        <x:v>هدف:</x:v>
      </x:c>
      <x:c r="N2097" s="39" t="str">
        <x:v>1154878548.docx::P6675.1 | 1154878548.docx::P7043.1</x:v>
      </x:c>
      <x:c r="O2097" s="39"/>
    </x:row>
    <x:row r="2098">
      <x:c r="A2098" s="34" t="str">
        <x:v>☐</x:v>
      </x:c>
      <x:c r="B2098" s="34" t="str">
        <x:v>EX-2070</x:v>
      </x:c>
      <x:c r="C2098" s="34" t="str">
        <x:v>موس      و کیبورد کامپیوتر</x:v>
      </x:c>
      <x:c r="D2098" s="34" t="str">
        <x:v>POSSIBLE</x:v>
      </x:c>
      <x:c r="E2098" s="34" t="str">
        <x:v>85.5</x:v>
      </x:c>
      <x:c r="F2098" s="34" t="str">
        <x:v>MI-1513</x:v>
      </x:c>
      <x:c r="G2098" s="39" t="str">
        <x:v>تولید و کارآفرینی: توانایی تولید محصول و خدمات و ایجاد شغل.</x:v>
      </x:c>
      <x:c r="H2098" s="39" t="str">
        <x:v>H1</x:v>
      </x:c>
      <x:c r="I2098" s="39" t="str">
        <x:v>P0</x:v>
      </x:c>
      <x:c r="J2098" s="39" t="str">
        <x:v>H1</x:v>
      </x:c>
      <x:c r="K2098" s="39" t="str">
        <x:v>تطبیق احتمالی با پایه</x:v>
      </x:c>
      <x:c r="L2098" s="39" t="str">
        <x:v>MI-1513</x:v>
      </x:c>
      <x:c r="M2098" s="39" t="str">
        <x:v>تولید و کارآفرینی: توانایی تولید محصول و خدمات و ایجاد شغل.</x:v>
      </x:c>
      <x:c r="N2098" s="39" t="str">
        <x:v>1154878548.docx::P6676.1 | 1154878548.docx::P7044.1</x:v>
      </x:c>
      <x:c r="O2098" s="39"/>
    </x:row>
    <x:row r="2099">
      <x:c r="A2099" s="34" t="str">
        <x:v>☐</x:v>
      </x:c>
      <x:c r="B2099" s="34" t="str">
        <x:v>EX-2071</x:v>
      </x:c>
      <x:c r="C2099" s="34" t="str">
        <x:v>فلش      مموری و کارت حافظه</x:v>
      </x:c>
      <x:c r="D2099" s="34" t="str">
        <x:v>POSSIBLE</x:v>
      </x:c>
      <x:c r="E2099" s="34" t="str">
        <x:v>90.0</x:v>
      </x:c>
      <x:c r="F2099" s="34" t="str">
        <x:v>MI-2545</x:v>
      </x:c>
      <x:c r="G2099" s="39" t="str">
        <x:v>کار:</x:v>
      </x:c>
      <x:c r="H2099" s="39" t="str">
        <x:v>H20</x:v>
      </x:c>
      <x:c r="I2099" s="39" t="str">
        <x:v>P3/CLARIFY</x:v>
      </x:c>
      <x:c r="J2099" s="39" t="str">
        <x:v>H20</x:v>
      </x:c>
      <x:c r="K2099" s="39" t="str">
        <x:v>تطبیق احتمالی با پایه</x:v>
      </x:c>
      <x:c r="L2099" s="39" t="str">
        <x:v>MI-2545</x:v>
      </x:c>
      <x:c r="M2099" s="39" t="str">
        <x:v>کار:</x:v>
      </x:c>
      <x:c r="N2099" s="39" t="str">
        <x:v>1154878548.docx::P6677.1 | 1154878548.docx::P7045.1</x:v>
      </x:c>
      <x:c r="O2099" s="39"/>
    </x:row>
    <x:row r="2100">
      <x:c r="A2100" s="34" t="str">
        <x:v>☐</x:v>
      </x:c>
      <x:c r="B2100" s="34" t="str">
        <x:v>EX-2072</x:v>
      </x:c>
      <x:c r="C2100" s="34" t="str">
        <x:v>26. مواد بستهبندی خاص:</x:v>
      </x:c>
      <x:c r="D2100" s="34" t="str">
        <x:v>POSSIBLE</x:v>
      </x:c>
      <x:c r="E2100" s="34" t="str">
        <x:v>85.5</x:v>
      </x:c>
      <x:c r="F2100" s="34" t="str">
        <x:v>MI-3058</x:v>
      </x:c>
      <x:c r="G2100" s="39" t="str">
        <x:v>آیا سابقه بیماری خاص و یا آلرژی یا عمل جراحی داشتید؟ و این موضوع برای شما محدودیت شغلی ایجاد کرده است؟</x:v>
      </x:c>
      <x:c r="H2100" s="39" t="str">
        <x:v>H3</x:v>
      </x:c>
      <x:c r="I2100" s="39" t="str">
        <x:v>P3/CLARIFY</x:v>
      </x:c>
      <x:c r="J2100" s="39" t="str">
        <x:v>H3</x:v>
      </x:c>
      <x:c r="K2100" s="39" t="str">
        <x:v>تطبیق احتمالی با پایه</x:v>
      </x:c>
      <x:c r="L2100" s="39" t="str">
        <x:v>MI-3058</x:v>
      </x:c>
      <x:c r="M2100" s="39" t="str">
        <x:v>آیا سابقه بیماری خاص و یا آلرژی یا عمل جراحی داشتید؟ و این موضوع برای شما محدودیت شغلی ایجاد کرده است؟</x:v>
      </x:c>
      <x:c r="N2100" s="39" t="str">
        <x:v>1154878548.docx::P6678.1 | 1154878548.docx::P7046.1</x:v>
      </x:c>
      <x:c r="O2100" s="39"/>
    </x:row>
    <x:row r="2101">
      <x:c r="A2101" s="34" t="str">
        <x:v>☐</x:v>
      </x:c>
      <x:c r="B2101" s="34" t="str">
        <x:v>EX-2073</x:v>
      </x:c>
      <x:c r="C2101" s="34" t="str">
        <x:v>ظروف      آلومینیومی مواد غذایی</x:v>
      </x:c>
      <x:c r="D2101" s="34" t="str">
        <x:v>POSSIBLE</x:v>
      </x:c>
      <x:c r="E2101" s="34" t="str">
        <x:v>90.0</x:v>
      </x:c>
      <x:c r="F2101" s="34" t="str">
        <x:v>MI-1284</x:v>
      </x:c>
      <x:c r="G2101" s="39" t="str">
        <x:v>ظروف</x:v>
      </x:c>
      <x:c r="H2101" s="39" t="str">
        <x:v>H12</x:v>
      </x:c>
      <x:c r="I2101" s="39" t="str">
        <x:v>P2</x:v>
      </x:c>
      <x:c r="J2101" s="39" t="str">
        <x:v>H12</x:v>
      </x:c>
      <x:c r="K2101" s="39" t="str">
        <x:v>تطبیق احتمالی با پایه</x:v>
      </x:c>
      <x:c r="L2101" s="39" t="str">
        <x:v>MI-1284</x:v>
      </x:c>
      <x:c r="M2101" s="39" t="str">
        <x:v>ظروف</x:v>
      </x:c>
      <x:c r="N2101" s="39" t="str">
        <x:v>1154878548.docx::P6679.1 | 1154878548.docx::P7047.1</x:v>
      </x:c>
      <x:c r="O2101" s="39"/>
    </x:row>
    <x:row r="2102">
      <x:c r="A2102" s="34" t="str">
        <x:v>☐</x:v>
      </x:c>
      <x:c r="B2102" s="34" t="str">
        <x:v>EX-2074</x:v>
      </x:c>
      <x:c r="C2102" s="34" t="str">
        <x:v>قوطیهای      اسپری</x:v>
      </x:c>
      <x:c r="D2102" s="34" t="str">
        <x:v>POSSIBLE</x:v>
      </x:c>
      <x:c r="E2102" s="34" t="str">
        <x:v>85.5</x:v>
      </x:c>
      <x:c r="F2102" s="34" t="str">
        <x:v>MI-0923</x:v>
      </x:c>
      <x:c r="G2102" s="39" t="str">
        <x:v>اسپری فوم لا درز لوله ها</x:v>
      </x:c>
      <x:c r="H2102" s="39" t="str">
        <x:v>H11</x:v>
      </x:c>
      <x:c r="I2102" s="39" t="str">
        <x:v>DELEGATE/P2</x:v>
      </x:c>
      <x:c r="J2102" s="39" t="str">
        <x:v>H11</x:v>
      </x:c>
      <x:c r="K2102" s="39" t="str">
        <x:v>تطبیق احتمالی با پایه</x:v>
      </x:c>
      <x:c r="L2102" s="39" t="str">
        <x:v>MI-0923</x:v>
      </x:c>
      <x:c r="M2102" s="39" t="str">
        <x:v>اسپری فوم لا درز لوله ها</x:v>
      </x:c>
      <x:c r="N2102" s="39" t="str">
        <x:v>1154878548.docx::P6680.1 | 1154878548.docx::P7048.1</x:v>
      </x:c>
      <x:c r="O2102" s="39"/>
    </x:row>
    <x:row r="2103">
      <x:c r="A2103" s="34" t="str">
        <x:v>☐</x:v>
      </x:c>
      <x:c r="B2103" s="34" t="str">
        <x:v>EX-2075</x:v>
      </x:c>
      <x:c r="C2103" s="34" t="str">
        <x:v>کارتریجهای      پرینتر و تونر</x:v>
      </x:c>
      <x:c r="D2103" s="34" t="str">
        <x:v>POSSIBLE</x:v>
      </x:c>
      <x:c r="E2103" s="34" t="str">
        <x:v>90.0</x:v>
      </x:c>
      <x:c r="F2103" s="34" t="str">
        <x:v>MI-2545</x:v>
      </x:c>
      <x:c r="G2103" s="39" t="str">
        <x:v>کار:</x:v>
      </x:c>
      <x:c r="H2103" s="39" t="str">
        <x:v>H20</x:v>
      </x:c>
      <x:c r="I2103" s="39" t="str">
        <x:v>P3/CLARIFY</x:v>
      </x:c>
      <x:c r="J2103" s="39" t="str">
        <x:v>H20</x:v>
      </x:c>
      <x:c r="K2103" s="39" t="str">
        <x:v>تطبیق احتمالی با پایه</x:v>
      </x:c>
      <x:c r="L2103" s="39" t="str">
        <x:v>MI-2545</x:v>
      </x:c>
      <x:c r="M2103" s="39" t="str">
        <x:v>کار:</x:v>
      </x:c>
      <x:c r="N2103" s="39" t="str">
        <x:v>1154878548.docx::P6681.1 | 1154878548.docx::P7049.1</x:v>
      </x:c>
      <x:c r="O2103" s="39"/>
    </x:row>
    <x:row r="2104">
      <x:c r="A2104" s="34" t="str">
        <x:v>☐</x:v>
      </x:c>
      <x:c r="B2104" s="34" t="str">
        <x:v>EX-2076</x:v>
      </x:c>
      <x:c r="C2104" s="34" t="str">
        <x:v>انواع      فومهای بستهبندی</x:v>
      </x:c>
      <x:c r="D2104" s="34" t="str">
        <x:v>POSSIBLE</x:v>
      </x:c>
      <x:c r="E2104" s="34" t="str">
        <x:v>85.5</x:v>
      </x:c>
      <x:c r="F2104" s="34" t="str">
        <x:v>MI-1510</x:v>
      </x:c>
      <x:c r="G2104" s="39" t="str">
        <x:v>دانش مالی: درک مفاهیم مالی، آشنایی با انواع سرمایه گذاری ها.</x:v>
      </x:c>
      <x:c r="H2104" s="39" t="str">
        <x:v>H1</x:v>
      </x:c>
      <x:c r="I2104" s="39" t="str">
        <x:v>P0</x:v>
      </x:c>
      <x:c r="J2104" s="39" t="str">
        <x:v>H1</x:v>
      </x:c>
      <x:c r="K2104" s="39" t="str">
        <x:v>تطبیق احتمالی با پایه</x:v>
      </x:c>
      <x:c r="L2104" s="39" t="str">
        <x:v>MI-1510</x:v>
      </x:c>
      <x:c r="M2104" s="39" t="str">
        <x:v>دانش مالی: درک مفاهیم مالی، آشنایی با انواع سرمایه گذاری ها.</x:v>
      </x:c>
      <x:c r="N2104" s="39" t="str">
        <x:v>1154878548.docx::P6682.1 | 1154878548.docx::P7050.1</x:v>
      </x:c>
      <x:c r="O2104" s="39"/>
    </x:row>
    <x:row r="2105">
      <x:c r="A2105" s="34" t="str">
        <x:v>☐</x:v>
      </x:c>
      <x:c r="B2105" s="34" t="str">
        <x:v>EX-2077</x:v>
      </x:c>
      <x:c r="C2105" s="34" t="str">
        <x:v>27. سایر موارد:</x:v>
      </x:c>
      <x:c r="D2105" s="34" t="str">
        <x:v>POSSIBLE</x:v>
      </x:c>
      <x:c r="E2105" s="34" t="str">
        <x:v>85.5</x:v>
      </x:c>
      <x:c r="F2105" s="34" t="str">
        <x:v>MI-1512</x:v>
      </x:c>
      <x:c r="G2105" s="39" t="str">
        <x:v>بازار سرمایه: آشنایی با بازار سهام، اوراق قرضه، و سایر ابزارهای مالی.</x:v>
      </x:c>
      <x:c r="H2105" s="39" t="str">
        <x:v>H1</x:v>
      </x:c>
      <x:c r="I2105" s="39" t="str">
        <x:v>P0</x:v>
      </x:c>
      <x:c r="J2105" s="39" t="str">
        <x:v>H1</x:v>
      </x:c>
      <x:c r="K2105" s="39" t="str">
        <x:v>تطبیق احتمالی با پایه</x:v>
      </x:c>
      <x:c r="L2105" s="39" t="str">
        <x:v>MI-1512</x:v>
      </x:c>
      <x:c r="M2105" s="39" t="str">
        <x:v>بازار سرمایه: آشنایی با بازار سهام، اوراق قرضه، و سایر ابزارهای مالی.</x:v>
      </x:c>
      <x:c r="N2105" s="39" t="str">
        <x:v>1154878548.docx::P6683.1 | 1154878548.docx::P7051.1</x:v>
      </x:c>
      <x:c r="O2105" s="39"/>
    </x:row>
    <x:row r="2106">
      <x:c r="A2106" s="34" t="str">
        <x:v>☐</x:v>
      </x:c>
      <x:c r="B2106" s="34" t="str">
        <x:v>EX-2078</x:v>
      </x:c>
      <x:c r="C2106" s="34" t="str">
        <x:v>انواع درب و پنجرههای فلزی و پلاستیکی</x:v>
      </x:c>
      <x:c r="D2106" s="34" t="str">
        <x:v>POSSIBLE</x:v>
      </x:c>
      <x:c r="E2106" s="34" t="str">
        <x:v>90.0</x:v>
      </x:c>
      <x:c r="F2106" s="34" t="str">
        <x:v>MI-1247</x:v>
      </x:c>
      <x:c r="G2106" s="39" t="str">
        <x:v>پلاستیک</x:v>
      </x:c>
      <x:c r="H2106" s="39" t="str">
        <x:v>H12</x:v>
      </x:c>
      <x:c r="I2106" s="39" t="str">
        <x:v>P2</x:v>
      </x:c>
      <x:c r="J2106" s="39" t="str">
        <x:v>H12</x:v>
      </x:c>
      <x:c r="K2106" s="39" t="str">
        <x:v>تطبیق احتمالی با پایه</x:v>
      </x:c>
      <x:c r="L2106" s="39" t="str">
        <x:v>MI-1247</x:v>
      </x:c>
      <x:c r="M2106" s="39" t="str">
        <x:v>پلاستیک</x:v>
      </x:c>
      <x:c r="N2106" s="39" t="str">
        <x:v>1154878548.docx::P6684.1 | 1154878548.docx::P7052.1</x:v>
      </x:c>
      <x:c r="O2106" s="39"/>
    </x:row>
    <x:row r="2107">
      <x:c r="A2107" s="34" t="str">
        <x:v>☐</x:v>
      </x:c>
      <x:c r="B2107" s="34" t="str">
        <x:v>EX-2079</x:v>
      </x:c>
      <x:c r="C2107" s="34" t="str">
        <x:v>وسایل      روشنایی فرسوده (لامپ، لوستر)</x:v>
      </x:c>
      <x:c r="D2107" s="34" t="str">
        <x:v>POSSIBLE</x:v>
      </x:c>
      <x:c r="E2107" s="34" t="str">
        <x:v>90.0</x:v>
      </x:c>
      <x:c r="F2107" s="34" t="str">
        <x:v>MI-1285</x:v>
      </x:c>
      <x:c r="G2107" s="39" t="str">
        <x:v>لامپ</x:v>
      </x:c>
      <x:c r="H2107" s="39" t="str">
        <x:v>H12</x:v>
      </x:c>
      <x:c r="I2107" s="39" t="str">
        <x:v>P2</x:v>
      </x:c>
      <x:c r="J2107" s="39" t="str">
        <x:v>H12</x:v>
      </x:c>
      <x:c r="K2107" s="39" t="str">
        <x:v>تطبیق احتمالی با پایه</x:v>
      </x:c>
      <x:c r="L2107" s="39" t="str">
        <x:v>MI-1285</x:v>
      </x:c>
      <x:c r="M2107" s="39" t="str">
        <x:v>لامپ</x:v>
      </x:c>
      <x:c r="N2107" s="39" t="str">
        <x:v>1154878548.docx::P6685.1 | 1154878548.docx::P7053.1</x:v>
      </x:c>
      <x:c r="O2107" s="39"/>
    </x:row>
    <x:row r="2108">
      <x:c r="A2108" s="34" t="str">
        <x:v>☐</x:v>
      </x:c>
      <x:c r="B2108" s="34" t="str">
        <x:v>EX-2080</x:v>
      </x:c>
      <x:c r="C2108" s="34" t="str">
        <x:v>انواع      قفل و کلید فرسوده</x:v>
      </x:c>
      <x:c r="D2108" s="34" t="str">
        <x:v>POSSIBLE</x:v>
      </x:c>
      <x:c r="E2108" s="34" t="str">
        <x:v>90.0</x:v>
      </x:c>
      <x:c r="F2108" s="34" t="str">
        <x:v>MI-0888</x:v>
      </x:c>
      <x:c r="G2108" s="39" t="str">
        <x:v>کلی</x:v>
      </x:c>
      <x:c r="H2108" s="39" t="str">
        <x:v>H11</x:v>
      </x:c>
      <x:c r="I2108" s="39" t="str">
        <x:v>DELEGATE/P2</x:v>
      </x:c>
      <x:c r="J2108" s="39" t="str">
        <x:v>H11</x:v>
      </x:c>
      <x:c r="K2108" s="39" t="str">
        <x:v>تطبیق احتمالی با پایه</x:v>
      </x:c>
      <x:c r="L2108" s="39" t="str">
        <x:v>MI-0888</x:v>
      </x:c>
      <x:c r="M2108" s="39" t="str">
        <x:v>کلی</x:v>
      </x:c>
      <x:c r="N2108" s="39" t="str">
        <x:v>1154878548.docx::P6686.1 | 1154878548.docx::P7054.1</x:v>
      </x:c>
      <x:c r="O2108" s="39"/>
    </x:row>
    <x:row r="2109">
      <x:c r="A2109" s="34" t="str">
        <x:v>☐</x:v>
      </x:c>
      <x:c r="B2109" s="34" t="str">
        <x:v>EX-2081</x:v>
      </x:c>
      <x:c r="C2109" s="34" t="str">
        <x:v>وسایل      تزئینی فلزی و پلاستیکی</x:v>
      </x:c>
      <x:c r="D2109" s="34" t="str">
        <x:v>POSSIBLE</x:v>
      </x:c>
      <x:c r="E2109" s="34" t="str">
        <x:v>90.0</x:v>
      </x:c>
      <x:c r="F2109" s="34" t="str">
        <x:v>MI-1247</x:v>
      </x:c>
      <x:c r="G2109" s="39" t="str">
        <x:v>پلاستیک</x:v>
      </x:c>
      <x:c r="H2109" s="39" t="str">
        <x:v>H12</x:v>
      </x:c>
      <x:c r="I2109" s="39" t="str">
        <x:v>P2</x:v>
      </x:c>
      <x:c r="J2109" s="39" t="str">
        <x:v>H12</x:v>
      </x:c>
      <x:c r="K2109" s="39" t="str">
        <x:v>تطبیق احتمالی با پایه</x:v>
      </x:c>
      <x:c r="L2109" s="39" t="str">
        <x:v>MI-1247</x:v>
      </x:c>
      <x:c r="M2109" s="39" t="str">
        <x:v>پلاستیک</x:v>
      </x:c>
      <x:c r="N2109" s="39" t="str">
        <x:v>1154878548.docx::P6687.1 | 1154878548.docx::P7055.1</x:v>
      </x:c>
      <x:c r="O2109" s="39"/>
    </x:row>
    <x:row r="2110">
      <x:c r="A2110" s="34" t="str">
        <x:v>☐</x:v>
      </x:c>
      <x:c r="B2110" s="34" t="str">
        <x:v>EX-2082</x:v>
      </x:c>
      <x:c r="C2110" s="34" t="str">
        <x:v>بسیار خوب، در اینجا ترجمه متن ارائه شده به زبان فارسی آمده است:</x:v>
      </x:c>
      <x:c r="D2110" s="34" t="str">
        <x:v>POSSIBLE</x:v>
      </x:c>
      <x:c r="E2110" s="34" t="str">
        <x:v>85.5</x:v>
      </x:c>
      <x:c r="F2110" s="34" t="str">
        <x:v>MI-0068</x:v>
      </x:c>
      <x:c r="G2110" s="39" t="str">
        <x:v>یادگیری زبان برنامه نویسی اندروید</x:v>
      </x:c>
      <x:c r="H2110" s="39" t="str">
        <x:v>H1</x:v>
      </x:c>
      <x:c r="I2110" s="39" t="str">
        <x:v>P0</x:v>
      </x:c>
      <x:c r="J2110" s="39" t="str">
        <x:v>H1</x:v>
      </x:c>
      <x:c r="K2110" s="39" t="str">
        <x:v>تطبیق احتمالی با پایه</x:v>
      </x:c>
      <x:c r="L2110" s="39" t="str">
        <x:v>MI-0068</x:v>
      </x:c>
      <x:c r="M2110" s="39" t="str">
        <x:v>یادگیری زبان برنامه نویسی اندروید</x:v>
      </x:c>
      <x:c r="N2110" s="39" t="str">
        <x:v>1154878548.docx::P6709.1</x:v>
      </x:c>
      <x:c r="O2110" s="39"/>
    </x:row>
    <x:row r="2111">
      <x:c r="A2111" s="34" t="str">
        <x:v>☐</x:v>
      </x:c>
      <x:c r="B2111" s="34" t="str">
        <x:v>EX-2083</x:v>
      </x:c>
      <x:c r="C2111" s="34" t="str">
        <x:v>مکانیسم‌های فناوری در جاروبرقی‌های صنعتی جاتایو</x:v>
      </x:c>
      <x:c r="D2111" s="34" t="str">
        <x:v>POSSIBLE</x:v>
      </x:c>
      <x:c r="E2111" s="34" t="str">
        <x:v>85.5</x:v>
      </x:c>
      <x:c r="F2111" s="34" t="str">
        <x:v>MI-1501</x:v>
      </x:c>
      <x:c r="G2111" s="39" t="str">
        <x:v>مدیریت ریسک: شناسایی ریسک ها، ارزیابی اثرات، تدوین برنامه های مقابله با ریسک ها.</x:v>
      </x:c>
      <x:c r="H2111" s="39" t="str">
        <x:v>H1</x:v>
      </x:c>
      <x:c r="I2111" s="39" t="str">
        <x:v>P0</x:v>
      </x:c>
      <x:c r="J2111" s="39" t="str">
        <x:v>H1</x:v>
      </x:c>
      <x:c r="K2111" s="39" t="str">
        <x:v>تطبیق احتمالی با پایه</x:v>
      </x:c>
      <x:c r="L2111" s="39" t="str">
        <x:v>MI-1501</x:v>
      </x:c>
      <x:c r="M2111" s="39" t="str">
        <x:v>مدیریت ریسک: شناسایی ریسک ها، ارزیابی اثرات، تدوین برنامه های مقابله با ریسک ها.</x:v>
      </x:c>
      <x:c r="N2111" s="39" t="str">
        <x:v>1154878548.docx::P6710.1</x:v>
      </x:c>
      <x:c r="O2111" s="39"/>
    </x:row>
    <x:row r="2112">
      <x:c r="A2112" s="34" t="str">
        <x:v>☐</x:v>
      </x:c>
      <x:c r="B2112" s="34" t="str">
        <x:v>EX-2084</x:v>
      </x:c>
      <x:c r="C2112" s="34" t="str">
        <x:v>جاروبرقی‌های صنعتی جاتایو از ترکیب فیلتراسیون HEPA، مدیای پارچه‌ای، فیلترهای طولی توخالی و سیستم‌های هوای فشرده با استفاده از اثر ونتوری برای به حداکثر رساندن عملکرد تمیزکاری استفاده می‌کنند.</x:v>
      </x:c>
      <x:c r="D2112" s="34" t="str">
        <x:v>POSSIBLE</x:v>
      </x:c>
      <x:c r="E2112" s="34" t="str">
        <x:v>85.5</x:v>
      </x:c>
      <x:c r="F2112" s="34" t="str">
        <x:v>MI-1501</x:v>
      </x:c>
      <x:c r="G2112" s="39" t="str">
        <x:v>مدیریت ریسک: شناسایی ریسک ها، ارزیابی اثرات، تدوین برنامه های مقابله با ریسک ها.</x:v>
      </x:c>
      <x:c r="H2112" s="39" t="str">
        <x:v>H1</x:v>
      </x:c>
      <x:c r="I2112" s="39" t="str">
        <x:v>P0</x:v>
      </x:c>
      <x:c r="J2112" s="39" t="str">
        <x:v>H1</x:v>
      </x:c>
      <x:c r="K2112" s="39" t="str">
        <x:v>تطبیق احتمالی با پایه</x:v>
      </x:c>
      <x:c r="L2112" s="39" t="str">
        <x:v>MI-1501</x:v>
      </x:c>
      <x:c r="M2112" s="39" t="str">
        <x:v>مدیریت ریسک: شناسایی ریسک ها، ارزیابی اثرات، تدوین برنامه های مقابله با ریسک ها.</x:v>
      </x:c>
      <x:c r="N2112" s="39" t="str">
        <x:v>1154878548.docx::P6711.1</x:v>
      </x:c>
      <x:c r="O2112" s="39"/>
    </x:row>
    <x:row r="2113">
      <x:c r="A2113" s="34" t="str">
        <x:v>☐</x:v>
      </x:c>
      <x:c r="B2113" s="34" t="str">
        <x:v>EX-2085</x:v>
      </x:c>
      <x:c r="C2113" s="34" t="str">
        <x:v>چکیده</x:v>
      </x:c>
      <x:c r="D2113" s="34" t="str">
        <x:v>UNMAPPED</x:v>
      </x:c>
      <x:c r="E2113" s="34" t="str">
        <x:v>67.5</x:v>
      </x:c>
      <x:c r="F2113" s="34" t="str">
        <x:v>MI-2558</x:v>
      </x:c>
      <x:c r="G2113" s="39" t="str">
        <x:v>تولید ایده</x:v>
      </x:c>
      <x:c r="H2113" s="39" t="str">
        <x:v>H12</x:v>
      </x:c>
      <x:c r="I2113" s="39" t="str">
        <x:v>P2</x:v>
      </x:c>
      <x:c r="J2113" s="39" t="str">
        <x:v>H23</x:v>
      </x:c>
      <x:c r="K2113" s="39" t="str">
        <x:v>نیازمند پالایش؛ حذف نشده</x:v>
      </x:c>
      <x:c r="L2113" s="39"/>
      <x:c r="M2113" s="39"/>
      <x:c r="N2113" s="39" t="str">
        <x:v>1154878548.docx::P6712.1</x:v>
      </x:c>
      <x:c r="O2113" s="39"/>
    </x:row>
    <x:row r="2114">
      <x:c r="A2114" s="34" t="str">
        <x:v>☐</x:v>
      </x:c>
      <x:c r="B2114" s="34" t="str">
        <x:v>EX-2086</x:v>
      </x:c>
      <x:c r="C2114" s="34" t="str">
        <x:v>جاروبرقی‌های صنعتی با ترکیب چندین مکانیسم متمایز، عملکرد تمیزکاری را بهینه می‌کنند. تراکوماس و همکاران (2001) و ویلکه و همکاران (2001) نشان می‌دهند که فیلترهای HEPA تقریباً 100٪ از گرد و غبار خشک را جذب می‌کنند و یک خط پایه بالا برای حذف ذرات ایجاد می‌کنند. هاردمان (2014) چگونگی افزایش جمع‌آوری و جداسازی گرد و غبار صنعتی توسط مدیای فیلتر پارچه‌ای را شرح می‌دهد، در حالی که کائو و همکاران (2001) توضیح می‌دهند که یک فیلتر طولی توخالی - با طراحی که امکان تغییر شکل کنترل شده را فراهم می‌کند - ذرات انباشته شده را به طور موثر خارج می‌کند. جولیانتو و حنیفی (2021) جزئیات یک جاروبرقی هوای فشرده را که از اثر ونتوری استفاده می‌کند، شرح می‌دهند، طرحی که برای محیط‌هایی با هوای فشرده در دسترس مناسب است. علاوه بر این، ویلکه و همکاران (2001) روش‌های تست سطح قطعه را معرفی می‌کنند که کارایی‌های فردی را کمی‌سازی می‌کنند و در نتیجه به یکپارچه‌سازی بهتر در سیستم کلی کمک می‌کنند.</x:v>
      </x:c>
      <x:c r="D2114" s="34" t="str">
        <x:v>POSSIBLE</x:v>
      </x:c>
      <x:c r="E2114" s="34" t="str">
        <x:v>85.5</x:v>
      </x:c>
      <x:c r="F2114" s="34" t="str">
        <x:v>MI-3063</x:v>
      </x:c>
      <x:c r="G2114"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2114" s="39" t="str">
        <x:v>H1</x:v>
      </x:c>
      <x:c r="I2114" s="39" t="str">
        <x:v>P0</x:v>
      </x:c>
      <x:c r="J2114" s="39" t="str">
        <x:v>H1</x:v>
      </x:c>
      <x:c r="K2114" s="39" t="str">
        <x:v>تطبیق احتمالی با پایه</x:v>
      </x:c>
      <x:c r="L2114" s="39" t="str">
        <x:v>MI-3063</x:v>
      </x:c>
      <x:c r="M2114"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2114" s="39" t="str">
        <x:v>1154878548.docx::P6713.1</x:v>
      </x:c>
      <x:c r="O2114" s="39"/>
    </x:row>
    <x:row r="2115">
      <x:c r="A2115" s="34" t="str">
        <x:v>☐</x:v>
      </x:c>
      <x:c r="B2115" s="34" t="str">
        <x:v>EX-2087</x:v>
      </x:c>
      <x:c r="C2115" s="34" t="str">
        <x:v>این یافته‌ها نشان می‌دهد که سیستم‌های جاروبرقی صنعتی، مانند سیستم‌های جاتایو، فیلتراسیون HEPA، مدیای پارچه‌ای، طرح‌های مکانیکی نوآورانه و ارزیابی‌های هدفمند عملکرد را برای بهینه‌سازی اثربخشی و دوام تمیزکاری ادغام می‌کنند.</x:v>
      </x:c>
      <x:c r="D2115" s="34" t="str">
        <x:v>POSSIBLE</x:v>
      </x:c>
      <x:c r="E2115" s="34" t="str">
        <x:v>85.5</x:v>
      </x:c>
      <x:c r="F2115" s="34" t="str">
        <x:v>MI-1501</x:v>
      </x:c>
      <x:c r="G2115" s="39" t="str">
        <x:v>مدیریت ریسک: شناسایی ریسک ها، ارزیابی اثرات، تدوین برنامه های مقابله با ریسک ها.</x:v>
      </x:c>
      <x:c r="H2115" s="39" t="str">
        <x:v>H1</x:v>
      </x:c>
      <x:c r="I2115" s="39" t="str">
        <x:v>P0</x:v>
      </x:c>
      <x:c r="J2115" s="39" t="str">
        <x:v>H1</x:v>
      </x:c>
      <x:c r="K2115" s="39" t="str">
        <x:v>تطبیق احتمالی با پایه</x:v>
      </x:c>
      <x:c r="L2115" s="39" t="str">
        <x:v>MI-1501</x:v>
      </x:c>
      <x:c r="M2115" s="39" t="str">
        <x:v>مدیریت ریسک: شناسایی ریسک ها، ارزیابی اثرات، تدوین برنامه های مقابله با ریسک ها.</x:v>
      </x:c>
      <x:c r="N2115" s="39" t="str">
        <x:v>1154878548.docx::P6714.1</x:v>
      </x:c>
      <x:c r="O2115" s="39"/>
    </x:row>
    <x:row r="2116">
      <x:c r="A2116" s="34" t="str">
        <x:v>☐</x:v>
      </x:c>
      <x:c r="B2116" s="34" t="str">
        <x:v>EX-2088</x:v>
      </x:c>
      <x:c r="C2116" s="34" t="str">
        <x:v>جستجوی مقاله</x:v>
      </x:c>
      <x:c r="D2116" s="34" t="str">
        <x:v>POSSIBLE</x:v>
      </x:c>
      <x:c r="E2116" s="34" t="str">
        <x:v>90.0</x:v>
      </x:c>
      <x:c r="F2116" s="34" t="str">
        <x:v>MI-0539</x:v>
      </x:c>
      <x:c r="G2116" s="39" t="str">
        <x:v>مقاله</x:v>
      </x:c>
      <x:c r="H2116" s="39" t="str">
        <x:v>H18</x:v>
      </x:c>
      <x:c r="I2116" s="39" t="str">
        <x:v>BANK</x:v>
      </x:c>
      <x:c r="J2116" s="39" t="str">
        <x:v>H18</x:v>
      </x:c>
      <x:c r="K2116" s="39" t="str">
        <x:v>تطبیق احتمالی با پایه</x:v>
      </x:c>
      <x:c r="L2116" s="39" t="str">
        <x:v>MI-0539</x:v>
      </x:c>
      <x:c r="M2116" s="39" t="str">
        <x:v>مقاله</x:v>
      </x:c>
      <x:c r="N2116" s="39" t="str">
        <x:v>1154878548.docx::P6715.1</x:v>
      </x:c>
      <x:c r="O2116" s="39"/>
    </x:row>
    <x:row r="2117">
      <x:c r="A2117" s="34" t="str">
        <x:v>☐</x:v>
      </x:c>
      <x:c r="B2117" s="34" t="str">
        <x:v>EX-2089</x:v>
      </x:c>
      <x:c r="C2117" s="34" t="str">
        <x:v>با استفاده از سوال تحقیق شما "مکانیسم‌های فناوری و سیستم‌های فیلتراسیون کلیدی مورد استفاده در جاروبرقی‌های صنعتی جاتایو برای بهینه‌سازی عملکرد تمیزکاری صنعتی چیست؟" ما در بیش از 126 میلیون مقاله علمی از مجموعه پیکره معنایی پژوهشگر جستجو کردیم. ما 50 مقاله مرتبط با این پرسش را بازیابی کردیم.</x:v>
      </x:c>
      <x:c r="D2117" s="34" t="str">
        <x:v>POSSIBLE</x:v>
      </x:c>
      <x:c r="E2117" s="34" t="str">
        <x:v>85.5</x:v>
      </x:c>
      <x:c r="F2117" s="34" t="str">
        <x:v>MI-1501</x:v>
      </x:c>
      <x:c r="G2117" s="39" t="str">
        <x:v>مدیریت ریسک: شناسایی ریسک ها، ارزیابی اثرات، تدوین برنامه های مقابله با ریسک ها.</x:v>
      </x:c>
      <x:c r="H2117" s="39" t="str">
        <x:v>H1</x:v>
      </x:c>
      <x:c r="I2117" s="39" t="str">
        <x:v>P0</x:v>
      </x:c>
      <x:c r="J2117" s="39" t="str">
        <x:v>H1</x:v>
      </x:c>
      <x:c r="K2117" s="39" t="str">
        <x:v>تطبیق احتمالی با پایه</x:v>
      </x:c>
      <x:c r="L2117" s="39" t="str">
        <x:v>MI-1501</x:v>
      </x:c>
      <x:c r="M2117" s="39" t="str">
        <x:v>مدیریت ریسک: شناسایی ریسک ها، ارزیابی اثرات، تدوین برنامه های مقابله با ریسک ها.</x:v>
      </x:c>
      <x:c r="N2117" s="39" t="str">
        <x:v>1154878548.docx::P6716.1</x:v>
      </x:c>
      <x:c r="O2117" s="39"/>
    </x:row>
    <x:row r="2118">
      <x:c r="A2118" s="34" t="str">
        <x:v>☐</x:v>
      </x:c>
      <x:c r="B2118" s="34" t="str">
        <x:v>EX-2090</x:v>
      </x:c>
      <x:c r="C2118" s="34" t="str">
        <x:v>غربالگری</x:v>
      </x:c>
      <x:c r="D2118" s="34" t="str">
        <x:v>UNMAPPED</x:v>
      </x:c>
      <x:c r="E2118" s="34" t="str">
        <x:v>61.5</x:v>
      </x:c>
      <x:c r="F2118" s="34" t="str">
        <x:v>MI-1280</x:v>
      </x:c>
      <x:c r="G2118" s="39" t="str">
        <x:v>باتری</x:v>
      </x:c>
      <x:c r="H2118" s="39" t="str">
        <x:v>H12</x:v>
      </x:c>
      <x:c r="I2118" s="39" t="str">
        <x:v>P2</x:v>
      </x:c>
      <x:c r="J2118" s="39" t="str">
        <x:v>H23</x:v>
      </x:c>
      <x:c r="K2118" s="39" t="str">
        <x:v>نیازمند پالایش؛ حذف نشده</x:v>
      </x:c>
      <x:c r="L2118" s="39"/>
      <x:c r="M2118" s="39"/>
      <x:c r="N2118" s="39" t="str">
        <x:v>1154878548.docx::P6717.1</x:v>
      </x:c>
      <x:c r="O2118" s="39"/>
    </x:row>
    <x:row r="2119">
      <x:c r="A2119" s="34" t="str">
        <x:v>☐</x:v>
      </x:c>
      <x:c r="B2119" s="34" t="str">
        <x:v>EX-2091</x:v>
      </x:c>
      <x:c r="C2119" s="34" t="str">
        <x:v>ما مقالاتی را که این معیارها را داشتند، غربالگری کردیم:</x:v>
      </x:c>
      <x:c r="D2119" s="34" t="str">
        <x:v>POSSIBLE</x:v>
      </x:c>
      <x:c r="E2119" s="34" t="str">
        <x:v>85.5</x:v>
      </x:c>
      <x:c r="F2119" s="34" t="str">
        <x:v>MI-1445</x:v>
      </x:c>
      <x:c r="G2119" s="39" t="str">
        <x:v>بنری که بالا نرفت برای بسیج</x:v>
      </x:c>
      <x:c r="H2119" s="39" t="str">
        <x:v>H1</x:v>
      </x:c>
      <x:c r="I2119" s="39" t="str">
        <x:v>P0</x:v>
      </x:c>
      <x:c r="J2119" s="39" t="str">
        <x:v>H1</x:v>
      </x:c>
      <x:c r="K2119" s="39" t="str">
        <x:v>تطبیق احتمالی با پایه</x:v>
      </x:c>
      <x:c r="L2119" s="39" t="str">
        <x:v>MI-1445</x:v>
      </x:c>
      <x:c r="M2119" s="39" t="str">
        <x:v>بنری که بالا نرفت برای بسیج</x:v>
      </x:c>
      <x:c r="N2119" s="39" t="str">
        <x:v>1154878548.docx::P6718.1</x:v>
      </x:c>
      <x:c r="O2119" s="39"/>
    </x:row>
    <x:row r="2120">
      <x:c r="A2120" s="34" t="str">
        <x:v>☐</x:v>
      </x:c>
      <x:c r="B2120" s="34" t="str">
        <x:v>EX-2092</x:v>
      </x:c>
      <x:c r="C2120" s="34" t="str">
        <x:v>تمرکز برند: آیا مطالعه جاروبرقی‌های صنعتی برند جاتایو را بررسی می‌کند؟</x:v>
      </x:c>
      <x:c r="D2120" s="34" t="str">
        <x:v>POSSIBLE</x:v>
      </x:c>
      <x:c r="E2120" s="34" t="str">
        <x:v>85.5</x:v>
      </x:c>
      <x:c r="F2120" s="34" t="str">
        <x:v>MI-1503</x:v>
      </x:c>
      <x:c r="G2120" s="39" t="str">
        <x:v>مدیریت زمان: اولویت بندی، برنامه ریزی، تمرکز.</x:v>
      </x:c>
      <x:c r="H2120" s="39" t="str">
        <x:v>H1</x:v>
      </x:c>
      <x:c r="I2120" s="39" t="str">
        <x:v>P0</x:v>
      </x:c>
      <x:c r="J2120" s="39" t="str">
        <x:v>H1</x:v>
      </x:c>
      <x:c r="K2120" s="39" t="str">
        <x:v>تطبیق احتمالی با پایه</x:v>
      </x:c>
      <x:c r="L2120" s="39" t="str">
        <x:v>MI-1503</x:v>
      </x:c>
      <x:c r="M2120" s="39" t="str">
        <x:v>مدیریت زمان: اولویت بندی، برنامه ریزی، تمرکز.</x:v>
      </x:c>
      <x:c r="N2120" s="39" t="str">
        <x:v>1154878548.docx::P6719.1</x:v>
      </x:c>
      <x:c r="O2120" s="39"/>
    </x:row>
    <x:row r="2121">
      <x:c r="A2121" s="34" t="str">
        <x:v>☐</x:v>
      </x:c>
      <x:c r="B2121" s="34" t="str">
        <x:v>EX-2093</x:v>
      </x:c>
      <x:c r="C2121" s="34" t="str">
        <x:v>محتوای فنی: آیا مطالعه شامل مستندات فنی دقیق یا مشخصات مهندسی سیستم‌های فیلتراسیون است؟</x:v>
      </x:c>
      <x:c r="D2121" s="34" t="str">
        <x:v>POSSIBLE</x:v>
      </x:c>
      <x:c r="E2121" s="34" t="str">
        <x:v>85.5</x:v>
      </x:c>
      <x:c r="F2121" s="34" t="str">
        <x:v>MI-0023</x:v>
      </x:c>
      <x:c r="G2121" s="39" t="str">
        <x:v>برنامه ریزی دقیق و علمگرا هییت دانشگاه</x:v>
      </x:c>
      <x:c r="H2121" s="39" t="str">
        <x:v>H1</x:v>
      </x:c>
      <x:c r="I2121" s="39" t="str">
        <x:v>P0</x:v>
      </x:c>
      <x:c r="J2121" s="39" t="str">
        <x:v>H1</x:v>
      </x:c>
      <x:c r="K2121" s="39" t="str">
        <x:v>تطبیق احتمالی با پایه</x:v>
      </x:c>
      <x:c r="L2121" s="39" t="str">
        <x:v>MI-0023</x:v>
      </x:c>
      <x:c r="M2121" s="39" t="str">
        <x:v>برنامه ریزی دقیق و علمگرا هییت دانشگاه</x:v>
      </x:c>
      <x:c r="N2121" s="39" t="str">
        <x:v>1154878548.docx::P6720.1</x:v>
      </x:c>
      <x:c r="O2121" s="39"/>
    </x:row>
    <x:row r="2122">
      <x:c r="A2122" s="34" t="str">
        <x:v>☐</x:v>
      </x:c>
      <x:c r="B2122" s="34" t="str">
        <x:v>EX-2094</x:v>
      </x:c>
      <x:c r="C2122" s="34" t="str">
        <x:v>نوع کاربرد: آیا مطالعه منحصراً بر کاربردهای جاروبرقی صنعتی (نه مسکونی) تمرکز دارد؟</x:v>
      </x:c>
      <x:c r="D2122" s="34" t="str">
        <x:v>POSSIBLE</x:v>
      </x:c>
      <x:c r="E2122" s="34" t="str">
        <x:v>85.5</x:v>
      </x:c>
      <x:c r="F2122" s="34" t="str">
        <x:v>MI-1503</x:v>
      </x:c>
      <x:c r="G2122" s="39" t="str">
        <x:v>مدیریت زمان: اولویت بندی، برنامه ریزی، تمرکز.</x:v>
      </x:c>
      <x:c r="H2122" s="39" t="str">
        <x:v>H1</x:v>
      </x:c>
      <x:c r="I2122" s="39" t="str">
        <x:v>P0</x:v>
      </x:c>
      <x:c r="J2122" s="39" t="str">
        <x:v>H1</x:v>
      </x:c>
      <x:c r="K2122" s="39" t="str">
        <x:v>تطبیق احتمالی با پایه</x:v>
      </x:c>
      <x:c r="L2122" s="39" t="str">
        <x:v>MI-1503</x:v>
      </x:c>
      <x:c r="M2122" s="39" t="str">
        <x:v>مدیریت زمان: اولویت بندی، برنامه ریزی، تمرکز.</x:v>
      </x:c>
      <x:c r="N2122" s="39" t="str">
        <x:v>1154878548.docx::P6721.1</x:v>
      </x:c>
      <x:c r="O2122" s="39"/>
    </x:row>
    <x:row r="2123">
      <x:c r="A2123" s="34" t="str">
        <x:v>☐</x:v>
      </x:c>
      <x:c r="B2123" s="34" t="str">
        <x:v>EX-2095</x:v>
      </x:c>
      <x:c r="C2123" s="34" t="str">
        <x:v>نوع داده: آیا مطالعه حاوی معیارهای عملکرد کمی، مشخصات فنی یا داده‌های دقیق مطالعه موردی است؟</x:v>
      </x:c>
      <x:c r="D2123" s="34" t="str">
        <x:v>POSSIBLE</x:v>
      </x:c>
      <x:c r="E2123" s="34" t="str">
        <x:v>85.5</x:v>
      </x:c>
      <x:c r="F2123" s="34" t="str">
        <x:v>MI-0023</x:v>
      </x:c>
      <x:c r="G2123" s="39" t="str">
        <x:v>برنامه ریزی دقیق و علمگرا هییت دانشگاه</x:v>
      </x:c>
      <x:c r="H2123" s="39" t="str">
        <x:v>H1</x:v>
      </x:c>
      <x:c r="I2123" s="39" t="str">
        <x:v>P0</x:v>
      </x:c>
      <x:c r="J2123" s="39" t="str">
        <x:v>H1</x:v>
      </x:c>
      <x:c r="K2123" s="39" t="str">
        <x:v>تطبیق احتمالی با پایه</x:v>
      </x:c>
      <x:c r="L2123" s="39" t="str">
        <x:v>MI-0023</x:v>
      </x:c>
      <x:c r="M2123" s="39" t="str">
        <x:v>برنامه ریزی دقیق و علمگرا هییت دانشگاه</x:v>
      </x:c>
      <x:c r="N2123" s="39" t="str">
        <x:v>1154878548.docx::P6722.1</x:v>
      </x:c>
      <x:c r="O2123" s="39"/>
    </x:row>
    <x:row r="2124">
      <x:c r="A2124" s="34" t="str">
        <x:v>☐</x:v>
      </x:c>
      <x:c r="B2124" s="34" t="str">
        <x:v>EX-2096</x:v>
      </x:c>
      <x:c r="C2124" s="34" t="str">
        <x:v>نوع مستندسازی: آیا مطالعه بر اساس مستندات فنی، داده‌های تجربی، اختراعات ثبت شده، گزارش‌های مهندسی یا مطالعات موردی معتبر است (نه مطالب بازاریابی یا نظرات کاربران)؟</x:v>
      </x:c>
      <x:c r="D2124" s="34" t="str">
        <x:v>POSSIBLE</x:v>
      </x:c>
      <x:c r="E2124" s="34" t="str">
        <x:v>85.5</x:v>
      </x:c>
      <x:c r="F2124" s="34" t="str">
        <x:v>MI-1501</x:v>
      </x:c>
      <x:c r="G2124" s="39" t="str">
        <x:v>مدیریت ریسک: شناسایی ریسک ها، ارزیابی اثرات، تدوین برنامه های مقابله با ریسک ها.</x:v>
      </x:c>
      <x:c r="H2124" s="39" t="str">
        <x:v>H1</x:v>
      </x:c>
      <x:c r="I2124" s="39" t="str">
        <x:v>P0</x:v>
      </x:c>
      <x:c r="J2124" s="39" t="str">
        <x:v>H1</x:v>
      </x:c>
      <x:c r="K2124" s="39" t="str">
        <x:v>تطبیق احتمالی با پایه</x:v>
      </x:c>
      <x:c r="L2124" s="39" t="str">
        <x:v>MI-1501</x:v>
      </x:c>
      <x:c r="M2124" s="39" t="str">
        <x:v>مدیریت ریسک: شناسایی ریسک ها، ارزیابی اثرات، تدوین برنامه های مقابله با ریسک ها.</x:v>
      </x:c>
      <x:c r="N2124" s="39" t="str">
        <x:v>1154878548.docx::P6723.1</x:v>
      </x:c>
      <x:c r="O2124" s="39"/>
    </x:row>
    <x:row r="2125">
      <x:c r="A2125" s="34" t="str">
        <x:v>☐</x:v>
      </x:c>
      <x:c r="B2125" s="34" t="str">
        <x:v>EX-2097</x:v>
      </x:c>
      <x:c r="C2125" s="34" t="str">
        <x:v>دامنه برند: آیا مطالعه شامل تجزیه و تحلیل سیستم‌های جاتایو است (نه منحصراً بر روی برندهای رقیب متمرکز باشد)؟</x:v>
      </x:c>
      <x:c r="D2125" s="34" t="str">
        <x:v>POSSIBLE</x:v>
      </x:c>
      <x:c r="E2125" s="34" t="str">
        <x:v>85.5</x:v>
      </x:c>
      <x:c r="F2125" s="34" t="str">
        <x:v>MI-1513</x:v>
      </x:c>
      <x:c r="G2125" s="39" t="str">
        <x:v>تولید و کارآفرینی: توانایی تولید محصول و خدمات و ایجاد شغل.</x:v>
      </x:c>
      <x:c r="H2125" s="39" t="str">
        <x:v>H1</x:v>
      </x:c>
      <x:c r="I2125" s="39" t="str">
        <x:v>P0</x:v>
      </x:c>
      <x:c r="J2125" s="39" t="str">
        <x:v>H1</x:v>
      </x:c>
      <x:c r="K2125" s="39" t="str">
        <x:v>تطبیق احتمالی با پایه</x:v>
      </x:c>
      <x:c r="L2125" s="39" t="str">
        <x:v>MI-1513</x:v>
      </x:c>
      <x:c r="M2125" s="39" t="str">
        <x:v>تولید و کارآفرینی: توانایی تولید محصول و خدمات و ایجاد شغل.</x:v>
      </x:c>
      <x:c r="N2125" s="39" t="str">
        <x:v>1154878548.docx::P6724.1</x:v>
      </x:c>
      <x:c r="O2125" s="39"/>
    </x:row>
    <x:row r="2126">
      <x:c r="A2126" s="34" t="str">
        <x:v>☐</x:v>
      </x:c>
      <x:c r="B2126" s="34" t="str">
        <x:v>EX-2098</x:v>
      </x:c>
      <x:c r="C2126" s="34" t="str">
        <x:v>جزئیات فنی: آیا مطالعه تجزیه و تحلیل فنی دقیقی از مکانیسم‌ها یا عملکرد جاروبرقی ارائه می‌دهد؟</x:v>
      </x:c>
      <x:c r="D2126" s="34" t="str">
        <x:v>POSSIBLE</x:v>
      </x:c>
      <x:c r="E2126" s="34" t="str">
        <x:v>85.5</x:v>
      </x:c>
      <x:c r="F2126" s="34" t="str">
        <x:v>MI-1513</x:v>
      </x:c>
      <x:c r="G2126" s="39" t="str">
        <x:v>تولید و کارآفرینی: توانایی تولید محصول و خدمات و ایجاد شغل.</x:v>
      </x:c>
      <x:c r="H2126" s="39" t="str">
        <x:v>H1</x:v>
      </x:c>
      <x:c r="I2126" s="39" t="str">
        <x:v>P0</x:v>
      </x:c>
      <x:c r="J2126" s="39" t="str">
        <x:v>H1</x:v>
      </x:c>
      <x:c r="K2126" s="39" t="str">
        <x:v>تطبیق احتمالی با پایه</x:v>
      </x:c>
      <x:c r="L2126" s="39" t="str">
        <x:v>MI-1513</x:v>
      </x:c>
      <x:c r="M2126" s="39" t="str">
        <x:v>تولید و کارآفرینی: توانایی تولید محصول و خدمات و ایجاد شغل.</x:v>
      </x:c>
      <x:c r="N2126" s="39" t="str">
        <x:v>1154878548.docx::P6725.1</x:v>
      </x:c>
      <x:c r="O2126" s="39"/>
    </x:row>
    <x:row r="2127">
      <x:c r="A2127" s="34" t="str">
        <x:v>☐</x:v>
      </x:c>
      <x:c r="B2127" s="34" t="str">
        <x:v>EX-2099</x:v>
      </x:c>
      <x:c r="C2127" s="34" t="str">
        <x:v>تمرکز مطالعه: آیا مطالعه به طور خاص فناوری جاروبرقی را بررسی می‌کند (نه تجهیزات تمیزکاری عمومی یا تحلیل بازار)؟</x:v>
      </x:c>
      <x:c r="D2127" s="34" t="str">
        <x:v>POSSIBLE</x:v>
      </x:c>
      <x:c r="E2127" s="34" t="str">
        <x:v>85.5</x:v>
      </x:c>
      <x:c r="F2127" s="34" t="str">
        <x:v>MI-1503</x:v>
      </x:c>
      <x:c r="G2127" s="39" t="str">
        <x:v>مدیریت زمان: اولویت بندی، برنامه ریزی، تمرکز.</x:v>
      </x:c>
      <x:c r="H2127" s="39" t="str">
        <x:v>H1</x:v>
      </x:c>
      <x:c r="I2127" s="39" t="str">
        <x:v>P0</x:v>
      </x:c>
      <x:c r="J2127" s="39" t="str">
        <x:v>H1</x:v>
      </x:c>
      <x:c r="K2127" s="39" t="str">
        <x:v>تطبیق احتمالی با پایه</x:v>
      </x:c>
      <x:c r="L2127" s="39" t="str">
        <x:v>MI-1503</x:v>
      </x:c>
      <x:c r="M2127" s="39" t="str">
        <x:v>مدیریت زمان: اولویت بندی، برنامه ریزی، تمرکز.</x:v>
      </x:c>
      <x:c r="N2127" s="39" t="str">
        <x:v>1154878548.docx::P6726.1</x:v>
      </x:c>
      <x:c r="O2127" s="39"/>
    </x:row>
    <x:row r="2128">
      <x:c r="A2128" s="34" t="str">
        <x:v>☐</x:v>
      </x:c>
      <x:c r="B2128" s="34" t="str">
        <x:v>EX-2100</x:v>
      </x:c>
      <x:c r="C2128" s="34" t="str">
        <x:v>ما تمام سوالات غربالگری را با هم در نظر گرفتیم و یک قضاوت کلی در مورد اینکه آیا هر مقاله را غربالگری کنیم یا خیر، انجام دادیم.</x:v>
      </x:c>
      <x:c r="D2128" s="34" t="str">
        <x:v>POSSIBLE</x:v>
      </x:c>
      <x:c r="E2128" s="34" t="str">
        <x:v>85.5</x:v>
      </x:c>
      <x:c r="F2128" s="34" t="str">
        <x:v>MI-1501</x:v>
      </x:c>
      <x:c r="G2128" s="39" t="str">
        <x:v>مدیریت ریسک: شناسایی ریسک ها، ارزیابی اثرات، تدوین برنامه های مقابله با ریسک ها.</x:v>
      </x:c>
      <x:c r="H2128" s="39" t="str">
        <x:v>H1</x:v>
      </x:c>
      <x:c r="I2128" s="39" t="str">
        <x:v>P0</x:v>
      </x:c>
      <x:c r="J2128" s="39" t="str">
        <x:v>H1</x:v>
      </x:c>
      <x:c r="K2128" s="39" t="str">
        <x:v>تطبیق احتمالی با پایه</x:v>
      </x:c>
      <x:c r="L2128" s="39" t="str">
        <x:v>MI-1501</x:v>
      </x:c>
      <x:c r="M2128" s="39" t="str">
        <x:v>مدیریت ریسک: شناسایی ریسک ها، ارزیابی اثرات، تدوین برنامه های مقابله با ریسک ها.</x:v>
      </x:c>
      <x:c r="N2128" s="39" t="str">
        <x:v>1154878548.docx::P6727.1</x:v>
      </x:c>
      <x:c r="O2128" s="39"/>
    </x:row>
    <x:row r="2129">
      <x:c r="A2129" s="34" t="str">
        <x:v>☐</x:v>
      </x:c>
      <x:c r="B2129" s="34" t="str">
        <x:v>EX-2101</x:v>
      </x:c>
      <x:c r="C2129" s="34" t="str">
        <x:v>استخراج داده</x:v>
      </x:c>
      <x:c r="D2129" s="34" t="str">
        <x:v>POSSIBLE</x:v>
      </x:c>
      <x:c r="E2129" s="34" t="str">
        <x:v>85.5</x:v>
      </x:c>
      <x:c r="F2129" s="34" t="str">
        <x:v>MI-3110</x:v>
      </x:c>
      <x:c r="G2129" s="39" t="str">
        <x:v>تلاشهایی که تا به الان برای رسیدن به شغل مطلوب خود انجام داده اید چه بوده است؟</x:v>
      </x:c>
      <x:c r="H2129" s="39" t="str">
        <x:v>H3</x:v>
      </x:c>
      <x:c r="I2129" s="39" t="str">
        <x:v>P3/CLARIFY</x:v>
      </x:c>
      <x:c r="J2129" s="39" t="str">
        <x:v>H3</x:v>
      </x:c>
      <x:c r="K2129" s="39" t="str">
        <x:v>تطبیق احتمالی با پایه</x:v>
      </x:c>
      <x:c r="L2129" s="39" t="str">
        <x:v>MI-3110</x:v>
      </x:c>
      <x:c r="M2129" s="39" t="str">
        <x:v>تلاشهایی که تا به الان برای رسیدن به شغل مطلوب خود انجام داده اید چه بوده است؟</x:v>
      </x:c>
      <x:c r="N2129" s="39" t="str">
        <x:v>1154878548.docx::P6728.1</x:v>
      </x:c>
      <x:c r="O2129" s="39"/>
    </x:row>
    <x:row r="2130">
      <x:c r="A2130" s="34" t="str">
        <x:v>☐</x:v>
      </x:c>
      <x:c r="B2130" s="34" t="str">
        <x:v>EX-2102</x:v>
      </x:c>
      <x:c r="C2130" s="34" t="str">
        <x:v>ما از یک مدل زبانی بزرگ خواستیم تا هر ستون داده زیر را از هر مقاله استخراج کند. ما دستورالعمل‌های استخراج نشان داده شده در زیر را برای هر ستون به مدل ارائه دادیم.</x:v>
      </x:c>
      <x:c r="D2130" s="34" t="str">
        <x:v>POSSIBLE</x:v>
      </x:c>
      <x:c r="E2130" s="34" t="str">
        <x:v>85.5</x:v>
      </x:c>
      <x:c r="F2130" s="34" t="str">
        <x:v>MI-1501</x:v>
      </x:c>
      <x:c r="G2130" s="39" t="str">
        <x:v>مدیریت ریسک: شناسایی ریسک ها، ارزیابی اثرات، تدوین برنامه های مقابله با ریسک ها.</x:v>
      </x:c>
      <x:c r="H2130" s="39" t="str">
        <x:v>H1</x:v>
      </x:c>
      <x:c r="I2130" s="39" t="str">
        <x:v>P0</x:v>
      </x:c>
      <x:c r="J2130" s="39" t="str">
        <x:v>H1</x:v>
      </x:c>
      <x:c r="K2130" s="39" t="str">
        <x:v>تطبیق احتمالی با پایه</x:v>
      </x:c>
      <x:c r="L2130" s="39" t="str">
        <x:v>MI-1501</x:v>
      </x:c>
      <x:c r="M2130" s="39" t="str">
        <x:v>مدیریت ریسک: شناسایی ریسک ها، ارزیابی اثرات، تدوین برنامه های مقابله با ریسک ها.</x:v>
      </x:c>
      <x:c r="N2130" s="39" t="str">
        <x:v>1154878548.docx::P6729.1</x:v>
      </x:c>
      <x:c r="O2130" s="39"/>
    </x:row>
    <x:row r="2131">
      <x:c r="A2131" s="34" t="str">
        <x:v>☐</x:v>
      </x:c>
      <x:c r="B2131" s="34" t="str">
        <x:v>EX-2103</x:v>
      </x:c>
      <x:c r="C2131" s="34" t="str">
        <x:v>نوع جاروبرقی و مکانیسم فناوری:</x:v>
      </x:c>
      <x:c r="D2131" s="34" t="str">
        <x:v>POSSIBLE</x:v>
      </x:c>
      <x:c r="E2131" s="34" t="str">
        <x:v>85.5</x:v>
      </x:c>
      <x:c r="F2131" s="34" t="str">
        <x:v>MI-1513</x:v>
      </x:c>
      <x:c r="G2131" s="39" t="str">
        <x:v>تولید و کارآفرینی: توانایی تولید محصول و خدمات و ایجاد شغل.</x:v>
      </x:c>
      <x:c r="H2131" s="39" t="str">
        <x:v>H1</x:v>
      </x:c>
      <x:c r="I2131" s="39" t="str">
        <x:v>P0</x:v>
      </x:c>
      <x:c r="J2131" s="39" t="str">
        <x:v>H1</x:v>
      </x:c>
      <x:c r="K2131" s="39" t="str">
        <x:v>تطبیق احتمالی با پایه</x:v>
      </x:c>
      <x:c r="L2131" s="39" t="str">
        <x:v>MI-1513</x:v>
      </x:c>
      <x:c r="M2131" s="39" t="str">
        <x:v>تولید و کارآفرینی: توانایی تولید محصول و خدمات و ایجاد شغل.</x:v>
      </x:c>
      <x:c r="N2131" s="39" t="str">
        <x:v>1154878548.docx::P6730.1</x:v>
      </x:c>
      <x:c r="O2131" s="39"/>
    </x:row>
    <x:row r="2132">
      <x:c r="A2132" s="34" t="str">
        <x:v>☐</x:v>
      </x:c>
      <x:c r="B2132" s="34" t="str">
        <x:v>EX-2104</x:v>
      </x:c>
      <x:c r="C2132" s="34" t="str">
        <x:v>نوع خاص جاروبرقی صنعتی مورد بحث در مطالعه را شناسایی و شرح دهید. جزئیات مربوط به:</x:v>
      </x:c>
      <x:c r="D2132" s="34" t="str">
        <x:v>POSSIBLE</x:v>
      </x:c>
      <x:c r="E2132" s="34" t="str">
        <x:v>85.5</x:v>
      </x:c>
      <x:c r="F2132" s="34" t="str">
        <x:v>MI-0023</x:v>
      </x:c>
      <x:c r="G2132" s="39" t="str">
        <x:v>برنامه ریزی دقیق و علمگرا هییت دانشگاه</x:v>
      </x:c>
      <x:c r="H2132" s="39" t="str">
        <x:v>H1</x:v>
      </x:c>
      <x:c r="I2132" s="39" t="str">
        <x:v>P0</x:v>
      </x:c>
      <x:c r="J2132" s="39" t="str">
        <x:v>H1</x:v>
      </x:c>
      <x:c r="K2132" s="39" t="str">
        <x:v>تطبیق احتمالی با پایه</x:v>
      </x:c>
      <x:c r="L2132" s="39" t="str">
        <x:v>MI-0023</x:v>
      </x:c>
      <x:c r="M2132" s="39" t="str">
        <x:v>برنامه ریزی دقیق و علمگرا هییت دانشگاه</x:v>
      </x:c>
      <x:c r="N2132" s="39" t="str">
        <x:v>1154878548.docx::P6731.1</x:v>
      </x:c>
      <x:c r="O2132" s="39"/>
    </x:row>
    <x:row r="2133">
      <x:c r="A2133" s="34" t="str">
        <x:v>☐</x:v>
      </x:c>
      <x:c r="B2133" s="34" t="str">
        <x:v>EX-2105</x:v>
      </x:c>
      <x:c r="C2133" s="34" t="str">
        <x:v>مکانیسم‌های فناوری خاص مورد استفاده برای فیلتراسیون</x:v>
      </x:c>
      <x:c r="D2133" s="34" t="str">
        <x:v>POSSIBLE</x:v>
      </x:c>
      <x:c r="E2133" s="34" t="str">
        <x:v>85.5</x:v>
      </x:c>
      <x:c r="F2133" s="34" t="str">
        <x:v>MI-1501</x:v>
      </x:c>
      <x:c r="G2133" s="39" t="str">
        <x:v>مدیریت ریسک: شناسایی ریسک ها، ارزیابی اثرات، تدوین برنامه های مقابله با ریسک ها.</x:v>
      </x:c>
      <x:c r="H2133" s="39" t="str">
        <x:v>H1</x:v>
      </x:c>
      <x:c r="I2133" s="39" t="str">
        <x:v>P0</x:v>
      </x:c>
      <x:c r="J2133" s="39" t="str">
        <x:v>H1</x:v>
      </x:c>
      <x:c r="K2133" s="39" t="str">
        <x:v>تطبیق احتمالی با پایه</x:v>
      </x:c>
      <x:c r="L2133" s="39" t="str">
        <x:v>MI-1501</x:v>
      </x:c>
      <x:c r="M2133" s="39" t="str">
        <x:v>مدیریت ریسک: شناسایی ریسک ها، ارزیابی اثرات، تدوین برنامه های مقابله با ریسک ها.</x:v>
      </x:c>
      <x:c r="N2133" s="39" t="str">
        <x:v>1154878548.docx::P6732.1</x:v>
      </x:c>
      <x:c r="O2133" s="39"/>
    </x:row>
    <x:row r="2134">
      <x:c r="A2134" s="34" t="str">
        <x:v>☐</x:v>
      </x:c>
      <x:c r="B2134" s="34" t="str">
        <x:v>EX-2106</x:v>
      </x:c>
      <x:c r="C2134" s="34" t="str">
        <x:v>نوع سیستم فیلتراسیون (به عنوان مثال، فیلتر HEPA، مدیای فیلتر پارچه‌ای)</x:v>
      </x:c>
      <x:c r="D2134" s="34" t="str">
        <x:v>POSSIBLE</x:v>
      </x:c>
      <x:c r="E2134" s="34" t="str">
        <x:v>85.5</x:v>
      </x:c>
      <x:c r="F2134" s="34" t="str">
        <x:v>MI-3063</x:v>
      </x:c>
      <x:c r="G2134"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2134" s="39" t="str">
        <x:v>H1</x:v>
      </x:c>
      <x:c r="I2134" s="39" t="str">
        <x:v>P0</x:v>
      </x:c>
      <x:c r="J2134" s="39" t="str">
        <x:v>H1</x:v>
      </x:c>
      <x:c r="K2134" s="39" t="str">
        <x:v>تطبیق احتمالی با پایه</x:v>
      </x:c>
      <x:c r="L2134" s="39" t="str">
        <x:v>MI-3063</x:v>
      </x:c>
      <x:c r="M2134"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2134" s="39" t="str">
        <x:v>1154878548.docx::P6733.1</x:v>
      </x:c>
      <x:c r="O2134" s="39"/>
    </x:row>
    <x:row r="2135">
      <x:c r="A2135" s="34" t="str">
        <x:v>☐</x:v>
      </x:c>
      <x:c r="B2135" s="34" t="str">
        <x:v>EX-2107</x:v>
      </x:c>
      <x:c r="C2135" s="34" t="str">
        <x:v>ویژگی‌های مهندسی یا طراحی منحصر به فرد که عملکرد تمیزکاری را بهینه می‌کنند</x:v>
      </x:c>
      <x:c r="D2135" s="34" t="str">
        <x:v>POSSIBLE</x:v>
      </x:c>
      <x:c r="E2135" s="34" t="str">
        <x:v>85.5</x:v>
      </x:c>
      <x:c r="F2135" s="34" t="str">
        <x:v>MI-1461</x:v>
      </x:c>
      <x:c r="G2135" s="39" t="str">
        <x:v>مهارت های ارتباطی و بین فردی</x:v>
      </x:c>
      <x:c r="H2135" s="39" t="str">
        <x:v>H1</x:v>
      </x:c>
      <x:c r="I2135" s="39" t="str">
        <x:v>P0</x:v>
      </x:c>
      <x:c r="J2135" s="39" t="str">
        <x:v>H1</x:v>
      </x:c>
      <x:c r="K2135" s="39" t="str">
        <x:v>تطبیق احتمالی با پایه</x:v>
      </x:c>
      <x:c r="L2135" s="39" t="str">
        <x:v>MI-1461</x:v>
      </x:c>
      <x:c r="M2135" s="39" t="str">
        <x:v>مهارت های ارتباطی و بین فردی</x:v>
      </x:c>
      <x:c r="N2135" s="39" t="str">
        <x:v>1154878548.docx::P6734.1</x:v>
      </x:c>
      <x:c r="O2135" s="39"/>
    </x:row>
    <x:row r="2136">
      <x:c r="A2136" s="34" t="str">
        <x:v>☐</x:v>
      </x:c>
      <x:c r="B2136" s="34" t="str">
        <x:v>EX-2108</x:v>
      </x:c>
      <x:c r="C2136" s="34" t="str">
        <x:v>اگر چندین مکانیسم شرح داده شده است، همه را فهرست کنید. اگر جزئیات خاصی ارائه نشده است، "مشخص نشده" را بنویسید. تا حد امکان دقیق باشید، در صورت امکان از نقل قول مستقیم از متن استفاده کنید.</x:v>
      </x:c>
      <x:c r="D2136" s="34" t="str">
        <x:v>POSSIBLE</x:v>
      </x:c>
      <x:c r="E2136" s="34" t="str">
        <x:v>85.5</x:v>
      </x:c>
      <x:c r="F2136" s="34" t="str">
        <x:v>MI-0023</x:v>
      </x:c>
      <x:c r="G2136" s="39" t="str">
        <x:v>برنامه ریزی دقیق و علمگرا هییت دانشگاه</x:v>
      </x:c>
      <x:c r="H2136" s="39" t="str">
        <x:v>H1</x:v>
      </x:c>
      <x:c r="I2136" s="39" t="str">
        <x:v>P0</x:v>
      </x:c>
      <x:c r="J2136" s="39" t="str">
        <x:v>H1</x:v>
      </x:c>
      <x:c r="K2136" s="39" t="str">
        <x:v>تطبیق احتمالی با پایه</x:v>
      </x:c>
      <x:c r="L2136" s="39" t="str">
        <x:v>MI-0023</x:v>
      </x:c>
      <x:c r="M2136" s="39" t="str">
        <x:v>برنامه ریزی دقیق و علمگرا هییت دانشگاه</x:v>
      </x:c>
      <x:c r="N2136" s="39" t="str">
        <x:v>1154878548.docx::P6735.1</x:v>
      </x:c>
      <x:c r="O2136" s="39"/>
    </x:row>
    <x:row r="2137">
      <x:c r="A2137" s="34" t="str">
        <x:v>☐</x:v>
      </x:c>
      <x:c r="B2137" s="34" t="str">
        <x:v>EX-2109</x:v>
      </x:c>
      <x:c r="C2137" s="34" t="str">
        <x:v>معیارهای عملکرد فیلتراسیون:</x:v>
      </x:c>
      <x:c r="D2137" s="34" t="str">
        <x:v>POSSIBLE</x:v>
      </x:c>
      <x:c r="E2137" s="34" t="str">
        <x:v>85.5</x:v>
      </x:c>
      <x:c r="F2137" s="34" t="str">
        <x:v>MI-0757</x:v>
      </x:c>
      <x:c r="G2137" s="39" t="str">
        <x:v>تهیه بروشور عملکرد صنفی و ارایه گزارشات و حیطه اختیارات و راه های ارتباطی و عکس اقداماتی انجام شده</x:v>
      </x:c>
      <x:c r="H2137" s="39" t="str">
        <x:v>H11</x:v>
      </x:c>
      <x:c r="I2137" s="39" t="str">
        <x:v>DELEGATE/P2</x:v>
      </x:c>
      <x:c r="J2137" s="39" t="str">
        <x:v>H11</x:v>
      </x:c>
      <x:c r="K2137" s="39" t="str">
        <x:v>تطبیق احتمالی با پایه</x:v>
      </x:c>
      <x:c r="L2137" s="39" t="str">
        <x:v>MI-0757</x:v>
      </x:c>
      <x:c r="M2137" s="39" t="str">
        <x:v>تهیه بروشور عملکرد صنفی و ارایه گزارشات و حیطه اختیارات و راه های ارتباطی و عکس اقداماتی انجام شده</x:v>
      </x:c>
      <x:c r="N2137" s="39" t="str">
        <x:v>1154878548.docx::P6736.1</x:v>
      </x:c>
      <x:c r="O2137" s="39"/>
    </x:row>
    <x:row r="2138">
      <x:c r="A2138" s="34" t="str">
        <x:v>☐</x:v>
      </x:c>
      <x:c r="B2138" s="34" t="str">
        <x:v>EX-2110</x:v>
      </x:c>
      <x:c r="C2138" s="34" t="str">
        <x:v>داده‌های کمی و کیفی در مورد عملکرد فیلتراسیون جاروبرقی را استخراج کنید:</x:v>
      </x:c>
      <x:c r="D2138" s="34" t="str">
        <x:v>POSSIBLE</x:v>
      </x:c>
      <x:c r="E2138" s="34" t="str">
        <x:v>85.5</x:v>
      </x:c>
      <x:c r="F2138" s="34" t="str">
        <x:v>MI-0023</x:v>
      </x:c>
      <x:c r="G2138" s="39" t="str">
        <x:v>برنامه ریزی دقیق و علمگرا هییت دانشگاه</x:v>
      </x:c>
      <x:c r="H2138" s="39" t="str">
        <x:v>H1</x:v>
      </x:c>
      <x:c r="I2138" s="39" t="str">
        <x:v>P0</x:v>
      </x:c>
      <x:c r="J2138" s="39" t="str">
        <x:v>H1</x:v>
      </x:c>
      <x:c r="K2138" s="39" t="str">
        <x:v>تطبیق احتمالی با پایه</x:v>
      </x:c>
      <x:c r="L2138" s="39" t="str">
        <x:v>MI-0023</x:v>
      </x:c>
      <x:c r="M2138" s="39" t="str">
        <x:v>برنامه ریزی دقیق و علمگرا هییت دانشگاه</x:v>
      </x:c>
      <x:c r="N2138" s="39" t="str">
        <x:v>1154878548.docx::P6737.1</x:v>
      </x:c>
      <x:c r="O2138" s="39"/>
    </x:row>
    <x:row r="2139">
      <x:c r="A2139" s="34" t="str">
        <x:v>☐</x:v>
      </x:c>
      <x:c r="B2139" s="34" t="str">
        <x:v>EX-2111</x:v>
      </x:c>
      <x:c r="C2139" s="34" t="str">
        <x:v>بازده جمع‌آوری گرد و غبار (درصد، در صورت گزارش)</x:v>
      </x:c>
      <x:c r="D2139" s="34" t="str">
        <x:v>POSSIBLE</x:v>
      </x:c>
      <x:c r="E2139" s="34" t="str">
        <x:v>85.5</x:v>
      </x:c>
      <x:c r="F2139" s="34" t="str">
        <x:v>MI-0029</x:v>
      </x:c>
      <x:c r="G2139" s="39" t="str">
        <x:v>تدریس ریاضی و فیزیک</x:v>
      </x:c>
      <x:c r="H2139" s="39" t="str">
        <x:v>H1</x:v>
      </x:c>
      <x:c r="I2139" s="39" t="str">
        <x:v>P0</x:v>
      </x:c>
      <x:c r="J2139" s="39" t="str">
        <x:v>H1</x:v>
      </x:c>
      <x:c r="K2139" s="39" t="str">
        <x:v>تطبیق احتمالی با پایه</x:v>
      </x:c>
      <x:c r="L2139" s="39" t="str">
        <x:v>MI-0029</x:v>
      </x:c>
      <x:c r="M2139" s="39" t="str">
        <x:v>تدریس ریاضی و فیزیک</x:v>
      </x:c>
      <x:c r="N2139" s="39" t="str">
        <x:v>1154878548.docx::P6738.1</x:v>
      </x:c>
      <x:c r="O2139" s="39"/>
    </x:row>
    <x:row r="2140">
      <x:c r="A2140" s="34" t="str">
        <x:v>☐</x:v>
      </x:c>
      <x:c r="B2140" s="34" t="str">
        <x:v>EX-2112</x:v>
      </x:c>
      <x:c r="C2140" s="34" t="str">
        <x:v>قابلیت‌های جذب ذرات</x:v>
      </x:c>
      <x:c r="D2140" s="34" t="str">
        <x:v>POSSIBLE</x:v>
      </x:c>
      <x:c r="E2140" s="34" t="str">
        <x:v>90.0</x:v>
      </x:c>
      <x:c r="F2140" s="34" t="str">
        <x:v>MI-2487</x:v>
      </x:c>
      <x:c r="G2140" s="39" t="str">
        <x:v>قابلیت ها:</x:v>
      </x:c>
      <x:c r="H2140" s="39" t="str">
        <x:v>H20</x:v>
      </x:c>
      <x:c r="I2140" s="39" t="str">
        <x:v>P3/CLARIFY</x:v>
      </x:c>
      <x:c r="J2140" s="39" t="str">
        <x:v>H20</x:v>
      </x:c>
      <x:c r="K2140" s="39" t="str">
        <x:v>تطبیق احتمالی با پایه</x:v>
      </x:c>
      <x:c r="L2140" s="39" t="str">
        <x:v>MI-2487</x:v>
      </x:c>
      <x:c r="M2140" s="39" t="str">
        <x:v>قابلیت ها:</x:v>
      </x:c>
      <x:c r="N2140" s="39" t="str">
        <x:v>1154878548.docx::P6739.1</x:v>
      </x:c>
      <x:c r="O2140" s="39"/>
    </x:row>
    <x:row r="2141">
      <x:c r="A2141" s="34" t="str">
        <x:v>☐</x:v>
      </x:c>
      <x:c r="B2141" s="34" t="str">
        <x:v>EX-2113</x:v>
      </x:c>
      <x:c r="C2141" s="34" t="str">
        <x:v>اندازه‌گیری‌های عملکرد خاص</x:v>
      </x:c>
      <x:c r="D2141" s="34" t="str">
        <x:v>POSSIBLE</x:v>
      </x:c>
      <x:c r="E2141" s="34" t="str">
        <x:v>85.5</x:v>
      </x:c>
      <x:c r="F2141" s="34" t="str">
        <x:v>MI-1501</x:v>
      </x:c>
      <x:c r="G2141" s="39" t="str">
        <x:v>مدیریت ریسک: شناسایی ریسک ها، ارزیابی اثرات، تدوین برنامه های مقابله با ریسک ها.</x:v>
      </x:c>
      <x:c r="H2141" s="39" t="str">
        <x:v>H1</x:v>
      </x:c>
      <x:c r="I2141" s="39" t="str">
        <x:v>P0</x:v>
      </x:c>
      <x:c r="J2141" s="39" t="str">
        <x:v>H1</x:v>
      </x:c>
      <x:c r="K2141" s="39" t="str">
        <x:v>تطبیق احتمالی با پایه</x:v>
      </x:c>
      <x:c r="L2141" s="39" t="str">
        <x:v>MI-1501</x:v>
      </x:c>
      <x:c r="M2141" s="39" t="str">
        <x:v>مدیریت ریسک: شناسایی ریسک ها، ارزیابی اثرات، تدوین برنامه های مقابله با ریسک ها.</x:v>
      </x:c>
      <x:c r="N2141" s="39" t="str">
        <x:v>1154878548.docx::P6740.1</x:v>
      </x:c>
      <x:c r="O2141" s="39"/>
    </x:row>
    <x:row r="2142">
      <x:c r="A2142" s="34" t="str">
        <x:v>☐</x:v>
      </x:c>
      <x:c r="B2142" s="34" t="str">
        <x:v>EX-2114</x:v>
      </x:c>
      <x:c r="C2142" s="34" t="str">
        <x:v>عملکرد مقایسه‌ای در برابر سایر انواع جاروبرقی</x:v>
      </x:c>
      <x:c r="D2142" s="34" t="str">
        <x:v>POSSIBLE</x:v>
      </x:c>
      <x:c r="E2142" s="34" t="str">
        <x:v>85.5</x:v>
      </x:c>
      <x:c r="F2142" s="34" t="str">
        <x:v>MI-0173</x:v>
      </x:c>
      <x:c r="G2142" s="39" t="str">
        <x:v>جستجو در منابع سریع</x:v>
      </x:c>
      <x:c r="H2142" s="39" t="str">
        <x:v>H1</x:v>
      </x:c>
      <x:c r="I2142" s="39" t="str">
        <x:v>P0</x:v>
      </x:c>
      <x:c r="J2142" s="39" t="str">
        <x:v>H1</x:v>
      </x:c>
      <x:c r="K2142" s="39" t="str">
        <x:v>تطبیق احتمالی با پایه</x:v>
      </x:c>
      <x:c r="L2142" s="39" t="str">
        <x:v>MI-0173</x:v>
      </x:c>
      <x:c r="M2142" s="39" t="str">
        <x:v>جستجو در منابع سریع</x:v>
      </x:c>
      <x:c r="N2142" s="39" t="str">
        <x:v>1154878548.docx::P6741.1</x:v>
      </x:c>
      <x:c r="O2142" s="39"/>
    </x:row>
    <x:row r="2143">
      <x:c r="A2143" s="34" t="str">
        <x:v>☐</x:v>
      </x:c>
      <x:c r="B2143" s="34" t="str">
        <x:v>EX-2115</x:v>
      </x:c>
      <x:c r="C2143" s="34" t="str">
        <x:v>مقادیر عددی را با واحدهای آنها ثبت کنید. اگر محدوده‌ای ارائه شده است، هر دو را وارد کنید. اگر معیارهای خاصی ارائه نشده است، "گزارش نشده" را بنویسید.</x:v>
      </x:c>
      <x:c r="D2143" s="34" t="str">
        <x:v>POSSIBLE</x:v>
      </x:c>
      <x:c r="E2143" s="34" t="str">
        <x:v>85.5</x:v>
      </x:c>
      <x:c r="F2143" s="34" t="str">
        <x:v>MI-1501</x:v>
      </x:c>
      <x:c r="G2143" s="39" t="str">
        <x:v>مدیریت ریسک: شناسایی ریسک ها، ارزیابی اثرات، تدوین برنامه های مقابله با ریسک ها.</x:v>
      </x:c>
      <x:c r="H2143" s="39" t="str">
        <x:v>H1</x:v>
      </x:c>
      <x:c r="I2143" s="39" t="str">
        <x:v>P0</x:v>
      </x:c>
      <x:c r="J2143" s="39" t="str">
        <x:v>H1</x:v>
      </x:c>
      <x:c r="K2143" s="39" t="str">
        <x:v>تطبیق احتمالی با پایه</x:v>
      </x:c>
      <x:c r="L2143" s="39" t="str">
        <x:v>MI-1501</x:v>
      </x:c>
      <x:c r="M2143" s="39" t="str">
        <x:v>مدیریت ریسک: شناسایی ریسک ها، ارزیابی اثرات، تدوین برنامه های مقابله با ریسک ها.</x:v>
      </x:c>
      <x:c r="N2143" s="39" t="str">
        <x:v>1154878548.docx::P6742.1</x:v>
      </x:c>
      <x:c r="O2143" s="39"/>
    </x:row>
    <x:row r="2144">
      <x:c r="A2144" s="34" t="str">
        <x:v>☐</x:v>
      </x:c>
      <x:c r="B2144" s="34" t="str">
        <x:v>EX-2116</x:v>
      </x:c>
      <x:c r="C2144" s="34" t="str">
        <x:v>ویژگی‌های مدیای فیلتر:</x:v>
      </x:c>
      <x:c r="D2144" s="34" t="str">
        <x:v>POSSIBLE</x:v>
      </x:c>
      <x:c r="E2144" s="34" t="str">
        <x:v>85.5</x:v>
      </x:c>
      <x:c r="F2144" s="34" t="str">
        <x:v>MI-1501</x:v>
      </x:c>
      <x:c r="G2144" s="39" t="str">
        <x:v>مدیریت ریسک: شناسایی ریسک ها، ارزیابی اثرات، تدوین برنامه های مقابله با ریسک ها.</x:v>
      </x:c>
      <x:c r="H2144" s="39" t="str">
        <x:v>H1</x:v>
      </x:c>
      <x:c r="I2144" s="39" t="str">
        <x:v>P0</x:v>
      </x:c>
      <x:c r="J2144" s="39" t="str">
        <x:v>H1</x:v>
      </x:c>
      <x:c r="K2144" s="39" t="str">
        <x:v>تطبیق احتمالی با پایه</x:v>
      </x:c>
      <x:c r="L2144" s="39" t="str">
        <x:v>MI-1501</x:v>
      </x:c>
      <x:c r="M2144" s="39" t="str">
        <x:v>مدیریت ریسک: شناسایی ریسک ها، ارزیابی اثرات، تدوین برنامه های مقابله با ریسک ها.</x:v>
      </x:c>
      <x:c r="N2144" s="39" t="str">
        <x:v>1154878548.docx::P6743.1</x:v>
      </x:c>
      <x:c r="O2144" s="39"/>
    </x:row>
    <x:row r="2145">
      <x:c r="A2145" s="34" t="str">
        <x:v>☐</x:v>
      </x:c>
      <x:c r="B2145" s="34" t="str">
        <x:v>EX-2117</x:v>
      </x:c>
      <x:c r="C2145" s="34" t="str">
        <x:v>مدیای فیلتر مورد استفاده در جاروبرقی را شناسایی و شرح دهید:</x:v>
      </x:c>
      <x:c r="D2145" s="34" t="str">
        <x:v>POSSIBLE</x:v>
      </x:c>
      <x:c r="E2145" s="34" t="str">
        <x:v>85.5</x:v>
      </x:c>
      <x:c r="F2145" s="34" t="str">
        <x:v>MI-0023</x:v>
      </x:c>
      <x:c r="G2145" s="39" t="str">
        <x:v>برنامه ریزی دقیق و علمگرا هییت دانشگاه</x:v>
      </x:c>
      <x:c r="H2145" s="39" t="str">
        <x:v>H1</x:v>
      </x:c>
      <x:c r="I2145" s="39" t="str">
        <x:v>P0</x:v>
      </x:c>
      <x:c r="J2145" s="39" t="str">
        <x:v>H1</x:v>
      </x:c>
      <x:c r="K2145" s="39" t="str">
        <x:v>تطبیق احتمالی با پایه</x:v>
      </x:c>
      <x:c r="L2145" s="39" t="str">
        <x:v>MI-0023</x:v>
      </x:c>
      <x:c r="M2145" s="39" t="str">
        <x:v>برنامه ریزی دقیق و علمگرا هییت دانشگاه</x:v>
      </x:c>
      <x:c r="N2145" s="39" t="str">
        <x:v>1154878548.docx::P6744.1</x:v>
      </x:c>
      <x:c r="O2145" s="39"/>
    </x:row>
    <x:row r="2146">
      <x:c r="A2146" s="34" t="str">
        <x:v>☐</x:v>
      </x:c>
      <x:c r="B2146" s="34" t="str">
        <x:v>EX-2118</x:v>
      </x:c>
      <x:c r="C2146" s="34" t="str">
        <x:v>ترکیب مواد</x:v>
      </x:c>
      <x:c r="D2146" s="34" t="str">
        <x:v>POSSIBLE</x:v>
      </x:c>
      <x:c r="E2146" s="34" t="str">
        <x:v>85.5</x:v>
      </x:c>
      <x:c r="F2146" s="34" t="str">
        <x:v>MI-1262</x:v>
      </x:c>
      <x:c r="G2146" s="39" t="str">
        <x:v>مواد غذایی ، پسماند گیاهی و جانوری</x:v>
      </x:c>
      <x:c r="H2146" s="39" t="str">
        <x:v>H12</x:v>
      </x:c>
      <x:c r="I2146" s="39" t="str">
        <x:v>P2</x:v>
      </x:c>
      <x:c r="J2146" s="39" t="str">
        <x:v>H12</x:v>
      </x:c>
      <x:c r="K2146" s="39" t="str">
        <x:v>تطبیق احتمالی با پایه</x:v>
      </x:c>
      <x:c r="L2146" s="39" t="str">
        <x:v>MI-1262</x:v>
      </x:c>
      <x:c r="M2146" s="39" t="str">
        <x:v>مواد غذایی ، پسماند گیاهی و جانوری</x:v>
      </x:c>
      <x:c r="N2146" s="39" t="str">
        <x:v>1154878548.docx::P6745.1</x:v>
      </x:c>
      <x:c r="O2146" s="39"/>
    </x:row>
    <x:row r="2147">
      <x:c r="A2147" s="34" t="str">
        <x:v>☐</x:v>
      </x:c>
      <x:c r="B2147" s="34" t="str">
        <x:v>EX-2119</x:v>
      </x:c>
      <x:c r="C2147" s="34" t="str">
        <x:v>پیکربندی ساختاری (به عنوان مثال، چین‌دار، توخالی، صلب)</x:v>
      </x:c>
      <x:c r="D2147" s="34" t="str">
        <x:v>POSSIBLE</x:v>
      </x:c>
      <x:c r="E2147" s="34" t="str">
        <x:v>85.5</x:v>
      </x:c>
      <x:c r="F2147" s="34" t="str">
        <x:v>MI-3113</x:v>
      </x:c>
      <x:c r="G2147"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H2147" s="39" t="str">
        <x:v>H1</x:v>
      </x:c>
      <x:c r="I2147" s="39" t="str">
        <x:v>P0</x:v>
      </x:c>
      <x:c r="J2147" s="39" t="str">
        <x:v>H1</x:v>
      </x:c>
      <x:c r="K2147" s="39" t="str">
        <x:v>تطبیق احتمالی با پایه</x:v>
      </x:c>
      <x:c r="L2147" s="39" t="str">
        <x:v>MI-3113</x:v>
      </x:c>
      <x:c r="M2147" s="39"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N2147" s="39" t="str">
        <x:v>1154878548.docx::P6746.1</x:v>
      </x:c>
      <x:c r="O2147" s="39"/>
    </x:row>
    <x:row r="2148">
      <x:c r="A2148" s="34" t="str">
        <x:v>☐</x:v>
      </x:c>
      <x:c r="B2148" s="34" t="str">
        <x:v>EX-2120</x:v>
      </x:c>
      <x:c r="C2148" s="34" t="str">
        <x:v>پردازش‌ها یا پیشرفت‌های ویژه</x:v>
      </x:c>
      <x:c r="D2148" s="34" t="str">
        <x:v>POSSIBLE</x:v>
      </x:c>
      <x:c r="E2148" s="34" t="str">
        <x:v>85.5</x:v>
      </x:c>
      <x:c r="F2148" s="34" t="str">
        <x:v>MI-1501</x:v>
      </x:c>
      <x:c r="G2148" s="39" t="str">
        <x:v>مدیریت ریسک: شناسایی ریسک ها، ارزیابی اثرات، تدوین برنامه های مقابله با ریسک ها.</x:v>
      </x:c>
      <x:c r="H2148" s="39" t="str">
        <x:v>H1</x:v>
      </x:c>
      <x:c r="I2148" s="39" t="str">
        <x:v>P0</x:v>
      </x:c>
      <x:c r="J2148" s="39" t="str">
        <x:v>H1</x:v>
      </x:c>
      <x:c r="K2148" s="39" t="str">
        <x:v>تطبیق احتمالی با پایه</x:v>
      </x:c>
      <x:c r="L2148" s="39" t="str">
        <x:v>MI-1501</x:v>
      </x:c>
      <x:c r="M2148" s="39" t="str">
        <x:v>مدیریت ریسک: شناسایی ریسک ها، ارزیابی اثرات، تدوین برنامه های مقابله با ریسک ها.</x:v>
      </x:c>
      <x:c r="N2148" s="39" t="str">
        <x:v>1154878548.docx::P6747.1</x:v>
      </x:c>
      <x:c r="O2148" s="39"/>
    </x:row>
    <x:row r="2149">
      <x:c r="A2149" s="34" t="str">
        <x:v>☐</x:v>
      </x:c>
      <x:c r="B2149" s="34" t="str">
        <x:v>EX-2121</x:v>
      </x:c>
      <x:c r="C2149" s="34" t="str">
        <x:v>ظرفیت بارگیری گرد و غبار یا ذرات</x:v>
      </x:c>
      <x:c r="D2149" s="34" t="str">
        <x:v>POSSIBLE</x:v>
      </x:c>
      <x:c r="E2149" s="34" t="str">
        <x:v>85.5</x:v>
      </x:c>
      <x:c r="F2149" s="34" t="str">
        <x:v>MI-1513</x:v>
      </x:c>
      <x:c r="G2149" s="39" t="str">
        <x:v>تولید و کارآفرینی: توانایی تولید محصول و خدمات و ایجاد شغل.</x:v>
      </x:c>
      <x:c r="H2149" s="39" t="str">
        <x:v>H1</x:v>
      </x:c>
      <x:c r="I2149" s="39" t="str">
        <x:v>P0</x:v>
      </x:c>
      <x:c r="J2149" s="39" t="str">
        <x:v>H1</x:v>
      </x:c>
      <x:c r="K2149" s="39" t="str">
        <x:v>تطبیق احتمالی با پایه</x:v>
      </x:c>
      <x:c r="L2149" s="39" t="str">
        <x:v>MI-1513</x:v>
      </x:c>
      <x:c r="M2149" s="39" t="str">
        <x:v>تولید و کارآفرینی: توانایی تولید محصول و خدمات و ایجاد شغل.</x:v>
      </x:c>
      <x:c r="N2149" s="39" t="str">
        <x:v>1154878548.docx::P6748.1</x:v>
      </x:c>
      <x:c r="O2149" s="39"/>
    </x:row>
    <x:row r="2150">
      <x:c r="A2150" s="34" t="str">
        <x:v>☐</x:v>
      </x:c>
      <x:c r="B2150" s="34" t="str">
        <x:v>EX-2122</x:v>
      </x:c>
      <x:c r="C2150" s="34" t="str">
        <x:v>از زبان فنی دقیق استفاده کنید. اگر مدیای فیلتر متعددی شرح داده شده است، تمام ویژگی‌ها را فهرست کنید. اگر جزئیاتی ارائه نشده است، "مشخص نشده" را بنویسید.</x:v>
      </x:c>
      <x:c r="D2150" s="34" t="str">
        <x:v>POSSIBLE</x:v>
      </x:c>
      <x:c r="E2150" s="34" t="str">
        <x:v>85.5</x:v>
      </x:c>
      <x:c r="F2150" s="34" t="str">
        <x:v>MI-1501</x:v>
      </x:c>
      <x:c r="G2150" s="39" t="str">
        <x:v>مدیریت ریسک: شناسایی ریسک ها، ارزیابی اثرات، تدوین برنامه های مقابله با ریسک ها.</x:v>
      </x:c>
      <x:c r="H2150" s="39" t="str">
        <x:v>H1</x:v>
      </x:c>
      <x:c r="I2150" s="39" t="str">
        <x:v>P0</x:v>
      </x:c>
      <x:c r="J2150" s="39" t="str">
        <x:v>H1</x:v>
      </x:c>
      <x:c r="K2150" s="39" t="str">
        <x:v>تطبیق احتمالی با پایه</x:v>
      </x:c>
      <x:c r="L2150" s="39" t="str">
        <x:v>MI-1501</x:v>
      </x:c>
      <x:c r="M2150" s="39" t="str">
        <x:v>مدیریت ریسک: شناسایی ریسک ها، ارزیابی اثرات، تدوین برنامه های مقابله با ریسک ها.</x:v>
      </x:c>
      <x:c r="N2150" s="39" t="str">
        <x:v>1154878548.docx::P6749.1</x:v>
      </x:c>
      <x:c r="O2150" s="39"/>
    </x:row>
    <x:row r="2151">
      <x:c r="A2151" s="34" t="str">
        <x:v>☐</x:v>
      </x:c>
      <x:c r="B2151" s="34" t="str">
        <x:v>EX-2123</x:v>
      </x:c>
      <x:c r="C2151" s="34" t="str">
        <x:v>زمینه عملیاتی و محدودیت‌ها:</x:v>
      </x:c>
      <x:c r="D2151" s="34" t="str">
        <x:v>POSSIBLE</x:v>
      </x:c>
      <x:c r="E2151" s="34" t="str">
        <x:v>85.5</x:v>
      </x:c>
      <x:c r="F2151" s="34" t="str">
        <x:v>MI-1501</x:v>
      </x:c>
      <x:c r="G2151" s="39" t="str">
        <x:v>مدیریت ریسک: شناسایی ریسک ها، ارزیابی اثرات، تدوین برنامه های مقابله با ریسک ها.</x:v>
      </x:c>
      <x:c r="H2151" s="39" t="str">
        <x:v>H1</x:v>
      </x:c>
      <x:c r="I2151" s="39" t="str">
        <x:v>P0</x:v>
      </x:c>
      <x:c r="J2151" s="39" t="str">
        <x:v>H1</x:v>
      </x:c>
      <x:c r="K2151" s="39" t="str">
        <x:v>تطبیق احتمالی با پایه</x:v>
      </x:c>
      <x:c r="L2151" s="39" t="str">
        <x:v>MI-1501</x:v>
      </x:c>
      <x:c r="M2151" s="39" t="str">
        <x:v>مدیریت ریسک: شناسایی ریسک ها، ارزیابی اثرات، تدوین برنامه های مقابله با ریسک ها.</x:v>
      </x:c>
      <x:c r="N2151" s="39" t="str">
        <x:v>1154878548.docx::P6750.1</x:v>
      </x:c>
      <x:c r="O2151" s="39"/>
    </x:row>
    <x:row r="2152">
      <x:c r="A2152" s="34" t="str">
        <x:v>☐</x:v>
      </x:c>
      <x:c r="B2152" s="34" t="str">
        <x:v>EX-2124</x:v>
      </x:c>
      <x:c r="C2152" s="34" t="str">
        <x:v>اطلاعات مربوط به محیط عملیاتی و محدودیت‌های جاروبرقی را استخراج کنید:</x:v>
      </x:c>
      <x:c r="D2152" s="34" t="str">
        <x:v>POSSIBLE</x:v>
      </x:c>
      <x:c r="E2152" s="34" t="str">
        <x:v>85.5</x:v>
      </x:c>
      <x:c r="F2152" s="34" t="str">
        <x:v>MI-0023</x:v>
      </x:c>
      <x:c r="G2152" s="39" t="str">
        <x:v>برنامه ریزی دقیق و علمگرا هییت دانشگاه</x:v>
      </x:c>
      <x:c r="H2152" s="39" t="str">
        <x:v>H1</x:v>
      </x:c>
      <x:c r="I2152" s="39" t="str">
        <x:v>P0</x:v>
      </x:c>
      <x:c r="J2152" s="39" t="str">
        <x:v>H1</x:v>
      </x:c>
      <x:c r="K2152" s="39" t="str">
        <x:v>تطبیق احتمالی با پایه</x:v>
      </x:c>
      <x:c r="L2152" s="39" t="str">
        <x:v>MI-0023</x:v>
      </x:c>
      <x:c r="M2152" s="39" t="str">
        <x:v>برنامه ریزی دقیق و علمگرا هییت دانشگاه</x:v>
      </x:c>
      <x:c r="N2152" s="39" t="str">
        <x:v>1154878548.docx::P6751.1</x:v>
      </x:c>
      <x:c r="O2152" s="39"/>
    </x:row>
    <x:row r="2153">
      <x:c r="A2153" s="34" t="str">
        <x:v>☐</x:v>
      </x:c>
      <x:c r="B2153" s="34" t="str">
        <x:v>EX-2125</x:v>
      </x:c>
      <x:c r="C2153" s="34" t="str">
        <x:v>شرایط استفاده توصیه شده</x:v>
      </x:c>
      <x:c r="D2153" s="34" t="str">
        <x:v>POSSIBLE</x:v>
      </x:c>
      <x:c r="E2153" s="34" t="str">
        <x:v>85.5</x:v>
      </x:c>
      <x:c r="F2153" s="34" t="str">
        <x:v>MI-1507</x:v>
      </x:c>
      <x:c r="G2153" s="39" t="str">
        <x:v>انعطاف پذیری: تطبیق با شرایط جدید، یادگیری سریع.</x:v>
      </x:c>
      <x:c r="H2153" s="39" t="str">
        <x:v>H1</x:v>
      </x:c>
      <x:c r="I2153" s="39" t="str">
        <x:v>P0</x:v>
      </x:c>
      <x:c r="J2153" s="39" t="str">
        <x:v>H1</x:v>
      </x:c>
      <x:c r="K2153" s="39" t="str">
        <x:v>تطبیق احتمالی با پایه</x:v>
      </x:c>
      <x:c r="L2153" s="39" t="str">
        <x:v>MI-1507</x:v>
      </x:c>
      <x:c r="M2153" s="39" t="str">
        <x:v>انعطاف پذیری: تطبیق با شرایط جدید، یادگیری سریع.</x:v>
      </x:c>
      <x:c r="N2153" s="39" t="str">
        <x:v>1154878548.docx::P6752.1</x:v>
      </x:c>
      <x:c r="O2153" s="39"/>
    </x:row>
    <x:row r="2154">
      <x:c r="A2154" s="34" t="str">
        <x:v>☐</x:v>
      </x:c>
      <x:c r="B2154" s="34" t="str">
        <x:v>EX-2126</x:v>
      </x:c>
      <x:c r="C2154" s="34" t="str">
        <x:v>کاربردهای خاص صنعتی یا تمیزکاری</x:v>
      </x:c>
      <x:c r="D2154" s="34" t="str">
        <x:v>POSSIBLE</x:v>
      </x:c>
      <x:c r="E2154" s="34" t="str">
        <x:v>90.0</x:v>
      </x:c>
      <x:c r="F2154" s="34" t="str">
        <x:v>MI-2602</x:v>
      </x:c>
      <x:c r="G2154" s="39" t="str">
        <x:v>صنعت</x:v>
      </x:c>
      <x:c r="H2154" s="39" t="str">
        <x:v>H12</x:v>
      </x:c>
      <x:c r="I2154" s="39" t="str">
        <x:v>P2</x:v>
      </x:c>
      <x:c r="J2154" s="39" t="str">
        <x:v>H12</x:v>
      </x:c>
      <x:c r="K2154" s="39" t="str">
        <x:v>تطبیق احتمالی با پایه</x:v>
      </x:c>
      <x:c r="L2154" s="39" t="str">
        <x:v>MI-2602</x:v>
      </x:c>
      <x:c r="M2154" s="39" t="str">
        <x:v>صنعت</x:v>
      </x:c>
      <x:c r="N2154" s="39" t="str">
        <x:v>1154878548.docx::P6753.1</x:v>
      </x:c>
      <x:c r="O2154" s="39"/>
    </x:row>
    <x:row r="2155">
      <x:c r="A2155" s="34" t="str">
        <x:v>☐</x:v>
      </x:c>
      <x:c r="B2155" s="34" t="str">
        <x:v>EX-2127</x:v>
      </x:c>
      <x:c r="C2155" s="34" t="str">
        <x:v>محدودیت‌ها یا محدودیت‌های عملکرد</x:v>
      </x:c>
      <x:c r="D2155" s="34" t="str">
        <x:v>POSSIBLE</x:v>
      </x:c>
      <x:c r="E2155" s="34" t="str">
        <x:v>85.5</x:v>
      </x:c>
      <x:c r="F2155" s="34" t="str">
        <x:v>MI-1501</x:v>
      </x:c>
      <x:c r="G2155" s="39" t="str">
        <x:v>مدیریت ریسک: شناسایی ریسک ها، ارزیابی اثرات، تدوین برنامه های مقابله با ریسک ها.</x:v>
      </x:c>
      <x:c r="H2155" s="39" t="str">
        <x:v>H1</x:v>
      </x:c>
      <x:c r="I2155" s="39" t="str">
        <x:v>P0</x:v>
      </x:c>
      <x:c r="J2155" s="39" t="str">
        <x:v>H1</x:v>
      </x:c>
      <x:c r="K2155" s="39" t="str">
        <x:v>تطبیق احتمالی با پایه</x:v>
      </x:c>
      <x:c r="L2155" s="39" t="str">
        <x:v>MI-1501</x:v>
      </x:c>
      <x:c r="M2155" s="39" t="str">
        <x:v>مدیریت ریسک: شناسایی ریسک ها، ارزیابی اثرات، تدوین برنامه های مقابله با ریسک ها.</x:v>
      </x:c>
      <x:c r="N2155" s="39" t="str">
        <x:v>1154878548.docx::P6754.1</x:v>
      </x:c>
      <x:c r="O2155" s="39"/>
    </x:row>
    <x:row r="2156">
      <x:c r="A2156" s="34" t="str">
        <x:v>☐</x:v>
      </x:c>
      <x:c r="B2156" s="34" t="str">
        <x:v>EX-2128</x:v>
      </x:c>
      <x:c r="C2156" s="34" t="str">
        <x:v>ملاحظات هزینه (در صورت ذکر)</x:v>
      </x:c>
      <x:c r="D2156" s="34" t="str">
        <x:v>POSSIBLE</x:v>
      </x:c>
      <x:c r="E2156" s="34" t="str">
        <x:v>85.5</x:v>
      </x:c>
      <x:c r="F2156" s="34" t="str">
        <x:v>MI-0077</x:v>
      </x:c>
      <x:c r="G2156" s="39" t="str">
        <x:v>یادگیری هوش هیجانی و قدرت تصمیم گیری بالا در لحظه</x:v>
      </x:c>
      <x:c r="H2156" s="39" t="str">
        <x:v>H1</x:v>
      </x:c>
      <x:c r="I2156" s="39" t="str">
        <x:v>P0</x:v>
      </x:c>
      <x:c r="J2156" s="39" t="str">
        <x:v>H1</x:v>
      </x:c>
      <x:c r="K2156" s="39" t="str">
        <x:v>تطبیق احتمالی با پایه</x:v>
      </x:c>
      <x:c r="L2156" s="39" t="str">
        <x:v>MI-0077</x:v>
      </x:c>
      <x:c r="M2156" s="39" t="str">
        <x:v>یادگیری هوش هیجانی و قدرت تصمیم گیری بالا در لحظه</x:v>
      </x:c>
      <x:c r="N2156" s="39" t="str">
        <x:v>1154878548.docx::P6755.1</x:v>
      </x:c>
      <x:c r="O2156" s="39"/>
    </x:row>
    <x:row r="2157">
      <x:c r="A2157" s="34" t="str">
        <x:v>☐</x:v>
      </x:c>
      <x:c r="B2157" s="34" t="str">
        <x:v>EX-2129</x:v>
      </x:c>
      <x:c r="C2157" s="34" t="str">
        <x:v>نقل قول‌های خاص یا توضیحات پارافرازی شده را ثبت کنید. اگر اطلاعات زمینه‌ای ارائه نشده است، "گزارش نشده" را بنویسید.</x:v>
      </x:c>
      <x:c r="D2157" s="34" t="str">
        <x:v>POSSIBLE</x:v>
      </x:c>
      <x:c r="E2157" s="34" t="str">
        <x:v>85.5</x:v>
      </x:c>
      <x:c r="F2157" s="34" t="str">
        <x:v>MI-1461</x:v>
      </x:c>
      <x:c r="G2157" s="39" t="str">
        <x:v>مهارت های ارتباطی و بین فردی</x:v>
      </x:c>
      <x:c r="H2157" s="39" t="str">
        <x:v>H1</x:v>
      </x:c>
      <x:c r="I2157" s="39" t="str">
        <x:v>P0</x:v>
      </x:c>
      <x:c r="J2157" s="39" t="str">
        <x:v>H1</x:v>
      </x:c>
      <x:c r="K2157" s="39" t="str">
        <x:v>تطبیق احتمالی با پایه</x:v>
      </x:c>
      <x:c r="L2157" s="39" t="str">
        <x:v>MI-1461</x:v>
      </x:c>
      <x:c r="M2157" s="39" t="str">
        <x:v>مهارت های ارتباطی و بین فردی</x:v>
      </x:c>
      <x:c r="N2157" s="39" t="str">
        <x:v>1154878548.docx::P6756.1</x:v>
      </x:c>
      <x:c r="O2157" s="39"/>
    </x:row>
    <x:row r="2158">
      <x:c r="A2158" s="34" t="str">
        <x:v>☐</x:v>
      </x:c>
      <x:c r="B2158" s="34" t="str">
        <x:v>EX-2130</x:v>
      </x:c>
      <x:c r="C2158" s="34" t="str">
        <x:v>روش تحقیق و رویکرد ارزیابی:</x:v>
      </x:c>
      <x:c r="D2158" s="34" t="str">
        <x:v>POSSIBLE</x:v>
      </x:c>
      <x:c r="E2158" s="34" t="str">
        <x:v>90.0</x:v>
      </x:c>
      <x:c r="F2158" s="34" t="str">
        <x:v>MI-0736</x:v>
      </x:c>
      <x:c r="G2158" s="39" t="str">
        <x:v>ارزیابی</x:v>
      </x:c>
      <x:c r="H2158" s="39" t="str">
        <x:v>H11</x:v>
      </x:c>
      <x:c r="I2158" s="39" t="str">
        <x:v>DELEGATE/P2</x:v>
      </x:c>
      <x:c r="J2158" s="39" t="str">
        <x:v>H11</x:v>
      </x:c>
      <x:c r="K2158" s="39" t="str">
        <x:v>تطبیق احتمالی با پایه</x:v>
      </x:c>
      <x:c r="L2158" s="39" t="str">
        <x:v>MI-0736</x:v>
      </x:c>
      <x:c r="M2158" s="39" t="str">
        <x:v>ارزیابی</x:v>
      </x:c>
      <x:c r="N2158" s="39" t="str">
        <x:v>1154878548.docx::P6757.1</x:v>
      </x:c>
      <x:c r="O2158" s="39"/>
    </x:row>
    <x:row r="2159">
      <x:c r="A2159" s="34" t="str">
        <x:v>☐</x:v>
      </x:c>
      <x:c r="B2159" s="34" t="str">
        <x:v>EX-2131</x:v>
      </x:c>
      <x:c r="C2159" s="34" t="str">
        <x:v>روش تحقیق مورد استفاده برای ارزیابی جاروبرقی را شرح دهید:</x:v>
      </x:c>
      <x:c r="D2159" s="34" t="str">
        <x:v>POSSIBLE</x:v>
      </x:c>
      <x:c r="E2159" s="34" t="str">
        <x:v>90.0</x:v>
      </x:c>
      <x:c r="F2159" s="34" t="str">
        <x:v>MI-0736</x:v>
      </x:c>
      <x:c r="G2159" s="39" t="str">
        <x:v>ارزیابی</x:v>
      </x:c>
      <x:c r="H2159" s="39" t="str">
        <x:v>H11</x:v>
      </x:c>
      <x:c r="I2159" s="39" t="str">
        <x:v>DELEGATE/P2</x:v>
      </x:c>
      <x:c r="J2159" s="39" t="str">
        <x:v>H11</x:v>
      </x:c>
      <x:c r="K2159" s="39" t="str">
        <x:v>تطبیق احتمالی با پایه</x:v>
      </x:c>
      <x:c r="L2159" s="39" t="str">
        <x:v>MI-0736</x:v>
      </x:c>
      <x:c r="M2159" s="39" t="str">
        <x:v>ارزیابی</x:v>
      </x:c>
      <x:c r="N2159" s="39" t="str">
        <x:v>1154878548.docx::P6758.1</x:v>
      </x:c>
      <x:c r="O2159" s="39"/>
    </x:row>
    <x:row r="2160">
      <x:c r="A2160" s="34" t="str">
        <x:v>☐</x:v>
      </x:c>
      <x:c r="B2160" s="34" t="str">
        <x:v>EX-2132</x:v>
      </x:c>
      <x:c r="C2160" s="34" t="str">
        <x:v>نوع مطالعه (تجربی، مقایسه‌ای، نظری)</x:v>
      </x:c>
      <x:c r="D2160" s="34" t="str">
        <x:v>POSSIBLE</x:v>
      </x:c>
      <x:c r="E2160" s="34" t="str">
        <x:v>85.5</x:v>
      </x:c>
      <x:c r="F2160" s="34" t="str">
        <x:v>MI-0358</x:v>
      </x:c>
      <x:c r="G2160" s="39" t="str">
        <x:v>مطالعه توسعه فردی</x:v>
      </x:c>
      <x:c r="H2160" s="39" t="str">
        <x:v>H1</x:v>
      </x:c>
      <x:c r="I2160" s="39" t="str">
        <x:v>BANK</x:v>
      </x:c>
      <x:c r="J2160" s="39" t="str">
        <x:v>H1</x:v>
      </x:c>
      <x:c r="K2160" s="39" t="str">
        <x:v>تطبیق احتمالی با پایه</x:v>
      </x:c>
      <x:c r="L2160" s="39" t="str">
        <x:v>MI-0358</x:v>
      </x:c>
      <x:c r="M2160" s="39" t="str">
        <x:v>مطالعه توسعه فردی</x:v>
      </x:c>
      <x:c r="N2160" s="39" t="str">
        <x:v>1154878548.docx::P6759.1</x:v>
      </x:c>
      <x:c r="O2160" s="39"/>
    </x:row>
    <x:row r="2161">
      <x:c r="A2161" s="34" t="str">
        <x:v>☐</x:v>
      </x:c>
      <x:c r="B2161" s="34" t="str">
        <x:v>EX-2133</x:v>
      </x:c>
      <x:c r="C2161" s="34" t="str">
        <x:v>فناوری‌های تست یا پروتکل‌های به کار رفته</x:v>
      </x:c>
      <x:c r="D2161" s="34" t="str">
        <x:v>POSSIBLE</x:v>
      </x:c>
      <x:c r="E2161" s="34" t="str">
        <x:v>85.5</x:v>
      </x:c>
      <x:c r="F2161" s="34" t="str">
        <x:v>MI-1501</x:v>
      </x:c>
      <x:c r="G2161" s="39" t="str">
        <x:v>مدیریت ریسک: شناسایی ریسک ها، ارزیابی اثرات، تدوین برنامه های مقابله با ریسک ها.</x:v>
      </x:c>
      <x:c r="H2161" s="39" t="str">
        <x:v>H1</x:v>
      </x:c>
      <x:c r="I2161" s="39" t="str">
        <x:v>P0</x:v>
      </x:c>
      <x:c r="J2161" s="39" t="str">
        <x:v>H1</x:v>
      </x:c>
      <x:c r="K2161" s="39" t="str">
        <x:v>تطبیق احتمالی با پایه</x:v>
      </x:c>
      <x:c r="L2161" s="39" t="str">
        <x:v>MI-1501</x:v>
      </x:c>
      <x:c r="M2161" s="39" t="str">
        <x:v>مدیریت ریسک: شناسایی ریسک ها، ارزیابی اثرات، تدوین برنامه های مقابله با ریسک ها.</x:v>
      </x:c>
      <x:c r="N2161" s="39" t="str">
        <x:v>1154878548.docx::P6760.1</x:v>
      </x:c>
      <x:c r="O2161" s="39"/>
    </x:row>
    <x:row r="2162">
      <x:c r="A2162" s="34" t="str">
        <x:v>☐</x:v>
      </x:c>
      <x:c r="B2162" s="34" t="str">
        <x:v>EX-2134</x:v>
      </x:c>
      <x:c r="C2162" s="34" t="str">
        <x:v>تکنیک‌های اندازه‌گیری</x:v>
      </x:c>
      <x:c r="D2162" s="34" t="str">
        <x:v>POSSIBLE</x:v>
      </x:c>
      <x:c r="E2162" s="34" t="str">
        <x:v>85.5</x:v>
      </x:c>
      <x:c r="F2162" s="34" t="str">
        <x:v>MI-1501</x:v>
      </x:c>
      <x:c r="G2162" s="39" t="str">
        <x:v>مدیریت ریسک: شناسایی ریسک ها، ارزیابی اثرات، تدوین برنامه های مقابله با ریسک ها.</x:v>
      </x:c>
      <x:c r="H2162" s="39" t="str">
        <x:v>H1</x:v>
      </x:c>
      <x:c r="I2162" s="39" t="str">
        <x:v>P0</x:v>
      </x:c>
      <x:c r="J2162" s="39" t="str">
        <x:v>H1</x:v>
      </x:c>
      <x:c r="K2162" s="39" t="str">
        <x:v>تطبیق احتمالی با پایه</x:v>
      </x:c>
      <x:c r="L2162" s="39" t="str">
        <x:v>MI-1501</x:v>
      </x:c>
      <x:c r="M2162" s="39" t="str">
        <x:v>مدیریت ریسک: شناسایی ریسک ها، ارزیابی اثرات، تدوین برنامه های مقابله با ریسک ها.</x:v>
      </x:c>
      <x:c r="N2162" s="39" t="str">
        <x:v>1154878548.docx::P6761.1</x:v>
      </x:c>
      <x:c r="O2162" s="39"/>
    </x:row>
    <x:row r="2163">
      <x:c r="A2163" s="34" t="str">
        <x:v>☐</x:v>
      </x:c>
      <x:c r="B2163" s="34" t="str">
        <x:v>EX-2135</x:v>
      </x:c>
      <x:c r="C2163" s="34" t="str">
        <x:v>اندازه نمونه یا تعداد جاروبرقی‌های تست شده</x:v>
      </x:c>
      <x:c r="D2163" s="34" t="str">
        <x:v>POSSIBLE</x:v>
      </x:c>
      <x:c r="E2163" s="34" t="str">
        <x:v>85.5</x:v>
      </x:c>
      <x:c r="F2163" s="34" t="str">
        <x:v>MI-1501</x:v>
      </x:c>
      <x:c r="G2163" s="39" t="str">
        <x:v>مدیریت ریسک: شناسایی ریسک ها، ارزیابی اثرات، تدوین برنامه های مقابله با ریسک ها.</x:v>
      </x:c>
      <x:c r="H2163" s="39" t="str">
        <x:v>H1</x:v>
      </x:c>
      <x:c r="I2163" s="39" t="str">
        <x:v>P0</x:v>
      </x:c>
      <x:c r="J2163" s="39" t="str">
        <x:v>H1</x:v>
      </x:c>
      <x:c r="K2163" s="39" t="str">
        <x:v>تطبیق احتمالی با پایه</x:v>
      </x:c>
      <x:c r="L2163" s="39" t="str">
        <x:v>MI-1501</x:v>
      </x:c>
      <x:c r="M2163" s="39" t="str">
        <x:v>مدیریت ریسک: شناسایی ریسک ها، ارزیابی اثرات، تدوین برنامه های مقابله با ریسک ها.</x:v>
      </x:c>
      <x:c r="N2163" s="39" t="str">
        <x:v>1154878548.docx::P6762.1</x:v>
      </x:c>
      <x:c r="O2163" s="39"/>
    </x:row>
    <x:row r="2164">
      <x:c r="A2164" s="34" t="str">
        <x:v>☐</x:v>
      </x:c>
      <x:c r="B2164" s="34" t="str">
        <x:v>EX-2136</x:v>
      </x:c>
      <x:c r="C2164" s="34" t="str">
        <x:v>از اصطلاحات دقیق روش‌شناختی استفاده کنید. اگر جزئیات روش‌شناسی کم است، "روش‌شناسی به طور کامل شرح داده نشده است" را بنویسید.</x:v>
      </x:c>
      <x:c r="D2164" s="34" t="str">
        <x:v>POSSIBLE</x:v>
      </x:c>
      <x:c r="E2164" s="34" t="str">
        <x:v>85.5</x:v>
      </x:c>
      <x:c r="F2164" s="34" t="str">
        <x:v>MI-0023</x:v>
      </x:c>
      <x:c r="G2164" s="39" t="str">
        <x:v>برنامه ریزی دقیق و علمگرا هییت دانشگاه</x:v>
      </x:c>
      <x:c r="H2164" s="39" t="str">
        <x:v>H1</x:v>
      </x:c>
      <x:c r="I2164" s="39" t="str">
        <x:v>P0</x:v>
      </x:c>
      <x:c r="J2164" s="39" t="str">
        <x:v>H1</x:v>
      </x:c>
      <x:c r="K2164" s="39" t="str">
        <x:v>تطبیق احتمالی با پایه</x:v>
      </x:c>
      <x:c r="L2164" s="39" t="str">
        <x:v>MI-0023</x:v>
      </x:c>
      <x:c r="M2164" s="39" t="str">
        <x:v>برنامه ریزی دقیق و علمگرا هییت دانشگاه</x:v>
      </x:c>
      <x:c r="N2164" s="39" t="str">
        <x:v>1154878548.docx::P6763.1</x:v>
      </x:c>
      <x:c r="O2164" s="39"/>
    </x:row>
    <x:row r="2165">
      <x:c r="A2165" s="34" t="str">
        <x:v>☐</x:v>
      </x:c>
      <x:c r="B2165" s="34" t="str">
        <x:v>EX-2137</x:v>
      </x:c>
      <x:c r="C2165" s="34" t="str">
        <x:v>نتایج</x:v>
      </x:c>
      <x:c r="D2165" s="34" t="str">
        <x:v>UNMAPPED</x:v>
      </x:c>
      <x:c r="E2165" s="34" t="str">
        <x:v>80.0</x:v>
      </x:c>
      <x:c r="F2165" s="34" t="str">
        <x:v>MI-1744</x:v>
      </x:c>
      <x:c r="G2165" s="39" t="str">
        <x:v>نتیجه عملی</x:v>
      </x:c>
      <x:c r="H2165" s="39" t="str">
        <x:v>H20</x:v>
      </x:c>
      <x:c r="I2165" s="39" t="str">
        <x:v>P3/CLARIFY</x:v>
      </x:c>
      <x:c r="J2165" s="39" t="str">
        <x:v>H23</x:v>
      </x:c>
      <x:c r="K2165" s="39" t="str">
        <x:v>نیازمند پالایش؛ حذف نشده</x:v>
      </x:c>
      <x:c r="L2165" s="39"/>
      <x:c r="M2165" s="39"/>
      <x:c r="N2165" s="39" t="str">
        <x:v>1154878548.docx::P6764.1</x:v>
      </x:c>
      <x:c r="O2165" s="39"/>
    </x:row>
    <x:row r="2166">
      <x:c r="A2166" s="34" t="str">
        <x:v>☐</x:v>
      </x:c>
      <x:c r="B2166" s="34" t="str">
        <x:v>EX-2138</x:v>
      </x:c>
      <x:c r="C2166" s="34" t="str">
        <x:v>ویژگی‌های مطالعات گنجانده شده</x:v>
      </x:c>
      <x:c r="D2166" s="34" t="str">
        <x:v>POSSIBLE</x:v>
      </x:c>
      <x:c r="E2166" s="34" t="str">
        <x:v>85.5</x:v>
      </x:c>
      <x:c r="F2166" s="34" t="str">
        <x:v>MI-1501</x:v>
      </x:c>
      <x:c r="G2166" s="39" t="str">
        <x:v>مدیریت ریسک: شناسایی ریسک ها، ارزیابی اثرات، تدوین برنامه های مقابله با ریسک ها.</x:v>
      </x:c>
      <x:c r="H2166" s="39" t="str">
        <x:v>H1</x:v>
      </x:c>
      <x:c r="I2166" s="39" t="str">
        <x:v>P0</x:v>
      </x:c>
      <x:c r="J2166" s="39" t="str">
        <x:v>H1</x:v>
      </x:c>
      <x:c r="K2166" s="39" t="str">
        <x:v>تطبیق احتمالی با پایه</x:v>
      </x:c>
      <x:c r="L2166" s="39" t="str">
        <x:v>MI-1501</x:v>
      </x:c>
      <x:c r="M2166" s="39" t="str">
        <x:v>مدیریت ریسک: شناسایی ریسک ها، ارزیابی اثرات، تدوین برنامه های مقابله با ریسک ها.</x:v>
      </x:c>
      <x:c r="N2166" s="39" t="str">
        <x:v>1154878548.docx::P6765.1</x:v>
      </x:c>
      <x:c r="O2166" s="39"/>
    </x:row>
    <x:row r="2167">
      <x:c r="A2167" s="34" t="str">
        <x:v>☐</x:v>
      </x:c>
      <x:c r="B2167" s="34" t="str">
        <x:v>EX-2139</x:v>
      </x:c>
      <x:c r="C2167" s="34" t="str">
        <x:v>در میان 5 مطالعه‌ای که ما تجزیه و تحلیل کردیم:</x:v>
      </x:c>
      <x:c r="D2167" s="34" t="str">
        <x:v>POSSIBLE</x:v>
      </x:c>
      <x:c r="E2167" s="34" t="str">
        <x:v>85.5</x:v>
      </x:c>
      <x:c r="F2167" s="34" t="str">
        <x:v>MI-0029</x:v>
      </x:c>
      <x:c r="G2167" s="39" t="str">
        <x:v>تدریس ریاضی و فیزیک</x:v>
      </x:c>
      <x:c r="H2167" s="39" t="str">
        <x:v>H1</x:v>
      </x:c>
      <x:c r="I2167" s="39" t="str">
        <x:v>P0</x:v>
      </x:c>
      <x:c r="J2167" s="39" t="str">
        <x:v>H1</x:v>
      </x:c>
      <x:c r="K2167" s="39" t="str">
        <x:v>تطبیق احتمالی با پایه</x:v>
      </x:c>
      <x:c r="L2167" s="39" t="str">
        <x:v>MI-0029</x:v>
      </x:c>
      <x:c r="M2167" s="39" t="str">
        <x:v>تدریس ریاضی و فیزیک</x:v>
      </x:c>
      <x:c r="N2167" s="39" t="str">
        <x:v>1154878548.docx::P6766.1</x:v>
      </x:c>
      <x:c r="O2167" s="39"/>
    </x:row>
    <x:row r="2168">
      <x:c r="A2168" s="34" t="str">
        <x:v>☐</x:v>
      </x:c>
      <x:c r="B2168" s="34" t="str">
        <x:v>EX-2140</x:v>
      </x:c>
      <x:c r="C2168" s="34" t="str">
        <x:v>انواع تحقیق: ما 5 نوع تحقیق مختلف یافتیم: مطالعه نظری، بررسی کلی، مطالعه طراحی، مطالعه مقایسه‌ای و مطالعه تجربی.</x:v>
      </x:c>
      <x:c r="D2168" s="34" t="str">
        <x:v>POSSIBLE</x:v>
      </x:c>
      <x:c r="E2168" s="34" t="str">
        <x:v>85.5</x:v>
      </x:c>
      <x:c r="F2168" s="34" t="str">
        <x:v>MI-1513</x:v>
      </x:c>
      <x:c r="G2168" s="39" t="str">
        <x:v>تولید و کارآفرینی: توانایی تولید محصول و خدمات و ایجاد شغل.</x:v>
      </x:c>
      <x:c r="H2168" s="39" t="str">
        <x:v>H1</x:v>
      </x:c>
      <x:c r="I2168" s="39" t="str">
        <x:v>P0</x:v>
      </x:c>
      <x:c r="J2168" s="39" t="str">
        <x:v>H1</x:v>
      </x:c>
      <x:c r="K2168" s="39" t="str">
        <x:v>تطبیق احتمالی با پایه</x:v>
      </x:c>
      <x:c r="L2168" s="39" t="str">
        <x:v>MI-1513</x:v>
      </x:c>
      <x:c r="M2168" s="39" t="str">
        <x:v>تولید و کارآفرینی: توانایی تولید محصول و خدمات و ایجاد شغل.</x:v>
      </x:c>
      <x:c r="N2168" s="39" t="str">
        <x:v>1154878548.docx::P6767.1</x:v>
      </x:c>
      <x:c r="O2168" s="39"/>
    </x:row>
    <x:row r="2169">
      <x:c r="A2169" s="34" t="str">
        <x:v>☐</x:v>
      </x:c>
      <x:c r="B2169" s="34" t="str">
        <x:v>EX-2141</x:v>
      </x:c>
      <x:c r="C2169" s="34" t="str">
        <x:v>کاربردهای صنعتی:</x:v>
      </x:c>
      <x:c r="D2169" s="34" t="str">
        <x:v>POSSIBLE</x:v>
      </x:c>
      <x:c r="E2169" s="34" t="str">
        <x:v>90.0</x:v>
      </x:c>
      <x:c r="F2169" s="34" t="str">
        <x:v>MI-2602</x:v>
      </x:c>
      <x:c r="G2169" s="39" t="str">
        <x:v>صنعت</x:v>
      </x:c>
      <x:c r="H2169" s="39" t="str">
        <x:v>H12</x:v>
      </x:c>
      <x:c r="I2169" s="39" t="str">
        <x:v>P2</x:v>
      </x:c>
      <x:c r="J2169" s="39" t="str">
        <x:v>H12</x:v>
      </x:c>
      <x:c r="K2169" s="39" t="str">
        <x:v>تطبیق احتمالی با پایه</x:v>
      </x:c>
      <x:c r="L2169" s="39" t="str">
        <x:v>MI-2602</x:v>
      </x:c>
      <x:c r="M2169" s="39" t="str">
        <x:v>صنعت</x:v>
      </x:c>
      <x:c r="N2169" s="39" t="str">
        <x:v>1154878548.docx::P6768.1</x:v>
      </x:c>
      <x:c r="O2169" s="39"/>
    </x:row>
    <x:row r="2170">
      <x:c r="A2170" s="34" t="str">
        <x:v>☐</x:v>
      </x:c>
      <x:c r="B2170" s="34" t="str">
        <x:v>EX-2142</x:v>
      </x:c>
      <x:c r="C2170" s="34" t="str">
        <x:v>تمیزکاری صنعتی رایج‌ترین کاربرد بود که در 3 مطالعه یافت شد</x:v>
      </x:c>
      <x:c r="D2170" s="34" t="str">
        <x:v>POSSIBLE</x:v>
      </x:c>
      <x:c r="E2170" s="34" t="str">
        <x:v>85.5</x:v>
      </x:c>
      <x:c r="F2170" s="34" t="str">
        <x:v>MI-0173</x:v>
      </x:c>
      <x:c r="G2170" s="39" t="str">
        <x:v>جستجو در منابع سریع</x:v>
      </x:c>
      <x:c r="H2170" s="39" t="str">
        <x:v>H1</x:v>
      </x:c>
      <x:c r="I2170" s="39" t="str">
        <x:v>P0</x:v>
      </x:c>
      <x:c r="J2170" s="39" t="str">
        <x:v>H1</x:v>
      </x:c>
      <x:c r="K2170" s="39" t="str">
        <x:v>تطبیق احتمالی با پایه</x:v>
      </x:c>
      <x:c r="L2170" s="39" t="str">
        <x:v>MI-0173</x:v>
      </x:c>
      <x:c r="M2170" s="39" t="str">
        <x:v>جستجو در منابع سریع</x:v>
      </x:c>
      <x:c r="N2170" s="39" t="str">
        <x:v>1154878548.docx::P6769.1</x:v>
      </x:c>
      <x:c r="O2170" s="39"/>
    </x:row>
    <x:row r="2171">
      <x:c r="A2171" s="34" t="str">
        <x:v>☐</x:v>
      </x:c>
      <x:c r="B2171" s="34" t="str">
        <x:v>EX-2143</x:v>
      </x:c>
      <x:c r="C2171" s="34" t="str">
        <x:v>تمیزکاری خانگی در 2 مطالعه یافت شد</x:v>
      </x:c>
      <x:c r="D2171" s="34" t="str">
        <x:v>POSSIBLE</x:v>
      </x:c>
      <x:c r="E2171" s="34" t="str">
        <x:v>85.5</x:v>
      </x:c>
      <x:c r="F2171" s="34" t="str">
        <x:v>MI-0173</x:v>
      </x:c>
      <x:c r="G2171" s="39" t="str">
        <x:v>جستجو در منابع سریع</x:v>
      </x:c>
      <x:c r="H2171" s="39" t="str">
        <x:v>H1</x:v>
      </x:c>
      <x:c r="I2171" s="39" t="str">
        <x:v>P0</x:v>
      </x:c>
      <x:c r="J2171" s="39" t="str">
        <x:v>H1</x:v>
      </x:c>
      <x:c r="K2171" s="39" t="str">
        <x:v>تطبیق احتمالی با پایه</x:v>
      </x:c>
      <x:c r="L2171" s="39" t="str">
        <x:v>MI-0173</x:v>
      </x:c>
      <x:c r="M2171" s="39" t="str">
        <x:v>جستجو در منابع سریع</x:v>
      </x:c>
      <x:c r="N2171" s="39" t="str">
        <x:v>1154878548.docx::P6770.1</x:v>
      </x:c>
      <x:c r="O2171" s="39"/>
    </x:row>
    <x:row r="2172">
      <x:c r="A2172" s="34" t="str">
        <x:v>☐</x:v>
      </x:c>
      <x:c r="B2172" s="34" t="str">
        <x:v>EX-2144</x:v>
      </x:c>
      <x:c r="C2172" s="34" t="str">
        <x:v>ما برای هر کدام از فیلتراسیون عمومی هوا، فیلتراسیون صنعتی و جمع‌آوری گرد و غبار یک مطالعه یافتیم</x:v>
      </x:c>
      <x:c r="D2172" s="34" t="str">
        <x:v>POSSIBLE</x:v>
      </x:c>
      <x:c r="E2172" s="34" t="str">
        <x:v>85.5</x:v>
      </x:c>
      <x:c r="F2172" s="34" t="str">
        <x:v>MI-1513</x:v>
      </x:c>
      <x:c r="G2172" s="39" t="str">
        <x:v>تولید و کارآفرینی: توانایی تولید محصول و خدمات و ایجاد شغل.</x:v>
      </x:c>
      <x:c r="H2172" s="39" t="str">
        <x:v>H1</x:v>
      </x:c>
      <x:c r="I2172" s="39" t="str">
        <x:v>P0</x:v>
      </x:c>
      <x:c r="J2172" s="39" t="str">
        <x:v>H1</x:v>
      </x:c>
      <x:c r="K2172" s="39" t="str">
        <x:v>تطبیق احتمالی با پایه</x:v>
      </x:c>
      <x:c r="L2172" s="39" t="str">
        <x:v>MI-1513</x:v>
      </x:c>
      <x:c r="M2172" s="39" t="str">
        <x:v>تولید و کارآفرینی: توانایی تولید محصول و خدمات و ایجاد شغل.</x:v>
      </x:c>
      <x:c r="N2172" s="39" t="str">
        <x:v>1154878548.docx::P6771.1</x:v>
      </x:c>
      <x:c r="O2172" s="39"/>
    </x:row>
    <x:row r="2173">
      <x:c r="A2173" s="34" t="str">
        <x:v>☐</x:v>
      </x:c>
      <x:c r="B2173" s="34" t="str">
        <x:v>EX-2145</x:v>
      </x:c>
      <x:c r="C2173" s="34" t="str">
        <x:v>تمرکز فناوری کلیدی:</x:v>
      </x:c>
      <x:c r="D2173" s="34" t="str">
        <x:v>POSSIBLE</x:v>
      </x:c>
      <x:c r="E2173" s="34" t="str">
        <x:v>90.0</x:v>
      </x:c>
      <x:c r="F2173" s="34" t="str">
        <x:v>MI-0888</x:v>
      </x:c>
      <x:c r="G2173" s="39" t="str">
        <x:v>کلی</x:v>
      </x:c>
      <x:c r="H2173" s="39" t="str">
        <x:v>H11</x:v>
      </x:c>
      <x:c r="I2173" s="39" t="str">
        <x:v>DELEGATE/P2</x:v>
      </x:c>
      <x:c r="J2173" s="39" t="str">
        <x:v>H11</x:v>
      </x:c>
      <x:c r="K2173" s="39" t="str">
        <x:v>تطبیق احتمالی با پایه</x:v>
      </x:c>
      <x:c r="L2173" s="39" t="str">
        <x:v>MI-0888</x:v>
      </x:c>
      <x:c r="M2173" s="39" t="str">
        <x:v>کلی</x:v>
      </x:c>
      <x:c r="N2173" s="39" t="str">
        <x:v>1154878548.docx::P6772.1 | 1154878548.docx::T4R1C4.1</x:v>
      </x:c>
      <x:c r="O2173" s="39"/>
    </x:row>
    <x:row r="2174">
      <x:c r="A2174" s="34" t="str">
        <x:v>☐</x:v>
      </x:c>
      <x:c r="B2174" s="34" t="str">
        <x:v>EX-2146</x:v>
      </x:c>
      <x:c r="C2174" s="34" t="str">
        <x:v>ما 5 فناوری مختلف یافتیم که هر کدام در یک مطالعه بودند: فیلتر توخالی، فیلتر پارچه‌ای، جاروبرقی هوای فشرده، فیلتراسیون HEPA و روش‌های تست کارایی فیلتراسیون</x:v>
      </x:c>
      <x:c r="D2174" s="34" t="str">
        <x:v>POSSIBLE</x:v>
      </x:c>
      <x:c r="E2174" s="34" t="str">
        <x:v>85.5</x:v>
      </x:c>
      <x:c r="F2174" s="34" t="str">
        <x:v>MI-1501</x:v>
      </x:c>
      <x:c r="G2174" s="39" t="str">
        <x:v>مدیریت ریسک: شناسایی ریسک ها، ارزیابی اثرات، تدوین برنامه های مقابله با ریسک ها.</x:v>
      </x:c>
      <x:c r="H2174" s="39" t="str">
        <x:v>H1</x:v>
      </x:c>
      <x:c r="I2174" s="39" t="str">
        <x:v>P0</x:v>
      </x:c>
      <x:c r="J2174" s="39" t="str">
        <x:v>H1</x:v>
      </x:c>
      <x:c r="K2174" s="39" t="str">
        <x:v>تطبیق احتمالی با پایه</x:v>
      </x:c>
      <x:c r="L2174" s="39" t="str">
        <x:v>MI-1501</x:v>
      </x:c>
      <x:c r="M2174" s="39" t="str">
        <x:v>مدیریت ریسک: شناسایی ریسک ها، ارزیابی اثرات، تدوین برنامه های مقابله با ریسک ها.</x:v>
      </x:c>
      <x:c r="N2174" s="39" t="str">
        <x:v>1154878548.docx::P6773.1</x:v>
      </x:c>
      <x:c r="O2174" s="39"/>
    </x:row>
    <x:row r="2175">
      <x:c r="A2175" s="34" t="str">
        <x:v>☐</x:v>
      </x:c>
      <x:c r="B2175" s="34" t="str">
        <x:v>EX-2147</x:v>
      </x:c>
      <x:c r="C2175" s="34" t="str">
        <x:v>در میان مطالعاتی که ما تجزیه و تحلیل کردیم، هر کدام بر روی یک فناوری کلیدی متفاوت تمرکز داشتند که ممکن است نشان دهنده طیف متنوعی از رویکردهای فناوری در این زمینه باشد.</x:v>
      </x:c>
      <x:c r="D2175" s="34" t="str">
        <x:v>POSSIBLE</x:v>
      </x:c>
      <x:c r="E2175" s="34" t="str">
        <x:v>85.5</x:v>
      </x:c>
      <x:c r="F2175" s="34" t="str">
        <x:v>MI-1503</x:v>
      </x:c>
      <x:c r="G2175" s="39" t="str">
        <x:v>مدیریت زمان: اولویت بندی، برنامه ریزی، تمرکز.</x:v>
      </x:c>
      <x:c r="H2175" s="39" t="str">
        <x:v>H1</x:v>
      </x:c>
      <x:c r="I2175" s="39" t="str">
        <x:v>P0</x:v>
      </x:c>
      <x:c r="J2175" s="39" t="str">
        <x:v>H1</x:v>
      </x:c>
      <x:c r="K2175" s="39" t="str">
        <x:v>تطبیق احتمالی با پایه</x:v>
      </x:c>
      <x:c r="L2175" s="39" t="str">
        <x:v>MI-1503</x:v>
      </x:c>
      <x:c r="M2175" s="39" t="str">
        <x:v>مدیریت زمان: اولویت بندی، برنامه ریزی، تمرکز.</x:v>
      </x:c>
      <x:c r="N2175" s="39" t="str">
        <x:v>1154878548.docx::P6774.1</x:v>
      </x:c>
      <x:c r="O2175" s="39"/>
    </x:row>
    <x:row r="2176">
      <x:c r="A2176" s="34" t="str">
        <x:v>☐</x:v>
      </x:c>
      <x:c r="B2176" s="34" t="str">
        <x:v>EX-2148</x:v>
      </x:c>
      <x:c r="C2176" s="34" t="str">
        <x:v>تحلیل موضوعی</x:v>
      </x:c>
      <x:c r="D2176" s="34" t="str">
        <x:v>POSSIBLE</x:v>
      </x:c>
      <x:c r="E2176" s="34" t="str">
        <x:v>85.5</x:v>
      </x:c>
      <x:c r="F2176" s="34" t="str">
        <x:v>MI-3059</x:v>
      </x:c>
      <x:c r="G2176" s="39" t="str">
        <x:v>سابقه بیماری نداشتم، امّا سابقه جراحی جزیی در ایام طفولیت داشتم. موضوعی جهت محدودیت شغلی ندارم.</x:v>
      </x:c>
      <x:c r="H2176" s="39" t="str">
        <x:v>H3</x:v>
      </x:c>
      <x:c r="I2176" s="39" t="str">
        <x:v>P3/CLARIFY</x:v>
      </x:c>
      <x:c r="J2176" s="39" t="str">
        <x:v>H3</x:v>
      </x:c>
      <x:c r="K2176" s="39" t="str">
        <x:v>تطبیق احتمالی با پایه</x:v>
      </x:c>
      <x:c r="L2176" s="39" t="str">
        <x:v>MI-3059</x:v>
      </x:c>
      <x:c r="M2176" s="39" t="str">
        <x:v>سابقه بیماری نداشتم، امّا سابقه جراحی جزیی در ایام طفولیت داشتم. موضوعی جهت محدودیت شغلی ندارم.</x:v>
      </x:c>
      <x:c r="N2176" s="39" t="str">
        <x:v>1154878548.docx::P6775.1</x:v>
      </x:c>
      <x:c r="O2176" s="39"/>
    </x:row>
    <x:row r="2177">
      <x:c r="A2177" s="34" t="str">
        <x:v>☐</x:v>
      </x:c>
      <x:c r="B2177" s="34" t="str">
        <x:v>EX-2149</x:v>
      </x:c>
      <x:c r="C2177" s="34" t="str">
        <x:v>فناوری‌های سیستم فیلتراسیون</x:v>
      </x:c>
      <x:c r="D2177" s="34" t="str">
        <x:v>POSSIBLE</x:v>
      </x:c>
      <x:c r="E2177" s="34" t="str">
        <x:v>85.5</x:v>
      </x:c>
      <x:c r="F2177" s="34" t="str">
        <x:v>MI-1501</x:v>
      </x:c>
      <x:c r="G2177" s="39" t="str">
        <x:v>مدیریت ریسک: شناسایی ریسک ها، ارزیابی اثرات، تدوین برنامه های مقابله با ریسک ها.</x:v>
      </x:c>
      <x:c r="H2177" s="39" t="str">
        <x:v>H1</x:v>
      </x:c>
      <x:c r="I2177" s="39" t="str">
        <x:v>P0</x:v>
      </x:c>
      <x:c r="J2177" s="39" t="str">
        <x:v>H1</x:v>
      </x:c>
      <x:c r="K2177" s="39" t="str">
        <x:v>تطبیق احتمالی با پایه</x:v>
      </x:c>
      <x:c r="L2177" s="39" t="str">
        <x:v>MI-1501</x:v>
      </x:c>
      <x:c r="M2177" s="39" t="str">
        <x:v>مدیریت ریسک: شناسایی ریسک ها، ارزیابی اثرات، تدوین برنامه های مقابله با ریسک ها.</x:v>
      </x:c>
      <x:c r="N2177" s="39" t="str">
        <x:v>1154878548.docx::P6776.1</x:v>
      </x:c>
      <x:c r="O2177" s="39"/>
    </x:row>
    <x:row r="2178">
      <x:c r="A2178" s="34" t="str">
        <x:v>☐</x:v>
      </x:c>
      <x:c r="B2178" s="34" t="str">
        <x:v>EX-2150</x:v>
      </x:c>
      <x:c r="C2178" s="34" t="str">
        <x:v>سیستم‌های فیلتراسیون هوای ذرات با کارایی بالا (HEPA)</x:v>
      </x:c>
      <x:c r="D2178" s="34" t="str">
        <x:v>POSSIBLE</x:v>
      </x:c>
      <x:c r="E2178" s="34" t="str">
        <x:v>85.5</x:v>
      </x:c>
      <x:c r="F2178" s="34" t="str">
        <x:v>MI-1501</x:v>
      </x:c>
      <x:c r="G2178" s="39" t="str">
        <x:v>مدیریت ریسک: شناسایی ریسک ها، ارزیابی اثرات، تدوین برنامه های مقابله با ریسک ها.</x:v>
      </x:c>
      <x:c r="H2178" s="39" t="str">
        <x:v>H1</x:v>
      </x:c>
      <x:c r="I2178" s="39" t="str">
        <x:v>P0</x:v>
      </x:c>
      <x:c r="J2178" s="39" t="str">
        <x:v>H1</x:v>
      </x:c>
      <x:c r="K2178" s="39" t="str">
        <x:v>تطبیق احتمالی با پایه</x:v>
      </x:c>
      <x:c r="L2178" s="39" t="str">
        <x:v>MI-1501</x:v>
      </x:c>
      <x:c r="M2178" s="39" t="str">
        <x:v>مدیریت ریسک: شناسایی ریسک ها، ارزیابی اثرات، تدوین برنامه های مقابله با ریسک ها.</x:v>
      </x:c>
      <x:c r="N2178" s="39" t="str">
        <x:v>1154878548.docx::P6777.1 | 1154878548.docx::T4R5C4.1</x:v>
      </x:c>
      <x:c r="O2178" s="39"/>
    </x:row>
    <x:row r="2179">
      <x:c r="A2179" s="34" t="str">
        <x:v>☐</x:v>
      </x:c>
      <x:c r="B2179" s="34" t="str">
        <x:v>EX-2151</x:v>
      </x:c>
      <x:c r="C2179" s="34" t="str">
        <x:v>تراکوماس و همکاران (2001) و ویلکه و همکاران (2001) بر روی جاروبرقی‌های دارای فیلتر HEPA تمرکز دارند.</x:v>
      </x:c>
      <x:c r="D2179" s="34" t="str">
        <x:v>POSSIBLE</x:v>
      </x:c>
      <x:c r="E2179" s="34" t="str">
        <x:v>85.5</x:v>
      </x:c>
      <x:c r="F2179" s="34" t="str">
        <x:v>MI-1503</x:v>
      </x:c>
      <x:c r="G2179" s="39" t="str">
        <x:v>مدیریت زمان: اولویت بندی، برنامه ریزی، تمرکز.</x:v>
      </x:c>
      <x:c r="H2179" s="39" t="str">
        <x:v>H1</x:v>
      </x:c>
      <x:c r="I2179" s="39" t="str">
        <x:v>P0</x:v>
      </x:c>
      <x:c r="J2179" s="39" t="str">
        <x:v>H1</x:v>
      </x:c>
      <x:c r="K2179" s="39" t="str">
        <x:v>تطبیق احتمالی با پایه</x:v>
      </x:c>
      <x:c r="L2179" s="39" t="str">
        <x:v>MI-1503</x:v>
      </x:c>
      <x:c r="M2179" s="39" t="str">
        <x:v>مدیریت زمان: اولویت بندی، برنامه ریزی، تمرکز.</x:v>
      </x:c>
      <x:c r="N2179" s="39" t="str">
        <x:v>1154878548.docx::P6778.1</x:v>
      </x:c>
      <x:c r="O2179" s="39"/>
    </x:row>
    <x:row r="2180">
      <x:c r="A2180" s="34" t="str">
        <x:v>☐</x:v>
      </x:c>
      <x:c r="B2180" s="34" t="str">
        <x:v>EX-2152</x:v>
      </x:c>
      <x:c r="C2180" s="34" t="str">
        <x:v>تراکوماس و همکاران (2001) دریافتند:</x:v>
      </x:c>
      <x:c r="D2180" s="34" t="str">
        <x:v>POSSIBLE</x:v>
      </x:c>
      <x:c r="E2180" s="34" t="str">
        <x:v>85.5</x:v>
      </x:c>
      <x:c r="F2180" s="34" t="str">
        <x:v>MI-1513</x:v>
      </x:c>
      <x:c r="G2180" s="39" t="str">
        <x:v>تولید و کارآفرینی: توانایی تولید محصول و خدمات و ایجاد شغل.</x:v>
      </x:c>
      <x:c r="H2180" s="39" t="str">
        <x:v>H1</x:v>
      </x:c>
      <x:c r="I2180" s="39" t="str">
        <x:v>P0</x:v>
      </x:c>
      <x:c r="J2180" s="39" t="str">
        <x:v>H1</x:v>
      </x:c>
      <x:c r="K2180" s="39" t="str">
        <x:v>تطبیق احتمالی با پایه</x:v>
      </x:c>
      <x:c r="L2180" s="39" t="str">
        <x:v>MI-1513</x:v>
      </x:c>
      <x:c r="M2180" s="39" t="str">
        <x:v>تولید و کارآفرینی: توانایی تولید محصول و خدمات و ایجاد شغل.</x:v>
      </x:c>
      <x:c r="N2180" s="39" t="str">
        <x:v>1154878548.docx::P6779.1</x:v>
      </x:c>
      <x:c r="O2180" s="39"/>
    </x:row>
    <x:row r="2181">
      <x:c r="A2181" s="34" t="str">
        <x:v>☐</x:v>
      </x:c>
      <x:c r="B2181" s="34" t="str">
        <x:v>EX-2153</x:v>
      </x:c>
      <x:c r="C2181" s="34" t="str">
        <x:v>برخی از جاروبرقی‌های خانگی دارای فیلتر HEPA می‌توانند به بازدهی فیلتراسیون قابل مقایسه با مدل‌های صنعتی دست یابند.</x:v>
      </x:c>
      <x:c r="D2181" s="34" t="str">
        <x:v>POSSIBLE</x:v>
      </x:c>
      <x:c r="E2181" s="34" t="str">
        <x:v>85.5</x:v>
      </x:c>
      <x:c r="F2181" s="34" t="str">
        <x:v>MI-0019</x:v>
      </x:c>
      <x:c r="G2181" s="39" t="str">
        <x:v>آشنایی با نرم افزار املاک</x:v>
      </x:c>
      <x:c r="H2181" s="39" t="str">
        <x:v>H1</x:v>
      </x:c>
      <x:c r="I2181" s="39" t="str">
        <x:v>P0</x:v>
      </x:c>
      <x:c r="J2181" s="39" t="str">
        <x:v>H1</x:v>
      </x:c>
      <x:c r="K2181" s="39" t="str">
        <x:v>تطبیق احتمالی با پایه</x:v>
      </x:c>
      <x:c r="L2181" s="39" t="str">
        <x:v>MI-0019</x:v>
      </x:c>
      <x:c r="M2181" s="39" t="str">
        <x:v>آشنایی با نرم افزار املاک</x:v>
      </x:c>
      <x:c r="N2181" s="39" t="str">
        <x:v>1154878548.docx::P6780.1</x:v>
      </x:c>
      <x:c r="O2181" s="39"/>
    </x:row>
    <x:row r="2182">
      <x:c r="A2182" s="34" t="str">
        <x:v>☐</x:v>
      </x:c>
      <x:c r="B2182" s="34" t="str">
        <x:v>EX-2154</x:v>
      </x:c>
      <x:c r="C2182" s="34" t="str">
        <x:v>این مدل‌ها "حدود 100٪ از گرد و غبار خشک وارد شده توسط نازل" را جمع‌آوری می‌کنند.</x:v>
      </x:c>
      <x:c r="D2182" s="34" t="str">
        <x:v>POSSIBLE</x:v>
      </x:c>
      <x:c r="E2182" s="34" t="str">
        <x:v>85.5</x:v>
      </x:c>
      <x:c r="F2182" s="34" t="str">
        <x:v>MI-0023</x:v>
      </x:c>
      <x:c r="G2182" s="39" t="str">
        <x:v>برنامه ریزی دقیق و علمگرا هییت دانشگاه</x:v>
      </x:c>
      <x:c r="H2182" s="39" t="str">
        <x:v>H1</x:v>
      </x:c>
      <x:c r="I2182" s="39" t="str">
        <x:v>P0</x:v>
      </x:c>
      <x:c r="J2182" s="39" t="str">
        <x:v>H1</x:v>
      </x:c>
      <x:c r="K2182" s="39" t="str">
        <x:v>تطبیق احتمالی با پایه</x:v>
      </x:c>
      <x:c r="L2182" s="39" t="str">
        <x:v>MI-0023</x:v>
      </x:c>
      <x:c r="M2182" s="39" t="str">
        <x:v>برنامه ریزی دقیق و علمگرا هییت دانشگاه</x:v>
      </x:c>
      <x:c r="N2182" s="39" t="str">
        <x:v>1154878548.docx::P6781.1</x:v>
      </x:c>
      <x:c r="O2182" s="39"/>
    </x:row>
    <x:row r="2183">
      <x:c r="A2183" s="34" t="str">
        <x:v>☐</x:v>
      </x:c>
      <x:c r="B2183" s="34" t="str">
        <x:v>EX-2155</x:v>
      </x:c>
      <x:c r="C2183" s="34" t="str">
        <x:v>این نشان می‌دهد که فیلتراسیون HEPA برای بهینه‌سازی عملکرد تمیزکاری در محیط‌های صنعتی بسیار مهم است.</x:v>
      </x:c>
      <x:c r="D2183" s="34" t="str">
        <x:v>POSSIBLE</x:v>
      </x:c>
      <x:c r="E2183" s="34" t="str">
        <x:v>85.5</x:v>
      </x:c>
      <x:c r="F2183" s="34" t="str">
        <x:v>MI-0021</x:v>
      </x:c>
      <x:c r="G2183" s="39" t="str">
        <x:v>برنامه ریزی بسیار جدی تر برای دروس دانشگاه نوشیروانی بابل</x:v>
      </x:c>
      <x:c r="H2183" s="39" t="str">
        <x:v>H1</x:v>
      </x:c>
      <x:c r="I2183" s="39" t="str">
        <x:v>P0</x:v>
      </x:c>
      <x:c r="J2183" s="39" t="str">
        <x:v>H1</x:v>
      </x:c>
      <x:c r="K2183" s="39" t="str">
        <x:v>تطبیق احتمالی با پایه</x:v>
      </x:c>
      <x:c r="L2183" s="39" t="str">
        <x:v>MI-0021</x:v>
      </x:c>
      <x:c r="M2183" s="39" t="str">
        <x:v>برنامه ریزی بسیار جدی تر برای دروس دانشگاه نوشیروانی بابل</x:v>
      </x:c>
      <x:c r="N2183" s="39" t="str">
        <x:v>1154878548.docx::P6782.1</x:v>
      </x:c>
      <x:c r="O2183" s="39"/>
    </x:row>
    <x:row r="2184">
      <x:c r="A2184" s="34" t="str">
        <x:v>☐</x:v>
      </x:c>
      <x:c r="B2184" s="34" t="str">
        <x:v>EX-2156</x:v>
      </x:c>
      <x:c r="C2184" s="34" t="str">
        <x:v>کاربردهای مدیای فیلتر پارچه‌ای</x:v>
      </x:c>
      <x:c r="D2184" s="34" t="str">
        <x:v>POSSIBLE</x:v>
      </x:c>
      <x:c r="E2184" s="34" t="str">
        <x:v>90.0</x:v>
      </x:c>
      <x:c r="F2184" s="34" t="str">
        <x:v>MI-2532</x:v>
      </x:c>
      <x:c r="G2184" s="39" t="str">
        <x:v>کاربردها:</x:v>
      </x:c>
      <x:c r="H2184" s="39" t="str">
        <x:v>H20</x:v>
      </x:c>
      <x:c r="I2184" s="39" t="str">
        <x:v>P3/CLARIFY</x:v>
      </x:c>
      <x:c r="J2184" s="39" t="str">
        <x:v>H20</x:v>
      </x:c>
      <x:c r="K2184" s="39" t="str">
        <x:v>تطبیق احتمالی با پایه</x:v>
      </x:c>
      <x:c r="L2184" s="39" t="str">
        <x:v>MI-2532</x:v>
      </x:c>
      <x:c r="M2184" s="39" t="str">
        <x:v>کاربردها:</x:v>
      </x:c>
      <x:c r="N2184" s="39" t="str">
        <x:v>1154878548.docx::P6783.1</x:v>
      </x:c>
      <x:c r="O2184" s="39"/>
    </x:row>
    <x:row r="2185">
      <x:c r="A2185" s="34" t="str">
        <x:v>☐</x:v>
      </x:c>
      <x:c r="B2185" s="34" t="str">
        <x:v>EX-2157</x:v>
      </x:c>
      <x:c r="C2185" s="34" t="str">
        <x:v>هاردمان (2014) یک بررسی کلی از عملیات فیلتراسیون صنعتی با استفاده از مدیای فیلتر پارچه‌ای ارائه می‌دهد.</x:v>
      </x:c>
      <x:c r="D2185" s="34" t="str">
        <x:v>POSSIBLE</x:v>
      </x:c>
      <x:c r="E2185" s="34" t="str">
        <x:v>90.0</x:v>
      </x:c>
      <x:c r="F2185" s="34" t="str">
        <x:v>MI-2578</x:v>
      </x:c>
      <x:c r="G2185" s="39" t="str">
        <x:v>با استفاده از:</x:v>
      </x:c>
      <x:c r="H2185" s="39" t="str">
        <x:v>H20</x:v>
      </x:c>
      <x:c r="I2185" s="39" t="str">
        <x:v>P3/CLARIFY</x:v>
      </x:c>
      <x:c r="J2185" s="39" t="str">
        <x:v>H20</x:v>
      </x:c>
      <x:c r="K2185" s="39" t="str">
        <x:v>تطبیق احتمالی با پایه</x:v>
      </x:c>
      <x:c r="L2185" s="39" t="str">
        <x:v>MI-2578</x:v>
      </x:c>
      <x:c r="M2185" s="39" t="str">
        <x:v>با استفاده از:</x:v>
      </x:c>
      <x:c r="N2185" s="39" t="str">
        <x:v>1154878548.docx::P6784.1</x:v>
      </x:c>
      <x:c r="O2185" s="39"/>
    </x:row>
    <x:row r="2186">
      <x:c r="A2186" s="34" t="str">
        <x:v>☐</x:v>
      </x:c>
      <x:c r="B2186" s="34" t="str">
        <x:v>EX-2158</x:v>
      </x:c>
      <x:c r="C2186" s="34" t="str">
        <x:v>نکات کلیدی:</x:v>
      </x:c>
      <x:c r="D2186" s="34" t="str">
        <x:v>POSSIBLE</x:v>
      </x:c>
      <x:c r="E2186" s="34" t="str">
        <x:v>90.0</x:v>
      </x:c>
      <x:c r="F2186" s="34" t="str">
        <x:v>MI-0888</x:v>
      </x:c>
      <x:c r="G2186" s="39" t="str">
        <x:v>کلی</x:v>
      </x:c>
      <x:c r="H2186" s="39" t="str">
        <x:v>H11</x:v>
      </x:c>
      <x:c r="I2186" s="39" t="str">
        <x:v>DELEGATE/P2</x:v>
      </x:c>
      <x:c r="J2186" s="39" t="str">
        <x:v>H11</x:v>
      </x:c>
      <x:c r="K2186" s="39" t="str">
        <x:v>تطبیق احتمالی با پایه</x:v>
      </x:c>
      <x:c r="L2186" s="39" t="str">
        <x:v>MI-0888</x:v>
      </x:c>
      <x:c r="M2186" s="39" t="str">
        <x:v>کلی</x:v>
      </x:c>
      <x:c r="N2186" s="39" t="str">
        <x:v>1154878548.docx::P6785.1</x:v>
      </x:c>
      <x:c r="O2186" s="39"/>
    </x:row>
    <x:row r="2187">
      <x:c r="A2187" s="34" t="str">
        <x:v>☐</x:v>
      </x:c>
      <x:c r="B2187" s="34" t="str">
        <x:v>EX-2159</x:v>
      </x:c>
      <x:c r="C2187" s="34" t="str">
        <x:v>مرتبط با کاربردهای جاروبرقی صنعتی</x:v>
      </x:c>
      <x:c r="D2187" s="34" t="str">
        <x:v>POSSIBLE</x:v>
      </x:c>
      <x:c r="E2187" s="34" t="str">
        <x:v>90.0</x:v>
      </x:c>
      <x:c r="F2187" s="34" t="str">
        <x:v>MI-2532</x:v>
      </x:c>
      <x:c r="G2187" s="39" t="str">
        <x:v>کاربردها:</x:v>
      </x:c>
      <x:c r="H2187" s="39" t="str">
        <x:v>H20</x:v>
      </x:c>
      <x:c r="I2187" s="39" t="str">
        <x:v>P3/CLARIFY</x:v>
      </x:c>
      <x:c r="J2187" s="39" t="str">
        <x:v>H20</x:v>
      </x:c>
      <x:c r="K2187" s="39" t="str">
        <x:v>تطبیق احتمالی با پایه</x:v>
      </x:c>
      <x:c r="L2187" s="39" t="str">
        <x:v>MI-2532</x:v>
      </x:c>
      <x:c r="M2187" s="39" t="str">
        <x:v>کاربردها:</x:v>
      </x:c>
      <x:c r="N2187" s="39" t="str">
        <x:v>1154878548.docx::P6786.1</x:v>
      </x:c>
      <x:c r="O2187" s="39"/>
    </x:row>
    <x:row r="2188">
      <x:c r="A2188" s="34" t="str">
        <x:v>☐</x:v>
      </x:c>
      <x:c r="B2188" s="34" t="str">
        <x:v>EX-2160</x:v>
      </x:c>
      <x:c r="C2188" s="34" t="str">
        <x:v>اهمیت درک نقاط قوت و ضعف مدیای فیلتر پارچه‌ای مختلف در فرآیندهای جمع‌آوری گرد و غبار صنعتی را برجسته می‌کند.</x:v>
      </x:c>
      <x:c r="D2188" s="34" t="str">
        <x:v>POSSIBLE</x:v>
      </x:c>
      <x:c r="E2188" s="34" t="str">
        <x:v>85.5</x:v>
      </x:c>
      <x:c r="F2188" s="34" t="str">
        <x:v>MI-1513</x:v>
      </x:c>
      <x:c r="G2188" s="39" t="str">
        <x:v>تولید و کارآفرینی: توانایی تولید محصول و خدمات و ایجاد شغل.</x:v>
      </x:c>
      <x:c r="H2188" s="39" t="str">
        <x:v>H1</x:v>
      </x:c>
      <x:c r="I2188" s="39" t="str">
        <x:v>P0</x:v>
      </x:c>
      <x:c r="J2188" s="39" t="str">
        <x:v>H1</x:v>
      </x:c>
      <x:c r="K2188" s="39" t="str">
        <x:v>تطبیق احتمالی با پایه</x:v>
      </x:c>
      <x:c r="L2188" s="39" t="str">
        <x:v>MI-1513</x:v>
      </x:c>
      <x:c r="M2188" s="39" t="str">
        <x:v>تولید و کارآفرینی: توانایی تولید محصول و خدمات و ایجاد شغل.</x:v>
      </x:c>
      <x:c r="N2188" s="39" t="str">
        <x:v>1154878548.docx::P6787.1</x:v>
      </x:c>
      <x:c r="O2188" s="39"/>
    </x:row>
    <x:row r="2189">
      <x:c r="A2189" s="34" t="str">
        <x:v>☐</x:v>
      </x:c>
      <x:c r="B2189" s="34" t="str">
        <x:v>EX-2161</x:v>
      </x:c>
      <x:c r="C2189" s="34" t="str">
        <x:v>این دانش می‌تواند برای انتخاب مدیای فیلتر مناسب برای جاروبرقی‌های صنعتی در محیط‌های صنعتی خاص بسیار مهم باشد.</x:v>
      </x:c>
      <x:c r="D2189" s="34" t="str">
        <x:v>POSSIBLE</x:v>
      </x:c>
      <x:c r="E2189" s="34" t="str">
        <x:v>85.5</x:v>
      </x:c>
      <x:c r="F2189" s="34" t="str">
        <x:v>MI-2921</x:v>
      </x:c>
      <x:c r="G2189" s="39" t="str">
        <x:v>ساختار تصمیم گیری چگونه باید باشد</x:v>
      </x:c>
      <x:c r="H2189" s="39" t="str">
        <x:v>H1</x:v>
      </x:c>
      <x:c r="I2189" s="39" t="str">
        <x:v>P0</x:v>
      </x:c>
      <x:c r="J2189" s="39" t="str">
        <x:v>H1</x:v>
      </x:c>
      <x:c r="K2189" s="39" t="str">
        <x:v>تطبیق احتمالی با پایه</x:v>
      </x:c>
      <x:c r="L2189" s="39" t="str">
        <x:v>MI-2921</x:v>
      </x:c>
      <x:c r="M2189" s="39" t="str">
        <x:v>ساختار تصمیم گیری چگونه باید باشد</x:v>
      </x:c>
      <x:c r="N2189" s="39" t="str">
        <x:v>1154878548.docx::P6788.1</x:v>
      </x:c>
      <x:c r="O2189" s="39"/>
    </x:row>
    <x:row r="2190">
      <x:c r="A2190" s="34" t="str">
        <x:v>☐</x:v>
      </x:c>
      <x:c r="B2190" s="34" t="str">
        <x:v>EX-2162</x:v>
      </x:c>
      <x:c r="C2190" s="34" t="str">
        <x:v>اندازه‌گیری‌های کارایی فیلتر</x:v>
      </x:c>
      <x:c r="D2190" s="34" t="str">
        <x:v>POSSIBLE</x:v>
      </x:c>
      <x:c r="E2190" s="34" t="str">
        <x:v>85.5</x:v>
      </x:c>
      <x:c r="F2190" s="34" t="str">
        <x:v>MI-1501</x:v>
      </x:c>
      <x:c r="G2190" s="39" t="str">
        <x:v>مدیریت ریسک: شناسایی ریسک ها، ارزیابی اثرات، تدوین برنامه های مقابله با ریسک ها.</x:v>
      </x:c>
      <x:c r="H2190" s="39" t="str">
        <x:v>H1</x:v>
      </x:c>
      <x:c r="I2190" s="39" t="str">
        <x:v>P0</x:v>
      </x:c>
      <x:c r="J2190" s="39" t="str">
        <x:v>H1</x:v>
      </x:c>
      <x:c r="K2190" s="39" t="str">
        <x:v>تطبیق احتمالی با پایه</x:v>
      </x:c>
      <x:c r="L2190" s="39" t="str">
        <x:v>MI-1501</x:v>
      </x:c>
      <x:c r="M2190" s="39" t="str">
        <x:v>مدیریت ریسک: شناسایی ریسک ها، ارزیابی اثرات، تدوین برنامه های مقابله با ریسک ها.</x:v>
      </x:c>
      <x:c r="N2190" s="39" t="str">
        <x:v>1154878548.docx::P6789.1</x:v>
      </x:c>
      <x:c r="O2190" s="39"/>
    </x:row>
    <x:row r="2191">
      <x:c r="A2191" s="34" t="str">
        <x:v>☐</x:v>
      </x:c>
      <x:c r="B2191" s="34" t="str">
        <x:v>EX-2163</x:v>
      </x:c>
      <x:c r="C2191" s="34" t="str">
        <x:v>ویلکه و همکاران (2001) روش‌های تست جدیدی را برای ارزیابی ویژگی‌های فیلتراسیون و انتشار ذرات جاروبرقی توسعه دادند.</x:v>
      </x:c>
      <x:c r="D2191" s="34" t="str">
        <x:v>POSSIBLE</x:v>
      </x:c>
      <x:c r="E2191" s="34" t="str">
        <x:v>85.5</x:v>
      </x:c>
      <x:c r="F2191" s="34" t="str">
        <x:v>MI-1513</x:v>
      </x:c>
      <x:c r="G2191" s="39" t="str">
        <x:v>تولید و کارآفرینی: توانایی تولید محصول و خدمات و ایجاد شغل.</x:v>
      </x:c>
      <x:c r="H2191" s="39" t="str">
        <x:v>H1</x:v>
      </x:c>
      <x:c r="I2191" s="39" t="str">
        <x:v>P0</x:v>
      </x:c>
      <x:c r="J2191" s="39" t="str">
        <x:v>H1</x:v>
      </x:c>
      <x:c r="K2191" s="39" t="str">
        <x:v>تطبیق احتمالی با پایه</x:v>
      </x:c>
      <x:c r="L2191" s="39" t="str">
        <x:v>MI-1513</x:v>
      </x:c>
      <x:c r="M2191" s="39" t="str">
        <x:v>تولید و کارآفرینی: توانایی تولید محصول و خدمات و ایجاد شغل.</x:v>
      </x:c>
      <x:c r="N2191" s="39" t="str">
        <x:v>1154878548.docx::P6790.1</x:v>
      </x:c>
      <x:c r="O2191" s="39"/>
    </x:row>
    <x:row r="2192">
      <x:c r="A2192" s="34" t="str">
        <x:v>☐</x:v>
      </x:c>
      <x:c r="B2192" s="34" t="str">
        <x:v>EX-2164</x:v>
      </x:c>
      <x:c r="C2192" s="34" t="str">
        <x:v>روش تست پروب آنها:</x:v>
      </x:c>
      <x:c r="D2192" s="34" t="str">
        <x:v>POSSIBLE</x:v>
      </x:c>
      <x:c r="E2192" s="34" t="str">
        <x:v>85.5</x:v>
      </x:c>
      <x:c r="F2192" s="34" t="str">
        <x:v>MI-0067</x:v>
      </x:c>
      <x:c r="G2192" s="39" t="str">
        <x:v>یادگیری روش تعامل با افراد گوناگون</x:v>
      </x:c>
      <x:c r="H2192" s="39" t="str">
        <x:v>H1</x:v>
      </x:c>
      <x:c r="I2192" s="39" t="str">
        <x:v>P0</x:v>
      </x:c>
      <x:c r="J2192" s="39" t="str">
        <x:v>H1</x:v>
      </x:c>
      <x:c r="K2192" s="39" t="str">
        <x:v>تطبیق احتمالی با پایه</x:v>
      </x:c>
      <x:c r="L2192" s="39" t="str">
        <x:v>MI-0067</x:v>
      </x:c>
      <x:c r="M2192" s="39" t="str">
        <x:v>یادگیری روش تعامل با افراد گوناگون</x:v>
      </x:c>
      <x:c r="N2192" s="39" t="str">
        <x:v>1154878548.docx::P6791.1 | 1154878548.docx::P6810.1</x:v>
      </x:c>
      <x:c r="O2192" s="39"/>
    </x:row>
    <x:row r="2193">
      <x:c r="A2193" s="34" t="str">
        <x:v>☐</x:v>
      </x:c>
      <x:c r="B2193" s="34" t="str">
        <x:v>EX-2165</x:v>
      </x:c>
      <x:c r="C2193" s="34" t="str">
        <x:v>امکان تعیین بازده جمع‌آوری اجزای جداگانه در یک جاروبرقی را فراهم می‌کند.</x:v>
      </x:c>
      <x:c r="D2193" s="34" t="str">
        <x:v>POSSIBLE</x:v>
      </x:c>
      <x:c r="E2193" s="34" t="str">
        <x:v>85.5</x:v>
      </x:c>
      <x:c r="F2193" s="34" t="str">
        <x:v>MI-0173</x:v>
      </x:c>
      <x:c r="G2193" s="39" t="str">
        <x:v>جستجو در منابع سریع</x:v>
      </x:c>
      <x:c r="H2193" s="39" t="str">
        <x:v>H1</x:v>
      </x:c>
      <x:c r="I2193" s="39" t="str">
        <x:v>P0</x:v>
      </x:c>
      <x:c r="J2193" s="39" t="str">
        <x:v>H1</x:v>
      </x:c>
      <x:c r="K2193" s="39" t="str">
        <x:v>تطبیق احتمالی با پایه</x:v>
      </x:c>
      <x:c r="L2193" s="39" t="str">
        <x:v>MI-0173</x:v>
      </x:c>
      <x:c r="M2193" s="39" t="str">
        <x:v>جستجو در منابع سریع</x:v>
      </x:c>
      <x:c r="N2193" s="39" t="str">
        <x:v>1154878548.docx::P6792.1</x:v>
      </x:c>
      <x:c r="O2193" s="39"/>
    </x:row>
    <x:row r="2194">
      <x:c r="A2194" s="34" t="str">
        <x:v>☐</x:v>
      </x:c>
      <x:c r="B2194" s="34" t="str">
        <x:v>EX-2166</x:v>
      </x:c>
      <x:c r="C2194" s="34" t="str">
        <x:v>درک جامع‌تری از عملکرد جاروبرقی ارائه می‌دهد.</x:v>
      </x:c>
      <x:c r="D2194" s="34" t="str">
        <x:v>POSSIBLE</x:v>
      </x:c>
      <x:c r="E2194" s="34" t="str">
        <x:v>85.5</x:v>
      </x:c>
      <x:c r="F2194" s="34" t="str">
        <x:v>MI-1457</x:v>
      </x:c>
      <x:c r="G2194" s="39" t="str">
        <x:v>سلامت جسمانی: تغذیه سالم، ورزش منظم، خواب کافی، پیشگیری از بیماری ها.</x:v>
      </x:c>
      <x:c r="H2194" s="39" t="str">
        <x:v>H1</x:v>
      </x:c>
      <x:c r="I2194" s="39" t="str">
        <x:v>P0</x:v>
      </x:c>
      <x:c r="J2194" s="39" t="str">
        <x:v>H1</x:v>
      </x:c>
      <x:c r="K2194" s="39" t="str">
        <x:v>تطبیق احتمالی با پایه</x:v>
      </x:c>
      <x:c r="L2194" s="39" t="str">
        <x:v>MI-1457</x:v>
      </x:c>
      <x:c r="M2194" s="39" t="str">
        <x:v>سلامت جسمانی: تغذیه سالم، ورزش منظم، خواب کافی، پیشگیری از بیماری ها.</x:v>
      </x:c>
      <x:c r="N2194" s="39" t="str">
        <x:v>1154878548.docx::P6793.1</x:v>
      </x:c>
      <x:c r="O2194" s="39"/>
    </x:row>
    <x:row r="2195">
      <x:c r="A2195" s="34" t="str">
        <x:v>☐</x:v>
      </x:c>
      <x:c r="B2195" s="34" t="str">
        <x:v>EX-2167</x:v>
      </x:c>
      <x:c r="C2195" s="34" t="str">
        <x:v>می‌تواند در بهینه‌سازی طرح‌های جاروبرقی صنعتی ارزشمند باشد.</x:v>
      </x:c>
      <x:c r="D2195" s="34" t="str">
        <x:v>POSSIBLE</x:v>
      </x:c>
      <x:c r="E2195" s="34" t="str">
        <x:v>85.5</x:v>
      </x:c>
      <x:c r="F2195" s="34" t="str">
        <x:v>MI-2921</x:v>
      </x:c>
      <x:c r="G2195" s="39" t="str">
        <x:v>ساختار تصمیم گیری چگونه باید باشد</x:v>
      </x:c>
      <x:c r="H2195" s="39" t="str">
        <x:v>H1</x:v>
      </x:c>
      <x:c r="I2195" s="39" t="str">
        <x:v>P0</x:v>
      </x:c>
      <x:c r="J2195" s="39" t="str">
        <x:v>H1</x:v>
      </x:c>
      <x:c r="K2195" s="39" t="str">
        <x:v>تطبیق احتمالی با پایه</x:v>
      </x:c>
      <x:c r="L2195" s="39" t="str">
        <x:v>MI-2921</x:v>
      </x:c>
      <x:c r="M2195" s="39" t="str">
        <x:v>ساختار تصمیم گیری چگونه باید باشد</x:v>
      </x:c>
      <x:c r="N2195" s="39" t="str">
        <x:v>1154878548.docx::P6794.1</x:v>
      </x:c>
      <x:c r="O2195" s="39"/>
    </x:row>
    <x:row r="2196">
      <x:c r="A2196" s="34" t="str">
        <x:v>☐</x:v>
      </x:c>
      <x:c r="B2196" s="34" t="str">
        <x:v>EX-2168</x:v>
      </x:c>
      <x:c r="C2196" s="34" t="str">
        <x:v>عناصر طراحی مکانیکی</x:v>
      </x:c>
      <x:c r="D2196" s="34" t="str">
        <x:v>POSSIBLE</x:v>
      </x:c>
      <x:c r="E2196" s="34" t="str">
        <x:v>85.5</x:v>
      </x:c>
      <x:c r="F2196" s="34" t="str">
        <x:v>MI-1678</x:v>
      </x:c>
      <x:c r="G2196" s="39" t="str">
        <x:v>اگر درست طراحی شود، مازندران می تواند تبدیل شود به:</x:v>
      </x:c>
      <x:c r="H2196" s="39" t="str">
        <x:v>H2</x:v>
      </x:c>
      <x:c r="I2196" s="39" t="str">
        <x:v>P3/CLARIFY</x:v>
      </x:c>
      <x:c r="J2196" s="39" t="str">
        <x:v>H2</x:v>
      </x:c>
      <x:c r="K2196" s="39" t="str">
        <x:v>تطبیق احتمالی با پایه</x:v>
      </x:c>
      <x:c r="L2196" s="39" t="str">
        <x:v>MI-1678</x:v>
      </x:c>
      <x:c r="M2196" s="39" t="str">
        <x:v>اگر درست طراحی شود، مازندران می تواند تبدیل شود به:</x:v>
      </x:c>
      <x:c r="N2196" s="39" t="str">
        <x:v>1154878548.docx::P6795.1</x:v>
      </x:c>
      <x:c r="O2196" s="39"/>
    </x:row>
    <x:row r="2197">
      <x:c r="A2197" s="34" t="str">
        <x:v>☐</x:v>
      </x:c>
      <x:c r="B2197" s="34" t="str">
        <x:v>EX-2169</x:v>
      </x:c>
      <x:c r="C2197" s="34" t="str">
        <x:v>پیکربندی‌های مکانیسم خلاء</x:v>
      </x:c>
      <x:c r="D2197" s="34" t="str">
        <x:v>POSSIBLE</x:v>
      </x:c>
      <x:c r="E2197" s="34" t="str">
        <x:v>85.5</x:v>
      </x:c>
      <x:c r="F2197" s="34" t="str">
        <x:v>MI-1501</x:v>
      </x:c>
      <x:c r="G2197" s="39" t="str">
        <x:v>مدیریت ریسک: شناسایی ریسک ها، ارزیابی اثرات، تدوین برنامه های مقابله با ریسک ها.</x:v>
      </x:c>
      <x:c r="H2197" s="39" t="str">
        <x:v>H1</x:v>
      </x:c>
      <x:c r="I2197" s="39" t="str">
        <x:v>P0</x:v>
      </x:c>
      <x:c r="J2197" s="39" t="str">
        <x:v>H1</x:v>
      </x:c>
      <x:c r="K2197" s="39" t="str">
        <x:v>تطبیق احتمالی با پایه</x:v>
      </x:c>
      <x:c r="L2197" s="39" t="str">
        <x:v>MI-1501</x:v>
      </x:c>
      <x:c r="M2197" s="39" t="str">
        <x:v>مدیریت ریسک: شناسایی ریسک ها، ارزیابی اثرات، تدوین برنامه های مقابله با ریسک ها.</x:v>
      </x:c>
      <x:c r="N2197" s="39" t="str">
        <x:v>1154878548.docx::P6796.1</x:v>
      </x:c>
      <x:c r="O2197" s="39"/>
    </x:row>
    <x:row r="2198">
      <x:c r="A2198" s="34" t="str">
        <x:v>☐</x:v>
      </x:c>
      <x:c r="B2198" s="34" t="str">
        <x:v>EX-2170</x:v>
      </x:c>
      <x:c r="C2198" s="34" t="str">
        <x:v>اکثر مطالعات بر روی جاروبرقی‌های سنتی با موتور الکتریکی تمرکز دارند.</x:v>
      </x:c>
      <x:c r="D2198" s="34" t="str">
        <x:v>POSSIBLE</x:v>
      </x:c>
      <x:c r="E2198" s="34" t="str">
        <x:v>85.5</x:v>
      </x:c>
      <x:c r="F2198" s="34" t="str">
        <x:v>MI-1503</x:v>
      </x:c>
      <x:c r="G2198" s="39" t="str">
        <x:v>مدیریت زمان: اولویت بندی، برنامه ریزی، تمرکز.</x:v>
      </x:c>
      <x:c r="H2198" s="39" t="str">
        <x:v>H1</x:v>
      </x:c>
      <x:c r="I2198" s="39" t="str">
        <x:v>P0</x:v>
      </x:c>
      <x:c r="J2198" s="39" t="str">
        <x:v>H1</x:v>
      </x:c>
      <x:c r="K2198" s="39" t="str">
        <x:v>تطبیق احتمالی با پایه</x:v>
      </x:c>
      <x:c r="L2198" s="39" t="str">
        <x:v>MI-1503</x:v>
      </x:c>
      <x:c r="M2198" s="39" t="str">
        <x:v>مدیریت زمان: اولویت بندی، برنامه ریزی، تمرکز.</x:v>
      </x:c>
      <x:c r="N2198" s="39" t="str">
        <x:v>1154878548.docx::P6797.1</x:v>
      </x:c>
      <x:c r="O2198" s="39"/>
    </x:row>
    <x:row r="2199">
      <x:c r="A2199" s="34" t="str">
        <x:v>☐</x:v>
      </x:c>
      <x:c r="B2199" s="34" t="str">
        <x:v>EX-2171</x:v>
      </x:c>
      <x:c r="C2199" s="34" t="str">
        <x:v>جولیانتو و حنیفی (2021) یک طرح نوآورانه را بررسی می‌کنند:</x:v>
      </x:c>
      <x:c r="D2199" s="34" t="str">
        <x:v>POSSIBLE</x:v>
      </x:c>
      <x:c r="E2199" s="34" t="str">
        <x:v>85.5</x:v>
      </x:c>
      <x:c r="F2199" s="34" t="str">
        <x:v>MI-0029</x:v>
      </x:c>
      <x:c r="G2199" s="39" t="str">
        <x:v>تدریس ریاضی و فیزیک</x:v>
      </x:c>
      <x:c r="H2199" s="39" t="str">
        <x:v>H1</x:v>
      </x:c>
      <x:c r="I2199" s="39" t="str">
        <x:v>P0</x:v>
      </x:c>
      <x:c r="J2199" s="39" t="str">
        <x:v>H1</x:v>
      </x:c>
      <x:c r="K2199" s="39" t="str">
        <x:v>تطبیق احتمالی با پایه</x:v>
      </x:c>
      <x:c r="L2199" s="39" t="str">
        <x:v>MI-0029</x:v>
      </x:c>
      <x:c r="M2199" s="39" t="str">
        <x:v>تدریس ریاضی و فیزیک</x:v>
      </x:c>
      <x:c r="N2199" s="39" t="str">
        <x:v>1154878548.docx::P6798.1</x:v>
      </x:c>
      <x:c r="O2199" s="39"/>
    </x:row>
    <x:row r="2200">
      <x:c r="A2200" s="34" t="str">
        <x:v>☐</x:v>
      </x:c>
      <x:c r="B2200" s="34" t="str">
        <x:v>EX-2172</x:v>
      </x:c>
      <x:c r="C2200" s="34" t="str">
        <x:v>از هوای فشرده و اصل اثر ونتوری استفاده می‌کند.</x:v>
      </x:c>
      <x:c r="D2200" s="34" t="str">
        <x:v>POSSIBLE</x:v>
      </x:c>
      <x:c r="E2200" s="34" t="str">
        <x:v>85.5</x:v>
      </x:c>
      <x:c r="F2200" s="34" t="str">
        <x:v>MI-0029</x:v>
      </x:c>
      <x:c r="G2200" s="39" t="str">
        <x:v>تدریس ریاضی و فیزیک</x:v>
      </x:c>
      <x:c r="H2200" s="39" t="str">
        <x:v>H1</x:v>
      </x:c>
      <x:c r="I2200" s="39" t="str">
        <x:v>P0</x:v>
      </x:c>
      <x:c r="J2200" s="39" t="str">
        <x:v>H1</x:v>
      </x:c>
      <x:c r="K2200" s="39" t="str">
        <x:v>تطبیق احتمالی با پایه</x:v>
      </x:c>
      <x:c r="L2200" s="39" t="str">
        <x:v>MI-0029</x:v>
      </x:c>
      <x:c r="M2200" s="39" t="str">
        <x:v>تدریس ریاضی و فیزیک</x:v>
      </x:c>
      <x:c r="N2200" s="39" t="str">
        <x:v>1154878548.docx::P6799.1</x:v>
      </x:c>
      <x:c r="O2200" s="39"/>
    </x:row>
    <x:row r="2201">
      <x:c r="A2201" s="34" t="str">
        <x:v>☐</x:v>
      </x:c>
      <x:c r="B2201" s="34" t="str">
        <x:v>EX-2173</x:v>
      </x:c>
      <x:c r="C2201" s="34" t="str">
        <x:v>برای محیط‌های صنعتی با سیستم‌های توزیع هوای فشرده موجود در نظر گرفته شده است.</x:v>
      </x:c>
      <x:c r="D2201" s="34" t="str">
        <x:v>POSSIBLE</x:v>
      </x:c>
      <x:c r="E2201" s="34" t="str">
        <x:v>85.5</x:v>
      </x:c>
      <x:c r="F2201" s="34" t="str">
        <x:v>MI-0019</x:v>
      </x:c>
      <x:c r="G2201" s="39" t="str">
        <x:v>آشنایی با نرم افزار املاک</x:v>
      </x:c>
      <x:c r="H2201" s="39" t="str">
        <x:v>H1</x:v>
      </x:c>
      <x:c r="I2201" s="39" t="str">
        <x:v>P0</x:v>
      </x:c>
      <x:c r="J2201" s="39" t="str">
        <x:v>H1</x:v>
      </x:c>
      <x:c r="K2201" s="39" t="str">
        <x:v>تطبیق احتمالی با پایه</x:v>
      </x:c>
      <x:c r="L2201" s="39" t="str">
        <x:v>MI-0019</x:v>
      </x:c>
      <x:c r="M2201" s="39" t="str">
        <x:v>آشنایی با نرم افزار املاک</x:v>
      </x:c>
      <x:c r="N2201" s="39" t="str">
        <x:v>1154878548.docx::P6800.1</x:v>
      </x:c>
      <x:c r="O2201" s="39"/>
    </x:row>
    <x:row r="2202">
      <x:c r="A2202" s="34" t="str">
        <x:v>☐</x:v>
      </x:c>
      <x:c r="B2202" s="34" t="str">
        <x:v>EX-2174</x:v>
      </x:c>
      <x:c r="C2202" s="34" t="str">
        <x:v>نشان دهنده یک جایگزین بالقوه برای مکانیسم‌های خلاء معمولی در برخی از محیط‌های صنعتی است.</x:v>
      </x:c>
      <x:c r="D2202" s="34" t="str">
        <x:v>POSSIBLE</x:v>
      </x:c>
      <x:c r="E2202" s="34" t="str">
        <x:v>85.5</x:v>
      </x:c>
      <x:c r="F2202" s="34" t="str">
        <x:v>MI-0021</x:v>
      </x:c>
      <x:c r="G2202" s="39" t="str">
        <x:v>برنامه ریزی بسیار جدی تر برای دروس دانشگاه نوشیروانی بابل</x:v>
      </x:c>
      <x:c r="H2202" s="39" t="str">
        <x:v>H1</x:v>
      </x:c>
      <x:c r="I2202" s="39" t="str">
        <x:v>P0</x:v>
      </x:c>
      <x:c r="J2202" s="39" t="str">
        <x:v>H1</x:v>
      </x:c>
      <x:c r="K2202" s="39" t="str">
        <x:v>تطبیق احتمالی با پایه</x:v>
      </x:c>
      <x:c r="L2202" s="39" t="str">
        <x:v>MI-0021</x:v>
      </x:c>
      <x:c r="M2202" s="39" t="str">
        <x:v>برنامه ریزی بسیار جدی تر برای دروس دانشگاه نوشیروانی بابل</x:v>
      </x:c>
      <x:c r="N2202" s="39" t="str">
        <x:v>1154878548.docx::P6801.1</x:v>
      </x:c>
      <x:c r="O2202" s="39"/>
    </x:row>
    <x:row r="2203">
      <x:c r="A2203" s="34" t="str">
        <x:v>☐</x:v>
      </x:c>
      <x:c r="B2203" s="34" t="str">
        <x:v>EX-2175</x:v>
      </x:c>
      <x:c r="C2203" s="34" t="str">
        <x:v>سیستم‌های جمع‌آوری ذرات</x:v>
      </x:c>
      <x:c r="D2203" s="34" t="str">
        <x:v>POSSIBLE</x:v>
      </x:c>
      <x:c r="E2203" s="34" t="str">
        <x:v>85.5</x:v>
      </x:c>
      <x:c r="F2203" s="34" t="str">
        <x:v>MI-1501</x:v>
      </x:c>
      <x:c r="G2203" s="39" t="str">
        <x:v>مدیریت ریسک: شناسایی ریسک ها، ارزیابی اثرات، تدوین برنامه های مقابله با ریسک ها.</x:v>
      </x:c>
      <x:c r="H2203" s="39" t="str">
        <x:v>H1</x:v>
      </x:c>
      <x:c r="I2203" s="39" t="str">
        <x:v>P0</x:v>
      </x:c>
      <x:c r="J2203" s="39" t="str">
        <x:v>H1</x:v>
      </x:c>
      <x:c r="K2203" s="39" t="str">
        <x:v>تطبیق احتمالی با پایه</x:v>
      </x:c>
      <x:c r="L2203" s="39" t="str">
        <x:v>MI-1501</x:v>
      </x:c>
      <x:c r="M2203" s="39" t="str">
        <x:v>مدیریت ریسک: شناسایی ریسک ها، ارزیابی اثرات، تدوین برنامه های مقابله با ریسک ها.</x:v>
      </x:c>
      <x:c r="N2203" s="39" t="str">
        <x:v>1154878548.docx::P6802.1</x:v>
      </x:c>
      <x:c r="O2203" s="39"/>
    </x:row>
    <x:row r="2204">
      <x:c r="A2204" s="34" t="str">
        <x:v>☐</x:v>
      </x:c>
      <x:c r="B2204" s="34" t="str">
        <x:v>EX-2176</x:v>
      </x:c>
      <x:c r="C2204" s="34" t="str">
        <x:v>کائو و همکاران (2001) دستگاهی را برای فیلتر کردن مواد ذره‌ای از هوا شرح می‌دهند:</x:v>
      </x:c>
      <x:c r="D2204" s="34" t="str">
        <x:v>POSSIBLE</x:v>
      </x:c>
      <x:c r="E2204" s="34" t="str">
        <x:v>85.5</x:v>
      </x:c>
      <x:c r="F2204" s="34" t="str">
        <x:v>MI-0022</x:v>
      </x:c>
      <x:c r="G2204" s="39" t="str">
        <x:v>برنامه ریزی جدی برای دروس دانشگاه پیام نور</x:v>
      </x:c>
      <x:c r="H2204" s="39" t="str">
        <x:v>H1</x:v>
      </x:c>
      <x:c r="I2204" s="39" t="str">
        <x:v>P0</x:v>
      </x:c>
      <x:c r="J2204" s="39" t="str">
        <x:v>H1</x:v>
      </x:c>
      <x:c r="K2204" s="39" t="str">
        <x:v>تطبیق احتمالی با پایه</x:v>
      </x:c>
      <x:c r="L2204" s="39" t="str">
        <x:v>MI-0022</x:v>
      </x:c>
      <x:c r="M2204" s="39" t="str">
        <x:v>برنامه ریزی جدی برای دروس دانشگاه پیام نور</x:v>
      </x:c>
      <x:c r="N2204" s="39" t="str">
        <x:v>1154878548.docx::P6803.1</x:v>
      </x:c>
      <x:c r="O2204" s="39"/>
    </x:row>
    <x:row r="2205">
      <x:c r="A2205" s="34" t="str">
        <x:v>☐</x:v>
      </x:c>
      <x:c r="B2205" s="34" t="str">
        <x:v>EX-2177</x:v>
      </x:c>
      <x:c r="C2205" s="34" t="str">
        <x:v>شامل یک فیلتر طولی دراز شونده توخالی است.</x:v>
      </x:c>
      <x:c r="D2205" s="34" t="str">
        <x:v>POSSIBLE</x:v>
      </x:c>
      <x:c r="E2205" s="34" t="str">
        <x:v>85.5</x:v>
      </x:c>
      <x:c r="F2205" s="34" t="str">
        <x:v>MI-3035</x:v>
      </x:c>
      <x:c r="G2205" s="39" t="str">
        <x:v>سه سطح تصمیم گیری نیاز است.</x:v>
      </x:c>
      <x:c r="H2205" s="39" t="str">
        <x:v>H1</x:v>
      </x:c>
      <x:c r="I2205" s="39" t="str">
        <x:v>P0</x:v>
      </x:c>
      <x:c r="J2205" s="39" t="str">
        <x:v>H1</x:v>
      </x:c>
      <x:c r="K2205" s="39" t="str">
        <x:v>تطبیق احتمالی با پایه</x:v>
      </x:c>
      <x:c r="L2205" s="39" t="str">
        <x:v>MI-3035</x:v>
      </x:c>
      <x:c r="M2205" s="39" t="str">
        <x:v>سه سطح تصمیم گیری نیاز است.</x:v>
      </x:c>
      <x:c r="N2205" s="39" t="str">
        <x:v>1154878548.docx::P6804.1</x:v>
      </x:c>
      <x:c r="O2205" s="39"/>
    </x:row>
    <x:row r="2206">
      <x:c r="A2206" s="34" t="str">
        <x:v>☐</x:v>
      </x:c>
      <x:c r="B2206" s="34" t="str">
        <x:v>EX-2178</x:v>
      </x:c>
      <x:c r="C2206" s="34" t="str">
        <x:v>فیلتر دارای یک "پیکربندی نسبتاً صلب است اما همچنان قادر به تغییر شکل است".</x:v>
      </x:c>
      <x:c r="D2206" s="34" t="str">
        <x:v>POSSIBLE</x:v>
      </x:c>
      <x:c r="E2206" s="34" t="str">
        <x:v>85.5</x:v>
      </x:c>
      <x:c r="F2206" s="34" t="str">
        <x:v>MI-3063</x:v>
      </x:c>
      <x:c r="G2206"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2206" s="39" t="str">
        <x:v>H1</x:v>
      </x:c>
      <x:c r="I2206" s="39" t="str">
        <x:v>P0</x:v>
      </x:c>
      <x:c r="J2206" s="39" t="str">
        <x:v>H1</x:v>
      </x:c>
      <x:c r="K2206" s="39" t="str">
        <x:v>تطبیق احتمالی با پایه</x:v>
      </x:c>
      <x:c r="L2206" s="39" t="str">
        <x:v>MI-3063</x:v>
      </x:c>
      <x:c r="M2206"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2206" s="39" t="str">
        <x:v>1154878548.docx::P6805.1</x:v>
      </x:c>
      <x:c r="O2206" s="39"/>
    </x:row>
    <x:row r="2207">
      <x:c r="A2207" s="34" t="str">
        <x:v>☐</x:v>
      </x:c>
      <x:c r="B2207" s="34" t="str">
        <x:v>EX-2179</x:v>
      </x:c>
      <x:c r="C2207" s="34" t="str">
        <x:v>طراحی شامل مکانیزمی برای حرکت دادن یک صفحه برای تغییر شکل فیلتر و حذف مواد ذره‌ای جمع‌آوری شده است.</x:v>
      </x:c>
      <x:c r="D2207" s="34" t="str">
        <x:v>POSSIBLE</x:v>
      </x:c>
      <x:c r="E2207" s="34" t="str">
        <x:v>85.5</x:v>
      </x:c>
      <x:c r="F2207" s="34" t="str">
        <x:v>MI-1513</x:v>
      </x:c>
      <x:c r="G2207" s="39" t="str">
        <x:v>تولید و کارآفرینی: توانایی تولید محصول و خدمات و ایجاد شغل.</x:v>
      </x:c>
      <x:c r="H2207" s="39" t="str">
        <x:v>H1</x:v>
      </x:c>
      <x:c r="I2207" s="39" t="str">
        <x:v>P0</x:v>
      </x:c>
      <x:c r="J2207" s="39" t="str">
        <x:v>H1</x:v>
      </x:c>
      <x:c r="K2207" s="39" t="str">
        <x:v>تطبیق احتمالی با پایه</x:v>
      </x:c>
      <x:c r="L2207" s="39" t="str">
        <x:v>MI-1513</x:v>
      </x:c>
      <x:c r="M2207" s="39" t="str">
        <x:v>تولید و کارآفرینی: توانایی تولید محصول و خدمات و ایجاد شغل.</x:v>
      </x:c>
      <x:c r="N2207" s="39" t="str">
        <x:v>1154878548.docx::P6806.1</x:v>
      </x:c>
      <x:c r="O2207" s="39"/>
    </x:row>
    <x:row r="2208">
      <x:c r="A2208" s="34" t="str">
        <x:v>☐</x:v>
      </x:c>
      <x:c r="B2208" s="34" t="str">
        <x:v>EX-2180</x:v>
      </x:c>
      <x:c r="C2208" s="34" t="str">
        <x:v>نشان دهنده یک رویکرد نوآورانه برای جمع‌آوری ذرات و تمیز کردن فیلتر در سیستم‌های فیلتراسیون هوا است.</x:v>
      </x:c>
      <x:c r="D2208" s="34" t="str">
        <x:v>POSSIBLE</x:v>
      </x:c>
      <x:c r="E2208" s="34" t="str">
        <x:v>85.5</x:v>
      </x:c>
      <x:c r="F2208" s="34" t="str">
        <x:v>MI-1513</x:v>
      </x:c>
      <x:c r="G2208" s="39" t="str">
        <x:v>تولید و کارآفرینی: توانایی تولید محصول و خدمات و ایجاد شغل.</x:v>
      </x:c>
      <x:c r="H2208" s="39" t="str">
        <x:v>H1</x:v>
      </x:c>
      <x:c r="I2208" s="39" t="str">
        <x:v>P0</x:v>
      </x:c>
      <x:c r="J2208" s="39" t="str">
        <x:v>H1</x:v>
      </x:c>
      <x:c r="K2208" s="39" t="str">
        <x:v>تطبیق احتمالی با پایه</x:v>
      </x:c>
      <x:c r="L2208" s="39" t="str">
        <x:v>MI-1513</x:v>
      </x:c>
      <x:c r="M2208" s="39" t="str">
        <x:v>تولید و کارآفرینی: توانایی تولید محصول و خدمات و ایجاد شغل.</x:v>
      </x:c>
      <x:c r="N2208" s="39" t="str">
        <x:v>1154878548.docx::P6807.1</x:v>
      </x:c>
      <x:c r="O2208" s="39"/>
    </x:row>
    <x:row r="2209">
      <x:c r="A2209" s="34" t="str">
        <x:v>☐</x:v>
      </x:c>
      <x:c r="B2209" s="34" t="str">
        <x:v>EX-2181</x:v>
      </x:c>
      <x:c r="C2209" s="34" t="str">
        <x:v>رویکردهای یکپارچه‌سازی قطعات</x:v>
      </x:c>
      <x:c r="D2209" s="34" t="str">
        <x:v>POSSIBLE</x:v>
      </x:c>
      <x:c r="E2209" s="34" t="str">
        <x:v>85.5</x:v>
      </x:c>
      <x:c r="F2209" s="34" t="str">
        <x:v>MI-0090</x:v>
      </x:c>
      <x:c r="G2209" s="39" t="str">
        <x:v>مهارت شبکه سازی</x:v>
      </x:c>
      <x:c r="H2209" s="39" t="str">
        <x:v>H1</x:v>
      </x:c>
      <x:c r="I2209" s="39" t="str">
        <x:v>P0</x:v>
      </x:c>
      <x:c r="J2209" s="39" t="str">
        <x:v>H1</x:v>
      </x:c>
      <x:c r="K2209" s="39" t="str">
        <x:v>تطبیق احتمالی با پایه</x:v>
      </x:c>
      <x:c r="L2209" s="39" t="str">
        <x:v>MI-0090</x:v>
      </x:c>
      <x:c r="M2209" s="39" t="str">
        <x:v>مهارت شبکه سازی</x:v>
      </x:c>
      <x:c r="N2209" s="39" t="str">
        <x:v>1154878548.docx::P6808.1</x:v>
      </x:c>
      <x:c r="O2209" s="39"/>
    </x:row>
    <x:row r="2210">
      <x:c r="A2210" s="34" t="str">
        <x:v>☐</x:v>
      </x:c>
      <x:c r="B2210" s="34" t="str">
        <x:v>EX-2182</x:v>
      </x:c>
      <x:c r="C2210" s="34" t="str">
        <x:v>ویلکه و همکاران (2001) بر اهمیت درک عملکرد اجزای جداگانه در یک سیستم جاروبرقی تأکید می‌کنند.</x:v>
      </x:c>
      <x:c r="D2210" s="34" t="str">
        <x:v>POSSIBLE</x:v>
      </x:c>
      <x:c r="E2210" s="34" t="str">
        <x:v>85.5</x:v>
      </x:c>
      <x:c r="F2210" s="34" t="str">
        <x:v>MI-1513</x:v>
      </x:c>
      <x:c r="G2210" s="39" t="str">
        <x:v>تولید و کارآفرینی: توانایی تولید محصول و خدمات و ایجاد شغل.</x:v>
      </x:c>
      <x:c r="H2210" s="39" t="str">
        <x:v>H1</x:v>
      </x:c>
      <x:c r="I2210" s="39" t="str">
        <x:v>P0</x:v>
      </x:c>
      <x:c r="J2210" s="39" t="str">
        <x:v>H1</x:v>
      </x:c>
      <x:c r="K2210" s="39" t="str">
        <x:v>تطبیق احتمالی با پایه</x:v>
      </x:c>
      <x:c r="L2210" s="39" t="str">
        <x:v>MI-1513</x:v>
      </x:c>
      <x:c r="M2210" s="39" t="str">
        <x:v>تولید و کارآفرینی: توانایی تولید محصول و خدمات و ایجاد شغل.</x:v>
      </x:c>
      <x:c r="N2210" s="39" t="str">
        <x:v>1154878548.docx::P6809.1</x:v>
      </x:c>
      <x:c r="O2210" s="39"/>
    </x:row>
    <x:row r="2211">
      <x:c r="A2211" s="34" t="str">
        <x:v>☐</x:v>
      </x:c>
      <x:c r="B2211" s="34" t="str">
        <x:v>EX-2183</x:v>
      </x:c>
      <x:c r="C2211" s="34" t="str">
        <x:v>امکان ارزیابی بازده جمع‌آوری اجزای جداگانه را فراهم می‌کند.</x:v>
      </x:c>
      <x:c r="D2211" s="34" t="str">
        <x:v>POSSIBLE</x:v>
      </x:c>
      <x:c r="E2211" s="34" t="str">
        <x:v>85.5</x:v>
      </x:c>
      <x:c r="F2211" s="34" t="str">
        <x:v>MI-1536</x:v>
      </x:c>
      <x:c r="G2211" s="39" t="str">
        <x:v>جمع آوری اطلاعات از روایات و داستان ها</x:v>
      </x:c>
      <x:c r="H2211" s="39" t="str">
        <x:v>H1</x:v>
      </x:c>
      <x:c r="I2211" s="39" t="str">
        <x:v>BANK</x:v>
      </x:c>
      <x:c r="J2211" s="39" t="str">
        <x:v>H1</x:v>
      </x:c>
      <x:c r="K2211" s="39" t="str">
        <x:v>تطبیق احتمالی با پایه</x:v>
      </x:c>
      <x:c r="L2211" s="39" t="str">
        <x:v>MI-1536</x:v>
      </x:c>
      <x:c r="M2211" s="39" t="str">
        <x:v>جمع آوری اطلاعات از روایات و داستان ها</x:v>
      </x:c>
      <x:c r="N2211" s="39" t="str">
        <x:v>1154878548.docx::P6811.1</x:v>
      </x:c>
      <x:c r="O2211" s="39"/>
    </x:row>
    <x:row r="2212">
      <x:c r="A2212" s="34" t="str">
        <x:v>☐</x:v>
      </x:c>
      <x:c r="B2212" s="34" t="str">
        <x:v>EX-2184</x:v>
      </x:c>
      <x:c r="C2212" s="34" t="str">
        <x:v>می‌تواند به یکپارچه‌سازی مؤثرتر اجزا در طرح‌های جاروبرقی صنعتی کمک کند.</x:v>
      </x:c>
      <x:c r="D2212" s="34" t="str">
        <x:v>POSSIBLE</x:v>
      </x:c>
      <x:c r="E2212" s="34" t="str">
        <x:v>85.5</x:v>
      </x:c>
      <x:c r="F2212" s="34" t="str">
        <x:v>MI-0090</x:v>
      </x:c>
      <x:c r="G2212" s="39" t="str">
        <x:v>مهارت شبکه سازی</x:v>
      </x:c>
      <x:c r="H2212" s="39" t="str">
        <x:v>H1</x:v>
      </x:c>
      <x:c r="I2212" s="39" t="str">
        <x:v>P0</x:v>
      </x:c>
      <x:c r="J2212" s="39" t="str">
        <x:v>H1</x:v>
      </x:c>
      <x:c r="K2212" s="39" t="str">
        <x:v>تطبیق احتمالی با پایه</x:v>
      </x:c>
      <x:c r="L2212" s="39" t="str">
        <x:v>MI-0090</x:v>
      </x:c>
      <x:c r="M2212" s="39" t="str">
        <x:v>مهارت شبکه سازی</x:v>
      </x:c>
      <x:c r="N2212" s="39" t="str">
        <x:v>1154878548.docx::P6812.1</x:v>
      </x:c>
      <x:c r="O2212" s="39"/>
    </x:row>
    <x:row r="2213">
      <x:c r="A2213" s="34" t="str">
        <x:v>☐</x:v>
      </x:c>
      <x:c r="B2213" s="34" t="str">
        <x:v>EX-2185</x:v>
      </x:c>
      <x:c r="C2213" s="34" t="str">
        <x:v>ویژگی‌های بهینه‌سازی عملکرد</x:v>
      </x:c>
      <x:c r="D2213" s="34" t="str">
        <x:v>POSSIBLE</x:v>
      </x:c>
      <x:c r="E2213" s="34" t="str">
        <x:v>85.5</x:v>
      </x:c>
      <x:c r="F2213" s="34" t="str">
        <x:v>MI-1501</x:v>
      </x:c>
      <x:c r="G2213" s="39" t="str">
        <x:v>مدیریت ریسک: شناسایی ریسک ها، ارزیابی اثرات، تدوین برنامه های مقابله با ریسک ها.</x:v>
      </x:c>
      <x:c r="H2213" s="39" t="str">
        <x:v>H1</x:v>
      </x:c>
      <x:c r="I2213" s="39" t="str">
        <x:v>P0</x:v>
      </x:c>
      <x:c r="J2213" s="39" t="str">
        <x:v>H1</x:v>
      </x:c>
      <x:c r="K2213" s="39" t="str">
        <x:v>تطبیق احتمالی با پایه</x:v>
      </x:c>
      <x:c r="L2213" s="39" t="str">
        <x:v>MI-1501</x:v>
      </x:c>
      <x:c r="M2213" s="39" t="str">
        <x:v>مدیریت ریسک: شناسایی ریسک ها، ارزیابی اثرات، تدوین برنامه های مقابله با ریسک ها.</x:v>
      </x:c>
      <x:c r="N2213" s="39" t="str">
        <x:v>1154878548.docx::P6813.1</x:v>
      </x:c>
      <x:c r="O2213" s="39"/>
    </x:row>
    <x:row r="2214">
      <x:c r="A2214" s="34" t="str">
        <x:v>☐</x:v>
      </x:c>
      <x:c r="B2214" s="34" t="str">
        <x:v>EX-2186</x:v>
      </x:c>
      <x:c r="C2214" s="34" t="str">
        <x:v>معیارهای کارایی</x:v>
      </x:c>
      <x:c r="D2214" s="34" t="str">
        <x:v>POSSIBLE</x:v>
      </x:c>
      <x:c r="E2214" s="34" t="str">
        <x:v>90.0</x:v>
      </x:c>
      <x:c r="F2214" s="34" t="str">
        <x:v>MI-2545</x:v>
      </x:c>
      <x:c r="G2214" s="39" t="str">
        <x:v>کار:</x:v>
      </x:c>
      <x:c r="H2214" s="39" t="str">
        <x:v>H20</x:v>
      </x:c>
      <x:c r="I2214" s="39" t="str">
        <x:v>P3/CLARIFY</x:v>
      </x:c>
      <x:c r="J2214" s="39" t="str">
        <x:v>H20</x:v>
      </x:c>
      <x:c r="K2214" s="39" t="str">
        <x:v>تطبیق احتمالی با پایه</x:v>
      </x:c>
      <x:c r="L2214" s="39" t="str">
        <x:v>MI-2545</x:v>
      </x:c>
      <x:c r="M2214" s="39" t="str">
        <x:v>کار:</x:v>
      </x:c>
      <x:c r="N2214" s="39" t="str">
        <x:v>1154878548.docx::P6814.1</x:v>
      </x:c>
      <x:c r="O2214" s="39"/>
    </x:row>
    <x:row r="2215">
      <x:c r="A2215" s="34" t="str">
        <x:v>☐</x:v>
      </x:c>
      <x:c r="B2215" s="34" t="str">
        <x:v>EX-2187</x:v>
      </x:c>
      <x:c r="C2215" s="34" t="str">
        <x:v>رویکردهای مختلفی برای اندازه‌گیری کارایی جاروبرقی وجود دارد:</x:v>
      </x:c>
      <x:c r="D2215" s="34" t="str">
        <x:v>POSSIBLE</x:v>
      </x:c>
      <x:c r="E2215" s="34" t="str">
        <x:v>90.0</x:v>
      </x:c>
      <x:c r="F2215" s="34" t="str">
        <x:v>MI-2773</x:v>
      </x:c>
      <x:c r="G2215" s="39" t="str">
        <x:v>وجود دارد.</x:v>
      </x:c>
      <x:c r="H2215" s="39" t="str">
        <x:v>H20</x:v>
      </x:c>
      <x:c r="I2215" s="39" t="str">
        <x:v>P3/CLARIFY</x:v>
      </x:c>
      <x:c r="J2215" s="39" t="str">
        <x:v>H20</x:v>
      </x:c>
      <x:c r="K2215" s="39" t="str">
        <x:v>تطبیق احتمالی با پایه</x:v>
      </x:c>
      <x:c r="L2215" s="39" t="str">
        <x:v>MI-2773</x:v>
      </x:c>
      <x:c r="M2215" s="39" t="str">
        <x:v>وجود دارد.</x:v>
      </x:c>
      <x:c r="N2215" s="39" t="str">
        <x:v>1154878548.docx::P6815.1</x:v>
      </x:c>
      <x:c r="O2215" s="39"/>
    </x:row>
    <x:row r="2216">
      <x:c r="A2216" s="34" t="str">
        <x:v>☐</x:v>
      </x:c>
      <x:c r="B2216" s="34" t="str">
        <x:v>EX-2188</x:v>
      </x:c>
      <x:c r="C2216" s="34" t="str">
        <x:v>تراکوماس و همکاران (2001) و ویلکه و همکاران (2001) بر روی کارایی کلی فیلتراسیون تمرکز دارند.</x:v>
      </x:c>
      <x:c r="D2216" s="34" t="str">
        <x:v>POSSIBLE</x:v>
      </x:c>
      <x:c r="E2216" s="34" t="str">
        <x:v>85.5</x:v>
      </x:c>
      <x:c r="F2216" s="34" t="str">
        <x:v>MI-1503</x:v>
      </x:c>
      <x:c r="G2216" s="39" t="str">
        <x:v>مدیریت زمان: اولویت بندی، برنامه ریزی، تمرکز.</x:v>
      </x:c>
      <x:c r="H2216" s="39" t="str">
        <x:v>H1</x:v>
      </x:c>
      <x:c r="I2216" s="39" t="str">
        <x:v>P0</x:v>
      </x:c>
      <x:c r="J2216" s="39" t="str">
        <x:v>H1</x:v>
      </x:c>
      <x:c r="K2216" s="39" t="str">
        <x:v>تطبیق احتمالی با پایه</x:v>
      </x:c>
      <x:c r="L2216" s="39" t="str">
        <x:v>MI-1503</x:v>
      </x:c>
      <x:c r="M2216" s="39" t="str">
        <x:v>مدیریت زمان: اولویت بندی، برنامه ریزی، تمرکز.</x:v>
      </x:c>
      <x:c r="N2216" s="39" t="str">
        <x:v>1154878548.docx::P6816.1</x:v>
      </x:c>
      <x:c r="O2216" s="39"/>
    </x:row>
    <x:row r="2217">
      <x:c r="A2217" s="34" t="str">
        <x:v>☐</x:v>
      </x:c>
      <x:c r="B2217" s="34" t="str">
        <x:v>EX-2189</x:v>
      </x:c>
      <x:c r="C2217" s="34" t="str">
        <x:v>تراکوماس و همکاران بازدهی نزدیک به 100٪ را برای جاروبرقی‌های مجهز به HEPA گزارش می‌کنند.</x:v>
      </x:c>
      <x:c r="D2217" s="34" t="str">
        <x:v>POSSIBLE</x:v>
      </x:c>
      <x:c r="E2217" s="34" t="str">
        <x:v>85.5</x:v>
      </x:c>
      <x:c r="F2217" s="34" t="str">
        <x:v>MI-1513</x:v>
      </x:c>
      <x:c r="G2217" s="39" t="str">
        <x:v>تولید و کارآفرینی: توانایی تولید محصول و خدمات و ایجاد شغل.</x:v>
      </x:c>
      <x:c r="H2217" s="39" t="str">
        <x:v>H1</x:v>
      </x:c>
      <x:c r="I2217" s="39" t="str">
        <x:v>P0</x:v>
      </x:c>
      <x:c r="J2217" s="39" t="str">
        <x:v>H1</x:v>
      </x:c>
      <x:c r="K2217" s="39" t="str">
        <x:v>تطبیق احتمالی با پایه</x:v>
      </x:c>
      <x:c r="L2217" s="39" t="str">
        <x:v>MI-1513</x:v>
      </x:c>
      <x:c r="M2217" s="39" t="str">
        <x:v>تولید و کارآفرینی: توانایی تولید محصول و خدمات و ایجاد شغل.</x:v>
      </x:c>
      <x:c r="N2217" s="39" t="str">
        <x:v>1154878548.docx::P6817.1</x:v>
      </x:c>
      <x:c r="O2217" s="39"/>
    </x:row>
    <x:row r="2218">
      <x:c r="A2218" s="34" t="str">
        <x:v>☐</x:v>
      </x:c>
      <x:c r="B2218" s="34" t="str">
        <x:v>EX-2190</x:v>
      </x:c>
      <x:c r="C2218" s="34" t="str">
        <x:v>روش تست پروب ویلکه و همکاران دیدگاه دقیق‌تری از کارایی با اندازه‌گیری عملکرد اجزای جداگانه ارائه می‌دهد.</x:v>
      </x:c>
      <x:c r="D2218" s="34" t="str">
        <x:v>POSSIBLE</x:v>
      </x:c>
      <x:c r="E2218" s="34" t="str">
        <x:v>85.5</x:v>
      </x:c>
      <x:c r="F2218" s="34" t="str">
        <x:v>MI-1513</x:v>
      </x:c>
      <x:c r="G2218" s="39" t="str">
        <x:v>تولید و کارآفرینی: توانایی تولید محصول و خدمات و ایجاد شغل.</x:v>
      </x:c>
      <x:c r="H2218" s="39" t="str">
        <x:v>H1</x:v>
      </x:c>
      <x:c r="I2218" s="39" t="str">
        <x:v>P0</x:v>
      </x:c>
      <x:c r="J2218" s="39" t="str">
        <x:v>H1</x:v>
      </x:c>
      <x:c r="K2218" s="39" t="str">
        <x:v>تطبیق احتمالی با پایه</x:v>
      </x:c>
      <x:c r="L2218" s="39" t="str">
        <x:v>MI-1513</x:v>
      </x:c>
      <x:c r="M2218" s="39" t="str">
        <x:v>تولید و کارآفرینی: توانایی تولید محصول و خدمات و ایجاد شغل.</x:v>
      </x:c>
      <x:c r="N2218" s="39" t="str">
        <x:v>1154878548.docx::P6818.1</x:v>
      </x:c>
      <x:c r="O2218" s="39"/>
    </x:row>
    <x:row r="2219">
      <x:c r="A2219" s="34" t="str">
        <x:v>☐</x:v>
      </x:c>
      <x:c r="B2219" s="34" t="str">
        <x:v>EX-2191</x:v>
      </x:c>
      <x:c r="C2219" s="34" t="str">
        <x:v>قابلیت‌های تمیزکاری صنعتی</x:v>
      </x:c>
      <x:c r="D2219" s="34" t="str">
        <x:v>POSSIBLE</x:v>
      </x:c>
      <x:c r="E2219" s="34" t="str">
        <x:v>90.0</x:v>
      </x:c>
      <x:c r="F2219" s="34" t="str">
        <x:v>MI-2602</x:v>
      </x:c>
      <x:c r="G2219" s="39" t="str">
        <x:v>صنعت</x:v>
      </x:c>
      <x:c r="H2219" s="39" t="str">
        <x:v>H12</x:v>
      </x:c>
      <x:c r="I2219" s="39" t="str">
        <x:v>P2</x:v>
      </x:c>
      <x:c r="J2219" s="39" t="str">
        <x:v>H12</x:v>
      </x:c>
      <x:c r="K2219" s="39" t="str">
        <x:v>تطبیق احتمالی با پایه</x:v>
      </x:c>
      <x:c r="L2219" s="39" t="str">
        <x:v>MI-2602</x:v>
      </x:c>
      <x:c r="M2219" s="39" t="str">
        <x:v>صنعت</x:v>
      </x:c>
      <x:c r="N2219" s="39" t="str">
        <x:v>1154878548.docx::P6819.1</x:v>
      </x:c>
      <x:c r="O2219" s="39"/>
    </x:row>
    <x:row r="2220">
      <x:c r="A2220" s="34" t="str">
        <x:v>☐</x:v>
      </x:c>
      <x:c r="B2220" s="34" t="str">
        <x:v>EX-2192</x:v>
      </x:c>
      <x:c r="C2220" s="34" t="str">
        <x:v>تراکوماس و همکاران (2001) اشاره می‌کنند:</x:v>
      </x:c>
      <x:c r="D2220" s="34" t="str">
        <x:v>POSSIBLE</x:v>
      </x:c>
      <x:c r="E2220" s="34" t="str">
        <x:v>85.5</x:v>
      </x:c>
      <x:c r="F2220" s="34" t="str">
        <x:v>MI-1513</x:v>
      </x:c>
      <x:c r="G2220" s="39" t="str">
        <x:v>تولید و کارآفرینی: توانایی تولید محصول و خدمات و ایجاد شغل.</x:v>
      </x:c>
      <x:c r="H2220" s="39" t="str">
        <x:v>H1</x:v>
      </x:c>
      <x:c r="I2220" s="39" t="str">
        <x:v>P0</x:v>
      </x:c>
      <x:c r="J2220" s="39" t="str">
        <x:v>H1</x:v>
      </x:c>
      <x:c r="K2220" s="39" t="str">
        <x:v>تطبیق احتمالی با پایه</x:v>
      </x:c>
      <x:c r="L2220" s="39" t="str">
        <x:v>MI-1513</x:v>
      </x:c>
      <x:c r="M2220" s="39" t="str">
        <x:v>تولید و کارآفرینی: توانایی تولید محصول و خدمات و ایجاد شغل.</x:v>
      </x:c>
      <x:c r="N2220" s="39" t="str">
        <x:v>1154878548.docx::P6820.1</x:v>
      </x:c>
      <x:c r="O2220" s="39"/>
    </x:row>
    <x:row r="2221">
      <x:c r="A2221" s="34" t="str">
        <x:v>☐</x:v>
      </x:c>
      <x:c r="B2221" s="34" t="str">
        <x:v>EX-2193</x:v>
      </x:c>
      <x:c r="C2221" s="34" t="str">
        <x:v>برخی از جاروبرقی‌های خانگی مجهز به HEPA می‌توانند با بازدهی فیلتراسیون مدل‌های صنعتی برای گرد و غبار خشک مطابقت داشته باشند.</x:v>
      </x:c>
      <x:c r="D2221" s="34" t="str">
        <x:v>POSSIBLE</x:v>
      </x:c>
      <x:c r="E2221" s="34" t="str">
        <x:v>85.5</x:v>
      </x:c>
      <x:c r="F2221" s="34" t="str">
        <x:v>MI-1501</x:v>
      </x:c>
      <x:c r="G2221" s="39" t="str">
        <x:v>مدیریت ریسک: شناسایی ریسک ها، ارزیابی اثرات، تدوین برنامه های مقابله با ریسک ها.</x:v>
      </x:c>
      <x:c r="H2221" s="39" t="str">
        <x:v>H1</x:v>
      </x:c>
      <x:c r="I2221" s="39" t="str">
        <x:v>P0</x:v>
      </x:c>
      <x:c r="J2221" s="39" t="str">
        <x:v>H1</x:v>
      </x:c>
      <x:c r="K2221" s="39" t="str">
        <x:v>تطبیق احتمالی با پایه</x:v>
      </x:c>
      <x:c r="L2221" s="39" t="str">
        <x:v>MI-1501</x:v>
      </x:c>
      <x:c r="M2221" s="39" t="str">
        <x:v>مدیریت ریسک: شناسایی ریسک ها، ارزیابی اثرات، تدوین برنامه های مقابله با ریسک ها.</x:v>
      </x:c>
      <x:c r="N2221" s="39" t="str">
        <x:v>1154878548.docx::P6821.1</x:v>
      </x:c>
      <x:c r="O2221" s="39"/>
    </x:row>
    <x:row r="2222">
      <x:c r="A2222" s="34" t="str">
        <x:v>☐</x:v>
      </x:c>
      <x:c r="B2222" s="34" t="str">
        <x:v>EX-2194</x:v>
      </x:c>
      <x:c r="C2222" s="34" t="str">
        <x:v>جاروبرقی‌های صنعتی مزایایی در "دوام و ظرفیت بارگیری بیشتر" برای تلاش‌های گسترده تمیزکاری و سطوح مرطوب دارند.</x:v>
      </x:c>
      <x:c r="D2222" s="34" t="str">
        <x:v>POSSIBLE</x:v>
      </x:c>
      <x:c r="E2222" s="34" t="str">
        <x:v>85.5</x:v>
      </x:c>
      <x:c r="F2222" s="34" t="str">
        <x:v>MI-1513</x:v>
      </x:c>
      <x:c r="G2222" s="39" t="str">
        <x:v>تولید و کارآفرینی: توانایی تولید محصول و خدمات و ایجاد شغل.</x:v>
      </x:c>
      <x:c r="H2222" s="39" t="str">
        <x:v>H1</x:v>
      </x:c>
      <x:c r="I2222" s="39" t="str">
        <x:v>P0</x:v>
      </x:c>
      <x:c r="J2222" s="39" t="str">
        <x:v>H1</x:v>
      </x:c>
      <x:c r="K2222" s="39" t="str">
        <x:v>تطبیق احتمالی با پایه</x:v>
      </x:c>
      <x:c r="L2222" s="39" t="str">
        <x:v>MI-1513</x:v>
      </x:c>
      <x:c r="M2222" s="39" t="str">
        <x:v>تولید و کارآفرینی: توانایی تولید محصول و خدمات و ایجاد شغل.</x:v>
      </x:c>
      <x:c r="N2222" s="39" t="str">
        <x:v>1154878548.docx::P6822.1</x:v>
      </x:c>
      <x:c r="O2222" s="39"/>
    </x:row>
    <x:row r="2223">
      <x:c r="A2223" s="34" t="str">
        <x:v>☐</x:v>
      </x:c>
      <x:c r="B2223" s="34" t="str">
        <x:v>EX-2195</x:v>
      </x:c>
      <x:c r="C2223" s="34" t="str">
        <x:v>این بر اهمیت در نظر گرفتن عواملی فراتر از بازدهی فیلتراسیون هنگام بهینه‌سازی عملکرد تمیزکاری صنعتی تأکید دارد.</x:v>
      </x:c>
      <x:c r="D2223" s="34" t="str">
        <x:v>POSSIBLE</x:v>
      </x:c>
      <x:c r="E2223" s="34" t="str">
        <x:v>85.5</x:v>
      </x:c>
      <x:c r="F2223" s="34" t="str">
        <x:v>MI-0050</x:v>
      </x:c>
      <x:c r="G2223" s="39" t="str">
        <x:v>گرفتن گواهینامه پایه 1</x:v>
      </x:c>
      <x:c r="H2223" s="39" t="str">
        <x:v>H1</x:v>
      </x:c>
      <x:c r="I2223" s="39" t="str">
        <x:v>P0</x:v>
      </x:c>
      <x:c r="J2223" s="39" t="str">
        <x:v>H1</x:v>
      </x:c>
      <x:c r="K2223" s="39" t="str">
        <x:v>تطبیق احتمالی با پایه</x:v>
      </x:c>
      <x:c r="L2223" s="39" t="str">
        <x:v>MI-0050</x:v>
      </x:c>
      <x:c r="M2223" s="39" t="str">
        <x:v>گرفتن گواهینامه پایه 1</x:v>
      </x:c>
      <x:c r="N2223" s="39" t="str">
        <x:v>1154878548.docx::P6823.1</x:v>
      </x:c>
      <x:c r="O2223" s="39"/>
    </x:row>
    <x:row r="2224">
      <x:c r="A2224" s="34" t="str">
        <x:v>☐</x:v>
      </x:c>
      <x:c r="B2224" s="34" t="str">
        <x:v>EX-2196</x:v>
      </x:c>
      <x:c r="C2224" s="34" t="str">
        <x:v>عوامل دوام سیستم</x:v>
      </x:c>
      <x:c r="D2224" s="34" t="str">
        <x:v>POSSIBLE</x:v>
      </x:c>
      <x:c r="E2224" s="34" t="str">
        <x:v>90.0</x:v>
      </x:c>
      <x:c r="F2224" s="34" t="str">
        <x:v>MI-1567</x:v>
      </x:c>
      <x:c r="G2224" s="39" t="str">
        <x:v>وام</x:v>
      </x:c>
      <x:c r="H2224" s="39" t="str">
        <x:v>H19</x:v>
      </x:c>
      <x:c r="I2224" s="39" t="str">
        <x:v>P3</x:v>
      </x:c>
      <x:c r="J2224" s="39" t="str">
        <x:v>H19</x:v>
      </x:c>
      <x:c r="K2224" s="39" t="str">
        <x:v>تطبیق احتمالی با پایه</x:v>
      </x:c>
      <x:c r="L2224" s="39" t="str">
        <x:v>MI-1567</x:v>
      </x:c>
      <x:c r="M2224" s="39" t="str">
        <x:v>وام</x:v>
      </x:c>
      <x:c r="N2224" s="39" t="str">
        <x:v>1154878548.docx::P6824.1</x:v>
      </x:c>
      <x:c r="O2224" s="39"/>
    </x:row>
    <x:row r="2225">
      <x:c r="A2225" s="34" t="str">
        <x:v>☐</x:v>
      </x:c>
      <x:c r="B2225" s="34" t="str">
        <x:v>EX-2197</x:v>
      </x:c>
      <x:c r="C2225" s="34" t="str">
        <x:v>مطالعات به طور غیرمستقیم به دوام سیستم از طریق ویژگی‌های طراحی مختلف می‌پردازند:</x:v>
      </x:c>
      <x:c r="D2225" s="34" t="str">
        <x:v>POSSIBLE</x:v>
      </x:c>
      <x:c r="E2225" s="34" t="str">
        <x:v>85.5</x:v>
      </x:c>
      <x:c r="F2225" s="34" t="str">
        <x:v>MI-1461</x:v>
      </x:c>
      <x:c r="G2225" s="39" t="str">
        <x:v>مهارت های ارتباطی و بین فردی</x:v>
      </x:c>
      <x:c r="H2225" s="39" t="str">
        <x:v>H1</x:v>
      </x:c>
      <x:c r="I2225" s="39" t="str">
        <x:v>P0</x:v>
      </x:c>
      <x:c r="J2225" s="39" t="str">
        <x:v>H1</x:v>
      </x:c>
      <x:c r="K2225" s="39" t="str">
        <x:v>تطبیق احتمالی با پایه</x:v>
      </x:c>
      <x:c r="L2225" s="39" t="str">
        <x:v>MI-1461</x:v>
      </x:c>
      <x:c r="M2225" s="39" t="str">
        <x:v>مهارت های ارتباطی و بین فردی</x:v>
      </x:c>
      <x:c r="N2225" s="39" t="str">
        <x:v>1154878548.docx::P6825.1</x:v>
      </x:c>
      <x:c r="O2225" s="39"/>
    </x:row>
    <x:row r="2226">
      <x:c r="A2226" s="34" t="str">
        <x:v>☐</x:v>
      </x:c>
      <x:c r="B2226" s="34" t="str">
        <x:v>EX-2198</x:v>
      </x:c>
      <x:c r="C2226" s="34" t="str">
        <x:v>طراحی فیلتر قابل تغییر شکل کائو و همکاران (2001) نشان دهنده تمرکز بر حفظ عملکرد فیلتر در طول زمان است.</x:v>
      </x:c>
      <x:c r="D2226" s="34" t="str">
        <x:v>POSSIBLE</x:v>
      </x:c>
      <x:c r="E2226" s="34" t="str">
        <x:v>85.5</x:v>
      </x:c>
      <x:c r="F2226" s="34" t="str">
        <x:v>MI-1503</x:v>
      </x:c>
      <x:c r="G2226" s="39" t="str">
        <x:v>مدیریت زمان: اولویت بندی، برنامه ریزی، تمرکز.</x:v>
      </x:c>
      <x:c r="H2226" s="39" t="str">
        <x:v>H1</x:v>
      </x:c>
      <x:c r="I2226" s="39" t="str">
        <x:v>P0</x:v>
      </x:c>
      <x:c r="J2226" s="39" t="str">
        <x:v>H1</x:v>
      </x:c>
      <x:c r="K2226" s="39" t="str">
        <x:v>تطبیق احتمالی با پایه</x:v>
      </x:c>
      <x:c r="L2226" s="39" t="str">
        <x:v>MI-1503</x:v>
      </x:c>
      <x:c r="M2226" s="39" t="str">
        <x:v>مدیریت زمان: اولویت بندی، برنامه ریزی، تمرکز.</x:v>
      </x:c>
      <x:c r="N2226" s="39" t="str">
        <x:v>1154878548.docx::P6826.1</x:v>
      </x:c>
      <x:c r="O2226" s="39"/>
    </x:row>
    <x:row r="2227">
      <x:c r="A2227" s="34" t="str">
        <x:v>☐</x:v>
      </x:c>
      <x:c r="B2227" s="34" t="str">
        <x:v>EX-2199</x:v>
      </x:c>
      <x:c r="C2227" s="34" t="str">
        <x:v>طراحی هوای فشرده جولیانتو و حنیفی (2021) نیاز به موتور الکتریکی را از بین می‌برد و به طور بالقوه سایش و نگهداری را در برخی از محیط‌های صنعتی کاهش می‌دهد.</x:v>
      </x:c>
      <x:c r="D2227" s="34" t="str">
        <x:v>POSSIBLE</x:v>
      </x:c>
      <x:c r="E2227" s="34" t="str">
        <x:v>85.5</x:v>
      </x:c>
      <x:c r="F2227" s="34" t="str">
        <x:v>MI-1501</x:v>
      </x:c>
      <x:c r="G2227" s="39" t="str">
        <x:v>مدیریت ریسک: شناسایی ریسک ها، ارزیابی اثرات، تدوین برنامه های مقابله با ریسک ها.</x:v>
      </x:c>
      <x:c r="H2227" s="39" t="str">
        <x:v>H1</x:v>
      </x:c>
      <x:c r="I2227" s="39" t="str">
        <x:v>P0</x:v>
      </x:c>
      <x:c r="J2227" s="39" t="str">
        <x:v>H1</x:v>
      </x:c>
      <x:c r="K2227" s="39" t="str">
        <x:v>تطبیق احتمالی با پایه</x:v>
      </x:c>
      <x:c r="L2227" s="39" t="str">
        <x:v>MI-1501</x:v>
      </x:c>
      <x:c r="M2227" s="39" t="str">
        <x:v>مدیریت ریسک: شناسایی ریسک ها، ارزیابی اثرات، تدوین برنامه های مقابله با ریسک ها.</x:v>
      </x:c>
      <x:c r="N2227" s="39" t="str">
        <x:v>1154878548.docx::P6827.1</x:v>
      </x:c>
      <x:c r="O2227" s="39"/>
    </x:row>
    <x:row r="2228">
      <x:c r="A2228" s="34" t="str">
        <x:v>☐</x:v>
      </x:c>
      <x:c r="B2228" s="34" t="str">
        <x:v>EX-2200</x:v>
      </x:c>
      <x:c r="C2228" s="34" t="str">
        <x:v>اشاره تراکوماس و همکاران (2001) به دوام جاروبرقی‌های صنعتی بر اهمیت دوام در کاربردهای صنعتی تأکید دارد.</x:v>
      </x:c>
      <x:c r="D2228" s="34" t="str">
        <x:v>POSSIBLE</x:v>
      </x:c>
      <x:c r="E2228" s="34" t="str">
        <x:v>85.5</x:v>
      </x:c>
      <x:c r="F2228" s="34" t="str">
        <x:v>MI-1513</x:v>
      </x:c>
      <x:c r="G2228" s="39" t="str">
        <x:v>تولید و کارآفرینی: توانایی تولید محصول و خدمات و ایجاد شغل.</x:v>
      </x:c>
      <x:c r="H2228" s="39" t="str">
        <x:v>H1</x:v>
      </x:c>
      <x:c r="I2228" s="39" t="str">
        <x:v>P0</x:v>
      </x:c>
      <x:c r="J2228" s="39" t="str">
        <x:v>H1</x:v>
      </x:c>
      <x:c r="K2228" s="39" t="str">
        <x:v>تطبیق احتمالی با پایه</x:v>
      </x:c>
      <x:c r="L2228" s="39" t="str">
        <x:v>MI-1513</x:v>
      </x:c>
      <x:c r="M2228" s="39" t="str">
        <x:v>تولید و کارآفرینی: توانایی تولید محصول و خدمات و ایجاد شغل.</x:v>
      </x:c>
      <x:c r="N2228" s="39" t="str">
        <x:v>1154878548.docx::P6828.1</x:v>
      </x:c>
      <x:c r="O2228" s="39"/>
    </x:row>
    <x:row r="2229">
      <x:c r="A2229" s="34" t="str">
        <x:v>☐</x:v>
      </x:c>
      <x:c r="B2229" s="34" t="str">
        <x:v>EX-2201</x:v>
      </x:c>
      <x:c r="C2229" s="34" t="str">
        <x:v>مشخصات فنی و معیارهای عملکرد</x:v>
      </x:c>
      <x:c r="D2229" s="34" t="str">
        <x:v>POSSIBLE</x:v>
      </x:c>
      <x:c r="E2229" s="34" t="str">
        <x:v>85.5</x:v>
      </x:c>
      <x:c r="F2229" s="34" t="str">
        <x:v>MI-1513</x:v>
      </x:c>
      <x:c r="G2229" s="39" t="str">
        <x:v>تولید و کارآفرینی: توانایی تولید محصول و خدمات و ایجاد شغل.</x:v>
      </x:c>
      <x:c r="H2229" s="39" t="str">
        <x:v>H1</x:v>
      </x:c>
      <x:c r="I2229" s="39" t="str">
        <x:v>P0</x:v>
      </x:c>
      <x:c r="J2229" s="39" t="str">
        <x:v>H1</x:v>
      </x:c>
      <x:c r="K2229" s="39" t="str">
        <x:v>تطبیق احتمالی با پایه</x:v>
      </x:c>
      <x:c r="L2229" s="39" t="str">
        <x:v>MI-1513</x:v>
      </x:c>
      <x:c r="M2229" s="39" t="str">
        <x:v>تولید و کارآفرینی: توانایی تولید محصول و خدمات و ایجاد شغل.</x:v>
      </x:c>
      <x:c r="N2229" s="39" t="str">
        <x:v>1154878548.docx::P6829.1</x:v>
      </x:c>
      <x:c r="O2229" s="39"/>
    </x:row>
    <x:row r="2230">
      <x:c r="A2230" s="34" t="str">
        <x:v>☐</x:v>
      </x:c>
      <x:c r="B2230" s="34" t="str">
        <x:v>EX-2202</x:v>
      </x:c>
      <x:c r="C2230" s="34" t="str">
        <x:v>| نوع قطعه | پارامترهای عملکرد</x:v>
      </x:c>
      <x:c r="D2230" s="34" t="str">
        <x:v>POSSIBLE</x:v>
      </x:c>
      <x:c r="E2230" s="34" t="str">
        <x:v>85.5</x:v>
      </x:c>
      <x:c r="F2230" s="34" t="str">
        <x:v>MI-0757</x:v>
      </x:c>
      <x:c r="G2230" s="39" t="str">
        <x:v>تهیه بروشور عملکرد صنفی و ارایه گزارشات و حیطه اختیارات و راه های ارتباطی و عکس اقداماتی انجام شده</x:v>
      </x:c>
      <x:c r="H2230" s="39" t="str">
        <x:v>H11</x:v>
      </x:c>
      <x:c r="I2230" s="39" t="str">
        <x:v>DELEGATE/P2</x:v>
      </x:c>
      <x:c r="J2230" s="39" t="str">
        <x:v>H11</x:v>
      </x:c>
      <x:c r="K2230" s="39" t="str">
        <x:v>تطبیق احتمالی با پایه</x:v>
      </x:c>
      <x:c r="L2230" s="39" t="str">
        <x:v>MI-0757</x:v>
      </x:c>
      <x:c r="M2230" s="39" t="str">
        <x:v>تهیه بروشور عملکرد صنفی و ارایه گزارشات و حیطه اختیارات و راه های ارتباطی و عکس اقداماتی انجام شده</x:v>
      </x:c>
      <x:c r="N2230" s="39" t="str">
        <x:v>1154878548.docx::P6830.1</x:v>
      </x:c>
      <x:c r="O2230" s="39"/>
    </x:row>
    <x:row r="2231">
      <x:c r="A2231" s="34" t="str">
        <x:v>☐</x:v>
      </x:c>
      <x:c r="B2231" s="34" t="str">
        <x:v>EX-2203</x:v>
      </x:c>
      <x:c r="C2231" s="34" t="str">
        <x:v>molicycle</x:v>
      </x:c>
      <x:c r="D2231" s="34" t="str">
        <x:v>UNMAPPED</x:v>
      </x:c>
      <x:c r="E2231" s="34" t="str">
        <x:v>64.3</x:v>
      </x:c>
      <x:c r="F2231" s="34" t="str">
        <x:v>MI-0160</x:v>
      </x:c>
      <x:c r="G2231" s="39" t="str">
        <x:v>ASP LIFE CYCLE</x:v>
      </x:c>
      <x:c r="H2231" s="39" t="str">
        <x:v>H7</x:v>
      </x:c>
      <x:c r="I2231" s="39" t="str">
        <x:v>P1</x:v>
      </x:c>
      <x:c r="J2231" s="39" t="str">
        <x:v>H23</x:v>
      </x:c>
      <x:c r="K2231" s="39" t="str">
        <x:v>نیازمند پالایش؛ حذف نشده</x:v>
      </x:c>
      <x:c r="L2231" s="39"/>
      <x:c r="M2231" s="39"/>
      <x:c r="N2231" s="39" t="str">
        <x:v>1154878548.docx::P7297.1</x:v>
      </x:c>
      <x:c r="O2231" s="39"/>
    </x:row>
    <x:row r="2232">
      <x:c r="A2232" s="34" t="str">
        <x:v>☐</x:v>
      </x:c>
      <x:c r="B2232" s="34" t="str">
        <x:v>EX-2204</x:v>
      </x:c>
      <x:c r="C2232" s="34" t="str">
        <x:v>تولید انرژی</x:v>
      </x:c>
      <x:c r="D2232" s="34" t="str">
        <x:v>POSSIBLE</x:v>
      </x:c>
      <x:c r="E2232" s="34" t="str">
        <x:v>90.0</x:v>
      </x:c>
      <x:c r="F2232" s="34" t="str">
        <x:v>MI-1402</x:v>
      </x:c>
      <x:c r="G2232" s="39" t="str">
        <x:v>تولید انرژی برای حمل و نقل</x:v>
      </x:c>
      <x:c r="H2232" s="39" t="str">
        <x:v>H12</x:v>
      </x:c>
      <x:c r="I2232" s="39" t="str">
        <x:v>P2</x:v>
      </x:c>
      <x:c r="J2232" s="39" t="str">
        <x:v>H12</x:v>
      </x:c>
      <x:c r="K2232" s="39" t="str">
        <x:v>تطبیق احتمالی با پایه</x:v>
      </x:c>
      <x:c r="L2232" s="39" t="str">
        <x:v>MI-1402</x:v>
      </x:c>
      <x:c r="M2232" s="39" t="str">
        <x:v>تولید انرژی برای حمل و نقل</x:v>
      </x:c>
      <x:c r="N2232" s="39" t="str">
        <x:v>1154878548.docx::P7298.1</x:v>
      </x:c>
      <x:c r="O2232" s="39"/>
    </x:row>
    <x:row r="2233">
      <x:c r="A2233" s="34" t="str">
        <x:v>☐</x:v>
      </x:c>
      <x:c r="B2233" s="34" t="str">
        <x:v>EX-2205</x:v>
      </x:c>
      <x:c r="C2233" s="34" t="str">
        <x:v>کود ارگانیک</x:v>
      </x:c>
      <x:c r="D2233" s="34" t="str">
        <x:v>UNMAPPED</x:v>
      </x:c>
      <x:c r="E2233" s="34" t="str">
        <x:v>72.0</x:v>
      </x:c>
      <x:c r="F2233" s="34" t="str">
        <x:v>MI-1236</x:v>
      </x:c>
      <x:c r="G2233" s="39" t="str">
        <x:v>ایران</x:v>
      </x:c>
      <x:c r="H2233" s="39" t="str">
        <x:v>H12</x:v>
      </x:c>
      <x:c r="I2233" s="39" t="str">
        <x:v>P2</x:v>
      </x:c>
      <x:c r="J2233" s="39" t="str">
        <x:v>H23</x:v>
      </x:c>
      <x:c r="K2233" s="39" t="str">
        <x:v>نیازمند پالایش؛ حذف نشده</x:v>
      </x:c>
      <x:c r="L2233" s="39"/>
      <x:c r="M2233" s="39"/>
      <x:c r="N2233" s="39" t="str">
        <x:v>1154878548.docx::P7299.1</x:v>
      </x:c>
      <x:c r="O2233" s="39"/>
    </x:row>
    <x:row r="2234">
      <x:c r="A2234" s="34" t="str">
        <x:v>☐</x:v>
      </x:c>
      <x:c r="B2234" s="34" t="str">
        <x:v>EX-2206</x:v>
      </x:c>
      <x:c r="C2234" s="34" t="str">
        <x:v>مدرسه ها ( همیار بازیافت)</x:v>
      </x:c>
      <x:c r="D2234" s="34" t="str">
        <x:v>POSSIBLE</x:v>
      </x:c>
      <x:c r="E2234" s="34" t="str">
        <x:v>90.0</x:v>
      </x:c>
      <x:c r="F2234" s="34" t="str">
        <x:v>MI-0232</x:v>
      </x:c>
      <x:c r="G2234" s="39" t="str">
        <x:v>بازیافت</x:v>
      </x:c>
      <x:c r="H2234" s="39" t="str">
        <x:v>H12</x:v>
      </x:c>
      <x:c r="I2234" s="39" t="str">
        <x:v>P2</x:v>
      </x:c>
      <x:c r="J2234" s="39" t="str">
        <x:v>H12</x:v>
      </x:c>
      <x:c r="K2234" s="39" t="str">
        <x:v>تطبیق احتمالی با پایه</x:v>
      </x:c>
      <x:c r="L2234" s="39" t="str">
        <x:v>MI-0232</x:v>
      </x:c>
      <x:c r="M2234" s="39" t="str">
        <x:v>بازیافت</x:v>
      </x:c>
      <x:c r="N2234" s="39" t="str">
        <x:v>1154878548.docx::P7300.1</x:v>
      </x:c>
      <x:c r="O2234" s="39"/>
    </x:row>
    <x:row r="2235">
      <x:c r="A2235" s="34" t="str">
        <x:v>☐</x:v>
      </x:c>
      <x:c r="B2235" s="34" t="str">
        <x:v>EX-2207</x:v>
      </x:c>
      <x:c r="C2235" s="34" t="str">
        <x:v>جمع آوری درب بطری ها و تبدیل به ویلچر برای خیریه ها</x:v>
      </x:c>
      <x:c r="D2235" s="34" t="str">
        <x:v>POSSIBLE</x:v>
      </x:c>
      <x:c r="E2235" s="34" t="str">
        <x:v>85.5</x:v>
      </x:c>
      <x:c r="F2235" s="34" t="str">
        <x:v>MI-1501</x:v>
      </x:c>
      <x:c r="G2235" s="39" t="str">
        <x:v>مدیریت ریسک: شناسایی ریسک ها، ارزیابی اثرات، تدوین برنامه های مقابله با ریسک ها.</x:v>
      </x:c>
      <x:c r="H2235" s="39" t="str">
        <x:v>H1</x:v>
      </x:c>
      <x:c r="I2235" s="39" t="str">
        <x:v>P0</x:v>
      </x:c>
      <x:c r="J2235" s="39" t="str">
        <x:v>H1</x:v>
      </x:c>
      <x:c r="K2235" s="39" t="str">
        <x:v>تطبیق احتمالی با پایه</x:v>
      </x:c>
      <x:c r="L2235" s="39" t="str">
        <x:v>MI-1501</x:v>
      </x:c>
      <x:c r="M2235" s="39" t="str">
        <x:v>مدیریت ریسک: شناسایی ریسک ها، ارزیابی اثرات، تدوین برنامه های مقابله با ریسک ها.</x:v>
      </x:c>
      <x:c r="N2235" s="39" t="str">
        <x:v>1154878548.docx::P7301.1</x:v>
      </x:c>
      <x:c r="O2235" s="39"/>
    </x:row>
    <x:row r="2236">
      <x:c r="A2236" s="34" t="str">
        <x:v>☐</x:v>
      </x:c>
      <x:c r="B2236" s="34" t="str">
        <x:v>EX-2208</x:v>
      </x:c>
      <x:c r="C2236" s="34" t="str">
        <x:v>جمع آوری زباله با بسته بندی های ارگانیک و قابل بازیافت</x:v>
      </x:c>
      <x:c r="D2236" s="34" t="str">
        <x:v>POSSIBLE</x:v>
      </x:c>
      <x:c r="E2236" s="34" t="str">
        <x:v>90.0</x:v>
      </x:c>
      <x:c r="F2236" s="34" t="str">
        <x:v>MI-0232</x:v>
      </x:c>
      <x:c r="G2236" s="39" t="str">
        <x:v>بازیافت</x:v>
      </x:c>
      <x:c r="H2236" s="39" t="str">
        <x:v>H12</x:v>
      </x:c>
      <x:c r="I2236" s="39" t="str">
        <x:v>P2</x:v>
      </x:c>
      <x:c r="J2236" s="39" t="str">
        <x:v>H12</x:v>
      </x:c>
      <x:c r="K2236" s="39" t="str">
        <x:v>تطبیق احتمالی با پایه</x:v>
      </x:c>
      <x:c r="L2236" s="39" t="str">
        <x:v>MI-0232</x:v>
      </x:c>
      <x:c r="M2236" s="39" t="str">
        <x:v>بازیافت</x:v>
      </x:c>
      <x:c r="N2236" s="39" t="str">
        <x:v>1154878548.docx::P7302.1</x:v>
      </x:c>
      <x:c r="O2236" s="39"/>
    </x:row>
    <x:row r="2237">
      <x:c r="A2237" s="34" t="str">
        <x:v>☐</x:v>
      </x:c>
      <x:c r="B2237" s="34" t="str">
        <x:v>EX-2209</x:v>
      </x:c>
      <x:c r="C2237" s="34" t="str">
        <x:v>سیستم نظارت اجتماعی</x:v>
      </x:c>
      <x:c r="D2237" s="34" t="str">
        <x:v>POSSIBLE</x:v>
      </x:c>
      <x:c r="E2237" s="34" t="str">
        <x:v>90.0</x:v>
      </x:c>
      <x:c r="F2237" s="34" t="str">
        <x:v>MI-0288</x:v>
      </x:c>
      <x:c r="G2237" s="39" t="str">
        <x:v>اجتماعی</x:v>
      </x:c>
      <x:c r="H2237" s="39" t="str">
        <x:v>H15</x:v>
      </x:c>
      <x:c r="I2237" s="39" t="str">
        <x:v>P3/CLARIFY</x:v>
      </x:c>
      <x:c r="J2237" s="39" t="str">
        <x:v>H15</x:v>
      </x:c>
      <x:c r="K2237" s="39" t="str">
        <x:v>تطبیق احتمالی با پایه</x:v>
      </x:c>
      <x:c r="L2237" s="39" t="str">
        <x:v>MI-0288</x:v>
      </x:c>
      <x:c r="M2237" s="39" t="str">
        <x:v>اجتماعی</x:v>
      </x:c>
      <x:c r="N2237" s="39" t="str">
        <x:v>1154878548.docx::P7303.1</x:v>
      </x:c>
      <x:c r="O2237" s="39"/>
    </x:row>
    <x:row r="2238">
      <x:c r="A2238" s="34" t="str">
        <x:v>☐</x:v>
      </x:c>
      <x:c r="B2238" s="34" t="str">
        <x:v>EX-2210</x:v>
      </x:c>
      <x:c r="C2238" s="34" t="str">
        <x:v>سیستم ارزیابی منظم</x:v>
      </x:c>
      <x:c r="D2238" s="34" t="str">
        <x:v>POSSIBLE</x:v>
      </x:c>
      <x:c r="E2238" s="34" t="str">
        <x:v>90.0</x:v>
      </x:c>
      <x:c r="F2238" s="34" t="str">
        <x:v>MI-0736</x:v>
      </x:c>
      <x:c r="G2238" s="39" t="str">
        <x:v>ارزیابی</x:v>
      </x:c>
      <x:c r="H2238" s="39" t="str">
        <x:v>H11</x:v>
      </x:c>
      <x:c r="I2238" s="39" t="str">
        <x:v>DELEGATE/P2</x:v>
      </x:c>
      <x:c r="J2238" s="39" t="str">
        <x:v>H11</x:v>
      </x:c>
      <x:c r="K2238" s="39" t="str">
        <x:v>تطبیق احتمالی با پایه</x:v>
      </x:c>
      <x:c r="L2238" s="39" t="str">
        <x:v>MI-0736</x:v>
      </x:c>
      <x:c r="M2238" s="39" t="str">
        <x:v>ارزیابی</x:v>
      </x:c>
      <x:c r="N2238" s="39" t="str">
        <x:v>1154878548.docx::P7304.1</x:v>
      </x:c>
      <x:c r="O2238" s="39"/>
    </x:row>
    <x:row r="2239">
      <x:c r="A2239" s="34" t="str">
        <x:v>☐</x:v>
      </x:c>
      <x:c r="B2239" s="34" t="str">
        <x:v>EX-2211</x:v>
      </x:c>
      <x:c r="C2239" s="34" t="str">
        <x:v>تیم صنعت</x:v>
      </x:c>
      <x:c r="D2239" s="34" t="str">
        <x:v>POSSIBLE</x:v>
      </x:c>
      <x:c r="E2239" s="34" t="str">
        <x:v>90.0</x:v>
      </x:c>
      <x:c r="F2239" s="34" t="str">
        <x:v>MI-2602</x:v>
      </x:c>
      <x:c r="G2239" s="39" t="str">
        <x:v>صنعت</x:v>
      </x:c>
      <x:c r="H2239" s="39" t="str">
        <x:v>H12</x:v>
      </x:c>
      <x:c r="I2239" s="39" t="str">
        <x:v>P2</x:v>
      </x:c>
      <x:c r="J2239" s="39" t="str">
        <x:v>H12</x:v>
      </x:c>
      <x:c r="K2239" s="39" t="str">
        <x:v>تطبیق احتمالی با پایه</x:v>
      </x:c>
      <x:c r="L2239" s="39" t="str">
        <x:v>MI-2602</x:v>
      </x:c>
      <x:c r="M2239" s="39" t="str">
        <x:v>صنعت</x:v>
      </x:c>
      <x:c r="N2239" s="39" t="str">
        <x:v>1154878548.docx::P7354.1</x:v>
      </x:c>
      <x:c r="O2239" s="39"/>
    </x:row>
    <x:row r="2240">
      <x:c r="A2240" s="34" t="str">
        <x:v>☐</x:v>
      </x:c>
      <x:c r="B2240" s="34" t="str">
        <x:v>EX-2212</x:v>
      </x:c>
      <x:c r="C2240" s="34" t="str">
        <x:v>هدف تیم</x:v>
      </x:c>
      <x:c r="D2240" s="34" t="str">
        <x:v>POSSIBLE</x:v>
      </x:c>
      <x:c r="E2240" s="34" t="str">
        <x:v>90.0</x:v>
      </x:c>
      <x:c r="F2240" s="34" t="str">
        <x:v>MI-2557</x:v>
      </x:c>
      <x:c r="G2240" s="39" t="str">
        <x:v>هدف:</x:v>
      </x:c>
      <x:c r="H2240" s="39" t="str">
        <x:v>H20</x:v>
      </x:c>
      <x:c r="I2240" s="39" t="str">
        <x:v>P3/CLARIFY</x:v>
      </x:c>
      <x:c r="J2240" s="39" t="str">
        <x:v>H20</x:v>
      </x:c>
      <x:c r="K2240" s="39" t="str">
        <x:v>تطبیق احتمالی با پایه</x:v>
      </x:c>
      <x:c r="L2240" s="39" t="str">
        <x:v>MI-2557</x:v>
      </x:c>
      <x:c r="M2240" s="39" t="str">
        <x:v>هدف:</x:v>
      </x:c>
      <x:c r="N2240" s="39" t="str">
        <x:v>1154878548.docx::P7355.1</x:v>
      </x:c>
      <x:c r="O2240" s="39"/>
    </x:row>
    <x:row r="2241">
      <x:c r="A2241" s="34" t="str">
        <x:v>☐</x:v>
      </x:c>
      <x:c r="B2241" s="34" t="str">
        <x:v>EX-2213</x:v>
      </x:c>
      <x:c r="C2241" s="34" t="str">
        <x:v>آشنایی دانشجو با صنعت</x:v>
      </x:c>
      <x:c r="D2241" s="34" t="str">
        <x:v>POSSIBLE</x:v>
      </x:c>
      <x:c r="E2241" s="34" t="str">
        <x:v>90.0</x:v>
      </x:c>
      <x:c r="F2241" s="34" t="str">
        <x:v>MI-2602</x:v>
      </x:c>
      <x:c r="G2241" s="39" t="str">
        <x:v>صنعت</x:v>
      </x:c>
      <x:c r="H2241" s="39" t="str">
        <x:v>H12</x:v>
      </x:c>
      <x:c r="I2241" s="39" t="str">
        <x:v>P2</x:v>
      </x:c>
      <x:c r="J2241" s="39" t="str">
        <x:v>H12</x:v>
      </x:c>
      <x:c r="K2241" s="39" t="str">
        <x:v>تطبیق احتمالی با پایه</x:v>
      </x:c>
      <x:c r="L2241" s="39" t="str">
        <x:v>MI-2602</x:v>
      </x:c>
      <x:c r="M2241" s="39" t="str">
        <x:v>صنعت</x:v>
      </x:c>
      <x:c r="N2241" s="39" t="str">
        <x:v>1154878548.docx::P7356.1</x:v>
      </x:c>
      <x:c r="O2241" s="39"/>
    </x:row>
    <x:row r="2242">
      <x:c r="A2242" s="34" t="str">
        <x:v>☐</x:v>
      </x:c>
      <x:c r="B2242" s="34" t="str">
        <x:v>EX-2214</x:v>
      </x:c>
      <x:c r="C2242" s="34" t="str">
        <x:v>مسیر ها</x:v>
      </x:c>
      <x:c r="D2242" s="34" t="str">
        <x:v>POSSIBLE</x:v>
      </x:c>
      <x:c r="E2242" s="34" t="str">
        <x:v>85.5</x:v>
      </x:c>
      <x:c r="F2242" s="34" t="str">
        <x:v>MI-2399</x:v>
      </x:c>
      <x:c r="G2242" s="39" t="str">
        <x:v>1. صنایع اصلی که باید روی آن ها تمرکز شود</x:v>
      </x:c>
      <x:c r="H2242" s="39" t="str">
        <x:v>H1</x:v>
      </x:c>
      <x:c r="I2242" s="39" t="str">
        <x:v>P0</x:v>
      </x:c>
      <x:c r="J2242" s="39" t="str">
        <x:v>H1</x:v>
      </x:c>
      <x:c r="K2242" s="39" t="str">
        <x:v>تطبیق احتمالی با پایه</x:v>
      </x:c>
      <x:c r="L2242" s="39" t="str">
        <x:v>MI-2399</x:v>
      </x:c>
      <x:c r="M2242" s="39" t="str">
        <x:v>1. صنایع اصلی که باید روی آن ها تمرکز شود</x:v>
      </x:c>
      <x:c r="N2242" s="39" t="str">
        <x:v>1154878548.docx::P7357.1</x:v>
      </x:c>
      <x:c r="O2242" s="39"/>
    </x:row>
    <x:row r="2243">
      <x:c r="A2243" s="34" t="str">
        <x:v>☐</x:v>
      </x:c>
      <x:c r="B2243" s="34" t="str">
        <x:v>EX-2215</x:v>
      </x:c>
      <x:c r="C2243" s="34" t="str">
        <x:v>قبل از موارد 1 تا 4 سناریو  همراه  با اعضا تیم پادکست</x:v>
      </x:c>
      <x:c r="D2243" s="34" t="str">
        <x:v>POSSIBLE</x:v>
      </x:c>
      <x:c r="E2243" s="34" t="str">
        <x:v>85.5</x:v>
      </x:c>
      <x:c r="F2243" s="34" t="str">
        <x:v>MI-1501</x:v>
      </x:c>
      <x:c r="G2243" s="39" t="str">
        <x:v>مدیریت ریسک: شناسایی ریسک ها، ارزیابی اثرات، تدوین برنامه های مقابله با ریسک ها.</x:v>
      </x:c>
      <x:c r="H2243" s="39" t="str">
        <x:v>H1</x:v>
      </x:c>
      <x:c r="I2243" s="39" t="str">
        <x:v>P0</x:v>
      </x:c>
      <x:c r="J2243" s="39" t="str">
        <x:v>H1</x:v>
      </x:c>
      <x:c r="K2243" s="39" t="str">
        <x:v>تطبیق احتمالی با پایه</x:v>
      </x:c>
      <x:c r="L2243" s="39" t="str">
        <x:v>MI-1501</x:v>
      </x:c>
      <x:c r="M2243" s="39" t="str">
        <x:v>مدیریت ریسک: شناسایی ریسک ها، ارزیابی اثرات، تدوین برنامه های مقابله با ریسک ها.</x:v>
      </x:c>
      <x:c r="N2243" s="39" t="str">
        <x:v>1154878548.docx::P7358.2</x:v>
      </x:c>
      <x:c r="O2243" s="39"/>
    </x:row>
    <x:row r="2244">
      <x:c r="A2244" s="34" t="str">
        <x:v>☐</x:v>
      </x:c>
      <x:c r="B2244" s="34" t="str">
        <x:v>EX-2216</x:v>
      </x:c>
      <x:c r="C2244" s="34" t="str">
        <x:v>1- ادیتور</x:v>
      </x:c>
      <x:c r="D2244" s="34" t="str">
        <x:v>POSSIBLE</x:v>
      </x:c>
      <x:c r="E2244" s="34" t="str">
        <x:v>85.5</x:v>
      </x:c>
      <x:c r="F2244" s="34" t="str">
        <x:v>MI-0050</x:v>
      </x:c>
      <x:c r="G2244" s="39" t="str">
        <x:v>گرفتن گواهینامه پایه 1</x:v>
      </x:c>
      <x:c r="H2244" s="39" t="str">
        <x:v>H1</x:v>
      </x:c>
      <x:c r="I2244" s="39" t="str">
        <x:v>P0</x:v>
      </x:c>
      <x:c r="J2244" s="39" t="str">
        <x:v>H1</x:v>
      </x:c>
      <x:c r="K2244" s="39" t="str">
        <x:v>تطبیق احتمالی با پایه</x:v>
      </x:c>
      <x:c r="L2244" s="39" t="str">
        <x:v>MI-0050</x:v>
      </x:c>
      <x:c r="M2244" s="39" t="str">
        <x:v>گرفتن گواهینامه پایه 1</x:v>
      </x:c>
      <x:c r="N2244" s="39" t="str">
        <x:v>1154878548.docx::P7359.1</x:v>
      </x:c>
      <x:c r="O2244" s="39"/>
    </x:row>
    <x:row r="2245">
      <x:c r="A2245" s="34" t="str">
        <x:v>☐</x:v>
      </x:c>
      <x:c r="B2245" s="34" t="str">
        <x:v>EX-2217</x:v>
      </x:c>
      <x:c r="C2245" s="34" t="str">
        <x:v>2-گوینده</x:v>
      </x:c>
      <x:c r="D2245" s="34" t="str">
        <x:v>POSSIBLE</x:v>
      </x:c>
      <x:c r="E2245" s="34" t="str">
        <x:v>85.5</x:v>
      </x:c>
      <x:c r="F2245" s="34" t="str">
        <x:v>MI-1635</x:v>
      </x:c>
      <x:c r="G2245" s="39" t="str">
        <x:v>مرحله 2: معرفی فرصت های صادراتی</x:v>
      </x:c>
      <x:c r="H2245" s="39" t="str">
        <x:v>H8</x:v>
      </x:c>
      <x:c r="I2245" s="39" t="str">
        <x:v>P2</x:v>
      </x:c>
      <x:c r="J2245" s="39" t="str">
        <x:v>H8</x:v>
      </x:c>
      <x:c r="K2245" s="39" t="str">
        <x:v>تطبیق احتمالی با پایه</x:v>
      </x:c>
      <x:c r="L2245" s="39" t="str">
        <x:v>MI-1635</x:v>
      </x:c>
      <x:c r="M2245" s="39" t="str">
        <x:v>مرحله 2: معرفی فرصت های صادراتی</x:v>
      </x:c>
      <x:c r="N2245" s="39" t="str">
        <x:v>1154878548.docx::P7360.1</x:v>
      </x:c>
      <x:c r="O2245" s="39"/>
    </x:row>
    <x:row r="2246">
      <x:c r="A2246" s="34" t="str">
        <x:v>☐</x:v>
      </x:c>
      <x:c r="B2246" s="34" t="str">
        <x:v>EX-2218</x:v>
      </x:c>
      <x:c r="C2246" s="34" t="str">
        <x:v>3- ارتباط با مهمان و صنعت</x:v>
      </x:c>
      <x:c r="D2246" s="34" t="str">
        <x:v>POSSIBLE</x:v>
      </x:c>
      <x:c r="E2246" s="34" t="str">
        <x:v>90.0</x:v>
      </x:c>
      <x:c r="F2246" s="34" t="str">
        <x:v>MI-2602</x:v>
      </x:c>
      <x:c r="G2246" s="39" t="str">
        <x:v>صنعت</x:v>
      </x:c>
      <x:c r="H2246" s="39" t="str">
        <x:v>H12</x:v>
      </x:c>
      <x:c r="I2246" s="39" t="str">
        <x:v>P2</x:v>
      </x:c>
      <x:c r="J2246" s="39" t="str">
        <x:v>H12</x:v>
      </x:c>
      <x:c r="K2246" s="39" t="str">
        <x:v>تطبیق احتمالی با پایه</x:v>
      </x:c>
      <x:c r="L2246" s="39" t="str">
        <x:v>MI-2602</x:v>
      </x:c>
      <x:c r="M2246" s="39" t="str">
        <x:v>صنعت</x:v>
      </x:c>
      <x:c r="N2246" s="39" t="str">
        <x:v>1154878548.docx::P7361.1</x:v>
      </x:c>
      <x:c r="O2246" s="39"/>
    </x:row>
    <x:row r="2247">
      <x:c r="A2247" s="34" t="str">
        <x:v>☐</x:v>
      </x:c>
      <x:c r="B2247" s="34" t="str">
        <x:v>EX-2219</x:v>
      </x:c>
      <x:c r="C2247" s="34" t="str">
        <x:v>کلاس</x:v>
      </x:c>
      <x:c r="D2247" s="34" t="str">
        <x:v>POSSIBLE</x:v>
      </x:c>
      <x:c r="E2247" s="34" t="str">
        <x:v>90.0</x:v>
      </x:c>
      <x:c r="F2247" s="34" t="str">
        <x:v>MI-1072</x:v>
      </x:c>
      <x:c r="G2247" s="39" t="str">
        <x:v>وضعیت کلاس ها</x:v>
      </x:c>
      <x:c r="H2247" s="39" t="str">
        <x:v>H11</x:v>
      </x:c>
      <x:c r="I2247" s="39" t="str">
        <x:v>DELEGATE/P2</x:v>
      </x:c>
      <x:c r="J2247" s="39" t="str">
        <x:v>H11</x:v>
      </x:c>
      <x:c r="K2247" s="39" t="str">
        <x:v>تطبیق احتمالی با پایه</x:v>
      </x:c>
      <x:c r="L2247" s="39" t="str">
        <x:v>MI-1072</x:v>
      </x:c>
      <x:c r="M2247" s="39" t="str">
        <x:v>وضعیت کلاس ها</x:v>
      </x:c>
      <x:c r="N2247" s="39" t="str">
        <x:v>1154878548.docx::P7363.1</x:v>
      </x:c>
      <x:c r="O2247" s="39"/>
    </x:row>
    <x:row r="2248">
      <x:c r="A2248" s="34" t="str">
        <x:v>☐</x:v>
      </x:c>
      <x:c r="B2248" s="34" t="str">
        <x:v>EX-2220</x:v>
      </x:c>
      <x:c r="C2248" s="34" t="str">
        <x:v>بازدید علمی</x:v>
      </x:c>
      <x:c r="D2248" s="34" t="str">
        <x:v>POSSIBLE</x:v>
      </x:c>
      <x:c r="E2248" s="34" t="str">
        <x:v>90.0</x:v>
      </x:c>
      <x:c r="F2248" s="34" t="str">
        <x:v>MI-1039</x:v>
      </x:c>
      <x:c r="G2248" s="39" t="str">
        <x:v>جذب سهمیه کارآموزی در اثنای بازدید علمی</x:v>
      </x:c>
      <x:c r="H2248" s="39" t="str">
        <x:v>H9</x:v>
      </x:c>
      <x:c r="I2248" s="39" t="str">
        <x:v>P2</x:v>
      </x:c>
      <x:c r="J2248" s="39" t="str">
        <x:v>H9</x:v>
      </x:c>
      <x:c r="K2248" s="39" t="str">
        <x:v>تطبیق احتمالی با پایه</x:v>
      </x:c>
      <x:c r="L2248" s="39" t="str">
        <x:v>MI-1039</x:v>
      </x:c>
      <x:c r="M2248" s="39" t="str">
        <x:v>جذب سهمیه کارآموزی در اثنای بازدید علمی</x:v>
      </x:c>
      <x:c r="N2248" s="39" t="str">
        <x:v>1154878548.docx::P7364.1 | 1154878548.docx::P7385.1</x:v>
      </x:c>
      <x:c r="O2248" s="39"/>
    </x:row>
    <x:row r="2249">
      <x:c r="A2249" s="34" t="str">
        <x:v>☐</x:v>
      </x:c>
      <x:c r="B2249" s="34" t="str">
        <x:v>EX-2221</x:v>
      </x:c>
      <x:c r="C2249" s="34" t="str">
        <x:v>معرفی داشجو به صنعت</x:v>
      </x:c>
      <x:c r="D2249" s="34" t="str">
        <x:v>POSSIBLE</x:v>
      </x:c>
      <x:c r="E2249" s="34" t="str">
        <x:v>90.0</x:v>
      </x:c>
      <x:c r="F2249" s="34" t="str">
        <x:v>MI-2602</x:v>
      </x:c>
      <x:c r="G2249" s="39" t="str">
        <x:v>صنعت</x:v>
      </x:c>
      <x:c r="H2249" s="39" t="str">
        <x:v>H12</x:v>
      </x:c>
      <x:c r="I2249" s="39" t="str">
        <x:v>P2</x:v>
      </x:c>
      <x:c r="J2249" s="39" t="str">
        <x:v>H12</x:v>
      </x:c>
      <x:c r="K2249" s="39" t="str">
        <x:v>تطبیق احتمالی با پایه</x:v>
      </x:c>
      <x:c r="L2249" s="39" t="str">
        <x:v>MI-2602</x:v>
      </x:c>
      <x:c r="M2249" s="39" t="str">
        <x:v>صنعت</x:v>
      </x:c>
      <x:c r="N2249" s="39" t="str">
        <x:v>1154878548.docx::P7365.1</x:v>
      </x:c>
      <x:c r="O2249" s="39"/>
    </x:row>
    <x:row r="2250">
      <x:c r="A2250" s="34" t="str">
        <x:v>☐</x:v>
      </x:c>
      <x:c r="B2250" s="34" t="str">
        <x:v>EX-2222</x:v>
      </x:c>
      <x:c r="C2250" s="34" t="str">
        <x:v>ضبط فیلم</x:v>
      </x:c>
      <x:c r="D2250" s="34" t="str">
        <x:v>POSSIBLE</x:v>
      </x:c>
      <x:c r="E2250" s="34" t="str">
        <x:v>85.5</x:v>
      </x:c>
      <x:c r="F2250" s="34" t="str">
        <x:v>MI-0617</x:v>
      </x:c>
      <x:c r="G2250" s="39" t="str">
        <x:v>تجهیز اتاق استودیو برای ضبط</x:v>
      </x:c>
      <x:c r="H2250" s="39" t="str">
        <x:v>H4</x:v>
      </x:c>
      <x:c r="I2250" s="39" t="str">
        <x:v>P1</x:v>
      </x:c>
      <x:c r="J2250" s="39" t="str">
        <x:v>H4</x:v>
      </x:c>
      <x:c r="K2250" s="39" t="str">
        <x:v>تطبیق احتمالی با پایه</x:v>
      </x:c>
      <x:c r="L2250" s="39" t="str">
        <x:v>MI-0617</x:v>
      </x:c>
      <x:c r="M2250" s="39" t="str">
        <x:v>تجهیز اتاق استودیو برای ضبط</x:v>
      </x:c>
      <x:c r="N2250" s="39" t="str">
        <x:v>1154878548.docx::P7366.1</x:v>
      </x:c>
      <x:c r="O2250" s="39"/>
    </x:row>
    <x:row r="2251">
      <x:c r="A2251" s="34" t="str">
        <x:v>☐</x:v>
      </x:c>
      <x:c r="B2251" s="34" t="str">
        <x:v>EX-2223</x:v>
      </x:c>
      <x:c r="C2251" s="34" t="str">
        <x:v>الویت مسیر ها</x:v>
      </x:c>
      <x:c r="D2251" s="34" t="str">
        <x:v>POSSIBLE</x:v>
      </x:c>
      <x:c r="E2251" s="34" t="str">
        <x:v>85.5</x:v>
      </x:c>
      <x:c r="F2251" s="34" t="str">
        <x:v>MI-1501</x:v>
      </x:c>
      <x:c r="G2251" s="39" t="str">
        <x:v>مدیریت ریسک: شناسایی ریسک ها، ارزیابی اثرات، تدوین برنامه های مقابله با ریسک ها.</x:v>
      </x:c>
      <x:c r="H2251" s="39" t="str">
        <x:v>H1</x:v>
      </x:c>
      <x:c r="I2251" s="39" t="str">
        <x:v>P0</x:v>
      </x:c>
      <x:c r="J2251" s="39" t="str">
        <x:v>H1</x:v>
      </x:c>
      <x:c r="K2251" s="39" t="str">
        <x:v>تطبیق احتمالی با پایه</x:v>
      </x:c>
      <x:c r="L2251" s="39" t="str">
        <x:v>MI-1501</x:v>
      </x:c>
      <x:c r="M2251" s="39" t="str">
        <x:v>مدیریت ریسک: شناسایی ریسک ها، ارزیابی اثرات، تدوین برنامه های مقابله با ریسک ها.</x:v>
      </x:c>
      <x:c r="N2251" s="39" t="str">
        <x:v>1154878548.docx::P7367.1</x:v>
      </x:c>
      <x:c r="O2251" s="39"/>
    </x:row>
    <x:row r="2252">
      <x:c r="A2252" s="34" t="str">
        <x:v>☐</x:v>
      </x:c>
      <x:c r="B2252" s="34" t="str">
        <x:v>EX-2224</x:v>
      </x:c>
      <x:c r="C2252" s="34" t="str">
        <x:v>1. پادکست-فیلم:</x:v>
      </x:c>
      <x:c r="D2252" s="34" t="str">
        <x:v>POSSIBLE</x:v>
      </x:c>
      <x:c r="E2252" s="34" t="str">
        <x:v>85.5</x:v>
      </x:c>
      <x:c r="F2252" s="34" t="str">
        <x:v>MI-0050</x:v>
      </x:c>
      <x:c r="G2252" s="39" t="str">
        <x:v>گرفتن گواهینامه پایه 1</x:v>
      </x:c>
      <x:c r="H2252" s="39" t="str">
        <x:v>H1</x:v>
      </x:c>
      <x:c r="I2252" s="39" t="str">
        <x:v>P0</x:v>
      </x:c>
      <x:c r="J2252" s="39" t="str">
        <x:v>H1</x:v>
      </x:c>
      <x:c r="K2252" s="39" t="str">
        <x:v>تطبیق احتمالی با پایه</x:v>
      </x:c>
      <x:c r="L2252" s="39" t="str">
        <x:v>MI-0050</x:v>
      </x:c>
      <x:c r="M2252" s="39" t="str">
        <x:v>گرفتن گواهینامه پایه 1</x:v>
      </x:c>
      <x:c r="N2252" s="39" t="str">
        <x:v>1154878548.docx::P7368.1</x:v>
      </x:c>
      <x:c r="O2252" s="39"/>
    </x:row>
    <x:row r="2253">
      <x:c r="A2253" s="34" t="str">
        <x:v>☐</x:v>
      </x:c>
      <x:c r="B2253" s="34" t="str">
        <x:v>EX-2225</x:v>
      </x:c>
      <x:c r="C2253" s="34" t="str">
        <x:v>تقسیم بندی رشته ها</x:v>
      </x:c>
      <x:c r="D2253" s="34" t="str">
        <x:v>POSSIBLE</x:v>
      </x:c>
      <x:c r="E2253" s="34" t="str">
        <x:v>85.5</x:v>
      </x:c>
      <x:c r="F2253" s="34" t="str">
        <x:v>MI-1501</x:v>
      </x:c>
      <x:c r="G2253" s="39" t="str">
        <x:v>مدیریت ریسک: شناسایی ریسک ها، ارزیابی اثرات، تدوین برنامه های مقابله با ریسک ها.</x:v>
      </x:c>
      <x:c r="H2253" s="39" t="str">
        <x:v>H1</x:v>
      </x:c>
      <x:c r="I2253" s="39" t="str">
        <x:v>P0</x:v>
      </x:c>
      <x:c r="J2253" s="39" t="str">
        <x:v>H1</x:v>
      </x:c>
      <x:c r="K2253" s="39" t="str">
        <x:v>تطبیق احتمالی با پایه</x:v>
      </x:c>
      <x:c r="L2253" s="39" t="str">
        <x:v>MI-1501</x:v>
      </x:c>
      <x:c r="M2253" s="39" t="str">
        <x:v>مدیریت ریسک: شناسایی ریسک ها، ارزیابی اثرات، تدوین برنامه های مقابله با ریسک ها.</x:v>
      </x:c>
      <x:c r="N2253" s="39" t="str">
        <x:v>1154878548.docx::P7369.1</x:v>
      </x:c>
      <x:c r="O2253" s="39"/>
    </x:row>
    <x:row r="2254">
      <x:c r="A2254" s="34" t="str">
        <x:v>☐</x:v>
      </x:c>
      <x:c r="B2254" s="34" t="str">
        <x:v>EX-2226</x:v>
      </x:c>
      <x:c r="C2254" s="34" t="str">
        <x:v>بنابر تولید پادکست</x:v>
      </x:c>
      <x:c r="D2254" s="34" t="str">
        <x:v>POSSIBLE</x:v>
      </x:c>
      <x:c r="E2254" s="34" t="str">
        <x:v>85.5</x:v>
      </x:c>
      <x:c r="F2254" s="34" t="str">
        <x:v>MI-1513</x:v>
      </x:c>
      <x:c r="G2254" s="39" t="str">
        <x:v>تولید و کارآفرینی: توانایی تولید محصول و خدمات و ایجاد شغل.</x:v>
      </x:c>
      <x:c r="H2254" s="39" t="str">
        <x:v>H1</x:v>
      </x:c>
      <x:c r="I2254" s="39" t="str">
        <x:v>P0</x:v>
      </x:c>
      <x:c r="J2254" s="39" t="str">
        <x:v>H1</x:v>
      </x:c>
      <x:c r="K2254" s="39" t="str">
        <x:v>تطبیق احتمالی با پایه</x:v>
      </x:c>
      <x:c r="L2254" s="39" t="str">
        <x:v>MI-1513</x:v>
      </x:c>
      <x:c r="M2254" s="39" t="str">
        <x:v>تولید و کارآفرینی: توانایی تولید محصول و خدمات و ایجاد شغل.</x:v>
      </x:c>
      <x:c r="N2254" s="39" t="str">
        <x:v>1154878548.docx::P7370.1</x:v>
      </x:c>
      <x:c r="O2254" s="39"/>
    </x:row>
    <x:row r="2255">
      <x:c r="A2255" s="34" t="str">
        <x:v>☐</x:v>
      </x:c>
      <x:c r="B2255" s="34" t="str">
        <x:v>EX-2227</x:v>
      </x:c>
      <x:c r="C2255" s="34" t="str">
        <x:v>اپیزود -0 معرفی پادکست همراه با مسئول ارتباط با صنعت دانشگاه</x:v>
      </x:c>
      <x:c r="D2255" s="34" t="str">
        <x:v>POSSIBLE</x:v>
      </x:c>
      <x:c r="E2255" s="34" t="str">
        <x:v>90.0</x:v>
      </x:c>
      <x:c r="F2255" s="34" t="str">
        <x:v>MI-1038</x:v>
      </x:c>
      <x:c r="G2255" s="39" t="str">
        <x:v>ارتباط با صنعت</x:v>
      </x:c>
      <x:c r="H2255" s="39" t="str">
        <x:v>H14</x:v>
      </x:c>
      <x:c r="I2255" s="39" t="str">
        <x:v>P3</x:v>
      </x:c>
      <x:c r="J2255" s="39" t="str">
        <x:v>H14</x:v>
      </x:c>
      <x:c r="K2255" s="39" t="str">
        <x:v>تطبیق احتمالی با پایه</x:v>
      </x:c>
      <x:c r="L2255" s="39" t="str">
        <x:v>MI-1038</x:v>
      </x:c>
      <x:c r="M2255" s="39" t="str">
        <x:v>ارتباط با صنعت</x:v>
      </x:c>
      <x:c r="N2255" s="39" t="str">
        <x:v>1154878548.docx::P7371.1</x:v>
      </x:c>
      <x:c r="O2255" s="39"/>
    </x:row>
    <x:row r="2256">
      <x:c r="A2256" s="34" t="str">
        <x:v>☐</x:v>
      </x:c>
      <x:c r="B2256" s="34" t="str">
        <x:v>EX-2228</x:v>
      </x:c>
      <x:c r="C2256" s="34" t="str">
        <x:v>اپیزود های بعدی به ترتیب اولویت</x:v>
      </x:c>
      <x:c r="D2256" s="34" t="str">
        <x:v>POSSIBLE</x:v>
      </x:c>
      <x:c r="E2256" s="34" t="str">
        <x:v>85.5</x:v>
      </x:c>
      <x:c r="F2256" s="34" t="str">
        <x:v>MI-1501</x:v>
      </x:c>
      <x:c r="G2256" s="39" t="str">
        <x:v>مدیریت ریسک: شناسایی ریسک ها، ارزیابی اثرات، تدوین برنامه های مقابله با ریسک ها.</x:v>
      </x:c>
      <x:c r="H2256" s="39" t="str">
        <x:v>H1</x:v>
      </x:c>
      <x:c r="I2256" s="39" t="str">
        <x:v>P0</x:v>
      </x:c>
      <x:c r="J2256" s="39" t="str">
        <x:v>H1</x:v>
      </x:c>
      <x:c r="K2256" s="39" t="str">
        <x:v>تطبیق احتمالی با پایه</x:v>
      </x:c>
      <x:c r="L2256" s="39" t="str">
        <x:v>MI-1501</x:v>
      </x:c>
      <x:c r="M2256" s="39" t="str">
        <x:v>مدیریت ریسک: شناسایی ریسک ها، ارزیابی اثرات، تدوین برنامه های مقابله با ریسک ها.</x:v>
      </x:c>
      <x:c r="N2256" s="39" t="str">
        <x:v>1154878548.docx::P7372.1</x:v>
      </x:c>
      <x:c r="O2256" s="39"/>
    </x:row>
    <x:row r="2257">
      <x:c r="A2257" s="34" t="str">
        <x:v>☐</x:v>
      </x:c>
      <x:c r="B2257" s="34" t="str">
        <x:v>EX-2229</x:v>
      </x:c>
      <x:c r="C2257" s="34" t="str">
        <x:v>1-  مکانیک</x:v>
      </x:c>
      <x:c r="D2257" s="34" t="str">
        <x:v>POSSIBLE</x:v>
      </x:c>
      <x:c r="E2257" s="34" t="str">
        <x:v>85.5</x:v>
      </x:c>
      <x:c r="F2257" s="34" t="str">
        <x:v>MI-0050</x:v>
      </x:c>
      <x:c r="G2257" s="39" t="str">
        <x:v>گرفتن گواهینامه پایه 1</x:v>
      </x:c>
      <x:c r="H2257" s="39" t="str">
        <x:v>H1</x:v>
      </x:c>
      <x:c r="I2257" s="39" t="str">
        <x:v>P0</x:v>
      </x:c>
      <x:c r="J2257" s="39" t="str">
        <x:v>H1</x:v>
      </x:c>
      <x:c r="K2257" s="39" t="str">
        <x:v>تطبیق احتمالی با پایه</x:v>
      </x:c>
      <x:c r="L2257" s="39" t="str">
        <x:v>MI-0050</x:v>
      </x:c>
      <x:c r="M2257" s="39" t="str">
        <x:v>گرفتن گواهینامه پایه 1</x:v>
      </x:c>
      <x:c r="N2257" s="39" t="str">
        <x:v>1154878548.docx::P7373.1</x:v>
      </x:c>
      <x:c r="O2257" s="39"/>
    </x:row>
    <x:row r="2258">
      <x:c r="A2258" s="34" t="str">
        <x:v>☐</x:v>
      </x:c>
      <x:c r="B2258" s="34" t="str">
        <x:v>EX-2230</x:v>
      </x:c>
      <x:c r="C2258" s="34" t="str">
        <x:v>2- برق</x:v>
      </x:c>
      <x:c r="D2258" s="34" t="str">
        <x:v>POSSIBLE</x:v>
      </x:c>
      <x:c r="E2258" s="34" t="str">
        <x:v>85.5</x:v>
      </x:c>
      <x:c r="F2258" s="34" t="str">
        <x:v>MI-1635</x:v>
      </x:c>
      <x:c r="G2258" s="39" t="str">
        <x:v>مرحله 2: معرفی فرصت های صادراتی</x:v>
      </x:c>
      <x:c r="H2258" s="39" t="str">
        <x:v>H8</x:v>
      </x:c>
      <x:c r="I2258" s="39" t="str">
        <x:v>P2</x:v>
      </x:c>
      <x:c r="J2258" s="39" t="str">
        <x:v>H8</x:v>
      </x:c>
      <x:c r="K2258" s="39" t="str">
        <x:v>تطبیق احتمالی با پایه</x:v>
      </x:c>
      <x:c r="L2258" s="39" t="str">
        <x:v>MI-1635</x:v>
      </x:c>
      <x:c r="M2258" s="39" t="str">
        <x:v>مرحله 2: معرفی فرصت های صادراتی</x:v>
      </x:c>
      <x:c r="N2258" s="39" t="str">
        <x:v>1154878548.docx::P7374.1</x:v>
      </x:c>
      <x:c r="O2258" s="39"/>
    </x:row>
    <x:row r="2259">
      <x:c r="A2259" s="34" t="str">
        <x:v>☐</x:v>
      </x:c>
      <x:c r="B2259" s="34" t="str">
        <x:v>EX-2231</x:v>
      </x:c>
      <x:c r="C2259" s="34" t="str">
        <x:v>-3عمران</x:v>
      </x:c>
      <x:c r="D2259" s="34" t="str">
        <x:v>POSSIBLE</x:v>
      </x:c>
      <x:c r="E2259" s="34" t="str">
        <x:v>83.3</x:v>
      </x:c>
      <x:c r="F2259" s="34" t="str">
        <x:v>MI-0297</x:v>
      </x:c>
      <x:c r="G2259" s="39" t="str">
        <x:v>عمرانی</x:v>
      </x:c>
      <x:c r="H2259" s="39" t="str">
        <x:v>H11</x:v>
      </x:c>
      <x:c r="I2259" s="39" t="str">
        <x:v>DELEGATE/P2</x:v>
      </x:c>
      <x:c r="J2259" s="39" t="str">
        <x:v>H11</x:v>
      </x:c>
      <x:c r="K2259" s="39" t="str">
        <x:v>تطبیق احتمالی با پایه</x:v>
      </x:c>
      <x:c r="L2259" s="39" t="str">
        <x:v>MI-0297</x:v>
      </x:c>
      <x:c r="M2259" s="39" t="str">
        <x:v>عمرانی</x:v>
      </x:c>
      <x:c r="N2259" s="39" t="str">
        <x:v>1154878548.docx::P7375.1</x:v>
      </x:c>
      <x:c r="O2259" s="39"/>
    </x:row>
    <x:row r="2260">
      <x:c r="A2260" s="34" t="str">
        <x:v>☐</x:v>
      </x:c>
      <x:c r="B2260" s="34" t="str">
        <x:v>EX-2232</x:v>
      </x:c>
      <x:c r="C2260" s="34" t="str">
        <x:v>-4 کامپیوتر</x:v>
      </x:c>
      <x:c r="D2260" s="34" t="str">
        <x:v>POSSIBLE</x:v>
      </x:c>
      <x:c r="E2260" s="34" t="str">
        <x:v>85.5</x:v>
      </x:c>
      <x:c r="F2260" s="34" t="str">
        <x:v>MI-1448</x:v>
      </x:c>
      <x:c r="G2260" s="39" t="str">
        <x:v>پول هییت قبلا چوقدر هست دست من؟؟؟ قبلا 4,290 بوده . چقدر به سید دادم.</x:v>
      </x:c>
      <x:c r="H2260" s="39" t="str">
        <x:v>H1</x:v>
      </x:c>
      <x:c r="I2260" s="39" t="str">
        <x:v>P0</x:v>
      </x:c>
      <x:c r="J2260" s="39" t="str">
        <x:v>H1</x:v>
      </x:c>
      <x:c r="K2260" s="39" t="str">
        <x:v>تطبیق احتمالی با پایه</x:v>
      </x:c>
      <x:c r="L2260" s="39" t="str">
        <x:v>MI-1448</x:v>
      </x:c>
      <x:c r="M2260" s="39" t="str">
        <x:v>پول هییت قبلا چوقدر هست دست من؟؟؟ قبلا 4,290 بوده . چقدر به سید دادم.</x:v>
      </x:c>
      <x:c r="N2260" s="39" t="str">
        <x:v>1154878548.docx::P7376.1</x:v>
      </x:c>
      <x:c r="O2260" s="39"/>
    </x:row>
    <x:row r="2261">
      <x:c r="A2261" s="34" t="str">
        <x:v>☐</x:v>
      </x:c>
      <x:c r="B2261" s="34" t="str">
        <x:v>EX-2233</x:v>
      </x:c>
      <x:c r="C2261" s="34" t="str">
        <x:v>0000</x:v>
      </x:c>
      <x:c r="D2261" s="34" t="str">
        <x:v>UNMAPPED</x:v>
      </x:c>
      <x:c r="E2261" s="34" t="str">
        <x:v>67.5</x:v>
      </x:c>
      <x:c r="F2261" s="34" t="str">
        <x:v>MI-0461</x:v>
      </x:c>
      <x:c r="G2261" s="39" t="str">
        <x:v>44000 سند منگوله دار رضا پالان</x:v>
      </x:c>
      <x:c r="H2261" s="39" t="str">
        <x:v>H18</x:v>
      </x:c>
      <x:c r="I2261" s="39" t="str">
        <x:v>BANK</x:v>
      </x:c>
      <x:c r="J2261" s="39" t="str">
        <x:v>STRUCT</x:v>
      </x:c>
      <x:c r="K2261" s="39" t="str">
        <x:v>ساختار/برچسب</x:v>
      </x:c>
      <x:c r="L2261" s="39"/>
      <x:c r="M2261" s="39"/>
      <x:c r="N2261" s="39" t="str">
        <x:v>1154878548.docx::P7377.1</x:v>
      </x:c>
      <x:c r="O2261" s="39"/>
    </x:row>
    <x:row r="2262">
      <x:c r="A2262" s="34" t="str">
        <x:v>☐</x:v>
      </x:c>
      <x:c r="B2262" s="34" t="str">
        <x:v>EX-2234</x:v>
      </x:c>
      <x:c r="C2262" s="34" t="str">
        <x:v>2.کلاس</x:v>
      </x:c>
      <x:c r="D2262" s="34" t="str">
        <x:v>POSSIBLE</x:v>
      </x:c>
      <x:c r="E2262" s="34" t="str">
        <x:v>85.5</x:v>
      </x:c>
      <x:c r="F2262" s="34" t="str">
        <x:v>MI-1635</x:v>
      </x:c>
      <x:c r="G2262" s="39" t="str">
        <x:v>مرحله 2: معرفی فرصت های صادراتی</x:v>
      </x:c>
      <x:c r="H2262" s="39" t="str">
        <x:v>H8</x:v>
      </x:c>
      <x:c r="I2262" s="39" t="str">
        <x:v>P2</x:v>
      </x:c>
      <x:c r="J2262" s="39" t="str">
        <x:v>H8</x:v>
      </x:c>
      <x:c r="K2262" s="39" t="str">
        <x:v>تطبیق احتمالی با پایه</x:v>
      </x:c>
      <x:c r="L2262" s="39" t="str">
        <x:v>MI-1635</x:v>
      </x:c>
      <x:c r="M2262" s="39" t="str">
        <x:v>مرحله 2: معرفی فرصت های صادراتی</x:v>
      </x:c>
      <x:c r="N2262" s="39" t="str">
        <x:v>1154878548.docx::P7378.1</x:v>
      </x:c>
      <x:c r="O2262" s="39"/>
    </x:row>
    <x:row r="2263">
      <x:c r="A2263" s="34" t="str">
        <x:v>☐</x:v>
      </x:c>
      <x:c r="B2263" s="34" t="str">
        <x:v>EX-2235</x:v>
      </x:c>
      <x:c r="C2263" s="34" t="str">
        <x:v>تعیین موضوع کلاس</x:v>
      </x:c>
      <x:c r="D2263" s="34" t="str">
        <x:v>POSSIBLE</x:v>
      </x:c>
      <x:c r="E2263" s="34" t="str">
        <x:v>85.5</x:v>
      </x:c>
      <x:c r="F2263" s="34" t="str">
        <x:v>MI-3058</x:v>
      </x:c>
      <x:c r="G2263" s="39" t="str">
        <x:v>آیا سابقه بیماری خاص و یا آلرژی یا عمل جراحی داشتید؟ و این موضوع برای شما محدودیت شغلی ایجاد کرده است؟</x:v>
      </x:c>
      <x:c r="H2263" s="39" t="str">
        <x:v>H3</x:v>
      </x:c>
      <x:c r="I2263" s="39" t="str">
        <x:v>P3/CLARIFY</x:v>
      </x:c>
      <x:c r="J2263" s="39" t="str">
        <x:v>H3</x:v>
      </x:c>
      <x:c r="K2263" s="39" t="str">
        <x:v>تطبیق احتمالی با پایه</x:v>
      </x:c>
      <x:c r="L2263" s="39" t="str">
        <x:v>MI-3058</x:v>
      </x:c>
      <x:c r="M2263" s="39" t="str">
        <x:v>آیا سابقه بیماری خاص و یا آلرژی یا عمل جراحی داشتید؟ و این موضوع برای شما محدودیت شغلی ایجاد کرده است؟</x:v>
      </x:c>
      <x:c r="N2263" s="39" t="str">
        <x:v>1154878548.docx::P7379.1</x:v>
      </x:c>
      <x:c r="O2263" s="39"/>
    </x:row>
    <x:row r="2264">
      <x:c r="A2264" s="34" t="str">
        <x:v>☐</x:v>
      </x:c>
      <x:c r="B2264" s="34" t="str">
        <x:v>EX-2236</x:v>
      </x:c>
      <x:c r="C2264" s="34" t="str">
        <x:v>مهارت های نرم افزاری</x:v>
      </x:c>
      <x:c r="D2264" s="34" t="str">
        <x:v>POSSIBLE</x:v>
      </x:c>
      <x:c r="E2264" s="34" t="str">
        <x:v>90.0</x:v>
      </x:c>
      <x:c r="F2264" s="34" t="str">
        <x:v>MI-1470</x:v>
      </x:c>
      <x:c r="G2264" s="39" t="str">
        <x:v>مهارت های نرم:</x:v>
      </x:c>
      <x:c r="H2264" s="39" t="str">
        <x:v>H1</x:v>
      </x:c>
      <x:c r="I2264" s="39" t="str">
        <x:v>P0</x:v>
      </x:c>
      <x:c r="J2264" s="39" t="str">
        <x:v>H1</x:v>
      </x:c>
      <x:c r="K2264" s="39" t="str">
        <x:v>تطبیق احتمالی با پایه</x:v>
      </x:c>
      <x:c r="L2264" s="39" t="str">
        <x:v>MI-1470</x:v>
      </x:c>
      <x:c r="M2264" s="39" t="str">
        <x:v>مهارت های نرم:</x:v>
      </x:c>
      <x:c r="N2264" s="39" t="str">
        <x:v>1154878548.docx::P7380.1</x:v>
      </x:c>
      <x:c r="O2264" s="39"/>
    </x:row>
    <x:row r="2265">
      <x:c r="A2265" s="34" t="str">
        <x:v>☐</x:v>
      </x:c>
      <x:c r="B2265" s="34" t="str">
        <x:v>EX-2237</x:v>
      </x:c>
      <x:c r="C2265" s="34" t="str">
        <x:v>کلاس های آموزشی توسعه فردی</x:v>
      </x:c>
      <x:c r="D2265" s="34" t="str">
        <x:v>POSSIBLE</x:v>
      </x:c>
      <x:c r="E2265" s="34" t="str">
        <x:v>90.0</x:v>
      </x:c>
      <x:c r="F2265" s="34" t="str">
        <x:v>MI-2601</x:v>
      </x:c>
      <x:c r="G2265" s="39" t="str">
        <x:v>آموزش:</x:v>
      </x:c>
      <x:c r="H2265" s="39" t="str">
        <x:v>H20</x:v>
      </x:c>
      <x:c r="I2265" s="39" t="str">
        <x:v>P3/CLARIFY</x:v>
      </x:c>
      <x:c r="J2265" s="39" t="str">
        <x:v>H20</x:v>
      </x:c>
      <x:c r="K2265" s="39" t="str">
        <x:v>تطبیق احتمالی با پایه</x:v>
      </x:c>
      <x:c r="L2265" s="39" t="str">
        <x:v>MI-2601</x:v>
      </x:c>
      <x:c r="M2265" s="39" t="str">
        <x:v>آموزش:</x:v>
      </x:c>
      <x:c r="N2265" s="39" t="str">
        <x:v>1154878548.docx::P7382.1</x:v>
      </x:c>
      <x:c r="O2265" s="39"/>
    </x:row>
    <x:row r="2266">
      <x:c r="A2266" s="34" t="str">
        <x:v>☐</x:v>
      </x:c>
      <x:c r="B2266" s="34" t="str">
        <x:v>EX-2238</x:v>
      </x:c>
      <x:c r="C2266" s="34" t="str">
        <x:v>محل برگزاری دانشگاه با همکاری ارتباط با صنعت و انجمن ها</x:v>
      </x:c>
      <x:c r="D2266" s="34" t="str">
        <x:v>POSSIBLE</x:v>
      </x:c>
      <x:c r="E2266" s="34" t="str">
        <x:v>90.0</x:v>
      </x:c>
      <x:c r="F2266" s="34" t="str">
        <x:v>MI-1038</x:v>
      </x:c>
      <x:c r="G2266" s="39" t="str">
        <x:v>ارتباط با صنعت</x:v>
      </x:c>
      <x:c r="H2266" s="39" t="str">
        <x:v>H14</x:v>
      </x:c>
      <x:c r="I2266" s="39" t="str">
        <x:v>P3</x:v>
      </x:c>
      <x:c r="J2266" s="39" t="str">
        <x:v>H14</x:v>
      </x:c>
      <x:c r="K2266" s="39" t="str">
        <x:v>تطبیق احتمالی با پایه</x:v>
      </x:c>
      <x:c r="L2266" s="39" t="str">
        <x:v>MI-1038</x:v>
      </x:c>
      <x:c r="M2266" s="39" t="str">
        <x:v>ارتباط با صنعت</x:v>
      </x:c>
      <x:c r="N2266" s="39" t="str">
        <x:v>1154878548.docx::P7383.1</x:v>
      </x:c>
      <x:c r="O2266" s="39"/>
    </x:row>
    <x:row r="2267">
      <x:c r="A2267" s="34" t="str">
        <x:v>☐</x:v>
      </x:c>
      <x:c r="B2267" s="34" t="str">
        <x:v>EX-2239</x:v>
      </x:c>
      <x:c r="C2267" s="34" t="str">
        <x:v>با توجه به نوع کلاس دریافت هزینه از دانشجویان</x:v>
      </x:c>
      <x:c r="D2267" s="34" t="str">
        <x:v>POSSIBLE</x:v>
      </x:c>
      <x:c r="E2267" s="34" t="str">
        <x:v>90.0</x:v>
      </x:c>
      <x:c r="F2267" s="34" t="str">
        <x:v>MI-2707</x:v>
      </x:c>
      <x:c r="G2267" s="39" t="str">
        <x:v>دانشجویان</x:v>
      </x:c>
      <x:c r="H2267" s="39" t="str">
        <x:v>H11</x:v>
      </x:c>
      <x:c r="I2267" s="39" t="str">
        <x:v>DELEGATE/P2</x:v>
      </x:c>
      <x:c r="J2267" s="39" t="str">
        <x:v>H11</x:v>
      </x:c>
      <x:c r="K2267" s="39" t="str">
        <x:v>تطبیق احتمالی با پایه</x:v>
      </x:c>
      <x:c r="L2267" s="39" t="str">
        <x:v>MI-2707</x:v>
      </x:c>
      <x:c r="M2267" s="39" t="str">
        <x:v>دانشجویان</x:v>
      </x:c>
      <x:c r="N2267" s="39" t="str">
        <x:v>1154878548.docx::P7384.1</x:v>
      </x:c>
      <x:c r="O2267" s="39"/>
    </x:row>
    <x:row r="2268">
      <x:c r="A2268" s="34" t="str">
        <x:v>☐</x:v>
      </x:c>
      <x:c r="B2268" s="34" t="str">
        <x:v>EX-2240</x:v>
      </x:c>
      <x:c r="C2268" s="34" t="str">
        <x:v>ارتباط با شرکت ها و صنعت ها برای بازدید</x:v>
      </x:c>
      <x:c r="D2268" s="34" t="str">
        <x:v>POSSIBLE</x:v>
      </x:c>
      <x:c r="E2268" s="34" t="str">
        <x:v>90.0</x:v>
      </x:c>
      <x:c r="F2268" s="34" t="str">
        <x:v>MI-1974</x:v>
      </x:c>
      <x:c r="G2268" s="39" t="str">
        <x:v>شرکت ها</x:v>
      </x:c>
      <x:c r="H2268" s="39" t="str">
        <x:v>H20</x:v>
      </x:c>
      <x:c r="I2268" s="39" t="str">
        <x:v>P3/CLARIFY</x:v>
      </x:c>
      <x:c r="J2268" s="39" t="str">
        <x:v>H20</x:v>
      </x:c>
      <x:c r="K2268" s="39" t="str">
        <x:v>تطبیق احتمالی با پایه</x:v>
      </x:c>
      <x:c r="L2268" s="39" t="str">
        <x:v>MI-1974</x:v>
      </x:c>
      <x:c r="M2268" s="39" t="str">
        <x:v>شرکت ها</x:v>
      </x:c>
      <x:c r="N2268" s="39" t="str">
        <x:v>1154878548.docx::P7386.1</x:v>
      </x:c>
      <x:c r="O2268" s="39"/>
    </x:row>
    <x:row r="2269">
      <x:c r="A2269" s="34" t="str">
        <x:v>☐</x:v>
      </x:c>
      <x:c r="B2269" s="34" t="str">
        <x:v>EX-2241</x:v>
      </x:c>
      <x:c r="C2269" s="34" t="str">
        <x:v>شرکت اساتید</x:v>
      </x:c>
      <x:c r="D2269" s="34" t="str">
        <x:v>POSSIBLE</x:v>
      </x:c>
      <x:c r="E2269" s="34" t="str">
        <x:v>85.5</x:v>
      </x:c>
      <x:c r="F2269" s="34" t="str">
        <x:v>MI-1538</x:v>
      </x:c>
      <x:c r="G2269" s="39" t="str">
        <x:v>فعالیت های فرهنگی: شرکت در فعالیت های هنری، موسیقی، تیاتر، سینما، نگارش، خوشنویسی.</x:v>
      </x:c>
      <x:c r="H2269" s="39" t="str">
        <x:v>H1</x:v>
      </x:c>
      <x:c r="I2269" s="39" t="str">
        <x:v>P0</x:v>
      </x:c>
      <x:c r="J2269" s="39" t="str">
        <x:v>H1</x:v>
      </x:c>
      <x:c r="K2269" s="39" t="str">
        <x:v>تطبیق احتمالی با پایه</x:v>
      </x:c>
      <x:c r="L2269" s="39" t="str">
        <x:v>MI-1538</x:v>
      </x:c>
      <x:c r="M2269" s="39" t="str">
        <x:v>فعالیت های فرهنگی: شرکت در فعالیت های هنری، موسیقی، تیاتر، سینما، نگارش، خوشنویسی.</x:v>
      </x:c>
      <x:c r="N2269" s="39" t="str">
        <x:v>1154878548.docx::P7387.1</x:v>
      </x:c>
      <x:c r="O2269" s="39"/>
    </x:row>
    <x:row r="2270">
      <x:c r="A2270" s="34" t="str">
        <x:v>☐</x:v>
      </x:c>
      <x:c r="B2270" s="34" t="str">
        <x:v>EX-2242</x:v>
      </x:c>
      <x:c r="C2270" s="34" t="str">
        <x:v>کانون فارغ التحصیلان</x:v>
      </x:c>
      <x:c r="D2270" s="34" t="str">
        <x:v>POSSIBLE</x:v>
      </x:c>
      <x:c r="E2270" s="34" t="str">
        <x:v>90.0</x:v>
      </x:c>
      <x:c r="F2270" s="34" t="str">
        <x:v>MI-1420</x:v>
      </x:c>
      <x:c r="G2270" s="39" t="str">
        <x:v>موفقیت بچه های کانون فارغ التحصیلان</x:v>
      </x:c>
      <x:c r="H2270" s="39" t="str">
        <x:v>H15</x:v>
      </x:c>
      <x:c r="I2270" s="39" t="str">
        <x:v>P3/CLARIFY</x:v>
      </x:c>
      <x:c r="J2270" s="39" t="str">
        <x:v>H15</x:v>
      </x:c>
      <x:c r="K2270" s="39" t="str">
        <x:v>تطبیق احتمالی با پایه</x:v>
      </x:c>
      <x:c r="L2270" s="39" t="str">
        <x:v>MI-1420</x:v>
      </x:c>
      <x:c r="M2270" s="39" t="str">
        <x:v>موفقیت بچه های کانون فارغ التحصیلان</x:v>
      </x:c>
      <x:c r="N2270" s="39" t="str">
        <x:v>1154878548.docx::P7388.1</x:v>
      </x:c>
      <x:c r="O2270" s="39"/>
    </x:row>
    <x:row r="2271">
      <x:c r="A2271" s="34" t="str">
        <x:v>☐</x:v>
      </x:c>
      <x:c r="B2271" s="34" t="str">
        <x:v>EX-2243</x:v>
      </x:c>
      <x:c r="C2271" s="34" t="str">
        <x:v>معرفی دانشجو</x:v>
      </x:c>
      <x:c r="D2271" s="34" t="str">
        <x:v>POSSIBLE</x:v>
      </x:c>
      <x:c r="E2271" s="34" t="str">
        <x:v>90.0</x:v>
      </x:c>
      <x:c r="F2271" s="34" t="str">
        <x:v>MI-2622</x:v>
      </x:c>
      <x:c r="G2271" s="39" t="str">
        <x:v>دانش</x:v>
      </x:c>
      <x:c r="H2271" s="39" t="str">
        <x:v>H20</x:v>
      </x:c>
      <x:c r="I2271" s="39" t="str">
        <x:v>P3/CLARIFY</x:v>
      </x:c>
      <x:c r="J2271" s="39" t="str">
        <x:v>H20</x:v>
      </x:c>
      <x:c r="K2271" s="39" t="str">
        <x:v>تطبیق احتمالی با پایه</x:v>
      </x:c>
      <x:c r="L2271" s="39" t="str">
        <x:v>MI-2622</x:v>
      </x:c>
      <x:c r="M2271" s="39" t="str">
        <x:v>دانش</x:v>
      </x:c>
      <x:c r="N2271" s="39" t="str">
        <x:v>1154878548.docx::P7389.1</x:v>
      </x:c>
      <x:c r="O2271" s="39"/>
    </x:row>
    <x:row r="2272">
      <x:c r="A2272" s="34" t="str">
        <x:v>☐</x:v>
      </x:c>
      <x:c r="B2272" s="34" t="str">
        <x:v>EX-2244</x:v>
      </x:c>
      <x:c r="C2272" s="34" t="str">
        <x:v>معرفی فرصت های شغلی از طرف شرکت ها</x:v>
      </x:c>
      <x:c r="D2272" s="34" t="str">
        <x:v>POSSIBLE</x:v>
      </x:c>
      <x:c r="E2272" s="34" t="str">
        <x:v>90.0</x:v>
      </x:c>
      <x:c r="F2272" s="34" t="str">
        <x:v>MI-2637</x:v>
      </x:c>
      <x:c r="G2272" s="39" t="str">
        <x:v>معرفی فرصت های شغلی</x:v>
      </x:c>
      <x:c r="H2272" s="39" t="str">
        <x:v>H3</x:v>
      </x:c>
      <x:c r="I2272" s="39" t="str">
        <x:v>P3/CLARIFY</x:v>
      </x:c>
      <x:c r="J2272" s="39" t="str">
        <x:v>H3</x:v>
      </x:c>
      <x:c r="K2272" s="39" t="str">
        <x:v>تطبیق احتمالی با پایه</x:v>
      </x:c>
      <x:c r="L2272" s="39" t="str">
        <x:v>MI-2637</x:v>
      </x:c>
      <x:c r="M2272" s="39" t="str">
        <x:v>معرفی فرصت های شغلی</x:v>
      </x:c>
      <x:c r="N2272" s="39" t="str">
        <x:v>1154878548.docx::P7390.1</x:v>
      </x:c>
      <x:c r="O2272" s="39"/>
    </x:row>
    <x:row r="2273">
      <x:c r="A2273" s="34" t="str">
        <x:v>☐</x:v>
      </x:c>
      <x:c r="B2273" s="34" t="str">
        <x:v>EX-2245</x:v>
      </x:c>
      <x:c r="C2273" s="34" t="str">
        <x:v>متناسب با توانایی دانشجو و معرفی به انها</x:v>
      </x:c>
      <x:c r="D2273" s="34" t="str">
        <x:v>POSSIBLE</x:v>
      </x:c>
      <x:c r="E2273" s="34" t="str">
        <x:v>85.5</x:v>
      </x:c>
      <x:c r="F2273" s="34" t="str">
        <x:v>MI-1501</x:v>
      </x:c>
      <x:c r="G2273" s="39" t="str">
        <x:v>مدیریت ریسک: شناسایی ریسک ها، ارزیابی اثرات، تدوین برنامه های مقابله با ریسک ها.</x:v>
      </x:c>
      <x:c r="H2273" s="39" t="str">
        <x:v>H1</x:v>
      </x:c>
      <x:c r="I2273" s="39" t="str">
        <x:v>P0</x:v>
      </x:c>
      <x:c r="J2273" s="39" t="str">
        <x:v>H1</x:v>
      </x:c>
      <x:c r="K2273" s="39" t="str">
        <x:v>تطبیق احتمالی با پایه</x:v>
      </x:c>
      <x:c r="L2273" s="39" t="str">
        <x:v>MI-1501</x:v>
      </x:c>
      <x:c r="M2273" s="39" t="str">
        <x:v>مدیریت ریسک: شناسایی ریسک ها، ارزیابی اثرات، تدوین برنامه های مقابله با ریسک ها.</x:v>
      </x:c>
      <x:c r="N2273" s="39" t="str">
        <x:v>1154878548.docx::P7391.1</x:v>
      </x:c>
      <x:c r="O2273" s="39"/>
    </x:row>
    <x:row r="2274">
      <x:c r="A2274" s="34" t="str">
        <x:v>☐</x:v>
      </x:c>
      <x:c r="B2274" s="34" t="str">
        <x:v>EX-2246</x:v>
      </x:c>
      <x:c r="C2274" s="34" t="str">
        <x:v>دریافت هزینه برای ارتباط بین دانشجو و شرکت ها</x:v>
      </x:c>
      <x:c r="D2274" s="34" t="str">
        <x:v>POSSIBLE</x:v>
      </x:c>
      <x:c r="E2274" s="34" t="str">
        <x:v>90.0</x:v>
      </x:c>
      <x:c r="F2274" s="34" t="str">
        <x:v>MI-1974</x:v>
      </x:c>
      <x:c r="G2274" s="39" t="str">
        <x:v>شرکت ها</x:v>
      </x:c>
      <x:c r="H2274" s="39" t="str">
        <x:v>H20</x:v>
      </x:c>
      <x:c r="I2274" s="39" t="str">
        <x:v>P3/CLARIFY</x:v>
      </x:c>
      <x:c r="J2274" s="39" t="str">
        <x:v>H20</x:v>
      </x:c>
      <x:c r="K2274" s="39" t="str">
        <x:v>تطبیق احتمالی با پایه</x:v>
      </x:c>
      <x:c r="L2274" s="39" t="str">
        <x:v>MI-1974</x:v>
      </x:c>
      <x:c r="M2274" s="39" t="str">
        <x:v>شرکت ها</x:v>
      </x:c>
      <x:c r="N2274" s="39" t="str">
        <x:v>1154878548.docx::P7392.1</x:v>
      </x:c>
      <x:c r="O2274" s="39"/>
    </x:row>
    <x:row r="2275">
      <x:c r="A2275" s="34" t="str">
        <x:v>☐</x:v>
      </x:c>
      <x:c r="B2275" s="34" t="str">
        <x:v>EX-2247</x:v>
      </x:c>
      <x:c r="C2275" s="34" t="str">
        <x:v>فضا ارتباطی</x:v>
      </x:c>
      <x:c r="D2275" s="34" t="str">
        <x:v>POSSIBLE</x:v>
      </x:c>
      <x:c r="E2275" s="34" t="str">
        <x:v>85.5</x:v>
      </x:c>
      <x:c r="F2275" s="34" t="str">
        <x:v>MI-1461</x:v>
      </x:c>
      <x:c r="G2275" s="39" t="str">
        <x:v>مهارت های ارتباطی و بین فردی</x:v>
      </x:c>
      <x:c r="H2275" s="39" t="str">
        <x:v>H1</x:v>
      </x:c>
      <x:c r="I2275" s="39" t="str">
        <x:v>P0</x:v>
      </x:c>
      <x:c r="J2275" s="39" t="str">
        <x:v>H1</x:v>
      </x:c>
      <x:c r="K2275" s="39" t="str">
        <x:v>تطبیق احتمالی با پایه</x:v>
      </x:c>
      <x:c r="L2275" s="39" t="str">
        <x:v>MI-1461</x:v>
      </x:c>
      <x:c r="M2275" s="39" t="str">
        <x:v>مهارت های ارتباطی و بین فردی</x:v>
      </x:c>
      <x:c r="N2275" s="39" t="str">
        <x:v>1154878548.docx::P7393.1</x:v>
      </x:c>
      <x:c r="O2275" s="39"/>
    </x:row>
    <x:row r="2276">
      <x:c r="A2276" s="34" t="str">
        <x:v>☐</x:v>
      </x:c>
      <x:c r="B2276" s="34" t="str">
        <x:v>EX-2248</x:v>
      </x:c>
      <x:c r="C2276" s="34" t="str">
        <x:v>شبکه اجتماعی</x:v>
      </x:c>
      <x:c r="D2276" s="34" t="str">
        <x:v>POSSIBLE</x:v>
      </x:c>
      <x:c r="E2276" s="34" t="str">
        <x:v>90.0</x:v>
      </x:c>
      <x:c r="F2276" s="34" t="str">
        <x:v>MI-0288</x:v>
      </x:c>
      <x:c r="G2276" s="39" t="str">
        <x:v>اجتماعی</x:v>
      </x:c>
      <x:c r="H2276" s="39" t="str">
        <x:v>H15</x:v>
      </x:c>
      <x:c r="I2276" s="39" t="str">
        <x:v>P3/CLARIFY</x:v>
      </x:c>
      <x:c r="J2276" s="39" t="str">
        <x:v>H15</x:v>
      </x:c>
      <x:c r="K2276" s="39" t="str">
        <x:v>تطبیق احتمالی با پایه</x:v>
      </x:c>
      <x:c r="L2276" s="39" t="str">
        <x:v>MI-0288</x:v>
      </x:c>
      <x:c r="M2276" s="39" t="str">
        <x:v>اجتماعی</x:v>
      </x:c>
      <x:c r="N2276" s="39" t="str">
        <x:v>1154878548.docx::P7395.1</x:v>
      </x:c>
      <x:c r="O2276" s="39"/>
    </x:row>
    <x:row r="2277">
      <x:c r="A2277" s="34" t="str">
        <x:v>☐</x:v>
      </x:c>
      <x:c r="B2277" s="34" t="str">
        <x:v>EX-2249</x:v>
      </x:c>
      <x:c r="C2277" s="34" t="str">
        <x:v>کانال تلگرام</x:v>
      </x:c>
      <x:c r="D2277" s="34" t="str">
        <x:v>POSSIBLE</x:v>
      </x:c>
      <x:c r="E2277" s="34" t="str">
        <x:v>85.5</x:v>
      </x:c>
      <x:c r="F2277" s="34" t="str">
        <x:v>MI-0763</x:v>
      </x:c>
      <x:c r="G2277" s="39" t="str">
        <x:v>قرار دادن جدول غذا در کانال و یادآوری غذای هفته</x:v>
      </x:c>
      <x:c r="H2277" s="39" t="str">
        <x:v>H11</x:v>
      </x:c>
      <x:c r="I2277" s="39" t="str">
        <x:v>DELEGATE/P2</x:v>
      </x:c>
      <x:c r="J2277" s="39" t="str">
        <x:v>H11</x:v>
      </x:c>
      <x:c r="K2277" s="39" t="str">
        <x:v>تطبیق احتمالی با پایه</x:v>
      </x:c>
      <x:c r="L2277" s="39" t="str">
        <x:v>MI-0763</x:v>
      </x:c>
      <x:c r="M2277" s="39" t="str">
        <x:v>قرار دادن جدول غذا در کانال و یادآوری غذای هفته</x:v>
      </x:c>
      <x:c r="N2277" s="39" t="str">
        <x:v>1154878548.docx::P7396.1</x:v>
      </x:c>
      <x:c r="O2277" s="39"/>
    </x:row>
    <x:row r="2278">
      <x:c r="A2278" s="34" t="str">
        <x:v>☐</x:v>
      </x:c>
      <x:c r="B2278" s="34" t="str">
        <x:v>EX-2250</x:v>
      </x:c>
      <x:c r="C2278" s="34" t="str">
        <x:v>مسئول کانال</x:v>
      </x:c>
      <x:c r="D2278" s="34" t="str">
        <x:v>POSSIBLE</x:v>
      </x:c>
      <x:c r="E2278" s="34" t="str">
        <x:v>85.5</x:v>
      </x:c>
      <x:c r="F2278" s="34" t="str">
        <x:v>MI-0763</x:v>
      </x:c>
      <x:c r="G2278" s="39" t="str">
        <x:v>قرار دادن جدول غذا در کانال و یادآوری غذای هفته</x:v>
      </x:c>
      <x:c r="H2278" s="39" t="str">
        <x:v>H11</x:v>
      </x:c>
      <x:c r="I2278" s="39" t="str">
        <x:v>DELEGATE/P2</x:v>
      </x:c>
      <x:c r="J2278" s="39" t="str">
        <x:v>H11</x:v>
      </x:c>
      <x:c r="K2278" s="39" t="str">
        <x:v>تطبیق احتمالی با پایه</x:v>
      </x:c>
      <x:c r="L2278" s="39" t="str">
        <x:v>MI-0763</x:v>
      </x:c>
      <x:c r="M2278" s="39" t="str">
        <x:v>قرار دادن جدول غذا در کانال و یادآوری غذای هفته</x:v>
      </x:c>
      <x:c r="N2278" s="39" t="str">
        <x:v>1154878548.docx::P7397.1</x:v>
      </x:c>
      <x:c r="O2278" s="39"/>
    </x:row>
    <x:row r="2279">
      <x:c r="A2279" s="34" t="str">
        <x:v>☐</x:v>
      </x:c>
      <x:c r="B2279" s="34" t="str">
        <x:v>EX-2251</x:v>
      </x:c>
      <x:c r="C2279" s="34" t="str">
        <x:v>عکس کانال</x:v>
      </x:c>
      <x:c r="D2279" s="34" t="str">
        <x:v>POSSIBLE</x:v>
      </x:c>
      <x:c r="E2279" s="34" t="str">
        <x:v>85.5</x:v>
      </x:c>
      <x:c r="F2279" s="34" t="str">
        <x:v>MI-0616</x:v>
      </x:c>
      <x:c r="G2279" s="39" t="str">
        <x:v>تهیه اتاق گالری برای آرشیو عکس ها</x:v>
      </x:c>
      <x:c r="H2279" s="39" t="str">
        <x:v>H4</x:v>
      </x:c>
      <x:c r="I2279" s="39" t="str">
        <x:v>P1</x:v>
      </x:c>
      <x:c r="J2279" s="39" t="str">
        <x:v>H4</x:v>
      </x:c>
      <x:c r="K2279" s="39" t="str">
        <x:v>تطبیق احتمالی با پایه</x:v>
      </x:c>
      <x:c r="L2279" s="39" t="str">
        <x:v>MI-0616</x:v>
      </x:c>
      <x:c r="M2279" s="39" t="str">
        <x:v>تهیه اتاق گالری برای آرشیو عکس ها</x:v>
      </x:c>
      <x:c r="N2279" s="39" t="str">
        <x:v>1154878548.docx::P7399.1</x:v>
      </x:c>
      <x:c r="O2279" s="39"/>
    </x:row>
    <x:row r="2280">
      <x:c r="A2280" s="34" t="str">
        <x:v>☐</x:v>
      </x:c>
      <x:c r="B2280" s="34" t="str">
        <x:v>EX-2252</x:v>
      </x:c>
      <x:c r="C2280" s="34" t="str">
        <x:v>زمان بندی محتوی</x:v>
      </x:c>
      <x:c r="D2280" s="34" t="str">
        <x:v>POSSIBLE</x:v>
      </x:c>
      <x:c r="E2280" s="34" t="str">
        <x:v>85.5</x:v>
      </x:c>
      <x:c r="F2280" s="34" t="str">
        <x:v>MI-1503</x:v>
      </x:c>
      <x:c r="G2280" s="39" t="str">
        <x:v>مدیریت زمان: اولویت بندی، برنامه ریزی، تمرکز.</x:v>
      </x:c>
      <x:c r="H2280" s="39" t="str">
        <x:v>H1</x:v>
      </x:c>
      <x:c r="I2280" s="39" t="str">
        <x:v>P0</x:v>
      </x:c>
      <x:c r="J2280" s="39" t="str">
        <x:v>H1</x:v>
      </x:c>
      <x:c r="K2280" s="39" t="str">
        <x:v>تطبیق احتمالی با پایه</x:v>
      </x:c>
      <x:c r="L2280" s="39" t="str">
        <x:v>MI-1503</x:v>
      </x:c>
      <x:c r="M2280" s="39" t="str">
        <x:v>مدیریت زمان: اولویت بندی، برنامه ریزی، تمرکز.</x:v>
      </x:c>
      <x:c r="N2280" s="39" t="str">
        <x:v>1154878548.docx::P7400.1</x:v>
      </x:c>
      <x:c r="O2280" s="39"/>
    </x:row>
    <x:row r="2281">
      <x:c r="A2281" s="34" t="str">
        <x:v>☐</x:v>
      </x:c>
      <x:c r="B2281" s="34" t="str">
        <x:v>EX-2253</x:v>
      </x:c>
      <x:c r="C2281" s="34" t="str">
        <x:v>موازی با تلگرام</x:v>
      </x:c>
      <x:c r="D2281" s="34" t="str">
        <x:v>POSSIBLE</x:v>
      </x:c>
      <x:c r="E2281" s="34" t="str">
        <x:v>85.5</x:v>
      </x:c>
      <x:c r="F2281" s="34" t="str">
        <x:v>MI-1501</x:v>
      </x:c>
      <x:c r="G2281" s="39" t="str">
        <x:v>مدیریت ریسک: شناسایی ریسک ها، ارزیابی اثرات، تدوین برنامه های مقابله با ریسک ها.</x:v>
      </x:c>
      <x:c r="H2281" s="39" t="str">
        <x:v>H1</x:v>
      </x:c>
      <x:c r="I2281" s="39" t="str">
        <x:v>P0</x:v>
      </x:c>
      <x:c r="J2281" s="39" t="str">
        <x:v>H1</x:v>
      </x:c>
      <x:c r="K2281" s="39" t="str">
        <x:v>تطبیق احتمالی با پایه</x:v>
      </x:c>
      <x:c r="L2281" s="39" t="str">
        <x:v>MI-1501</x:v>
      </x:c>
      <x:c r="M2281" s="39" t="str">
        <x:v>مدیریت ریسک: شناسایی ریسک ها، ارزیابی اثرات، تدوین برنامه های مقابله با ریسک ها.</x:v>
      </x:c>
      <x:c r="N2281" s="39" t="str">
        <x:v>1154878548.docx::P7402.1</x:v>
      </x:c>
      <x:c r="O2281" s="39"/>
    </x:row>
    <x:row r="2282">
      <x:c r="A2282" s="34" t="str">
        <x:v>☐</x:v>
      </x:c>
      <x:c r="B2282" s="34" t="str">
        <x:v>EX-2254</x:v>
      </x:c>
      <x:c r="C2282" s="34" t="str">
        <x:v>یوتیوب و آپارات</x:v>
      </x:c>
      <x:c r="D2282" s="34" t="str">
        <x:v>POSSIBLE</x:v>
      </x:c>
      <x:c r="E2282" s="34" t="str">
        <x:v>85.5</x:v>
      </x:c>
      <x:c r="F2282" s="34" t="str">
        <x:v>MI-1513</x:v>
      </x:c>
      <x:c r="G2282" s="39" t="str">
        <x:v>تولید و کارآفرینی: توانایی تولید محصول و خدمات و ایجاد شغل.</x:v>
      </x:c>
      <x:c r="H2282" s="39" t="str">
        <x:v>H1</x:v>
      </x:c>
      <x:c r="I2282" s="39" t="str">
        <x:v>P0</x:v>
      </x:c>
      <x:c r="J2282" s="39" t="str">
        <x:v>H1</x:v>
      </x:c>
      <x:c r="K2282" s="39" t="str">
        <x:v>تطبیق احتمالی با پایه</x:v>
      </x:c>
      <x:c r="L2282" s="39" t="str">
        <x:v>MI-1513</x:v>
      </x:c>
      <x:c r="M2282" s="39" t="str">
        <x:v>تولید و کارآفرینی: توانایی تولید محصول و خدمات و ایجاد شغل.</x:v>
      </x:c>
      <x:c r="N2282" s="39" t="str">
        <x:v>1154878548.docx::P7403.1</x:v>
      </x:c>
      <x:c r="O2282" s="39"/>
    </x:row>
    <x:row r="2283">
      <x:c r="A2283" s="34" t="str">
        <x:v>☐</x:v>
      </x:c>
      <x:c r="B2283" s="34" t="str">
        <x:v>EX-2255</x:v>
      </x:c>
      <x:c r="C2283" s="34" t="str">
        <x:v>بعد از چند قسمت پخش پادکست</x:v>
      </x:c>
      <x:c r="D2283" s="34" t="str">
        <x:v>POSSIBLE</x:v>
      </x:c>
      <x:c r="E2283" s="34" t="str">
        <x:v>85.5</x:v>
      </x:c>
      <x:c r="F2283" s="34" t="str">
        <x:v>MI-1457</x:v>
      </x:c>
      <x:c r="G2283" s="39" t="str">
        <x:v>سلامت جسمانی: تغذیه سالم، ورزش منظم، خواب کافی، پیشگیری از بیماری ها.</x:v>
      </x:c>
      <x:c r="H2283" s="39" t="str">
        <x:v>H1</x:v>
      </x:c>
      <x:c r="I2283" s="39" t="str">
        <x:v>P0</x:v>
      </x:c>
      <x:c r="J2283" s="39" t="str">
        <x:v>H1</x:v>
      </x:c>
      <x:c r="K2283" s="39" t="str">
        <x:v>تطبیق احتمالی با پایه</x:v>
      </x:c>
      <x:c r="L2283" s="39" t="str">
        <x:v>MI-1457</x:v>
      </x:c>
      <x:c r="M2283" s="39" t="str">
        <x:v>سلامت جسمانی: تغذیه سالم، ورزش منظم، خواب کافی، پیشگیری از بیماری ها.</x:v>
      </x:c>
      <x:c r="N2283" s="39" t="str">
        <x:v>1154878548.docx::P7404.1</x:v>
      </x:c>
      <x:c r="O2283" s="39"/>
    </x:row>
    <x:row r="2284">
      <x:c r="A2284" s="34" t="str">
        <x:v>☐</x:v>
      </x:c>
      <x:c r="B2284" s="34" t="str">
        <x:v>EX-2256</x:v>
      </x:c>
      <x:c r="C2284" s="34" t="str">
        <x:v>اینستا</x:v>
      </x:c>
      <x:c r="D2284" s="34" t="str">
        <x:v>UNMAPPED</x:v>
      </x:c>
      <x:c r="E2284" s="34" t="str">
        <x:v>75.0</x:v>
      </x:c>
      <x:c r="F2284" s="34" t="str">
        <x:v>MI-2493</x:v>
      </x:c>
      <x:c r="G2284" s="39" t="str">
        <x:v>این سامانه عملاً می شود مغز زیست بوم.</x:v>
      </x:c>
      <x:c r="H2284" s="39" t="str">
        <x:v>H19</x:v>
      </x:c>
      <x:c r="I2284" s="39" t="str">
        <x:v>P3</x:v>
      </x:c>
      <x:c r="J2284" s="39" t="str">
        <x:v>H23</x:v>
      </x:c>
      <x:c r="K2284" s="39" t="str">
        <x:v>نیازمند پالایش؛ حذف نشده</x:v>
      </x:c>
      <x:c r="L2284" s="39"/>
      <x:c r="M2284" s="39"/>
      <x:c r="N2284" s="39" t="str">
        <x:v>1154878548.docx::P7405.1</x:v>
      </x:c>
      <x:c r="O2284" s="39"/>
    </x:row>
    <x:row r="2285">
      <x:c r="A2285" s="34" t="str">
        <x:v>☐</x:v>
      </x:c>
      <x:c r="B2285" s="34" t="str">
        <x:v>EX-2257</x:v>
      </x:c>
      <x:c r="C2285" s="34" t="str">
        <x:v>موازی با یوتیوب و آپارت</x:v>
      </x:c>
      <x:c r="D2285" s="34" t="str">
        <x:v>POSSIBLE</x:v>
      </x:c>
      <x:c r="E2285" s="34" t="str">
        <x:v>85.5</x:v>
      </x:c>
      <x:c r="F2285" s="34" t="str">
        <x:v>MI-1501</x:v>
      </x:c>
      <x:c r="G2285" s="39" t="str">
        <x:v>مدیریت ریسک: شناسایی ریسک ها، ارزیابی اثرات، تدوین برنامه های مقابله با ریسک ها.</x:v>
      </x:c>
      <x:c r="H2285" s="39" t="str">
        <x:v>H1</x:v>
      </x:c>
      <x:c r="I2285" s="39" t="str">
        <x:v>P0</x:v>
      </x:c>
      <x:c r="J2285" s="39" t="str">
        <x:v>H1</x:v>
      </x:c>
      <x:c r="K2285" s="39" t="str">
        <x:v>تطبیق احتمالی با پایه</x:v>
      </x:c>
      <x:c r="L2285" s="39" t="str">
        <x:v>MI-1501</x:v>
      </x:c>
      <x:c r="M2285" s="39" t="str">
        <x:v>مدیریت ریسک: شناسایی ریسک ها، ارزیابی اثرات، تدوین برنامه های مقابله با ریسک ها.</x:v>
      </x:c>
      <x:c r="N2285" s="39" t="str">
        <x:v>1154878548.docx::P7406.1</x:v>
      </x:c>
      <x:c r="O2285" s="39"/>
    </x:row>
    <x:row r="2286">
      <x:c r="A2286" s="34" t="str">
        <x:v>☐</x:v>
      </x:c>
      <x:c r="B2286" s="34" t="str">
        <x:v>EX-2258</x:v>
      </x:c>
      <x:c r="C2286" s="34" t="str">
        <x:v>سایت</x:v>
      </x:c>
      <x:c r="D2286" s="34" t="str">
        <x:v>POSSIBLE</x:v>
      </x:c>
      <x:c r="E2286" s="34" t="str">
        <x:v>90.0</x:v>
      </x:c>
      <x:c r="F2286" s="34" t="str">
        <x:v>MI-0833</x:v>
      </x:c>
      <x:c r="G2286" s="39" t="str">
        <x:v>سایت و اینترنت</x:v>
      </x:c>
      <x:c r="H2286" s="39" t="str">
        <x:v>H11</x:v>
      </x:c>
      <x:c r="I2286" s="39" t="str">
        <x:v>BANK</x:v>
      </x:c>
      <x:c r="J2286" s="39" t="str">
        <x:v>H11</x:v>
      </x:c>
      <x:c r="K2286" s="39" t="str">
        <x:v>تطبیق احتمالی با پایه</x:v>
      </x:c>
      <x:c r="L2286" s="39" t="str">
        <x:v>MI-0833</x:v>
      </x:c>
      <x:c r="M2286" s="39" t="str">
        <x:v>سایت و اینترنت</x:v>
      </x:c>
      <x:c r="N2286" s="39" t="str">
        <x:v>1154878548.docx::P7407.1</x:v>
      </x:c>
      <x:c r="O2286" s="39"/>
    </x:row>
    <x:row r="2287">
      <x:c r="A2287" s="34" t="str">
        <x:v>☐</x:v>
      </x:c>
      <x:c r="B2287" s="34" t="str">
        <x:v>EX-2259</x:v>
      </x:c>
      <x:c r="C2287" s="34" t="str">
        <x:v>بعد از همه موارد شبکه اجتماعی</x:v>
      </x:c>
      <x:c r="D2287" s="34" t="str">
        <x:v>POSSIBLE</x:v>
      </x:c>
      <x:c r="E2287" s="34" t="str">
        <x:v>90.0</x:v>
      </x:c>
      <x:c r="F2287" s="34" t="str">
        <x:v>MI-0288</x:v>
      </x:c>
      <x:c r="G2287" s="39" t="str">
        <x:v>اجتماعی</x:v>
      </x:c>
      <x:c r="H2287" s="39" t="str">
        <x:v>H15</x:v>
      </x:c>
      <x:c r="I2287" s="39" t="str">
        <x:v>P3/CLARIFY</x:v>
      </x:c>
      <x:c r="J2287" s="39" t="str">
        <x:v>H15</x:v>
      </x:c>
      <x:c r="K2287" s="39" t="str">
        <x:v>تطبیق احتمالی با پایه</x:v>
      </x:c>
      <x:c r="L2287" s="39" t="str">
        <x:v>MI-0288</x:v>
      </x:c>
      <x:c r="M2287" s="39" t="str">
        <x:v>اجتماعی</x:v>
      </x:c>
      <x:c r="N2287" s="39" t="str">
        <x:v>1154878548.docx::P7408.1</x:v>
      </x:c>
      <x:c r="O2287" s="39"/>
    </x:row>
    <x:row r="2288">
      <x:c r="A2288" s="34" t="str">
        <x:v>☐</x:v>
      </x:c>
      <x:c r="B2288" s="34" t="str">
        <x:v>EX-2260</x:v>
      </x:c>
      <x:c r="C2288" s="34" t="str">
        <x:v>برند</x:v>
      </x:c>
      <x:c r="D2288" s="34" t="str">
        <x:v>POSSIBLE</x:v>
      </x:c>
      <x:c r="E2288" s="34" t="str">
        <x:v>90.0</x:v>
      </x:c>
      <x:c r="F2288" s="34" t="str">
        <x:v>MI-2031</x:v>
      </x:c>
      <x:c r="G2288" s="39" t="str">
        <x:v>برند یا برنامه منطقه ای</x:v>
      </x:c>
      <x:c r="H2288" s="39" t="str">
        <x:v>H8</x:v>
      </x:c>
      <x:c r="I2288" s="39" t="str">
        <x:v>P2</x:v>
      </x:c>
      <x:c r="J2288" s="39" t="str">
        <x:v>H8</x:v>
      </x:c>
      <x:c r="K2288" s="39" t="str">
        <x:v>تطبیق احتمالی با پایه</x:v>
      </x:c>
      <x:c r="L2288" s="39" t="str">
        <x:v>MI-2031</x:v>
      </x:c>
      <x:c r="M2288" s="39" t="str">
        <x:v>برند یا برنامه منطقه ای</x:v>
      </x:c>
      <x:c r="N2288" s="39" t="str">
        <x:v>1154878548.docx::P7409.1</x:v>
      </x:c>
      <x:c r="O2288" s="39"/>
    </x:row>
    <x:row r="2289">
      <x:c r="A2289" s="34" t="str">
        <x:v>☐</x:v>
      </x:c>
      <x:c r="B2289" s="34" t="str">
        <x:v>EX-2261</x:v>
      </x:c>
      <x:c r="C2289" s="34" t="str">
        <x:v>همکاری با ارتباط با صنعت</x:v>
      </x:c>
      <x:c r="D2289" s="34" t="str">
        <x:v>POSSIBLE</x:v>
      </x:c>
      <x:c r="E2289" s="34" t="str">
        <x:v>90.0</x:v>
      </x:c>
      <x:c r="F2289" s="34" t="str">
        <x:v>MI-2602</x:v>
      </x:c>
      <x:c r="G2289" s="39" t="str">
        <x:v>صنعت</x:v>
      </x:c>
      <x:c r="H2289" s="39" t="str">
        <x:v>H12</x:v>
      </x:c>
      <x:c r="I2289" s="39" t="str">
        <x:v>P2</x:v>
      </x:c>
      <x:c r="J2289" s="39" t="str">
        <x:v>H12</x:v>
      </x:c>
      <x:c r="K2289" s="39" t="str">
        <x:v>تطبیق احتمالی با پایه</x:v>
      </x:c>
      <x:c r="L2289" s="39" t="str">
        <x:v>MI-2602</x:v>
      </x:c>
      <x:c r="M2289" s="39" t="str">
        <x:v>صنعت</x:v>
      </x:c>
      <x:c r="N2289" s="39" t="str">
        <x:v>1154878548.docx::P7410.1</x:v>
      </x:c>
      <x:c r="O2289" s="39"/>
    </x:row>
    <x:row r="2290">
      <x:c r="A2290" s="34" t="str">
        <x:v>☐</x:v>
      </x:c>
      <x:c r="B2290" s="34" t="str">
        <x:v>EX-2262</x:v>
      </x:c>
      <x:c r="C2290" s="34" t="str">
        <x:v>پیدا کردن اسم برند</x:v>
      </x:c>
      <x:c r="D2290" s="34" t="str">
        <x:v>POSSIBLE</x:v>
      </x:c>
      <x:c r="E2290" s="34" t="str">
        <x:v>85.5</x:v>
      </x:c>
      <x:c r="F2290" s="34" t="str">
        <x:v>MI-0615</x:v>
      </x:c>
      <x:c r="G2290" s="39" t="str">
        <x:v>ضبط و پخش کلیپ مصاحبه و گزارش از وضعیت دانشگاه و پخش در شبکه استانی یا زیرنویس کردن در شبکه استانی</x:v>
      </x:c>
      <x:c r="H2290" s="39" t="str">
        <x:v>H4</x:v>
      </x:c>
      <x:c r="I2290" s="39" t="str">
        <x:v>P1</x:v>
      </x:c>
      <x:c r="J2290" s="39" t="str">
        <x:v>H4</x:v>
      </x:c>
      <x:c r="K2290" s="39" t="str">
        <x:v>تطبیق احتمالی با پایه</x:v>
      </x:c>
      <x:c r="L2290" s="39" t="str">
        <x:v>MI-0615</x:v>
      </x:c>
      <x:c r="M2290" s="39" t="str">
        <x:v>ضبط و پخش کلیپ مصاحبه و گزارش از وضعیت دانشگاه و پخش در شبکه استانی یا زیرنویس کردن در شبکه استانی</x:v>
      </x:c>
      <x:c r="N2290" s="39" t="str">
        <x:v>1154878548.docx::P7411.1</x:v>
      </x:c>
      <x:c r="O2290" s="39"/>
    </x:row>
    <x:row r="2291">
      <x:c r="A2291" s="34" t="str">
        <x:v>☐</x:v>
      </x:c>
      <x:c r="B2291" s="34" t="str">
        <x:v>EX-2263</x:v>
      </x:c>
      <x:c r="C2291" s="34" t="str">
        <x:v>بارش فکری</x:v>
      </x:c>
      <x:c r="D2291" s="34" t="str">
        <x:v>POSSIBLE</x:v>
      </x:c>
      <x:c r="E2291" s="34" t="str">
        <x:v>85.5</x:v>
      </x:c>
      <x:c r="F2291" s="34" t="str">
        <x:v>MI-2828</x:v>
      </x:c>
      <x:c r="G2291" s="39" t="str">
        <x:v>منتورها سرمایه فکری اکوسیستم هستند.</x:v>
      </x:c>
      <x:c r="H2291" s="39" t="str">
        <x:v>H10</x:v>
      </x:c>
      <x:c r="I2291" s="39" t="str">
        <x:v>P2</x:v>
      </x:c>
      <x:c r="J2291" s="39" t="str">
        <x:v>H10</x:v>
      </x:c>
      <x:c r="K2291" s="39" t="str">
        <x:v>تطبیق احتمالی با پایه</x:v>
      </x:c>
      <x:c r="L2291" s="39" t="str">
        <x:v>MI-2828</x:v>
      </x:c>
      <x:c r="M2291" s="39" t="str">
        <x:v>منتورها سرمایه فکری اکوسیستم هستند.</x:v>
      </x:c>
      <x:c r="N2291" s="39" t="str">
        <x:v>1154878548.docx::P7412.1</x:v>
      </x:c>
      <x:c r="O2291" s="39"/>
    </x:row>
    <x:row r="2292">
      <x:c r="A2292" s="34" t="str">
        <x:v>☐</x:v>
      </x:c>
      <x:c r="B2292" s="34" t="str">
        <x:v>EX-2264</x:v>
      </x:c>
      <x:c r="C2292" s="34" t="str">
        <x:v>استخراج فرصت های شغلی در سایت های مختلف</x:v>
      </x:c>
      <x:c r="D2292" s="34" t="str">
        <x:v>POSSIBLE</x:v>
      </x:c>
      <x:c r="E2292" s="34" t="str">
        <x:v>90.0</x:v>
      </x:c>
      <x:c r="F2292" s="34" t="str">
        <x:v>MI-2658</x:v>
      </x:c>
      <x:c r="G2292" s="39" t="str">
        <x:v>فرصت های شغلی</x:v>
      </x:c>
      <x:c r="H2292" s="39" t="str">
        <x:v>H3</x:v>
      </x:c>
      <x:c r="I2292" s="39" t="str">
        <x:v>P3/CLARIFY</x:v>
      </x:c>
      <x:c r="J2292" s="39" t="str">
        <x:v>H3</x:v>
      </x:c>
      <x:c r="K2292" s="39" t="str">
        <x:v>تطبیق احتمالی با پایه</x:v>
      </x:c>
      <x:c r="L2292" s="39" t="str">
        <x:v>MI-2658</x:v>
      </x:c>
      <x:c r="M2292" s="39" t="str">
        <x:v>فرصت های شغلی</x:v>
      </x:c>
      <x:c r="N2292" s="39" t="str">
        <x:v>1154878548.docx::P7414.1</x:v>
      </x:c>
      <x:c r="O2292" s="39"/>
    </x:row>
    <x:row r="2293">
      <x:c r="A2293" s="34" t="str">
        <x:v>☐</x:v>
      </x:c>
      <x:c r="B2293" s="34" t="str">
        <x:v>EX-2265</x:v>
      </x:c>
      <x:c r="C2293" s="34" t="str">
        <x:v>جذب اعضا ستاد</x:v>
      </x:c>
      <x:c r="D2293" s="34" t="str">
        <x:v>POSSIBLE</x:v>
      </x:c>
      <x:c r="E2293" s="34" t="str">
        <x:v>85.5</x:v>
      </x:c>
      <x:c r="F2293" s="34" t="str">
        <x:v>MI-1530</x:v>
      </x:c>
      <x:c r="G2293" s="39" t="str">
        <x:v>ایجاد ستاد تحول بسیج</x:v>
      </x:c>
      <x:c r="H2293" s="39" t="str">
        <x:v>H1</x:v>
      </x:c>
      <x:c r="I2293" s="39" t="str">
        <x:v>P0</x:v>
      </x:c>
      <x:c r="J2293" s="39" t="str">
        <x:v>H1</x:v>
      </x:c>
      <x:c r="K2293" s="39" t="str">
        <x:v>تطبیق احتمالی با پایه</x:v>
      </x:c>
      <x:c r="L2293" s="39" t="str">
        <x:v>MI-1530</x:v>
      </x:c>
      <x:c r="M2293" s="39" t="str">
        <x:v>ایجاد ستاد تحول بسیج</x:v>
      </x:c>
      <x:c r="N2293" s="39" t="str">
        <x:v>1154878548.docx::P7415.1</x:v>
      </x:c>
      <x:c r="O2293" s="39"/>
    </x:row>
    <x:row r="2294">
      <x:c r="A2294" s="34" t="str">
        <x:v>☐</x:v>
      </x:c>
      <x:c r="B2294" s="34" t="str">
        <x:v>EX-2266</x:v>
      </x:c>
      <x:c r="C2294" s="34" t="str">
        <x:v>بر اساس نوع امتیاز</x:v>
      </x:c>
      <x:c r="D2294" s="34" t="str">
        <x:v>POSSIBLE</x:v>
      </x:c>
      <x:c r="E2294" s="34" t="str">
        <x:v>85.5</x:v>
      </x:c>
      <x:c r="F2294" s="34" t="str">
        <x:v>MI-1508</x:v>
      </x:c>
      <x:c r="G2294" s="39" t="str">
        <x:v>مهارت های فنی: تسلط بر نرم افزارهای تخصصی، ابزارهای مهندسی، تکنولوژی های جدید.</x:v>
      </x:c>
      <x:c r="H2294" s="39" t="str">
        <x:v>H1</x:v>
      </x:c>
      <x:c r="I2294" s="39" t="str">
        <x:v>P0</x:v>
      </x:c>
      <x:c r="J2294" s="39" t="str">
        <x:v>H1</x:v>
      </x:c>
      <x:c r="K2294" s="39" t="str">
        <x:v>تطبیق احتمالی با پایه</x:v>
      </x:c>
      <x:c r="L2294" s="39" t="str">
        <x:v>MI-1508</x:v>
      </x:c>
      <x:c r="M2294" s="39" t="str">
        <x:v>مهارت های فنی: تسلط بر نرم افزارهای تخصصی، ابزارهای مهندسی، تکنولوژی های جدید.</x:v>
      </x:c>
      <x:c r="N2294" s="39" t="str">
        <x:v>1154878548.docx::P7416.1</x:v>
      </x:c>
      <x:c r="O2294" s="39"/>
    </x:row>
    <x:row r="2295">
      <x:c r="A2295" s="34" t="str">
        <x:v>☐</x:v>
      </x:c>
      <x:c r="B2295" s="34" t="str">
        <x:v>EX-2267</x:v>
      </x:c>
      <x:c r="C2295" s="34" t="str">
        <x:v>برون سپاری به انجمن یا مراکز نوآوری</x:v>
      </x:c>
      <x:c r="D2295" s="34" t="str">
        <x:v>POSSIBLE</x:v>
      </x:c>
      <x:c r="E2295" s="34" t="str">
        <x:v>90.0</x:v>
      </x:c>
      <x:c r="F2295" s="34" t="str">
        <x:v>MI-2196</x:v>
      </x:c>
      <x:c r="G2295" s="39" t="str">
        <x:v>مراکز نوآوری</x:v>
      </x:c>
      <x:c r="H2295" s="39" t="str">
        <x:v>H20</x:v>
      </x:c>
      <x:c r="I2295" s="39" t="str">
        <x:v>P3/CLARIFY</x:v>
      </x:c>
      <x:c r="J2295" s="39" t="str">
        <x:v>H20</x:v>
      </x:c>
      <x:c r="K2295" s="39" t="str">
        <x:v>تطبیق احتمالی با پایه</x:v>
      </x:c>
      <x:c r="L2295" s="39" t="str">
        <x:v>MI-2196</x:v>
      </x:c>
      <x:c r="M2295" s="39" t="str">
        <x:v>مراکز نوآوری</x:v>
      </x:c>
      <x:c r="N2295" s="39" t="str">
        <x:v>1154878548.docx::P7417.1</x:v>
      </x:c>
      <x:c r="O2295" s="39"/>
    </x:row>
    <x:row r="2296">
      <x:c r="A2296" s="34" t="str">
        <x:v>☐</x:v>
      </x:c>
      <x:c r="B2296" s="34" t="str">
        <x:v>EX-2268</x:v>
      </x:c>
      <x:c r="C2296" s="34" t="str">
        <x:v>حوزه اشتغال زایی</x:v>
      </x:c>
      <x:c r="D2296" s="34" t="str">
        <x:v>POSSIBLE</x:v>
      </x:c>
      <x:c r="E2296" s="34" t="str">
        <x:v>90.0</x:v>
      </x:c>
      <x:c r="F2296" s="34" t="str">
        <x:v>MI-2681</x:v>
      </x:c>
      <x:c r="G2296" s="39" t="str">
        <x:v>اشتغال</x:v>
      </x:c>
      <x:c r="H2296" s="39" t="str">
        <x:v>H20</x:v>
      </x:c>
      <x:c r="I2296" s="39" t="str">
        <x:v>P3/CLARIFY</x:v>
      </x:c>
      <x:c r="J2296" s="39" t="str">
        <x:v>H20</x:v>
      </x:c>
      <x:c r="K2296" s="39" t="str">
        <x:v>تطبیق احتمالی با پایه</x:v>
      </x:c>
      <x:c r="L2296" s="39" t="str">
        <x:v>MI-2681</x:v>
      </x:c>
      <x:c r="M2296" s="39" t="str">
        <x:v>اشتغال</x:v>
      </x:c>
      <x:c r="N2296" s="39" t="str">
        <x:v>1154878548.docx::P7418.1</x:v>
      </x:c>
      <x:c r="O2296" s="39"/>
    </x:row>
    <x:row r="2297">
      <x:c r="A2297" s="34" t="str">
        <x:v>☐</x:v>
      </x:c>
      <x:c r="B2297" s="34" t="str">
        <x:v>EX-2269</x:v>
      </x:c>
      <x:c r="C2297" s="34" t="str">
        <x:v>برنامه پیشنهادی مرکز رشد ش:</x:v>
      </x:c>
      <x:c r="D2297" s="34" t="str">
        <x:v>POSSIBLE</x:v>
      </x:c>
      <x:c r="E2297" s="34" t="str">
        <x:v>90.0</x:v>
      </x:c>
      <x:c r="F2297" s="34" t="str">
        <x:v>MI-1422</x:v>
      </x:c>
      <x:c r="G2297" s="39" t="str">
        <x:v>مرکز رشد</x:v>
      </x:c>
      <x:c r="H2297" s="39" t="str">
        <x:v>H10</x:v>
      </x:c>
      <x:c r="I2297" s="39" t="str">
        <x:v>P2</x:v>
      </x:c>
      <x:c r="J2297" s="39" t="str">
        <x:v>H10</x:v>
      </x:c>
      <x:c r="K2297" s="39" t="str">
        <x:v>تطبیق احتمالی با پایه</x:v>
      </x:c>
      <x:c r="L2297" s="39" t="str">
        <x:v>MI-1422</x:v>
      </x:c>
      <x:c r="M2297" s="39" t="str">
        <x:v>مرکز رشد</x:v>
      </x:c>
      <x:c r="N2297" s="39" t="str">
        <x:v>1154878548.docx::P7458.1</x:v>
      </x:c>
      <x:c r="O2297" s="39"/>
    </x:row>
    <x:row r="2298">
      <x:c r="A2298" s="34" t="str">
        <x:v>☐</x:v>
      </x:c>
      <x:c r="B2298" s="34" t="str">
        <x:v>EX-2270</x:v>
      </x:c>
      <x:c r="C2298" s="34" t="str">
        <x:v>پرورش و رشد</x:v>
      </x:c>
      <x:c r="D2298" s="34" t="str">
        <x:v>POSSIBLE</x:v>
      </x:c>
      <x:c r="E2298" s="34" t="str">
        <x:v>85.5</x:v>
      </x:c>
      <x:c r="F2298" s="34" t="str">
        <x:v>MI-1513</x:v>
      </x:c>
      <x:c r="G2298" s="39" t="str">
        <x:v>تولید و کارآفرینی: توانایی تولید محصول و خدمات و ایجاد شغل.</x:v>
      </x:c>
      <x:c r="H2298" s="39" t="str">
        <x:v>H1</x:v>
      </x:c>
      <x:c r="I2298" s="39" t="str">
        <x:v>P0</x:v>
      </x:c>
      <x:c r="J2298" s="39" t="str">
        <x:v>H1</x:v>
      </x:c>
      <x:c r="K2298" s="39" t="str">
        <x:v>تطبیق احتمالی با پایه</x:v>
      </x:c>
      <x:c r="L2298" s="39" t="str">
        <x:v>MI-1513</x:v>
      </x:c>
      <x:c r="M2298" s="39" t="str">
        <x:v>تولید و کارآفرینی: توانایی تولید محصول و خدمات و ایجاد شغل.</x:v>
      </x:c>
      <x:c r="N2298" s="39" t="str">
        <x:v>1154878548.docx::P7459.1</x:v>
      </x:c>
      <x:c r="O2298" s="39"/>
    </x:row>
    <x:row r="2299">
      <x:c r="A2299" s="34" t="str">
        <x:v>☐</x:v>
      </x:c>
      <x:c r="B2299" s="34" t="str">
        <x:v>EX-2271</x:v>
      </x:c>
      <x:c r="C2299" s="34" t="str">
        <x:v>هسته های رشد</x:v>
      </x:c>
      <x:c r="D2299" s="34" t="str">
        <x:v>POSSIBLE</x:v>
      </x:c>
      <x:c r="E2299" s="34" t="str">
        <x:v>85.5</x:v>
      </x:c>
      <x:c r="F2299" s="34" t="str">
        <x:v>MI-1501</x:v>
      </x:c>
      <x:c r="G2299" s="39" t="str">
        <x:v>مدیریت ریسک: شناسایی ریسک ها، ارزیابی اثرات، تدوین برنامه های مقابله با ریسک ها.</x:v>
      </x:c>
      <x:c r="H2299" s="39" t="str">
        <x:v>H1</x:v>
      </x:c>
      <x:c r="I2299" s="39" t="str">
        <x:v>P0</x:v>
      </x:c>
      <x:c r="J2299" s="39" t="str">
        <x:v>H1</x:v>
      </x:c>
      <x:c r="K2299" s="39" t="str">
        <x:v>تطبیق احتمالی با پایه</x:v>
      </x:c>
      <x:c r="L2299" s="39" t="str">
        <x:v>MI-1501</x:v>
      </x:c>
      <x:c r="M2299" s="39" t="str">
        <x:v>مدیریت ریسک: شناسایی ریسک ها، ارزیابی اثرات، تدوین برنامه های مقابله با ریسک ها.</x:v>
      </x:c>
      <x:c r="N2299" s="39" t="str">
        <x:v>1154878548.docx::P7460.1</x:v>
      </x:c>
      <x:c r="O2299" s="39"/>
    </x:row>
    <x:row r="2300">
      <x:c r="A2300" s="34" t="str">
        <x:v>☐</x:v>
      </x:c>
      <x:c r="B2300" s="34" t="str">
        <x:v>EX-2272</x:v>
      </x:c>
      <x:c r="C2300" s="34" t="str">
        <x:v>موجود ( قرارداد شده تا انتهای سال 1404)</x:v>
      </x:c>
      <x:c r="D2300" s="34" t="str">
        <x:v>POSSIBLE</x:v>
      </x:c>
      <x:c r="E2300" s="34" t="str">
        <x:v>85.5</x:v>
      </x:c>
      <x:c r="F2300" s="34" t="str">
        <x:v>MI-3004</x:v>
      </x:c>
      <x:c r="G2300" s="39" t="str">
        <x:v>تعداد شغل ایجاد شده</x:v>
      </x:c>
      <x:c r="H2300" s="39" t="str">
        <x:v>H3</x:v>
      </x:c>
      <x:c r="I2300" s="39" t="str">
        <x:v>P3/CLARIFY</x:v>
      </x:c>
      <x:c r="J2300" s="39" t="str">
        <x:v>H3</x:v>
      </x:c>
      <x:c r="K2300" s="39" t="str">
        <x:v>تطبیق احتمالی با پایه</x:v>
      </x:c>
      <x:c r="L2300" s="39" t="str">
        <x:v>MI-3004</x:v>
      </x:c>
      <x:c r="M2300" s="39" t="str">
        <x:v>تعداد شغل ایجاد شده</x:v>
      </x:c>
      <x:c r="N2300" s="39" t="str">
        <x:v>1154878548.docx::P7461.1</x:v>
      </x:c>
      <x:c r="O2300" s="39"/>
    </x:row>
    <x:row r="2301">
      <x:c r="A2301" s="34" t="str">
        <x:v>☐</x:v>
      </x:c>
      <x:c r="B2301" s="34" t="str">
        <x:v>EX-2273</x:v>
      </x:c>
      <x:c r="C2301" s="34" t="str">
        <x:v>1- تکمیل و تائید رزومه حداقل 60 درصد نفرات و تیم های فعال</x:v>
      </x:c>
      <x:c r="D2301" s="34" t="str">
        <x:v>POSSIBLE</x:v>
      </x:c>
      <x:c r="E2301" s="34" t="str">
        <x:v>85.5</x:v>
      </x:c>
      <x:c r="F2301" s="34" t="str">
        <x:v>MI-0029</x:v>
      </x:c>
      <x:c r="G2301" s="39" t="str">
        <x:v>تدریس ریاضی و فیزیک</x:v>
      </x:c>
      <x:c r="H2301" s="39" t="str">
        <x:v>H1</x:v>
      </x:c>
      <x:c r="I2301" s="39" t="str">
        <x:v>P0</x:v>
      </x:c>
      <x:c r="J2301" s="39" t="str">
        <x:v>H1</x:v>
      </x:c>
      <x:c r="K2301" s="39" t="str">
        <x:v>تطبیق احتمالی با پایه</x:v>
      </x:c>
      <x:c r="L2301" s="39" t="str">
        <x:v>MI-0029</x:v>
      </x:c>
      <x:c r="M2301" s="39" t="str">
        <x:v>تدریس ریاضی و فیزیک</x:v>
      </x:c>
      <x:c r="N2301" s="39" t="str">
        <x:v>1154878548.docx::P7462.1</x:v>
      </x:c>
      <x:c r="O2301" s="39"/>
    </x:row>
    <x:row r="2302">
      <x:c r="A2302" s="34" t="str">
        <x:v>☐</x:v>
      </x:c>
      <x:c r="B2302" s="34" t="str">
        <x:v>EX-2274</x:v>
      </x:c>
      <x:c r="C2302" s="34" t="str">
        <x:v>2- گذراندن دوره های آموزشی موردنیاز</x:v>
      </x:c>
      <x:c r="D2302" s="34" t="str">
        <x:v>POSSIBLE</x:v>
      </x:c>
      <x:c r="E2302" s="34" t="str">
        <x:v>90.0</x:v>
      </x:c>
      <x:c r="F2302" s="34" t="str">
        <x:v>MI-1437</x:v>
      </x:c>
      <x:c r="G2302" s="39" t="str">
        <x:v>دوره ها</x:v>
      </x:c>
      <x:c r="H2302" s="39" t="str">
        <x:v>H8</x:v>
      </x:c>
      <x:c r="I2302" s="39" t="str">
        <x:v>P2</x:v>
      </x:c>
      <x:c r="J2302" s="39" t="str">
        <x:v>H8</x:v>
      </x:c>
      <x:c r="K2302" s="39" t="str">
        <x:v>تطبیق احتمالی با پایه</x:v>
      </x:c>
      <x:c r="L2302" s="39" t="str">
        <x:v>MI-1437</x:v>
      </x:c>
      <x:c r="M2302" s="39" t="str">
        <x:v>دوره ها</x:v>
      </x:c>
      <x:c r="N2302" s="39" t="str">
        <x:v>1154878548.docx::P7463.1</x:v>
      </x:c>
      <x:c r="O2302" s="39"/>
    </x:row>
    <x:row r="2303">
      <x:c r="A2303" s="34" t="str">
        <x:v>☐</x:v>
      </x:c>
      <x:c r="B2303" s="34" t="str">
        <x:v>EX-2275</x:v>
      </x:c>
      <x:c r="C2303" s="34" t="str">
        <x:v>حداقل 60 درصد تیم ها</x:v>
      </x:c>
      <x:c r="D2303" s="34" t="str">
        <x:v>POSSIBLE</x:v>
      </x:c>
      <x:c r="E2303" s="34" t="str">
        <x:v>90.0</x:v>
      </x:c>
      <x:c r="F2303" s="34" t="str">
        <x:v>MI-2389</x:v>
      </x:c>
      <x:c r="G2303" s="39" t="str">
        <x:v>تیم ها</x:v>
      </x:c>
      <x:c r="H2303" s="39" t="str">
        <x:v>H10</x:v>
      </x:c>
      <x:c r="I2303" s="39" t="str">
        <x:v>P2</x:v>
      </x:c>
      <x:c r="J2303" s="39" t="str">
        <x:v>H10</x:v>
      </x:c>
      <x:c r="K2303" s="39" t="str">
        <x:v>تطبیق احتمالی با پایه</x:v>
      </x:c>
      <x:c r="L2303" s="39" t="str">
        <x:v>MI-2389</x:v>
      </x:c>
      <x:c r="M2303" s="39" t="str">
        <x:v>تیم ها</x:v>
      </x:c>
      <x:c r="N2303" s="39" t="str">
        <x:v>1154878548.docx::P7464.1</x:v>
      </x:c>
      <x:c r="O2303" s="39"/>
    </x:row>
    <x:row r="2304">
      <x:c r="A2304" s="34" t="str">
        <x:v>☐</x:v>
      </x:c>
      <x:c r="B2304" s="34" t="str">
        <x:v>EX-2276</x:v>
      </x:c>
      <x:c r="C2304" s="34" t="str">
        <x:v>هر تیم حداقل 4 نفر ساعت</x:v>
      </x:c>
      <x:c r="D2304" s="34" t="str">
        <x:v>POSSIBLE</x:v>
      </x:c>
      <x:c r="E2304" s="34" t="str">
        <x:v>85.5</x:v>
      </x:c>
      <x:c r="F2304" s="34" t="str">
        <x:v>MI-1448</x:v>
      </x:c>
      <x:c r="G2304" s="39" t="str">
        <x:v>پول هییت قبلا چوقدر هست دست من؟؟؟ قبلا 4,290 بوده . چقدر به سید دادم.</x:v>
      </x:c>
      <x:c r="H2304" s="39" t="str">
        <x:v>H1</x:v>
      </x:c>
      <x:c r="I2304" s="39" t="str">
        <x:v>P0</x:v>
      </x:c>
      <x:c r="J2304" s="39" t="str">
        <x:v>H1</x:v>
      </x:c>
      <x:c r="K2304" s="39" t="str">
        <x:v>تطبیق احتمالی با پایه</x:v>
      </x:c>
      <x:c r="L2304" s="39" t="str">
        <x:v>MI-1448</x:v>
      </x:c>
      <x:c r="M2304" s="39" t="str">
        <x:v>پول هییت قبلا چوقدر هست دست من؟؟؟ قبلا 4,290 بوده . چقدر به سید دادم.</x:v>
      </x:c>
      <x:c r="N2304" s="39" t="str">
        <x:v>1154878548.docx::P7465.1</x:v>
      </x:c>
      <x:c r="O2304" s="39"/>
    </x:row>
    <x:row r="2305">
      <x:c r="A2305" s="34" t="str">
        <x:v>☐</x:v>
      </x:c>
      <x:c r="B2305" s="34" t="str">
        <x:v>EX-2277</x:v>
      </x:c>
      <x:c r="C2305" s="34" t="str">
        <x:v>***  بوم مدل کسب و کار</x:v>
      </x:c>
      <x:c r="D2305" s="34" t="str">
        <x:v>POSSIBLE</x:v>
      </x:c>
      <x:c r="E2305" s="34" t="str">
        <x:v>90.0</x:v>
      </x:c>
      <x:c r="F2305" s="34" t="str">
        <x:v>MI-2545</x:v>
      </x:c>
      <x:c r="G2305" s="39" t="str">
        <x:v>کار:</x:v>
      </x:c>
      <x:c r="H2305" s="39" t="str">
        <x:v>H20</x:v>
      </x:c>
      <x:c r="I2305" s="39" t="str">
        <x:v>P3/CLARIFY</x:v>
      </x:c>
      <x:c r="J2305" s="39" t="str">
        <x:v>H20</x:v>
      </x:c>
      <x:c r="K2305" s="39" t="str">
        <x:v>تطبیق احتمالی با پایه</x:v>
      </x:c>
      <x:c r="L2305" s="39" t="str">
        <x:v>MI-2545</x:v>
      </x:c>
      <x:c r="M2305" s="39" t="str">
        <x:v>کار:</x:v>
      </x:c>
      <x:c r="N2305" s="39" t="str">
        <x:v>1154878548.docx::P7467.1</x:v>
      </x:c>
      <x:c r="O2305" s="39"/>
    </x:row>
    <x:row r="2306">
      <x:c r="A2306" s="34" t="str">
        <x:v>☐</x:v>
      </x:c>
      <x:c r="B2306" s="34" t="str">
        <x:v>EX-2278</x:v>
      </x:c>
      <x:c r="C2306" s="34" t="str">
        <x:v>1 ساعت 160 ت</x:v>
      </x:c>
      <x:c r="D2306" s="34" t="str">
        <x:v>POSSIBLE</x:v>
      </x:c>
      <x:c r="E2306" s="34" t="str">
        <x:v>85.5</x:v>
      </x:c>
      <x:c r="F2306" s="34" t="str">
        <x:v>MI-0050</x:v>
      </x:c>
      <x:c r="G2306" s="39" t="str">
        <x:v>گرفتن گواهینامه پایه 1</x:v>
      </x:c>
      <x:c r="H2306" s="39" t="str">
        <x:v>H1</x:v>
      </x:c>
      <x:c r="I2306" s="39" t="str">
        <x:v>P0</x:v>
      </x:c>
      <x:c r="J2306" s="39" t="str">
        <x:v>H1</x:v>
      </x:c>
      <x:c r="K2306" s="39" t="str">
        <x:v>تطبیق احتمالی با پایه</x:v>
      </x:c>
      <x:c r="L2306" s="39" t="str">
        <x:v>MI-0050</x:v>
      </x:c>
      <x:c r="M2306" s="39" t="str">
        <x:v>گرفتن گواهینامه پایه 1</x:v>
      </x:c>
      <x:c r="N2306" s="39" t="str">
        <x:v>1154878548.docx::P7468.1 | 1154878548.docx::P7482.1</x:v>
      </x:c>
      <x:c r="O2306" s="39"/>
    </x:row>
    <x:row r="2307">
      <x:c r="A2307" s="34" t="str">
        <x:v>☐</x:v>
      </x:c>
      <x:c r="B2307" s="34" t="str">
        <x:v>EX-2279</x:v>
      </x:c>
      <x:c r="C2307" s="34" t="str">
        <x:v>***  آشنایی با طرح توجیهی کسب و کار</x:v>
      </x:c>
      <x:c r="D2307" s="34" t="str">
        <x:v>POSSIBLE</x:v>
      </x:c>
      <x:c r="E2307" s="34" t="str">
        <x:v>85.5</x:v>
      </x:c>
      <x:c r="F2307" s="34" t="str">
        <x:v>MI-1501</x:v>
      </x:c>
      <x:c r="G2307" s="39" t="str">
        <x:v>مدیریت ریسک: شناسایی ریسک ها، ارزیابی اثرات، تدوین برنامه های مقابله با ریسک ها.</x:v>
      </x:c>
      <x:c r="H2307" s="39" t="str">
        <x:v>H1</x:v>
      </x:c>
      <x:c r="I2307" s="39" t="str">
        <x:v>P0</x:v>
      </x:c>
      <x:c r="J2307" s="39" t="str">
        <x:v>H1</x:v>
      </x:c>
      <x:c r="K2307" s="39" t="str">
        <x:v>تطبیق احتمالی با پایه</x:v>
      </x:c>
      <x:c r="L2307" s="39" t="str">
        <x:v>MI-1501</x:v>
      </x:c>
      <x:c r="M2307" s="39" t="str">
        <x:v>مدیریت ریسک: شناسایی ریسک ها، ارزیابی اثرات، تدوین برنامه های مقابله با ریسک ها.</x:v>
      </x:c>
      <x:c r="N2307" s="39" t="str">
        <x:v>1154878548.docx::P7469.1</x:v>
      </x:c>
      <x:c r="O2307" s="39"/>
    </x:row>
    <x:row r="2308">
      <x:c r="A2308" s="34" t="str">
        <x:v>☐</x:v>
      </x:c>
      <x:c r="B2308" s="34" t="str">
        <x:v>EX-2280</x:v>
      </x:c>
      <x:c r="C2308" s="34" t="str">
        <x:v>3 ساعت 690 ت</x:v>
      </x:c>
      <x:c r="D2308" s="34" t="str">
        <x:v>POSSIBLE</x:v>
      </x:c>
      <x:c r="E2308" s="34" t="str">
        <x:v>85.5</x:v>
      </x:c>
      <x:c r="F2308" s="34" t="str">
        <x:v>MI-2967</x:v>
      </x:c>
      <x:c r="G2308" s="39" t="str">
        <x:v>واحد 3 — سیستم تیم سازی و نوآوری</x:v>
      </x:c>
      <x:c r="H2308" s="39" t="str">
        <x:v>H4</x:v>
      </x:c>
      <x:c r="I2308" s="39" t="str">
        <x:v>P1</x:v>
      </x:c>
      <x:c r="J2308" s="39" t="str">
        <x:v>H4</x:v>
      </x:c>
      <x:c r="K2308" s="39" t="str">
        <x:v>تطبیق احتمالی با پایه</x:v>
      </x:c>
      <x:c r="L2308" s="39" t="str">
        <x:v>MI-2967</x:v>
      </x:c>
      <x:c r="M2308" s="39" t="str">
        <x:v>واحد 3 — سیستم تیم سازی و نوآوری</x:v>
      </x:c>
      <x:c r="N2308" s="39" t="str">
        <x:v>1154878548.docx::P7470.1</x:v>
      </x:c>
      <x:c r="O2308" s="39"/>
    </x:row>
    <x:row r="2309">
      <x:c r="A2309" s="34" t="str">
        <x:v>☐</x:v>
      </x:c>
      <x:c r="B2309" s="34" t="str">
        <x:v>EX-2281</x:v>
      </x:c>
      <x:c r="C2309" s="34" t="str">
        <x:v>***  طراحی برنامه کسب و کار</x:v>
      </x:c>
      <x:c r="D2309" s="34" t="str">
        <x:v>POSSIBLE</x:v>
      </x:c>
      <x:c r="E2309" s="34" t="str">
        <x:v>90.0</x:v>
      </x:c>
      <x:c r="F2309" s="34" t="str">
        <x:v>MI-2545</x:v>
      </x:c>
      <x:c r="G2309" s="39" t="str">
        <x:v>کار:</x:v>
      </x:c>
      <x:c r="H2309" s="39" t="str">
        <x:v>H20</x:v>
      </x:c>
      <x:c r="I2309" s="39" t="str">
        <x:v>P3/CLARIFY</x:v>
      </x:c>
      <x:c r="J2309" s="39" t="str">
        <x:v>H20</x:v>
      </x:c>
      <x:c r="K2309" s="39" t="str">
        <x:v>تطبیق احتمالی با پایه</x:v>
      </x:c>
      <x:c r="L2309" s="39" t="str">
        <x:v>MI-2545</x:v>
      </x:c>
      <x:c r="M2309" s="39" t="str">
        <x:v>کار:</x:v>
      </x:c>
      <x:c r="N2309" s="39" t="str">
        <x:v>1154878548.docx::P7471.1</x:v>
      </x:c>
      <x:c r="O2309" s="39"/>
    </x:row>
    <x:row r="2310">
      <x:c r="A2310" s="34" t="str">
        <x:v>☐</x:v>
      </x:c>
      <x:c r="B2310" s="34" t="str">
        <x:v>EX-2282</x:v>
      </x:c>
      <x:c r="C2310" s="34" t="str">
        <x:v>6.5 ساعت 2100 ت</x:v>
      </x:c>
      <x:c r="D2310" s="34" t="str">
        <x:v>POSSIBLE</x:v>
      </x:c>
      <x:c r="E2310" s="34" t="str">
        <x:v>85.5</x:v>
      </x:c>
      <x:c r="F2310" s="34" t="str">
        <x:v>MI-1447</x:v>
      </x:c>
      <x:c r="G2310" s="39" t="str">
        <x:v>صدقه 12 ت</x:v>
      </x:c>
      <x:c r="H2310" s="39" t="str">
        <x:v>H1</x:v>
      </x:c>
      <x:c r="I2310" s="39" t="str">
        <x:v>P0</x:v>
      </x:c>
      <x:c r="J2310" s="39" t="str">
        <x:v>H1</x:v>
      </x:c>
      <x:c r="K2310" s="39" t="str">
        <x:v>تطبیق احتمالی با پایه</x:v>
      </x:c>
      <x:c r="L2310" s="39" t="str">
        <x:v>MI-1447</x:v>
      </x:c>
      <x:c r="M2310" s="39" t="str">
        <x:v>صدقه 12 ت</x:v>
      </x:c>
      <x:c r="N2310" s="39" t="str">
        <x:v>1154878548.docx::P7472.1</x:v>
      </x:c>
      <x:c r="O2310" s="39"/>
    </x:row>
    <x:row r="2311">
      <x:c r="A2311" s="34" t="str">
        <x:v>☐</x:v>
      </x:c>
      <x:c r="B2311" s="34" t="str">
        <x:v>EX-2283</x:v>
      </x:c>
      <x:c r="C2311" s="34" t="str">
        <x:v>3- پرونده شخصی و تست شخصیتی حداقل 60 درصد تیم ها</x:v>
      </x:c>
      <x:c r="D2311" s="34" t="str">
        <x:v>POSSIBLE</x:v>
      </x:c>
      <x:c r="E2311" s="34" t="str">
        <x:v>90.0</x:v>
      </x:c>
      <x:c r="F2311" s="34" t="str">
        <x:v>MI-2389</x:v>
      </x:c>
      <x:c r="G2311" s="39" t="str">
        <x:v>تیم ها</x:v>
      </x:c>
      <x:c r="H2311" s="39" t="str">
        <x:v>H10</x:v>
      </x:c>
      <x:c r="I2311" s="39" t="str">
        <x:v>P2</x:v>
      </x:c>
      <x:c r="J2311" s="39" t="str">
        <x:v>H10</x:v>
      </x:c>
      <x:c r="K2311" s="39" t="str">
        <x:v>تطبیق احتمالی با پایه</x:v>
      </x:c>
      <x:c r="L2311" s="39" t="str">
        <x:v>MI-2389</x:v>
      </x:c>
      <x:c r="M2311" s="39" t="str">
        <x:v>تیم ها</x:v>
      </x:c>
      <x:c r="N2311" s="39" t="str">
        <x:v>1154878548.docx::P7473.1</x:v>
      </x:c>
      <x:c r="O2311" s="39"/>
    </x:row>
    <x:row r="2312">
      <x:c r="A2312" s="34" t="str">
        <x:v>☐</x:v>
      </x:c>
      <x:c r="B2312" s="34" t="str">
        <x:v>EX-2284</x:v>
      </x:c>
      <x:c r="C2312" s="34" t="str">
        <x:v>4- پیگیری اتمام قرارداد های جاری و جدید</x:v>
      </x:c>
      <x:c r="D2312" s="34" t="str">
        <x:v>POSSIBLE</x:v>
      </x:c>
      <x:c r="E2312" s="34" t="str">
        <x:v>85.5</x:v>
      </x:c>
      <x:c r="F2312" s="34" t="str">
        <x:v>MI-1501</x:v>
      </x:c>
      <x:c r="G2312" s="39" t="str">
        <x:v>مدیریت ریسک: شناسایی ریسک ها، ارزیابی اثرات، تدوین برنامه های مقابله با ریسک ها.</x:v>
      </x:c>
      <x:c r="H2312" s="39" t="str">
        <x:v>H1</x:v>
      </x:c>
      <x:c r="I2312" s="39" t="str">
        <x:v>P0</x:v>
      </x:c>
      <x:c r="J2312" s="39" t="str">
        <x:v>H1</x:v>
      </x:c>
      <x:c r="K2312" s="39" t="str">
        <x:v>تطبیق احتمالی با پایه</x:v>
      </x:c>
      <x:c r="L2312" s="39" t="str">
        <x:v>MI-1501</x:v>
      </x:c>
      <x:c r="M2312" s="39" t="str">
        <x:v>مدیریت ریسک: شناسایی ریسک ها، ارزیابی اثرات، تدوین برنامه های مقابله با ریسک ها.</x:v>
      </x:c>
      <x:c r="N2312" s="39" t="str">
        <x:v>1154878548.docx::P7474.1</x:v>
      </x:c>
      <x:c r="O2312" s="39"/>
    </x:row>
    <x:row r="2313">
      <x:c r="A2313" s="34" t="str">
        <x:v>☐</x:v>
      </x:c>
      <x:c r="B2313" s="34" t="str">
        <x:v>EX-2285</x:v>
      </x:c>
      <x:c r="C2313" s="34" t="str">
        <x:v>آتی</x:v>
      </x:c>
      <x:c r="D2313" s="34" t="str">
        <x:v>UNMAPPED</x:v>
      </x:c>
      <x:c r="E2313" s="34" t="str">
        <x:v>72.0</x:v>
      </x:c>
      <x:c r="F2313" s="34" t="str">
        <x:v>MI-1491</x:v>
      </x:c>
      <x:c r="G2313" s="39" t="str">
        <x:v>تایپ ده انگشتی</x:v>
      </x:c>
      <x:c r="H2313" s="39" t="str">
        <x:v>H1</x:v>
      </x:c>
      <x:c r="I2313" s="39" t="str">
        <x:v>P0</x:v>
      </x:c>
      <x:c r="J2313" s="39" t="str">
        <x:v>H23</x:v>
      </x:c>
      <x:c r="K2313" s="39" t="str">
        <x:v>نیازمند پالایش؛ حذف نشده</x:v>
      </x:c>
      <x:c r="L2313" s="39"/>
      <x:c r="M2313" s="39"/>
      <x:c r="N2313" s="39" t="str">
        <x:v>1154878548.docx::P7475.1</x:v>
      </x:c>
      <x:c r="O2313" s="39"/>
    </x:row>
    <x:row r="2314">
      <x:c r="A2314" s="34" t="str">
        <x:v>☐</x:v>
      </x:c>
      <x:c r="B2314" s="34" t="str">
        <x:v>EX-2286</x:v>
      </x:c>
      <x:c r="C2314" s="34" t="str">
        <x:v>1- دوره ( تجربه سرا)</x:v>
      </x:c>
      <x:c r="D2314" s="34" t="str">
        <x:v>POSSIBLE</x:v>
      </x:c>
      <x:c r="E2314" s="34" t="str">
        <x:v>85.5</x:v>
      </x:c>
      <x:c r="F2314" s="34" t="str">
        <x:v>MI-2399</x:v>
      </x:c>
      <x:c r="G2314" s="39" t="str">
        <x:v>1. صنایع اصلی که باید روی آن ها تمرکز شود</x:v>
      </x:c>
      <x:c r="H2314" s="39" t="str">
        <x:v>H1</x:v>
      </x:c>
      <x:c r="I2314" s="39" t="str">
        <x:v>P0</x:v>
      </x:c>
      <x:c r="J2314" s="39" t="str">
        <x:v>H1</x:v>
      </x:c>
      <x:c r="K2314" s="39" t="str">
        <x:v>تطبیق احتمالی با پایه</x:v>
      </x:c>
      <x:c r="L2314" s="39" t="str">
        <x:v>MI-2399</x:v>
      </x:c>
      <x:c r="M2314" s="39" t="str">
        <x:v>1. صنایع اصلی که باید روی آن ها تمرکز شود</x:v>
      </x:c>
      <x:c r="N2314" s="39" t="str">
        <x:v>1154878548.docx::P7476.1</x:v>
      </x:c>
      <x:c r="O2314" s="39"/>
    </x:row>
    <x:row r="2315">
      <x:c r="A2315" s="34" t="str">
        <x:v>☐</x:v>
      </x:c>
      <x:c r="B2315" s="34" t="str">
        <x:v>EX-2287</x:v>
      </x:c>
      <x:c r="C2315" s="34" t="str">
        <x:v>خودشناسی</x:v>
      </x:c>
      <x:c r="D2315" s="34" t="str">
        <x:v>UNMAPPED</x:v>
      </x:c>
      <x:c r="E2315" s="34" t="str">
        <x:v>77.1</x:v>
      </x:c>
      <x:c r="F2315" s="34" t="str">
        <x:v>MI-1177</x:v>
      </x:c>
      <x:c r="G2315" s="39" t="str">
        <x:v>اسدی</x:v>
      </x:c>
      <x:c r="H2315" s="39" t="str">
        <x:v>H11</x:v>
      </x:c>
      <x:c r="I2315" s="39" t="str">
        <x:v>DELEGATE/P2</x:v>
      </x:c>
      <x:c r="J2315" s="39" t="str">
        <x:v>H23</x:v>
      </x:c>
      <x:c r="K2315" s="39" t="str">
        <x:v>نیازمند پالایش؛ حذف نشده</x:v>
      </x:c>
      <x:c r="L2315" s="39"/>
      <x:c r="M2315" s="39"/>
      <x:c r="N2315" s="39" t="str">
        <x:v>1154878548.docx::P7477.1</x:v>
      </x:c>
      <x:c r="O2315" s="39"/>
    </x:row>
    <x:row r="2316">
      <x:c r="A2316" s="34" t="str">
        <x:v>☐</x:v>
      </x:c>
      <x:c r="B2316" s="34" t="str">
        <x:v>EX-2288</x:v>
      </x:c>
      <x:c r="C2316" s="34" t="str">
        <x:v>1 ساعت 175 ت</x:v>
      </x:c>
      <x:c r="D2316" s="34" t="str">
        <x:v>POSSIBLE</x:v>
      </x:c>
      <x:c r="E2316" s="34" t="str">
        <x:v>85.5</x:v>
      </x:c>
      <x:c r="F2316" s="34" t="str">
        <x:v>MI-0050</x:v>
      </x:c>
      <x:c r="G2316" s="39" t="str">
        <x:v>گرفتن گواهینامه پایه 1</x:v>
      </x:c>
      <x:c r="H2316" s="39" t="str">
        <x:v>H1</x:v>
      </x:c>
      <x:c r="I2316" s="39" t="str">
        <x:v>P0</x:v>
      </x:c>
      <x:c r="J2316" s="39" t="str">
        <x:v>H1</x:v>
      </x:c>
      <x:c r="K2316" s="39" t="str">
        <x:v>تطبیق احتمالی با پایه</x:v>
      </x:c>
      <x:c r="L2316" s="39" t="str">
        <x:v>MI-0050</x:v>
      </x:c>
      <x:c r="M2316" s="39" t="str">
        <x:v>گرفتن گواهینامه پایه 1</x:v>
      </x:c>
      <x:c r="N2316" s="39" t="str">
        <x:v>1154878548.docx::P7478.1</x:v>
      </x:c>
      <x:c r="O2316" s="39"/>
    </x:row>
    <x:row r="2317">
      <x:c r="A2317" s="34" t="str">
        <x:v>☐</x:v>
      </x:c>
      <x:c r="B2317" s="34" t="str">
        <x:v>EX-2289</x:v>
      </x:c>
      <x:c r="C2317" s="34" t="str">
        <x:v>5 ساعت 790 ت</x:v>
      </x:c>
      <x:c r="D2317" s="34" t="str">
        <x:v>POSSIBLE</x:v>
      </x:c>
      <x:c r="E2317" s="34" t="str">
        <x:v>85.5</x:v>
      </x:c>
      <x:c r="F2317" s="34" t="str">
        <x:v>MI-2324</x:v>
      </x:c>
      <x:c r="G2317" s="39" t="str">
        <x:v>5. لجستیک شمال کشور</x:v>
      </x:c>
      <x:c r="H2317" s="39" t="str">
        <x:v>H6</x:v>
      </x:c>
      <x:c r="I2317" s="39" t="str">
        <x:v>P3/CLARIFY</x:v>
      </x:c>
      <x:c r="J2317" s="39" t="str">
        <x:v>H6</x:v>
      </x:c>
      <x:c r="K2317" s="39" t="str">
        <x:v>تطبیق احتمالی با پایه</x:v>
      </x:c>
      <x:c r="L2317" s="39" t="str">
        <x:v>MI-2324</x:v>
      </x:c>
      <x:c r="M2317" s="39" t="str">
        <x:v>5. لجستیک شمال کشور</x:v>
      </x:c>
      <x:c r="N2317" s="39" t="str">
        <x:v>1154878548.docx::P7480.1 | 1154878548.docx::P7484.1</x:v>
      </x:c>
      <x:c r="O2317" s="39"/>
    </x:row>
    <x:row r="2318">
      <x:c r="A2318" s="34" t="str">
        <x:v>☐</x:v>
      </x:c>
      <x:c r="B2318" s="34" t="str">
        <x:v>EX-2290</x:v>
      </x:c>
      <x:c r="C2318" s="34" t="str">
        <x:v>مدیریت زمان</x:v>
      </x:c>
      <x:c r="D2318" s="34" t="str">
        <x:v>POSSIBLE</x:v>
      </x:c>
      <x:c r="E2318" s="34" t="str">
        <x:v>90.0</x:v>
      </x:c>
      <x:c r="F2318" s="34" t="str">
        <x:v>MI-1503</x:v>
      </x:c>
      <x:c r="G2318" s="39" t="str">
        <x:v>مدیریت زمان: اولویت بندی، برنامه ریزی، تمرکز.</x:v>
      </x:c>
      <x:c r="H2318" s="39" t="str">
        <x:v>H1</x:v>
      </x:c>
      <x:c r="I2318" s="39" t="str">
        <x:v>P0</x:v>
      </x:c>
      <x:c r="J2318" s="39" t="str">
        <x:v>H1</x:v>
      </x:c>
      <x:c r="K2318" s="39" t="str">
        <x:v>تطبیق احتمالی با پایه</x:v>
      </x:c>
      <x:c r="L2318" s="39" t="str">
        <x:v>MI-1503</x:v>
      </x:c>
      <x:c r="M2318" s="39" t="str">
        <x:v>مدیریت زمان: اولویت بندی، برنامه ریزی، تمرکز.</x:v>
      </x:c>
      <x:c r="N2318" s="39" t="str">
        <x:v>1154878548.docx::P7481.1</x:v>
      </x:c>
      <x:c r="O2318" s="39"/>
    </x:row>
    <x:row r="2319">
      <x:c r="A2319" s="34" t="str">
        <x:v>☐</x:v>
      </x:c>
      <x:c r="B2319" s="34" t="str">
        <x:v>EX-2291</x:v>
      </x:c>
      <x:c r="C2319" s="34" t="str">
        <x:v>2.5 ساعت 485 تومن</x:v>
      </x:c>
      <x:c r="D2319" s="34" t="str">
        <x:v>POSSIBLE</x:v>
      </x:c>
      <x:c r="E2319" s="34" t="str">
        <x:v>85.5</x:v>
      </x:c>
      <x:c r="F2319" s="34" t="str">
        <x:v>MI-1635</x:v>
      </x:c>
      <x:c r="G2319" s="39" t="str">
        <x:v>مرحله 2: معرفی فرصت های صادراتی</x:v>
      </x:c>
      <x:c r="H2319" s="39" t="str">
        <x:v>H8</x:v>
      </x:c>
      <x:c r="I2319" s="39" t="str">
        <x:v>P2</x:v>
      </x:c>
      <x:c r="J2319" s="39" t="str">
        <x:v>H8</x:v>
      </x:c>
      <x:c r="K2319" s="39" t="str">
        <x:v>تطبیق احتمالی با پایه</x:v>
      </x:c>
      <x:c r="L2319" s="39" t="str">
        <x:v>MI-1635</x:v>
      </x:c>
      <x:c r="M2319" s="39" t="str">
        <x:v>مرحله 2: معرفی فرصت های صادراتی</x:v>
      </x:c>
      <x:c r="N2319" s="39" t="str">
        <x:v>1154878548.docx::P7486.1</x:v>
      </x:c>
      <x:c r="O2319" s="39"/>
    </x:row>
    <x:row r="2320">
      <x:c r="A2320" s="34" t="str">
        <x:v>☐</x:v>
      </x:c>
      <x:c r="B2320" s="34" t="str">
        <x:v>EX-2292</x:v>
      </x:c>
      <x:c r="C2320" s="34" t="str">
        <x:v>2- تأیید رزومه - تشکیل پرونده شخصی - تست ها</x:v>
      </x:c>
      <x:c r="D2320" s="34" t="str">
        <x:v>POSSIBLE</x:v>
      </x:c>
      <x:c r="E2320" s="34" t="str">
        <x:v>85.5</x:v>
      </x:c>
      <x:c r="F2320" s="34" t="str">
        <x:v>MI-1501</x:v>
      </x:c>
      <x:c r="G2320" s="39" t="str">
        <x:v>مدیریت ریسک: شناسایی ریسک ها، ارزیابی اثرات، تدوین برنامه های مقابله با ریسک ها.</x:v>
      </x:c>
      <x:c r="H2320" s="39" t="str">
        <x:v>H1</x:v>
      </x:c>
      <x:c r="I2320" s="39" t="str">
        <x:v>P0</x:v>
      </x:c>
      <x:c r="J2320" s="39" t="str">
        <x:v>H1</x:v>
      </x:c>
      <x:c r="K2320" s="39" t="str">
        <x:v>تطبیق احتمالی با پایه</x:v>
      </x:c>
      <x:c r="L2320" s="39" t="str">
        <x:v>MI-1501</x:v>
      </x:c>
      <x:c r="M2320" s="39" t="str">
        <x:v>مدیریت ریسک: شناسایی ریسک ها، ارزیابی اثرات، تدوین برنامه های مقابله با ریسک ها.</x:v>
      </x:c>
      <x:c r="N2320" s="39" t="str">
        <x:v>1154878548.docx::P7487.1</x:v>
      </x:c>
      <x:c r="O2320" s="39"/>
    </x:row>
    <x:row r="2321">
      <x:c r="A2321" s="34" t="str">
        <x:v>☐</x:v>
      </x:c>
      <x:c r="B2321" s="34" t="str">
        <x:v>EX-2293</x:v>
      </x:c>
      <x:c r="C2321" s="34" t="str">
        <x:v>تعیین انواع تست ها توسط ارتباط گیری با شفیعی انجام بگیره</x:v>
      </x:c>
      <x:c r="D2321" s="34" t="str">
        <x:v>POSSIBLE</x:v>
      </x:c>
      <x:c r="E2321" s="34" t="str">
        <x:v>85.5</x:v>
      </x:c>
      <x:c r="F2321" s="34" t="str">
        <x:v>MI-2921</x:v>
      </x:c>
      <x:c r="G2321" s="39" t="str">
        <x:v>ساختار تصمیم گیری چگونه باید باشد</x:v>
      </x:c>
      <x:c r="H2321" s="39" t="str">
        <x:v>H1</x:v>
      </x:c>
      <x:c r="I2321" s="39" t="str">
        <x:v>P0</x:v>
      </x:c>
      <x:c r="J2321" s="39" t="str">
        <x:v>H1</x:v>
      </x:c>
      <x:c r="K2321" s="39" t="str">
        <x:v>تطبیق احتمالی با پایه</x:v>
      </x:c>
      <x:c r="L2321" s="39" t="str">
        <x:v>MI-2921</x:v>
      </x:c>
      <x:c r="M2321" s="39" t="str">
        <x:v>ساختار تصمیم گیری چگونه باید باشد</x:v>
      </x:c>
      <x:c r="N2321" s="39" t="str">
        <x:v>1154878548.docx::P7488.1</x:v>
      </x:c>
      <x:c r="O2321" s="39"/>
    </x:row>
    <x:row r="2322">
      <x:c r="A2322" s="34" t="str">
        <x:v>☐</x:v>
      </x:c>
      <x:c r="B2322" s="34" t="str">
        <x:v>EX-2294</x:v>
      </x:c>
      <x:c r="C2322" s="34" t="str">
        <x:v>موجود و آتی</x:v>
      </x:c>
      <x:c r="D2322" s="34" t="str">
        <x:v>POSSIBLE</x:v>
      </x:c>
      <x:c r="E2322" s="34" t="str">
        <x:v>85.5</x:v>
      </x:c>
      <x:c r="F2322" s="34" t="str">
        <x:v>MI-1513</x:v>
      </x:c>
      <x:c r="G2322" s="39" t="str">
        <x:v>تولید و کارآفرینی: توانایی تولید محصول و خدمات و ایجاد شغل.</x:v>
      </x:c>
      <x:c r="H2322" s="39" t="str">
        <x:v>H1</x:v>
      </x:c>
      <x:c r="I2322" s="39" t="str">
        <x:v>P0</x:v>
      </x:c>
      <x:c r="J2322" s="39" t="str">
        <x:v>H1</x:v>
      </x:c>
      <x:c r="K2322" s="39" t="str">
        <x:v>تطبیق احتمالی با پایه</x:v>
      </x:c>
      <x:c r="L2322" s="39" t="str">
        <x:v>MI-1513</x:v>
      </x:c>
      <x:c r="M2322" s="39" t="str">
        <x:v>تولید و کارآفرینی: توانایی تولید محصول و خدمات و ایجاد شغل.</x:v>
      </x:c>
      <x:c r="N2322" s="39" t="str">
        <x:v>1154878548.docx::P7489.1</x:v>
      </x:c>
      <x:c r="O2322" s="39"/>
    </x:row>
    <x:row r="2323">
      <x:c r="A2323" s="34" t="str">
        <x:v>☐</x:v>
      </x:c>
      <x:c r="B2323" s="34" t="str">
        <x:v>EX-2295</x:v>
      </x:c>
      <x:c r="C2323" s="34" t="str">
        <x:v>4 تا</x:v>
      </x:c>
      <x:c r="D2323" s="34" t="str">
        <x:v>POSSIBLE</x:v>
      </x:c>
      <x:c r="E2323" s="34" t="str">
        <x:v>85.5</x:v>
      </x:c>
      <x:c r="F2323" s="34" t="str">
        <x:v>MI-2512</x:v>
      </x:c>
      <x:c r="G2323" s="39" t="str">
        <x:v>4. مراکز نوآوری و تیم سازی</x:v>
      </x:c>
      <x:c r="H2323" s="39" t="str">
        <x:v>H4</x:v>
      </x:c>
      <x:c r="I2323" s="39" t="str">
        <x:v>P1</x:v>
      </x:c>
      <x:c r="J2323" s="39" t="str">
        <x:v>H4</x:v>
      </x:c>
      <x:c r="K2323" s="39" t="str">
        <x:v>تطبیق احتمالی با پایه</x:v>
      </x:c>
      <x:c r="L2323" s="39" t="str">
        <x:v>MI-2512</x:v>
      </x:c>
      <x:c r="M2323" s="39" t="str">
        <x:v>4. مراکز نوآوری و تیم سازی</x:v>
      </x:c>
      <x:c r="N2323" s="39" t="str">
        <x:v>1154878548.docx::P7491.1 | 1154878548.docx::P7493.1 | 1154878548.docx::P7495.1</x:v>
      </x:c>
      <x:c r="O2323" s="39"/>
    </x:row>
    <x:row r="2324">
      <x:c r="A2324" s="34" t="str">
        <x:v>☐</x:v>
      </x:c>
      <x:c r="B2324" s="34" t="str">
        <x:v>EX-2296</x:v>
      </x:c>
      <x:c r="C2324" s="34" t="str">
        <x:v>کافه کسب و کار</x:v>
      </x:c>
      <x:c r="D2324" s="34" t="str">
        <x:v>POSSIBLE</x:v>
      </x:c>
      <x:c r="E2324" s="34" t="str">
        <x:v>90.0</x:v>
      </x:c>
      <x:c r="F2324" s="34" t="str">
        <x:v>MI-2545</x:v>
      </x:c>
      <x:c r="G2324" s="39" t="str">
        <x:v>کار:</x:v>
      </x:c>
      <x:c r="H2324" s="39" t="str">
        <x:v>H20</x:v>
      </x:c>
      <x:c r="I2324" s="39" t="str">
        <x:v>P3/CLARIFY</x:v>
      </x:c>
      <x:c r="J2324" s="39" t="str">
        <x:v>H20</x:v>
      </x:c>
      <x:c r="K2324" s="39" t="str">
        <x:v>تطبیق احتمالی با پایه</x:v>
      </x:c>
      <x:c r="L2324" s="39" t="str">
        <x:v>MI-2545</x:v>
      </x:c>
      <x:c r="M2324" s="39" t="str">
        <x:v>کار:</x:v>
      </x:c>
      <x:c r="N2324" s="39" t="str">
        <x:v>1154878548.docx::P7492.1</x:v>
      </x:c>
      <x:c r="O2324" s="39"/>
    </x:row>
    <x:row r="2325">
      <x:c r="A2325" s="34" t="str">
        <x:v>☐</x:v>
      </x:c>
      <x:c r="B2325" s="34" t="str">
        <x:v>EX-2297</x:v>
      </x:c>
      <x:c r="C2325" s="34" t="str">
        <x:v>برنامه تفریحی ورزشی</x:v>
      </x:c>
      <x:c r="D2325" s="34" t="str">
        <x:v>POSSIBLE</x:v>
      </x:c>
      <x:c r="E2325" s="34" t="str">
        <x:v>90.0</x:v>
      </x:c>
      <x:c r="F2325" s="34" t="str">
        <x:v>MI-0290</x:v>
      </x:c>
      <x:c r="G2325" s="39" t="str">
        <x:v>تفریحی</x:v>
      </x:c>
      <x:c r="H2325" s="39" t="str">
        <x:v>H17</x:v>
      </x:c>
      <x:c r="I2325" s="39" t="str">
        <x:v>P3</x:v>
      </x:c>
      <x:c r="J2325" s="39" t="str">
        <x:v>H17</x:v>
      </x:c>
      <x:c r="K2325" s="39" t="str">
        <x:v>تطبیق احتمالی با پایه</x:v>
      </x:c>
      <x:c r="L2325" s="39" t="str">
        <x:v>MI-0290</x:v>
      </x:c>
      <x:c r="M2325" s="39" t="str">
        <x:v>تفریحی</x:v>
      </x:c>
      <x:c r="N2325" s="39" t="str">
        <x:v>1154878548.docx::P7494.1 | 1154878548.docx::P7504.1</x:v>
      </x:c>
      <x:c r="O2325" s="39"/>
    </x:row>
    <x:row r="2326">
      <x:c r="A2326" s="34" t="str">
        <x:v>☐</x:v>
      </x:c>
      <x:c r="B2326" s="34" t="str">
        <x:v>EX-2298</x:v>
      </x:c>
      <x:c r="C2326" s="34" t="str">
        <x:v>اعضای ستاد</x:v>
      </x:c>
      <x:c r="D2326" s="34" t="str">
        <x:v>POSSIBLE</x:v>
      </x:c>
      <x:c r="E2326" s="34" t="str">
        <x:v>85.5</x:v>
      </x:c>
      <x:c r="F2326" s="34" t="str">
        <x:v>MI-1530</x:v>
      </x:c>
      <x:c r="G2326" s="39" t="str">
        <x:v>ایجاد ستاد تحول بسیج</x:v>
      </x:c>
      <x:c r="H2326" s="39" t="str">
        <x:v>H1</x:v>
      </x:c>
      <x:c r="I2326" s="39" t="str">
        <x:v>P0</x:v>
      </x:c>
      <x:c r="J2326" s="39" t="str">
        <x:v>H1</x:v>
      </x:c>
      <x:c r="K2326" s="39" t="str">
        <x:v>تطبیق احتمالی با پایه</x:v>
      </x:c>
      <x:c r="L2326" s="39" t="str">
        <x:v>MI-1530</x:v>
      </x:c>
      <x:c r="M2326" s="39" t="str">
        <x:v>ایجاد ستاد تحول بسیج</x:v>
      </x:c>
      <x:c r="N2326" s="39" t="str">
        <x:v>1154878548.docx::P7496.1</x:v>
      </x:c>
      <x:c r="O2326" s="39"/>
    </x:row>
    <x:row r="2327">
      <x:c r="A2327" s="34" t="str">
        <x:v>☐</x:v>
      </x:c>
      <x:c r="B2327" s="34" t="str">
        <x:v>EX-2299</x:v>
      </x:c>
      <x:c r="C2327" s="34" t="str">
        <x:v>1- دوره</x:v>
      </x:c>
      <x:c r="D2327" s="34" t="str">
        <x:v>POSSIBLE</x:v>
      </x:c>
      <x:c r="E2327" s="34" t="str">
        <x:v>85.5</x:v>
      </x:c>
      <x:c r="F2327" s="34" t="str">
        <x:v>MI-0050</x:v>
      </x:c>
      <x:c r="G2327" s="39" t="str">
        <x:v>گرفتن گواهینامه پایه 1</x:v>
      </x:c>
      <x:c r="H2327" s="39" t="str">
        <x:v>H1</x:v>
      </x:c>
      <x:c r="I2327" s="39" t="str">
        <x:v>P0</x:v>
      </x:c>
      <x:c r="J2327" s="39" t="str">
        <x:v>H1</x:v>
      </x:c>
      <x:c r="K2327" s="39" t="str">
        <x:v>تطبیق احتمالی با پایه</x:v>
      </x:c>
      <x:c r="L2327" s="39" t="str">
        <x:v>MI-0050</x:v>
      </x:c>
      <x:c r="M2327" s="39" t="str">
        <x:v>گرفتن گواهینامه پایه 1</x:v>
      </x:c>
      <x:c r="N2327" s="39" t="str">
        <x:v>1154878548.docx::P7497.1</x:v>
      </x:c>
      <x:c r="O2327" s="39"/>
    </x:row>
    <x:row r="2328">
      <x:c r="A2328" s="34" t="str">
        <x:v>☐</x:v>
      </x:c>
      <x:c r="B2328" s="34" t="str">
        <x:v>EX-2300</x:v>
      </x:c>
      <x:c r="C2328" s="34" t="str">
        <x:v>5 نفر هر نفر 10 ساعت</x:v>
      </x:c>
      <x:c r="D2328" s="34" t="str">
        <x:v>POSSIBLE</x:v>
      </x:c>
      <x:c r="E2328" s="34" t="str">
        <x:v>85.5</x:v>
      </x:c>
      <x:c r="F2328" s="34" t="str">
        <x:v>MI-1446</x:v>
      </x:c>
      <x:c r="G2328" s="39" t="str">
        <x:v>صدقه 10 تومن</x:v>
      </x:c>
      <x:c r="H2328" s="39" t="str">
        <x:v>H1</x:v>
      </x:c>
      <x:c r="I2328" s="39" t="str">
        <x:v>P0</x:v>
      </x:c>
      <x:c r="J2328" s="39" t="str">
        <x:v>H1</x:v>
      </x:c>
      <x:c r="K2328" s="39" t="str">
        <x:v>تطبیق احتمالی با پایه</x:v>
      </x:c>
      <x:c r="L2328" s="39" t="str">
        <x:v>MI-1446</x:v>
      </x:c>
      <x:c r="M2328" s="39" t="str">
        <x:v>صدقه 10 تومن</x:v>
      </x:c>
      <x:c r="N2328" s="39" t="str">
        <x:v>1154878548.docx::P7498.1</x:v>
      </x:c>
      <x:c r="O2328" s="39"/>
    </x:row>
    <x:row r="2329">
      <x:c r="A2329" s="34" t="str">
        <x:v>☐</x:v>
      </x:c>
      <x:c r="B2329" s="34" t="str">
        <x:v>EX-2301</x:v>
      </x:c>
      <x:c r="C2329" s="34" t="str">
        <x:v>دورهمی انتقال تجربه</x:v>
      </x:c>
      <x:c r="D2329" s="34" t="str">
        <x:v>POSSIBLE</x:v>
      </x:c>
      <x:c r="E2329" s="34" t="str">
        <x:v>90.0</x:v>
      </x:c>
      <x:c r="F2329" s="34" t="str">
        <x:v>MI-2228</x:v>
      </x:c>
      <x:c r="G2329" s="39" t="str">
        <x:v>انتقال تجربه</x:v>
      </x:c>
      <x:c r="H2329" s="39" t="str">
        <x:v>H20</x:v>
      </x:c>
      <x:c r="I2329" s="39" t="str">
        <x:v>P3/CLARIFY</x:v>
      </x:c>
      <x:c r="J2329" s="39" t="str">
        <x:v>H20</x:v>
      </x:c>
      <x:c r="K2329" s="39" t="str">
        <x:v>تطبیق احتمالی با پایه</x:v>
      </x:c>
      <x:c r="L2329" s="39" t="str">
        <x:v>MI-2228</x:v>
      </x:c>
      <x:c r="M2329" s="39" t="str">
        <x:v>انتقال تجربه</x:v>
      </x:c>
      <x:c r="N2329" s="39" t="str">
        <x:v>1154878548.docx::P7499.1</x:v>
      </x:c>
      <x:c r="O2329" s="39"/>
    </x:row>
    <x:row r="2330">
      <x:c r="A2330" s="34" t="str">
        <x:v>☐</x:v>
      </x:c>
      <x:c r="B2330" s="34" t="str">
        <x:v>EX-2302</x:v>
      </x:c>
      <x:c r="C2330" s="34" t="str">
        <x:v>5 جلسه</x:v>
      </x:c>
      <x:c r="D2330" s="34" t="str">
        <x:v>POSSIBLE</x:v>
      </x:c>
      <x:c r="E2330" s="34" t="str">
        <x:v>85.5</x:v>
      </x:c>
      <x:c r="F2330" s="34" t="str">
        <x:v>MI-2324</x:v>
      </x:c>
      <x:c r="G2330" s="39" t="str">
        <x:v>5. لجستیک شمال کشور</x:v>
      </x:c>
      <x:c r="H2330" s="39" t="str">
        <x:v>H6</x:v>
      </x:c>
      <x:c r="I2330" s="39" t="str">
        <x:v>P3/CLARIFY</x:v>
      </x:c>
      <x:c r="J2330" s="39" t="str">
        <x:v>H6</x:v>
      </x:c>
      <x:c r="K2330" s="39" t="str">
        <x:v>تطبیق احتمالی با پایه</x:v>
      </x:c>
      <x:c r="L2330" s="39" t="str">
        <x:v>MI-2324</x:v>
      </x:c>
      <x:c r="M2330" s="39" t="str">
        <x:v>5. لجستیک شمال کشور</x:v>
      </x:c>
      <x:c r="N2330" s="39" t="str">
        <x:v>1154878548.docx::P7500.1</x:v>
      </x:c>
      <x:c r="O2330" s="39"/>
    </x:row>
    <x:row r="2331">
      <x:c r="A2331" s="34" t="str">
        <x:v>☐</x:v>
      </x:c>
      <x:c r="B2331" s="34" t="str">
        <x:v>EX-2303</x:v>
      </x:c>
      <x:c r="C2331" s="34" t="str">
        <x:v>اقلام آموزشی</x:v>
      </x:c>
      <x:c r="D2331" s="34" t="str">
        <x:v>POSSIBLE</x:v>
      </x:c>
      <x:c r="E2331" s="34" t="str">
        <x:v>90.0</x:v>
      </x:c>
      <x:c r="F2331" s="34" t="str">
        <x:v>MI-2601</x:v>
      </x:c>
      <x:c r="G2331" s="39" t="str">
        <x:v>آموزش:</x:v>
      </x:c>
      <x:c r="H2331" s="39" t="str">
        <x:v>H20</x:v>
      </x:c>
      <x:c r="I2331" s="39" t="str">
        <x:v>P3/CLARIFY</x:v>
      </x:c>
      <x:c r="J2331" s="39" t="str">
        <x:v>H20</x:v>
      </x:c>
      <x:c r="K2331" s="39" t="str">
        <x:v>تطبیق احتمالی با پایه</x:v>
      </x:c>
      <x:c r="L2331" s="39" t="str">
        <x:v>MI-2601</x:v>
      </x:c>
      <x:c r="M2331" s="39" t="str">
        <x:v>آموزش:</x:v>
      </x:c>
      <x:c r="N2331" s="39" t="str">
        <x:v>1154878548.docx::P7501.1</x:v>
      </x:c>
      <x:c r="O2331" s="39"/>
    </x:row>
    <x:row r="2332">
      <x:c r="A2332" s="34" t="str">
        <x:v>☐</x:v>
      </x:c>
      <x:c r="B2332" s="34" t="str">
        <x:v>EX-2304</x:v>
      </x:c>
      <x:c r="C2332" s="34" t="str">
        <x:v>کتاب</x:v>
      </x:c>
      <x:c r="D2332" s="34" t="str">
        <x:v>POSSIBLE</x:v>
      </x:c>
      <x:c r="E2332" s="34" t="str">
        <x:v>90.0</x:v>
      </x:c>
      <x:c r="F2332" s="34" t="str">
        <x:v>MI-1043</x:v>
      </x:c>
      <x:c r="G2332" s="39" t="str">
        <x:v>ابگرم در کتابخانه مرکزی</x:v>
      </x:c>
      <x:c r="H2332" s="39" t="str">
        <x:v>H9</x:v>
      </x:c>
      <x:c r="I2332" s="39" t="str">
        <x:v>BANK</x:v>
      </x:c>
      <x:c r="J2332" s="39" t="str">
        <x:v>H9</x:v>
      </x:c>
      <x:c r="K2332" s="39" t="str">
        <x:v>تطبیق احتمالی با پایه</x:v>
      </x:c>
      <x:c r="L2332" s="39" t="str">
        <x:v>MI-1043</x:v>
      </x:c>
      <x:c r="M2332" s="39" t="str">
        <x:v>ابگرم در کتابخانه مرکزی</x:v>
      </x:c>
      <x:c r="N2332" s="39" t="str">
        <x:v>1154878548.docx::P7502.1</x:v>
      </x:c>
      <x:c r="O2332" s="39"/>
    </x:row>
    <x:row r="2333">
      <x:c r="A2333" s="34" t="str">
        <x:v>☐</x:v>
      </x:c>
      <x:c r="B2333" s="34" t="str">
        <x:v>EX-2305</x:v>
      </x:c>
      <x:c r="C2333" s="34" t="str">
        <x:v>بازی رومیزی</x:v>
      </x:c>
      <x:c r="D2333" s="34" t="str">
        <x:v>POSSIBLE</x:v>
      </x:c>
      <x:c r="E2333" s="34" t="str">
        <x:v>85.5</x:v>
      </x:c>
      <x:c r="F2333" s="34" t="str">
        <x:v>MI-1680</x:v>
      </x:c>
      <x:c r="G2333" s="39" t="str">
        <x:v>و برنامه EiR می تواند نقش دروازه ورود کارآفرین و سرمایه خارجی را بازی کند.</x:v>
      </x:c>
      <x:c r="H2333" s="39" t="str">
        <x:v>H10</x:v>
      </x:c>
      <x:c r="I2333" s="39" t="str">
        <x:v>P2</x:v>
      </x:c>
      <x:c r="J2333" s="39" t="str">
        <x:v>H10</x:v>
      </x:c>
      <x:c r="K2333" s="39" t="str">
        <x:v>تطبیق احتمالی با پایه</x:v>
      </x:c>
      <x:c r="L2333" s="39" t="str">
        <x:v>MI-1680</x:v>
      </x:c>
      <x:c r="M2333" s="39" t="str">
        <x:v>و برنامه EiR می تواند نقش دروازه ورود کارآفرین و سرمایه خارجی را بازی کند.</x:v>
      </x:c>
      <x:c r="N2333" s="39" t="str">
        <x:v>1154878548.docx::P7503.1</x:v>
      </x:c>
      <x:c r="O2333" s="39"/>
    </x:row>
    <x:row r="2334">
      <x:c r="A2334" s="34" t="str">
        <x:v>☐</x:v>
      </x:c>
      <x:c r="B2334" s="34" t="str">
        <x:v>EX-2306</x:v>
      </x:c>
      <x:c r="C2334" s="34" t="str">
        <x:v>5 تا</x:v>
      </x:c>
      <x:c r="D2334" s="34" t="str">
        <x:v>POSSIBLE</x:v>
      </x:c>
      <x:c r="E2334" s="34" t="str">
        <x:v>85.5</x:v>
      </x:c>
      <x:c r="F2334" s="34" t="str">
        <x:v>MI-2324</x:v>
      </x:c>
      <x:c r="G2334" s="39" t="str">
        <x:v>5. لجستیک شمال کشور</x:v>
      </x:c>
      <x:c r="H2334" s="39" t="str">
        <x:v>H6</x:v>
      </x:c>
      <x:c r="I2334" s="39" t="str">
        <x:v>P3/CLARIFY</x:v>
      </x:c>
      <x:c r="J2334" s="39" t="str">
        <x:v>H6</x:v>
      </x:c>
      <x:c r="K2334" s="39" t="str">
        <x:v>تطبیق احتمالی با پایه</x:v>
      </x:c>
      <x:c r="L2334" s="39" t="str">
        <x:v>MI-2324</x:v>
      </x:c>
      <x:c r="M2334" s="39" t="str">
        <x:v>5. لجستیک شمال کشور</x:v>
      </x:c>
      <x:c r="N2334" s="39" t="str">
        <x:v>1154878548.docx::P7505.1</x:v>
      </x:c>
      <x:c r="O2334" s="39"/>
    </x:row>
    <x:row r="2335">
      <x:c r="A2335" s="34" t="str">
        <x:v>☐</x:v>
      </x:c>
      <x:c r="B2335" s="34" t="str">
        <x:v>EX-2307</x:v>
      </x:c>
      <x:c r="C2335" s="34" t="str">
        <x:v>استخر</x:v>
      </x:c>
      <x:c r="D2335" s="34" t="str">
        <x:v>POSSIBLE</x:v>
      </x:c>
      <x:c r="E2335" s="34" t="str">
        <x:v>90.0</x:v>
      </x:c>
      <x:c r="F2335" s="34" t="str">
        <x:v>MI-0704</x:v>
      </x:c>
      <x:c r="G2335" s="39" t="str">
        <x:v>استخر ها</x:v>
      </x:c>
      <x:c r="H2335" s="39" t="str">
        <x:v>H11</x:v>
      </x:c>
      <x:c r="I2335" s="39" t="str">
        <x:v>DELEGATE/P2</x:v>
      </x:c>
      <x:c r="J2335" s="39" t="str">
        <x:v>H11</x:v>
      </x:c>
      <x:c r="K2335" s="39" t="str">
        <x:v>تطبیق احتمالی با پایه</x:v>
      </x:c>
      <x:c r="L2335" s="39" t="str">
        <x:v>MI-0704</x:v>
      </x:c>
      <x:c r="M2335" s="39" t="str">
        <x:v>استخر ها</x:v>
      </x:c>
      <x:c r="N2335" s="39" t="str">
        <x:v>1154878548.docx::P7506.1</x:v>
      </x:c>
      <x:c r="O2335" s="39"/>
    </x:row>
    <x:row r="2336">
      <x:c r="A2336" s="34" t="str">
        <x:v>☐</x:v>
      </x:c>
      <x:c r="B2336" s="34" t="str">
        <x:v>EX-2308</x:v>
      </x:c>
      <x:c r="C2336" s="34" t="str">
        <x:v>کوه</x:v>
      </x:c>
      <x:c r="D2336" s="34" t="str">
        <x:v>UNMAPPED</x:v>
      </x:c>
      <x:c r="E2336" s="34" t="str">
        <x:v>72.0</x:v>
      </x:c>
      <x:c r="F2336" s="34" t="str">
        <x:v>MI-1184</x:v>
      </x:c>
      <x:c r="G2336" s="39" t="str">
        <x:v>کوروش</x:v>
      </x:c>
      <x:c r="H2336" s="39" t="str">
        <x:v>H11</x:v>
      </x:c>
      <x:c r="I2336" s="39" t="str">
        <x:v>DELEGATE/P2</x:v>
      </x:c>
      <x:c r="J2336" s="39" t="str">
        <x:v>H23</x:v>
      </x:c>
      <x:c r="K2336" s="39" t="str">
        <x:v>نیازمند پالایش؛ حذف نشده</x:v>
      </x:c>
      <x:c r="L2336" s="39"/>
      <x:c r="M2336" s="39"/>
      <x:c r="N2336" s="39" t="str">
        <x:v>1154878548.docx::P7507.1</x:v>
      </x:c>
      <x:c r="O2336" s="39"/>
    </x:row>
    <x:row r="2337">
      <x:c r="A2337" s="34" t="str">
        <x:v>☐</x:v>
      </x:c>
      <x:c r="B2337" s="34" t="str">
        <x:v>EX-2309</x:v>
      </x:c>
      <x:c r="C2337" s="34" t="str">
        <x:v>ترویج</x:v>
      </x:c>
      <x:c r="D2337" s="34" t="str">
        <x:v>UNMAPPED</x:v>
      </x:c>
      <x:c r="E2337" s="34" t="str">
        <x:v>72.0</x:v>
      </x:c>
      <x:c r="F2337" s="34" t="str">
        <x:v>MI-1467</x:v>
      </x:c>
      <x:c r="G2337" s="39" t="str">
        <x:v>تسلط بر دروس آزمون ارشد مکاترونیک</x:v>
      </x:c>
      <x:c r="H2337" s="39" t="str">
        <x:v>H2</x:v>
      </x:c>
      <x:c r="I2337" s="39" t="str">
        <x:v>P3/CLARIFY</x:v>
      </x:c>
      <x:c r="J2337" s="39" t="str">
        <x:v>H23</x:v>
      </x:c>
      <x:c r="K2337" s="39" t="str">
        <x:v>نیازمند پالایش؛ حذف نشده</x:v>
      </x:c>
      <x:c r="L2337" s="39"/>
      <x:c r="M2337" s="39"/>
      <x:c r="N2337" s="39" t="str">
        <x:v>1154878548.docx::P7509.1</x:v>
      </x:c>
      <x:c r="O2337" s="39"/>
    </x:row>
    <x:row r="2338">
      <x:c r="A2338" s="34" t="str">
        <x:v>☐</x:v>
      </x:c>
      <x:c r="B2338" s="34" t="str">
        <x:v>EX-2310</x:v>
      </x:c>
      <x:c r="C2338" s="34" t="str">
        <x:v>رویداد شروع</x:v>
      </x:c>
      <x:c r="D2338" s="34" t="str">
        <x:v>POSSIBLE</x:v>
      </x:c>
      <x:c r="E2338" s="34" t="str">
        <x:v>90.0</x:v>
      </x:c>
      <x:c r="F2338" s="34" t="str">
        <x:v>MI-0671</x:v>
      </x:c>
      <x:c r="G2338" s="39" t="str">
        <x:v>شروع</x:v>
      </x:c>
      <x:c r="H2338" s="39" t="str">
        <x:v>H11</x:v>
      </x:c>
      <x:c r="I2338" s="39" t="str">
        <x:v>DELEGATE/P2</x:v>
      </x:c>
      <x:c r="J2338" s="39" t="str">
        <x:v>H11</x:v>
      </x:c>
      <x:c r="K2338" s="39" t="str">
        <x:v>تطبیق احتمالی با پایه</x:v>
      </x:c>
      <x:c r="L2338" s="39" t="str">
        <x:v>MI-0671</x:v>
      </x:c>
      <x:c r="M2338" s="39" t="str">
        <x:v>شروع</x:v>
      </x:c>
      <x:c r="N2338" s="39" t="str">
        <x:v>1154878548.docx::P7511.1</x:v>
      </x:c>
      <x:c r="O2338" s="39"/>
    </x:row>
    <x:row r="2339">
      <x:c r="A2339" s="34" t="str">
        <x:v>☐</x:v>
      </x:c>
      <x:c r="B2339" s="34" t="str">
        <x:v>EX-2311</x:v>
      </x:c>
      <x:c r="C2339" s="34" t="str">
        <x:v>3 تا</x:v>
      </x:c>
      <x:c r="D2339" s="34" t="str">
        <x:v>POSSIBLE</x:v>
      </x:c>
      <x:c r="E2339" s="34" t="str">
        <x:v>85.5</x:v>
      </x:c>
      <x:c r="F2339" s="34" t="str">
        <x:v>MI-2967</x:v>
      </x:c>
      <x:c r="G2339" s="39" t="str">
        <x:v>واحد 3 — سیستم تیم سازی و نوآوری</x:v>
      </x:c>
      <x:c r="H2339" s="39" t="str">
        <x:v>H4</x:v>
      </x:c>
      <x:c r="I2339" s="39" t="str">
        <x:v>P1</x:v>
      </x:c>
      <x:c r="J2339" s="39" t="str">
        <x:v>H4</x:v>
      </x:c>
      <x:c r="K2339" s="39" t="str">
        <x:v>تطبیق احتمالی با پایه</x:v>
      </x:c>
      <x:c r="L2339" s="39" t="str">
        <x:v>MI-2967</x:v>
      </x:c>
      <x:c r="M2339" s="39" t="str">
        <x:v>واحد 3 — سیستم تیم سازی و نوآوری</x:v>
      </x:c>
      <x:c r="N2339" s="39" t="str">
        <x:v>1154878548.docx::P7512.1</x:v>
      </x:c>
      <x:c r="O2339" s="39"/>
    </x:row>
    <x:row r="2340">
      <x:c r="A2340" s="34" t="str">
        <x:v>☐</x:v>
      </x:c>
      <x:c r="B2340" s="34" t="str">
        <x:v>EX-2312</x:v>
      </x:c>
      <x:c r="C2340" s="34" t="str">
        <x:v>...</x:v>
      </x:c>
      <x:c r="D2340" s="34" t="str">
        <x:v>NOISE</x:v>
      </x:c>
      <x:c r="E2340" s="34" t="str">
        <x:v>0</x:v>
      </x:c>
      <x:c r="F2340" s="34"/>
      <x:c r="G2340" s="39"/>
      <x:c r="H2340" s="39"/>
      <x:c r="I2340" s="39"/>
      <x:c r="J2340" s="39" t="str">
        <x:v>STRUCT</x:v>
      </x:c>
      <x:c r="K2340" s="39" t="str">
        <x:v>ساختار/برچسب</x:v>
      </x:c>
      <x:c r="L2340" s="39"/>
      <x:c r="M2340" s="39"/>
      <x:c r="N2340" s="39" t="str">
        <x:v>1154878548.docx::P7515.1</x:v>
      </x:c>
      <x:c r="O2340" s="39"/>
    </x:row>
    <x:row r="2341">
      <x:c r="A2341" s="34" t="str">
        <x:v>☐</x:v>
      </x:c>
      <x:c r="B2341" s="34" t="str">
        <x:v>EX-2313</x:v>
      </x:c>
      <x:c r="C2341" s="34" t="str">
        <x:v>صنایع</x:v>
      </x:c>
      <x:c r="D2341" s="34" t="str">
        <x:v>POSSIBLE</x:v>
      </x:c>
      <x:c r="E2341" s="34" t="str">
        <x:v>90.0</x:v>
      </x:c>
      <x:c r="F2341" s="34" t="str">
        <x:v>MI-2399</x:v>
      </x:c>
      <x:c r="G2341" s="39" t="str">
        <x:v>1. صنایع اصلی که باید روی آن ها تمرکز شود</x:v>
      </x:c>
      <x:c r="H2341" s="39" t="str">
        <x:v>H1</x:v>
      </x:c>
      <x:c r="I2341" s="39" t="str">
        <x:v>P0</x:v>
      </x:c>
      <x:c r="J2341" s="39" t="str">
        <x:v>H1</x:v>
      </x:c>
      <x:c r="K2341" s="39" t="str">
        <x:v>تطبیق احتمالی با پایه</x:v>
      </x:c>
      <x:c r="L2341" s="39" t="str">
        <x:v>MI-2399</x:v>
      </x:c>
      <x:c r="M2341" s="39" t="str">
        <x:v>1. صنایع اصلی که باید روی آن ها تمرکز شود</x:v>
      </x:c>
      <x:c r="N2341" s="39" t="str">
        <x:v>1154878548.docx::P7516.1</x:v>
      </x:c>
      <x:c r="O2341" s="39"/>
    </x:row>
    <x:row r="2342">
      <x:c r="A2342" s="34" t="str">
        <x:v>☐</x:v>
      </x:c>
      <x:c r="B2342" s="34" t="str">
        <x:v>EX-2314</x:v>
      </x:c>
      <x:c r="C2342" s="34" t="str">
        <x:v>3 تا نشست تخصصی</x:v>
      </x:c>
      <x:c r="D2342" s="34" t="str">
        <x:v>POSSIBLE</x:v>
      </x:c>
      <x:c r="E2342" s="34" t="str">
        <x:v>85.5</x:v>
      </x:c>
      <x:c r="F2342" s="34" t="str">
        <x:v>MI-3110</x:v>
      </x:c>
      <x:c r="G2342" s="39" t="str">
        <x:v>تلاشهایی که تا به الان برای رسیدن به شغل مطلوب خود انجام داده اید چه بوده است؟</x:v>
      </x:c>
      <x:c r="H2342" s="39" t="str">
        <x:v>H3</x:v>
      </x:c>
      <x:c r="I2342" s="39" t="str">
        <x:v>P3/CLARIFY</x:v>
      </x:c>
      <x:c r="J2342" s="39" t="str">
        <x:v>H3</x:v>
      </x:c>
      <x:c r="K2342" s="39" t="str">
        <x:v>تطبیق احتمالی با پایه</x:v>
      </x:c>
      <x:c r="L2342" s="39" t="str">
        <x:v>MI-3110</x:v>
      </x:c>
      <x:c r="M2342" s="39" t="str">
        <x:v>تلاشهایی که تا به الان برای رسیدن به شغل مطلوب خود انجام داده اید چه بوده است؟</x:v>
      </x:c>
      <x:c r="N2342" s="39" t="str">
        <x:v>1154878548.docx::P7517.1</x:v>
      </x:c>
      <x:c r="O2342" s="39"/>
    </x:row>
    <x:row r="2343">
      <x:c r="A2343" s="34" t="str">
        <x:v>☐</x:v>
      </x:c>
      <x:c r="B2343" s="34" t="str">
        <x:v>EX-2315</x:v>
      </x:c>
      <x:c r="C2343" s="34" t="str">
        <x:v>کشف مسئله</x:v>
      </x:c>
      <x:c r="D2343" s="34" t="str">
        <x:v>POSSIBLE</x:v>
      </x:c>
      <x:c r="E2343" s="34" t="str">
        <x:v>85.5</x:v>
      </x:c>
      <x:c r="F2343" s="34" t="str">
        <x:v>MI-2946</x:v>
      </x:c>
      <x:c r="G2343" s="39" t="str">
        <x:v>واحد 1 — سیستم کشف و پایش استعداد</x:v>
      </x:c>
      <x:c r="H2343" s="39" t="str">
        <x:v>H10</x:v>
      </x:c>
      <x:c r="I2343" s="39" t="str">
        <x:v>P2</x:v>
      </x:c>
      <x:c r="J2343" s="39" t="str">
        <x:v>H10</x:v>
      </x:c>
      <x:c r="K2343" s="39" t="str">
        <x:v>تطبیق احتمالی با پایه</x:v>
      </x:c>
      <x:c r="L2343" s="39" t="str">
        <x:v>MI-2946</x:v>
      </x:c>
      <x:c r="M2343" s="39" t="str">
        <x:v>واحد 1 — سیستم کشف و پایش استعداد</x:v>
      </x:c>
      <x:c r="N2343" s="39" t="str">
        <x:v>1154878548.docx::P7518.1</x:v>
      </x:c>
      <x:c r="O2343" s="39"/>
    </x:row>
    <x:row r="2344">
      <x:c r="A2344" s="34" t="str">
        <x:v>☐</x:v>
      </x:c>
      <x:c r="B2344" s="34" t="str">
        <x:v>EX-2316</x:v>
      </x:c>
      <x:c r="C2344" s="34" t="str">
        <x:v>10 تا بیان تفضیلی</x:v>
      </x:c>
      <x:c r="D2344" s="34" t="str">
        <x:v>POSSIBLE</x:v>
      </x:c>
      <x:c r="E2344" s="34" t="str">
        <x:v>85.5</x:v>
      </x:c>
      <x:c r="F2344" s="34" t="str">
        <x:v>MI-0186</x:v>
      </x:c>
      <x:c r="G2344" s="39" t="str">
        <x:v>فن بیان</x:v>
      </x:c>
      <x:c r="H2344" s="39" t="str">
        <x:v>H1</x:v>
      </x:c>
      <x:c r="I2344" s="39" t="str">
        <x:v>P0</x:v>
      </x:c>
      <x:c r="J2344" s="39" t="str">
        <x:v>H1</x:v>
      </x:c>
      <x:c r="K2344" s="39" t="str">
        <x:v>تطبیق احتمالی با پایه</x:v>
      </x:c>
      <x:c r="L2344" s="39" t="str">
        <x:v>MI-0186</x:v>
      </x:c>
      <x:c r="M2344" s="39" t="str">
        <x:v>فن بیان</x:v>
      </x:c>
      <x:c r="N2344" s="39" t="str">
        <x:v>1154878548.docx::P7519.1</x:v>
      </x:c>
      <x:c r="O2344" s="39"/>
    </x:row>
    <x:row r="2345">
      <x:c r="A2345" s="34" t="str">
        <x:v>☐</x:v>
      </x:c>
      <x:c r="B2345" s="34" t="str">
        <x:v>EX-2317</x:v>
      </x:c>
      <x:c r="C2345" s="34" t="str">
        <x:v>جذب</x:v>
      </x:c>
      <x:c r="D2345" s="34" t="str">
        <x:v>POSSIBLE</x:v>
      </x:c>
      <x:c r="E2345" s="34" t="str">
        <x:v>90.0</x:v>
      </x:c>
      <x:c r="F2345" s="34" t="str">
        <x:v>MI-2227</x:v>
      </x:c>
      <x:c r="G2345" s="39" t="str">
        <x:v>جذب سرمایه</x:v>
      </x:c>
      <x:c r="H2345" s="39" t="str">
        <x:v>H8</x:v>
      </x:c>
      <x:c r="I2345" s="39" t="str">
        <x:v>P2</x:v>
      </x:c>
      <x:c r="J2345" s="39" t="str">
        <x:v>H8</x:v>
      </x:c>
      <x:c r="K2345" s="39" t="str">
        <x:v>تطبیق احتمالی با پایه</x:v>
      </x:c>
      <x:c r="L2345" s="39" t="str">
        <x:v>MI-2227</x:v>
      </x:c>
      <x:c r="M2345" s="39" t="str">
        <x:v>جذب سرمایه</x:v>
      </x:c>
      <x:c r="N2345" s="39" t="str">
        <x:v>1154878548.docx::P7520.1</x:v>
      </x:c>
      <x:c r="O2345" s="39"/>
    </x:row>
    <x:row r="2346">
      <x:c r="A2346" s="34" t="str">
        <x:v>☐</x:v>
      </x:c>
      <x:c r="B2346" s="34" t="str">
        <x:v>EX-2318</x:v>
      </x:c>
      <x:c r="C2346" s="34" t="str">
        <x:v>هسته رشد</x:v>
      </x:c>
      <x:c r="D2346" s="34" t="str">
        <x:v>POSSIBLE</x:v>
      </x:c>
      <x:c r="E2346" s="34" t="str">
        <x:v>85.5</x:v>
      </x:c>
      <x:c r="F2346" s="34" t="str">
        <x:v>MI-2127</x:v>
      </x:c>
      <x:c r="G2346" s="39" t="str">
        <x:v>اکوسیستم ها وقتی رشد می کنند که:</x:v>
      </x:c>
      <x:c r="H2346" s="39" t="str">
        <x:v>H10</x:v>
      </x:c>
      <x:c r="I2346" s="39" t="str">
        <x:v>P2</x:v>
      </x:c>
      <x:c r="J2346" s="39" t="str">
        <x:v>H10</x:v>
      </x:c>
      <x:c r="K2346" s="39" t="str">
        <x:v>تطبیق احتمالی با پایه</x:v>
      </x:c>
      <x:c r="L2346" s="39" t="str">
        <x:v>MI-2127</x:v>
      </x:c>
      <x:c r="M2346" s="39" t="str">
        <x:v>اکوسیستم ها وقتی رشد می کنند که:</x:v>
      </x:c>
      <x:c r="N2346" s="39" t="str">
        <x:v>1154878548.docx::P7521.1</x:v>
      </x:c>
      <x:c r="O2346" s="39"/>
    </x:row>
    <x:row r="2347">
      <x:c r="A2347" s="34" t="str">
        <x:v>☐</x:v>
      </x:c>
      <x:c r="B2347" s="34" t="str">
        <x:v>EX-2319</x:v>
      </x:c>
      <x:c r="C2347" s="34" t="str">
        <x:v>دانشجویان و پژهشگران</x:v>
      </x:c>
      <x:c r="D2347" s="34" t="str">
        <x:v>POSSIBLE</x:v>
      </x:c>
      <x:c r="E2347" s="34" t="str">
        <x:v>90.0</x:v>
      </x:c>
      <x:c r="F2347" s="34" t="str">
        <x:v>MI-2707</x:v>
      </x:c>
      <x:c r="G2347" s="39" t="str">
        <x:v>دانشجویان</x:v>
      </x:c>
      <x:c r="H2347" s="39" t="str">
        <x:v>H11</x:v>
      </x:c>
      <x:c r="I2347" s="39" t="str">
        <x:v>DELEGATE/P2</x:v>
      </x:c>
      <x:c r="J2347" s="39" t="str">
        <x:v>H11</x:v>
      </x:c>
      <x:c r="K2347" s="39" t="str">
        <x:v>تطبیق احتمالی با پایه</x:v>
      </x:c>
      <x:c r="L2347" s="39" t="str">
        <x:v>MI-2707</x:v>
      </x:c>
      <x:c r="M2347" s="39" t="str">
        <x:v>دانشجویان</x:v>
      </x:c>
      <x:c r="N2347" s="39" t="str">
        <x:v>1154878548.docx::P7522.1</x:v>
      </x:c>
      <x:c r="O2347" s="39"/>
    </x:row>
    <x:row r="2348">
      <x:c r="A2348" s="34" t="str">
        <x:v>☐</x:v>
      </x:c>
      <x:c r="B2348" s="34" t="str">
        <x:v>EX-2320</x:v>
      </x:c>
      <x:c r="C2348" s="34" t="str">
        <x:v>رویداد رویش</x:v>
      </x:c>
      <x:c r="D2348" s="34" t="str">
        <x:v>POSSIBLE</x:v>
      </x:c>
      <x:c r="E2348" s="34" t="str">
        <x:v>85.5</x:v>
      </x:c>
      <x:c r="F2348" s="34" t="str">
        <x:v>MI-2386</x:v>
      </x:c>
      <x:c r="G2348" s="39" t="str">
        <x:v>اگر فقط رویداد برگزار شود، اکوسیستم ساخته نمی شود.</x:v>
      </x:c>
      <x:c r="H2348" s="39" t="str">
        <x:v>H10</x:v>
      </x:c>
      <x:c r="I2348" s="39" t="str">
        <x:v>P2</x:v>
      </x:c>
      <x:c r="J2348" s="39" t="str">
        <x:v>H10</x:v>
      </x:c>
      <x:c r="K2348" s="39" t="str">
        <x:v>تطبیق احتمالی با پایه</x:v>
      </x:c>
      <x:c r="L2348" s="39" t="str">
        <x:v>MI-2386</x:v>
      </x:c>
      <x:c r="M2348" s="39" t="str">
        <x:v>اگر فقط رویداد برگزار شود، اکوسیستم ساخته نمی شود.</x:v>
      </x:c>
      <x:c r="N2348" s="39" t="str">
        <x:v>1154878548.docx::P7523.1</x:v>
      </x:c>
      <x:c r="O2348" s="39"/>
    </x:row>
    <x:row r="2349">
      <x:c r="A2349" s="34" t="str">
        <x:v>☐</x:v>
      </x:c>
      <x:c r="B2349" s="34" t="str">
        <x:v>EX-2321</x:v>
      </x:c>
      <x:c r="C2349" s="34" t="str">
        <x:v>در دو نوبت</x:v>
      </x:c>
      <x:c r="D2349" s="34" t="str">
        <x:v>POSSIBLE</x:v>
      </x:c>
      <x:c r="E2349" s="34" t="str">
        <x:v>85.5</x:v>
      </x:c>
      <x:c r="F2349" s="34" t="str">
        <x:v>MI-0077</x:v>
      </x:c>
      <x:c r="G2349" s="39" t="str">
        <x:v>یادگیری هوش هیجانی و قدرت تصمیم گیری بالا در لحظه</x:v>
      </x:c>
      <x:c r="H2349" s="39" t="str">
        <x:v>H1</x:v>
      </x:c>
      <x:c r="I2349" s="39" t="str">
        <x:v>P0</x:v>
      </x:c>
      <x:c r="J2349" s="39" t="str">
        <x:v>H1</x:v>
      </x:c>
      <x:c r="K2349" s="39" t="str">
        <x:v>تطبیق احتمالی با پایه</x:v>
      </x:c>
      <x:c r="L2349" s="39" t="str">
        <x:v>MI-0077</x:v>
      </x:c>
      <x:c r="M2349" s="39" t="str">
        <x:v>یادگیری هوش هیجانی و قدرت تصمیم گیری بالا در لحظه</x:v>
      </x:c>
      <x:c r="N2349" s="39" t="str">
        <x:v>1154878548.docx::P7525.1</x:v>
      </x:c>
      <x:c r="O2349" s="39"/>
    </x:row>
    <x:row r="2350">
      <x:c r="A2350" s="34" t="str">
        <x:v>☐</x:v>
      </x:c>
      <x:c r="B2350" s="34" t="str">
        <x:v>EX-2322</x:v>
      </x:c>
      <x:c r="C2350" s="34" t="str">
        <x:v>هر نوبت منجر به ایجاد 15 تیم</x:v>
      </x:c>
      <x:c r="D2350" s="34" t="str">
        <x:v>POSSIBLE</x:v>
      </x:c>
      <x:c r="E2350" s="34" t="str">
        <x:v>90.0</x:v>
      </x:c>
      <x:c r="F2350" s="34" t="str">
        <x:v>MI-2586</x:v>
      </x:c>
      <x:c r="G2350" s="39" t="str">
        <x:v>ایجاد:</x:v>
      </x:c>
      <x:c r="H2350" s="39" t="str">
        <x:v>H20</x:v>
      </x:c>
      <x:c r="I2350" s="39" t="str">
        <x:v>P3/CLARIFY</x:v>
      </x:c>
      <x:c r="J2350" s="39" t="str">
        <x:v>H20</x:v>
      </x:c>
      <x:c r="K2350" s="39" t="str">
        <x:v>تطبیق احتمالی با پایه</x:v>
      </x:c>
      <x:c r="L2350" s="39" t="str">
        <x:v>MI-2586</x:v>
      </x:c>
      <x:c r="M2350" s="39" t="str">
        <x:v>ایجاد:</x:v>
      </x:c>
      <x:c r="N2350" s="39" t="str">
        <x:v>1154878548.docx::P7526.1</x:v>
      </x:c>
      <x:c r="O2350" s="39"/>
    </x:row>
    <x:row r="2351">
      <x:c r="A2351" s="34" t="str">
        <x:v>☐</x:v>
      </x:c>
      <x:c r="B2351" s="34" t="str">
        <x:v>EX-2323</x:v>
      </x:c>
      <x:c r="C2351" s="34" t="str">
        <x:v>در مجموع 30 هسته جدید</x:v>
      </x:c>
      <x:c r="D2351" s="34" t="str">
        <x:v>POSSIBLE</x:v>
      </x:c>
      <x:c r="E2351" s="34" t="str">
        <x:v>85.5</x:v>
      </x:c>
      <x:c r="F2351" s="34" t="str">
        <x:v>MI-0077</x:v>
      </x:c>
      <x:c r="G2351" s="39" t="str">
        <x:v>یادگیری هوش هیجانی و قدرت تصمیم گیری بالا در لحظه</x:v>
      </x:c>
      <x:c r="H2351" s="39" t="str">
        <x:v>H1</x:v>
      </x:c>
      <x:c r="I2351" s="39" t="str">
        <x:v>P0</x:v>
      </x:c>
      <x:c r="J2351" s="39" t="str">
        <x:v>H1</x:v>
      </x:c>
      <x:c r="K2351" s="39" t="str">
        <x:v>تطبیق احتمالی با پایه</x:v>
      </x:c>
      <x:c r="L2351" s="39" t="str">
        <x:v>MI-0077</x:v>
      </x:c>
      <x:c r="M2351" s="39" t="str">
        <x:v>یادگیری هوش هیجانی و قدرت تصمیم گیری بالا در لحظه</x:v>
      </x:c>
      <x:c r="N2351" s="39" t="str">
        <x:v>1154878548.docx::P7527.1</x:v>
      </x:c>
      <x:c r="O2351" s="39"/>
    </x:row>
    <x:row r="2352">
      <x:c r="A2352" s="34" t="str">
        <x:v>☐</x:v>
      </x:c>
      <x:c r="B2352" s="34" t="str">
        <x:v>EX-2324</x:v>
      </x:c>
      <x:c r="C2352" s="34" t="str">
        <x:v>ناظر و ارزیاب</x:v>
      </x:c>
      <x:c r="D2352" s="34" t="str">
        <x:v>POSSIBLE</x:v>
      </x:c>
      <x:c r="E2352" s="34" t="str">
        <x:v>85.5</x:v>
      </x:c>
      <x:c r="F2352" s="34" t="str">
        <x:v>MI-1513</x:v>
      </x:c>
      <x:c r="G2352" s="39" t="str">
        <x:v>تولید و کارآفرینی: توانایی تولید محصول و خدمات و ایجاد شغل.</x:v>
      </x:c>
      <x:c r="H2352" s="39" t="str">
        <x:v>H1</x:v>
      </x:c>
      <x:c r="I2352" s="39" t="str">
        <x:v>P0</x:v>
      </x:c>
      <x:c r="J2352" s="39" t="str">
        <x:v>H1</x:v>
      </x:c>
      <x:c r="K2352" s="39" t="str">
        <x:v>تطبیق احتمالی با پایه</x:v>
      </x:c>
      <x:c r="L2352" s="39" t="str">
        <x:v>MI-1513</x:v>
      </x:c>
      <x:c r="M2352" s="39" t="str">
        <x:v>تولید و کارآفرینی: توانایی تولید محصول و خدمات و ایجاد شغل.</x:v>
      </x:c>
      <x:c r="N2352" s="39" t="str">
        <x:v>1154878548.docx::P7528.1</x:v>
      </x:c>
      <x:c r="O2352" s="39"/>
    </x:row>
    <x:row r="2353">
      <x:c r="A2353" s="34" t="str">
        <x:v>☐</x:v>
      </x:c>
      <x:c r="B2353" s="34" t="str">
        <x:v>EX-2325</x:v>
      </x:c>
      <x:c r="C2353" s="34" t="str">
        <x:v>اساتید و پژوهشگران</x:v>
      </x:c>
      <x:c r="D2353" s="34" t="str">
        <x:v>POSSIBLE</x:v>
      </x:c>
      <x:c r="E2353" s="34" t="str">
        <x:v>90.0</x:v>
      </x:c>
      <x:c r="F2353" s="34" t="str">
        <x:v>MI-2192</x:v>
      </x:c>
      <x:c r="G2353" s="39" t="str">
        <x:v>پژوهش</x:v>
      </x:c>
      <x:c r="H2353" s="39" t="str">
        <x:v>H9</x:v>
      </x:c>
      <x:c r="I2353" s="39" t="str">
        <x:v>P2</x:v>
      </x:c>
      <x:c r="J2353" s="39" t="str">
        <x:v>H9</x:v>
      </x:c>
      <x:c r="K2353" s="39" t="str">
        <x:v>تطبیق احتمالی با پایه</x:v>
      </x:c>
      <x:c r="L2353" s="39" t="str">
        <x:v>MI-2192</x:v>
      </x:c>
      <x:c r="M2353" s="39" t="str">
        <x:v>پژوهش</x:v>
      </x:c>
      <x:c r="N2353" s="39" t="str">
        <x:v>1154878548.docx::P7529.1</x:v>
      </x:c>
      <x:c r="O2353" s="39"/>
    </x:row>
    <x:row r="2354">
      <x:c r="A2354" s="34" t="str">
        <x:v>☐</x:v>
      </x:c>
      <x:c r="B2354" s="34" t="str">
        <x:v>EX-2326</x:v>
      </x:c>
      <x:c r="C2354" s="34" t="str">
        <x:v>نشست معرفی و جذب</x:v>
      </x:c>
      <x:c r="D2354" s="34" t="str">
        <x:v>POSSIBLE</x:v>
      </x:c>
      <x:c r="E2354" s="34" t="str">
        <x:v>85.5</x:v>
      </x:c>
      <x:c r="F2354" s="34" t="str">
        <x:v>MI-1513</x:v>
      </x:c>
      <x:c r="G2354" s="39" t="str">
        <x:v>تولید و کارآفرینی: توانایی تولید محصول و خدمات و ایجاد شغل.</x:v>
      </x:c>
      <x:c r="H2354" s="39" t="str">
        <x:v>H1</x:v>
      </x:c>
      <x:c r="I2354" s="39" t="str">
        <x:v>P0</x:v>
      </x:c>
      <x:c r="J2354" s="39" t="str">
        <x:v>H1</x:v>
      </x:c>
      <x:c r="K2354" s="39" t="str">
        <x:v>تطبیق احتمالی با پایه</x:v>
      </x:c>
      <x:c r="L2354" s="39" t="str">
        <x:v>MI-1513</x:v>
      </x:c>
      <x:c r="M2354" s="39" t="str">
        <x:v>تولید و کارآفرینی: توانایی تولید محصول و خدمات و ایجاد شغل.</x:v>
      </x:c>
      <x:c r="N2354" s="39" t="str">
        <x:v>1154878548.docx::P7530.1</x:v>
      </x:c>
      <x:c r="O2354" s="39"/>
    </x:row>
    <x:row r="2355">
      <x:c r="A2355" s="34" t="str">
        <x:v>☐</x:v>
      </x:c>
      <x:c r="B2355" s="34" t="str">
        <x:v>EX-2327</x:v>
      </x:c>
      <x:c r="C2355" s="34" t="str">
        <x:v>در 5 نوبت</x:v>
      </x:c>
      <x:c r="D2355" s="34" t="str">
        <x:v>POSSIBLE</x:v>
      </x:c>
      <x:c r="E2355" s="34" t="str">
        <x:v>85.5</x:v>
      </x:c>
      <x:c r="F2355" s="34" t="str">
        <x:v>MI-0077</x:v>
      </x:c>
      <x:c r="G2355" s="39" t="str">
        <x:v>یادگیری هوش هیجانی و قدرت تصمیم گیری بالا در لحظه</x:v>
      </x:c>
      <x:c r="H2355" s="39" t="str">
        <x:v>H1</x:v>
      </x:c>
      <x:c r="I2355" s="39" t="str">
        <x:v>P0</x:v>
      </x:c>
      <x:c r="J2355" s="39" t="str">
        <x:v>H1</x:v>
      </x:c>
      <x:c r="K2355" s="39" t="str">
        <x:v>تطبیق احتمالی با پایه</x:v>
      </x:c>
      <x:c r="L2355" s="39" t="str">
        <x:v>MI-0077</x:v>
      </x:c>
      <x:c r="M2355" s="39" t="str">
        <x:v>یادگیری هوش هیجانی و قدرت تصمیم گیری بالا در لحظه</x:v>
      </x:c>
      <x:c r="N2355" s="39" t="str">
        <x:v>1154878548.docx::P7531.1</x:v>
      </x:c>
      <x:c r="O2355" s="39"/>
    </x:row>
    <x:row r="2356">
      <x:c r="A2356" s="34" t="str">
        <x:v>☐</x:v>
      </x:c>
      <x:c r="B2356" s="34" t="str">
        <x:v>EX-2328</x:v>
      </x:c>
      <x:c r="C2356" s="34" t="str">
        <x:v>هر نوبت 2 نفر جذب بشن</x:v>
      </x:c>
      <x:c r="D2356" s="34" t="str">
        <x:v>POSSIBLE</x:v>
      </x:c>
      <x:c r="E2356" s="34" t="str">
        <x:v>85.5</x:v>
      </x:c>
      <x:c r="F2356" s="34" t="str">
        <x:v>MI-1593</x:v>
      </x:c>
      <x:c r="G2356" s="39" t="str">
        <x:v>یا خروجی های قوی یه همایش یا رویداد کارافرینین و جذب سرمایه شده که میشه معرفی بشه برای سرمایه گذاری یا تیم سازی و اجداث شرکت و پیشروی</x:v>
      </x:c>
      <x:c r="H2356" s="39" t="str">
        <x:v>H4</x:v>
      </x:c>
      <x:c r="I2356" s="39" t="str">
        <x:v>P1</x:v>
      </x:c>
      <x:c r="J2356" s="39" t="str">
        <x:v>H4</x:v>
      </x:c>
      <x:c r="K2356" s="39" t="str">
        <x:v>تطبیق احتمالی با پایه</x:v>
      </x:c>
      <x:c r="L2356" s="39" t="str">
        <x:v>MI-1593</x:v>
      </x:c>
      <x:c r="M2356" s="39" t="str">
        <x:v>یا خروجی های قوی یه همایش یا رویداد کارافرینین و جذب سرمایه شده که میشه معرفی بشه برای سرمایه گذاری یا تیم سازی و اجداث شرکت و پیشروی</x:v>
      </x:c>
      <x:c r="N2356" s="39" t="str">
        <x:v>1154878548.docx::P7532.1</x:v>
      </x:c>
      <x:c r="O2356" s="39"/>
    </x:row>
    <x:row r="2357">
      <x:c r="A2357" s="34" t="str">
        <x:v>☐</x:v>
      </x:c>
      <x:c r="B2357" s="34" t="str">
        <x:v>EX-2329</x:v>
      </x:c>
      <x:c r="C2357" s="34" t="str">
        <x:v>در مجموع 10 نفر ناظر و ارزیاب</x:v>
      </x:c>
      <x:c r="D2357" s="34" t="str">
        <x:v>POSSIBLE</x:v>
      </x:c>
      <x:c r="E2357" s="34" t="str">
        <x:v>85.5</x:v>
      </x:c>
      <x:c r="F2357" s="34" t="str">
        <x:v>MI-1513</x:v>
      </x:c>
      <x:c r="G2357" s="39" t="str">
        <x:v>تولید و کارآفرینی: توانایی تولید محصول و خدمات و ایجاد شغل.</x:v>
      </x:c>
      <x:c r="H2357" s="39" t="str">
        <x:v>H1</x:v>
      </x:c>
      <x:c r="I2357" s="39" t="str">
        <x:v>P0</x:v>
      </x:c>
      <x:c r="J2357" s="39" t="str">
        <x:v>H1</x:v>
      </x:c>
      <x:c r="K2357" s="39" t="str">
        <x:v>تطبیق احتمالی با پایه</x:v>
      </x:c>
      <x:c r="L2357" s="39" t="str">
        <x:v>MI-1513</x:v>
      </x:c>
      <x:c r="M2357" s="39" t="str">
        <x:v>تولید و کارآفرینی: توانایی تولید محصول و خدمات و ایجاد شغل.</x:v>
      </x:c>
      <x:c r="N2357" s="39" t="str">
        <x:v>1154878548.docx::P7533.1</x:v>
      </x:c>
      <x:c r="O2357" s="39"/>
    </x:row>
    <x:row r="2358">
      <x:c r="A2358" s="34" t="str">
        <x:v>☐</x:v>
      </x:c>
      <x:c r="B2358" s="34" t="str">
        <x:v>EX-2330</x:v>
      </x:c>
      <x:c r="C2358" s="34" t="str">
        <x:v>(شتابدهنده استعداد و اشتغال زایی) مدیریت منابع انسانی</x:v>
      </x:c>
      <x:c r="D2358" s="34" t="str">
        <x:v>POSSIBLE</x:v>
      </x:c>
      <x:c r="E2358" s="34" t="str">
        <x:v>90.0</x:v>
      </x:c>
      <x:c r="F2358" s="34" t="str">
        <x:v>MI-1732</x:v>
      </x:c>
      <x:c r="G2358" s="39" t="str">
        <x:v>استعداد</x:v>
      </x:c>
      <x:c r="H2358" s="39" t="str">
        <x:v>H10</x:v>
      </x:c>
      <x:c r="I2358" s="39" t="str">
        <x:v>P2</x:v>
      </x:c>
      <x:c r="J2358" s="39" t="str">
        <x:v>H10</x:v>
      </x:c>
      <x:c r="K2358" s="39" t="str">
        <x:v>تطبیق احتمالی با پایه</x:v>
      </x:c>
      <x:c r="L2358" s="39" t="str">
        <x:v>MI-1732</x:v>
      </x:c>
      <x:c r="M2358" s="39" t="str">
        <x:v>استعداد</x:v>
      </x:c>
      <x:c r="N2358" s="39" t="str">
        <x:v>1154878548.docx::P7564.1</x:v>
      </x:c>
      <x:c r="O2358" s="39"/>
    </x:row>
    <x:row r="2359">
      <x:c r="A2359" s="34" t="str">
        <x:v>☐</x:v>
      </x:c>
      <x:c r="B2359" s="34" t="str">
        <x:v>EX-2331</x:v>
      </x:c>
      <x:c r="C2359" s="34" t="str">
        <x:v>شبکه رصد افراد</x:v>
      </x:c>
      <x:c r="D2359" s="34" t="str">
        <x:v>POSSIBLE</x:v>
      </x:c>
      <x:c r="E2359" s="34" t="str">
        <x:v>90.0</x:v>
      </x:c>
      <x:c r="F2359" s="34" t="str">
        <x:v>MI-2997</x:v>
      </x:c>
      <x:c r="G2359" s="39" t="str">
        <x:v>افراد</x:v>
      </x:c>
      <x:c r="H2359" s="39" t="str">
        <x:v>H14</x:v>
      </x:c>
      <x:c r="I2359" s="39" t="str">
        <x:v>P3</x:v>
      </x:c>
      <x:c r="J2359" s="39" t="str">
        <x:v>H14</x:v>
      </x:c>
      <x:c r="K2359" s="39" t="str">
        <x:v>تطبیق احتمالی با پایه</x:v>
      </x:c>
      <x:c r="L2359" s="39" t="str">
        <x:v>MI-2997</x:v>
      </x:c>
      <x:c r="M2359" s="39" t="str">
        <x:v>افراد</x:v>
      </x:c>
      <x:c r="N2359" s="39" t="str">
        <x:v>1154878548.docx::P7565.1</x:v>
      </x:c>
      <x:c r="O2359" s="39"/>
    </x:row>
    <x:row r="2360">
      <x:c r="A2360" s="34" t="str">
        <x:v>☐</x:v>
      </x:c>
      <x:c r="B2360" s="34" t="str">
        <x:v>EX-2332</x:v>
      </x:c>
      <x:c r="C2360" s="34" t="str">
        <x:v>: پرونده زنده فردی (قلب سیستم)</x:v>
      </x:c>
      <x:c r="D2360" s="34" t="str">
        <x:v>POSSIBLE</x:v>
      </x:c>
      <x:c r="E2360" s="34" t="str">
        <x:v>85.5</x:v>
      </x:c>
      <x:c r="F2360" s="34" t="str">
        <x:v>MI-0358</x:v>
      </x:c>
      <x:c r="G2360" s="39" t="str">
        <x:v>مطالعه توسعه فردی</x:v>
      </x:c>
      <x:c r="H2360" s="39" t="str">
        <x:v>H1</x:v>
      </x:c>
      <x:c r="I2360" s="39" t="str">
        <x:v>BANK</x:v>
      </x:c>
      <x:c r="J2360" s="39" t="str">
        <x:v>H1</x:v>
      </x:c>
      <x:c r="K2360" s="39" t="str">
        <x:v>تطبیق احتمالی با پایه</x:v>
      </x:c>
      <x:c r="L2360" s="39" t="str">
        <x:v>MI-0358</x:v>
      </x:c>
      <x:c r="M2360" s="39" t="str">
        <x:v>مطالعه توسعه فردی</x:v>
      </x:c>
      <x:c r="N2360" s="39" t="str">
        <x:v>1154878548.docx::P7566.1</x:v>
      </x:c>
      <x:c r="O2360" s="39"/>
    </x:row>
    <x:row r="2361">
      <x:c r="A2361" s="34" t="str">
        <x:v>☐</x:v>
      </x:c>
      <x:c r="B2361" s="34" t="str">
        <x:v>EX-2333</x:v>
      </x:c>
      <x:c r="C2361" s="34" t="str">
        <x:v>بُعد ۳ - تاریخچه شغلی:</x:v>
      </x:c>
      <x:c r="D2361" s="34" t="str">
        <x:v>POSSIBLE</x:v>
      </x:c>
      <x:c r="E2361" s="34" t="str">
        <x:v>85.5</x:v>
      </x:c>
      <x:c r="F2361" s="34" t="str">
        <x:v>MI-0272</x:v>
      </x:c>
      <x:c r="G2361" s="39" t="str">
        <x:v>بررسی تمامی شاخه های تحصیلی و کارگاه ها و نرم افزار و سخت افزار های جامع و بررسی فرصت های شغلی با بیشترین اشتراکات حرفه ها و گواهی ها و رزومه ها</x:v>
      </x:c>
      <x:c r="H2361" s="39" t="str">
        <x:v>H3</x:v>
      </x:c>
      <x:c r="I2361" s="39" t="str">
        <x:v>P0/P1</x:v>
      </x:c>
      <x:c r="J2361" s="39" t="str">
        <x:v>H3</x:v>
      </x:c>
      <x:c r="K2361" s="39" t="str">
        <x:v>تطبیق احتمالی با پایه</x:v>
      </x:c>
      <x:c r="L2361" s="39" t="str">
        <x:v>MI-0272</x:v>
      </x:c>
      <x:c r="M2361" s="39" t="str">
        <x:v>بررسی تمامی شاخه های تحصیلی و کارگاه ها و نرم افزار و سخت افزار های جامع و بررسی فرصت های شغلی با بیشترین اشتراکات حرفه ها و گواهی ها و رزومه ها</x:v>
      </x:c>
      <x:c r="N2361" s="39" t="str">
        <x:v>1154878548.docx::P7567.1</x:v>
      </x:c>
      <x:c r="O2361" s="39"/>
    </x:row>
    <x:row r="2362">
      <x:c r="A2362" s="34" t="str">
        <x:v>☐</x:v>
      </x:c>
      <x:c r="B2362" s="34" t="str">
        <x:v>EX-2334</x:v>
      </x:c>
      <x:c r="C2362" s="34" t="str">
        <x:v>سوابق کاری با جزئیات</x:v>
      </x:c>
      <x:c r="D2362" s="34" t="str">
        <x:v>POSSIBLE</x:v>
      </x:c>
      <x:c r="E2362" s="34" t="str">
        <x:v>90.0</x:v>
      </x:c>
      <x:c r="F2362" s="34" t="str">
        <x:v>MI-2545</x:v>
      </x:c>
      <x:c r="G2362" s="39" t="str">
        <x:v>کار:</x:v>
      </x:c>
      <x:c r="H2362" s="39" t="str">
        <x:v>H20</x:v>
      </x:c>
      <x:c r="I2362" s="39" t="str">
        <x:v>P3/CLARIFY</x:v>
      </x:c>
      <x:c r="J2362" s="39" t="str">
        <x:v>H20</x:v>
      </x:c>
      <x:c r="K2362" s="39" t="str">
        <x:v>تطبیق احتمالی با پایه</x:v>
      </x:c>
      <x:c r="L2362" s="39" t="str">
        <x:v>MI-2545</x:v>
      </x:c>
      <x:c r="M2362" s="39" t="str">
        <x:v>کار:</x:v>
      </x:c>
      <x:c r="N2362" s="39" t="str">
        <x:v>1154878548.docx::P7568.1</x:v>
      </x:c>
      <x:c r="O2362" s="39"/>
    </x:row>
    <x:row r="2363">
      <x:c r="A2363" s="34" t="str">
        <x:v>☐</x:v>
      </x:c>
      <x:c r="B2363" s="34" t="str">
        <x:v>EX-2335</x:v>
      </x:c>
      <x:c r="C2363" s="34" t="str">
        <x:v>دلیل ترک هر شغل</x:v>
      </x:c>
      <x:c r="D2363" s="34" t="str">
        <x:v>POSSIBLE</x:v>
      </x:c>
      <x:c r="E2363" s="34" t="str">
        <x:v>85.5</x:v>
      </x:c>
      <x:c r="F2363" s="34" t="str">
        <x:v>MI-1513</x:v>
      </x:c>
      <x:c r="G2363" s="39" t="str">
        <x:v>تولید و کارآفرینی: توانایی تولید محصول و خدمات و ایجاد شغل.</x:v>
      </x:c>
      <x:c r="H2363" s="39" t="str">
        <x:v>H1</x:v>
      </x:c>
      <x:c r="I2363" s="39" t="str">
        <x:v>P0</x:v>
      </x:c>
      <x:c r="J2363" s="39" t="str">
        <x:v>H1</x:v>
      </x:c>
      <x:c r="K2363" s="39" t="str">
        <x:v>تطبیق احتمالی با پایه</x:v>
      </x:c>
      <x:c r="L2363" s="39" t="str">
        <x:v>MI-1513</x:v>
      </x:c>
      <x:c r="M2363" s="39" t="str">
        <x:v>تولید و کارآفرینی: توانایی تولید محصول و خدمات و ایجاد شغل.</x:v>
      </x:c>
      <x:c r="N2363" s="39" t="str">
        <x:v>1154878548.docx::P7569.1</x:v>
      </x:c>
      <x:c r="O2363" s="39"/>
    </x:row>
    <x:row r="2364">
      <x:c r="A2364" s="34" t="str">
        <x:v>☐</x:v>
      </x:c>
      <x:c r="B2364" s="34" t="str">
        <x:v>EX-2336</x:v>
      </x:c>
      <x:c r="C2364" s="34" t="str">
        <x:v>مدت بیکاری بین مشاغل</x:v>
      </x:c>
      <x:c r="D2364" s="34" t="str">
        <x:v>POSSIBLE</x:v>
      </x:c>
      <x:c r="E2364" s="34" t="str">
        <x:v>90.0</x:v>
      </x:c>
      <x:c r="F2364" s="34" t="str">
        <x:v>MI-2545</x:v>
      </x:c>
      <x:c r="G2364" s="39" t="str">
        <x:v>کار:</x:v>
      </x:c>
      <x:c r="H2364" s="39" t="str">
        <x:v>H20</x:v>
      </x:c>
      <x:c r="I2364" s="39" t="str">
        <x:v>P3/CLARIFY</x:v>
      </x:c>
      <x:c r="J2364" s="39" t="str">
        <x:v>H20</x:v>
      </x:c>
      <x:c r="K2364" s="39" t="str">
        <x:v>تطبیق احتمالی با پایه</x:v>
      </x:c>
      <x:c r="L2364" s="39" t="str">
        <x:v>MI-2545</x:v>
      </x:c>
      <x:c r="M2364" s="39" t="str">
        <x:v>کار:</x:v>
      </x:c>
      <x:c r="N2364" s="39" t="str">
        <x:v>1154878548.docx::P7570.1</x:v>
      </x:c>
      <x:c r="O2364" s="39"/>
    </x:row>
    <x:row r="2365">
      <x:c r="A2365" s="34" t="str">
        <x:v>☐</x:v>
      </x:c>
      <x:c r="B2365" s="34" t="str">
        <x:v>EX-2337</x:v>
      </x:c>
      <x:c r="C2365" s="34" t="str">
        <x:v>نوع قرارداد (رسمی، پیمانی، آزاد)</x:v>
      </x:c>
      <x:c r="D2365" s="34" t="str">
        <x:v>POSSIBLE</x:v>
      </x:c>
      <x:c r="E2365" s="34" t="str">
        <x:v>85.5</x:v>
      </x:c>
      <x:c r="F2365" s="34" t="str">
        <x:v>MI-0951</x:v>
      </x:c>
      <x:c r="G2365" s="39" t="str">
        <x:v>بستن قرارداد حقوقی دانشگاه با اسنپ مبنی بر همکاری که شامل پوشش قسمتی یا کل هزینه جابه جایی دانشجویان توسط کد تخفیف شامل سفر های درون شهری یا برون شهری حمل و نقل</x:v>
      </x:c>
      <x:c r="H2365" s="39" t="str">
        <x:v>H11</x:v>
      </x:c>
      <x:c r="I2365" s="39" t="str">
        <x:v>DELEGATE/P2</x:v>
      </x:c>
      <x:c r="J2365" s="39" t="str">
        <x:v>H11</x:v>
      </x:c>
      <x:c r="K2365" s="39" t="str">
        <x:v>تطبیق احتمالی با پایه</x:v>
      </x:c>
      <x:c r="L2365" s="39" t="str">
        <x:v>MI-0951</x:v>
      </x:c>
      <x:c r="M2365" s="39" t="str">
        <x:v>بستن قرارداد حقوقی دانشگاه با اسنپ مبنی بر همکاری که شامل پوشش قسمتی یا کل هزینه جابه جایی دانشجویان توسط کد تخفیف شامل سفر های درون شهری یا برون شهری حمل و نقل</x:v>
      </x:c>
      <x:c r="N2365" s="39" t="str">
        <x:v>1154878548.docx::P7571.1</x:v>
      </x:c>
      <x:c r="O2365" s="39"/>
    </x:row>
    <x:row r="2366">
      <x:c r="A2366" s="34" t="str">
        <x:v>☐</x:v>
      </x:c>
      <x:c r="B2366" s="34" t="str">
        <x:v>EX-2338</x:v>
      </x:c>
      <x:c r="C2366" s="34" t="str">
        <x:v>بُعد ۴ - وضعیت مالی:</x:v>
      </x:c>
      <x:c r="D2366" s="34" t="str">
        <x:v>POSSIBLE</x:v>
      </x:c>
      <x:c r="E2366" s="34" t="str">
        <x:v>85.5</x:v>
      </x:c>
      <x:c r="F2366" s="34" t="str">
        <x:v>MI-1510</x:v>
      </x:c>
      <x:c r="G2366" s="39" t="str">
        <x:v>دانش مالی: درک مفاهیم مالی، آشنایی با انواع سرمایه گذاری ها.</x:v>
      </x:c>
      <x:c r="H2366" s="39" t="str">
        <x:v>H1</x:v>
      </x:c>
      <x:c r="I2366" s="39" t="str">
        <x:v>P0</x:v>
      </x:c>
      <x:c r="J2366" s="39" t="str">
        <x:v>H1</x:v>
      </x:c>
      <x:c r="K2366" s="39" t="str">
        <x:v>تطبیق احتمالی با پایه</x:v>
      </x:c>
      <x:c r="L2366" s="39" t="str">
        <x:v>MI-1510</x:v>
      </x:c>
      <x:c r="M2366" s="39" t="str">
        <x:v>دانش مالی: درک مفاهیم مالی، آشنایی با انواع سرمایه گذاری ها.</x:v>
      </x:c>
      <x:c r="N2366" s="39" t="str">
        <x:v>1154878548.docx::P7572.1</x:v>
      </x:c>
      <x:c r="O2366" s="39"/>
    </x:row>
    <x:row r="2367">
      <x:c r="A2367" s="34" t="str">
        <x:v>☐</x:v>
      </x:c>
      <x:c r="B2367" s="34" t="str">
        <x:v>EX-2339</x:v>
      </x:c>
      <x:c r="C2367" s="34" t="str">
        <x:v>درآمد فعلی (بازه، نه عدد دقیق)</x:v>
      </x:c>
      <x:c r="D2367" s="34" t="str">
        <x:v>POSSIBLE</x:v>
      </x:c>
      <x:c r="E2367" s="34" t="str">
        <x:v>85.5</x:v>
      </x:c>
      <x:c r="F2367" s="34" t="str">
        <x:v>MI-1442</x:v>
      </x:c>
      <x:c r="G2367" s="39" t="str">
        <x:v>این نیت کردم نمیدونم انجام شده یا نه چه کنم</x:v>
      </x:c>
      <x:c r="H2367" s="39" t="str">
        <x:v>H1</x:v>
      </x:c>
      <x:c r="I2367" s="39" t="str">
        <x:v>P0</x:v>
      </x:c>
      <x:c r="J2367" s="39" t="str">
        <x:v>H1</x:v>
      </x:c>
      <x:c r="K2367" s="39" t="str">
        <x:v>تطبیق احتمالی با پایه</x:v>
      </x:c>
      <x:c r="L2367" s="39" t="str">
        <x:v>MI-1442</x:v>
      </x:c>
      <x:c r="M2367" s="39" t="str">
        <x:v>این نیت کردم نمیدونم انجام شده یا نه چه کنم</x:v>
      </x:c>
      <x:c r="N2367" s="39" t="str">
        <x:v>1154878548.docx::P7573.1</x:v>
      </x:c>
      <x:c r="O2367" s="39"/>
    </x:row>
    <x:row r="2368">
      <x:c r="A2368" s="34" t="str">
        <x:v>☐</x:v>
      </x:c>
      <x:c r="B2368" s="34" t="str">
        <x:v>EX-2340</x:v>
      </x:c>
      <x:c r="C2368" s="34" t="str">
        <x:v>بدهیها و تعهدات</x:v>
      </x:c>
      <x:c r="D2368" s="34" t="str">
        <x:v>POSSIBLE</x:v>
      </x:c>
      <x:c r="E2368" s="34" t="str">
        <x:v>85.5</x:v>
      </x:c>
      <x:c r="F2368" s="34" t="str">
        <x:v>MI-1513</x:v>
      </x:c>
      <x:c r="G2368" s="39" t="str">
        <x:v>تولید و کارآفرینی: توانایی تولید محصول و خدمات و ایجاد شغل.</x:v>
      </x:c>
      <x:c r="H2368" s="39" t="str">
        <x:v>H1</x:v>
      </x:c>
      <x:c r="I2368" s="39" t="str">
        <x:v>P0</x:v>
      </x:c>
      <x:c r="J2368" s="39" t="str">
        <x:v>H1</x:v>
      </x:c>
      <x:c r="K2368" s="39" t="str">
        <x:v>تطبیق احتمالی با پایه</x:v>
      </x:c>
      <x:c r="L2368" s="39" t="str">
        <x:v>MI-1513</x:v>
      </x:c>
      <x:c r="M2368" s="39" t="str">
        <x:v>تولید و کارآفرینی: توانایی تولید محصول و خدمات و ایجاد شغل.</x:v>
      </x:c>
      <x:c r="N2368" s="39" t="str">
        <x:v>1154878548.docx::P7574.1</x:v>
      </x:c>
      <x:c r="O2368" s="39"/>
    </x:row>
    <x:row r="2369">
      <x:c r="A2369" s="34" t="str">
        <x:v>☐</x:v>
      </x:c>
      <x:c r="B2369" s="34" t="str">
        <x:v>EX-2341</x:v>
      </x:c>
      <x:c r="C2369" s="34" t="str">
        <x:v>وضعیت بیمه</x:v>
      </x:c>
      <x:c r="D2369" s="34" t="str">
        <x:v>POSSIBLE</x:v>
      </x:c>
      <x:c r="E2369" s="34" t="str">
        <x:v>85.5</x:v>
      </x:c>
      <x:c r="F2369" s="34" t="str">
        <x:v>MI-0620</x:v>
      </x:c>
      <x:c r="G2369" s="39" t="str">
        <x:v>بیمه تجهیزات الکترونیکی مثل لپ تاپ</x:v>
      </x:c>
      <x:c r="H2369" s="39" t="str">
        <x:v>H4</x:v>
      </x:c>
      <x:c r="I2369" s="39" t="str">
        <x:v>P1</x:v>
      </x:c>
      <x:c r="J2369" s="39" t="str">
        <x:v>H4</x:v>
      </x:c>
      <x:c r="K2369" s="39" t="str">
        <x:v>تطبیق احتمالی با پایه</x:v>
      </x:c>
      <x:c r="L2369" s="39" t="str">
        <x:v>MI-0620</x:v>
      </x:c>
      <x:c r="M2369" s="39" t="str">
        <x:v>بیمه تجهیزات الکترونیکی مثل لپ تاپ</x:v>
      </x:c>
      <x:c r="N2369" s="39" t="str">
        <x:v>1154878548.docx::P7575.1</x:v>
      </x:c>
      <x:c r="O2369" s="39"/>
    </x:row>
    <x:row r="2370">
      <x:c r="A2370" s="34" t="str">
        <x:v>☐</x:v>
      </x:c>
      <x:c r="B2370" s="34" t="str">
        <x:v>EX-2342</x:v>
      </x:c>
      <x:c r="C2370" s="34" t="str">
        <x:v>درخواستهای وام ثبتشده</x:v>
      </x:c>
      <x:c r="D2370" s="34" t="str">
        <x:v>POSSIBLE</x:v>
      </x:c>
      <x:c r="E2370" s="34" t="str">
        <x:v>90.0</x:v>
      </x:c>
      <x:c r="F2370" s="34" t="str">
        <x:v>MI-1567</x:v>
      </x:c>
      <x:c r="G2370" s="39" t="str">
        <x:v>وام</x:v>
      </x:c>
      <x:c r="H2370" s="39" t="str">
        <x:v>H19</x:v>
      </x:c>
      <x:c r="I2370" s="39" t="str">
        <x:v>P3</x:v>
      </x:c>
      <x:c r="J2370" s="39" t="str">
        <x:v>H19</x:v>
      </x:c>
      <x:c r="K2370" s="39" t="str">
        <x:v>تطبیق احتمالی با پایه</x:v>
      </x:c>
      <x:c r="L2370" s="39" t="str">
        <x:v>MI-1567</x:v>
      </x:c>
      <x:c r="M2370" s="39" t="str">
        <x:v>وام</x:v>
      </x:c>
      <x:c r="N2370" s="39" t="str">
        <x:v>1154878548.docx::P7576.1</x:v>
      </x:c>
      <x:c r="O2370" s="39"/>
    </x:row>
    <x:row r="2371">
      <x:c r="A2371" s="34" t="str">
        <x:v>☐</x:v>
      </x:c>
      <x:c r="B2371" s="34" t="str">
        <x:v>EX-2343</x:v>
      </x:c>
      <x:c r="C2371" s="34" t="str">
        <x:v>بُعد ۵ - اهداف و آرزوها (IDP):</x:v>
      </x:c>
      <x:c r="D2371" s="34" t="str">
        <x:v>POSSIBLE</x:v>
      </x:c>
      <x:c r="E2371" s="34" t="str">
        <x:v>85.5</x:v>
      </x:c>
      <x:c r="F2371" s="34" t="str">
        <x:v>MI-1513</x:v>
      </x:c>
      <x:c r="G2371" s="39" t="str">
        <x:v>تولید و کارآفرینی: توانایی تولید محصول و خدمات و ایجاد شغل.</x:v>
      </x:c>
      <x:c r="H2371" s="39" t="str">
        <x:v>H1</x:v>
      </x:c>
      <x:c r="I2371" s="39" t="str">
        <x:v>P0</x:v>
      </x:c>
      <x:c r="J2371" s="39" t="str">
        <x:v>H1</x:v>
      </x:c>
      <x:c r="K2371" s="39" t="str">
        <x:v>تطبیق احتمالی با پایه</x:v>
      </x:c>
      <x:c r="L2371" s="39" t="str">
        <x:v>MI-1513</x:v>
      </x:c>
      <x:c r="M2371" s="39" t="str">
        <x:v>تولید و کارآفرینی: توانایی تولید محصول و خدمات و ایجاد شغل.</x:v>
      </x:c>
      <x:c r="N2371" s="39" t="str">
        <x:v>1154878548.docx::P7577.1</x:v>
      </x:c>
      <x:c r="O2371" s="39"/>
    </x:row>
    <x:row r="2372">
      <x:c r="A2372" s="34" t="str">
        <x:v>☐</x:v>
      </x:c>
      <x:c r="B2372" s="34" t="str">
        <x:v>EX-2344</x:v>
      </x:c>
      <x:c r="C2372" s="34" t="str">
        <x:v>هدف شغلی ۱ساله، ۳ساله، ۵ساله</x:v>
      </x:c>
      <x:c r="D2372" s="34" t="str">
        <x:v>POSSIBLE</x:v>
      </x:c>
      <x:c r="E2372" s="34" t="str">
        <x:v>85.5</x:v>
      </x:c>
      <x:c r="F2372" s="34" t="str">
        <x:v>MI-0272</x:v>
      </x:c>
      <x:c r="G2372" s="39" t="str">
        <x:v>بررسی تمامی شاخه های تحصیلی و کارگاه ها و نرم افزار و سخت افزار های جامع و بررسی فرصت های شغلی با بیشترین اشتراکات حرفه ها و گواهی ها و رزومه ها</x:v>
      </x:c>
      <x:c r="H2372" s="39" t="str">
        <x:v>H3</x:v>
      </x:c>
      <x:c r="I2372" s="39" t="str">
        <x:v>P0/P1</x:v>
      </x:c>
      <x:c r="J2372" s="39" t="str">
        <x:v>H3</x:v>
      </x:c>
      <x:c r="K2372" s="39" t="str">
        <x:v>تطبیق احتمالی با پایه</x:v>
      </x:c>
      <x:c r="L2372" s="39" t="str">
        <x:v>MI-0272</x:v>
      </x:c>
      <x:c r="M2372" s="39" t="str">
        <x:v>بررسی تمامی شاخه های تحصیلی و کارگاه ها و نرم افزار و سخت افزار های جامع و بررسی فرصت های شغلی با بیشترین اشتراکات حرفه ها و گواهی ها و رزومه ها</x:v>
      </x:c>
      <x:c r="N2372" s="39" t="str">
        <x:v>1154878548.docx::P7578.1</x:v>
      </x:c>
      <x:c r="O2372" s="39"/>
    </x:row>
    <x:row r="2373">
      <x:c r="A2373" s="34" t="str">
        <x:v>☐</x:v>
      </x:c>
      <x:c r="B2373" s="34" t="str">
        <x:v>EX-2345</x:v>
      </x:c>
      <x:c r="C2373" s="34" t="str">
        <x:v>مهارتهایی که میخواهد یاد بگیرد</x:v>
      </x:c>
      <x:c r="D2373" s="34" t="str">
        <x:v>POSSIBLE</x:v>
      </x:c>
      <x:c r="E2373" s="34" t="str">
        <x:v>85.5</x:v>
      </x:c>
      <x:c r="F2373" s="34" t="str">
        <x:v>MI-1441</x:v>
      </x:c>
      <x:c r="G2373" s="39" t="str">
        <x:v>خدایا 20 هزار صلولت نذر میکنم که اگه بزارن کنکور</x:v>
      </x:c>
      <x:c r="H2373" s="39" t="str">
        <x:v>H1</x:v>
      </x:c>
      <x:c r="I2373" s="39" t="str">
        <x:v>P0</x:v>
      </x:c>
      <x:c r="J2373" s="39" t="str">
        <x:v>H1</x:v>
      </x:c>
      <x:c r="K2373" s="39" t="str">
        <x:v>تطبیق احتمالی با پایه</x:v>
      </x:c>
      <x:c r="L2373" s="39" t="str">
        <x:v>MI-1441</x:v>
      </x:c>
      <x:c r="M2373" s="39" t="str">
        <x:v>خدایا 20 هزار صلولت نذر میکنم که اگه بزارن کنکور</x:v>
      </x:c>
      <x:c r="N2373" s="39" t="str">
        <x:v>1154878548.docx::P7579.1</x:v>
      </x:c>
      <x:c r="O2373" s="39"/>
    </x:row>
    <x:row r="2374">
      <x:c r="A2374" s="34" t="str">
        <x:v>☐</x:v>
      </x:c>
      <x:c r="B2374" s="34" t="str">
        <x:v>EX-2346</x:v>
      </x:c>
      <x:c r="C2374" s="34" t="str">
        <x:v>صنعتی که میخواهد وارد شود</x:v>
      </x:c>
      <x:c r="D2374" s="34" t="str">
        <x:v>POSSIBLE</x:v>
      </x:c>
      <x:c r="E2374" s="34" t="str">
        <x:v>90.0</x:v>
      </x:c>
      <x:c r="F2374" s="34" t="str">
        <x:v>MI-2602</x:v>
      </x:c>
      <x:c r="G2374" s="39" t="str">
        <x:v>صنعت</x:v>
      </x:c>
      <x:c r="H2374" s="39" t="str">
        <x:v>H12</x:v>
      </x:c>
      <x:c r="I2374" s="39" t="str">
        <x:v>P2</x:v>
      </x:c>
      <x:c r="J2374" s="39" t="str">
        <x:v>H12</x:v>
      </x:c>
      <x:c r="K2374" s="39" t="str">
        <x:v>تطبیق احتمالی با پایه</x:v>
      </x:c>
      <x:c r="L2374" s="39" t="str">
        <x:v>MI-2602</x:v>
      </x:c>
      <x:c r="M2374" s="39" t="str">
        <x:v>صنعت</x:v>
      </x:c>
      <x:c r="N2374" s="39" t="str">
        <x:v>1154878548.docx::P7580.1</x:v>
      </x:c>
      <x:c r="O2374" s="39"/>
    </x:row>
    <x:row r="2375">
      <x:c r="A2375" s="34" t="str">
        <x:v>☐</x:v>
      </x:c>
      <x:c r="B2375" s="34" t="str">
        <x:v>EX-2347</x:v>
      </x:c>
      <x:c r="C2375" s="34" t="str">
        <x:v>حاضر به جابجایی جغرافیایی هست یا نه</x:v>
      </x:c>
      <x:c r="D2375" s="34" t="str">
        <x:v>POSSIBLE</x:v>
      </x:c>
      <x:c r="E2375" s="34" t="str">
        <x:v>85.5</x:v>
      </x:c>
      <x:c r="F2375" s="34" t="str">
        <x:v>MI-1448</x:v>
      </x:c>
      <x:c r="G2375" s="39" t="str">
        <x:v>پول هییت قبلا چوقدر هست دست من؟؟؟ قبلا 4,290 بوده . چقدر به سید دادم.</x:v>
      </x:c>
      <x:c r="H2375" s="39" t="str">
        <x:v>H1</x:v>
      </x:c>
      <x:c r="I2375" s="39" t="str">
        <x:v>P0</x:v>
      </x:c>
      <x:c r="J2375" s="39" t="str">
        <x:v>H1</x:v>
      </x:c>
      <x:c r="K2375" s="39" t="str">
        <x:v>تطبیق احتمالی با پایه</x:v>
      </x:c>
      <x:c r="L2375" s="39" t="str">
        <x:v>MI-1448</x:v>
      </x:c>
      <x:c r="M2375" s="39" t="str">
        <x:v>پول هییت قبلا چوقدر هست دست من؟؟؟ قبلا 4,290 بوده . چقدر به سید دادم.</x:v>
      </x:c>
      <x:c r="N2375" s="39" t="str">
        <x:v>1154878548.docx::P7581.1</x:v>
      </x:c>
      <x:c r="O2375" s="39"/>
    </x:row>
    <x:row r="2376">
      <x:c r="A2376" s="34" t="str">
        <x:v>☐</x:v>
      </x:c>
      <x:c r="B2376" s="34" t="str">
        <x:v>EX-2348</x:v>
      </x:c>
      <x:c r="C2376" s="34" t="str">
        <x:v>بُعد ۶ - تعاملات و فعالیت:</x:v>
      </x:c>
      <x:c r="D2376" s="34" t="str">
        <x:v>POSSIBLE</x:v>
      </x:c>
      <x:c r="E2376" s="34" t="str">
        <x:v>90.0</x:v>
      </x:c>
      <x:c r="F2376" s="34" t="str">
        <x:v>MI-2713</x:v>
      </x:c>
      <x:c r="G2376" s="39" t="str">
        <x:v>تعامل</x:v>
      </x:c>
      <x:c r="H2376" s="39" t="str">
        <x:v>H4</x:v>
      </x:c>
      <x:c r="I2376" s="39" t="str">
        <x:v>P1</x:v>
      </x:c>
      <x:c r="J2376" s="39" t="str">
        <x:v>H4</x:v>
      </x:c>
      <x:c r="K2376" s="39" t="str">
        <x:v>تطبیق احتمالی با پایه</x:v>
      </x:c>
      <x:c r="L2376" s="39" t="str">
        <x:v>MI-2713</x:v>
      </x:c>
      <x:c r="M2376" s="39" t="str">
        <x:v>تعامل</x:v>
      </x:c>
      <x:c r="N2376" s="39" t="str">
        <x:v>1154878548.docx::P7582.1</x:v>
      </x:c>
      <x:c r="O2376" s="39"/>
    </x:row>
    <x:row r="2377">
      <x:c r="A2377" s="34" t="str">
        <x:v>☐</x:v>
      </x:c>
      <x:c r="B2377" s="34" t="str">
        <x:v>EX-2349</x:v>
      </x:c>
      <x:c r="C2377" s="34" t="str">
        <x:v>حضور در رویدادها</x:v>
      </x:c>
      <x:c r="D2377" s="34" t="str">
        <x:v>POSSIBLE</x:v>
      </x:c>
      <x:c r="E2377" s="34" t="str">
        <x:v>90.0</x:v>
      </x:c>
      <x:c r="F2377" s="34" t="str">
        <x:v>MI-2951</x:v>
      </x:c>
      <x:c r="G2377" s="39" t="str">
        <x:v>رویدادها</x:v>
      </x:c>
      <x:c r="H2377" s="39" t="str">
        <x:v>H20</x:v>
      </x:c>
      <x:c r="I2377" s="39" t="str">
        <x:v>P3/CLARIFY</x:v>
      </x:c>
      <x:c r="J2377" s="39" t="str">
        <x:v>H20</x:v>
      </x:c>
      <x:c r="K2377" s="39" t="str">
        <x:v>تطبیق احتمالی با پایه</x:v>
      </x:c>
      <x:c r="L2377" s="39" t="str">
        <x:v>MI-2951</x:v>
      </x:c>
      <x:c r="M2377" s="39" t="str">
        <x:v>رویدادها</x:v>
      </x:c>
      <x:c r="N2377" s="39" t="str">
        <x:v>1154878548.docx::P7583.1</x:v>
      </x:c>
      <x:c r="O2377" s="39"/>
    </x:row>
    <x:row r="2378">
      <x:c r="A2378" s="34" t="str">
        <x:v>☐</x:v>
      </x:c>
      <x:c r="B2378" s="34" t="str">
        <x:v>EX-2350</x:v>
      </x:c>
      <x:c r="C2378" s="34" t="str">
        <x:v>تکمیل دورههای آموزشی</x:v>
      </x:c>
      <x:c r="D2378" s="34" t="str">
        <x:v>POSSIBLE</x:v>
      </x:c>
      <x:c r="E2378" s="34" t="str">
        <x:v>90.0</x:v>
      </x:c>
      <x:c r="F2378" s="34" t="str">
        <x:v>MI-2601</x:v>
      </x:c>
      <x:c r="G2378" s="39" t="str">
        <x:v>آموزش:</x:v>
      </x:c>
      <x:c r="H2378" s="39" t="str">
        <x:v>H20</x:v>
      </x:c>
      <x:c r="I2378" s="39" t="str">
        <x:v>P3/CLARIFY</x:v>
      </x:c>
      <x:c r="J2378" s="39" t="str">
        <x:v>H20</x:v>
      </x:c>
      <x:c r="K2378" s="39" t="str">
        <x:v>تطبیق احتمالی با پایه</x:v>
      </x:c>
      <x:c r="L2378" s="39" t="str">
        <x:v>MI-2601</x:v>
      </x:c>
      <x:c r="M2378" s="39" t="str">
        <x:v>آموزش:</x:v>
      </x:c>
      <x:c r="N2378" s="39" t="str">
        <x:v>1154878548.docx::P7584.1</x:v>
      </x:c>
      <x:c r="O2378" s="39"/>
    </x:row>
    <x:row r="2379">
      <x:c r="A2379" s="34" t="str">
        <x:v>☐</x:v>
      </x:c>
      <x:c r="B2379" s="34" t="str">
        <x:v>EX-2351</x:v>
      </x:c>
      <x:c r="C2379" s="34" t="str">
        <x:v>معرفی عضو جدید</x:v>
      </x:c>
      <x:c r="D2379" s="34" t="str">
        <x:v>POSSIBLE</x:v>
      </x:c>
      <x:c r="E2379" s="34" t="str">
        <x:v>85.5</x:v>
      </x:c>
      <x:c r="F2379" s="34" t="str">
        <x:v>MI-1508</x:v>
      </x:c>
      <x:c r="G2379" s="39" t="str">
        <x:v>مهارت های فنی: تسلط بر نرم افزارهای تخصصی، ابزارهای مهندسی، تکنولوژی های جدید.</x:v>
      </x:c>
      <x:c r="H2379" s="39" t="str">
        <x:v>H1</x:v>
      </x:c>
      <x:c r="I2379" s="39" t="str">
        <x:v>P0</x:v>
      </x:c>
      <x:c r="J2379" s="39" t="str">
        <x:v>H1</x:v>
      </x:c>
      <x:c r="K2379" s="39" t="str">
        <x:v>تطبیق احتمالی با پایه</x:v>
      </x:c>
      <x:c r="L2379" s="39" t="str">
        <x:v>MI-1508</x:v>
      </x:c>
      <x:c r="M2379" s="39" t="str">
        <x:v>مهارت های فنی: تسلط بر نرم افزارهای تخصصی، ابزارهای مهندسی، تکنولوژی های جدید.</x:v>
      </x:c>
      <x:c r="N2379" s="39" t="str">
        <x:v>1154878548.docx::P7585.1 | 1154878548.docx::P7619.1</x:v>
      </x:c>
      <x:c r="O2379" s="39"/>
    </x:row>
    <x:row r="2380">
      <x:c r="A2380" s="34" t="str">
        <x:v>☐</x:v>
      </x:c>
      <x:c r="B2380" s="34" t="str">
        <x:v>EX-2352</x:v>
      </x:c>
      <x:c r="C2380" s="34" t="str">
        <x:v>مشارکت در پروژههای مشترک</x:v>
      </x:c>
      <x:c r="D2380" s="34" t="str">
        <x:v>POSSIBLE</x:v>
      </x:c>
      <x:c r="E2380" s="34" t="str">
        <x:v>86.9</x:v>
      </x:c>
      <x:c r="F2380" s="34" t="str">
        <x:v>MI-1801</x:v>
      </x:c>
      <x:c r="G2380" s="39" t="str">
        <x:v>پروژه های مشترک</x:v>
      </x:c>
      <x:c r="H2380" s="39" t="str">
        <x:v>H20</x:v>
      </x:c>
      <x:c r="I2380" s="39" t="str">
        <x:v>P3/CLARIFY</x:v>
      </x:c>
      <x:c r="J2380" s="39" t="str">
        <x:v>H20</x:v>
      </x:c>
      <x:c r="K2380" s="39" t="str">
        <x:v>تطبیق احتمالی با پایه</x:v>
      </x:c>
      <x:c r="L2380" s="39" t="str">
        <x:v>MI-1801</x:v>
      </x:c>
      <x:c r="M2380" s="39" t="str">
        <x:v>پروژه های مشترک</x:v>
      </x:c>
      <x:c r="N2380" s="39" t="str">
        <x:v>1154878548.docx::P7586.1</x:v>
      </x:c>
      <x:c r="O2380" s="39"/>
    </x:row>
    <x:row r="2381">
      <x:c r="A2381" s="34" t="str">
        <x:v>☐</x:v>
      </x:c>
      <x:c r="B2381" s="34" t="str">
        <x:v>EX-2353</x:v>
      </x:c>
      <x:c r="C2381" s="34" t="str">
        <x:v>بُعد ۷ - تاریخهای مهم:</x:v>
      </x:c>
      <x:c r="D2381" s="34" t="str">
        <x:v>POSSIBLE</x:v>
      </x:c>
      <x:c r="E2381" s="34" t="str">
        <x:v>90.0</x:v>
      </x:c>
      <x:c r="F2381" s="34" t="str">
        <x:v>MI-2896</x:v>
      </x:c>
      <x:c r="G2381" s="39" t="str">
        <x:v>مهم:</x:v>
      </x:c>
      <x:c r="H2381" s="39" t="str">
        <x:v>H20</x:v>
      </x:c>
      <x:c r="I2381" s="39" t="str">
        <x:v>P3/CLARIFY</x:v>
      </x:c>
      <x:c r="J2381" s="39" t="str">
        <x:v>H20</x:v>
      </x:c>
      <x:c r="K2381" s="39" t="str">
        <x:v>تطبیق احتمالی با پایه</x:v>
      </x:c>
      <x:c r="L2381" s="39" t="str">
        <x:v>MI-2896</x:v>
      </x:c>
      <x:c r="M2381" s="39" t="str">
        <x:v>مهم:</x:v>
      </x:c>
      <x:c r="N2381" s="39" t="str">
        <x:v>1154878548.docx::P7587.1</x:v>
      </x:c>
      <x:c r="O2381" s="39"/>
    </x:row>
    <x:row r="2382">
      <x:c r="A2382" s="34" t="str">
        <x:v>☐</x:v>
      </x:c>
      <x:c r="B2382" s="34" t="str">
        <x:v>EX-2354</x:v>
      </x:c>
      <x:c r="C2382" s="34" t="str">
        <x:v>تولد، سالگرد ازدواج، تولد فرزندان</x:v>
      </x:c>
      <x:c r="D2382" s="34" t="str">
        <x:v>UNMAPPED</x:v>
      </x:c>
      <x:c r="E2382" s="34" t="str">
        <x:v>81.8</x:v>
      </x:c>
      <x:c r="F2382" s="34" t="str">
        <x:v>MI-1571</x:v>
      </x:c>
      <x:c r="G2382" s="39" t="str">
        <x:v>زندانی</x:v>
      </x:c>
      <x:c r="H2382" s="39" t="str">
        <x:v>H19</x:v>
      </x:c>
      <x:c r="I2382" s="39" t="str">
        <x:v>P3</x:v>
      </x:c>
      <x:c r="J2382" s="39" t="str">
        <x:v>H23</x:v>
      </x:c>
      <x:c r="K2382" s="39" t="str">
        <x:v>نیازمند پالایش؛ حذف نشده</x:v>
      </x:c>
      <x:c r="L2382" s="39"/>
      <x:c r="M2382" s="39"/>
      <x:c r="N2382" s="39" t="str">
        <x:v>1154878548.docx::P7588.1</x:v>
      </x:c>
      <x:c r="O2382" s="39"/>
    </x:row>
    <x:row r="2383">
      <x:c r="A2383" s="34" t="str">
        <x:v>☐</x:v>
      </x:c>
      <x:c r="B2383" s="34" t="str">
        <x:v>EX-2355</x:v>
      </x:c>
      <x:c r="C2383" s="34" t="str">
        <x:v>تاریخ عضویت، تاریخ آخرین ارتقاء لایه</x:v>
      </x:c>
      <x:c r="D2383" s="34" t="str">
        <x:v>POSSIBLE</x:v>
      </x:c>
      <x:c r="E2383" s="34" t="str">
        <x:v>85.5</x:v>
      </x:c>
      <x:c r="F2383" s="34" t="str">
        <x:v>MI-2821</x:v>
      </x:c>
      <x:c r="G2383" s="39" t="str">
        <x:v>لایه 4 — تیم سازی و نوآوری</x:v>
      </x:c>
      <x:c r="H2383" s="39" t="str">
        <x:v>H4</x:v>
      </x:c>
      <x:c r="I2383" s="39" t="str">
        <x:v>P1</x:v>
      </x:c>
      <x:c r="J2383" s="39" t="str">
        <x:v>H4</x:v>
      </x:c>
      <x:c r="K2383" s="39" t="str">
        <x:v>تطبیق احتمالی با پایه</x:v>
      </x:c>
      <x:c r="L2383" s="39" t="str">
        <x:v>MI-2821</x:v>
      </x:c>
      <x:c r="M2383" s="39" t="str">
        <x:v>لایه 4 — تیم سازی و نوآوری</x:v>
      </x:c>
      <x:c r="N2383" s="39" t="str">
        <x:v>1154878548.docx::P7589.1</x:v>
      </x:c>
      <x:c r="O2383" s="39"/>
    </x:row>
    <x:row r="2384">
      <x:c r="A2384" s="34" t="str">
        <x:v>☐</x:v>
      </x:c>
      <x:c r="B2384" s="34" t="str">
        <x:v>EX-2356</x:v>
      </x:c>
      <x:c r="C2384" s="34" t="str">
        <x:v>تاریخ آخرین تماس مشاور</x:v>
      </x:c>
      <x:c r="D2384" s="34" t="str">
        <x:v>POSSIBLE</x:v>
      </x:c>
      <x:c r="E2384" s="34" t="str">
        <x:v>85.5</x:v>
      </x:c>
      <x:c r="F2384" s="34" t="str">
        <x:v>MI-0908</x:v>
      </x:c>
      <x:c r="G2384" s="39" t="str">
        <x:v>لیست خدمات کار دانشجویی هر کدام از بلوک ها و چاپ و پرینت و نصب بر درب های ورودی ( آیدی - شماره تماس - شماره اتاق)</x:v>
      </x:c>
      <x:c r="H2384" s="39" t="str">
        <x:v>H11</x:v>
      </x:c>
      <x:c r="I2384" s="39" t="str">
        <x:v>DELEGATE/P2</x:v>
      </x:c>
      <x:c r="J2384" s="39" t="str">
        <x:v>H11</x:v>
      </x:c>
      <x:c r="K2384" s="39" t="str">
        <x:v>تطبیق احتمالی با پایه</x:v>
      </x:c>
      <x:c r="L2384" s="39" t="str">
        <x:v>MI-0908</x:v>
      </x:c>
      <x:c r="M2384" s="39" t="str">
        <x:v>لیست خدمات کار دانشجویی هر کدام از بلوک ها و چاپ و پرینت و نصب بر درب های ورودی ( آیدی - شماره تماس - شماره اتاق)</x:v>
      </x:c>
      <x:c r="N2384" s="39" t="str">
        <x:v>1154878548.docx::P7590.1</x:v>
      </x:c>
      <x:c r="O2384" s="39"/>
    </x:row>
    <x:row r="2385">
      <x:c r="A2385" s="34" t="str">
        <x:v>☐</x:v>
      </x:c>
      <x:c r="B2385" s="34" t="str">
        <x:v>EX-2357</x:v>
      </x:c>
      <x:c r="C2385" s="34" t="str">
        <x:v>بُعد ۸ - شاخصهای ریسک:</x:v>
      </x:c>
      <x:c r="D2385" s="34" t="str">
        <x:v>POSSIBLE</x:v>
      </x:c>
      <x:c r="E2385" s="34" t="str">
        <x:v>85.5</x:v>
      </x:c>
      <x:c r="F2385" s="34" t="str">
        <x:v>MI-1501</x:v>
      </x:c>
      <x:c r="G2385" s="39" t="str">
        <x:v>مدیریت ریسک: شناسایی ریسک ها، ارزیابی اثرات، تدوین برنامه های مقابله با ریسک ها.</x:v>
      </x:c>
      <x:c r="H2385" s="39" t="str">
        <x:v>H1</x:v>
      </x:c>
      <x:c r="I2385" s="39" t="str">
        <x:v>P0</x:v>
      </x:c>
      <x:c r="J2385" s="39" t="str">
        <x:v>H1</x:v>
      </x:c>
      <x:c r="K2385" s="39" t="str">
        <x:v>تطبیق احتمالی با پایه</x:v>
      </x:c>
      <x:c r="L2385" s="39" t="str">
        <x:v>MI-1501</x:v>
      </x:c>
      <x:c r="M2385" s="39" t="str">
        <x:v>مدیریت ریسک: شناسایی ریسک ها، ارزیابی اثرات، تدوین برنامه های مقابله با ریسک ها.</x:v>
      </x:c>
      <x:c r="N2385" s="39" t="str">
        <x:v>1154878548.docx::P7591.1</x:v>
      </x:c>
      <x:c r="O2385" s="39"/>
    </x:row>
    <x:row r="2386">
      <x:c r="A2386" s="34" t="str">
        <x:v>☐</x:v>
      </x:c>
      <x:c r="B2386" s="34" t="str">
        <x:v>EX-2358</x:v>
      </x:c>
      <x:c r="C2386" s="34" t="str">
        <x:v>سیگنالهای خروج (جستجوی کار، کاهش تعامل)</x:v>
      </x:c>
      <x:c r="D2386" s="34" t="str">
        <x:v>POSSIBLE</x:v>
      </x:c>
      <x:c r="E2386" s="34" t="str">
        <x:v>90.0</x:v>
      </x:c>
      <x:c r="F2386" s="34" t="str">
        <x:v>MI-2713</x:v>
      </x:c>
      <x:c r="G2386" s="39" t="str">
        <x:v>تعامل</x:v>
      </x:c>
      <x:c r="H2386" s="39" t="str">
        <x:v>H4</x:v>
      </x:c>
      <x:c r="I2386" s="39" t="str">
        <x:v>P1</x:v>
      </x:c>
      <x:c r="J2386" s="39" t="str">
        <x:v>H4</x:v>
      </x:c>
      <x:c r="K2386" s="39" t="str">
        <x:v>تطبیق احتمالی با پایه</x:v>
      </x:c>
      <x:c r="L2386" s="39" t="str">
        <x:v>MI-2713</x:v>
      </x:c>
      <x:c r="M2386" s="39" t="str">
        <x:v>تعامل</x:v>
      </x:c>
      <x:c r="N2386" s="39" t="str">
        <x:v>1154878548.docx::P7592.1</x:v>
      </x:c>
      <x:c r="O2386" s="39"/>
    </x:row>
    <x:row r="2387">
      <x:c r="A2387" s="34" t="str">
        <x:v>☐</x:v>
      </x:c>
      <x:c r="B2387" s="34" t="str">
        <x:v>EX-2359</x:v>
      </x:c>
      <x:c r="C2387" s="34" t="str">
        <x:v>مشکلات مالی حاد</x:v>
      </x:c>
      <x:c r="D2387" s="34" t="str">
        <x:v>POSSIBLE</x:v>
      </x:c>
      <x:c r="E2387" s="34" t="str">
        <x:v>85.5</x:v>
      </x:c>
      <x:c r="F2387" s="34" t="str">
        <x:v>MI-1472</x:v>
      </x:c>
      <x:c r="G2387" s="39" t="str">
        <x:v>حل مشکلات</x:v>
      </x:c>
      <x:c r="H2387" s="39" t="str">
        <x:v>H1</x:v>
      </x:c>
      <x:c r="I2387" s="39" t="str">
        <x:v>P0</x:v>
      </x:c>
      <x:c r="J2387" s="39" t="str">
        <x:v>H1</x:v>
      </x:c>
      <x:c r="K2387" s="39" t="str">
        <x:v>تطبیق احتمالی با پایه</x:v>
      </x:c>
      <x:c r="L2387" s="39" t="str">
        <x:v>MI-1472</x:v>
      </x:c>
      <x:c r="M2387" s="39" t="str">
        <x:v>حل مشکلات</x:v>
      </x:c>
      <x:c r="N2387" s="39" t="str">
        <x:v>1154878548.docx::P7593.1</x:v>
      </x:c>
      <x:c r="O2387" s="39"/>
    </x:row>
    <x:row r="2388">
      <x:c r="A2388" s="34" t="str">
        <x:v>☐</x:v>
      </x:c>
      <x:c r="B2388" s="34" t="str">
        <x:v>EX-2360</x:v>
      </x:c>
      <x:c r="C2388" s="34" t="str">
        <x:v>نارضایتی ثبتشده</x:v>
      </x:c>
      <x:c r="D2388" s="34" t="str">
        <x:v>UNMAPPED</x:v>
      </x:c>
      <x:c r="E2388" s="34" t="str">
        <x:v>72.0</x:v>
      </x:c>
      <x:c r="F2388" s="34" t="str">
        <x:v>MI-1306</x:v>
      </x:c>
      <x:c r="G2388" s="39" t="str">
        <x:v>قضایی</x:v>
      </x:c>
      <x:c r="H2388" s="39" t="str">
        <x:v>H12</x:v>
      </x:c>
      <x:c r="I2388" s="39" t="str">
        <x:v>P2</x:v>
      </x:c>
      <x:c r="J2388" s="39" t="str">
        <x:v>H23</x:v>
      </x:c>
      <x:c r="K2388" s="39" t="str">
        <x:v>نیازمند پالایش؛ حذف نشده</x:v>
      </x:c>
      <x:c r="L2388" s="39"/>
      <x:c r="M2388" s="39"/>
      <x:c r="N2388" s="39" t="str">
        <x:v>1154878548.docx::P7594.1</x:v>
      </x:c>
      <x:c r="O2388" s="39"/>
    </x:row>
    <x:row r="2389">
      <x:c r="A2389" s="34" t="str">
        <x:v>☐</x:v>
      </x:c>
      <x:c r="B2389" s="34" t="str">
        <x:v>EX-2361</x:v>
      </x:c>
      <x:c r="C2389" s="34" t="str">
        <x:v>بُعد ۱ - هویت پایه:</x:v>
      </x:c>
      <x:c r="D2389" s="34" t="str">
        <x:v>POSSIBLE</x:v>
      </x:c>
      <x:c r="E2389" s="34" t="str">
        <x:v>85.5</x:v>
      </x:c>
      <x:c r="F2389" s="34" t="str">
        <x:v>MI-2785</x:v>
      </x:c>
      <x:c r="G2389" s="39" t="str">
        <x:v>اگر بخواهی، در مرحله بعد می توانم دو چیز بسیار مهم را هم طراحی کنم که این سند را چند برابر حرفه ای تر و اجرایی تر می کند:</x:v>
      </x:c>
      <x:c r="H2389" s="39" t="str">
        <x:v>H3</x:v>
      </x:c>
      <x:c r="I2389" s="39" t="str">
        <x:v>P3/CLARIFY</x:v>
      </x:c>
      <x:c r="J2389" s="39" t="str">
        <x:v>H3</x:v>
      </x:c>
      <x:c r="K2389" s="39" t="str">
        <x:v>تطبیق احتمالی با پایه</x:v>
      </x:c>
      <x:c r="L2389" s="39" t="str">
        <x:v>MI-2785</x:v>
      </x:c>
      <x:c r="M2389" s="39" t="str">
        <x:v>اگر بخواهی، در مرحله بعد می توانم دو چیز بسیار مهم را هم طراحی کنم که این سند را چند برابر حرفه ای تر و اجرایی تر می کند:</x:v>
      </x:c>
      <x:c r="N2389" s="39" t="str">
        <x:v>1154878548.docx::P7595.1</x:v>
      </x:c>
      <x:c r="O2389" s="39"/>
    </x:row>
    <x:row r="2390">
      <x:c r="A2390" s="34" t="str">
        <x:v>☐</x:v>
      </x:c>
      <x:c r="B2390" s="34" t="str">
        <x:v>EX-2362</x:v>
      </x:c>
      <x:c r="C2390" s="34" t="str">
        <x:v>نام، کد ملی، تاریخ تولد، شهر، محله</x:v>
      </x:c>
      <x:c r="D2390" s="34" t="str">
        <x:v>POSSIBLE</x:v>
      </x:c>
      <x:c r="E2390" s="34" t="str">
        <x:v>85.5</x:v>
      </x:c>
      <x:c r="F2390" s="34" t="str">
        <x:v>MI-0759</x:v>
      </x:c>
      <x:c r="G2390" s="39" t="str">
        <x:v>تهیه کیو آر کد و نصب در راهرو دانشکده ها و کارگاه ها و سلف و خوابگاه ها</x:v>
      </x:c>
      <x:c r="H2390" s="39" t="str">
        <x:v>H11</x:v>
      </x:c>
      <x:c r="I2390" s="39" t="str">
        <x:v>DELEGATE/P2</x:v>
      </x:c>
      <x:c r="J2390" s="39" t="str">
        <x:v>H11</x:v>
      </x:c>
      <x:c r="K2390" s="39" t="str">
        <x:v>تطبیق احتمالی با پایه</x:v>
      </x:c>
      <x:c r="L2390" s="39" t="str">
        <x:v>MI-0759</x:v>
      </x:c>
      <x:c r="M2390" s="39" t="str">
        <x:v>تهیه کیو آر کد و نصب در راهرو دانشکده ها و کارگاه ها و سلف و خوابگاه ها</x:v>
      </x:c>
      <x:c r="N2390" s="39" t="str">
        <x:v>1154878548.docx::P7596.1</x:v>
      </x:c>
      <x:c r="O2390" s="39"/>
    </x:row>
    <x:row r="2391">
      <x:c r="A2391" s="34" t="str">
        <x:v>☐</x:v>
      </x:c>
      <x:c r="B2391" s="34" t="str">
        <x:v>EX-2363</x:v>
      </x:c>
      <x:c r="C2391" s="34" t="str">
        <x:v>وضعیت تأهل، تعداد فرزند، وضعیت سکونت</x:v>
      </x:c>
      <x:c r="D2391" s="34" t="str">
        <x:v>POSSIBLE</x:v>
      </x:c>
      <x:c r="E2391" s="34" t="str">
        <x:v>85.5</x:v>
      </x:c>
      <x:c r="F2391" s="34" t="str">
        <x:v>MI-3004</x:v>
      </x:c>
      <x:c r="G2391" s="39" t="str">
        <x:v>تعداد شغل ایجاد شده</x:v>
      </x:c>
      <x:c r="H2391" s="39" t="str">
        <x:v>H3</x:v>
      </x:c>
      <x:c r="I2391" s="39" t="str">
        <x:v>P3/CLARIFY</x:v>
      </x:c>
      <x:c r="J2391" s="39" t="str">
        <x:v>H3</x:v>
      </x:c>
      <x:c r="K2391" s="39" t="str">
        <x:v>تطبیق احتمالی با پایه</x:v>
      </x:c>
      <x:c r="L2391" s="39" t="str">
        <x:v>MI-3004</x:v>
      </x:c>
      <x:c r="M2391" s="39" t="str">
        <x:v>تعداد شغل ایجاد شده</x:v>
      </x:c>
      <x:c r="N2391" s="39" t="str">
        <x:v>1154878548.docx::P7597.1</x:v>
      </x:c>
      <x:c r="O2391" s="39"/>
    </x:row>
    <x:row r="2392">
      <x:c r="A2392" s="34" t="str">
        <x:v>☐</x:v>
      </x:c>
      <x:c r="B2392" s="34" t="str">
        <x:v>EX-2364</x:v>
      </x:c>
      <x:c r="C2392" s="34" t="str">
        <x:v>تحصیلات، رشته، دانشگاه</x:v>
      </x:c>
      <x:c r="D2392" s="34" t="str">
        <x:v>POSSIBLE</x:v>
      </x:c>
      <x:c r="E2392" s="34" t="str">
        <x:v>90.0</x:v>
      </x:c>
      <x:c r="F2392" s="34" t="str">
        <x:v>MI-2622</x:v>
      </x:c>
      <x:c r="G2392" s="39" t="str">
        <x:v>دانش</x:v>
      </x:c>
      <x:c r="H2392" s="39" t="str">
        <x:v>H20</x:v>
      </x:c>
      <x:c r="I2392" s="39" t="str">
        <x:v>P3/CLARIFY</x:v>
      </x:c>
      <x:c r="J2392" s="39" t="str">
        <x:v>H20</x:v>
      </x:c>
      <x:c r="K2392" s="39" t="str">
        <x:v>تطبیق احتمالی با پایه</x:v>
      </x:c>
      <x:c r="L2392" s="39" t="str">
        <x:v>MI-2622</x:v>
      </x:c>
      <x:c r="M2392" s="39" t="str">
        <x:v>دانش</x:v>
      </x:c>
      <x:c r="N2392" s="39" t="str">
        <x:v>1154878548.docx::P7598.1</x:v>
      </x:c>
      <x:c r="O2392" s="39"/>
    </x:row>
    <x:row r="2393">
      <x:c r="A2393" s="34" t="str">
        <x:v>☐</x:v>
      </x:c>
      <x:c r="B2393" s="34" t="str">
        <x:v>EX-2365</x:v>
      </x:c>
      <x:c r="C2393" s="34" t="str">
        <x:v>بُعد ۲ - مهارتها:</x:v>
      </x:c>
      <x:c r="D2393" s="34" t="str">
        <x:v>POSSIBLE</x:v>
      </x:c>
      <x:c r="E2393" s="34" t="str">
        <x:v>85.5</x:v>
      </x:c>
      <x:c r="F2393" s="34" t="str">
        <x:v>MI-3050</x:v>
      </x:c>
      <x:c r="G2393" s="39" t="str">
        <x:v>بعد کم کم سرمایه و استارتاپ ها اضافه شدند.</x:v>
      </x:c>
      <x:c r="H2393" s="39" t="str">
        <x:v>H8</x:v>
      </x:c>
      <x:c r="I2393" s="39" t="str">
        <x:v>P2</x:v>
      </x:c>
      <x:c r="J2393" s="39" t="str">
        <x:v>H8</x:v>
      </x:c>
      <x:c r="K2393" s="39" t="str">
        <x:v>تطبیق احتمالی با پایه</x:v>
      </x:c>
      <x:c r="L2393" s="39" t="str">
        <x:v>MI-3050</x:v>
      </x:c>
      <x:c r="M2393" s="39" t="str">
        <x:v>بعد کم کم سرمایه و استارتاپ ها اضافه شدند.</x:v>
      </x:c>
      <x:c r="N2393" s="39" t="str">
        <x:v>1154878548.docx::P7599.1</x:v>
      </x:c>
      <x:c r="O2393" s="39"/>
    </x:row>
    <x:row r="2394">
      <x:c r="A2394" s="34" t="str">
        <x:v>☐</x:v>
      </x:c>
      <x:c r="B2394" s="34" t="str">
        <x:v>EX-2366</x:v>
      </x:c>
      <x:c r="C2394" s="34" t="str">
        <x:v>مهارتهای سخت (فنی): سطحبندی ۱ تا ۵</x:v>
      </x:c>
      <x:c r="D2394" s="34" t="str">
        <x:v>POSSIBLE</x:v>
      </x:c>
      <x:c r="E2394" s="34" t="str">
        <x:v>85.5</x:v>
      </x:c>
      <x:c r="F2394" s="34" t="str">
        <x:v>MI-1490</x:v>
      </x:c>
      <x:c r="G2394" s="39" t="str">
        <x:v>سایر مهارت های فنی:</x:v>
      </x:c>
      <x:c r="H2394" s="39" t="str">
        <x:v>H1</x:v>
      </x:c>
      <x:c r="I2394" s="39" t="str">
        <x:v>P0</x:v>
      </x:c>
      <x:c r="J2394" s="39" t="str">
        <x:v>H1</x:v>
      </x:c>
      <x:c r="K2394" s="39" t="str">
        <x:v>تطبیق احتمالی با پایه</x:v>
      </x:c>
      <x:c r="L2394" s="39" t="str">
        <x:v>MI-1490</x:v>
      </x:c>
      <x:c r="M2394" s="39" t="str">
        <x:v>سایر مهارت های فنی:</x:v>
      </x:c>
      <x:c r="N2394" s="39" t="str">
        <x:v>1154878548.docx::P7600.1</x:v>
      </x:c>
      <x:c r="O2394" s="39"/>
    </x:row>
    <x:row r="2395">
      <x:c r="A2395" s="34" t="str">
        <x:v>☐</x:v>
      </x:c>
      <x:c r="B2395" s="34" t="str">
        <x:v>EX-2367</x:v>
      </x:c>
      <x:c r="C2395" s="34" t="str">
        <x:v>مهارتهای نرم: ارتباطی، رهبری، حل مسئله</x:v>
      </x:c>
      <x:c r="D2395" s="34" t="str">
        <x:v>POSSIBLE</x:v>
      </x:c>
      <x:c r="E2395" s="34" t="str">
        <x:v>86.4</x:v>
      </x:c>
      <x:c r="F2395" s="34" t="str">
        <x:v>MI-1470</x:v>
      </x:c>
      <x:c r="G2395" s="39" t="str">
        <x:v>مهارت های نرم:</x:v>
      </x:c>
      <x:c r="H2395" s="39" t="str">
        <x:v>H1</x:v>
      </x:c>
      <x:c r="I2395" s="39" t="str">
        <x:v>P0</x:v>
      </x:c>
      <x:c r="J2395" s="39" t="str">
        <x:v>H1</x:v>
      </x:c>
      <x:c r="K2395" s="39" t="str">
        <x:v>تطبیق احتمالی با پایه</x:v>
      </x:c>
      <x:c r="L2395" s="39" t="str">
        <x:v>MI-1470</x:v>
      </x:c>
      <x:c r="M2395" s="39" t="str">
        <x:v>مهارت های نرم:</x:v>
      </x:c>
      <x:c r="N2395" s="39" t="str">
        <x:v>1154878548.docx::P7601.1</x:v>
      </x:c>
      <x:c r="O2395" s="39"/>
    </x:row>
    <x:row r="2396">
      <x:c r="A2396" s="34" t="str">
        <x:v>☐</x:v>
      </x:c>
      <x:c r="B2396" s="34" t="str">
        <x:v>EX-2368</x:v>
      </x:c>
      <x:c r="C2396" s="34" t="str">
        <x:v>گواهینامهها و مدارک معتبر</x:v>
      </x:c>
      <x:c r="D2396" s="34" t="str">
        <x:v>POSSIBLE</x:v>
      </x:c>
      <x:c r="E2396" s="34" t="str">
        <x:v>85.5</x:v>
      </x:c>
      <x:c r="F2396" s="34" t="str">
        <x:v>MI-1513</x:v>
      </x:c>
      <x:c r="G2396" s="39" t="str">
        <x:v>تولید و کارآفرینی: توانایی تولید محصول و خدمات و ایجاد شغل.</x:v>
      </x:c>
      <x:c r="H2396" s="39" t="str">
        <x:v>H1</x:v>
      </x:c>
      <x:c r="I2396" s="39" t="str">
        <x:v>P0</x:v>
      </x:c>
      <x:c r="J2396" s="39" t="str">
        <x:v>H1</x:v>
      </x:c>
      <x:c r="K2396" s="39" t="str">
        <x:v>تطبیق احتمالی با پایه</x:v>
      </x:c>
      <x:c r="L2396" s="39" t="str">
        <x:v>MI-1513</x:v>
      </x:c>
      <x:c r="M2396" s="39" t="str">
        <x:v>تولید و کارآفرینی: توانایی تولید محصول و خدمات و ایجاد شغل.</x:v>
      </x:c>
      <x:c r="N2396" s="39" t="str">
        <x:v>1154878548.docx::P7602.1</x:v>
      </x:c>
      <x:c r="O2396" s="39"/>
    </x:row>
    <x:row r="2397">
      <x:c r="A2397" s="34" t="str">
        <x:v>☐</x:v>
      </x:c>
      <x:c r="B2397" s="34" t="str">
        <x:v>EX-2369</x:v>
      </x:c>
      <x:c r="C2397" s="34" t="str">
        <x:v>موتور امتیازدهی هوشمند</x:v>
      </x:c>
      <x:c r="D2397" s="34" t="str">
        <x:v>POSSIBLE</x:v>
      </x:c>
      <x:c r="E2397" s="34" t="str">
        <x:v>90.0</x:v>
      </x:c>
      <x:c r="F2397" s="34" t="str">
        <x:v>MI-1087</x:v>
      </x:c>
      <x:c r="G2397" s="39" t="str">
        <x:v>هوشمند</x:v>
      </x:c>
      <x:c r="H2397" s="39" t="str">
        <x:v>H14</x:v>
      </x:c>
      <x:c r="I2397" s="39" t="str">
        <x:v>P3</x:v>
      </x:c>
      <x:c r="J2397" s="39" t="str">
        <x:v>H14</x:v>
      </x:c>
      <x:c r="K2397" s="39" t="str">
        <x:v>تطبیق احتمالی با پایه</x:v>
      </x:c>
      <x:c r="L2397" s="39" t="str">
        <x:v>MI-1087</x:v>
      </x:c>
      <x:c r="M2397" s="39" t="str">
        <x:v>هوشمند</x:v>
      </x:c>
      <x:c r="N2397" s="39" t="str">
        <x:v>1154878548.docx::P7604.1</x:v>
      </x:c>
      <x:c r="O2397" s="39"/>
    </x:row>
    <x:row r="2398">
      <x:c r="A2398" s="34" t="str">
        <x:v>☐</x:v>
      </x:c>
      <x:c r="B2398" s="34" t="str">
        <x:v>EX-2370</x:v>
      </x:c>
      <x:c r="C2398" s="34" t="str">
        <x:v>۴.۱ فرمول اصلی</x:v>
      </x:c>
      <x:c r="D2398" s="34" t="str">
        <x:v>POSSIBLE</x:v>
      </x:c>
      <x:c r="E2398" s="34" t="str">
        <x:v>85.5</x:v>
      </x:c>
      <x:c r="F2398" s="34" t="str">
        <x:v>MI-2399</x:v>
      </x:c>
      <x:c r="G2398" s="39" t="str">
        <x:v>1. صنایع اصلی که باید روی آن ها تمرکز شود</x:v>
      </x:c>
      <x:c r="H2398" s="39" t="str">
        <x:v>H1</x:v>
      </x:c>
      <x:c r="I2398" s="39" t="str">
        <x:v>P0</x:v>
      </x:c>
      <x:c r="J2398" s="39" t="str">
        <x:v>H1</x:v>
      </x:c>
      <x:c r="K2398" s="39" t="str">
        <x:v>تطبیق احتمالی با پایه</x:v>
      </x:c>
      <x:c r="L2398" s="39" t="str">
        <x:v>MI-2399</x:v>
      </x:c>
      <x:c r="M2398" s="39" t="str">
        <x:v>1. صنایع اصلی که باید روی آن ها تمرکز شود</x:v>
      </x:c>
      <x:c r="N2398" s="39" t="str">
        <x:v>1154878548.docx::P7605.1</x:v>
      </x:c>
      <x:c r="O2398" s="39"/>
    </x:row>
    <x:row r="2399">
      <x:c r="A2399" s="34" t="str">
        <x:v>☐</x:v>
      </x:c>
      <x:c r="B2399" s="34" t="str">
        <x:v>EX-2371</x:v>
      </x:c>
      <x:c r="C2399" s="34" t="str">
        <x:v>که در آن:</x:v>
      </x:c>
      <x:c r="D2399" s="34" t="str">
        <x:v>POSSIBLE</x:v>
      </x:c>
      <x:c r="E2399" s="34" t="str">
        <x:v>90.0</x:v>
      </x:c>
      <x:c r="F2399" s="34" t="str">
        <x:v>MI-2285</x:v>
      </x:c>
      <x:c r="G2399" s="39" t="str">
        <x:v>که در آن مشخص می شود:</x:v>
      </x:c>
      <x:c r="H2399" s="39" t="str">
        <x:v>H20</x:v>
      </x:c>
      <x:c r="I2399" s="39" t="str">
        <x:v>P3/CLARIFY</x:v>
      </x:c>
      <x:c r="J2399" s="39" t="str">
        <x:v>H20</x:v>
      </x:c>
      <x:c r="K2399" s="39" t="str">
        <x:v>تطبیق احتمالی با پایه</x:v>
      </x:c>
      <x:c r="L2399" s="39" t="str">
        <x:v>MI-2285</x:v>
      </x:c>
      <x:c r="M2399" s="39" t="str">
        <x:v>که در آن مشخص می شود:</x:v>
      </x:c>
      <x:c r="N2399" s="39" t="str">
        <x:v>1154878548.docx::P7606.1</x:v>
      </x:c>
      <x:c r="O2399" s="39"/>
    </x:row>
    <x:row r="2400">
      <x:c r="A2400" s="34" t="str">
        <x:v>☐</x:v>
      </x:c>
      <x:c r="B2400" s="34" t="str">
        <x:v>EX-2372</x:v>
      </x:c>
      <x:c r="C2400" s="34" t="str">
        <x:v>A= امتیاز فعالیت (Activity Score)</x:v>
      </x:c>
      <x:c r="D2400" s="34" t="str">
        <x:v>POSSIBLE</x:v>
      </x:c>
      <x:c r="E2400" s="34" t="str">
        <x:v>85.5</x:v>
      </x:c>
      <x:c r="F2400" s="34" t="str">
        <x:v>MI-1533</x:v>
      </x:c>
      <x:c r="G2400" s="39" t="str">
        <x:v>فعالیت های فرهنگی:</x:v>
      </x:c>
      <x:c r="H2400" s="39" t="str">
        <x:v>H1</x:v>
      </x:c>
      <x:c r="I2400" s="39" t="str">
        <x:v>P0</x:v>
      </x:c>
      <x:c r="J2400" s="39" t="str">
        <x:v>H1</x:v>
      </x:c>
      <x:c r="K2400" s="39" t="str">
        <x:v>تطبیق احتمالی با پایه</x:v>
      </x:c>
      <x:c r="L2400" s="39" t="str">
        <x:v>MI-1533</x:v>
      </x:c>
      <x:c r="M2400" s="39" t="str">
        <x:v>فعالیت های فرهنگی:</x:v>
      </x:c>
      <x:c r="N2400" s="39" t="str">
        <x:v>1154878548.docx::P7607.1</x:v>
      </x:c>
      <x:c r="O2400" s="39"/>
    </x:row>
    <x:row r="2401">
      <x:c r="A2401" s="34" t="str">
        <x:v>☐</x:v>
      </x:c>
      <x:c r="B2401" s="34" t="str">
        <x:v>EX-2373</x:v>
      </x:c>
      <x:c r="C2401" s="34" t="str">
        <x:v>T= امتیاز استعداد (Talent Score)</x:v>
      </x:c>
      <x:c r="D2401" s="34" t="str">
        <x:v>POSSIBLE</x:v>
      </x:c>
      <x:c r="E2401" s="34" t="str">
        <x:v>90.0</x:v>
      </x:c>
      <x:c r="F2401" s="34" t="str">
        <x:v>MI-1732</x:v>
      </x:c>
      <x:c r="G2401" s="39" t="str">
        <x:v>استعداد</x:v>
      </x:c>
      <x:c r="H2401" s="39" t="str">
        <x:v>H10</x:v>
      </x:c>
      <x:c r="I2401" s="39" t="str">
        <x:v>P2</x:v>
      </x:c>
      <x:c r="J2401" s="39" t="str">
        <x:v>H10</x:v>
      </x:c>
      <x:c r="K2401" s="39" t="str">
        <x:v>تطبیق احتمالی با پایه</x:v>
      </x:c>
      <x:c r="L2401" s="39" t="str">
        <x:v>MI-1732</x:v>
      </x:c>
      <x:c r="M2401" s="39" t="str">
        <x:v>استعداد</x:v>
      </x:c>
      <x:c r="N2401" s="39" t="str">
        <x:v>1154878548.docx::P7608.1</x:v>
      </x:c>
      <x:c r="O2401" s="39"/>
    </x:row>
    <x:row r="2402">
      <x:c r="A2402" s="34" t="str">
        <x:v>☐</x:v>
      </x:c>
      <x:c r="B2402" s="34" t="str">
        <x:v>EX-2374</x:v>
      </x:c>
      <x:c r="C2402" s="34" t="str">
        <x:v>L= امتیاز تعهد و وفاداری (Loyalty Score)</x:v>
      </x:c>
      <x:c r="D2402" s="34" t="str">
        <x:v>POSSIBLE</x:v>
      </x:c>
      <x:c r="E2402" s="34" t="str">
        <x:v>85.5</x:v>
      </x:c>
      <x:c r="F2402" s="34" t="str">
        <x:v>MI-1513</x:v>
      </x:c>
      <x:c r="G2402" s="39" t="str">
        <x:v>تولید و کارآفرینی: توانایی تولید محصول و خدمات و ایجاد شغل.</x:v>
      </x:c>
      <x:c r="H2402" s="39" t="str">
        <x:v>H1</x:v>
      </x:c>
      <x:c r="I2402" s="39" t="str">
        <x:v>P0</x:v>
      </x:c>
      <x:c r="J2402" s="39" t="str">
        <x:v>H1</x:v>
      </x:c>
      <x:c r="K2402" s="39" t="str">
        <x:v>تطبیق احتمالی با پایه</x:v>
      </x:c>
      <x:c r="L2402" s="39" t="str">
        <x:v>MI-1513</x:v>
      </x:c>
      <x:c r="M2402" s="39" t="str">
        <x:v>تولید و کارآفرینی: توانایی تولید محصول و خدمات و ایجاد شغل.</x:v>
      </x:c>
      <x:c r="N2402" s="39" t="str">
        <x:v>1154878548.docx::P7609.1</x:v>
      </x:c>
      <x:c r="O2402" s="39"/>
    </x:row>
    <x:row r="2403">
      <x:c r="A2403" s="34" t="str">
        <x:v>☐</x:v>
      </x:c>
      <x:c r="B2403" s="34" t="str">
        <x:v>EX-2375</x:v>
      </x:c>
      <x:c r="C2403" s="34" t="str">
        <x:v>R= امتیاز ریسک خروج (Risk Score)</x:v>
      </x:c>
      <x:c r="D2403" s="34" t="str">
        <x:v>POSSIBLE</x:v>
      </x:c>
      <x:c r="E2403" s="34" t="str">
        <x:v>85.5</x:v>
      </x:c>
      <x:c r="F2403" s="34" t="str">
        <x:v>MI-1501</x:v>
      </x:c>
      <x:c r="G2403" s="39" t="str">
        <x:v>مدیریت ریسک: شناسایی ریسک ها، ارزیابی اثرات، تدوین برنامه های مقابله با ریسک ها.</x:v>
      </x:c>
      <x:c r="H2403" s="39" t="str">
        <x:v>H1</x:v>
      </x:c>
      <x:c r="I2403" s="39" t="str">
        <x:v>P0</x:v>
      </x:c>
      <x:c r="J2403" s="39" t="str">
        <x:v>H1</x:v>
      </x:c>
      <x:c r="K2403" s="39" t="str">
        <x:v>تطبیق احتمالی با پایه</x:v>
      </x:c>
      <x:c r="L2403" s="39" t="str">
        <x:v>MI-1501</x:v>
      </x:c>
      <x:c r="M2403" s="39" t="str">
        <x:v>مدیریت ریسک: شناسایی ریسک ها، ارزیابی اثرات، تدوین برنامه های مقابله با ریسک ها.</x:v>
      </x:c>
      <x:c r="N2403" s="39" t="str">
        <x:v>1154878548.docx::P7610.1</x:v>
      </x:c>
      <x:c r="O2403" s="39"/>
    </x:row>
    <x:row r="2404">
      <x:c r="A2404" s="34" t="str">
        <x:v>☐</x:v>
      </x:c>
      <x:c r="B2404" s="34" t="str">
        <x:v>EX-2376</x:v>
      </x:c>
      <x:c r="C2404" s="34" t="str">
        <x:v>W_1,W_2,W_3,W_4= وزنهای قابل تنظیم</x:v>
      </x:c>
      <x:c r="D2404" s="34" t="str">
        <x:v>POSSIBLE</x:v>
      </x:c>
      <x:c r="E2404" s="34" t="str">
        <x:v>85.5</x:v>
      </x:c>
      <x:c r="F2404" s="34" t="str">
        <x:v>MI-2716</x:v>
      </x:c>
      <x:c r="G2404" s="39" t="str">
        <x:v>یکی از مهم ترین اهداف این اکوسیستم تبدیل مسایل واقعی استان به پروژه های قابل اجرا است.</x:v>
      </x:c>
      <x:c r="H2404" s="39" t="str">
        <x:v>H10</x:v>
      </x:c>
      <x:c r="I2404" s="39" t="str">
        <x:v>P2</x:v>
      </x:c>
      <x:c r="J2404" s="39" t="str">
        <x:v>H10</x:v>
      </x:c>
      <x:c r="K2404" s="39" t="str">
        <x:v>تطبیق احتمالی با پایه</x:v>
      </x:c>
      <x:c r="L2404" s="39" t="str">
        <x:v>MI-2716</x:v>
      </x:c>
      <x:c r="M2404" s="39" t="str">
        <x:v>یکی از مهم ترین اهداف این اکوسیستم تبدیل مسایل واقعی استان به پروژه های قابل اجرا است.</x:v>
      </x:c>
      <x:c r="N2404" s="39" t="str">
        <x:v>1154878548.docx::P7611.1</x:v>
      </x:c>
      <x:c r="O2404" s="39"/>
    </x:row>
    <x:row r="2405">
      <x:c r="A2405" s="34" t="str">
        <x:v>☐</x:v>
      </x:c>
      <x:c r="B2405" s="34" t="str">
        <x:v>EX-2377</x:v>
      </x:c>
      <x:c r="C2405" s="34" t="str">
        <x:v>\mathrm{امتیاز کل=(A×W1)+(T×W2)+(L×W3)-(R×W4)</x:v>
      </x:c>
      <x:c r="D2405" s="34" t="str">
        <x:v>POSSIBLE</x:v>
      </x:c>
      <x:c r="E2405" s="34" t="str">
        <x:v>85.5</x:v>
      </x:c>
      <x:c r="F2405" s="34" t="str">
        <x:v>MI-1625</x:v>
      </x:c>
      <x:c r="G2405" s="39" t="str">
        <x:v>میشه ارتباطش بدیم با اینکه یه کار آفرین خارجی پیدا کنیم صنایع خوب و مهم برای صادرات در مازندران نیاز به سرمایه گذاری بود بشه از طریق امتیازاتی چون اینکه کار افرین خارجی بیاد وسرمایه گذاری کنه و اینکه بشه از این امتیاز منطقه ازاد شدن مازندران استفاده کرد</x:v>
      </x:c>
      <x:c r="H2405" s="39" t="str">
        <x:v>H8</x:v>
      </x:c>
      <x:c r="I2405" s="39" t="str">
        <x:v>P2</x:v>
      </x:c>
      <x:c r="J2405" s="39" t="str">
        <x:v>H8</x:v>
      </x:c>
      <x:c r="K2405" s="39" t="str">
        <x:v>تطبیق احتمالی با پایه</x:v>
      </x:c>
      <x:c r="L2405" s="39" t="str">
        <x:v>MI-1625</x:v>
      </x:c>
      <x:c r="M2405" s="39" t="str">
        <x:v>میشه ارتباطش بدیم با اینکه یه کار آفرین خارجی پیدا کنیم صنایع خوب و مهم برای صادرات در مازندران نیاز به سرمایه گذاری بود بشه از طریق امتیازاتی چون اینکه کار افرین خارجی بیاد وسرمایه گذاری کنه و اینکه بشه از این امتیاز منطقه ازاد شدن مازندران استفاده کرد</x:v>
      </x:c>
      <x:c r="N2405" s="39" t="str">
        <x:v>1154878548.docx::P7612.1</x:v>
      </x:c>
      <x:c r="O2405" s="39"/>
    </x:row>
    <x:row r="2406">
      <x:c r="A2406" s="34" t="str">
        <x:v>☐</x:v>
      </x:c>
      <x:c r="B2406" s="34" t="str">
        <x:v>EX-2378</x:v>
      </x:c>
      <x:c r="C2406" s="34" t="str">
        <x:v>۴.۲ نحوه محاسبه هر مؤلفه</x:v>
      </x:c>
      <x:c r="D2406" s="34" t="str">
        <x:v>POSSIBLE</x:v>
      </x:c>
      <x:c r="E2406" s="34" t="str">
        <x:v>85.5</x:v>
      </x:c>
      <x:c r="F2406" s="34" t="str">
        <x:v>MI-1755</x:v>
      </x:c>
      <x:c r="G2406" s="39" t="str">
        <x:v>من معمولاً اکوسیستم را به چند دسته کلان اهرم ها (Levers) تقسیم می کنم. زیر هر کدام هم آیتم های جزیی قرار می گیرند که می توانند زمین بازی تو باشند.</x:v>
      </x:c>
      <x:c r="H2406" s="39" t="str">
        <x:v>H10</x:v>
      </x:c>
      <x:c r="I2406" s="39" t="str">
        <x:v>P2</x:v>
      </x:c>
      <x:c r="J2406" s="39" t="str">
        <x:v>H10</x:v>
      </x:c>
      <x:c r="K2406" s="39" t="str">
        <x:v>تطبیق احتمالی با پایه</x:v>
      </x:c>
      <x:c r="L2406" s="39" t="str">
        <x:v>MI-1755</x:v>
      </x:c>
      <x:c r="M2406" s="39" t="str">
        <x:v>من معمولاً اکوسیستم را به چند دسته کلان اهرم ها (Levers) تقسیم می کنم. زیر هر کدام هم آیتم های جزیی قرار می گیرند که می توانند زمین بازی تو باشند.</x:v>
      </x:c>
      <x:c r="N2406" s="39" t="str">
        <x:v>1154878548.docx::P7613.1</x:v>
      </x:c>
      <x:c r="O2406" s="39"/>
    </x:row>
    <x:row r="2407">
      <x:c r="A2407" s="34" t="str">
        <x:v>☐</x:v>
      </x:c>
      <x:c r="B2407" s="34" t="str">
        <x:v>EX-2379</x:v>
      </x:c>
      <x:c r="C2407" s="34" t="str">
        <x:v>امتیاز فعالیت (A):</x:v>
      </x:c>
      <x:c r="D2407" s="34" t="str">
        <x:v>POSSIBLE</x:v>
      </x:c>
      <x:c r="E2407" s="34" t="str">
        <x:v>85.5</x:v>
      </x:c>
      <x:c r="F2407" s="34" t="str">
        <x:v>MI-1528</x:v>
      </x:c>
      <x:c r="G2407" s="39" t="str">
        <x:v>فعالیت های اجتماعی و فرهنگی</x:v>
      </x:c>
      <x:c r="H2407" s="39" t="str">
        <x:v>H1</x:v>
      </x:c>
      <x:c r="I2407" s="39" t="str">
        <x:v>P0</x:v>
      </x:c>
      <x:c r="J2407" s="39" t="str">
        <x:v>H1</x:v>
      </x:c>
      <x:c r="K2407" s="39" t="str">
        <x:v>تطبیق احتمالی با پایه</x:v>
      </x:c>
      <x:c r="L2407" s="39" t="str">
        <x:v>MI-1528</x:v>
      </x:c>
      <x:c r="M2407" s="39" t="str">
        <x:v>فعالیت های اجتماعی و فرهنگی</x:v>
      </x:c>
      <x:c r="N2407" s="39" t="str">
        <x:v>1154878548.docx::P7614.1</x:v>
      </x:c>
      <x:c r="O2407" s="39"/>
    </x:row>
    <x:row r="2408">
      <x:c r="A2408" s="34" t="str">
        <x:v>☐</x:v>
      </x:c>
      <x:c r="B2408" s="34" t="str">
        <x:v>EX-2380</x:v>
      </x:c>
      <x:c r="C2408" s="34" t="str">
        <x:v>حضور در رویداد</x:v>
      </x:c>
      <x:c r="D2408" s="34" t="str">
        <x:v>POSSIBLE</x:v>
      </x:c>
      <x:c r="E2408" s="34" t="str">
        <x:v>85.5</x:v>
      </x:c>
      <x:c r="F2408" s="34" t="str">
        <x:v>MI-0077</x:v>
      </x:c>
      <x:c r="G2408" s="39" t="str">
        <x:v>یادگیری هوش هیجانی و قدرت تصمیم گیری بالا در لحظه</x:v>
      </x:c>
      <x:c r="H2408" s="39" t="str">
        <x:v>H1</x:v>
      </x:c>
      <x:c r="I2408" s="39" t="str">
        <x:v>P0</x:v>
      </x:c>
      <x:c r="J2408" s="39" t="str">
        <x:v>H1</x:v>
      </x:c>
      <x:c r="K2408" s="39" t="str">
        <x:v>تطبیق احتمالی با پایه</x:v>
      </x:c>
      <x:c r="L2408" s="39" t="str">
        <x:v>MI-0077</x:v>
      </x:c>
      <x:c r="M2408" s="39" t="str">
        <x:v>یادگیری هوش هیجانی و قدرت تصمیم گیری بالا در لحظه</x:v>
      </x:c>
      <x:c r="N2408" s="39" t="str">
        <x:v>1154878548.docx::P7615.1</x:v>
      </x:c>
      <x:c r="O2408" s="39"/>
    </x:row>
    <x:row r="2409">
      <x:c r="A2409" s="34" t="str">
        <x:v>☐</x:v>
      </x:c>
      <x:c r="B2409" s="34" t="str">
        <x:v>EX-2381</x:v>
      </x:c>
      <x:c r="C2409" s="34" t="str">
        <x:v>+۵</x:v>
      </x:c>
      <x:c r="D2409" s="34" t="str">
        <x:v>UNMAPPED</x:v>
      </x:c>
      <x:c r="E2409" s="34" t="str">
        <x:v>0.0</x:v>
      </x:c>
      <x:c r="F2409" s="34" t="str">
        <x:v>MI-0049</x:v>
      </x:c>
      <x:c r="G2409" s="39" t="str">
        <x:v>گذاشتن قرار دوستانه دبیرستانی</x:v>
      </x:c>
      <x:c r="H2409" s="39" t="str">
        <x:v>H1</x:v>
      </x:c>
      <x:c r="I2409" s="39" t="str">
        <x:v>P0</x:v>
      </x:c>
      <x:c r="J2409" s="39" t="str">
        <x:v>H23</x:v>
      </x:c>
      <x:c r="K2409" s="39" t="str">
        <x:v>نیازمند پالایش؛ حذف نشده</x:v>
      </x:c>
      <x:c r="L2409" s="39"/>
      <x:c r="M2409" s="39"/>
      <x:c r="N2409" s="39" t="str">
        <x:v>1154878548.docx::P7616.1 | 1154878548.docx::P7626.1</x:v>
      </x:c>
      <x:c r="O2409" s="39"/>
    </x:row>
    <x:row r="2410">
      <x:c r="A2410" s="34" t="str">
        <x:v>☐</x:v>
      </x:c>
      <x:c r="B2410" s="34" t="str">
        <x:v>EX-2382</x:v>
      </x:c>
      <x:c r="C2410" s="34" t="str">
        <x:v>تکمیل دوره آموزشی</x:v>
      </x:c>
      <x:c r="D2410" s="34" t="str">
        <x:v>POSSIBLE</x:v>
      </x:c>
      <x:c r="E2410" s="34" t="str">
        <x:v>90.0</x:v>
      </x:c>
      <x:c r="F2410" s="34" t="str">
        <x:v>MI-2601</x:v>
      </x:c>
      <x:c r="G2410" s="39" t="str">
        <x:v>آموزش:</x:v>
      </x:c>
      <x:c r="H2410" s="39" t="str">
        <x:v>H20</x:v>
      </x:c>
      <x:c r="I2410" s="39" t="str">
        <x:v>P3/CLARIFY</x:v>
      </x:c>
      <x:c r="J2410" s="39" t="str">
        <x:v>H20</x:v>
      </x:c>
      <x:c r="K2410" s="39" t="str">
        <x:v>تطبیق احتمالی با پایه</x:v>
      </x:c>
      <x:c r="L2410" s="39" t="str">
        <x:v>MI-2601</x:v>
      </x:c>
      <x:c r="M2410" s="39" t="str">
        <x:v>آموزش:</x:v>
      </x:c>
      <x:c r="N2410" s="39" t="str">
        <x:v>1154878548.docx::P7617.1</x:v>
      </x:c>
      <x:c r="O2410" s="39"/>
    </x:row>
    <x:row r="2411">
      <x:c r="A2411" s="34" t="str">
        <x:v>☐</x:v>
      </x:c>
      <x:c r="B2411" s="34" t="str">
        <x:v>EX-2383</x:v>
      </x:c>
      <x:c r="C2411" s="34" t="str">
        <x:v>+۱۰</x:v>
      </x:c>
      <x:c r="D2411" s="34" t="str">
        <x:v>UNMAPPED</x:v>
      </x:c>
      <x:c r="E2411" s="34" t="str">
        <x:v>0.0</x:v>
      </x:c>
      <x:c r="F2411" s="34" t="str">
        <x:v>MI-0049</x:v>
      </x:c>
      <x:c r="G2411" s="39" t="str">
        <x:v>گذاشتن قرار دوستانه دبیرستانی</x:v>
      </x:c>
      <x:c r="H2411" s="39" t="str">
        <x:v>H1</x:v>
      </x:c>
      <x:c r="I2411" s="39" t="str">
        <x:v>P0</x:v>
      </x:c>
      <x:c r="J2411" s="39" t="str">
        <x:v>H23</x:v>
      </x:c>
      <x:c r="K2411" s="39" t="str">
        <x:v>نیازمند پالایش؛ حذف نشده</x:v>
      </x:c>
      <x:c r="L2411" s="39"/>
      <x:c r="M2411" s="39"/>
      <x:c r="N2411" s="39" t="str">
        <x:v>1154878548.docx::P7618.1</x:v>
      </x:c>
      <x:c r="O2411" s="39"/>
    </x:row>
    <x:row r="2412">
      <x:c r="A2412" s="34" t="str">
        <x:v>☐</x:v>
      </x:c>
      <x:c r="B2412" s="34" t="str">
        <x:v>EX-2384</x:v>
      </x:c>
      <x:c r="C2412" s="34" t="str">
        <x:v>+۱۵</x:v>
      </x:c>
      <x:c r="D2412" s="34" t="str">
        <x:v>UNMAPPED</x:v>
      </x:c>
      <x:c r="E2412" s="34" t="str">
        <x:v>0.0</x:v>
      </x:c>
      <x:c r="F2412" s="34" t="str">
        <x:v>MI-0049</x:v>
      </x:c>
      <x:c r="G2412" s="39" t="str">
        <x:v>گذاشتن قرار دوستانه دبیرستانی</x:v>
      </x:c>
      <x:c r="H2412" s="39" t="str">
        <x:v>H1</x:v>
      </x:c>
      <x:c r="I2412" s="39" t="str">
        <x:v>P0</x:v>
      </x:c>
      <x:c r="J2412" s="39" t="str">
        <x:v>H23</x:v>
      </x:c>
      <x:c r="K2412" s="39" t="str">
        <x:v>نیازمند پالایش؛ حذف نشده</x:v>
      </x:c>
      <x:c r="L2412" s="39"/>
      <x:c r="M2412" s="39"/>
      <x:c r="N2412" s="39" t="str">
        <x:v>1154878548.docx::P7620.1</x:v>
      </x:c>
      <x:c r="O2412" s="39"/>
    </x:row>
    <x:row r="2413">
      <x:c r="A2413" s="34" t="str">
        <x:v>☐</x:v>
      </x:c>
      <x:c r="B2413" s="34" t="str">
        <x:v>EX-2385</x:v>
      </x:c>
      <x:c r="C2413" s="34" t="str">
        <x:v>بهروزرسانی پرونده</x:v>
      </x:c>
      <x:c r="D2413" s="34" t="str">
        <x:v>UNMAPPED</x:v>
      </x:c>
      <x:c r="E2413" s="34" t="str">
        <x:v>72.0</x:v>
      </x:c>
      <x:c r="F2413" s="34" t="str">
        <x:v>MI-0815</x:v>
      </x:c>
      <x:c r="G2413" s="39" t="str">
        <x:v>رسانه:</x:v>
      </x:c>
      <x:c r="H2413" s="39" t="str">
        <x:v>H11</x:v>
      </x:c>
      <x:c r="I2413" s="39" t="str">
        <x:v>DELEGATE/P2</x:v>
      </x:c>
      <x:c r="J2413" s="39" t="str">
        <x:v>H23</x:v>
      </x:c>
      <x:c r="K2413" s="39" t="str">
        <x:v>نیازمند پالایش؛ حذف نشده</x:v>
      </x:c>
      <x:c r="L2413" s="39"/>
      <x:c r="M2413" s="39"/>
      <x:c r="N2413" s="39" t="str">
        <x:v>1154878548.docx::P7621.1</x:v>
      </x:c>
      <x:c r="O2413" s="39"/>
    </x:row>
    <x:row r="2414">
      <x:c r="A2414" s="34" t="str">
        <x:v>☐</x:v>
      </x:c>
      <x:c r="B2414" s="34" t="str">
        <x:v>EX-2386</x:v>
      </x:c>
      <x:c r="C2414" s="34" t="str">
        <x:v>پاسخ به نظرسنجی</x:v>
      </x:c>
      <x:c r="D2414" s="34" t="str">
        <x:v>POSSIBLE</x:v>
      </x:c>
      <x:c r="E2414" s="34" t="str">
        <x:v>85.5</x:v>
      </x:c>
      <x:c r="F2414" s="34" t="str">
        <x:v>MI-1448</x:v>
      </x:c>
      <x:c r="G2414" s="39" t="str">
        <x:v>پول هییت قبلا چوقدر هست دست من؟؟؟ قبلا 4,290 بوده . چقدر به سید دادم.</x:v>
      </x:c>
      <x:c r="H2414" s="39" t="str">
        <x:v>H1</x:v>
      </x:c>
      <x:c r="I2414" s="39" t="str">
        <x:v>P0</x:v>
      </x:c>
      <x:c r="J2414" s="39" t="str">
        <x:v>H1</x:v>
      </x:c>
      <x:c r="K2414" s="39" t="str">
        <x:v>تطبیق احتمالی با پایه</x:v>
      </x:c>
      <x:c r="L2414" s="39" t="str">
        <x:v>MI-1448</x:v>
      </x:c>
      <x:c r="M2414" s="39" t="str">
        <x:v>پول هییت قبلا چوقدر هست دست من؟؟؟ قبلا 4,290 بوده . چقدر به سید دادم.</x:v>
      </x:c>
      <x:c r="N2414" s="39" t="str">
        <x:v>1154878548.docx::P7623.1</x:v>
      </x:c>
      <x:c r="O2414" s="39"/>
    </x:row>
    <x:row r="2415">
      <x:c r="A2415" s="34" t="str">
        <x:v>☐</x:v>
      </x:c>
      <x:c r="B2415" s="34" t="str">
        <x:v>EX-2387</x:v>
      </x:c>
      <x:c r="C2415" s="34" t="str">
        <x:v>غیبت بیش از ۳۰ روز</x:v>
      </x:c>
      <x:c r="D2415" s="34" t="str">
        <x:v>POSSIBLE</x:v>
      </x:c>
      <x:c r="E2415" s="34" t="str">
        <x:v>85.5</x:v>
      </x:c>
      <x:c r="F2415" s="34" t="str">
        <x:v>MI-1457</x:v>
      </x:c>
      <x:c r="G2415" s="39" t="str">
        <x:v>سلامت جسمانی: تغذیه سالم، ورزش منظم، خواب کافی، پیشگیری از بیماری ها.</x:v>
      </x:c>
      <x:c r="H2415" s="39" t="str">
        <x:v>H1</x:v>
      </x:c>
      <x:c r="I2415" s="39" t="str">
        <x:v>P0</x:v>
      </x:c>
      <x:c r="J2415" s="39" t="str">
        <x:v>H1</x:v>
      </x:c>
      <x:c r="K2415" s="39" t="str">
        <x:v>تطبیق احتمالی با پایه</x:v>
      </x:c>
      <x:c r="L2415" s="39" t="str">
        <x:v>MI-1457</x:v>
      </x:c>
      <x:c r="M2415" s="39" t="str">
        <x:v>سلامت جسمانی: تغذیه سالم، ورزش منظم، خواب کافی، پیشگیری از بیماری ها.</x:v>
      </x:c>
      <x:c r="N2415" s="39" t="str">
        <x:v>1154878548.docx::P7625.1</x:v>
      </x:c>
      <x:c r="O2415" s="39"/>
    </x:row>
    <x:row r="2416">
      <x:c r="A2416" s="34" t="str">
        <x:v>☐</x:v>
      </x:c>
      <x:c r="B2416" s="34" t="str">
        <x:v>EX-2388</x:v>
      </x:c>
      <x:c r="C2416" s="34" t="str">
        <x:v>رفتار</x:v>
      </x:c>
      <x:c r="D2416" s="34" t="str">
        <x:v>POSSIBLE</x:v>
      </x:c>
      <x:c r="E2416" s="34" t="str">
        <x:v>90.0</x:v>
      </x:c>
      <x:c r="F2416" s="34" t="str">
        <x:v>MI-0721</x:v>
      </x:c>
      <x:c r="G2416" s="39" t="str">
        <x:v>ارزیابی عملکرد و برخورد و رفتار</x:v>
      </x:c>
      <x:c r="H2416" s="39" t="str">
        <x:v>H11</x:v>
      </x:c>
      <x:c r="I2416" s="39" t="str">
        <x:v>DELEGATE/P2</x:v>
      </x:c>
      <x:c r="J2416" s="39" t="str">
        <x:v>H11</x:v>
      </x:c>
      <x:c r="K2416" s="39" t="str">
        <x:v>تطبیق احتمالی با پایه</x:v>
      </x:c>
      <x:c r="L2416" s="39" t="str">
        <x:v>MI-0721</x:v>
      </x:c>
      <x:c r="M2416" s="39" t="str">
        <x:v>ارزیابی عملکرد و برخورد و رفتار</x:v>
      </x:c>
      <x:c r="N2416" s="39" t="str">
        <x:v>1154878548.docx::P7627.1</x:v>
      </x:c>
      <x:c r="O2416" s="39"/>
    </x:row>
    <x:row r="2417">
      <x:c r="A2417" s="34" t="str">
        <x:v>☐</x:v>
      </x:c>
      <x:c r="B2417" s="34" t="str">
        <x:v>EX-2389</x:v>
      </x:c>
      <x:c r="C2417" s="34" t="str">
        <x:v>امتیاز</x:v>
      </x:c>
      <x:c r="D2417" s="34" t="str">
        <x:v>POSSIBLE</x:v>
      </x:c>
      <x:c r="E2417" s="34" t="str">
        <x:v>90.0</x:v>
      </x:c>
      <x:c r="F2417" s="34" t="str">
        <x:v>MI-2427</x:v>
      </x:c>
      <x:c r="G2417" s="39" t="str">
        <x:v>چه امتیازهایی باید پیشنهاد شود</x:v>
      </x:c>
      <x:c r="H2417" s="39" t="str">
        <x:v>H20</x:v>
      </x:c>
      <x:c r="I2417" s="39" t="str">
        <x:v>P3/CLARIFY</x:v>
      </x:c>
      <x:c r="J2417" s="39" t="str">
        <x:v>H20</x:v>
      </x:c>
      <x:c r="K2417" s="39" t="str">
        <x:v>تطبیق احتمالی با پایه</x:v>
      </x:c>
      <x:c r="L2417" s="39" t="str">
        <x:v>MI-2427</x:v>
      </x:c>
      <x:c r="M2417" s="39" t="str">
        <x:v>چه امتیازهایی باید پیشنهاد شود</x:v>
      </x:c>
      <x:c r="N2417" s="39" t="str">
        <x:v>1154878548.docx::P7628.1</x:v>
      </x:c>
      <x:c r="O2417" s="39"/>
    </x:row>
    <x:row r="2418">
      <x:c r="A2418" s="34" t="str">
        <x:v>☐</x:v>
      </x:c>
      <x:c r="B2418" s="34" t="str">
        <x:v>EX-2390</x:v>
      </x:c>
      <x:c r="C2418" s="34" t="str">
        <x:v>امتیاز استعداد (T):</x:v>
      </x:c>
      <x:c r="D2418" s="34" t="str">
        <x:v>POSSIBLE</x:v>
      </x:c>
      <x:c r="E2418" s="34" t="str">
        <x:v>90.0</x:v>
      </x:c>
      <x:c r="F2418" s="34" t="str">
        <x:v>MI-1732</x:v>
      </x:c>
      <x:c r="G2418" s="39" t="str">
        <x:v>استعداد</x:v>
      </x:c>
      <x:c r="H2418" s="39" t="str">
        <x:v>H10</x:v>
      </x:c>
      <x:c r="I2418" s="39" t="str">
        <x:v>P2</x:v>
      </x:c>
      <x:c r="J2418" s="39" t="str">
        <x:v>H10</x:v>
      </x:c>
      <x:c r="K2418" s="39" t="str">
        <x:v>تطبیق احتمالی با پایه</x:v>
      </x:c>
      <x:c r="L2418" s="39" t="str">
        <x:v>MI-1732</x:v>
      </x:c>
      <x:c r="M2418" s="39" t="str">
        <x:v>استعداد</x:v>
      </x:c>
      <x:c r="N2418" s="39" t="str">
        <x:v>1154878548.docx::P7629.1</x:v>
      </x:c>
      <x:c r="O2418" s="39"/>
    </x:row>
    <x:row r="2419">
      <x:c r="A2419" s="34" t="str">
        <x:v>☐</x:v>
      </x:c>
      <x:c r="B2419" s="34" t="str">
        <x:v>EX-2391</x:v>
      </x:c>
      <x:c r="C2419" s="34" t="str">
        <x:v>تعداد مهارتهای تأییدشده × ۲</x:v>
      </x:c>
      <x:c r="D2419" s="34" t="str">
        <x:v>POSSIBLE</x:v>
      </x:c>
      <x:c r="E2419" s="34" t="str">
        <x:v>85.5</x:v>
      </x:c>
      <x:c r="F2419" s="34" t="str">
        <x:v>MI-3000</x:v>
      </x:c>
      <x:c r="G2419" s="39" t="str">
        <x:v>تعداد تیم ها</x:v>
      </x:c>
      <x:c r="H2419" s="39" t="str">
        <x:v>H10</x:v>
      </x:c>
      <x:c r="I2419" s="39" t="str">
        <x:v>P2</x:v>
      </x:c>
      <x:c r="J2419" s="39" t="str">
        <x:v>H10</x:v>
      </x:c>
      <x:c r="K2419" s="39" t="str">
        <x:v>تطبیق احتمالی با پایه</x:v>
      </x:c>
      <x:c r="L2419" s="39" t="str">
        <x:v>MI-3000</x:v>
      </x:c>
      <x:c r="M2419" s="39" t="str">
        <x:v>تعداد تیم ها</x:v>
      </x:c>
      <x:c r="N2419" s="39" t="str">
        <x:v>1154878548.docx::P7630.1</x:v>
      </x:c>
      <x:c r="O2419" s="39"/>
    </x:row>
    <x:row r="2420">
      <x:c r="A2420" s="34" t="str">
        <x:v>☐</x:v>
      </x:c>
      <x:c r="B2420" s="34" t="str">
        <x:v>EX-2392</x:v>
      </x:c>
      <x:c r="C2420" s="34" t="str">
        <x:v>سطح تحصیلات × ضریب رشته</x:v>
      </x:c>
      <x:c r="D2420" s="34" t="str">
        <x:v>POSSIBLE</x:v>
      </x:c>
      <x:c r="E2420" s="34" t="str">
        <x:v>85.5</x:v>
      </x:c>
      <x:c r="F2420" s="34" t="str">
        <x:v>MI-0670</x:v>
      </x:c>
      <x:c r="G2420" s="39" t="str">
        <x:v>پادکست رشته ها و توضیح آن برای ورودی ها ، بازار کار، درآمد ، کار ها ، درس ها</x:v>
      </x:c>
      <x:c r="H2420" s="39" t="str">
        <x:v>H3</x:v>
      </x:c>
      <x:c r="I2420" s="39" t="str">
        <x:v>P0/P1</x:v>
      </x:c>
      <x:c r="J2420" s="39" t="str">
        <x:v>H3</x:v>
      </x:c>
      <x:c r="K2420" s="39" t="str">
        <x:v>تطبیق احتمالی با پایه</x:v>
      </x:c>
      <x:c r="L2420" s="39" t="str">
        <x:v>MI-0670</x:v>
      </x:c>
      <x:c r="M2420" s="39" t="str">
        <x:v>پادکست رشته ها و توضیح آن برای ورودی ها ، بازار کار، درآمد ، کار ها ، درس ها</x:v>
      </x:c>
      <x:c r="N2420" s="39" t="str">
        <x:v>1154878548.docx::P7631.1</x:v>
      </x:c>
      <x:c r="O2420" s="39"/>
    </x:row>
    <x:row r="2421">
      <x:c r="A2421" s="34" t="str">
        <x:v>☐</x:v>
      </x:c>
      <x:c r="B2421" s="34" t="str">
        <x:v>EX-2393</x:v>
      </x:c>
      <x:c r="C2421" s="34" t="str">
        <x:v>گواهینامههای معتبر × ۵</x:v>
      </x:c>
      <x:c r="D2421" s="34" t="str">
        <x:v>POSSIBLE</x:v>
      </x:c>
      <x:c r="E2421" s="34" t="str">
        <x:v>85.3</x:v>
      </x:c>
      <x:c r="F2421" s="34" t="str">
        <x:v>MI-1492</x:v>
      </x:c>
      <x:c r="G2421" s="39" t="str">
        <x:v>گواهی نامه</x:v>
      </x:c>
      <x:c r="H2421" s="39" t="str">
        <x:v>H1</x:v>
      </x:c>
      <x:c r="I2421" s="39" t="str">
        <x:v>P0</x:v>
      </x:c>
      <x:c r="J2421" s="39" t="str">
        <x:v>H1</x:v>
      </x:c>
      <x:c r="K2421" s="39" t="str">
        <x:v>تطبیق احتمالی با پایه</x:v>
      </x:c>
      <x:c r="L2421" s="39" t="str">
        <x:v>MI-1492</x:v>
      </x:c>
      <x:c r="M2421" s="39" t="str">
        <x:v>گواهی نامه</x:v>
      </x:c>
      <x:c r="N2421" s="39" t="str">
        <x:v>1154878548.docx::P7632.1</x:v>
      </x:c>
      <x:c r="O2421" s="39"/>
    </x:row>
    <x:row r="2422">
      <x:c r="A2422" s="34" t="str">
        <x:v>☐</x:v>
      </x:c>
      <x:c r="B2422" s="34" t="str">
        <x:v>EX-2394</x:v>
      </x:c>
      <x:c r="C2422" s="34" t="str">
        <x:v>سابقه کاری مرتبط × ۳</x:v>
      </x:c>
      <x:c r="D2422" s="34" t="str">
        <x:v>POSSIBLE</x:v>
      </x:c>
      <x:c r="E2422" s="34" t="str">
        <x:v>90.0</x:v>
      </x:c>
      <x:c r="F2422" s="34" t="str">
        <x:v>MI-2545</x:v>
      </x:c>
      <x:c r="G2422" s="39" t="str">
        <x:v>کار:</x:v>
      </x:c>
      <x:c r="H2422" s="39" t="str">
        <x:v>H20</x:v>
      </x:c>
      <x:c r="I2422" s="39" t="str">
        <x:v>P3/CLARIFY</x:v>
      </x:c>
      <x:c r="J2422" s="39" t="str">
        <x:v>H20</x:v>
      </x:c>
      <x:c r="K2422" s="39" t="str">
        <x:v>تطبیق احتمالی با پایه</x:v>
      </x:c>
      <x:c r="L2422" s="39" t="str">
        <x:v>MI-2545</x:v>
      </x:c>
      <x:c r="M2422" s="39" t="str">
        <x:v>کار:</x:v>
      </x:c>
      <x:c r="N2422" s="39" t="str">
        <x:v>1154878548.docx::P7633.1</x:v>
      </x:c>
      <x:c r="O2422" s="39"/>
    </x:row>
    <x:row r="2423">
      <x:c r="A2423" s="34" t="str">
        <x:v>☐</x:v>
      </x:c>
      <x:c r="B2423" s="34" t="str">
        <x:v>EX-2395</x:v>
      </x:c>
      <x:c r="C2423" s="34" t="str">
        <x:v>امتیاز ریسک ® - مدل پیشبینی:</x:v>
      </x:c>
      <x:c r="D2423" s="34" t="str">
        <x:v>POSSIBLE</x:v>
      </x:c>
      <x:c r="E2423" s="34" t="str">
        <x:v>85.5</x:v>
      </x:c>
      <x:c r="F2423" s="34" t="str">
        <x:v>MI-1501</x:v>
      </x:c>
      <x:c r="G2423" s="39" t="str">
        <x:v>مدیریت ریسک: شناسایی ریسک ها، ارزیابی اثرات، تدوین برنامه های مقابله با ریسک ها.</x:v>
      </x:c>
      <x:c r="H2423" s="39" t="str">
        <x:v>H1</x:v>
      </x:c>
      <x:c r="I2423" s="39" t="str">
        <x:v>P0</x:v>
      </x:c>
      <x:c r="J2423" s="39" t="str">
        <x:v>H1</x:v>
      </x:c>
      <x:c r="K2423" s="39" t="str">
        <x:v>تطبیق احتمالی با پایه</x:v>
      </x:c>
      <x:c r="L2423" s="39" t="str">
        <x:v>MI-1501</x:v>
      </x:c>
      <x:c r="M2423" s="39" t="str">
        <x:v>مدیریت ریسک: شناسایی ریسک ها، ارزیابی اثرات، تدوین برنامه های مقابله با ریسک ها.</x:v>
      </x:c>
      <x:c r="N2423" s="39" t="str">
        <x:v>1154878548.docx::P7634.1</x:v>
      </x:c>
      <x:c r="O2423" s="39"/>
    </x:row>
    <x:row r="2424">
      <x:c r="A2424" s="34" t="str">
        <x:v>☐</x:v>
      </x:c>
      <x:c r="B2424" s="34" t="str">
        <x:v>EX-2396</x:v>
      </x:c>
      <x:c r="C2424" s="34" t="str">
        <x:v>P(\mathrm{خروج)=11+e-(β0+β1x1+β2x2+β3x3)</x:v>
      </x:c>
      <x:c r="D2424" s="34" t="str">
        <x:v>POSSIBLE</x:v>
      </x:c>
      <x:c r="E2424" s="34" t="str">
        <x:v>85.5</x:v>
      </x:c>
      <x:c r="F2424" s="34" t="str">
        <x:v>MI-2862</x:v>
      </x:c>
      <x:c r="G2424" s="39" t="str">
        <x:v>لایه 11 — برنامه EiR</x:v>
      </x:c>
      <x:c r="H2424" s="39" t="str">
        <x:v>H10</x:v>
      </x:c>
      <x:c r="I2424" s="39" t="str">
        <x:v>P2</x:v>
      </x:c>
      <x:c r="J2424" s="39" t="str">
        <x:v>H10</x:v>
      </x:c>
      <x:c r="K2424" s="39" t="str">
        <x:v>تطبیق احتمالی با پایه</x:v>
      </x:c>
      <x:c r="L2424" s="39" t="str">
        <x:v>MI-2862</x:v>
      </x:c>
      <x:c r="M2424" s="39" t="str">
        <x:v>لایه 11 — برنامه EiR</x:v>
      </x:c>
      <x:c r="N2424" s="39" t="str">
        <x:v>1154878548.docx::P7635.1</x:v>
      </x:c>
      <x:c r="O2424" s="39"/>
    </x:row>
    <x:row r="2425">
      <x:c r="A2425" s="34" t="str">
        <x:v>☐</x:v>
      </x:c>
      <x:c r="B2425" s="34" t="str">
        <x:v>EX-2397</x:v>
      </x:c>
      <x:c r="C2425" s="34" t="str">
        <x:v>x_1= روزهای بدون تعامل</x:v>
      </x:c>
      <x:c r="D2425" s="34" t="str">
        <x:v>POSSIBLE</x:v>
      </x:c>
      <x:c r="E2425" s="34" t="str">
        <x:v>90.0</x:v>
      </x:c>
      <x:c r="F2425" s="34" t="str">
        <x:v>MI-2713</x:v>
      </x:c>
      <x:c r="G2425" s="39" t="str">
        <x:v>تعامل</x:v>
      </x:c>
      <x:c r="H2425" s="39" t="str">
        <x:v>H4</x:v>
      </x:c>
      <x:c r="I2425" s="39" t="str">
        <x:v>P1</x:v>
      </x:c>
      <x:c r="J2425" s="39" t="str">
        <x:v>H4</x:v>
      </x:c>
      <x:c r="K2425" s="39" t="str">
        <x:v>تطبیق احتمالی با پایه</x:v>
      </x:c>
      <x:c r="L2425" s="39" t="str">
        <x:v>MI-2713</x:v>
      </x:c>
      <x:c r="M2425" s="39" t="str">
        <x:v>تعامل</x:v>
      </x:c>
      <x:c r="N2425" s="39" t="str">
        <x:v>1154878548.docx::P7636.1</x:v>
      </x:c>
      <x:c r="O2425" s="39"/>
    </x:row>
    <x:row r="2426">
      <x:c r="A2426" s="34" t="str">
        <x:v>☐</x:v>
      </x:c>
      <x:c r="B2426" s="34" t="str">
        <x:v>EX-2398</x:v>
      </x:c>
      <x:c r="C2426" s="34" t="str">
        <x:v>x_2= تغییر وضعیت مالی</x:v>
      </x:c>
      <x:c r="D2426" s="34" t="str">
        <x:v>POSSIBLE</x:v>
      </x:c>
      <x:c r="E2426" s="34" t="str">
        <x:v>85.5</x:v>
      </x:c>
      <x:c r="F2426" s="34" t="str">
        <x:v>MI-1510</x:v>
      </x:c>
      <x:c r="G2426" s="39" t="str">
        <x:v>دانش مالی: درک مفاهیم مالی، آشنایی با انواع سرمایه گذاری ها.</x:v>
      </x:c>
      <x:c r="H2426" s="39" t="str">
        <x:v>H1</x:v>
      </x:c>
      <x:c r="I2426" s="39" t="str">
        <x:v>P0</x:v>
      </x:c>
      <x:c r="J2426" s="39" t="str">
        <x:v>H1</x:v>
      </x:c>
      <x:c r="K2426" s="39" t="str">
        <x:v>تطبیق احتمالی با پایه</x:v>
      </x:c>
      <x:c r="L2426" s="39" t="str">
        <x:v>MI-1510</x:v>
      </x:c>
      <x:c r="M2426" s="39" t="str">
        <x:v>دانش مالی: درک مفاهیم مالی، آشنایی با انواع سرمایه گذاری ها.</x:v>
      </x:c>
      <x:c r="N2426" s="39" t="str">
        <x:v>1154878548.docx::P7637.1</x:v>
      </x:c>
      <x:c r="O2426" s="39"/>
    </x:row>
    <x:row r="2427">
      <x:c r="A2427" s="34" t="str">
        <x:v>☐</x:v>
      </x:c>
      <x:c r="B2427" s="34" t="str">
        <x:v>EX-2399</x:v>
      </x:c>
      <x:c r="C2427" s="34" t="str">
        <x:v>x_3= تعداد جستجوی شغل جدید</x:v>
      </x:c>
      <x:c r="D2427" s="34" t="str">
        <x:v>POSSIBLE</x:v>
      </x:c>
      <x:c r="E2427" s="34" t="str">
        <x:v>85.5</x:v>
      </x:c>
      <x:c r="F2427" s="34" t="str">
        <x:v>MI-1513</x:v>
      </x:c>
      <x:c r="G2427" s="39" t="str">
        <x:v>تولید و کارآفرینی: توانایی تولید محصول و خدمات و ایجاد شغل.</x:v>
      </x:c>
      <x:c r="H2427" s="39" t="str">
        <x:v>H1</x:v>
      </x:c>
      <x:c r="I2427" s="39" t="str">
        <x:v>P0</x:v>
      </x:c>
      <x:c r="J2427" s="39" t="str">
        <x:v>H1</x:v>
      </x:c>
      <x:c r="K2427" s="39" t="str">
        <x:v>تطبیق احتمالی با پایه</x:v>
      </x:c>
      <x:c r="L2427" s="39" t="str">
        <x:v>MI-1513</x:v>
      </x:c>
      <x:c r="M2427" s="39" t="str">
        <x:v>تولید و کارآفرینی: توانایی تولید محصول و خدمات و ایجاد شغل.</x:v>
      </x:c>
      <x:c r="N2427" s="39" t="str">
        <x:v>1154878548.docx::P7638.1</x:v>
      </x:c>
      <x:c r="O2427" s="39"/>
    </x:row>
    <x:row r="2428">
      <x:c r="A2428" s="34" t="str">
        <x:v>☐</x:v>
      </x:c>
      <x:c r="B2428" s="34" t="str">
        <x:v>EX-2400</x:v>
      </x:c>
      <x:c r="C2428" s="34" t="str">
        <x:v>۴.۳ لایهبندی ۵گانه</x:v>
      </x:c>
      <x:c r="D2428" s="34" t="str">
        <x:v>UNMAPPED</x:v>
      </x:c>
      <x:c r="E2428" s="34" t="str">
        <x:v>68.4</x:v>
      </x:c>
      <x:c r="F2428" s="34" t="str">
        <x:v>MI-1291</x:v>
      </x:c>
      <x:c r="G2428" s="39" t="str">
        <x:v>طلا</x:v>
      </x:c>
      <x:c r="H2428" s="39" t="str">
        <x:v>H12</x:v>
      </x:c>
      <x:c r="I2428" s="39" t="str">
        <x:v>P2</x:v>
      </x:c>
      <x:c r="J2428" s="39" t="str">
        <x:v>H23</x:v>
      </x:c>
      <x:c r="K2428" s="39" t="str">
        <x:v>نیازمند پالایش؛ حذف نشده</x:v>
      </x:c>
      <x:c r="L2428" s="39"/>
      <x:c r="M2428" s="39"/>
      <x:c r="N2428" s="39" t="str">
        <x:v>1154878548.docx::P7639.1</x:v>
      </x:c>
      <x:c r="O2428" s="39"/>
    </x:row>
    <x:row r="2429">
      <x:c r="A2429" s="34" t="str">
        <x:v>☐</x:v>
      </x:c>
      <x:c r="B2429" s="34" t="str">
        <x:v>EX-2401</x:v>
      </x:c>
      <x:c r="C2429" s="34" t="str">
        <x:v>لایه</x:v>
      </x:c>
      <x:c r="D2429" s="34" t="str">
        <x:v>POSSIBLE</x:v>
      </x:c>
      <x:c r="E2429" s="34" t="str">
        <x:v>90.0</x:v>
      </x:c>
      <x:c r="F2429" s="34" t="str">
        <x:v>MI-2821</x:v>
      </x:c>
      <x:c r="G2429" s="39" t="str">
        <x:v>لایه 4 — تیم سازی و نوآوری</x:v>
      </x:c>
      <x:c r="H2429" s="39" t="str">
        <x:v>H4</x:v>
      </x:c>
      <x:c r="I2429" s="39" t="str">
        <x:v>P1</x:v>
      </x:c>
      <x:c r="J2429" s="39" t="str">
        <x:v>H4</x:v>
      </x:c>
      <x:c r="K2429" s="39" t="str">
        <x:v>تطبیق احتمالی با پایه</x:v>
      </x:c>
      <x:c r="L2429" s="39" t="str">
        <x:v>MI-2821</x:v>
      </x:c>
      <x:c r="M2429" s="39" t="str">
        <x:v>لایه 4 — تیم سازی و نوآوری</x:v>
      </x:c>
      <x:c r="N2429" s="39" t="str">
        <x:v>1154878548.docx::P7640.1</x:v>
      </x:c>
      <x:c r="O2429" s="39"/>
    </x:row>
    <x:row r="2430">
      <x:c r="A2430" s="34" t="str">
        <x:v>☐</x:v>
      </x:c>
      <x:c r="B2430" s="34" t="str">
        <x:v>EX-2402</x:v>
      </x:c>
      <x:c r="C2430" s="34" t="str">
        <x:v>بازه امتیاز</x:v>
      </x:c>
      <x:c r="D2430" s="34" t="str">
        <x:v>POSSIBLE</x:v>
      </x:c>
      <x:c r="E2430" s="34" t="str">
        <x:v>85.5</x:v>
      </x:c>
      <x:c r="F2430" s="34" t="str">
        <x:v>MI-0806</x:v>
      </x:c>
      <x:c r="G2430" s="39" t="str">
        <x:v>- تعیین بازه زمانی مناسب برای نگه داشتن غذا در سرخانه</x:v>
      </x:c>
      <x:c r="H2430" s="39" t="str">
        <x:v>H11</x:v>
      </x:c>
      <x:c r="I2430" s="39" t="str">
        <x:v>DELEGATE/P2</x:v>
      </x:c>
      <x:c r="J2430" s="39" t="str">
        <x:v>H11</x:v>
      </x:c>
      <x:c r="K2430" s="39" t="str">
        <x:v>تطبیق احتمالی با پایه</x:v>
      </x:c>
      <x:c r="L2430" s="39" t="str">
        <x:v>MI-0806</x:v>
      </x:c>
      <x:c r="M2430" s="39" t="str">
        <x:v>- تعیین بازه زمانی مناسب برای نگه داشتن غذا در سرخانه</x:v>
      </x:c>
      <x:c r="N2430" s="39" t="str">
        <x:v>1154878548.docx::P7642.1</x:v>
      </x:c>
      <x:c r="O2430" s="39"/>
    </x:row>
    <x:row r="2431">
      <x:c r="A2431" s="34" t="str">
        <x:v>☐</x:v>
      </x:c>
      <x:c r="B2431" s="34" t="str">
        <x:v>EX-2403</x:v>
      </x:c>
      <x:c r="C2431" s="34" t="str">
        <x:v>درصد اعضا</x:v>
      </x:c>
      <x:c r="D2431" s="34" t="str">
        <x:v>POSSIBLE</x:v>
      </x:c>
      <x:c r="E2431" s="34" t="str">
        <x:v>85.5</x:v>
      </x:c>
      <x:c r="F2431" s="34" t="str">
        <x:v>MI-0829</x:v>
      </x:c>
      <x:c r="G2431" s="39" t="str">
        <x:v>- بازدید سرزده مسیولین به همراه تمامی اعضا شورا و یا نظرسنجی</x:v>
      </x:c>
      <x:c r="H2431" s="39" t="str">
        <x:v>H11</x:v>
      </x:c>
      <x:c r="I2431" s="39" t="str">
        <x:v>DELEGATE/P2</x:v>
      </x:c>
      <x:c r="J2431" s="39" t="str">
        <x:v>H11</x:v>
      </x:c>
      <x:c r="K2431" s="39" t="str">
        <x:v>تطبیق احتمالی با پایه</x:v>
      </x:c>
      <x:c r="L2431" s="39" t="str">
        <x:v>MI-0829</x:v>
      </x:c>
      <x:c r="M2431" s="39" t="str">
        <x:v>- بازدید سرزده مسیولین به همراه تمامی اعضا شورا و یا نظرسنجی</x:v>
      </x:c>
      <x:c r="N2431" s="39" t="str">
        <x:v>1154878548.docx::P7643.1</x:v>
      </x:c>
      <x:c r="O2431" s="39"/>
    </x:row>
    <x:row r="2432">
      <x:c r="A2432" s="34" t="str">
        <x:v>☐</x:v>
      </x:c>
      <x:c r="B2432" s="34" t="str">
        <x:v>EX-2404</x:v>
      </x:c>
      <x:c r="C2432" s="34" t="str">
        <x:v>رنگ</x:v>
      </x:c>
      <x:c r="D2432" s="34" t="str">
        <x:v>UNMAPPED</x:v>
      </x:c>
      <x:c r="E2432" s="34" t="str">
        <x:v>72.0</x:v>
      </x:c>
      <x:c r="F2432" s="34" t="str">
        <x:v>MI-0377</x:v>
      </x:c>
      <x:c r="G2432" s="39" t="str">
        <x:v>دیپ لرنینگ</x:v>
      </x:c>
      <x:c r="H2432" s="39" t="str">
        <x:v>H7</x:v>
      </x:c>
      <x:c r="I2432" s="39" t="str">
        <x:v>BANK</x:v>
      </x:c>
      <x:c r="J2432" s="39" t="str">
        <x:v>H23</x:v>
      </x:c>
      <x:c r="K2432" s="39" t="str">
        <x:v>نیازمند پالایش؛ حذف نشده</x:v>
      </x:c>
      <x:c r="L2432" s="39"/>
      <x:c r="M2432" s="39"/>
      <x:c r="N2432" s="39" t="str">
        <x:v>1154878548.docx::P7644.1</x:v>
      </x:c>
      <x:c r="O2432" s="39"/>
    </x:row>
    <x:row r="2433">
      <x:c r="A2433" s="34" t="str">
        <x:v>☐</x:v>
      </x:c>
      <x:c r="B2433" s="34" t="str">
        <x:v>EX-2405</x:v>
      </x:c>
      <x:c r="C2433" s="34" t="str">
        <x:v>B</x:v>
      </x:c>
      <x:c r="D2433" s="34" t="str">
        <x:v>POSSIBLE</x:v>
      </x:c>
      <x:c r="E2433" s="34" t="str">
        <x:v>90.0</x:v>
      </x:c>
      <x:c r="F2433" s="34" t="str">
        <x:v>MI-0189</x:v>
      </x:c>
      <x:c r="G2433" s="39" t="str">
        <x:v>POWER BI</x:v>
      </x:c>
      <x:c r="H2433" s="39" t="str">
        <x:v>H7</x:v>
      </x:c>
      <x:c r="I2433" s="39" t="str">
        <x:v>P1</x:v>
      </x:c>
      <x:c r="J2433" s="39" t="str">
        <x:v>H7</x:v>
      </x:c>
      <x:c r="K2433" s="39" t="str">
        <x:v>تطبیق احتمالی با پایه</x:v>
      </x:c>
      <x:c r="L2433" s="39" t="str">
        <x:v>MI-0189</x:v>
      </x:c>
      <x:c r="M2433" s="39" t="str">
        <x:v>POWER BI</x:v>
      </x:c>
      <x:c r="N2433" s="39" t="str">
        <x:v>1154878548.docx::P7645.1</x:v>
      </x:c>
      <x:c r="O2433" s="39"/>
    </x:row>
    <x:row r="2434">
      <x:c r="A2434" s="34" t="str">
        <x:v>☐</x:v>
      </x:c>
      <x:c r="B2434" s="34" t="str">
        <x:v>EX-2406</x:v>
      </x:c>
      <x:c r="C2434" s="34" t="str">
        <x:v>فعال و رو به رشد</x:v>
      </x:c>
      <x:c r="D2434" s="34" t="str">
        <x:v>POSSIBLE</x:v>
      </x:c>
      <x:c r="E2434" s="34" t="str">
        <x:v>85.5</x:v>
      </x:c>
      <x:c r="F2434" s="34" t="str">
        <x:v>MI-1513</x:v>
      </x:c>
      <x:c r="G2434" s="39" t="str">
        <x:v>تولید و کارآفرینی: توانایی تولید محصول و خدمات و ایجاد شغل.</x:v>
      </x:c>
      <x:c r="H2434" s="39" t="str">
        <x:v>H1</x:v>
      </x:c>
      <x:c r="I2434" s="39" t="str">
        <x:v>P0</x:v>
      </x:c>
      <x:c r="J2434" s="39" t="str">
        <x:v>H1</x:v>
      </x:c>
      <x:c r="K2434" s="39" t="str">
        <x:v>تطبیق احتمالی با پایه</x:v>
      </x:c>
      <x:c r="L2434" s="39" t="str">
        <x:v>MI-1513</x:v>
      </x:c>
      <x:c r="M2434" s="39" t="str">
        <x:v>تولید و کارآفرینی: توانایی تولید محصول و خدمات و ایجاد شغل.</x:v>
      </x:c>
      <x:c r="N2434" s="39" t="str">
        <x:v>1154878548.docx::P7646.1</x:v>
      </x:c>
      <x:c r="O2434" s="39"/>
    </x:row>
    <x:row r="2435">
      <x:c r="A2435" s="34" t="str">
        <x:v>☐</x:v>
      </x:c>
      <x:c r="B2435" s="34" t="str">
        <x:v>EX-2407</x:v>
      </x:c>
      <x:c r="C2435" s="34" t="str">
        <x:v>۶۵-۸۴</x:v>
      </x:c>
      <x:c r="D2435" s="34" t="str">
        <x:v>UNMAPPED</x:v>
      </x:c>
      <x:c r="E2435" s="34" t="str">
        <x:v>30.0</x:v>
      </x:c>
      <x:c r="F2435" s="34" t="str">
        <x:v>MI-0161</x:v>
      </x:c>
      <x:c r="G2435" s="39" t="str">
        <x:v>N&amp;N</x:v>
      </x:c>
      <x:c r="H2435" s="39" t="str">
        <x:v>H23</x:v>
      </x:c>
      <x:c r="I2435" s="39" t="str">
        <x:v>P3/CLARIFY</x:v>
      </x:c>
      <x:c r="J2435" s="39" t="str">
        <x:v>STRUCT</x:v>
      </x:c>
      <x:c r="K2435" s="39" t="str">
        <x:v>ساختار/برچسب</x:v>
      </x:c>
      <x:c r="L2435" s="39"/>
      <x:c r="M2435" s="39"/>
      <x:c r="N2435" s="39" t="str">
        <x:v>1154878548.docx::P7647.1</x:v>
      </x:c>
      <x:c r="O2435" s="39"/>
    </x:row>
    <x:row r="2436">
      <x:c r="A2436" s="34" t="str">
        <x:v>☐</x:v>
      </x:c>
      <x:c r="B2436" s="34" t="str">
        <x:v>EX-2408</x:v>
      </x:c>
      <x:c r="C2436" s="34" t="str">
        <x:v>۲۵٪</x:v>
      </x:c>
      <x:c r="D2436" s="34" t="str">
        <x:v>UNMAPPED</x:v>
      </x:c>
      <x:c r="E2436" s="34" t="str">
        <x:v>20.0</x:v>
      </x:c>
      <x:c r="F2436" s="34" t="str">
        <x:v>MI-1398</x:v>
      </x:c>
      <x:c r="G2436" s="39" t="str">
        <x:v>حدود سه چهارم از انرژی های تجدید پذیر در جهان شامل انرژی زیستی است که بیش از نیمی از آن شامل استفاده از زیست توده سنتی است. انرژی زیستی حدود 10٪ کل مصرف نهایی انرژی و 1.4٪ تولید برق جهانی را در سال 2015 به خود اختصاص داده است.</x:v>
      </x:c>
      <x:c r="H2436" s="39" t="str">
        <x:v>H12</x:v>
      </x:c>
      <x:c r="I2436" s="39" t="str">
        <x:v>P2</x:v>
      </x:c>
      <x:c r="J2436" s="39" t="str">
        <x:v>STRUCT</x:v>
      </x:c>
      <x:c r="K2436" s="39" t="str">
        <x:v>ساختار/برچسب</x:v>
      </x:c>
      <x:c r="L2436" s="39"/>
      <x:c r="M2436" s="39"/>
      <x:c r="N2436" s="39" t="str">
        <x:v>1154878548.docx::P7648.1</x:v>
      </x:c>
      <x:c r="O2436" s="39"/>
    </x:row>
    <x:row r="2437">
      <x:c r="A2437" s="34" t="str">
        <x:v>☐</x:v>
      </x:c>
      <x:c r="B2437" s="34" t="str">
        <x:v>EX-2409</x:v>
      </x:c>
      <x:c r="C2437" s="34" t="str">
        <x:v>سبز</x:v>
      </x:c>
      <x:c r="D2437" s="34" t="str">
        <x:v>POSSIBLE</x:v>
      </x:c>
      <x:c r="E2437" s="34" t="str">
        <x:v>90.0</x:v>
      </x:c>
      <x:c r="F2437" s="34" t="str">
        <x:v>MI-0987</x:v>
      </x:c>
      <x:c r="G2437" s="39" t="str">
        <x:v>فاضی محیط سبز</x:v>
      </x:c>
      <x:c r="H2437" s="39" t="str">
        <x:v>H11</x:v>
      </x:c>
      <x:c r="I2437" s="39" t="str">
        <x:v>DELEGATE/P2</x:v>
      </x:c>
      <x:c r="J2437" s="39" t="str">
        <x:v>H11</x:v>
      </x:c>
      <x:c r="K2437" s="39" t="str">
        <x:v>تطبیق احتمالی با پایه</x:v>
      </x:c>
      <x:c r="L2437" s="39" t="str">
        <x:v>MI-0987</x:v>
      </x:c>
      <x:c r="M2437" s="39" t="str">
        <x:v>فاضی محیط سبز</x:v>
      </x:c>
      <x:c r="N2437" s="39" t="str">
        <x:v>1154878548.docx::P7649.1</x:v>
      </x:c>
      <x:c r="O2437" s="39"/>
    </x:row>
    <x:row r="2438">
      <x:c r="A2438" s="34" t="str">
        <x:v>☐</x:v>
      </x:c>
      <x:c r="B2438" s="34" t="str">
        <x:v>EX-2410</x:v>
      </x:c>
      <x:c r="C2438" s="34" t="str">
        <x:v>C</x:v>
      </x:c>
      <x:c r="D2438" s="34" t="str">
        <x:v>POSSIBLE</x:v>
      </x:c>
      <x:c r="E2438" s="34" t="str">
        <x:v>90.0</x:v>
      </x:c>
      <x:c r="F2438" s="34" t="str">
        <x:v>MI-0123</x:v>
      </x:c>
      <x:c r="G2438" s="39" t="str">
        <x:v>crm</x:v>
      </x:c>
      <x:c r="H2438" s="39" t="str">
        <x:v>H1</x:v>
      </x:c>
      <x:c r="I2438" s="39" t="str">
        <x:v>P0</x:v>
      </x:c>
      <x:c r="J2438" s="39" t="str">
        <x:v>H1</x:v>
      </x:c>
      <x:c r="K2438" s="39" t="str">
        <x:v>تطبیق احتمالی با پایه</x:v>
      </x:c>
      <x:c r="L2438" s="39" t="str">
        <x:v>MI-0123</x:v>
      </x:c>
      <x:c r="M2438" s="39" t="str">
        <x:v>crm</x:v>
      </x:c>
      <x:c r="N2438" s="39" t="str">
        <x:v>1154878548.docx::P7650.1 | فرم_اطلاعات_نتایج_آزمونها_تحصیلی (1).xlsx::فرم نتایج تست ها!O6 | فرم_اطلاعات_نتایج_آزمونها_تحصیلی (1).xlsx::فرم نتایج تست ها!O11 | فرم_اطلاعات_نتایج_آزمونها_تحصیلی (1).xlsx::فرم نتایج تست ها!O16</x:v>
      </x:c>
      <x:c r="O2438" s="39"/>
    </x:row>
    <x:row r="2439">
      <x:c r="A2439" s="34" t="str">
        <x:v>☐</x:v>
      </x:c>
      <x:c r="B2439" s="34" t="str">
        <x:v>EX-2411</x:v>
      </x:c>
      <x:c r="C2439" s="34" t="str">
        <x:v>عادی و پایدار</x:v>
      </x:c>
      <x:c r="D2439" s="34" t="str">
        <x:v>POSSIBLE</x:v>
      </x:c>
      <x:c r="E2439" s="34" t="str">
        <x:v>85.5</x:v>
      </x:c>
      <x:c r="F2439" s="34" t="str">
        <x:v>MI-1513</x:v>
      </x:c>
      <x:c r="G2439" s="39" t="str">
        <x:v>تولید و کارآفرینی: توانایی تولید محصول و خدمات و ایجاد شغل.</x:v>
      </x:c>
      <x:c r="H2439" s="39" t="str">
        <x:v>H1</x:v>
      </x:c>
      <x:c r="I2439" s="39" t="str">
        <x:v>P0</x:v>
      </x:c>
      <x:c r="J2439" s="39" t="str">
        <x:v>H1</x:v>
      </x:c>
      <x:c r="K2439" s="39" t="str">
        <x:v>تطبیق احتمالی با پایه</x:v>
      </x:c>
      <x:c r="L2439" s="39" t="str">
        <x:v>MI-1513</x:v>
      </x:c>
      <x:c r="M2439" s="39" t="str">
        <x:v>تولید و کارآفرینی: توانایی تولید محصول و خدمات و ایجاد شغل.</x:v>
      </x:c>
      <x:c r="N2439" s="39" t="str">
        <x:v>1154878548.docx::P7651.1</x:v>
      </x:c>
      <x:c r="O2439" s="39"/>
    </x:row>
    <x:row r="2440">
      <x:c r="A2440" s="34" t="str">
        <x:v>☐</x:v>
      </x:c>
      <x:c r="B2440" s="34" t="str">
        <x:v>EX-2412</x:v>
      </x:c>
      <x:c r="C2440" s="34" t="str">
        <x:v>۴۵-۶۴</x:v>
      </x:c>
      <x:c r="D2440" s="34" t="str">
        <x:v>UNMAPPED</x:v>
      </x:c>
      <x:c r="E2440" s="34" t="str">
        <x:v>30.0</x:v>
      </x:c>
      <x:c r="F2440" s="34" t="str">
        <x:v>MI-0161</x:v>
      </x:c>
      <x:c r="G2440" s="39" t="str">
        <x:v>N&amp;N</x:v>
      </x:c>
      <x:c r="H2440" s="39" t="str">
        <x:v>H23</x:v>
      </x:c>
      <x:c r="I2440" s="39" t="str">
        <x:v>P3/CLARIFY</x:v>
      </x:c>
      <x:c r="J2440" s="39" t="str">
        <x:v>STRUCT</x:v>
      </x:c>
      <x:c r="K2440" s="39" t="str">
        <x:v>ساختار/برچسب</x:v>
      </x:c>
      <x:c r="L2440" s="39"/>
      <x:c r="M2440" s="39"/>
      <x:c r="N2440" s="39" t="str">
        <x:v>1154878548.docx::P7652.1</x:v>
      </x:c>
      <x:c r="O2440" s="39"/>
    </x:row>
    <x:row r="2441">
      <x:c r="A2441" s="34" t="str">
        <x:v>☐</x:v>
      </x:c>
      <x:c r="B2441" s="34" t="str">
        <x:v>EX-2413</x:v>
      </x:c>
      <x:c r="C2441" s="34" t="str">
        <x:v>۴۰٪</x:v>
      </x:c>
      <x:c r="D2441" s="34" t="str">
        <x:v>UNMAPPED</x:v>
      </x:c>
      <x:c r="E2441" s="34" t="str">
        <x:v>20.0</x:v>
      </x:c>
      <x:c r="F2441" s="34" t="str">
        <x:v>MI-1398</x:v>
      </x:c>
      <x:c r="G2441" s="39" t="str">
        <x:v>حدود سه چهارم از انرژی های تجدید پذیر در جهان شامل انرژی زیستی است که بیش از نیمی از آن شامل استفاده از زیست توده سنتی است. انرژی زیستی حدود 10٪ کل مصرف نهایی انرژی و 1.4٪ تولید برق جهانی را در سال 2015 به خود اختصاص داده است.</x:v>
      </x:c>
      <x:c r="H2441" s="39" t="str">
        <x:v>H12</x:v>
      </x:c>
      <x:c r="I2441" s="39" t="str">
        <x:v>P2</x:v>
      </x:c>
      <x:c r="J2441" s="39" t="str">
        <x:v>STRUCT</x:v>
      </x:c>
      <x:c r="K2441" s="39" t="str">
        <x:v>ساختار/برچسب</x:v>
      </x:c>
      <x:c r="L2441" s="39"/>
      <x:c r="M2441" s="39"/>
      <x:c r="N2441" s="39" t="str">
        <x:v>1154878548.docx::P7653.1</x:v>
      </x:c>
      <x:c r="O2441" s="39"/>
    </x:row>
    <x:row r="2442">
      <x:c r="A2442" s="34" t="str">
        <x:v>☐</x:v>
      </x:c>
      <x:c r="B2442" s="34" t="str">
        <x:v>EX-2414</x:v>
      </x:c>
      <x:c r="C2442" s="34" t="str">
        <x:v>آبی</x:v>
      </x:c>
      <x:c r="D2442" s="34" t="str">
        <x:v>UNMAPPED</x:v>
      </x:c>
      <x:c r="E2442" s="34" t="str">
        <x:v>72.0</x:v>
      </x:c>
      <x:c r="F2442" s="34" t="str">
        <x:v>MI-0231</x:v>
      </x:c>
      <x:c r="G2442" s="39" t="str">
        <x:v>کارآفرینی و بازاریابی</x:v>
      </x:c>
      <x:c r="H2442" s="39" t="str">
        <x:v>H8</x:v>
      </x:c>
      <x:c r="I2442" s="39" t="str">
        <x:v>P2</x:v>
      </x:c>
      <x:c r="J2442" s="39" t="str">
        <x:v>H23</x:v>
      </x:c>
      <x:c r="K2442" s="39" t="str">
        <x:v>نیازمند پالایش؛ حذف نشده</x:v>
      </x:c>
      <x:c r="L2442" s="39"/>
      <x:c r="M2442" s="39"/>
      <x:c r="N2442" s="39" t="str">
        <x:v>1154878548.docx::P7654.1</x:v>
      </x:c>
      <x:c r="O2442" s="39"/>
    </x:row>
    <x:row r="2443">
      <x:c r="A2443" s="34" t="str">
        <x:v>☐</x:v>
      </x:c>
      <x:c r="B2443" s="34" t="str">
        <x:v>EX-2415</x:v>
      </x:c>
      <x:c r="C2443" s="34" t="str">
        <x:v>D</x:v>
      </x:c>
      <x:c r="D2443" s="34" t="str">
        <x:v>POSSIBLE</x:v>
      </x:c>
      <x:c r="E2443" s="34" t="str">
        <x:v>90.0</x:v>
      </x:c>
      <x:c r="F2443" s="34" t="str">
        <x:v>MI-0122</x:v>
      </x:c>
      <x:c r="G2443" s="39" t="str">
        <x:v>odoo</x:v>
      </x:c>
      <x:c r="H2443" s="39" t="str">
        <x:v>H1</x:v>
      </x:c>
      <x:c r="I2443" s="39" t="str">
        <x:v>P0</x:v>
      </x:c>
      <x:c r="J2443" s="39" t="str">
        <x:v>H1</x:v>
      </x:c>
      <x:c r="K2443" s="39" t="str">
        <x:v>تطبیق احتمالی با پایه</x:v>
      </x:c>
      <x:c r="L2443" s="39" t="str">
        <x:v>MI-0122</x:v>
      </x:c>
      <x:c r="M2443" s="39" t="str">
        <x:v>odoo</x:v>
      </x:c>
      <x:c r="N2443" s="39" t="str">
        <x:v>1154878548.docx::P7655.1 | فرم_اطلاعات_نتایج_آزمونها_تحصیلی (1).xlsx::فرم نتایج تست ها!F6 | فرم_اطلاعات_نتایج_آزمونها_تحصیلی (1).xlsx::فرم نتایج تست ها!F11 | فرم_اطلاعات_نتایج_آزمونها_تحصیلی (1).xlsx::فرم نتایج تست ها!F16</x:v>
      </x:c>
      <x:c r="O2443" s="39"/>
    </x:row>
    <x:row r="2444">
      <x:c r="A2444" s="34" t="str">
        <x:v>☐</x:v>
      </x:c>
      <x:c r="B2444" s="34" t="str">
        <x:v>EX-2416</x:v>
      </x:c>
      <x:c r="C2444" s="34" t="str">
        <x:v>کمتعامل</x:v>
      </x:c>
      <x:c r="D2444" s="34" t="str">
        <x:v>POSSIBLE</x:v>
      </x:c>
      <x:c r="E2444" s="34" t="str">
        <x:v>83.3</x:v>
      </x:c>
      <x:c r="F2444" s="34" t="str">
        <x:v>MI-2713</x:v>
      </x:c>
      <x:c r="G2444" s="39" t="str">
        <x:v>تعامل</x:v>
      </x:c>
      <x:c r="H2444" s="39" t="str">
        <x:v>H4</x:v>
      </x:c>
      <x:c r="I2444" s="39" t="str">
        <x:v>P1</x:v>
      </x:c>
      <x:c r="J2444" s="39" t="str">
        <x:v>H4</x:v>
      </x:c>
      <x:c r="K2444" s="39" t="str">
        <x:v>تطبیق احتمالی با پایه</x:v>
      </x:c>
      <x:c r="L2444" s="39" t="str">
        <x:v>MI-2713</x:v>
      </x:c>
      <x:c r="M2444" s="39" t="str">
        <x:v>تعامل</x:v>
      </x:c>
      <x:c r="N2444" s="39" t="str">
        <x:v>1154878548.docx::P7656.1</x:v>
      </x:c>
      <x:c r="O2444" s="39"/>
    </x:row>
    <x:row r="2445">
      <x:c r="A2445" s="34" t="str">
        <x:v>☐</x:v>
      </x:c>
      <x:c r="B2445" s="34" t="str">
        <x:v>EX-2417</x:v>
      </x:c>
      <x:c r="C2445" s="34" t="str">
        <x:v>۲۵-۴۴</x:v>
      </x:c>
      <x:c r="D2445" s="34" t="str">
        <x:v>UNMAPPED</x:v>
      </x:c>
      <x:c r="E2445" s="34" t="str">
        <x:v>30.0</x:v>
      </x:c>
      <x:c r="F2445" s="34" t="str">
        <x:v>MI-0161</x:v>
      </x:c>
      <x:c r="G2445" s="39" t="str">
        <x:v>N&amp;N</x:v>
      </x:c>
      <x:c r="H2445" s="39" t="str">
        <x:v>H23</x:v>
      </x:c>
      <x:c r="I2445" s="39" t="str">
        <x:v>P3/CLARIFY</x:v>
      </x:c>
      <x:c r="J2445" s="39" t="str">
        <x:v>STRUCT</x:v>
      </x:c>
      <x:c r="K2445" s="39" t="str">
        <x:v>ساختار/برچسب</x:v>
      </x:c>
      <x:c r="L2445" s="39"/>
      <x:c r="M2445" s="39"/>
      <x:c r="N2445" s="39" t="str">
        <x:v>1154878548.docx::P7657.1</x:v>
      </x:c>
      <x:c r="O2445" s="39"/>
    </x:row>
    <x:row r="2446">
      <x:c r="A2446" s="34" t="str">
        <x:v>☐</x:v>
      </x:c>
      <x:c r="B2446" s="34" t="str">
        <x:v>EX-2418</x:v>
      </x:c>
      <x:c r="C2446" s="34" t="str">
        <x:v>۱۵٪</x:v>
      </x:c>
      <x:c r="D2446" s="34" t="str">
        <x:v>UNMAPPED</x:v>
      </x:c>
      <x:c r="E2446" s="34" t="str">
        <x:v>20.0</x:v>
      </x:c>
      <x:c r="F2446" s="34" t="str">
        <x:v>MI-1398</x:v>
      </x:c>
      <x:c r="G2446" s="39" t="str">
        <x:v>حدود سه چهارم از انرژی های تجدید پذیر در جهان شامل انرژی زیستی است که بیش از نیمی از آن شامل استفاده از زیست توده سنتی است. انرژی زیستی حدود 10٪ کل مصرف نهایی انرژی و 1.4٪ تولید برق جهانی را در سال 2015 به خود اختصاص داده است.</x:v>
      </x:c>
      <x:c r="H2446" s="39" t="str">
        <x:v>H12</x:v>
      </x:c>
      <x:c r="I2446" s="39" t="str">
        <x:v>P2</x:v>
      </x:c>
      <x:c r="J2446" s="39" t="str">
        <x:v>STRUCT</x:v>
      </x:c>
      <x:c r="K2446" s="39" t="str">
        <x:v>ساختار/برچسب</x:v>
      </x:c>
      <x:c r="L2446" s="39"/>
      <x:c r="M2446" s="39"/>
      <x:c r="N2446" s="39" t="str">
        <x:v>1154878548.docx::P7658.1</x:v>
      </x:c>
      <x:c r="O2446" s="39"/>
    </x:row>
    <x:row r="2447">
      <x:c r="A2447" s="34" t="str">
        <x:v>☐</x:v>
      </x:c>
      <x:c r="B2447" s="34" t="str">
        <x:v>EX-2419</x:v>
      </x:c>
      <x:c r="C2447" s="34" t="str">
        <x:v>نارنجی</x:v>
      </x:c>
      <x:c r="D2447" s="34" t="str">
        <x:v>UNMAPPED</x:v>
      </x:c>
      <x:c r="E2447" s="34" t="str">
        <x:v>81.8</x:v>
      </x:c>
      <x:c r="F2447" s="34" t="str">
        <x:v>MI-0566</x:v>
      </x:c>
      <x:c r="G2447" s="39" t="str">
        <x:v>نخل و نارنج</x:v>
      </x:c>
      <x:c r="H2447" s="39" t="str">
        <x:v>H18</x:v>
      </x:c>
      <x:c r="I2447" s="39" t="str">
        <x:v>BANK</x:v>
      </x:c>
      <x:c r="J2447" s="39" t="str">
        <x:v>H23</x:v>
      </x:c>
      <x:c r="K2447" s="39" t="str">
        <x:v>نیازمند پالایش؛ حذف نشده</x:v>
      </x:c>
      <x:c r="L2447" s="39"/>
      <x:c r="M2447" s="39"/>
      <x:c r="N2447" s="39" t="str">
        <x:v>1154878548.docx::P7659.1</x:v>
      </x:c>
      <x:c r="O2447" s="39"/>
    </x:row>
    <x:row r="2448">
      <x:c r="A2448" s="34" t="str">
        <x:v>☐</x:v>
      </x:c>
      <x:c r="B2448" s="34" t="str">
        <x:v>EX-2420</x:v>
      </x:c>
      <x:c r="C2448" s="34" t="str">
        <x:v>E</x:v>
      </x:c>
      <x:c r="D2448" s="34" t="str">
        <x:v>POSSIBLE</x:v>
      </x:c>
      <x:c r="E2448" s="34" t="str">
        <x:v>90.0</x:v>
      </x:c>
      <x:c r="F2448" s="34" t="str">
        <x:v>MI-0117</x:v>
      </x:c>
      <x:c r="G2448" s="39" t="str">
        <x:v>etap</x:v>
      </x:c>
      <x:c r="H2448" s="39" t="str">
        <x:v>H1</x:v>
      </x:c>
      <x:c r="I2448" s="39" t="str">
        <x:v>P0</x:v>
      </x:c>
      <x:c r="J2448" s="39" t="str">
        <x:v>H1</x:v>
      </x:c>
      <x:c r="K2448" s="39" t="str">
        <x:v>تطبیق احتمالی با پایه</x:v>
      </x:c>
      <x:c r="L2448" s="39" t="str">
        <x:v>MI-0117</x:v>
      </x:c>
      <x:c r="M2448" s="39" t="str">
        <x:v>etap</x:v>
      </x:c>
      <x:c r="N2448" s="39" t="str">
        <x:v>1154878548.docx::P7660.1</x:v>
      </x:c>
      <x:c r="O2448" s="39"/>
    </x:row>
    <x:row r="2449">
      <x:c r="A2449" s="34" t="str">
        <x:v>☐</x:v>
      </x:c>
      <x:c r="B2449" s="34" t="str">
        <x:v>EX-2421</x:v>
      </x:c>
      <x:c r="C2449" s="34" t="str">
        <x:v>در آستانه خروج</x:v>
      </x:c>
      <x:c r="D2449" s="34" t="str">
        <x:v>POSSIBLE</x:v>
      </x:c>
      <x:c r="E2449" s="34" t="str">
        <x:v>85.5</x:v>
      </x:c>
      <x:c r="F2449" s="34" t="str">
        <x:v>MI-0077</x:v>
      </x:c>
      <x:c r="G2449" s="39" t="str">
        <x:v>یادگیری هوش هیجانی و قدرت تصمیم گیری بالا در لحظه</x:v>
      </x:c>
      <x:c r="H2449" s="39" t="str">
        <x:v>H1</x:v>
      </x:c>
      <x:c r="I2449" s="39" t="str">
        <x:v>P0</x:v>
      </x:c>
      <x:c r="J2449" s="39" t="str">
        <x:v>H1</x:v>
      </x:c>
      <x:c r="K2449" s="39" t="str">
        <x:v>تطبیق احتمالی با پایه</x:v>
      </x:c>
      <x:c r="L2449" s="39" t="str">
        <x:v>MI-0077</x:v>
      </x:c>
      <x:c r="M2449" s="39" t="str">
        <x:v>یادگیری هوش هیجانی و قدرت تصمیم گیری بالا در لحظه</x:v>
      </x:c>
      <x:c r="N2449" s="39" t="str">
        <x:v>1154878548.docx::P7661.1</x:v>
      </x:c>
      <x:c r="O2449" s="39"/>
    </x:row>
    <x:row r="2450">
      <x:c r="A2450" s="34" t="str">
        <x:v>☐</x:v>
      </x:c>
      <x:c r="B2450" s="34" t="str">
        <x:v>EX-2422</x:v>
      </x:c>
      <x:c r="C2450" s="34" t="str">
        <x:v>۰-۲۴</x:v>
      </x:c>
      <x:c r="D2450" s="34" t="str">
        <x:v>UNMAPPED</x:v>
      </x:c>
      <x:c r="E2450" s="34" t="str">
        <x:v>30.0</x:v>
      </x:c>
      <x:c r="F2450" s="34" t="str">
        <x:v>MI-3034</x:v>
      </x:c>
      <x:c r="G2450" s="39" t="str">
        <x:v>7. ساختار تصمیم گیری</x:v>
      </x:c>
      <x:c r="H2450" s="39" t="str">
        <x:v>H1</x:v>
      </x:c>
      <x:c r="I2450" s="39" t="str">
        <x:v>P0</x:v>
      </x:c>
      <x:c r="J2450" s="39" t="str">
        <x:v>STRUCT</x:v>
      </x:c>
      <x:c r="K2450" s="39" t="str">
        <x:v>ساختار/برچسب</x:v>
      </x:c>
      <x:c r="L2450" s="39"/>
      <x:c r="M2450" s="39"/>
      <x:c r="N2450" s="39" t="str">
        <x:v>1154878548.docx::P7662.1</x:v>
      </x:c>
      <x:c r="O2450" s="39"/>
    </x:row>
    <x:row r="2451">
      <x:c r="A2451" s="34" t="str">
        <x:v>☐</x:v>
      </x:c>
      <x:c r="B2451" s="34" t="str">
        <x:v>EX-2423</x:v>
      </x:c>
      <x:c r="C2451" s="34" t="str">
        <x:v>۱۰٪</x:v>
      </x:c>
      <x:c r="D2451" s="34" t="str">
        <x:v>UNMAPPED</x:v>
      </x:c>
      <x:c r="E2451" s="34" t="str">
        <x:v>20.0</x:v>
      </x:c>
      <x:c r="F2451" s="34" t="str">
        <x:v>MI-1398</x:v>
      </x:c>
      <x:c r="G2451" s="39" t="str">
        <x:v>حدود سه چهارم از انرژی های تجدید پذیر در جهان شامل انرژی زیستی است که بیش از نیمی از آن شامل استفاده از زیست توده سنتی است. انرژی زیستی حدود 10٪ کل مصرف نهایی انرژی و 1.4٪ تولید برق جهانی را در سال 2015 به خود اختصاص داده است.</x:v>
      </x:c>
      <x:c r="H2451" s="39" t="str">
        <x:v>H12</x:v>
      </x:c>
      <x:c r="I2451" s="39" t="str">
        <x:v>P2</x:v>
      </x:c>
      <x:c r="J2451" s="39" t="str">
        <x:v>STRUCT</x:v>
      </x:c>
      <x:c r="K2451" s="39" t="str">
        <x:v>ساختار/برچسب</x:v>
      </x:c>
      <x:c r="L2451" s="39"/>
      <x:c r="M2451" s="39"/>
      <x:c r="N2451" s="39" t="str">
        <x:v>1154878548.docx::P7663.1 | 1154878548.docx::P7668.1</x:v>
      </x:c>
      <x:c r="O2451" s="39"/>
    </x:row>
    <x:row r="2452">
      <x:c r="A2452" s="34" t="str">
        <x:v>☐</x:v>
      </x:c>
      <x:c r="B2452" s="34" t="str">
        <x:v>EX-2424</x:v>
      </x:c>
      <x:c r="C2452" s="34" t="str">
        <x:v>قرمز</x:v>
      </x:c>
      <x:c r="D2452" s="34" t="str">
        <x:v>UNMAPPED</x:v>
      </x:c>
      <x:c r="E2452" s="34" t="str">
        <x:v>60.0</x:v>
      </x:c>
      <x:c r="F2452" s="34" t="str">
        <x:v>MI-1470</x:v>
      </x:c>
      <x:c r="G2452" s="39" t="str">
        <x:v>مهارت های نرم:</x:v>
      </x:c>
      <x:c r="H2452" s="39" t="str">
        <x:v>H1</x:v>
      </x:c>
      <x:c r="I2452" s="39" t="str">
        <x:v>P0</x:v>
      </x:c>
      <x:c r="J2452" s="39" t="str">
        <x:v>H23</x:v>
      </x:c>
      <x:c r="K2452" s="39" t="str">
        <x:v>نیازمند پالایش؛ حذف نشده</x:v>
      </x:c>
      <x:c r="L2452" s="39"/>
      <x:c r="M2452" s="39"/>
      <x:c r="N2452" s="39" t="str">
        <x:v>1154878548.docx::P7664.1</x:v>
      </x:c>
      <x:c r="O2452" s="39"/>
    </x:row>
    <x:row r="2453">
      <x:c r="A2453" s="34" t="str">
        <x:v>☐</x:v>
      </x:c>
      <x:c r="B2453" s="34" t="str">
        <x:v>EX-2425</x:v>
      </x:c>
      <x:c r="C2453" s="34" t="str">
        <x:v>A</x:v>
      </x:c>
      <x:c r="D2453" s="34" t="str">
        <x:v>POSSIBLE</x:v>
      </x:c>
      <x:c r="E2453" s="34" t="str">
        <x:v>90.0</x:v>
      </x:c>
      <x:c r="F2453" s="34" t="str">
        <x:v>MI-0113</x:v>
      </x:c>
      <x:c r="G2453" s="39" t="str">
        <x:v>flask</x:v>
      </x:c>
      <x:c r="H2453" s="39" t="str">
        <x:v>H1</x:v>
      </x:c>
      <x:c r="I2453" s="39" t="str">
        <x:v>P0</x:v>
      </x:c>
      <x:c r="J2453" s="39" t="str">
        <x:v>H1</x:v>
      </x:c>
      <x:c r="K2453" s="39" t="str">
        <x:v>تطبیق احتمالی با پایه</x:v>
      </x:c>
      <x:c r="L2453" s="39" t="str">
        <x:v>MI-0113</x:v>
      </x:c>
      <x:c r="M2453" s="39" t="str">
        <x:v>flask</x:v>
      </x:c>
      <x:c r="N2453" s="39" t="str">
        <x:v>1154878548.docx::P7665.1</x:v>
      </x:c>
      <x:c r="O2453" s="39"/>
    </x:row>
    <x:row r="2454">
      <x:c r="A2454" s="34" t="str">
        <x:v>☐</x:v>
      </x:c>
      <x:c r="B2454" s="34" t="str">
        <x:v>EX-2426</x:v>
      </x:c>
      <x:c r="C2454" s="34" t="str">
        <x:v>کلیدی و راهبردی</x:v>
      </x:c>
      <x:c r="D2454" s="34" t="str">
        <x:v>POSSIBLE</x:v>
      </x:c>
      <x:c r="E2454" s="34" t="str">
        <x:v>90.0</x:v>
      </x:c>
      <x:c r="F2454" s="34" t="str">
        <x:v>MI-0105</x:v>
      </x:c>
      <x:c r="G2454" s="39" t="str">
        <x:v>راهبر</x:v>
      </x:c>
      <x:c r="H2454" s="39" t="str">
        <x:v>H6</x:v>
      </x:c>
      <x:c r="I2454" s="39" t="str">
        <x:v>P3/CLARIFY</x:v>
      </x:c>
      <x:c r="J2454" s="39" t="str">
        <x:v>H6</x:v>
      </x:c>
      <x:c r="K2454" s="39" t="str">
        <x:v>تطبیق احتمالی با پایه</x:v>
      </x:c>
      <x:c r="L2454" s="39" t="str">
        <x:v>MI-0105</x:v>
      </x:c>
      <x:c r="M2454" s="39" t="str">
        <x:v>راهبر</x:v>
      </x:c>
      <x:c r="N2454" s="39" t="str">
        <x:v>1154878548.docx::P7666.1</x:v>
      </x:c>
      <x:c r="O2454" s="39"/>
    </x:row>
    <x:row r="2455">
      <x:c r="A2455" s="34" t="str">
        <x:v>☐</x:v>
      </x:c>
      <x:c r="B2455" s="34" t="str">
        <x:v>EX-2427</x:v>
      </x:c>
      <x:c r="C2455" s="34" t="str">
        <x:v>۸۵-۱۰۰</x:v>
      </x:c>
      <x:c r="D2455" s="34" t="str">
        <x:v>UNMAPPED</x:v>
      </x:c>
      <x:c r="E2455" s="34" t="str">
        <x:v>30.0</x:v>
      </x:c>
      <x:c r="F2455" s="34" t="str">
        <x:v>MI-0161</x:v>
      </x:c>
      <x:c r="G2455" s="39" t="str">
        <x:v>N&amp;N</x:v>
      </x:c>
      <x:c r="H2455" s="39" t="str">
        <x:v>H23</x:v>
      </x:c>
      <x:c r="I2455" s="39" t="str">
        <x:v>P3/CLARIFY</x:v>
      </x:c>
      <x:c r="J2455" s="39" t="str">
        <x:v>STRUCT</x:v>
      </x:c>
      <x:c r="K2455" s="39" t="str">
        <x:v>ساختار/برچسب</x:v>
      </x:c>
      <x:c r="L2455" s="39"/>
      <x:c r="M2455" s="39"/>
      <x:c r="N2455" s="39" t="str">
        <x:v>1154878548.docx::P7667.1</x:v>
      </x:c>
      <x:c r="O2455" s="39"/>
    </x:row>
    <x:row r="2456">
      <x:c r="A2456" s="34" t="str">
        <x:v>☐</x:v>
      </x:c>
      <x:c r="B2456" s="34" t="str">
        <x:v>EX-2428</x:v>
      </x:c>
      <x:c r="C2456" s="34" t="str">
        <x:v>طلایی</x:v>
      </x:c>
      <x:c r="D2456" s="34" t="str">
        <x:v>POSSIBLE</x:v>
      </x:c>
      <x:c r="E2456" s="34" t="str">
        <x:v>90.0</x:v>
      </x:c>
      <x:c r="F2456" s="34" t="str">
        <x:v>MI-1291</x:v>
      </x:c>
      <x:c r="G2456" s="39" t="str">
        <x:v>طلا</x:v>
      </x:c>
      <x:c r="H2456" s="39" t="str">
        <x:v>H12</x:v>
      </x:c>
      <x:c r="I2456" s="39" t="str">
        <x:v>P2</x:v>
      </x:c>
      <x:c r="J2456" s="39" t="str">
        <x:v>H12</x:v>
      </x:c>
      <x:c r="K2456" s="39" t="str">
        <x:v>تطبیق احتمالی با پایه</x:v>
      </x:c>
      <x:c r="L2456" s="39" t="str">
        <x:v>MI-1291</x:v>
      </x:c>
      <x:c r="M2456" s="39" t="str">
        <x:v>طلا</x:v>
      </x:c>
      <x:c r="N2456" s="39" t="str">
        <x:v>1154878548.docx::P7669.1</x:v>
      </x:c>
      <x:c r="O2456" s="39"/>
    </x:row>
    <x:row r="2457">
      <x:c r="A2457" s="34" t="str">
        <x:v>☐</x:v>
      </x:c>
      <x:c r="B2457" s="34" t="str">
        <x:v>EX-2429</x:v>
      </x:c>
      <x:c r="C2457" s="34" t="str">
        <x:v>شبکه اشتغال زایی</x:v>
      </x:c>
      <x:c r="D2457" s="34" t="str">
        <x:v>POSSIBLE</x:v>
      </x:c>
      <x:c r="E2457" s="34" t="str">
        <x:v>90.0</x:v>
      </x:c>
      <x:c r="F2457" s="34" t="str">
        <x:v>MI-2681</x:v>
      </x:c>
      <x:c r="G2457" s="39" t="str">
        <x:v>اشتغال</x:v>
      </x:c>
      <x:c r="H2457" s="39" t="str">
        <x:v>H20</x:v>
      </x:c>
      <x:c r="I2457" s="39" t="str">
        <x:v>P3/CLARIFY</x:v>
      </x:c>
      <x:c r="J2457" s="39" t="str">
        <x:v>H20</x:v>
      </x:c>
      <x:c r="K2457" s="39" t="str">
        <x:v>تطبیق احتمالی با پایه</x:v>
      </x:c>
      <x:c r="L2457" s="39" t="str">
        <x:v>MI-2681</x:v>
      </x:c>
      <x:c r="M2457" s="39" t="str">
        <x:v>اشتغال</x:v>
      </x:c>
      <x:c r="N2457" s="39" t="str">
        <x:v>1154878548.docx::P7670.1</x:v>
      </x:c>
      <x:c r="O2457" s="39"/>
    </x:row>
    <x:row r="2458">
      <x:c r="A2458" s="34" t="str">
        <x:v>☐</x:v>
      </x:c>
      <x:c r="B2458" s="34" t="str">
        <x:v>EX-2430</x:v>
      </x:c>
      <x:c r="C2458" s="34" t="str">
        <x:v>وظایف این سیستم</x:v>
      </x:c>
      <x:c r="D2458" s="34" t="str">
        <x:v>POSSIBLE</x:v>
      </x:c>
      <x:c r="E2458" s="34" t="str">
        <x:v>90.0</x:v>
      </x:c>
      <x:c r="F2458" s="34" t="str">
        <x:v>MI-2826</x:v>
      </x:c>
      <x:c r="G2458" s="39" t="str">
        <x:v>وظایف:</x:v>
      </x:c>
      <x:c r="H2458" s="39" t="str">
        <x:v>H20</x:v>
      </x:c>
      <x:c r="I2458" s="39" t="str">
        <x:v>P3/CLARIFY</x:v>
      </x:c>
      <x:c r="J2458" s="39" t="str">
        <x:v>H20</x:v>
      </x:c>
      <x:c r="K2458" s="39" t="str">
        <x:v>تطبیق احتمالی با پایه</x:v>
      </x:c>
      <x:c r="L2458" s="39" t="str">
        <x:v>MI-2826</x:v>
      </x:c>
      <x:c r="M2458" s="39" t="str">
        <x:v>وظایف:</x:v>
      </x:c>
      <x:c r="N2458" s="39" t="str">
        <x:v>1154878548.docx::P7671.1</x:v>
      </x:c>
      <x:c r="O2458" s="39"/>
    </x:row>
    <x:row r="2459">
      <x:c r="A2459" s="34" t="str">
        <x:v>☐</x:v>
      </x:c>
      <x:c r="B2459" s="34" t="str">
        <x:v>EX-2431</x:v>
      </x:c>
      <x:c r="C2459" s="34" t="str">
        <x:v>نقش ۲: موتور اتصال (وصل میکند عرضه به تقاضا)</x:v>
      </x:c>
      <x:c r="D2459" s="34" t="str">
        <x:v>POSSIBLE</x:v>
      </x:c>
      <x:c r="E2459" s="34" t="str">
        <x:v>85.5</x:v>
      </x:c>
      <x:c r="F2459" s="34" t="str">
        <x:v>MI-1448</x:v>
      </x:c>
      <x:c r="G2459" s="39" t="str">
        <x:v>پول هییت قبلا چوقدر هست دست من؟؟؟ قبلا 4,290 بوده . چقدر به سید دادم.</x:v>
      </x:c>
      <x:c r="H2459" s="39" t="str">
        <x:v>H1</x:v>
      </x:c>
      <x:c r="I2459" s="39" t="str">
        <x:v>P0</x:v>
      </x:c>
      <x:c r="J2459" s="39" t="str">
        <x:v>H1</x:v>
      </x:c>
      <x:c r="K2459" s="39" t="str">
        <x:v>تطبیق احتمالی با پایه</x:v>
      </x:c>
      <x:c r="L2459" s="39" t="str">
        <x:v>MI-1448</x:v>
      </x:c>
      <x:c r="M2459" s="39" t="str">
        <x:v>پول هییت قبلا چوقدر هست دست من؟؟؟ قبلا 4,290 بوده . چقدر به سید دادم.</x:v>
      </x:c>
      <x:c r="N2459" s="39" t="str">
        <x:v>1154878548.docx::P7672.1</x:v>
      </x:c>
      <x:c r="O2459" s="39"/>
    </x:row>
    <x:row r="2460">
      <x:c r="A2460" s="34" t="str">
        <x:v>☐</x:v>
      </x:c>
      <x:c r="B2460" s="34" t="str">
        <x:v>EX-2432</x:v>
      </x:c>
      <x:c r="C2460" s="34" t="str">
        <x:v>نقش ۳: شتابدهنده رشد (ارتقاء میدهد و نگه میدارد)</x:v>
      </x:c>
      <x:c r="D2460" s="34" t="str">
        <x:v>POSSIBLE</x:v>
      </x:c>
      <x:c r="E2460" s="34" t="str">
        <x:v>85.5</x:v>
      </x:c>
      <x:c r="F2460" s="34" t="str">
        <x:v>MI-0029</x:v>
      </x:c>
      <x:c r="G2460" s="39" t="str">
        <x:v>تدریس ریاضی و فیزیک</x:v>
      </x:c>
      <x:c r="H2460" s="39" t="str">
        <x:v>H1</x:v>
      </x:c>
      <x:c r="I2460" s="39" t="str">
        <x:v>P0</x:v>
      </x:c>
      <x:c r="J2460" s="39" t="str">
        <x:v>H1</x:v>
      </x:c>
      <x:c r="K2460" s="39" t="str">
        <x:v>تطبیق احتمالی با پایه</x:v>
      </x:c>
      <x:c r="L2460" s="39" t="str">
        <x:v>MI-0029</x:v>
      </x:c>
      <x:c r="M2460" s="39" t="str">
        <x:v>تدریس ریاضی و فیزیک</x:v>
      </x:c>
      <x:c r="N2460" s="39" t="str">
        <x:v>1154878548.docx::P7673.1</x:v>
      </x:c>
      <x:c r="O2460" s="39"/>
    </x:row>
    <x:row r="2461">
      <x:c r="A2461" s="34" t="str">
        <x:v>☐</x:v>
      </x:c>
      <x:c r="B2461" s="34" t="str">
        <x:v>EX-2433</x:v>
      </x:c>
      <x:c r="C2461" s="34" t="str">
        <x:v>نقش ۱: رصدخانه مهارت (میبیند چه داریم)</x:v>
      </x:c>
      <x:c r="D2461" s="34" t="str">
        <x:v>POSSIBLE</x:v>
      </x:c>
      <x:c r="E2461" s="34" t="str">
        <x:v>85.5</x:v>
      </x:c>
      <x:c r="F2461" s="34" t="str">
        <x:v>MI-0090</x:v>
      </x:c>
      <x:c r="G2461" s="39" t="str">
        <x:v>مهارت شبکه سازی</x:v>
      </x:c>
      <x:c r="H2461" s="39" t="str">
        <x:v>H1</x:v>
      </x:c>
      <x:c r="I2461" s="39" t="str">
        <x:v>P0</x:v>
      </x:c>
      <x:c r="J2461" s="39" t="str">
        <x:v>H1</x:v>
      </x:c>
      <x:c r="K2461" s="39" t="str">
        <x:v>تطبیق احتمالی با پایه</x:v>
      </x:c>
      <x:c r="L2461" s="39" t="str">
        <x:v>MI-0090</x:v>
      </x:c>
      <x:c r="M2461" s="39" t="str">
        <x:v>مهارت شبکه سازی</x:v>
      </x:c>
      <x:c r="N2461" s="39" t="str">
        <x:v>1154878548.docx::P7674.1</x:v>
      </x:c>
      <x:c r="O2461" s="39"/>
    </x:row>
    <x:row r="2462">
      <x:c r="A2462" s="34" t="str">
        <x:v>☐</x:v>
      </x:c>
      <x:c r="B2462" s="34" t="str">
        <x:v>EX-2434</x:v>
      </x:c>
      <x:c r="C2462" s="34" t="str">
        <x:v>بانک اطلاعاتی اصلی</x:v>
      </x:c>
      <x:c r="D2462" s="34" t="str">
        <x:v>POSSIBLE</x:v>
      </x:c>
      <x:c r="E2462" s="34" t="str">
        <x:v>90.0</x:v>
      </x:c>
      <x:c r="F2462" s="34" t="str">
        <x:v>MI-1291</x:v>
      </x:c>
      <x:c r="G2462" s="39" t="str">
        <x:v>طلا</x:v>
      </x:c>
      <x:c r="H2462" s="39" t="str">
        <x:v>H12</x:v>
      </x:c>
      <x:c r="I2462" s="39" t="str">
        <x:v>P2</x:v>
      </x:c>
      <x:c r="J2462" s="39" t="str">
        <x:v>H12</x:v>
      </x:c>
      <x:c r="K2462" s="39" t="str">
        <x:v>تطبیق احتمالی با پایه</x:v>
      </x:c>
      <x:c r="L2462" s="39" t="str">
        <x:v>MI-1291</x:v>
      </x:c>
      <x:c r="M2462" s="39" t="str">
        <x:v>طلا</x:v>
      </x:c>
      <x:c r="N2462" s="39" t="str">
        <x:v>1154878548.docx::P7675.1</x:v>
      </x:c>
      <x:c r="O2462" s="39"/>
    </x:row>
    <x:row r="2463">
      <x:c r="A2463" s="34" t="str">
        <x:v>☐</x:v>
      </x:c>
      <x:c r="B2463" s="34" t="str">
        <x:v>EX-2435</x:v>
      </x:c>
      <x:c r="C2463" s="34" t="str">
        <x:v>پرونده زنده هر فرد</x:v>
      </x:c>
      <x:c r="D2463" s="34" t="str">
        <x:v>POSSIBLE</x:v>
      </x:c>
      <x:c r="E2463" s="34" t="str">
        <x:v>85.5</x:v>
      </x:c>
      <x:c r="F2463" s="34" t="str">
        <x:v>MI-0658</x:v>
      </x:c>
      <x:c r="G2463" s="39" t="str">
        <x:v>اساتیدی که بشه کاری باشن و باهاشون کار کرد و لینک کردن فرد برای اینکه بتونه rfp بزنه</x:v>
      </x:c>
      <x:c r="H2463" s="39" t="str">
        <x:v>H9</x:v>
      </x:c>
      <x:c r="I2463" s="39" t="str">
        <x:v>P2</x:v>
      </x:c>
      <x:c r="J2463" s="39" t="str">
        <x:v>H9</x:v>
      </x:c>
      <x:c r="K2463" s="39" t="str">
        <x:v>تطبیق احتمالی با پایه</x:v>
      </x:c>
      <x:c r="L2463" s="39" t="str">
        <x:v>MI-0658</x:v>
      </x:c>
      <x:c r="M2463" s="39" t="str">
        <x:v>اساتیدی که بشه کاری باشن و باهاشون کار کرد و لینک کردن فرد برای اینکه بتونه rfp بزنه</x:v>
      </x:c>
      <x:c r="N2463" s="39" t="str">
        <x:v>1154878548.docx::P7677.1</x:v>
      </x:c>
      <x:c r="O2463" s="39"/>
    </x:row>
    <x:row r="2464">
      <x:c r="A2464" s="34" t="str">
        <x:v>☐</x:v>
      </x:c>
      <x:c r="B2464" s="34" t="str">
        <x:v>EX-2436</x:v>
      </x:c>
      <x:c r="C2464" s="34" t="str">
        <x:v>شناخت کامل سرمایه انسانی</x:v>
      </x:c>
      <x:c r="D2464" s="34" t="str">
        <x:v>POSSIBLE</x:v>
      </x:c>
      <x:c r="E2464" s="34" t="str">
        <x:v>90.0</x:v>
      </x:c>
      <x:c r="F2464" s="34" t="str">
        <x:v>MI-1735</x:v>
      </x:c>
      <x:c r="G2464" s="39" t="str">
        <x:v>سرمایه</x:v>
      </x:c>
      <x:c r="H2464" s="39" t="str">
        <x:v>H8</x:v>
      </x:c>
      <x:c r="I2464" s="39" t="str">
        <x:v>P2</x:v>
      </x:c>
      <x:c r="J2464" s="39" t="str">
        <x:v>H8</x:v>
      </x:c>
      <x:c r="K2464" s="39" t="str">
        <x:v>تطبیق احتمالی با پایه</x:v>
      </x:c>
      <x:c r="L2464" s="39" t="str">
        <x:v>MI-1735</x:v>
      </x:c>
      <x:c r="M2464" s="39" t="str">
        <x:v>سرمایه</x:v>
      </x:c>
      <x:c r="N2464" s="39" t="str">
        <x:v>1154878548.docx::P7678.1</x:v>
      </x:c>
      <x:c r="O2464" s="39"/>
    </x:row>
    <x:row r="2465">
      <x:c r="A2465" s="34" t="str">
        <x:v>☐</x:v>
      </x:c>
      <x:c r="B2465" s="34" t="str">
        <x:v>EX-2437</x:v>
      </x:c>
      <x:c r="C2465" s="34" t="str">
        <x:v>بانک مهارتها</x:v>
      </x:c>
      <x:c r="D2465" s="34" t="str">
        <x:v>POSSIBLE</x:v>
      </x:c>
      <x:c r="E2465" s="34" t="str">
        <x:v>85.5</x:v>
      </x:c>
      <x:c r="F2465" s="34" t="str">
        <x:v>MI-0224</x:v>
      </x:c>
      <x:c r="G2465" s="39" t="str">
        <x:v>مهارتها و مدارک تخصصی</x:v>
      </x:c>
      <x:c r="H2465" s="39" t="str">
        <x:v>H23</x:v>
      </x:c>
      <x:c r="I2465" s="39" t="str">
        <x:v>P3/CLARIFY</x:v>
      </x:c>
      <x:c r="J2465" s="39" t="str">
        <x:v>H23</x:v>
      </x:c>
      <x:c r="K2465" s="39" t="str">
        <x:v>تطبیق احتمالی با پایه</x:v>
      </x:c>
      <x:c r="L2465" s="39" t="str">
        <x:v>MI-0224</x:v>
      </x:c>
      <x:c r="M2465" s="39" t="str">
        <x:v>مهارتها و مدارک تخصصی</x:v>
      </x:c>
      <x:c r="N2465" s="39" t="str">
        <x:v>1154878548.docx::P7679.1</x:v>
      </x:c>
      <x:c r="O2465" s="39"/>
    </x:row>
    <x:row r="2466">
      <x:c r="A2466" s="34" t="str">
        <x:v>☐</x:v>
      </x:c>
      <x:c r="B2466" s="34" t="str">
        <x:v>EX-2438</x:v>
      </x:c>
      <x:c r="C2466" s="34" t="str">
        <x:v>گراف مهارتی استان</x:v>
      </x:c>
      <x:c r="D2466" s="34" t="str">
        <x:v>POSSIBLE</x:v>
      </x:c>
      <x:c r="E2466" s="34" t="str">
        <x:v>85.5</x:v>
      </x:c>
      <x:c r="F2466" s="34" t="str">
        <x:v>MI-2411</x:v>
      </x:c>
      <x:c r="G2466" s="39" t="str">
        <x:v>تمرکز: حل مسیله واقعی استان</x:v>
      </x:c>
      <x:c r="H2466" s="39" t="str">
        <x:v>H1</x:v>
      </x:c>
      <x:c r="I2466" s="39" t="str">
        <x:v>P0</x:v>
      </x:c>
      <x:c r="J2466" s="39" t="str">
        <x:v>H1</x:v>
      </x:c>
      <x:c r="K2466" s="39" t="str">
        <x:v>تطبیق احتمالی با پایه</x:v>
      </x:c>
      <x:c r="L2466" s="39" t="str">
        <x:v>MI-2411</x:v>
      </x:c>
      <x:c r="M2466" s="39" t="str">
        <x:v>تمرکز: حل مسیله واقعی استان</x:v>
      </x:c>
      <x:c r="N2466" s="39" t="str">
        <x:v>1154878548.docx::P7680.1</x:v>
      </x:c>
      <x:c r="O2466" s="39"/>
    </x:row>
    <x:row r="2467">
      <x:c r="A2467" s="34" t="str">
        <x:v>☐</x:v>
      </x:c>
      <x:c r="B2467" s="34" t="str">
        <x:v>EX-2439</x:v>
      </x:c>
      <x:c r="C2467" s="34" t="str">
        <x:v>نقشه توانمندیها</x:v>
      </x:c>
      <x:c r="D2467" s="34" t="str">
        <x:v>POSSIBLE</x:v>
      </x:c>
      <x:c r="E2467" s="34" t="str">
        <x:v>85.5</x:v>
      </x:c>
      <x:c r="F2467" s="34" t="str">
        <x:v>MI-1875</x:v>
      </x:c>
      <x:c r="G2467" s="39" t="str">
        <x:v>نقشه کامل اکوسیستم منابع انسانی (HR Ecosystem Map)</x:v>
      </x:c>
      <x:c r="H2467" s="39" t="str">
        <x:v>H10</x:v>
      </x:c>
      <x:c r="I2467" s="39" t="str">
        <x:v>P2</x:v>
      </x:c>
      <x:c r="J2467" s="39" t="str">
        <x:v>H10</x:v>
      </x:c>
      <x:c r="K2467" s="39" t="str">
        <x:v>تطبیق احتمالی با پایه</x:v>
      </x:c>
      <x:c r="L2467" s="39" t="str">
        <x:v>MI-1875</x:v>
      </x:c>
      <x:c r="M2467" s="39" t="str">
        <x:v>نقشه کامل اکوسیستم منابع انسانی (HR Ecosystem Map)</x:v>
      </x:c>
      <x:c r="N2467" s="39" t="str">
        <x:v>1154878548.docx::P7681.1</x:v>
      </x:c>
      <x:c r="O2467" s="39"/>
    </x:row>
    <x:row r="2468">
      <x:c r="A2468" s="34" t="str">
        <x:v>☐</x:v>
      </x:c>
      <x:c r="B2468" s="34" t="str">
        <x:v>EX-2440</x:v>
      </x:c>
      <x:c r="C2468" s="34" t="str">
        <x:v>بانک فرصتهای شغلی</x:v>
      </x:c>
      <x:c r="D2468" s="34" t="str">
        <x:v>POSSIBLE</x:v>
      </x:c>
      <x:c r="E2468" s="34" t="str">
        <x:v>85.5</x:v>
      </x:c>
      <x:c r="F2468" s="34" t="str">
        <x:v>MI-0676</x:v>
      </x:c>
      <x:c r="G2468" s="39" t="str">
        <x:v>پرکردن رزومه افراد متناسب با نیاز های شغلی</x:v>
      </x:c>
      <x:c r="H2468" s="39" t="str">
        <x:v>H3</x:v>
      </x:c>
      <x:c r="I2468" s="39" t="str">
        <x:v>P0/P1</x:v>
      </x:c>
      <x:c r="J2468" s="39" t="str">
        <x:v>H3</x:v>
      </x:c>
      <x:c r="K2468" s="39" t="str">
        <x:v>تطبیق احتمالی با پایه</x:v>
      </x:c>
      <x:c r="L2468" s="39" t="str">
        <x:v>MI-0676</x:v>
      </x:c>
      <x:c r="M2468" s="39" t="str">
        <x:v>پرکردن رزومه افراد متناسب با نیاز های شغلی</x:v>
      </x:c>
      <x:c r="N2468" s="39" t="str">
        <x:v>1154878548.docx::P7682.1</x:v>
      </x:c>
      <x:c r="O2468" s="39"/>
    </x:row>
    <x:row r="2469">
      <x:c r="A2469" s="34" t="str">
        <x:v>☐</x:v>
      </x:c>
      <x:c r="B2469" s="34" t="str">
        <x:v>EX-2441</x:v>
      </x:c>
      <x:c r="C2469" s="34" t="str">
        <x:v>آگهیهای روزانه</x:v>
      </x:c>
      <x:c r="D2469" s="34" t="str">
        <x:v>UNMAPPED</x:v>
      </x:c>
      <x:c r="E2469" s="34" t="str">
        <x:v>67.5</x:v>
      </x:c>
      <x:c r="F2469" s="34" t="str">
        <x:v>MI-0815</x:v>
      </x:c>
      <x:c r="G2469" s="39" t="str">
        <x:v>رسانه:</x:v>
      </x:c>
      <x:c r="H2469" s="39" t="str">
        <x:v>H11</x:v>
      </x:c>
      <x:c r="I2469" s="39" t="str">
        <x:v>DELEGATE/P2</x:v>
      </x:c>
      <x:c r="J2469" s="39" t="str">
        <x:v>H23</x:v>
      </x:c>
      <x:c r="K2469" s="39" t="str">
        <x:v>نیازمند پالایش؛ حذف نشده</x:v>
      </x:c>
      <x:c r="L2469" s="39"/>
      <x:c r="M2469" s="39"/>
      <x:c r="N2469" s="39" t="str">
        <x:v>1154878548.docx::P7683.1</x:v>
      </x:c>
      <x:c r="O2469" s="39"/>
    </x:row>
    <x:row r="2470">
      <x:c r="A2470" s="34" t="str">
        <x:v>☐</x:v>
      </x:c>
      <x:c r="B2470" s="34" t="str">
        <x:v>EX-2442</x:v>
      </x:c>
      <x:c r="C2470" s="34" t="str">
        <x:v>تطبیق هوشمند</x:v>
      </x:c>
      <x:c r="D2470" s="34" t="str">
        <x:v>POSSIBLE</x:v>
      </x:c>
      <x:c r="E2470" s="34" t="str">
        <x:v>90.0</x:v>
      </x:c>
      <x:c r="F2470" s="34" t="str">
        <x:v>MI-1087</x:v>
      </x:c>
      <x:c r="G2470" s="39" t="str">
        <x:v>هوشمند</x:v>
      </x:c>
      <x:c r="H2470" s="39" t="str">
        <x:v>H14</x:v>
      </x:c>
      <x:c r="I2470" s="39" t="str">
        <x:v>P3</x:v>
      </x:c>
      <x:c r="J2470" s="39" t="str">
        <x:v>H14</x:v>
      </x:c>
      <x:c r="K2470" s="39" t="str">
        <x:v>تطبیق احتمالی با پایه</x:v>
      </x:c>
      <x:c r="L2470" s="39" t="str">
        <x:v>MI-1087</x:v>
      </x:c>
      <x:c r="M2470" s="39" t="str">
        <x:v>هوشمند</x:v>
      </x:c>
      <x:c r="N2470" s="39" t="str">
        <x:v>1154878548.docx::P7684.1</x:v>
      </x:c>
      <x:c r="O2470" s="39"/>
    </x:row>
    <x:row r="2471">
      <x:c r="A2471" s="34" t="str">
        <x:v>☐</x:v>
      </x:c>
      <x:c r="B2471" s="34" t="str">
        <x:v>EX-2443</x:v>
      </x:c>
      <x:c r="C2471" s="34" t="str">
        <x:v>بانک منابع و شرکا</x:v>
      </x:c>
      <x:c r="D2471" s="34" t="str">
        <x:v>POSSIBLE</x:v>
      </x:c>
      <x:c r="E2471" s="34" t="str">
        <x:v>90.0</x:v>
      </x:c>
      <x:c r="F2471" s="34" t="str">
        <x:v>MI-2797</x:v>
      </x:c>
      <x:c r="G2471" s="39" t="str">
        <x:v>منابع:</x:v>
      </x:c>
      <x:c r="H2471" s="39" t="str">
        <x:v>H20</x:v>
      </x:c>
      <x:c r="I2471" s="39" t="str">
        <x:v>P3/CLARIFY</x:v>
      </x:c>
      <x:c r="J2471" s="39" t="str">
        <x:v>H20</x:v>
      </x:c>
      <x:c r="K2471" s="39" t="str">
        <x:v>تطبیق احتمالی با پایه</x:v>
      </x:c>
      <x:c r="L2471" s="39" t="str">
        <x:v>MI-2797</x:v>
      </x:c>
      <x:c r="M2471" s="39" t="str">
        <x:v>منابع:</x:v>
      </x:c>
      <x:c r="N2471" s="39" t="str">
        <x:v>1154878548.docx::P7685.1</x:v>
      </x:c>
      <x:c r="O2471" s="39"/>
    </x:row>
    <x:row r="2472">
      <x:c r="A2472" s="34" t="str">
        <x:v>☐</x:v>
      </x:c>
      <x:c r="B2472" s="34" t="str">
        <x:v>EX-2444</x:v>
      </x:c>
      <x:c r="C2472" s="34" t="str">
        <x:v>سمنها، کسبوکارها، اسپانسرها</x:v>
      </x:c>
      <x:c r="D2472" s="34" t="str">
        <x:v>UNMAPPED</x:v>
      </x:c>
      <x:c r="E2472" s="34" t="str">
        <x:v>81.8</x:v>
      </x:c>
      <x:c r="F2472" s="34" t="str">
        <x:v>MI-2949</x:v>
      </x:c>
      <x:c r="G2472" s="39" t="str">
        <x:v>سمن ها</x:v>
      </x:c>
      <x:c r="H2472" s="39" t="str">
        <x:v>H20</x:v>
      </x:c>
      <x:c r="I2472" s="39" t="str">
        <x:v>P3/CLARIFY</x:v>
      </x:c>
      <x:c r="J2472" s="39" t="str">
        <x:v>H23</x:v>
      </x:c>
      <x:c r="K2472" s="39" t="str">
        <x:v>نیازمند پالایش؛ حذف نشده</x:v>
      </x:c>
      <x:c r="L2472" s="39"/>
      <x:c r="M2472" s="39"/>
      <x:c r="N2472" s="39" t="str">
        <x:v>1154878548.docx::P7686.1</x:v>
      </x:c>
      <x:c r="O2472" s="39"/>
    </x:row>
    <x:row r="2473">
      <x:c r="A2473" s="34" t="str">
        <x:v>☐</x:v>
      </x:c>
      <x:c r="B2473" s="34" t="str">
        <x:v>EX-2445</x:v>
      </x:c>
      <x:c r="C2473" s="34" t="str">
        <x:v>اکوسیستم حمایتی</x:v>
      </x:c>
      <x:c r="D2473" s="34" t="str">
        <x:v>POSSIBLE</x:v>
      </x:c>
      <x:c r="E2473" s="34" t="str">
        <x:v>85.5</x:v>
      </x:c>
      <x:c r="F2473" s="34" t="str">
        <x:v>MI-2943</x:v>
      </x:c>
      <x:c r="G2473" s="39" t="str">
        <x:v>این تیم در واقع مغز تصمیم گیری اکوسیستم است.</x:v>
      </x:c>
      <x:c r="H2473" s="39" t="str">
        <x:v>H1</x:v>
      </x:c>
      <x:c r="I2473" s="39" t="str">
        <x:v>P0</x:v>
      </x:c>
      <x:c r="J2473" s="39" t="str">
        <x:v>H1</x:v>
      </x:c>
      <x:c r="K2473" s="39" t="str">
        <x:v>تطبیق احتمالی با پایه</x:v>
      </x:c>
      <x:c r="L2473" s="39" t="str">
        <x:v>MI-2943</x:v>
      </x:c>
      <x:c r="M2473" s="39" t="str">
        <x:v>این تیم در واقع مغز تصمیم گیری اکوسیستم است.</x:v>
      </x:c>
      <x:c r="N2473" s="39" t="str">
        <x:v>1154878548.docx::P7687.1</x:v>
      </x:c>
      <x:c r="O2473" s="39"/>
    </x:row>
    <x:row r="2474">
      <x:c r="A2474" s="34" t="str">
        <x:v>☐</x:v>
      </x:c>
      <x:c r="B2474" s="34" t="str">
        <x:v>EX-2446</x:v>
      </x:c>
      <x:c r="C2474" s="34" t="str">
        <x:v>بانک فعالیتها</x:v>
      </x:c>
      <x:c r="D2474" s="34" t="str">
        <x:v>UNMAPPED</x:v>
      </x:c>
      <x:c r="E2474" s="34" t="str">
        <x:v>72.3</x:v>
      </x:c>
      <x:c r="F2474" s="34" t="str">
        <x:v>MI-0222</x:v>
      </x:c>
      <x:c r="G2474" s="39" t="str">
        <x:v>فعالیتهای اجتماعی و ارتباطی</x:v>
      </x:c>
      <x:c r="H2474" s="39" t="str">
        <x:v>H4</x:v>
      </x:c>
      <x:c r="I2474" s="39" t="str">
        <x:v>P1</x:v>
      </x:c>
      <x:c r="J2474" s="39" t="str">
        <x:v>H23</x:v>
      </x:c>
      <x:c r="K2474" s="39" t="str">
        <x:v>نیازمند پالایش؛ حذف نشده</x:v>
      </x:c>
      <x:c r="L2474" s="39"/>
      <x:c r="M2474" s="39"/>
      <x:c r="N2474" s="39" t="str">
        <x:v>1154878548.docx::P7688.1</x:v>
      </x:c>
      <x:c r="O2474" s="39"/>
    </x:row>
    <x:row r="2475">
      <x:c r="A2475" s="34" t="str">
        <x:v>☐</x:v>
      </x:c>
      <x:c r="B2475" s="34" t="str">
        <x:v>EX-2447</x:v>
      </x:c>
      <x:c r="C2475" s="34" t="str">
        <x:v>رویدادها، دورهها، پروژهها</x:v>
      </x:c>
      <x:c r="D2475" s="34" t="str">
        <x:v>POSSIBLE</x:v>
      </x:c>
      <x:c r="E2475" s="34" t="str">
        <x:v>90.0</x:v>
      </x:c>
      <x:c r="F2475" s="34" t="str">
        <x:v>MI-2951</x:v>
      </x:c>
      <x:c r="G2475" s="39" t="str">
        <x:v>رویدادها</x:v>
      </x:c>
      <x:c r="H2475" s="39" t="str">
        <x:v>H20</x:v>
      </x:c>
      <x:c r="I2475" s="39" t="str">
        <x:v>P3/CLARIFY</x:v>
      </x:c>
      <x:c r="J2475" s="39" t="str">
        <x:v>H20</x:v>
      </x:c>
      <x:c r="K2475" s="39" t="str">
        <x:v>تطبیق احتمالی با پایه</x:v>
      </x:c>
      <x:c r="L2475" s="39" t="str">
        <x:v>MI-2951</x:v>
      </x:c>
      <x:c r="M2475" s="39" t="str">
        <x:v>رویدادها</x:v>
      </x:c>
      <x:c r="N2475" s="39" t="str">
        <x:v>1154878548.docx::P7689.1</x:v>
      </x:c>
      <x:c r="O2475" s="39"/>
    </x:row>
    <x:row r="2476">
      <x:c r="A2476" s="34" t="str">
        <x:v>☐</x:v>
      </x:c>
      <x:c r="B2476" s="34" t="str">
        <x:v>EX-2448</x:v>
      </x:c>
      <x:c r="C2476" s="34" t="str">
        <x:v>تعامل و رشد</x:v>
      </x:c>
      <x:c r="D2476" s="34" t="str">
        <x:v>POSSIBLE</x:v>
      </x:c>
      <x:c r="E2476" s="34" t="str">
        <x:v>90.0</x:v>
      </x:c>
      <x:c r="F2476" s="34" t="str">
        <x:v>MI-2713</x:v>
      </x:c>
      <x:c r="G2476" s="39" t="str">
        <x:v>تعامل</x:v>
      </x:c>
      <x:c r="H2476" s="39" t="str">
        <x:v>H4</x:v>
      </x:c>
      <x:c r="I2476" s="39" t="str">
        <x:v>P1</x:v>
      </x:c>
      <x:c r="J2476" s="39" t="str">
        <x:v>H4</x:v>
      </x:c>
      <x:c r="K2476" s="39" t="str">
        <x:v>تطبیق احتمالی با پایه</x:v>
      </x:c>
      <x:c r="L2476" s="39" t="str">
        <x:v>MI-2713</x:v>
      </x:c>
      <x:c r="M2476" s="39" t="str">
        <x:v>تعامل</x:v>
      </x:c>
      <x:c r="N2476" s="39" t="str">
        <x:v>1154878548.docx::P7690.1</x:v>
      </x:c>
      <x:c r="O2476" s="39"/>
    </x:row>
    <x:row r="2477">
      <x:c r="A2477" s="34" t="str">
        <x:v>☐</x:v>
      </x:c>
      <x:c r="B2477" s="34" t="str">
        <x:v>EX-2449</x:v>
      </x:c>
      <x:c r="C2477" s="34" t="str">
        <x:v>وامها، درخواستها، اولویتها</x:v>
      </x:c>
      <x:c r="D2477" s="34" t="str">
        <x:v>UNMAPPED</x:v>
      </x:c>
      <x:c r="E2477" s="34" t="str">
        <x:v>67.5</x:v>
      </x:c>
      <x:c r="F2477" s="34" t="str">
        <x:v>MI-1324</x:v>
      </x:c>
      <x:c r="G2477" s="39" t="str">
        <x:v>وانت</x:v>
      </x:c>
      <x:c r="H2477" s="39" t="str">
        <x:v>H12</x:v>
      </x:c>
      <x:c r="I2477" s="39" t="str">
        <x:v>P2</x:v>
      </x:c>
      <x:c r="J2477" s="39" t="str">
        <x:v>H23</x:v>
      </x:c>
      <x:c r="K2477" s="39" t="str">
        <x:v>نیازمند پالایش؛ حذف نشده</x:v>
      </x:c>
      <x:c r="L2477" s="39"/>
      <x:c r="M2477" s="39"/>
      <x:c r="N2477" s="39" t="str">
        <x:v>1154878548.docx::P7692.1</x:v>
      </x:c>
      <x:c r="O2477" s="39"/>
    </x:row>
    <x:row r="2478">
      <x:c r="A2478" s="34" t="str">
        <x:v>☐</x:v>
      </x:c>
      <x:c r="B2478" s="34" t="str">
        <x:v>EX-2450</x:v>
      </x:c>
      <x:c r="C2478" s="34" t="str">
        <x:v>حمایت مالی</x:v>
      </x:c>
      <x:c r="D2478" s="34" t="str">
        <x:v>POSSIBLE</x:v>
      </x:c>
      <x:c r="E2478" s="34" t="str">
        <x:v>85.5</x:v>
      </x:c>
      <x:c r="F2478" s="34" t="str">
        <x:v>MI-1510</x:v>
      </x:c>
      <x:c r="G2478" s="39" t="str">
        <x:v>دانش مالی: درک مفاهیم مالی، آشنایی با انواع سرمایه گذاری ها.</x:v>
      </x:c>
      <x:c r="H2478" s="39" t="str">
        <x:v>H1</x:v>
      </x:c>
      <x:c r="I2478" s="39" t="str">
        <x:v>P0</x:v>
      </x:c>
      <x:c r="J2478" s="39" t="str">
        <x:v>H1</x:v>
      </x:c>
      <x:c r="K2478" s="39" t="str">
        <x:v>تطبیق احتمالی با پایه</x:v>
      </x:c>
      <x:c r="L2478" s="39" t="str">
        <x:v>MI-1510</x:v>
      </x:c>
      <x:c r="M2478" s="39" t="str">
        <x:v>دانش مالی: درک مفاهیم مالی، آشنایی با انواع سرمایه گذاری ها.</x:v>
      </x:c>
      <x:c r="N2478" s="39" t="str">
        <x:v>1154878548.docx::P7693.1</x:v>
      </x:c>
      <x:c r="O2478" s="39"/>
    </x:row>
    <x:row r="2479">
      <x:c r="A2479" s="34" t="str">
        <x:v>☐</x:v>
      </x:c>
      <x:c r="B2479" s="34" t="str">
        <x:v>EX-2451</x:v>
      </x:c>
      <x:c r="C2479" s="34" t="str">
        <x:v>اکوسیستم هوشمند استعداد و سامانه مدیریت سرمایه انسانی</x:v>
      </x:c>
      <x:c r="D2479" s="34" t="str">
        <x:v>POSSIBLE</x:v>
      </x:c>
      <x:c r="E2479" s="34" t="str">
        <x:v>90.0</x:v>
      </x:c>
      <x:c r="F2479" s="34" t="str">
        <x:v>MI-1732</x:v>
      </x:c>
      <x:c r="G2479" s="39" t="str">
        <x:v>استعداد</x:v>
      </x:c>
      <x:c r="H2479" s="39" t="str">
        <x:v>H10</x:v>
      </x:c>
      <x:c r="I2479" s="39" t="str">
        <x:v>P2</x:v>
      </x:c>
      <x:c r="J2479" s="39" t="str">
        <x:v>H10</x:v>
      </x:c>
      <x:c r="K2479" s="39" t="str">
        <x:v>تطبیق احتمالی با پایه</x:v>
      </x:c>
      <x:c r="L2479" s="39" t="str">
        <x:v>MI-1732</x:v>
      </x:c>
      <x:c r="M2479" s="39" t="str">
        <x:v>استعداد</x:v>
      </x:c>
      <x:c r="N2479" s="39" t="str">
        <x:v>1154878548.docx::P7724.1</x:v>
      </x:c>
      <x:c r="O2479" s="39"/>
    </x:row>
    <x:row r="2480">
      <x:c r="A2480" s="34" t="str">
        <x:v>☐</x:v>
      </x:c>
      <x:c r="B2480" s="34" t="str">
        <x:v>EX-2452</x:v>
      </x:c>
      <x:c r="C2480" s="34" t="str">
        <x:v>چشم‌انداز استراتژیک و هدف اصلی</x:v>
      </x:c>
      <x:c r="D2480" s="34" t="str">
        <x:v>POSSIBLE</x:v>
      </x:c>
      <x:c r="E2480" s="34" t="str">
        <x:v>85.5</x:v>
      </x:c>
      <x:c r="F2480" s="34" t="str">
        <x:v>MI-1513</x:v>
      </x:c>
      <x:c r="G2480" s="39" t="str">
        <x:v>تولید و کارآفرینی: توانایی تولید محصول و خدمات و ایجاد شغل.</x:v>
      </x:c>
      <x:c r="H2480" s="39" t="str">
        <x:v>H1</x:v>
      </x:c>
      <x:c r="I2480" s="39" t="str">
        <x:v>P0</x:v>
      </x:c>
      <x:c r="J2480" s="39" t="str">
        <x:v>H1</x:v>
      </x:c>
      <x:c r="K2480" s="39" t="str">
        <x:v>تطبیق احتمالی با پایه</x:v>
      </x:c>
      <x:c r="L2480" s="39" t="str">
        <x:v>MI-1513</x:v>
      </x:c>
      <x:c r="M2480" s="39" t="str">
        <x:v>تولید و کارآفرینی: توانایی تولید محصول و خدمات و ایجاد شغل.</x:v>
      </x:c>
      <x:c r="N2480" s="39" t="str">
        <x:v>1154878548.docx::P7725.1</x:v>
      </x:c>
      <x:c r="O2480" s="39"/>
    </x:row>
    <x:row r="2481">
      <x:c r="A2481" s="34" t="str">
        <x:v>☐</x:v>
      </x:c>
      <x:c r="B2481" s="34" t="str">
        <x:v>EX-2453</x:v>
      </x:c>
      <x:c r="C2481" s="34" t="str">
        <x:v>از کنترل HR به توانمندسازی استعداد</x:v>
      </x:c>
      <x:c r="D2481" s="34" t="str">
        <x:v>POSSIBLE</x:v>
      </x:c>
      <x:c r="E2481" s="34" t="str">
        <x:v>90.0</x:v>
      </x:c>
      <x:c r="F2481" s="34" t="str">
        <x:v>MI-1732</x:v>
      </x:c>
      <x:c r="G2481" s="39" t="str">
        <x:v>استعداد</x:v>
      </x:c>
      <x:c r="H2481" s="39" t="str">
        <x:v>H10</x:v>
      </x:c>
      <x:c r="I2481" s="39" t="str">
        <x:v>P2</x:v>
      </x:c>
      <x:c r="J2481" s="39" t="str">
        <x:v>H10</x:v>
      </x:c>
      <x:c r="K2481" s="39" t="str">
        <x:v>تطبیق احتمالی با پایه</x:v>
      </x:c>
      <x:c r="L2481" s="39" t="str">
        <x:v>MI-1732</x:v>
      </x:c>
      <x:c r="M2481" s="39" t="str">
        <x:v>استعداد</x:v>
      </x:c>
      <x:c r="N2481" s="39" t="str">
        <x:v>1154878548.docx::P7726.1</x:v>
      </x:c>
      <x:c r="O2481" s="39"/>
    </x:row>
    <x:row r="2482">
      <x:c r="A2482" s="34" t="str">
        <x:v>☐</x:v>
      </x:c>
      <x:c r="B2482" s="34" t="str">
        <x:v>EX-2454</x:v>
      </x:c>
      <x:c r="C2482" s="34" t="str">
        <x:v>سامانه از رصد و اعمال سیاست‌های نگهداری به سمت توانمندسازی رشد، تجربه و خلق ارزش در یک اکوسیستم استعداد حرکت می‌کند</x:v>
      </x:c>
      <x:c r="D2482" s="34" t="str">
        <x:v>POSSIBLE</x:v>
      </x:c>
      <x:c r="E2482" s="34" t="str">
        <x:v>85.5</x:v>
      </x:c>
      <x:c r="F2482" s="34" t="str">
        <x:v>MI-1513</x:v>
      </x:c>
      <x:c r="G2482" s="39" t="str">
        <x:v>تولید و کارآفرینی: توانایی تولید محصول و خدمات و ایجاد شغل.</x:v>
      </x:c>
      <x:c r="H2482" s="39" t="str">
        <x:v>H1</x:v>
      </x:c>
      <x:c r="I2482" s="39" t="str">
        <x:v>P0</x:v>
      </x:c>
      <x:c r="J2482" s="39" t="str">
        <x:v>H1</x:v>
      </x:c>
      <x:c r="K2482" s="39" t="str">
        <x:v>تطبیق احتمالی با پایه</x:v>
      </x:c>
      <x:c r="L2482" s="39" t="str">
        <x:v>MI-1513</x:v>
      </x:c>
      <x:c r="M2482" s="39" t="str">
        <x:v>تولید و کارآفرینی: توانایی تولید محصول و خدمات و ایجاد شغل.</x:v>
      </x:c>
      <x:c r="N2482" s="39" t="str">
        <x:v>1154878548.docx::P7727.1</x:v>
      </x:c>
      <x:c r="O2482" s="39"/>
    </x:row>
    <x:row r="2483">
      <x:c r="A2483" s="34" t="str">
        <x:v>☐</x:v>
      </x:c>
      <x:c r="B2483" s="34" t="str">
        <x:v>EX-2455</x:v>
      </x:c>
      <x:c r="C2483" s="34" t="str">
        <x:v>افراد به‌عنوان سرمایه‌گذاران زمان و مهارت دیده می‌شوند نه دارایی‌های متعلق؛ پس پلتفرم باید توسعه، جابجایی و مشارکت را بهینه کند</x:v>
      </x:c>
      <x:c r="D2483" s="34" t="str">
        <x:v>POSSIBLE</x:v>
      </x:c>
      <x:c r="E2483" s="34" t="str">
        <x:v>85.5</x:v>
      </x:c>
      <x:c r="F2483" s="34" t="str">
        <x:v>MI-1501</x:v>
      </x:c>
      <x:c r="G2483" s="39" t="str">
        <x:v>مدیریت ریسک: شناسایی ریسک ها، ارزیابی اثرات، تدوین برنامه های مقابله با ریسک ها.</x:v>
      </x:c>
      <x:c r="H2483" s="39" t="str">
        <x:v>H1</x:v>
      </x:c>
      <x:c r="I2483" s="39" t="str">
        <x:v>P0</x:v>
      </x:c>
      <x:c r="J2483" s="39" t="str">
        <x:v>H1</x:v>
      </x:c>
      <x:c r="K2483" s="39" t="str">
        <x:v>تطبیق احتمالی با پایه</x:v>
      </x:c>
      <x:c r="L2483" s="39" t="str">
        <x:v>MI-1501</x:v>
      </x:c>
      <x:c r="M2483" s="39" t="str">
        <x:v>مدیریت ریسک: شناسایی ریسک ها، ارزیابی اثرات، تدوین برنامه های مقابله با ریسک ها.</x:v>
      </x:c>
      <x:c r="N2483" s="39" t="str">
        <x:v>1154878548.docx::P7728.1</x:v>
      </x:c>
      <x:c r="O2483" s="39"/>
    </x:row>
    <x:row r="2484">
      <x:c r="A2484" s="34" t="str">
        <x:v>☐</x:v>
      </x:c>
      <x:c r="B2484" s="34" t="str">
        <x:v>EX-2456</x:v>
      </x:c>
      <x:c r="C2484" s="34" t="str">
        <x:v>مدیریت سرمایه انسانی به یک اکوسیستم شبکه‌ای تبدیل می‌شود که استعداد، یادگیری، فرصت‌های کاری، انگیزه‌ها و مشارکت اجتماعی را به هم متصل می‌کند</x:v>
      </x:c>
      <x:c r="D2484" s="34" t="str">
        <x:v>POSSIBLE</x:v>
      </x:c>
      <x:c r="E2484" s="34" t="str">
        <x:v>85.5</x:v>
      </x:c>
      <x:c r="F2484" s="34" t="str">
        <x:v>MI-1501</x:v>
      </x:c>
      <x:c r="G2484" s="39" t="str">
        <x:v>مدیریت ریسک: شناسایی ریسک ها، ارزیابی اثرات، تدوین برنامه های مقابله با ریسک ها.</x:v>
      </x:c>
      <x:c r="H2484" s="39" t="str">
        <x:v>H1</x:v>
      </x:c>
      <x:c r="I2484" s="39" t="str">
        <x:v>P0</x:v>
      </x:c>
      <x:c r="J2484" s="39" t="str">
        <x:v>H1</x:v>
      </x:c>
      <x:c r="K2484" s="39" t="str">
        <x:v>تطبیق احتمالی با پایه</x:v>
      </x:c>
      <x:c r="L2484" s="39" t="str">
        <x:v>MI-1501</x:v>
      </x:c>
      <x:c r="M2484" s="39" t="str">
        <x:v>مدیریت ریسک: شناسایی ریسک ها، ارزیابی اثرات، تدوین برنامه های مقابله با ریسک ها.</x:v>
      </x:c>
      <x:c r="N2484" s="39" t="str">
        <x:v>1154878548.docx::P7729.1</x:v>
      </x:c>
      <x:c r="O2484" s="39"/>
    </x:row>
    <x:row r="2485">
      <x:c r="A2485" s="34" t="str">
        <x:v>☐</x:v>
      </x:c>
      <x:c r="B2485" s="34" t="str">
        <x:v>EX-2457</x:v>
      </x:c>
      <x:c r="C2485" s="34" t="str">
        <x:v>اهداف تجاری و اجتماعی اولیه</x:v>
      </x:c>
      <x:c r="D2485" s="34" t="str">
        <x:v>POSSIBLE</x:v>
      </x:c>
      <x:c r="E2485" s="34" t="str">
        <x:v>90.0</x:v>
      </x:c>
      <x:c r="F2485" s="34" t="str">
        <x:v>MI-0288</x:v>
      </x:c>
      <x:c r="G2485" s="39" t="str">
        <x:v>اجتماعی</x:v>
      </x:c>
      <x:c r="H2485" s="39" t="str">
        <x:v>H15</x:v>
      </x:c>
      <x:c r="I2485" s="39" t="str">
        <x:v>P3/CLARIFY</x:v>
      </x:c>
      <x:c r="J2485" s="39" t="str">
        <x:v>H15</x:v>
      </x:c>
      <x:c r="K2485" s="39" t="str">
        <x:v>تطبیق احتمالی با پایه</x:v>
      </x:c>
      <x:c r="L2485" s="39" t="str">
        <x:v>MI-0288</x:v>
      </x:c>
      <x:c r="M2485" s="39" t="str">
        <x:v>اجتماعی</x:v>
      </x:c>
      <x:c r="N2485" s="39" t="str">
        <x:v>1154878548.docx::P7730.1</x:v>
      </x:c>
      <x:c r="O2485" s="39"/>
    </x:row>
    <x:row r="2486">
      <x:c r="A2486" s="34" t="str">
        <x:v>☐</x:v>
      </x:c>
      <x:c r="B2486" s="34" t="str">
        <x:v>EX-2458</x:v>
      </x:c>
      <x:c r="C2486" s="34" t="str">
        <x:v>پلتفرم باید به کشف، جذب، حفظ و رشد افراد به‌طور همزمان کمک کند، نه به‌عنوان فعالیت‌های جدا و ایزوله</x:v>
      </x:c>
      <x:c r="D2486" s="34" t="str">
        <x:v>POSSIBLE</x:v>
      </x:c>
      <x:c r="E2486" s="34" t="str">
        <x:v>85.5</x:v>
      </x:c>
      <x:c r="F2486" s="34" t="str">
        <x:v>MI-1513</x:v>
      </x:c>
      <x:c r="G2486" s="39" t="str">
        <x:v>تولید و کارآفرینی: توانایی تولید محصول و خدمات و ایجاد شغل.</x:v>
      </x:c>
      <x:c r="H2486" s="39" t="str">
        <x:v>H1</x:v>
      </x:c>
      <x:c r="I2486" s="39" t="str">
        <x:v>P0</x:v>
      </x:c>
      <x:c r="J2486" s="39" t="str">
        <x:v>H1</x:v>
      </x:c>
      <x:c r="K2486" s="39" t="str">
        <x:v>تطبیق احتمالی با پایه</x:v>
      </x:c>
      <x:c r="L2486" s="39" t="str">
        <x:v>MI-1513</x:v>
      </x:c>
      <x:c r="M2486" s="39" t="str">
        <x:v>تولید و کارآفرینی: توانایی تولید محصول و خدمات و ایجاد شغل.</x:v>
      </x:c>
      <x:c r="N2486" s="39" t="str">
        <x:v>1154878548.docx::P7731.1</x:v>
      </x:c>
      <x:c r="O2486" s="39"/>
    </x:row>
    <x:row r="2487">
      <x:c r="A2487" s="34" t="str">
        <x:v>☐</x:v>
      </x:c>
      <x:c r="B2487" s="34" t="str">
        <x:v>EX-2459</x:v>
      </x:c>
      <x:c r="C2487" s="34" t="str">
        <x:v>باید از توسعه فردی و هماهنگی جمعی شبکه از طریق یک زیرساخت یکپارچه شبیه CRM پشتیبانی کند</x:v>
      </x:c>
      <x:c r="D2487" s="34" t="str">
        <x:v>POSSIBLE</x:v>
      </x:c>
      <x:c r="E2487" s="34" t="str">
        <x:v>85.5</x:v>
      </x:c>
      <x:c r="F2487" s="34" t="str">
        <x:v>MI-1513</x:v>
      </x:c>
      <x:c r="G2487" s="39" t="str">
        <x:v>تولید و کارآفرینی: توانایی تولید محصول و خدمات و ایجاد شغل.</x:v>
      </x:c>
      <x:c r="H2487" s="39" t="str">
        <x:v>H1</x:v>
      </x:c>
      <x:c r="I2487" s="39" t="str">
        <x:v>P0</x:v>
      </x:c>
      <x:c r="J2487" s="39" t="str">
        <x:v>H1</x:v>
      </x:c>
      <x:c r="K2487" s="39" t="str">
        <x:v>تطبیق احتمالی با پایه</x:v>
      </x:c>
      <x:c r="L2487" s="39" t="str">
        <x:v>MI-1513</x:v>
      </x:c>
      <x:c r="M2487" s="39" t="str">
        <x:v>تولید و کارآفرینی: توانایی تولید محصول و خدمات و ایجاد شغل.</x:v>
      </x:c>
      <x:c r="N2487" s="39" t="str">
        <x:v>1154878548.docx::P7732.1</x:v>
      </x:c>
      <x:c r="O2487" s="39"/>
    </x:row>
    <x:row r="2488">
      <x:c r="A2488" s="34" t="str">
        <x:v>☐</x:v>
      </x:c>
      <x:c r="B2488" s="34" t="str">
        <x:v>EX-2460</x:v>
      </x:c>
      <x:c r="C2488" s="34" t="str">
        <x:v>همچنین باید به‌عنوان درگاهی به اکوسیستم مدنی، علمی و کسب‌وکارِ استان از طریق NGOها، شرکت‌ها، اسپانسرها و رویدادها عمل کند</x:v>
      </x:c>
      <x:c r="D2488" s="34" t="str">
        <x:v>POSSIBLE</x:v>
      </x:c>
      <x:c r="E2488" s="34" t="str">
        <x:v>85.5</x:v>
      </x:c>
      <x:c r="F2488" s="34" t="str">
        <x:v>MI-1501</x:v>
      </x:c>
      <x:c r="G2488" s="39" t="str">
        <x:v>مدیریت ریسک: شناسایی ریسک ها، ارزیابی اثرات، تدوین برنامه های مقابله با ریسک ها.</x:v>
      </x:c>
      <x:c r="H2488" s="39" t="str">
        <x:v>H1</x:v>
      </x:c>
      <x:c r="I2488" s="39" t="str">
        <x:v>P0</x:v>
      </x:c>
      <x:c r="J2488" s="39" t="str">
        <x:v>H1</x:v>
      </x:c>
      <x:c r="K2488" s="39" t="str">
        <x:v>تطبیق احتمالی با پایه</x:v>
      </x:c>
      <x:c r="L2488" s="39" t="str">
        <x:v>MI-1501</x:v>
      </x:c>
      <x:c r="M2488" s="39" t="str">
        <x:v>مدیریت ریسک: شناسایی ریسک ها، ارزیابی اثرات، تدوین برنامه های مقابله با ریسک ها.</x:v>
      </x:c>
      <x:c r="N2488" s="39" t="str">
        <x:v>1154878548.docx::P7733.1</x:v>
      </x:c>
      <x:c r="O2488" s="39"/>
    </x:row>
    <x:row r="2489">
      <x:c r="A2489" s="34" t="str">
        <x:v>☐</x:v>
      </x:c>
      <x:c r="B2489" s="34" t="str">
        <x:v>EX-2461</x:v>
      </x:c>
      <x:c r="C2489" s="34" t="str">
        <x:v>عملیات چرخه عمر استعداد</x:v>
      </x:c>
      <x:c r="D2489" s="34" t="str">
        <x:v>POSSIBLE</x:v>
      </x:c>
      <x:c r="E2489" s="34" t="str">
        <x:v>90.0</x:v>
      </x:c>
      <x:c r="F2489" s="34" t="str">
        <x:v>MI-1732</x:v>
      </x:c>
      <x:c r="G2489" s="39" t="str">
        <x:v>استعداد</x:v>
      </x:c>
      <x:c r="H2489" s="39" t="str">
        <x:v>H10</x:v>
      </x:c>
      <x:c r="I2489" s="39" t="str">
        <x:v>P2</x:v>
      </x:c>
      <x:c r="J2489" s="39" t="str">
        <x:v>H10</x:v>
      </x:c>
      <x:c r="K2489" s="39" t="str">
        <x:v>تطبیق احتمالی با پایه</x:v>
      </x:c>
      <x:c r="L2489" s="39" t="str">
        <x:v>MI-1732</x:v>
      </x:c>
      <x:c r="M2489" s="39" t="str">
        <x:v>استعداد</x:v>
      </x:c>
      <x:c r="N2489" s="39" t="str">
        <x:v>1154878548.docx::P7734.1</x:v>
      </x:c>
      <x:c r="O2489" s="39"/>
    </x:row>
    <x:row r="2490">
      <x:c r="A2490" s="34" t="str">
        <x:v>☐</x:v>
      </x:c>
      <x:c r="B2490" s="34" t="str">
        <x:v>EX-2462</x:v>
      </x:c>
      <x:c r="C2490" s="34" t="str">
        <x:v>جریان جذب و ورود (Recruitment and onboarding flow)</x:v>
      </x:c>
      <x:c r="D2490" s="34" t="str">
        <x:v>POSSIBLE</x:v>
      </x:c>
      <x:c r="E2490" s="34" t="str">
        <x:v>85.5</x:v>
      </x:c>
      <x:c r="F2490" s="34" t="str">
        <x:v>MI-0029</x:v>
      </x:c>
      <x:c r="G2490" s="39" t="str">
        <x:v>تدریس ریاضی و فیزیک</x:v>
      </x:c>
      <x:c r="H2490" s="39" t="str">
        <x:v>H1</x:v>
      </x:c>
      <x:c r="I2490" s="39" t="str">
        <x:v>P0</x:v>
      </x:c>
      <x:c r="J2490" s="39" t="str">
        <x:v>H1</x:v>
      </x:c>
      <x:c r="K2490" s="39" t="str">
        <x:v>تطبیق احتمالی با پایه</x:v>
      </x:c>
      <x:c r="L2490" s="39" t="str">
        <x:v>MI-0029</x:v>
      </x:c>
      <x:c r="M2490" s="39" t="str">
        <x:v>تدریس ریاضی و فیزیک</x:v>
      </x:c>
      <x:c r="N2490" s="39" t="str">
        <x:v>1154878548.docx::P7735.1</x:v>
      </x:c>
      <x:c r="O2490" s="39"/>
    </x:row>
    <x:row r="2491">
      <x:c r="A2491" s="34" t="str">
        <x:v>☐</x:v>
      </x:c>
      <x:c r="B2491" s="34" t="str">
        <x:v>EX-2463</x:v>
      </x:c>
      <x:c r="C2491" s="34" t="str">
        <x:v>برای هر فرد باید یک پرونده جداگانه باز شود تا سازمان بتواند هویت، نقش، وضعیت و پیشرفت را به‌صورت لایه‌ای پیگیری کند</x:v>
      </x:c>
      <x:c r="D2491" s="34" t="str">
        <x:v>POSSIBLE</x:v>
      </x:c>
      <x:c r="E2491" s="34" t="str">
        <x:v>85.5</x:v>
      </x:c>
      <x:c r="F2491" s="34" t="str">
        <x:v>MI-1513</x:v>
      </x:c>
      <x:c r="G2491" s="39" t="str">
        <x:v>تولید و کارآفرینی: توانایی تولید محصول و خدمات و ایجاد شغل.</x:v>
      </x:c>
      <x:c r="H2491" s="39" t="str">
        <x:v>H1</x:v>
      </x:c>
      <x:c r="I2491" s="39" t="str">
        <x:v>P0</x:v>
      </x:c>
      <x:c r="J2491" s="39" t="str">
        <x:v>H1</x:v>
      </x:c>
      <x:c r="K2491" s="39" t="str">
        <x:v>تطبیق احتمالی با پایه</x:v>
      </x:c>
      <x:c r="L2491" s="39" t="str">
        <x:v>MI-1513</x:v>
      </x:c>
      <x:c r="M2491" s="39" t="str">
        <x:v>تولید و کارآفرینی: توانایی تولید محصول و خدمات و ایجاد شغل.</x:v>
      </x:c>
      <x:c r="N2491" s="39" t="str">
        <x:v>1154878548.docx::P7736.1</x:v>
      </x:c>
      <x:c r="O2491" s="39"/>
    </x:row>
    <x:row r="2492">
      <x:c r="A2492" s="34" t="str">
        <x:v>☐</x:v>
      </x:c>
      <x:c r="B2492" s="34" t="str">
        <x:v>EX-2464</x:v>
      </x:c>
      <x:c r="C2492" s="34" t="str">
        <x:v>سیستم باید افراد را بر اساس تناسب، استعداد، اخلاق، علایق و محل مؤثرترین مشارکت طبقه‌بندی کند</x:v>
      </x:c>
      <x:c r="D2492" s="34" t="str">
        <x:v>POSSIBLE</x:v>
      </x:c>
      <x:c r="E2492" s="34" t="str">
        <x:v>85.5</x:v>
      </x:c>
      <x:c r="F2492" s="34" t="str">
        <x:v>MI-1513</x:v>
      </x:c>
      <x:c r="G2492" s="39" t="str">
        <x:v>تولید و کارآفرینی: توانایی تولید محصول و خدمات و ایجاد شغل.</x:v>
      </x:c>
      <x:c r="H2492" s="39" t="str">
        <x:v>H1</x:v>
      </x:c>
      <x:c r="I2492" s="39" t="str">
        <x:v>P0</x:v>
      </x:c>
      <x:c r="J2492" s="39" t="str">
        <x:v>H1</x:v>
      </x:c>
      <x:c r="K2492" s="39" t="str">
        <x:v>تطبیق احتمالی با پایه</x:v>
      </x:c>
      <x:c r="L2492" s="39" t="str">
        <x:v>MI-1513</x:v>
      </x:c>
      <x:c r="M2492" s="39" t="str">
        <x:v>تولید و کارآفرینی: توانایی تولید محصول و خدمات و ایجاد شغل.</x:v>
      </x:c>
      <x:c r="N2492" s="39" t="str">
        <x:v>1154878548.docx::P7737.1</x:v>
      </x:c>
      <x:c r="O2492" s="39"/>
    </x:row>
    <x:row r="2493">
      <x:c r="A2493" s="34" t="str">
        <x:v>☐</x:v>
      </x:c>
      <x:c r="B2493" s="34" t="str">
        <x:v>EX-2465</x:v>
      </x:c>
      <x:c r="C2493" s="34" t="str">
        <x:v>تازه‌واردان باید بلافاصله پس از رویدادها، کمپین‌ها یا جذب‌ها به گروه‌های مرتبط تقسیم شوند تا پیگیری سریع و نظام‌مند باشد</x:v>
      </x:c>
      <x:c r="D2493" s="34" t="str">
        <x:v>POSSIBLE</x:v>
      </x:c>
      <x:c r="E2493" s="34" t="str">
        <x:v>85.5</x:v>
      </x:c>
      <x:c r="F2493" s="34" t="str">
        <x:v>MI-1501</x:v>
      </x:c>
      <x:c r="G2493" s="39" t="str">
        <x:v>مدیریت ریسک: شناسایی ریسک ها، ارزیابی اثرات، تدوین برنامه های مقابله با ریسک ها.</x:v>
      </x:c>
      <x:c r="H2493" s="39" t="str">
        <x:v>H1</x:v>
      </x:c>
      <x:c r="I2493" s="39" t="str">
        <x:v>P0</x:v>
      </x:c>
      <x:c r="J2493" s="39" t="str">
        <x:v>H1</x:v>
      </x:c>
      <x:c r="K2493" s="39" t="str">
        <x:v>تطبیق احتمالی با پایه</x:v>
      </x:c>
      <x:c r="L2493" s="39" t="str">
        <x:v>MI-1501</x:v>
      </x:c>
      <x:c r="M2493" s="39" t="str">
        <x:v>مدیریت ریسک: شناسایی ریسک ها، ارزیابی اثرات، تدوین برنامه های مقابله با ریسک ها.</x:v>
      </x:c>
      <x:c r="N2493" s="39" t="str">
        <x:v>1154878548.docx::P7738.1</x:v>
      </x:c>
      <x:c r="O2493" s="39"/>
    </x:row>
    <x:row r="2494">
      <x:c r="A2494" s="34" t="str">
        <x:v>☐</x:v>
      </x:c>
      <x:c r="B2494" s="34" t="str">
        <x:v>EX-2466</x:v>
      </x:c>
      <x:c r="C2494" s="34" t="str">
        <x:v>حفظ و مدیریت رابطه</x:v>
      </x:c>
      <x:c r="D2494" s="34" t="str">
        <x:v>POSSIBLE</x:v>
      </x:c>
      <x:c r="E2494" s="34" t="str">
        <x:v>85.5</x:v>
      </x:c>
      <x:c r="F2494" s="34" t="str">
        <x:v>MI-1501</x:v>
      </x:c>
      <x:c r="G2494" s="39" t="str">
        <x:v>مدیریت ریسک: شناسایی ریسک ها، ارزیابی اثرات، تدوین برنامه های مقابله با ریسک ها.</x:v>
      </x:c>
      <x:c r="H2494" s="39" t="str">
        <x:v>H1</x:v>
      </x:c>
      <x:c r="I2494" s="39" t="str">
        <x:v>P0</x:v>
      </x:c>
      <x:c r="J2494" s="39" t="str">
        <x:v>H1</x:v>
      </x:c>
      <x:c r="K2494" s="39" t="str">
        <x:v>تطبیق احتمالی با پایه</x:v>
      </x:c>
      <x:c r="L2494" s="39" t="str">
        <x:v>MI-1501</x:v>
      </x:c>
      <x:c r="M2494" s="39" t="str">
        <x:v>مدیریت ریسک: شناسایی ریسک ها، ارزیابی اثرات، تدوین برنامه های مقابله با ریسک ها.</x:v>
      </x:c>
      <x:c r="N2494" s="39" t="str">
        <x:v>1154878548.docx::P7739.1</x:v>
      </x:c>
      <x:c r="O2494" s="39"/>
    </x:row>
    <x:row r="2495">
      <x:c r="A2495" s="34" t="str">
        <x:v>☐</x:v>
      </x:c>
      <x:c r="B2495" s="34" t="str">
        <x:v>EX-2467</x:v>
      </x:c>
      <x:c r="C2495" s="34" t="str">
        <x:v>حفظ باید از طریق تماس‌های مکرر مانند پیام‌رسانی، ارتباط گروهی، دنبال‌کردن و محتوای منتخب مدیریت شود</x:v>
      </x:c>
      <x:c r="D2495" s="34" t="str">
        <x:v>POSSIBLE</x:v>
      </x:c>
      <x:c r="E2495" s="34" t="str">
        <x:v>85.5</x:v>
      </x:c>
      <x:c r="F2495" s="34" t="str">
        <x:v>MI-1503</x:v>
      </x:c>
      <x:c r="G2495" s="39" t="str">
        <x:v>مدیریت زمان: اولویت بندی، برنامه ریزی، تمرکز.</x:v>
      </x:c>
      <x:c r="H2495" s="39" t="str">
        <x:v>H1</x:v>
      </x:c>
      <x:c r="I2495" s="39" t="str">
        <x:v>P0</x:v>
      </x:c>
      <x:c r="J2495" s="39" t="str">
        <x:v>H1</x:v>
      </x:c>
      <x:c r="K2495" s="39" t="str">
        <x:v>تطبیق احتمالی با پایه</x:v>
      </x:c>
      <x:c r="L2495" s="39" t="str">
        <x:v>MI-1503</x:v>
      </x:c>
      <x:c r="M2495" s="39" t="str">
        <x:v>مدیریت زمان: اولویت بندی، برنامه ریزی، تمرکز.</x:v>
      </x:c>
      <x:c r="N2495" s="39" t="str">
        <x:v>1154878548.docx::P7740.1</x:v>
      </x:c>
      <x:c r="O2495" s="39"/>
    </x:row>
    <x:row r="2496">
      <x:c r="A2496" s="34" t="str">
        <x:v>☐</x:v>
      </x:c>
      <x:c r="B2496" s="34" t="str">
        <x:v>EX-2468</x:v>
      </x:c>
      <x:c r="C2496" s="34" t="str">
        <x:v>پلتفرم باید بداند چه کسی به تماس ماهانه، هفتگی یا مکررتر نیاز دارد و برنامه‌ریزی تماس‌ها را مطابق آن انجام دهد</x:v>
      </x:c>
      <x:c r="D2496" s="34" t="str">
        <x:v>POSSIBLE</x:v>
      </x:c>
      <x:c r="E2496" s="34" t="str">
        <x:v>85.5</x:v>
      </x:c>
      <x:c r="F2496" s="34" t="str">
        <x:v>MI-0179</x:v>
      </x:c>
      <x:c r="G2496" s="39" t="str">
        <x:v>برنامه ریزی شهری</x:v>
      </x:c>
      <x:c r="H2496" s="39" t="str">
        <x:v>H1</x:v>
      </x:c>
      <x:c r="I2496" s="39" t="str">
        <x:v>P0</x:v>
      </x:c>
      <x:c r="J2496" s="39" t="str">
        <x:v>H1</x:v>
      </x:c>
      <x:c r="K2496" s="39" t="str">
        <x:v>تطبیق احتمالی با پایه</x:v>
      </x:c>
      <x:c r="L2496" s="39" t="str">
        <x:v>MI-0179</x:v>
      </x:c>
      <x:c r="M2496" s="39" t="str">
        <x:v>برنامه ریزی شهری</x:v>
      </x:c>
      <x:c r="N2496" s="39" t="str">
        <x:v>1154878548.docx::P7741.1</x:v>
      </x:c>
      <x:c r="O2496" s="39"/>
    </x:row>
    <x:row r="2497">
      <x:c r="A2497" s="34" t="str">
        <x:v>☐</x:v>
      </x:c>
      <x:c r="B2497" s="34" t="str">
        <x:v>EX-2469</x:v>
      </x:c>
      <x:c r="C2497" s="34" t="str">
        <x:v>همچنین باید بی‌تعهدی، مدارک ناقص یا پاسخ‌های تأخیر را تشخیص دهد و یادآوری‌ها یا مداخلات را فعال کند</x:v>
      </x:c>
      <x:c r="D2497" s="34" t="str">
        <x:v>POSSIBLE</x:v>
      </x:c>
      <x:c r="E2497" s="34" t="str">
        <x:v>85.5</x:v>
      </x:c>
      <x:c r="F2497" s="34" t="str">
        <x:v>MI-1513</x:v>
      </x:c>
      <x:c r="G2497" s="39" t="str">
        <x:v>تولید و کارآفرینی: توانایی تولید محصول و خدمات و ایجاد شغل.</x:v>
      </x:c>
      <x:c r="H2497" s="39" t="str">
        <x:v>H1</x:v>
      </x:c>
      <x:c r="I2497" s="39" t="str">
        <x:v>P0</x:v>
      </x:c>
      <x:c r="J2497" s="39" t="str">
        <x:v>H1</x:v>
      </x:c>
      <x:c r="K2497" s="39" t="str">
        <x:v>تطبیق احتمالی با پایه</x:v>
      </x:c>
      <x:c r="L2497" s="39" t="str">
        <x:v>MI-1513</x:v>
      </x:c>
      <x:c r="M2497" s="39" t="str">
        <x:v>تولید و کارآفرینی: توانایی تولید محصول و خدمات و ایجاد شغل.</x:v>
      </x:c>
      <x:c r="N2497" s="39" t="str">
        <x:v>1154878548.docx::P7742.1</x:v>
      </x:c>
      <x:c r="O2497" s="39"/>
    </x:row>
    <x:row r="2498">
      <x:c r="A2498" s="34" t="str">
        <x:v>☐</x:v>
      </x:c>
      <x:c r="B2498" s="34" t="str">
        <x:v>EX-2470</x:v>
      </x:c>
      <x:c r="C2498" s="34" t="str">
        <x:v>رشد و جابجایی مجدد</x:v>
      </x:c>
      <x:c r="D2498" s="34" t="str">
        <x:v>POSSIBLE</x:v>
      </x:c>
      <x:c r="E2498" s="34" t="str">
        <x:v>85.5</x:v>
      </x:c>
      <x:c r="F2498" s="34" t="str">
        <x:v>MI-1513</x:v>
      </x:c>
      <x:c r="G2498" s="39" t="str">
        <x:v>تولید و کارآفرینی: توانایی تولید محصول و خدمات و ایجاد شغل.</x:v>
      </x:c>
      <x:c r="H2498" s="39" t="str">
        <x:v>H1</x:v>
      </x:c>
      <x:c r="I2498" s="39" t="str">
        <x:v>P0</x:v>
      </x:c>
      <x:c r="J2498" s="39" t="str">
        <x:v>H1</x:v>
      </x:c>
      <x:c r="K2498" s="39" t="str">
        <x:v>تطبیق احتمالی با پایه</x:v>
      </x:c>
      <x:c r="L2498" s="39" t="str">
        <x:v>MI-1513</x:v>
      </x:c>
      <x:c r="M2498" s="39" t="str">
        <x:v>تولید و کارآفرینی: توانایی تولید محصول و خدمات و ایجاد شغل.</x:v>
      </x:c>
      <x:c r="N2498" s="39" t="str">
        <x:v>1154878548.docx::P7743.1</x:v>
      </x:c>
      <x:c r="O2498" s="39"/>
    </x:row>
    <x:row r="2499">
      <x:c r="A2499" s="34" t="str">
        <x:v>☐</x:v>
      </x:c>
      <x:c r="B2499" s="34" t="str">
        <x:v>EX-2471</x:v>
      </x:c>
      <x:c r="C2499" s="34" t="str">
        <x:v>استعداد باید از طریق دوره‌های هدفمند، کوچینگ، سمینارها و مداخلات یادگیری هماهنگ با نیازهای فعلی توسعه یابد</x:v>
      </x:c>
      <x:c r="D2499" s="34" t="str">
        <x:v>POSSIBLE</x:v>
      </x:c>
      <x:c r="E2499" s="34" t="str">
        <x:v>85.5</x:v>
      </x:c>
      <x:c r="F2499" s="34" t="str">
        <x:v>MI-1513</x:v>
      </x:c>
      <x:c r="G2499" s="39" t="str">
        <x:v>تولید و کارآفرینی: توانایی تولید محصول و خدمات و ایجاد شغل.</x:v>
      </x:c>
      <x:c r="H2499" s="39" t="str">
        <x:v>H1</x:v>
      </x:c>
      <x:c r="I2499" s="39" t="str">
        <x:v>P0</x:v>
      </x:c>
      <x:c r="J2499" s="39" t="str">
        <x:v>H1</x:v>
      </x:c>
      <x:c r="K2499" s="39" t="str">
        <x:v>تطبیق احتمالی با پایه</x:v>
      </x:c>
      <x:c r="L2499" s="39" t="str">
        <x:v>MI-1513</x:v>
      </x:c>
      <x:c r="M2499" s="39" t="str">
        <x:v>تولید و کارآفرینی: توانایی تولید محصول و خدمات و ایجاد شغل.</x:v>
      </x:c>
      <x:c r="N2499" s="39" t="str">
        <x:v>1154878548.docx::P7744.1</x:v>
      </x:c>
      <x:c r="O2499" s="39"/>
    </x:row>
    <x:row r="2500">
      <x:c r="A2500" s="34" t="str">
        <x:v>☐</x:v>
      </x:c>
      <x:c r="B2500" s="34" t="str">
        <x:v>EX-2472</x:v>
      </x:c>
      <x:c r="C2500" s="34" t="str">
        <x:v>سیستم باید پیگیری کند هر فرد در تیم چه وضعیتی دارد، پروژه تا چه حد پیش رفته و چه حمایتی نیاز دارد</x:v>
      </x:c>
      <x:c r="D2500" s="34" t="str">
        <x:v>POSSIBLE</x:v>
      </x:c>
      <x:c r="E2500" s="34" t="str">
        <x:v>85.5</x:v>
      </x:c>
      <x:c r="F2500" s="34" t="str">
        <x:v>MI-1513</x:v>
      </x:c>
      <x:c r="G2500" s="39" t="str">
        <x:v>تولید و کارآفرینی: توانایی تولید محصول و خدمات و ایجاد شغل.</x:v>
      </x:c>
      <x:c r="H2500" s="39" t="str">
        <x:v>H1</x:v>
      </x:c>
      <x:c r="I2500" s="39" t="str">
        <x:v>P0</x:v>
      </x:c>
      <x:c r="J2500" s="39" t="str">
        <x:v>H1</x:v>
      </x:c>
      <x:c r="K2500" s="39" t="str">
        <x:v>تطبیق احتمالی با پایه</x:v>
      </x:c>
      <x:c r="L2500" s="39" t="str">
        <x:v>MI-1513</x:v>
      </x:c>
      <x:c r="M2500" s="39" t="str">
        <x:v>تولید و کارآفرینی: توانایی تولید محصول و خدمات و ایجاد شغل.</x:v>
      </x:c>
      <x:c r="N2500" s="39" t="str">
        <x:v>1154878548.docx::P7745.1</x:v>
      </x:c>
      <x:c r="O2500" s="39"/>
    </x:row>
    <x:row r="2501">
      <x:c r="A2501" s="34" t="str">
        <x:v>☐</x:v>
      </x:c>
      <x:c r="B2501" s="34" t="str">
        <x:v>EX-2473</x:v>
      </x:c>
      <x:c r="C2501" s="34" t="str">
        <x:v>باید پاسخ دهد که در حال حاضر افراد کجا بیشترین فایده را دارند و پس از کسب مهارت‌ها به کجا منتقل شوند</x:v>
      </x:c>
      <x:c r="D2501" s="34" t="str">
        <x:v>POSSIBLE</x:v>
      </x:c>
      <x:c r="E2501" s="34" t="str">
        <x:v>85.5</x:v>
      </x:c>
      <x:c r="F2501" s="34" t="str">
        <x:v>MI-1513</x:v>
      </x:c>
      <x:c r="G2501" s="39" t="str">
        <x:v>تولید و کارآفرینی: توانایی تولید محصول و خدمات و ایجاد شغل.</x:v>
      </x:c>
      <x:c r="H2501" s="39" t="str">
        <x:v>H1</x:v>
      </x:c>
      <x:c r="I2501" s="39" t="str">
        <x:v>P0</x:v>
      </x:c>
      <x:c r="J2501" s="39" t="str">
        <x:v>H1</x:v>
      </x:c>
      <x:c r="K2501" s="39" t="str">
        <x:v>تطبیق احتمالی با پایه</x:v>
      </x:c>
      <x:c r="L2501" s="39" t="str">
        <x:v>MI-1513</x:v>
      </x:c>
      <x:c r="M2501" s="39" t="str">
        <x:v>تولید و کارآفرینی: توانایی تولید محصول و خدمات و ایجاد شغل.</x:v>
      </x:c>
      <x:c r="N2501" s="39" t="str">
        <x:v>1154878548.docx::P7746.1</x:v>
      </x:c>
      <x:c r="O2501" s="39"/>
    </x:row>
    <x:row r="2502">
      <x:c r="A2502" s="34" t="str">
        <x:v>☐</x:v>
      </x:c>
      <x:c r="B2502" s="34" t="str">
        <x:v>EX-2474</x:v>
      </x:c>
      <x:c r="C2502" s="34" t="str">
        <x:v>داده‌ها، پروفایل‌ها و هوش سازمانی</x:v>
      </x:c>
      <x:c r="D2502" s="34" t="str">
        <x:v>POSSIBLE</x:v>
      </x:c>
      <x:c r="E2502" s="34" t="str">
        <x:v>85.5</x:v>
      </x:c>
      <x:c r="F2502" s="34" t="str">
        <x:v>MI-1501</x:v>
      </x:c>
      <x:c r="G2502" s="39" t="str">
        <x:v>مدیریت ریسک: شناسایی ریسک ها، ارزیابی اثرات، تدوین برنامه های مقابله با ریسک ها.</x:v>
      </x:c>
      <x:c r="H2502" s="39" t="str">
        <x:v>H1</x:v>
      </x:c>
      <x:c r="I2502" s="39" t="str">
        <x:v>P0</x:v>
      </x:c>
      <x:c r="J2502" s="39" t="str">
        <x:v>H1</x:v>
      </x:c>
      <x:c r="K2502" s="39" t="str">
        <x:v>تطبیق احتمالی با پایه</x:v>
      </x:c>
      <x:c r="L2502" s="39" t="str">
        <x:v>MI-1501</x:v>
      </x:c>
      <x:c r="M2502" s="39" t="str">
        <x:v>مدیریت ریسک: شناسایی ریسک ها، ارزیابی اثرات، تدوین برنامه های مقابله با ریسک ها.</x:v>
      </x:c>
      <x:c r="N2502" s="39" t="str">
        <x:v>1154878548.docx::P7747.1</x:v>
      </x:c>
      <x:c r="O2502" s="39"/>
    </x:row>
    <x:row r="2503">
      <x:c r="A2503" s="34" t="str">
        <x:v>☐</x:v>
      </x:c>
      <x:c r="B2503" s="34" t="str">
        <x:v>EX-2475</x:v>
      </x:c>
      <x:c r="C2503" s="34" t="str">
        <x:v>لایه‌های پروفایل شخصی و رویدادهای زندگی</x:v>
      </x:c>
      <x:c r="D2503" s="34" t="str">
        <x:v>POSSIBLE</x:v>
      </x:c>
      <x:c r="E2503" s="34" t="str">
        <x:v>90.0</x:v>
      </x:c>
      <x:c r="F2503" s="34" t="str">
        <x:v>MI-0596</x:v>
      </x:c>
      <x:c r="G2503" s="39" t="str">
        <x:v>زندگی</x:v>
      </x:c>
      <x:c r="H2503" s="39" t="str">
        <x:v>H18</x:v>
      </x:c>
      <x:c r="I2503" s="39" t="str">
        <x:v>BANK</x:v>
      </x:c>
      <x:c r="J2503" s="39" t="str">
        <x:v>H18</x:v>
      </x:c>
      <x:c r="K2503" s="39" t="str">
        <x:v>تطبیق احتمالی با پایه</x:v>
      </x:c>
      <x:c r="L2503" s="39" t="str">
        <x:v>MI-0596</x:v>
      </x:c>
      <x:c r="M2503" s="39" t="str">
        <x:v>زندگی</x:v>
      </x:c>
      <x:c r="N2503" s="39" t="str">
        <x:v>1154878548.docx::P7748.1</x:v>
      </x:c>
      <x:c r="O2503" s="39"/>
    </x:row>
    <x:row r="2504">
      <x:c r="A2504" s="34" t="str">
        <x:v>☐</x:v>
      </x:c>
      <x:c r="B2504" s="34" t="str">
        <x:v>EX-2476</x:v>
      </x:c>
      <x:c r="C2504" s="34" t="str">
        <x:v>هر پروفایل باید شامل تاریخ تولد، سالگرد ازدواج، تولد فرزندان، زمینه خانوادگی و سایر رویدادهای مهم باشد</x:v>
      </x:c>
      <x:c r="D2504" s="34" t="str">
        <x:v>POSSIBLE</x:v>
      </x:c>
      <x:c r="E2504" s="34" t="str">
        <x:v>85.5</x:v>
      </x:c>
      <x:c r="F2504" s="34" t="str">
        <x:v>MI-1513</x:v>
      </x:c>
      <x:c r="G2504" s="39" t="str">
        <x:v>تولید و کارآفرینی: توانایی تولید محصول و خدمات و ایجاد شغل.</x:v>
      </x:c>
      <x:c r="H2504" s="39" t="str">
        <x:v>H1</x:v>
      </x:c>
      <x:c r="I2504" s="39" t="str">
        <x:v>P0</x:v>
      </x:c>
      <x:c r="J2504" s="39" t="str">
        <x:v>H1</x:v>
      </x:c>
      <x:c r="K2504" s="39" t="str">
        <x:v>تطبیق احتمالی با پایه</x:v>
      </x:c>
      <x:c r="L2504" s="39" t="str">
        <x:v>MI-1513</x:v>
      </x:c>
      <x:c r="M2504" s="39" t="str">
        <x:v>تولید و کارآفرینی: توانایی تولید محصول و خدمات و ایجاد شغل.</x:v>
      </x:c>
      <x:c r="N2504" s="39" t="str">
        <x:v>1154878548.docx::P7749.1</x:v>
      </x:c>
      <x:c r="O2504" s="39"/>
    </x:row>
    <x:row r="2505">
      <x:c r="A2505" s="34" t="str">
        <x:v>☐</x:v>
      </x:c>
      <x:c r="B2505" s="34" t="str">
        <x:v>EX-2477</x:v>
      </x:c>
      <x:c r="C2505" s="34" t="str">
        <x:v>سیستم باید حقوق، وضعیت مالی، موقعیت شغلی، عضویت تیم و مسئولیت‌های جاری سازمانی را ذخیره کند</x:v>
      </x:c>
      <x:c r="D2505" s="34" t="str">
        <x:v>POSSIBLE</x:v>
      </x:c>
      <x:c r="E2505" s="34" t="str">
        <x:v>85.5</x:v>
      </x:c>
      <x:c r="F2505" s="34" t="str">
        <x:v>MI-1513</x:v>
      </x:c>
      <x:c r="G2505" s="39" t="str">
        <x:v>تولید و کارآفرینی: توانایی تولید محصول و خدمات و ایجاد شغل.</x:v>
      </x:c>
      <x:c r="H2505" s="39" t="str">
        <x:v>H1</x:v>
      </x:c>
      <x:c r="I2505" s="39" t="str">
        <x:v>P0</x:v>
      </x:c>
      <x:c r="J2505" s="39" t="str">
        <x:v>H1</x:v>
      </x:c>
      <x:c r="K2505" s="39" t="str">
        <x:v>تطبیق احتمالی با پایه</x:v>
      </x:c>
      <x:c r="L2505" s="39" t="str">
        <x:v>MI-1513</x:v>
      </x:c>
      <x:c r="M2505" s="39" t="str">
        <x:v>تولید و کارآفرینی: توانایی تولید محصول و خدمات و ایجاد شغل.</x:v>
      </x:c>
      <x:c r="N2505" s="39" t="str">
        <x:v>1154878548.docx::P7750.1</x:v>
      </x:c>
      <x:c r="O2505" s="39"/>
    </x:row>
    <x:row r="2506">
      <x:c r="A2506" s="34" t="str">
        <x:v>☐</x:v>
      </x:c>
      <x:c r="B2506" s="34" t="str">
        <x:v>EX-2478</x:v>
      </x:c>
      <x:c r="C2506" s="34" t="str">
        <x:v>باید همچنین رزومه‌های ارسال شده، یادداشت‌های مصاحبه، تعاملات تاریخی و سوابق مرتبط با نقش را ضبط کند</x:v>
      </x:c>
      <x:c r="D2506" s="34" t="str">
        <x:v>POSSIBLE</x:v>
      </x:c>
      <x:c r="E2506" s="34" t="str">
        <x:v>85.5</x:v>
      </x:c>
      <x:c r="F2506" s="34" t="str">
        <x:v>MI-1513</x:v>
      </x:c>
      <x:c r="G2506" s="39" t="str">
        <x:v>تولید و کارآفرینی: توانایی تولید محصول و خدمات و ایجاد شغل.</x:v>
      </x:c>
      <x:c r="H2506" s="39" t="str">
        <x:v>H1</x:v>
      </x:c>
      <x:c r="I2506" s="39" t="str">
        <x:v>P0</x:v>
      </x:c>
      <x:c r="J2506" s="39" t="str">
        <x:v>H1</x:v>
      </x:c>
      <x:c r="K2506" s="39" t="str">
        <x:v>تطبیق احتمالی با پایه</x:v>
      </x:c>
      <x:c r="L2506" s="39" t="str">
        <x:v>MI-1513</x:v>
      </x:c>
      <x:c r="M2506" s="39" t="str">
        <x:v>تولید و کارآفرینی: توانایی تولید محصول و خدمات و ایجاد شغل.</x:v>
      </x:c>
      <x:c r="N2506" s="39" t="str">
        <x:v>1154878548.docx::P7751.1</x:v>
      </x:c>
      <x:c r="O2506" s="39"/>
    </x:row>
    <x:row r="2507">
      <x:c r="A2507" s="34" t="str">
        <x:v>☐</x:v>
      </x:c>
      <x:c r="B2507" s="34" t="str">
        <x:v>EX-2479</x:v>
      </x:c>
      <x:c r="C2507" s="34" t="str">
        <x:v>سوابق استعداد، مهارت و یادگیری</x:v>
      </x:c>
      <x:c r="D2507" s="34" t="str">
        <x:v>POSSIBLE</x:v>
      </x:c>
      <x:c r="E2507" s="34" t="str">
        <x:v>90.0</x:v>
      </x:c>
      <x:c r="F2507" s="34" t="str">
        <x:v>MI-1732</x:v>
      </x:c>
      <x:c r="G2507" s="39" t="str">
        <x:v>استعداد</x:v>
      </x:c>
      <x:c r="H2507" s="39" t="str">
        <x:v>H10</x:v>
      </x:c>
      <x:c r="I2507" s="39" t="str">
        <x:v>P2</x:v>
      </x:c>
      <x:c r="J2507" s="39" t="str">
        <x:v>H10</x:v>
      </x:c>
      <x:c r="K2507" s="39" t="str">
        <x:v>تطبیق احتمالی با پایه</x:v>
      </x:c>
      <x:c r="L2507" s="39" t="str">
        <x:v>MI-1732</x:v>
      </x:c>
      <x:c r="M2507" s="39" t="str">
        <x:v>استعداد</x:v>
      </x:c>
      <x:c r="N2507" s="39" t="str">
        <x:v>1154878548.docx::P7752.1</x:v>
      </x:c>
      <x:c r="O2507" s="39"/>
    </x:row>
    <x:row r="2508">
      <x:c r="A2508" s="34" t="str">
        <x:v>☐</x:v>
      </x:c>
      <x:c r="B2508" s="34" t="str">
        <x:v>EX-2480</x:v>
      </x:c>
      <x:c r="C2508" s="34" t="str">
        <x:v>پروفایل‌ها باید نشانگرهای استعداد، اخلاق، توانایی‌ها و وضعیت فعلی شغلی را داشته باشند تا تصمیم‌های توسعه مبتنی بر شواهد باشد</x:v>
      </x:c>
      <x:c r="D2508" s="34" t="str">
        <x:v>POSSIBLE</x:v>
      </x:c>
      <x:c r="E2508" s="34" t="str">
        <x:v>85.5</x:v>
      </x:c>
      <x:c r="F2508" s="34" t="str">
        <x:v>MI-1501</x:v>
      </x:c>
      <x:c r="G2508" s="39" t="str">
        <x:v>مدیریت ریسک: شناسایی ریسک ها، ارزیابی اثرات، تدوین برنامه های مقابله با ریسک ها.</x:v>
      </x:c>
      <x:c r="H2508" s="39" t="str">
        <x:v>H1</x:v>
      </x:c>
      <x:c r="I2508" s="39" t="str">
        <x:v>P0</x:v>
      </x:c>
      <x:c r="J2508" s="39" t="str">
        <x:v>H1</x:v>
      </x:c>
      <x:c r="K2508" s="39" t="str">
        <x:v>تطبیق احتمالی با پایه</x:v>
      </x:c>
      <x:c r="L2508" s="39" t="str">
        <x:v>MI-1501</x:v>
      </x:c>
      <x:c r="M2508" s="39" t="str">
        <x:v>مدیریت ریسک: شناسایی ریسک ها، ارزیابی اثرات، تدوین برنامه های مقابله با ریسک ها.</x:v>
      </x:c>
      <x:c r="N2508" s="39" t="str">
        <x:v>1154878548.docx::P7753.1</x:v>
      </x:c>
      <x:c r="O2508" s="39"/>
    </x:row>
    <x:row r="2509">
      <x:c r="A2509" s="34" t="str">
        <x:v>☐</x:v>
      </x:c>
      <x:c r="B2509" s="34" t="str">
        <x:v>EX-2481</x:v>
      </x:c>
      <x:c r="C2509" s="34" t="str">
        <x:v>سیستم باید آموزش‌های لازم، شکاف‌های مهارتی فعلی و مسیر یادگیری مورد نیاز برای رسیدن به نقش هدف را ثبت کند</x:v>
      </x:c>
      <x:c r="D2509" s="34" t="str">
        <x:v>POSSIBLE</x:v>
      </x:c>
      <x:c r="E2509" s="34" t="str">
        <x:v>85.5</x:v>
      </x:c>
      <x:c r="F2509" s="34" t="str">
        <x:v>MI-1513</x:v>
      </x:c>
      <x:c r="G2509" s="39" t="str">
        <x:v>تولید و کارآفرینی: توانایی تولید محصول و خدمات و ایجاد شغل.</x:v>
      </x:c>
      <x:c r="H2509" s="39" t="str">
        <x:v>H1</x:v>
      </x:c>
      <x:c r="I2509" s="39" t="str">
        <x:v>P0</x:v>
      </x:c>
      <x:c r="J2509" s="39" t="str">
        <x:v>H1</x:v>
      </x:c>
      <x:c r="K2509" s="39" t="str">
        <x:v>تطبیق احتمالی با پایه</x:v>
      </x:c>
      <x:c r="L2509" s="39" t="str">
        <x:v>MI-1513</x:v>
      </x:c>
      <x:c r="M2509" s="39" t="str">
        <x:v>تولید و کارآفرینی: توانایی تولید محصول و خدمات و ایجاد شغل.</x:v>
      </x:c>
      <x:c r="N2509" s="39" t="str">
        <x:v>1154878548.docx::P7754.1</x:v>
      </x:c>
      <x:c r="O2509" s="39"/>
    </x:row>
    <x:row r="2510">
      <x:c r="A2510" s="34" t="str">
        <x:v>☐</x:v>
      </x:c>
      <x:c r="B2510" s="34" t="str">
        <x:v>EX-2482</x:v>
      </x:c>
      <x:c r="C2510" s="34" t="str">
        <x:v>باید درک لایه‌ای از توانمندی‌های تیم‌ها حفظ کند تا مدیر ببیند چه کسی نیاز به تقویت دارد و چه کسی برای کارهای پیشرفته آماده است</x:v>
      </x:c>
      <x:c r="D2510" s="34" t="str">
        <x:v>POSSIBLE</x:v>
      </x:c>
      <x:c r="E2510" s="34" t="str">
        <x:v>85.5</x:v>
      </x:c>
      <x:c r="F2510" s="34" t="str">
        <x:v>MI-1501</x:v>
      </x:c>
      <x:c r="G2510" s="39" t="str">
        <x:v>مدیریت ریسک: شناسایی ریسک ها، ارزیابی اثرات، تدوین برنامه های مقابله با ریسک ها.</x:v>
      </x:c>
      <x:c r="H2510" s="39" t="str">
        <x:v>H1</x:v>
      </x:c>
      <x:c r="I2510" s="39" t="str">
        <x:v>P0</x:v>
      </x:c>
      <x:c r="J2510" s="39" t="str">
        <x:v>H1</x:v>
      </x:c>
      <x:c r="K2510" s="39" t="str">
        <x:v>تطبیق احتمالی با پایه</x:v>
      </x:c>
      <x:c r="L2510" s="39" t="str">
        <x:v>MI-1501</x:v>
      </x:c>
      <x:c r="M2510" s="39" t="str">
        <x:v>مدیریت ریسک: شناسایی ریسک ها، ارزیابی اثرات، تدوین برنامه های مقابله با ریسک ها.</x:v>
      </x:c>
      <x:c r="N2510" s="39" t="str">
        <x:v>1154878548.docx::P7755.1</x:v>
      </x:c>
      <x:c r="O2510" s="39"/>
    </x:row>
    <x:row r="2511">
      <x:c r="A2511" s="34" t="str">
        <x:v>☐</x:v>
      </x:c>
      <x:c r="B2511" s="34" t="str">
        <x:v>EX-2483</x:v>
      </x:c>
      <x:c r="C2511" s="34" t="str">
        <x:v>اطلاعات فرصت‌های بیرونی</x:v>
      </x:c>
      <x:c r="D2511" s="34" t="str">
        <x:v>POSSIBLE</x:v>
      </x:c>
      <x:c r="E2511" s="34" t="str">
        <x:v>90.0</x:v>
      </x:c>
      <x:c r="F2511" s="34" t="str">
        <x:v>MI-1291</x:v>
      </x:c>
      <x:c r="G2511" s="39" t="str">
        <x:v>طلا</x:v>
      </x:c>
      <x:c r="H2511" s="39" t="str">
        <x:v>H12</x:v>
      </x:c>
      <x:c r="I2511" s="39" t="str">
        <x:v>P2</x:v>
      </x:c>
      <x:c r="J2511" s="39" t="str">
        <x:v>H12</x:v>
      </x:c>
      <x:c r="K2511" s="39" t="str">
        <x:v>تطبیق احتمالی با پایه</x:v>
      </x:c>
      <x:c r="L2511" s="39" t="str">
        <x:v>MI-1291</x:v>
      </x:c>
      <x:c r="M2511" s="39" t="str">
        <x:v>طلا</x:v>
      </x:c>
      <x:c r="N2511" s="39" t="str">
        <x:v>1154878548.docx::P7756.1</x:v>
      </x:c>
      <x:c r="O2511" s="39"/>
    </x:row>
    <x:row r="2512">
      <x:c r="A2512" s="34" t="str">
        <x:v>☐</x:v>
      </x:c>
      <x:c r="B2512" s="34" t="str">
        <x:v>EX-2484</x:v>
      </x:c>
      <x:c r="C2512" s="34" t="str">
        <x:v>پلتفرم باید فرصت‌های شغلی مرتبط را روزانه از وب‌سایت‌های مربوطه اسکن کند و الگوهای تقاضای مهارت بازار را استخراج نماید</x:v>
      </x:c>
      <x:c r="D2512" s="34" t="str">
        <x:v>POSSIBLE</x:v>
      </x:c>
      <x:c r="E2512" s="34" t="str">
        <x:v>85.5</x:v>
      </x:c>
      <x:c r="F2512" s="34" t="str">
        <x:v>MI-1501</x:v>
      </x:c>
      <x:c r="G2512" s="39" t="str">
        <x:v>مدیریت ریسک: شناسایی ریسک ها، ارزیابی اثرات، تدوین برنامه های مقابله با ریسک ها.</x:v>
      </x:c>
      <x:c r="H2512" s="39" t="str">
        <x:v>H1</x:v>
      </x:c>
      <x:c r="I2512" s="39" t="str">
        <x:v>P0</x:v>
      </x:c>
      <x:c r="J2512" s="39" t="str">
        <x:v>H1</x:v>
      </x:c>
      <x:c r="K2512" s="39" t="str">
        <x:v>تطبیق احتمالی با پایه</x:v>
      </x:c>
      <x:c r="L2512" s="39" t="str">
        <x:v>MI-1501</x:v>
      </x:c>
      <x:c r="M2512" s="39" t="str">
        <x:v>مدیریت ریسک: شناسایی ریسک ها، ارزیابی اثرات، تدوین برنامه های مقابله با ریسک ها.</x:v>
      </x:c>
      <x:c r="N2512" s="39" t="str">
        <x:v>1154878548.docx::P7757.1</x:v>
      </x:c>
      <x:c r="O2512" s="39"/>
    </x:row>
    <x:row r="2513">
      <x:c r="A2513" s="34" t="str">
        <x:v>☐</x:v>
      </x:c>
      <x:c r="B2513" s="34" t="str">
        <x:v>EX-2485</x:v>
      </x:c>
      <x:c r="C2513" s="34" t="str">
        <x:v>باید شناسایی کند چه مهارت‌هایی برای چه نقش‌هایی لازم است و فرصت‌هایی را بر اساس تناسب به افراد پیشنهاد دهد</x:v>
      </x:c>
      <x:c r="D2513" s="34" t="str">
        <x:v>POSSIBLE</x:v>
      </x:c>
      <x:c r="E2513" s="34" t="str">
        <x:v>85.5</x:v>
      </x:c>
      <x:c r="F2513" s="34" t="str">
        <x:v>MI-1513</x:v>
      </x:c>
      <x:c r="G2513" s="39" t="str">
        <x:v>تولید و کارآفرینی: توانایی تولید محصول و خدمات و ایجاد شغل.</x:v>
      </x:c>
      <x:c r="H2513" s="39" t="str">
        <x:v>H1</x:v>
      </x:c>
      <x:c r="I2513" s="39" t="str">
        <x:v>P0</x:v>
      </x:c>
      <x:c r="J2513" s="39" t="str">
        <x:v>H1</x:v>
      </x:c>
      <x:c r="K2513" s="39" t="str">
        <x:v>تطبیق احتمالی با پایه</x:v>
      </x:c>
      <x:c r="L2513" s="39" t="str">
        <x:v>MI-1513</x:v>
      </x:c>
      <x:c r="M2513" s="39" t="str">
        <x:v>تولید و کارآفرینی: توانایی تولید محصول و خدمات و ایجاد شغل.</x:v>
      </x:c>
      <x:c r="N2513" s="39" t="str">
        <x:v>1154878548.docx::P7758.1</x:v>
      </x:c>
      <x:c r="O2513" s="39"/>
    </x:row>
    <x:row r="2514">
      <x:c r="A2514" s="34" t="str">
        <x:v>☐</x:v>
      </x:c>
      <x:c r="B2514" s="34" t="str">
        <x:v>EX-2486</x:v>
      </x:c>
      <x:c r="C2514" s="34" t="str">
        <x:v>راهنمایی شغلی و تطبیق شغل باید به‌عنوان سرویس پولی یا ارزش‌آفرین در نظر گرفته شود نه یک کار اداری رایگان</x:v>
      </x:c>
      <x:c r="D2514" s="34" t="str">
        <x:v>POSSIBLE</x:v>
      </x:c>
      <x:c r="E2514" s="34" t="str">
        <x:v>85.5</x:v>
      </x:c>
      <x:c r="F2514" s="34" t="str">
        <x:v>MI-1513</x:v>
      </x:c>
      <x:c r="G2514" s="39" t="str">
        <x:v>تولید و کارآفرینی: توانایی تولید محصول و خدمات و ایجاد شغل.</x:v>
      </x:c>
      <x:c r="H2514" s="39" t="str">
        <x:v>H1</x:v>
      </x:c>
      <x:c r="I2514" s="39" t="str">
        <x:v>P0</x:v>
      </x:c>
      <x:c r="J2514" s="39" t="str">
        <x:v>H1</x:v>
      </x:c>
      <x:c r="K2514" s="39" t="str">
        <x:v>تطبیق احتمالی با پایه</x:v>
      </x:c>
      <x:c r="L2514" s="39" t="str">
        <x:v>MI-1513</x:v>
      </x:c>
      <x:c r="M2514" s="39" t="str">
        <x:v>تولید و کارآفرینی: توانایی تولید محصول و خدمات و ایجاد شغل.</x:v>
      </x:c>
      <x:c r="N2514" s="39" t="str">
        <x:v>1154878548.docx::P7759.1</x:v>
      </x:c>
      <x:c r="O2514" s="39"/>
    </x:row>
    <x:row r="2515">
      <x:c r="A2515" s="34" t="str">
        <x:v>☐</x:v>
      </x:c>
      <x:c r="B2515" s="34" t="str">
        <x:v>EX-2487</x:v>
      </x:c>
      <x:c r="C2515" s="34" t="str">
        <x:v>امتیازدهی، بخش‌بندی و منطق تصمیم‌گیری</x:v>
      </x:c>
      <x:c r="D2515" s="34" t="str">
        <x:v>POSSIBLE</x:v>
      </x:c>
      <x:c r="E2515" s="34" t="str">
        <x:v>85.5</x:v>
      </x:c>
      <x:c r="F2515" s="34" t="str">
        <x:v>MI-1513</x:v>
      </x:c>
      <x:c r="G2515" s="39" t="str">
        <x:v>تولید و کارآفرینی: توانایی تولید محصول و خدمات و ایجاد شغل.</x:v>
      </x:c>
      <x:c r="H2515" s="39" t="str">
        <x:v>H1</x:v>
      </x:c>
      <x:c r="I2515" s="39" t="str">
        <x:v>P0</x:v>
      </x:c>
      <x:c r="J2515" s="39" t="str">
        <x:v>H1</x:v>
      </x:c>
      <x:c r="K2515" s="39" t="str">
        <x:v>تطبیق احتمالی با پایه</x:v>
      </x:c>
      <x:c r="L2515" s="39" t="str">
        <x:v>MI-1513</x:v>
      </x:c>
      <x:c r="M2515" s="39" t="str">
        <x:v>تولید و کارآفرینی: توانایی تولید محصول و خدمات و ایجاد شغل.</x:v>
      </x:c>
      <x:c r="N2515" s="39" t="str">
        <x:v>1154878548.docx::P7760.1</x:v>
      </x:c>
      <x:c r="O2515" s="39"/>
    </x:row>
    <x:row r="2516">
      <x:c r="A2516" s="34" t="str">
        <x:v>☐</x:v>
      </x:c>
      <x:c r="B2516" s="34" t="str">
        <x:v>EX-2488</x:v>
      </x:c>
      <x:c r="C2516" s="34" t="str">
        <x:v>مدل اولویت‌بندی لایه‌ای</x:v>
      </x:c>
      <x:c r="D2516" s="34" t="str">
        <x:v>POSSIBLE</x:v>
      </x:c>
      <x:c r="E2516" s="34" t="str">
        <x:v>85.5</x:v>
      </x:c>
      <x:c r="F2516" s="34" t="str">
        <x:v>MI-1503</x:v>
      </x:c>
      <x:c r="G2516" s="39" t="str">
        <x:v>مدیریت زمان: اولویت بندی، برنامه ریزی، تمرکز.</x:v>
      </x:c>
      <x:c r="H2516" s="39" t="str">
        <x:v>H1</x:v>
      </x:c>
      <x:c r="I2516" s="39" t="str">
        <x:v>P0</x:v>
      </x:c>
      <x:c r="J2516" s="39" t="str">
        <x:v>H1</x:v>
      </x:c>
      <x:c r="K2516" s="39" t="str">
        <x:v>تطبیق احتمالی با پایه</x:v>
      </x:c>
      <x:c r="L2516" s="39" t="str">
        <x:v>MI-1503</x:v>
      </x:c>
      <x:c r="M2516" s="39" t="str">
        <x:v>مدیریت زمان: اولویت بندی، برنامه ریزی، تمرکز.</x:v>
      </x:c>
      <x:c r="N2516" s="39" t="str">
        <x:v>1154878548.docx::P7761.1</x:v>
      </x:c>
      <x:c r="O2516" s="39"/>
    </x:row>
    <x:row r="2517">
      <x:c r="A2517" s="34" t="str">
        <x:v>☐</x:v>
      </x:c>
      <x:c r="B2517" s="34" t="str">
        <x:v>EX-2489</x:v>
      </x:c>
      <x:c r="C2517" s="34" t="str">
        <x:v>افراد باید به تِیرهای مختلف تقسیم شوند تا پلتفرم تصمیم بگیرد چه کسی کیک، یک پست، یک پیامک، سمینار رایگان یا مداخله شخصی‌تری دریافت کند</x:v>
      </x:c>
      <x:c r="D2517" s="34" t="str">
        <x:v>POSSIBLE</x:v>
      </x:c>
      <x:c r="E2517" s="34" t="str">
        <x:v>85.5</x:v>
      </x:c>
      <x:c r="F2517" s="34" t="str">
        <x:v>MI-2921</x:v>
      </x:c>
      <x:c r="G2517" s="39" t="str">
        <x:v>ساختار تصمیم گیری چگونه باید باشد</x:v>
      </x:c>
      <x:c r="H2517" s="39" t="str">
        <x:v>H1</x:v>
      </x:c>
      <x:c r="I2517" s="39" t="str">
        <x:v>P0</x:v>
      </x:c>
      <x:c r="J2517" s="39" t="str">
        <x:v>H1</x:v>
      </x:c>
      <x:c r="K2517" s="39" t="str">
        <x:v>تطبیق احتمالی با پایه</x:v>
      </x:c>
      <x:c r="L2517" s="39" t="str">
        <x:v>MI-2921</x:v>
      </x:c>
      <x:c r="M2517" s="39" t="str">
        <x:v>ساختار تصمیم گیری چگونه باید باشد</x:v>
      </x:c>
      <x:c r="N2517" s="39" t="str">
        <x:v>1154878548.docx::P7762.1</x:v>
      </x:c>
      <x:c r="O2517" s="39"/>
    </x:row>
    <x:row r="2518">
      <x:c r="A2518" s="34" t="str">
        <x:v>☐</x:v>
      </x:c>
      <x:c r="B2518" s="34" t="str">
        <x:v>EX-2490</x:v>
      </x:c>
      <x:c r="C2518" s="34" t="str">
        <x:v>تِیرهای با ارزش بالاتر می‌توانند هدیه‌های مستقیم دریافت کنند، در حالی که تِیرهای پایین‌تر ممکن است تبریک دیجیتال یا نقاط تماس تبلیغاتی ساده دریافت نمایند</x:v>
      </x:c>
      <x:c r="D2518" s="34" t="str">
        <x:v>POSSIBLE</x:v>
      </x:c>
      <x:c r="E2518" s="34" t="str">
        <x:v>85.5</x:v>
      </x:c>
      <x:c r="F2518" s="34" t="str">
        <x:v>MI-1501</x:v>
      </x:c>
      <x:c r="G2518" s="39" t="str">
        <x:v>مدیریت ریسک: شناسایی ریسک ها، ارزیابی اثرات، تدوین برنامه های مقابله با ریسک ها.</x:v>
      </x:c>
      <x:c r="H2518" s="39" t="str">
        <x:v>H1</x:v>
      </x:c>
      <x:c r="I2518" s="39" t="str">
        <x:v>P0</x:v>
      </x:c>
      <x:c r="J2518" s="39" t="str">
        <x:v>H1</x:v>
      </x:c>
      <x:c r="K2518" s="39" t="str">
        <x:v>تطبیق احتمالی با پایه</x:v>
      </x:c>
      <x:c r="L2518" s="39" t="str">
        <x:v>MI-1501</x:v>
      </x:c>
      <x:c r="M2518" s="39" t="str">
        <x:v>مدیریت ریسک: شناسایی ریسک ها، ارزیابی اثرات، تدوین برنامه های مقابله با ریسک ها.</x:v>
      </x:c>
      <x:c r="N2518" s="39" t="str">
        <x:v>1154878548.docx::P7763.1</x:v>
      </x:c>
      <x:c r="O2518" s="39"/>
    </x:row>
    <x:row r="2519">
      <x:c r="A2519" s="34" t="str">
        <x:v>☐</x:v>
      </x:c>
      <x:c r="B2519" s="34" t="str">
        <x:v>EX-2491</x:v>
      </x:c>
      <x:c r="C2519" s="34" t="str">
        <x:v>بخش‌بندی باید اهمیت سازمانی، سطح استعداد، ثبات رفتاری و ارتباط استراتژیک را منعکس کند</x:v>
      </x:c>
      <x:c r="D2519" s="34" t="str">
        <x:v>POSSIBLE</x:v>
      </x:c>
      <x:c r="E2519" s="34" t="str">
        <x:v>85.5</x:v>
      </x:c>
      <x:c r="F2519" s="34" t="str">
        <x:v>MI-2921</x:v>
      </x:c>
      <x:c r="G2519" s="39" t="str">
        <x:v>ساختار تصمیم گیری چگونه باید باشد</x:v>
      </x:c>
      <x:c r="H2519" s="39" t="str">
        <x:v>H1</x:v>
      </x:c>
      <x:c r="I2519" s="39" t="str">
        <x:v>P0</x:v>
      </x:c>
      <x:c r="J2519" s="39" t="str">
        <x:v>H1</x:v>
      </x:c>
      <x:c r="K2519" s="39" t="str">
        <x:v>تطبیق احتمالی با پایه</x:v>
      </x:c>
      <x:c r="L2519" s="39" t="str">
        <x:v>MI-2921</x:v>
      </x:c>
      <x:c r="M2519" s="39" t="str">
        <x:v>ساختار تصمیم گیری چگونه باید باشد</x:v>
      </x:c>
      <x:c r="N2519" s="39" t="str">
        <x:v>1154878548.docx::P7764.1</x:v>
      </x:c>
      <x:c r="O2519" s="39"/>
    </x:row>
    <x:row r="2520">
      <x:c r="A2520" s="34" t="str">
        <x:v>☐</x:v>
      </x:c>
      <x:c r="B2520" s="34" t="str">
        <x:v>EX-2492</x:v>
      </x:c>
      <x:c r="C2520" s="34" t="str">
        <x:v>امتیازدهی عملکرد و وفاداری</x:v>
      </x:c>
      <x:c r="D2520" s="34" t="str">
        <x:v>POSSIBLE</x:v>
      </x:c>
      <x:c r="E2520" s="34" t="str">
        <x:v>85.5</x:v>
      </x:c>
      <x:c r="F2520" s="34" t="str">
        <x:v>MI-1513</x:v>
      </x:c>
      <x:c r="G2520" s="39" t="str">
        <x:v>تولید و کارآفرینی: توانایی تولید محصول و خدمات و ایجاد شغل.</x:v>
      </x:c>
      <x:c r="H2520" s="39" t="str">
        <x:v>H1</x:v>
      </x:c>
      <x:c r="I2520" s="39" t="str">
        <x:v>P0</x:v>
      </x:c>
      <x:c r="J2520" s="39" t="str">
        <x:v>H1</x:v>
      </x:c>
      <x:c r="K2520" s="39" t="str">
        <x:v>تطبیق احتمالی با پایه</x:v>
      </x:c>
      <x:c r="L2520" s="39" t="str">
        <x:v>MI-1513</x:v>
      </x:c>
      <x:c r="M2520" s="39" t="str">
        <x:v>تولید و کارآفرینی: توانایی تولید محصول و خدمات و ایجاد شغل.</x:v>
      </x:c>
      <x:c r="N2520" s="39" t="str">
        <x:v>1154878548.docx::P7765.1</x:v>
      </x:c>
      <x:c r="O2520" s="39"/>
    </x:row>
    <x:row r="2521">
      <x:c r="A2521" s="34" t="str">
        <x:v>☐</x:v>
      </x:c>
      <x:c r="B2521" s="34" t="str">
        <x:v>EX-2493</x:v>
      </x:c>
      <x:c r="C2521" s="34" t="str">
        <x:v>منطق امتیازدهی پیشنهادی فعالیت، استعداد، وفاداری و ریسک را در یک فرمول وزن‌دار ترکیب می‌کند تا افراد را به‌صورت استراتژیک رتبه‌بندی نماید</x:v>
      </x:c>
      <x:c r="D2521" s="34" t="str">
        <x:v>POSSIBLE</x:v>
      </x:c>
      <x:c r="E2521" s="34" t="str">
        <x:v>85.5</x:v>
      </x:c>
      <x:c r="F2521" s="34" t="str">
        <x:v>MI-1501</x:v>
      </x:c>
      <x:c r="G2521" s="39" t="str">
        <x:v>مدیریت ریسک: شناسایی ریسک ها، ارزیابی اثرات، تدوین برنامه های مقابله با ریسک ها.</x:v>
      </x:c>
      <x:c r="H2521" s="39" t="str">
        <x:v>H1</x:v>
      </x:c>
      <x:c r="I2521" s="39" t="str">
        <x:v>P0</x:v>
      </x:c>
      <x:c r="J2521" s="39" t="str">
        <x:v>H1</x:v>
      </x:c>
      <x:c r="K2521" s="39" t="str">
        <x:v>تطبیق احتمالی با پایه</x:v>
      </x:c>
      <x:c r="L2521" s="39" t="str">
        <x:v>MI-1501</x:v>
      </x:c>
      <x:c r="M2521" s="39" t="str">
        <x:v>مدیریت ریسک: شناسایی ریسک ها، ارزیابی اثرات، تدوین برنامه های مقابله با ریسک ها.</x:v>
      </x:c>
      <x:c r="N2521" s="39" t="str">
        <x:v>1154878548.docx::P7766.1</x:v>
      </x:c>
      <x:c r="O2521" s="39"/>
    </x:row>
    <x:row r="2522">
      <x:c r="A2522" s="34" t="str">
        <x:v>☐</x:v>
      </x:c>
      <x:c r="B2522" s="34" t="str">
        <x:v>EX-2494</x:v>
      </x:c>
      <x:c r="C2522" s="34" t="str">
        <x:v>اوزان باید براساس اولویت‌های استراتژیک سازمان تغییر کند و ثابت نماند</x:v>
      </x:c>
      <x:c r="D2522" s="34" t="str">
        <x:v>POSSIBLE</x:v>
      </x:c>
      <x:c r="E2522" s="34" t="str">
        <x:v>85.5</x:v>
      </x:c>
      <x:c r="F2522" s="34" t="str">
        <x:v>MI-1503</x:v>
      </x:c>
      <x:c r="G2522" s="39" t="str">
        <x:v>مدیریت زمان: اولویت بندی، برنامه ریزی، تمرکز.</x:v>
      </x:c>
      <x:c r="H2522" s="39" t="str">
        <x:v>H1</x:v>
      </x:c>
      <x:c r="I2522" s="39" t="str">
        <x:v>P0</x:v>
      </x:c>
      <x:c r="J2522" s="39" t="str">
        <x:v>H1</x:v>
      </x:c>
      <x:c r="K2522" s="39" t="str">
        <x:v>تطبیق احتمالی با پایه</x:v>
      </x:c>
      <x:c r="L2522" s="39" t="str">
        <x:v>MI-1503</x:v>
      </x:c>
      <x:c r="M2522" s="39" t="str">
        <x:v>مدیریت زمان: اولویت بندی، برنامه ریزی، تمرکز.</x:v>
      </x:c>
      <x:c r="N2522" s="39" t="str">
        <x:v>1154878548.docx::P7767.1</x:v>
      </x:c>
      <x:c r="O2522" s="39"/>
    </x:row>
    <x:row r="2523">
      <x:c r="A2523" s="34" t="str">
        <x:v>☐</x:v>
      </x:c>
      <x:c r="B2523" s="34" t="str">
        <x:v>EX-2495</x:v>
      </x:c>
      <x:c r="C2523" s="34" t="str">
        <x:v>امتیاز باید در تصمیم‌گیری برای ارتقاء، حمایت، مداخلات، شدت پیگیری و سرمایه‌گذاری توسعه کمک کند</x:v>
      </x:c>
      <x:c r="D2523" s="34" t="str">
        <x:v>POSSIBLE</x:v>
      </x:c>
      <x:c r="E2523" s="34" t="str">
        <x:v>85.5</x:v>
      </x:c>
      <x:c r="F2523" s="34" t="str">
        <x:v>MI-1513</x:v>
      </x:c>
      <x:c r="G2523" s="39" t="str">
        <x:v>تولید و کارآفرینی: توانایی تولید محصول و خدمات و ایجاد شغل.</x:v>
      </x:c>
      <x:c r="H2523" s="39" t="str">
        <x:v>H1</x:v>
      </x:c>
      <x:c r="I2523" s="39" t="str">
        <x:v>P0</x:v>
      </x:c>
      <x:c r="J2523" s="39" t="str">
        <x:v>H1</x:v>
      </x:c>
      <x:c r="K2523" s="39" t="str">
        <x:v>تطبیق احتمالی با پایه</x:v>
      </x:c>
      <x:c r="L2523" s="39" t="str">
        <x:v>MI-1513</x:v>
      </x:c>
      <x:c r="M2523" s="39" t="str">
        <x:v>تولید و کارآفرینی: توانایی تولید محصول و خدمات و ایجاد شغل.</x:v>
      </x:c>
      <x:c r="N2523" s="39" t="str">
        <x:v>1154878548.docx::P7768.1</x:v>
      </x:c>
      <x:c r="O2523" s="39"/>
    </x:row>
    <x:row r="2524">
      <x:c r="A2524" s="34" t="str">
        <x:v>☐</x:v>
      </x:c>
      <x:c r="B2524" s="34" t="str">
        <x:v>EX-2496</x:v>
      </x:c>
      <x:c r="C2524" s="34" t="str">
        <x:v>ارزیابی تیم‌محور و محرک‌های عملیاتی</x:v>
      </x:c>
      <x:c r="D2524" s="34" t="str">
        <x:v>POSSIBLE</x:v>
      </x:c>
      <x:c r="E2524" s="34" t="str">
        <x:v>90.0</x:v>
      </x:c>
      <x:c r="F2524" s="34" t="str">
        <x:v>MI-0736</x:v>
      </x:c>
      <x:c r="G2524" s="39" t="str">
        <x:v>ارزیابی</x:v>
      </x:c>
      <x:c r="H2524" s="39" t="str">
        <x:v>H11</x:v>
      </x:c>
      <x:c r="I2524" s="39" t="str">
        <x:v>DELEGATE/P2</x:v>
      </x:c>
      <x:c r="J2524" s="39" t="str">
        <x:v>H11</x:v>
      </x:c>
      <x:c r="K2524" s="39" t="str">
        <x:v>تطبیق احتمالی با پایه</x:v>
      </x:c>
      <x:c r="L2524" s="39" t="str">
        <x:v>MI-0736</x:v>
      </x:c>
      <x:c r="M2524" s="39" t="str">
        <x:v>ارزیابی</x:v>
      </x:c>
      <x:c r="N2524" s="39" t="str">
        <x:v>1154878548.docx::P7769.1</x:v>
      </x:c>
      <x:c r="O2524" s="39"/>
    </x:row>
    <x:row r="2525">
      <x:c r="A2525" s="34" t="str">
        <x:v>☐</x:v>
      </x:c>
      <x:c r="B2525" s="34" t="str">
        <x:v>EX-2497</x:v>
      </x:c>
      <x:c r="C2525" s="34" t="str">
        <x:v>تیم‌ها باید به‌عنوان واحد ارزیابی شوند تا سیستم نشان دهد آیا در حال پیشرفت، رکود یا نیاز به تقویت هستند</x:v>
      </x:c>
      <x:c r="D2525" s="34" t="str">
        <x:v>POSSIBLE</x:v>
      </x:c>
      <x:c r="E2525" s="34" t="str">
        <x:v>85.5</x:v>
      </x:c>
      <x:c r="F2525" s="34" t="str">
        <x:v>MI-2921</x:v>
      </x:c>
      <x:c r="G2525" s="39" t="str">
        <x:v>ساختار تصمیم گیری چگونه باید باشد</x:v>
      </x:c>
      <x:c r="H2525" s="39" t="str">
        <x:v>H1</x:v>
      </x:c>
      <x:c r="I2525" s="39" t="str">
        <x:v>P0</x:v>
      </x:c>
      <x:c r="J2525" s="39" t="str">
        <x:v>H1</x:v>
      </x:c>
      <x:c r="K2525" s="39" t="str">
        <x:v>تطبیق احتمالی با پایه</x:v>
      </x:c>
      <x:c r="L2525" s="39" t="str">
        <x:v>MI-2921</x:v>
      </x:c>
      <x:c r="M2525" s="39" t="str">
        <x:v>ساختار تصمیم گیری چگونه باید باشد</x:v>
      </x:c>
      <x:c r="N2525" s="39" t="str">
        <x:v>1154878548.docx::P7770.1</x:v>
      </x:c>
      <x:c r="O2525" s="39"/>
    </x:row>
    <x:row r="2526">
      <x:c r="A2526" s="34" t="str">
        <x:v>☐</x:v>
      </x:c>
      <x:c r="B2526" s="34" t="str">
        <x:v>EX-2498</x:v>
      </x:c>
      <x:c r="C2526" s="34" t="str">
        <x:v>پلتفرم باید اقدامات ناتمام مانند ارسال نکردن رزومه، کامل نکردن توضیحات یا عدم پاسخ پس از ملاقات را علامت‌گذاری کند</x:v>
      </x:c>
      <x:c r="D2526" s="34" t="str">
        <x:v>POSSIBLE</x:v>
      </x:c>
      <x:c r="E2526" s="34" t="str">
        <x:v>85.5</x:v>
      </x:c>
      <x:c r="F2526" s="34" t="str">
        <x:v>MI-2921</x:v>
      </x:c>
      <x:c r="G2526" s="39" t="str">
        <x:v>ساختار تصمیم گیری چگونه باید باشد</x:v>
      </x:c>
      <x:c r="H2526" s="39" t="str">
        <x:v>H1</x:v>
      </x:c>
      <x:c r="I2526" s="39" t="str">
        <x:v>P0</x:v>
      </x:c>
      <x:c r="J2526" s="39" t="str">
        <x:v>H1</x:v>
      </x:c>
      <x:c r="K2526" s="39" t="str">
        <x:v>تطبیق احتمالی با پایه</x:v>
      </x:c>
      <x:c r="L2526" s="39" t="str">
        <x:v>MI-2921</x:v>
      </x:c>
      <x:c r="M2526" s="39" t="str">
        <x:v>ساختار تصمیم گیری چگونه باید باشد</x:v>
      </x:c>
      <x:c r="N2526" s="39" t="str">
        <x:v>1154878548.docx::P7771.1</x:v>
      </x:c>
      <x:c r="O2526" s="39"/>
    </x:row>
    <x:row r="2527">
      <x:c r="A2527" s="34" t="str">
        <x:v>☐</x:v>
      </x:c>
      <x:c r="B2527" s="34" t="str">
        <x:v>EX-2499</x:v>
      </x:c>
      <x:c r="C2527" s="34" t="str">
        <x:v>باید از دعوت‌ها به رویدادهای خاص، مصاحبه‌ها، مسابقات یا بحث‌ها بر اساس تگ‌ها و تناسب نقش پشتیبانی نماید</x:v>
      </x:c>
      <x:c r="D2527" s="34" t="str">
        <x:v>POSSIBLE</x:v>
      </x:c>
      <x:c r="E2527" s="34" t="str">
        <x:v>85.5</x:v>
      </x:c>
      <x:c r="F2527" s="34" t="str">
        <x:v>MI-1513</x:v>
      </x:c>
      <x:c r="G2527" s="39" t="str">
        <x:v>تولید و کارآفرینی: توانایی تولید محصول و خدمات و ایجاد شغل.</x:v>
      </x:c>
      <x:c r="H2527" s="39" t="str">
        <x:v>H1</x:v>
      </x:c>
      <x:c r="I2527" s="39" t="str">
        <x:v>P0</x:v>
      </x:c>
      <x:c r="J2527" s="39" t="str">
        <x:v>H1</x:v>
      </x:c>
      <x:c r="K2527" s="39" t="str">
        <x:v>تطبیق احتمالی با پایه</x:v>
      </x:c>
      <x:c r="L2527" s="39" t="str">
        <x:v>MI-1513</x:v>
      </x:c>
      <x:c r="M2527" s="39" t="str">
        <x:v>تولید و کارآفرینی: توانایی تولید محصول و خدمات و ایجاد شغل.</x:v>
      </x:c>
      <x:c r="N2527" s="39" t="str">
        <x:v>1154878548.docx::P7772.1</x:v>
      </x:c>
      <x:c r="O2527" s="39"/>
    </x:row>
    <x:row r="2528">
      <x:c r="A2528" s="34" t="str">
        <x:v>☐</x:v>
      </x:c>
      <x:c r="B2528" s="34" t="str">
        <x:v>EX-2500</x:v>
      </x:c>
      <x:c r="C2528" s="34" t="str">
        <x:v>مشارکت، آیین‌ها و برنامه‌های حفظ</x:v>
      </x:c>
      <x:c r="D2528" s="34" t="str">
        <x:v>POSSIBLE</x:v>
      </x:c>
      <x:c r="E2528" s="34" t="str">
        <x:v>90.0</x:v>
      </x:c>
      <x:c r="F2528" s="34" t="str">
        <x:v>MI-2990</x:v>
      </x:c>
      <x:c r="G2528" s="39" t="str">
        <x:v>برنامه ها:</x:v>
      </x:c>
      <x:c r="H2528" s="39" t="str">
        <x:v>H20</x:v>
      </x:c>
      <x:c r="I2528" s="39" t="str">
        <x:v>P3/CLARIFY</x:v>
      </x:c>
      <x:c r="J2528" s="39" t="str">
        <x:v>H20</x:v>
      </x:c>
      <x:c r="K2528" s="39" t="str">
        <x:v>تطبیق احتمالی با پایه</x:v>
      </x:c>
      <x:c r="L2528" s="39" t="str">
        <x:v>MI-2990</x:v>
      </x:c>
      <x:c r="M2528" s="39" t="str">
        <x:v>برنامه ها:</x:v>
      </x:c>
      <x:c r="N2528" s="39" t="str">
        <x:v>1154878548.docx::P7773.1</x:v>
      </x:c>
      <x:c r="O2528" s="39"/>
    </x:row>
    <x:row r="2529">
      <x:c r="A2529" s="34" t="str">
        <x:v>☐</x:v>
      </x:c>
      <x:c r="B2529" s="34" t="str">
        <x:v>EX-2501</x:v>
      </x:c>
      <x:c r="C2529" s="34" t="str">
        <x:v>مناسبت‌های ویژه و مراقبت شخصی‌سازی‌شده</x:v>
      </x:c>
      <x:c r="D2529" s="34" t="str">
        <x:v>POSSIBLE</x:v>
      </x:c>
      <x:c r="E2529" s="34" t="str">
        <x:v>85.5</x:v>
      </x:c>
      <x:c r="F2529" s="34" t="str">
        <x:v>MI-1501</x:v>
      </x:c>
      <x:c r="G2529" s="39" t="str">
        <x:v>مدیریت ریسک: شناسایی ریسک ها، ارزیابی اثرات، تدوین برنامه های مقابله با ریسک ها.</x:v>
      </x:c>
      <x:c r="H2529" s="39" t="str">
        <x:v>H1</x:v>
      </x:c>
      <x:c r="I2529" s="39" t="str">
        <x:v>P0</x:v>
      </x:c>
      <x:c r="J2529" s="39" t="str">
        <x:v>H1</x:v>
      </x:c>
      <x:c r="K2529" s="39" t="str">
        <x:v>تطبیق احتمالی با پایه</x:v>
      </x:c>
      <x:c r="L2529" s="39" t="str">
        <x:v>MI-1501</x:v>
      </x:c>
      <x:c r="M2529" s="39" t="str">
        <x:v>مدیریت ریسک: شناسایی ریسک ها، ارزیابی اثرات، تدوین برنامه های مقابله با ریسک ها.</x:v>
      </x:c>
      <x:c r="N2529" s="39" t="str">
        <x:v>1154878548.docx::P7774.1</x:v>
      </x:c>
      <x:c r="O2529" s="39"/>
    </x:row>
    <x:row r="2530">
      <x:c r="A2530" s="34" t="str">
        <x:v>☐</x:v>
      </x:c>
      <x:c r="B2530" s="34" t="str">
        <x:v>EX-2502</x:v>
      </x:c>
      <x:c r="C2530" s="34" t="str">
        <x:v>سیستم باید یادآوری‌های تولد و رویدادهای خانوادگی را برای کارمند، همسر و فرزندان به‌صورت خودکار انجام دهد</x:v>
      </x:c>
      <x:c r="D2530" s="34" t="str">
        <x:v>POSSIBLE</x:v>
      </x:c>
      <x:c r="E2530" s="34" t="str">
        <x:v>85.5</x:v>
      </x:c>
      <x:c r="F2530" s="34" t="str">
        <x:v>MI-1513</x:v>
      </x:c>
      <x:c r="G2530" s="39" t="str">
        <x:v>تولید و کارآفرینی: توانایی تولید محصول و خدمات و ایجاد شغل.</x:v>
      </x:c>
      <x:c r="H2530" s="39" t="str">
        <x:v>H1</x:v>
      </x:c>
      <x:c r="I2530" s="39" t="str">
        <x:v>P0</x:v>
      </x:c>
      <x:c r="J2530" s="39" t="str">
        <x:v>H1</x:v>
      </x:c>
      <x:c r="K2530" s="39" t="str">
        <x:v>تطبیق احتمالی با پایه</x:v>
      </x:c>
      <x:c r="L2530" s="39" t="str">
        <x:v>MI-1513</x:v>
      </x:c>
      <x:c r="M2530" s="39" t="str">
        <x:v>تولید و کارآفرینی: توانایی تولید محصول و خدمات و ایجاد شغل.</x:v>
      </x:c>
      <x:c r="N2530" s="39" t="str">
        <x:v>1154878548.docx::P7775.1</x:v>
      </x:c>
      <x:c r="O2530" s="39"/>
    </x:row>
    <x:row r="2531">
      <x:c r="A2531" s="34" t="str">
        <x:v>☐</x:v>
      </x:c>
      <x:c r="B2531" s="34" t="str">
        <x:v>EX-2503</x:v>
      </x:c>
      <x:c r="C2531" s="34" t="str">
        <x:v>باید سطوح خدمت مختلفی مانند رفتار ویژه VIP، هدایا، کیک، پیام‌های شخصی یا کدهای تخفیف اختصاص دهد</x:v>
      </x:c>
      <x:c r="D2531" s="34" t="str">
        <x:v>POSSIBLE</x:v>
      </x:c>
      <x:c r="E2531" s="34" t="str">
        <x:v>85.5</x:v>
      </x:c>
      <x:c r="F2531" s="34" t="str">
        <x:v>MI-2921</x:v>
      </x:c>
      <x:c r="G2531" s="39" t="str">
        <x:v>ساختار تصمیم گیری چگونه باید باشد</x:v>
      </x:c>
      <x:c r="H2531" s="39" t="str">
        <x:v>H1</x:v>
      </x:c>
      <x:c r="I2531" s="39" t="str">
        <x:v>P0</x:v>
      </x:c>
      <x:c r="J2531" s="39" t="str">
        <x:v>H1</x:v>
      </x:c>
      <x:c r="K2531" s="39" t="str">
        <x:v>تطبیق احتمالی با پایه</x:v>
      </x:c>
      <x:c r="L2531" s="39" t="str">
        <x:v>MI-2921</x:v>
      </x:c>
      <x:c r="M2531" s="39" t="str">
        <x:v>ساختار تصمیم گیری چگونه باید باشد</x:v>
      </x:c>
      <x:c r="N2531" s="39" t="str">
        <x:v>1154878548.docx::P7776.1</x:v>
      </x:c>
      <x:c r="O2531" s="39"/>
    </x:row>
    <x:row r="2532">
      <x:c r="A2532" s="34" t="str">
        <x:v>☐</x:v>
      </x:c>
      <x:c r="B2532" s="34" t="str">
        <x:v>EX-2504</x:v>
      </x:c>
      <x:c r="C2532" s="34" t="str">
        <x:v>این کار وابستگی عاطفی ایجاد می‌کند و پلتفرم را انسانی‌تر از صرفاً یک داشبورد اداری می‌سازد</x:v>
      </x:c>
      <x:c r="D2532" s="34" t="str">
        <x:v>POSSIBLE</x:v>
      </x:c>
      <x:c r="E2532" s="34" t="str">
        <x:v>90.0</x:v>
      </x:c>
      <x:c r="F2532" s="34" t="str">
        <x:v>MI-2714</x:v>
      </x:c>
      <x:c r="G2532" s="39" t="str">
        <x:v>ایجاد می کند.</x:v>
      </x:c>
      <x:c r="H2532" s="39" t="str">
        <x:v>H20</x:v>
      </x:c>
      <x:c r="I2532" s="39" t="str">
        <x:v>P3/CLARIFY</x:v>
      </x:c>
      <x:c r="J2532" s="39" t="str">
        <x:v>H20</x:v>
      </x:c>
      <x:c r="K2532" s="39" t="str">
        <x:v>تطبیق احتمالی با پایه</x:v>
      </x:c>
      <x:c r="L2532" s="39" t="str">
        <x:v>MI-2714</x:v>
      </x:c>
      <x:c r="M2532" s="39" t="str">
        <x:v>ایجاد می کند.</x:v>
      </x:c>
      <x:c r="N2532" s="39" t="str">
        <x:v>1154878548.docx::P7777.1</x:v>
      </x:c>
      <x:c r="O2532" s="39"/>
    </x:row>
    <x:row r="2533">
      <x:c r="A2533" s="34" t="str">
        <x:v>☐</x:v>
      </x:c>
      <x:c r="B2533" s="34" t="str">
        <x:v>EX-2505</x:v>
      </x:c>
      <x:c r="C2533" s="34" t="str">
        <x:v>برنامه‌های جامعه و تعلق‌خاطر</x:v>
      </x:c>
      <x:c r="D2533" s="34" t="str">
        <x:v>POSSIBLE</x:v>
      </x:c>
      <x:c r="E2533" s="34" t="str">
        <x:v>90.0</x:v>
      </x:c>
      <x:c r="F2533" s="34" t="str">
        <x:v>MI-2990</x:v>
      </x:c>
      <x:c r="G2533" s="39" t="str">
        <x:v>برنامه ها:</x:v>
      </x:c>
      <x:c r="H2533" s="39" t="str">
        <x:v>H20</x:v>
      </x:c>
      <x:c r="I2533" s="39" t="str">
        <x:v>P3/CLARIFY</x:v>
      </x:c>
      <x:c r="J2533" s="39" t="str">
        <x:v>H20</x:v>
      </x:c>
      <x:c r="K2533" s="39" t="str">
        <x:v>تطبیق احتمالی با پایه</x:v>
      </x:c>
      <x:c r="L2533" s="39" t="str">
        <x:v>MI-2990</x:v>
      </x:c>
      <x:c r="M2533" s="39" t="str">
        <x:v>برنامه ها:</x:v>
      </x:c>
      <x:c r="N2533" s="39" t="str">
        <x:v>1154878548.docx::P7778.1</x:v>
      </x:c>
      <x:c r="O2533" s="39"/>
    </x:row>
    <x:row r="2534">
      <x:c r="A2534" s="34" t="str">
        <x:v>☐</x:v>
      </x:c>
      <x:c r="B2534" s="34" t="str">
        <x:v>EX-2506</x:v>
      </x:c>
      <x:c r="C2534" s="34" t="str">
        <x:v>می‌توان از ساختاری شبیه باشگاه هواداران برای اجرای محتوای هدفمند، دعوت به رویدادها و خدمات ویژه برای گروه‌های مختلف استفاده کرد</x:v>
      </x:c>
      <x:c r="D2534" s="34" t="str">
        <x:v>POSSIBLE</x:v>
      </x:c>
      <x:c r="E2534" s="34" t="str">
        <x:v>85.5</x:v>
      </x:c>
      <x:c r="F2534" s="34" t="str">
        <x:v>MI-1501</x:v>
      </x:c>
      <x:c r="G2534" s="39" t="str">
        <x:v>مدیریت ریسک: شناسایی ریسک ها، ارزیابی اثرات، تدوین برنامه های مقابله با ریسک ها.</x:v>
      </x:c>
      <x:c r="H2534" s="39" t="str">
        <x:v>H1</x:v>
      </x:c>
      <x:c r="I2534" s="39" t="str">
        <x:v>P0</x:v>
      </x:c>
      <x:c r="J2534" s="39" t="str">
        <x:v>H1</x:v>
      </x:c>
      <x:c r="K2534" s="39" t="str">
        <x:v>تطبیق احتمالی با پایه</x:v>
      </x:c>
      <x:c r="L2534" s="39" t="str">
        <x:v>MI-1501</x:v>
      </x:c>
      <x:c r="M2534" s="39" t="str">
        <x:v>مدیریت ریسک: شناسایی ریسک ها، ارزیابی اثرات، تدوین برنامه های مقابله با ریسک ها.</x:v>
      </x:c>
      <x:c r="N2534" s="39" t="str">
        <x:v>1154878548.docx::P7779.1</x:v>
      </x:c>
      <x:c r="O2534" s="39"/>
    </x:row>
    <x:row r="2535">
      <x:c r="A2535" s="34" t="str">
        <x:v>☐</x:v>
      </x:c>
      <x:c r="B2535" s="34" t="str">
        <x:v>EX-2507</x:v>
      </x:c>
      <x:c r="C2535" s="34" t="str">
        <x:v>گردش‌های تیمی، دورهمی‌ها و ملاقات‌های غیررسمی می‌تواند انسجام را تقویت و گروه‌ها را اجتماعی نگه دارد</x:v>
      </x:c>
      <x:c r="D2535" s="34" t="str">
        <x:v>POSSIBLE</x:v>
      </x:c>
      <x:c r="E2535" s="34" t="str">
        <x:v>85.5</x:v>
      </x:c>
      <x:c r="F2535" s="34" t="str">
        <x:v>MI-1513</x:v>
      </x:c>
      <x:c r="G2535" s="39" t="str">
        <x:v>تولید و کارآفرینی: توانایی تولید محصول و خدمات و ایجاد شغل.</x:v>
      </x:c>
      <x:c r="H2535" s="39" t="str">
        <x:v>H1</x:v>
      </x:c>
      <x:c r="I2535" s="39" t="str">
        <x:v>P0</x:v>
      </x:c>
      <x:c r="J2535" s="39" t="str">
        <x:v>H1</x:v>
      </x:c>
      <x:c r="K2535" s="39" t="str">
        <x:v>تطبیق احتمالی با پایه</x:v>
      </x:c>
      <x:c r="L2535" s="39" t="str">
        <x:v>MI-1513</x:v>
      </x:c>
      <x:c r="M2535" s="39" t="str">
        <x:v>تولید و کارآفرینی: توانایی تولید محصول و خدمات و ایجاد شغل.</x:v>
      </x:c>
      <x:c r="N2535" s="39" t="str">
        <x:v>1154878548.docx::P7780.1</x:v>
      </x:c>
      <x:c r="O2535" s="39"/>
    </x:row>
    <x:row r="2536">
      <x:c r="A2536" s="34" t="str">
        <x:v>☐</x:v>
      </x:c>
      <x:c r="B2536" s="34" t="str">
        <x:v>EX-2508</x:v>
      </x:c>
      <x:c r="C2536" s="34" t="str">
        <x:v>رویدادهای خرد با گروه‌های کوچک و یک منتور ترجیح داده می‌شوند تا مراسم‌های بزرگ سالانه، زیرا سبک‌تر، سریع‌تر و مؤثرترند</x:v>
      </x:c>
      <x:c r="D2536" s="34" t="str">
        <x:v>POSSIBLE</x:v>
      </x:c>
      <x:c r="E2536" s="34" t="str">
        <x:v>85.5</x:v>
      </x:c>
      <x:c r="F2536" s="34" t="str">
        <x:v>MI-1501</x:v>
      </x:c>
      <x:c r="G2536" s="39" t="str">
        <x:v>مدیریت ریسک: شناسایی ریسک ها، ارزیابی اثرات، تدوین برنامه های مقابله با ریسک ها.</x:v>
      </x:c>
      <x:c r="H2536" s="39" t="str">
        <x:v>H1</x:v>
      </x:c>
      <x:c r="I2536" s="39" t="str">
        <x:v>P0</x:v>
      </x:c>
      <x:c r="J2536" s="39" t="str">
        <x:v>H1</x:v>
      </x:c>
      <x:c r="K2536" s="39" t="str">
        <x:v>تطبیق احتمالی با پایه</x:v>
      </x:c>
      <x:c r="L2536" s="39" t="str">
        <x:v>MI-1501</x:v>
      </x:c>
      <x:c r="M2536" s="39" t="str">
        <x:v>مدیریت ریسک: شناسایی ریسک ها، ارزیابی اثرات، تدوین برنامه های مقابله با ریسک ها.</x:v>
      </x:c>
      <x:c r="N2536" s="39" t="str">
        <x:v>1154878548.docx::P7781.1</x:v>
      </x:c>
      <x:c r="O2536" s="39"/>
    </x:row>
    <x:row r="2537">
      <x:c r="A2537" s="34" t="str">
        <x:v>☐</x:v>
      </x:c>
      <x:c r="B2537" s="34" t="str">
        <x:v>EX-2509</x:v>
      </x:c>
      <x:c r="C2537" s="34" t="str">
        <x:v>حمایت در بحران و کمک هدفمند</x:v>
      </x:c>
      <x:c r="D2537" s="34" t="str">
        <x:v>POSSIBLE</x:v>
      </x:c>
      <x:c r="E2537" s="34" t="str">
        <x:v>85.5</x:v>
      </x:c>
      <x:c r="F2537" s="34" t="str">
        <x:v>MI-1513</x:v>
      </x:c>
      <x:c r="G2537" s="39" t="str">
        <x:v>تولید و کارآفرینی: توانایی تولید محصول و خدمات و ایجاد شغل.</x:v>
      </x:c>
      <x:c r="H2537" s="39" t="str">
        <x:v>H1</x:v>
      </x:c>
      <x:c r="I2537" s="39" t="str">
        <x:v>P0</x:v>
      </x:c>
      <x:c r="J2537" s="39" t="str">
        <x:v>H1</x:v>
      </x:c>
      <x:c r="K2537" s="39" t="str">
        <x:v>تطبیق احتمالی با پایه</x:v>
      </x:c>
      <x:c r="L2537" s="39" t="str">
        <x:v>MI-1513</x:v>
      </x:c>
      <x:c r="M2537" s="39" t="str">
        <x:v>تولید و کارآفرینی: توانایی تولید محصول و خدمات و ایجاد شغل.</x:v>
      </x:c>
      <x:c r="N2537" s="39" t="str">
        <x:v>1154878548.docx::P7782.1</x:v>
      </x:c>
      <x:c r="O2537" s="39"/>
    </x:row>
    <x:row r="2538">
      <x:c r="A2538" s="34" t="str">
        <x:v>☐</x:v>
      </x:c>
      <x:c r="B2538" s="34" t="str">
        <x:v>EX-2510</x:v>
      </x:c>
      <x:c r="C2538" s="34" t="str">
        <x:v>سیستم باید حمایت را برای ازدواج، بیماری، زایمان و سایر رویدادهای فوری زندگی با اولویت از طریق صندوق رفاه فراهم کند</x:v>
      </x:c>
      <x:c r="D2538" s="34" t="str">
        <x:v>POSSIBLE</x:v>
      </x:c>
      <x:c r="E2538" s="34" t="str">
        <x:v>85.5</x:v>
      </x:c>
      <x:c r="F2538" s="34" t="str">
        <x:v>MI-1503</x:v>
      </x:c>
      <x:c r="G2538" s="39" t="str">
        <x:v>مدیریت زمان: اولویت بندی، برنامه ریزی، تمرکز.</x:v>
      </x:c>
      <x:c r="H2538" s="39" t="str">
        <x:v>H1</x:v>
      </x:c>
      <x:c r="I2538" s="39" t="str">
        <x:v>P0</x:v>
      </x:c>
      <x:c r="J2538" s="39" t="str">
        <x:v>H1</x:v>
      </x:c>
      <x:c r="K2538" s="39" t="str">
        <x:v>تطبیق احتمالی با پایه</x:v>
      </x:c>
      <x:c r="L2538" s="39" t="str">
        <x:v>MI-1503</x:v>
      </x:c>
      <x:c r="M2538" s="39" t="str">
        <x:v>مدیریت زمان: اولویت بندی، برنامه ریزی، تمرکز.</x:v>
      </x:c>
      <x:c r="N2538" s="39" t="str">
        <x:v>1154878548.docx::P7783.1</x:v>
      </x:c>
      <x:c r="O2538" s="39"/>
    </x:row>
    <x:row r="2539">
      <x:c r="A2539" s="34" t="str">
        <x:v>☐</x:v>
      </x:c>
      <x:c r="B2539" s="34" t="str">
        <x:v>EX-2511</x:v>
      </x:c>
      <x:c r="C2539" s="34" t="str">
        <x:v>وام‌ها یا مزایای هدفمند باید از طریق قواعد اولویت‌بندی تخصیص یابند تا منابع محدود عادلانه توزیع شوند</x:v>
      </x:c>
      <x:c r="D2539" s="34" t="str">
        <x:v>POSSIBLE</x:v>
      </x:c>
      <x:c r="E2539" s="34" t="str">
        <x:v>85.5</x:v>
      </x:c>
      <x:c r="F2539" s="34" t="str">
        <x:v>MI-1503</x:v>
      </x:c>
      <x:c r="G2539" s="39" t="str">
        <x:v>مدیریت زمان: اولویت بندی، برنامه ریزی، تمرکز.</x:v>
      </x:c>
      <x:c r="H2539" s="39" t="str">
        <x:v>H1</x:v>
      </x:c>
      <x:c r="I2539" s="39" t="str">
        <x:v>P0</x:v>
      </x:c>
      <x:c r="J2539" s="39" t="str">
        <x:v>H1</x:v>
      </x:c>
      <x:c r="K2539" s="39" t="str">
        <x:v>تطبیق احتمالی با پایه</x:v>
      </x:c>
      <x:c r="L2539" s="39" t="str">
        <x:v>MI-1503</x:v>
      </x:c>
      <x:c r="M2539" s="39" t="str">
        <x:v>مدیریت زمان: اولویت بندی، برنامه ریزی، تمرکز.</x:v>
      </x:c>
      <x:c r="N2539" s="39" t="str">
        <x:v>1154878548.docx::P7784.1</x:v>
      </x:c>
      <x:c r="O2539" s="39"/>
    </x:row>
    <x:row r="2540">
      <x:c r="A2540" s="34" t="str">
        <x:v>☐</x:v>
      </x:c>
      <x:c r="B2540" s="34" t="str">
        <x:v>EX-2512</x:v>
      </x:c>
      <x:c r="C2540" s="34" t="str">
        <x:v>این مدل حمایتی پلتفرم را به یک شبکه ایمنی عملی تبدیل می‌کند، نه صرفاً یک داشبورد</x:v>
      </x:c>
      <x:c r="D2540" s="34" t="str">
        <x:v>POSSIBLE</x:v>
      </x:c>
      <x:c r="E2540" s="34" t="str">
        <x:v>85.5</x:v>
      </x:c>
      <x:c r="F2540" s="34" t="str">
        <x:v>MI-0090</x:v>
      </x:c>
      <x:c r="G2540" s="39" t="str">
        <x:v>مهارت شبکه سازی</x:v>
      </x:c>
      <x:c r="H2540" s="39" t="str">
        <x:v>H1</x:v>
      </x:c>
      <x:c r="I2540" s="39" t="str">
        <x:v>P0</x:v>
      </x:c>
      <x:c r="J2540" s="39" t="str">
        <x:v>H1</x:v>
      </x:c>
      <x:c r="K2540" s="39" t="str">
        <x:v>تطبیق احتمالی با پایه</x:v>
      </x:c>
      <x:c r="L2540" s="39" t="str">
        <x:v>MI-0090</x:v>
      </x:c>
      <x:c r="M2540" s="39" t="str">
        <x:v>مهارت شبکه سازی</x:v>
      </x:c>
      <x:c r="N2540" s="39" t="str">
        <x:v>1154878548.docx::P7785.1</x:v>
      </x:c>
      <x:c r="O2540" s="39"/>
    </x:row>
    <x:row r="2541">
      <x:c r="A2541" s="34" t="str">
        <x:v>☐</x:v>
      </x:c>
      <x:c r="B2541" s="34" t="str">
        <x:v>EX-2513</x:v>
      </x:c>
      <x:c r="C2541" s="34" t="str">
        <x:v>صندوق تعاونی و مدل درآمدزایی</x:v>
      </x:c>
      <x:c r="D2541" s="34" t="str">
        <x:v>POSSIBLE</x:v>
      </x:c>
      <x:c r="E2541" s="34" t="str">
        <x:v>90.0</x:v>
      </x:c>
      <x:c r="F2541" s="34" t="str">
        <x:v>MI-0285</x:v>
      </x:c>
      <x:c r="G2541" s="39" t="str">
        <x:v>تعاونی</x:v>
      </x:c>
      <x:c r="H2541" s="39" t="str">
        <x:v>H16</x:v>
      </x:c>
      <x:c r="I2541" s="39" t="str">
        <x:v>P3/CLARIFY</x:v>
      </x:c>
      <x:c r="J2541" s="39" t="str">
        <x:v>H16</x:v>
      </x:c>
      <x:c r="K2541" s="39" t="str">
        <x:v>تطبیق احتمالی با پایه</x:v>
      </x:c>
      <x:c r="L2541" s="39" t="str">
        <x:v>MI-0285</x:v>
      </x:c>
      <x:c r="M2541" s="39" t="str">
        <x:v>تعاونی</x:v>
      </x:c>
      <x:c r="N2541" s="39" t="str">
        <x:v>1154878548.docx::P7786.1</x:v>
      </x:c>
      <x:c r="O2541" s="39"/>
    </x:row>
    <x:row r="2542">
      <x:c r="A2542" s="34" t="str">
        <x:v>☐</x:v>
      </x:c>
      <x:c r="B2542" s="34" t="str">
        <x:v>EX-2514</x:v>
      </x:c>
      <x:c r="C2542" s="34" t="str">
        <x:v>ساختار صندوق و پایداری</x:v>
      </x:c>
      <x:c r="D2542" s="34" t="str">
        <x:v>POSSIBLE</x:v>
      </x:c>
      <x:c r="E2542" s="34" t="str">
        <x:v>85.5</x:v>
      </x:c>
      <x:c r="F2542" s="34" t="str">
        <x:v>MI-1513</x:v>
      </x:c>
      <x:c r="G2542" s="39" t="str">
        <x:v>تولید و کارآفرینی: توانایی تولید محصول و خدمات و ایجاد شغل.</x:v>
      </x:c>
      <x:c r="H2542" s="39" t="str">
        <x:v>H1</x:v>
      </x:c>
      <x:c r="I2542" s="39" t="str">
        <x:v>P0</x:v>
      </x:c>
      <x:c r="J2542" s="39" t="str">
        <x:v>H1</x:v>
      </x:c>
      <x:c r="K2542" s="39" t="str">
        <x:v>تطبیق احتمالی با پایه</x:v>
      </x:c>
      <x:c r="L2542" s="39" t="str">
        <x:v>MI-1513</x:v>
      </x:c>
      <x:c r="M2542" s="39" t="str">
        <x:v>تولید و کارآفرینی: توانایی تولید محصول و خدمات و ایجاد شغل.</x:v>
      </x:c>
      <x:c r="N2542" s="39" t="str">
        <x:v>1154878548.docx::P7787.1</x:v>
      </x:c>
      <x:c r="O2542" s="39"/>
    </x:row>
    <x:row r="2543">
      <x:c r="A2543" s="34" t="str">
        <x:v>☐</x:v>
      </x:c>
      <x:c r="B2543" s="34" t="str">
        <x:v>EX-2515</x:v>
      </x:c>
      <x:c r="C2543" s="34" t="str">
        <x:v>صندوق تعاونی نباید صرفاً خیریه باشد؛ باید موتور خلق ارزش با چندین جریان درآمدی باشد</x:v>
      </x:c>
      <x:c r="D2543" s="34" t="str">
        <x:v>POSSIBLE</x:v>
      </x:c>
      <x:c r="E2543" s="34" t="str">
        <x:v>90.0</x:v>
      </x:c>
      <x:c r="F2543" s="34" t="str">
        <x:v>MI-0246</x:v>
      </x:c>
      <x:c r="G2543" s="39" t="str">
        <x:v>صندوق تعاونی</x:v>
      </x:c>
      <x:c r="H2543" s="39" t="str">
        <x:v>H19</x:v>
      </x:c>
      <x:c r="I2543" s="39" t="str">
        <x:v>P3</x:v>
      </x:c>
      <x:c r="J2543" s="39" t="str">
        <x:v>H19</x:v>
      </x:c>
      <x:c r="K2543" s="39" t="str">
        <x:v>تطبیق احتمالی با پایه</x:v>
      </x:c>
      <x:c r="L2543" s="39" t="str">
        <x:v>MI-0246</x:v>
      </x:c>
      <x:c r="M2543" s="39" t="str">
        <x:v>صندوق تعاونی</x:v>
      </x:c>
      <x:c r="N2543" s="39" t="str">
        <x:v>1154878548.docx::P7788.1</x:v>
      </x:c>
      <x:c r="O2543" s="39"/>
    </x:row>
    <x:row r="2544">
      <x:c r="A2544" s="34" t="str">
        <x:v>☐</x:v>
      </x:c>
      <x:c r="B2544" s="34" t="str">
        <x:v>EX-2516</x:v>
      </x:c>
      <x:c r="C2544" s="34" t="str">
        <x:v>اشتراک ماهانه کوچک می‌تواند پروفایل‌ها را فعال نگه دارد و دسترسی به خدمات با تخفیف را فراهم کند</x:v>
      </x:c>
      <x:c r="D2544" s="34" t="str">
        <x:v>POSSIBLE</x:v>
      </x:c>
      <x:c r="E2544" s="34" t="str">
        <x:v>85.5</x:v>
      </x:c>
      <x:c r="F2544" s="34" t="str">
        <x:v>MI-1513</x:v>
      </x:c>
      <x:c r="G2544" s="39" t="str">
        <x:v>تولید و کارآفرینی: توانایی تولید محصول و خدمات و ایجاد شغل.</x:v>
      </x:c>
      <x:c r="H2544" s="39" t="str">
        <x:v>H1</x:v>
      </x:c>
      <x:c r="I2544" s="39" t="str">
        <x:v>P0</x:v>
      </x:c>
      <x:c r="J2544" s="39" t="str">
        <x:v>H1</x:v>
      </x:c>
      <x:c r="K2544" s="39" t="str">
        <x:v>تطبیق احتمالی با پایه</x:v>
      </x:c>
      <x:c r="L2544" s="39" t="str">
        <x:v>MI-1513</x:v>
      </x:c>
      <x:c r="M2544" s="39" t="str">
        <x:v>تولید و کارآفرینی: توانایی تولید محصول و خدمات و ایجاد شغل.</x:v>
      </x:c>
      <x:c r="N2544" s="39" t="str">
        <x:v>1154878548.docx::P7789.1</x:v>
      </x:c>
      <x:c r="O2544" s="39"/>
    </x:row>
    <x:row r="2545">
      <x:c r="A2545" s="34" t="str">
        <x:v>☐</x:v>
      </x:c>
      <x:c r="B2545" s="34" t="str">
        <x:v>EX-2517</x:v>
      </x:c>
      <x:c r="C2545" s="34" t="str">
        <x:v>کارمزد مدیریت از وام‌ها می‌تواند پایداری را تامین کند اگر درصد بسیار کوچک و شفاف مدیریت شود</x:v>
      </x:c>
      <x:c r="D2545" s="34" t="str">
        <x:v>POSSIBLE</x:v>
      </x:c>
      <x:c r="E2545" s="34" t="str">
        <x:v>85.5</x:v>
      </x:c>
      <x:c r="F2545" s="34" t="str">
        <x:v>MI-1503</x:v>
      </x:c>
      <x:c r="G2545" s="39" t="str">
        <x:v>مدیریت زمان: اولویت بندی، برنامه ریزی، تمرکز.</x:v>
      </x:c>
      <x:c r="H2545" s="39" t="str">
        <x:v>H1</x:v>
      </x:c>
      <x:c r="I2545" s="39" t="str">
        <x:v>P0</x:v>
      </x:c>
      <x:c r="J2545" s="39" t="str">
        <x:v>H1</x:v>
      </x:c>
      <x:c r="K2545" s="39" t="str">
        <x:v>تطبیق احتمالی با پایه</x:v>
      </x:c>
      <x:c r="L2545" s="39" t="str">
        <x:v>MI-1503</x:v>
      </x:c>
      <x:c r="M2545" s="39" t="str">
        <x:v>مدیریت زمان: اولویت بندی، برنامه ریزی، تمرکز.</x:v>
      </x:c>
      <x:c r="N2545" s="39" t="str">
        <x:v>1154878548.docx::P7790.1</x:v>
      </x:c>
      <x:c r="O2545" s="39"/>
    </x:row>
    <x:row r="2546">
      <x:c r="A2546" s="34" t="str">
        <x:v>☐</x:v>
      </x:c>
      <x:c r="B2546" s="34" t="str">
        <x:v>EX-2518</x:v>
      </x:c>
      <x:c r="C2546" s="34" t="str">
        <x:v>کانال‌های درآمد و تبادل اکوسیستم</x:v>
      </x:c>
      <x:c r="D2546" s="34" t="str">
        <x:v>POSSIBLE</x:v>
      </x:c>
      <x:c r="E2546" s="34" t="str">
        <x:v>85.5</x:v>
      </x:c>
      <x:c r="F2546" s="34" t="str">
        <x:v>MI-1501</x:v>
      </x:c>
      <x:c r="G2546" s="39" t="str">
        <x:v>مدیریت ریسک: شناسایی ریسک ها، ارزیابی اثرات، تدوین برنامه های مقابله با ریسک ها.</x:v>
      </x:c>
      <x:c r="H2546" s="39" t="str">
        <x:v>H1</x:v>
      </x:c>
      <x:c r="I2546" s="39" t="str">
        <x:v>P0</x:v>
      </x:c>
      <x:c r="J2546" s="39" t="str">
        <x:v>H1</x:v>
      </x:c>
      <x:c r="K2546" s="39" t="str">
        <x:v>تطبیق احتمالی با پایه</x:v>
      </x:c>
      <x:c r="L2546" s="39" t="str">
        <x:v>MI-1501</x:v>
      </x:c>
      <x:c r="M2546" s="39" t="str">
        <x:v>مدیریت ریسک: شناسایی ریسک ها، ارزیابی اثرات، تدوین برنامه های مقابله با ریسک ها.</x:v>
      </x:c>
      <x:c r="N2546" s="39" t="str">
        <x:v>1154878548.docx::P7791.1</x:v>
      </x:c>
      <x:c r="O2546" s="39"/>
    </x:row>
    <x:row r="2547">
      <x:c r="A2547" s="34" t="str">
        <x:v>☐</x:v>
      </x:c>
      <x:c r="B2547" s="34" t="str">
        <x:v>EX-2519</x:v>
      </x:c>
      <x:c r="C2547" s="34" t="str">
        <x:v>پلتفرم می‌تواند از خدمات جذب نیرو (headhunting) و کارمزد ارجاع نیروی کار که شرکت‌ها برای دریافت کاندیداهای فیلترشده می‌پردازند درآمد کسب کند</x:v>
      </x:c>
      <x:c r="D2547" s="34" t="str">
        <x:v>POSSIBLE</x:v>
      </x:c>
      <x:c r="E2547" s="34" t="str">
        <x:v>85.5</x:v>
      </x:c>
      <x:c r="F2547" s="34" t="str">
        <x:v>MI-1501</x:v>
      </x:c>
      <x:c r="G2547" s="39" t="str">
        <x:v>مدیریت ریسک: شناسایی ریسک ها، ارزیابی اثرات، تدوین برنامه های مقابله با ریسک ها.</x:v>
      </x:c>
      <x:c r="H2547" s="39" t="str">
        <x:v>H1</x:v>
      </x:c>
      <x:c r="I2547" s="39" t="str">
        <x:v>P0</x:v>
      </x:c>
      <x:c r="J2547" s="39" t="str">
        <x:v>H1</x:v>
      </x:c>
      <x:c r="K2547" s="39" t="str">
        <x:v>تطبیق احتمالی با پایه</x:v>
      </x:c>
      <x:c r="L2547" s="39" t="str">
        <x:v>MI-1501</x:v>
      </x:c>
      <x:c r="M2547" s="39" t="str">
        <x:v>مدیریت ریسک: شناسایی ریسک ها، ارزیابی اثرات، تدوین برنامه های مقابله با ریسک ها.</x:v>
      </x:c>
      <x:c r="N2547" s="39" t="str">
        <x:v>1154878548.docx::P7792.1</x:v>
      </x:c>
      <x:c r="O2547" s="39"/>
    </x:row>
    <x:row r="2548">
      <x:c r="A2548" s="34" t="str">
        <x:v>☐</x:v>
      </x:c>
      <x:c r="B2548" s="34" t="str">
        <x:v>EX-2520</x:v>
      </x:c>
      <x:c r="C2548" s="34" t="str">
        <x:v>کارگاه‌های آموزشی می‌توانند با تخفیف برای اعضا و قیمتِ غیرعضو فروخته شوند، به‌ویژه برای مهارت‌های عملی مانند LinkedIn و نوشتن رزومه</x:v>
      </x:c>
      <x:c r="D2548" s="34" t="str">
        <x:v>POSSIBLE</x:v>
      </x:c>
      <x:c r="E2548" s="34" t="str">
        <x:v>90.0</x:v>
      </x:c>
      <x:c r="F2548" s="34" t="str">
        <x:v>MI-1998</x:v>
      </x:c>
      <x:c r="G2548" s="39" t="str">
        <x:v>کارگاه های آموزشی</x:v>
      </x:c>
      <x:c r="H2548" s="39" t="str">
        <x:v>H20</x:v>
      </x:c>
      <x:c r="I2548" s="39" t="str">
        <x:v>P3/CLARIFY</x:v>
      </x:c>
      <x:c r="J2548" s="39" t="str">
        <x:v>H20</x:v>
      </x:c>
      <x:c r="K2548" s="39" t="str">
        <x:v>تطبیق احتمالی با پایه</x:v>
      </x:c>
      <x:c r="L2548" s="39" t="str">
        <x:v>MI-1998</x:v>
      </x:c>
      <x:c r="M2548" s="39" t="str">
        <x:v>کارگاه های آموزشی</x:v>
      </x:c>
      <x:c r="N2548" s="39" t="str">
        <x:v>1154878548.docx::P7793.1</x:v>
      </x:c>
      <x:c r="O2548" s="39"/>
    </x:row>
    <x:row r="2549">
      <x:c r="A2549" s="34" t="str">
        <x:v>☐</x:v>
      </x:c>
      <x:c r="B2549" s="34" t="str">
        <x:v>EX-2521</x:v>
      </x:c>
      <x:c r="C2549" s="34" t="str">
        <x:v>اسپانسرشیپ رویداد، قراردادهای بارتر و شراکت‌های مهمان‌نوازی B2B نیز می‌توانند شبکه را تامین مالی کنند</x:v>
      </x:c>
      <x:c r="D2549" s="34" t="str">
        <x:v>POSSIBLE</x:v>
      </x:c>
      <x:c r="E2549" s="34" t="str">
        <x:v>85.5</x:v>
      </x:c>
      <x:c r="F2549" s="34" t="str">
        <x:v>MI-1513</x:v>
      </x:c>
      <x:c r="G2549" s="39" t="str">
        <x:v>تولید و کارآفرینی: توانایی تولید محصول و خدمات و ایجاد شغل.</x:v>
      </x:c>
      <x:c r="H2549" s="39" t="str">
        <x:v>H1</x:v>
      </x:c>
      <x:c r="I2549" s="39" t="str">
        <x:v>P0</x:v>
      </x:c>
      <x:c r="J2549" s="39" t="str">
        <x:v>H1</x:v>
      </x:c>
      <x:c r="K2549" s="39" t="str">
        <x:v>تطبیق احتمالی با پایه</x:v>
      </x:c>
      <x:c r="L2549" s="39" t="str">
        <x:v>MI-1513</x:v>
      </x:c>
      <x:c r="M2549" s="39" t="str">
        <x:v>تولید و کارآفرینی: توانایی تولید محصول و خدمات و ایجاد شغل.</x:v>
      </x:c>
      <x:c r="N2549" s="39" t="str">
        <x:v>1154878548.docx::P7794.1</x:v>
      </x:c>
      <x:c r="O2549" s="39"/>
    </x:row>
    <x:row r="2550">
      <x:c r="A2550" s="34" t="str">
        <x:v>☐</x:v>
      </x:c>
      <x:c r="B2550" s="34" t="str">
        <x:v>EX-2522</x:v>
      </x:c>
      <x:c r="C2550" s="34" t="str">
        <x:v>منابع و شبکه شرکا</x:v>
      </x:c>
      <x:c r="D2550" s="34" t="str">
        <x:v>POSSIBLE</x:v>
      </x:c>
      <x:c r="E2550" s="34" t="str">
        <x:v>90.0</x:v>
      </x:c>
      <x:c r="F2550" s="34" t="str">
        <x:v>MI-2797</x:v>
      </x:c>
      <x:c r="G2550" s="39" t="str">
        <x:v>منابع:</x:v>
      </x:c>
      <x:c r="H2550" s="39" t="str">
        <x:v>H20</x:v>
      </x:c>
      <x:c r="I2550" s="39" t="str">
        <x:v>P3/CLARIFY</x:v>
      </x:c>
      <x:c r="J2550" s="39" t="str">
        <x:v>H20</x:v>
      </x:c>
      <x:c r="K2550" s="39" t="str">
        <x:v>تطبیق احتمالی با پایه</x:v>
      </x:c>
      <x:c r="L2550" s="39" t="str">
        <x:v>MI-2797</x:v>
      </x:c>
      <x:c r="M2550" s="39" t="str">
        <x:v>منابع:</x:v>
      </x:c>
      <x:c r="N2550" s="39" t="str">
        <x:v>1154878548.docx::P7795.1</x:v>
      </x:c>
      <x:c r="O2550" s="39"/>
    </x:row>
    <x:row r="2551">
      <x:c r="A2551" s="34" t="str">
        <x:v>☐</x:v>
      </x:c>
      <x:c r="B2551" s="34" t="str">
        <x:v>EX-2523</x:v>
      </x:c>
      <x:c r="C2551" s="34" t="str">
        <x:v>سیستم باید بانک اسپانسرها، NGOها، بنگاه‌ها، تخفیف‌ها و نهادهای شریک را نگهداری کند</x:v>
      </x:c>
      <x:c r="D2551" s="34" t="str">
        <x:v>POSSIBLE</x:v>
      </x:c>
      <x:c r="E2551" s="34" t="str">
        <x:v>85.5</x:v>
      </x:c>
      <x:c r="F2551" s="34" t="str">
        <x:v>MI-2921</x:v>
      </x:c>
      <x:c r="G2551" s="39" t="str">
        <x:v>ساختار تصمیم گیری چگونه باید باشد</x:v>
      </x:c>
      <x:c r="H2551" s="39" t="str">
        <x:v>H1</x:v>
      </x:c>
      <x:c r="I2551" s="39" t="str">
        <x:v>P0</x:v>
      </x:c>
      <x:c r="J2551" s="39" t="str">
        <x:v>H1</x:v>
      </x:c>
      <x:c r="K2551" s="39" t="str">
        <x:v>تطبیق احتمالی با پایه</x:v>
      </x:c>
      <x:c r="L2551" s="39" t="str">
        <x:v>MI-2921</x:v>
      </x:c>
      <x:c r="M2551" s="39" t="str">
        <x:v>ساختار تصمیم گیری چگونه باید باشد</x:v>
      </x:c>
      <x:c r="N2551" s="39" t="str">
        <x:v>1154878548.docx::P7796.1</x:v>
      </x:c>
      <x:c r="O2551" s="39"/>
    </x:row>
    <x:row r="2552">
      <x:c r="A2552" s="34" t="str">
        <x:v>☐</x:v>
      </x:c>
      <x:c r="B2552" s="34" t="str">
        <x:v>EX-2524</x:v>
      </x:c>
      <x:c r="C2552" s="34" t="str">
        <x:v>این شرکا می‌توانند وعده‌های غذایی، میزبانی مکان، پشتیبانی رویداد، تخفیف خدمات و سایر امتیازات برای اعضا فراهم کنند</x:v>
      </x:c>
      <x:c r="D2552" s="34" t="str">
        <x:v>POSSIBLE</x:v>
      </x:c>
      <x:c r="E2552" s="34" t="str">
        <x:v>85.5</x:v>
      </x:c>
      <x:c r="F2552" s="34" t="str">
        <x:v>MI-1513</x:v>
      </x:c>
      <x:c r="G2552" s="39" t="str">
        <x:v>تولید و کارآفرینی: توانایی تولید محصول و خدمات و ایجاد شغل.</x:v>
      </x:c>
      <x:c r="H2552" s="39" t="str">
        <x:v>H1</x:v>
      </x:c>
      <x:c r="I2552" s="39" t="str">
        <x:v>P0</x:v>
      </x:c>
      <x:c r="J2552" s="39" t="str">
        <x:v>H1</x:v>
      </x:c>
      <x:c r="K2552" s="39" t="str">
        <x:v>تطبیق احتمالی با پایه</x:v>
      </x:c>
      <x:c r="L2552" s="39" t="str">
        <x:v>MI-1513</x:v>
      </x:c>
      <x:c r="M2552" s="39" t="str">
        <x:v>تولید و کارآفرینی: توانایی تولید محصول و خدمات و ایجاد شغل.</x:v>
      </x:c>
      <x:c r="N2552" s="39" t="str">
        <x:v>1154878548.docx::P7797.1</x:v>
      </x:c>
      <x:c r="O2552" s="39"/>
    </x:row>
    <x:row r="2553">
      <x:c r="A2553" s="34" t="str">
        <x:v>☐</x:v>
      </x:c>
      <x:c r="B2553" s="34" t="str">
        <x:v>EX-2525</x:v>
      </x:c>
      <x:c r="C2553" s="34" t="str">
        <x:v>مزایا باید به کارت‌های هویتی، کدها یا ارجاعات قابل مشاهده مرتبط باشند تا شرکا به‌راحتی افراد واجد شرایط را بشناسند</x:v>
      </x:c>
      <x:c r="D2553" s="34" t="str">
        <x:v>POSSIBLE</x:v>
      </x:c>
      <x:c r="E2553" s="34" t="str">
        <x:v>85.5</x:v>
      </x:c>
      <x:c r="F2553" s="34" t="str">
        <x:v>MI-2921</x:v>
      </x:c>
      <x:c r="G2553" s="39" t="str">
        <x:v>ساختار تصمیم گیری چگونه باید باشد</x:v>
      </x:c>
      <x:c r="H2553" s="39" t="str">
        <x:v>H1</x:v>
      </x:c>
      <x:c r="I2553" s="39" t="str">
        <x:v>P0</x:v>
      </x:c>
      <x:c r="J2553" s="39" t="str">
        <x:v>H1</x:v>
      </x:c>
      <x:c r="K2553" s="39" t="str">
        <x:v>تطبیق احتمالی با پایه</x:v>
      </x:c>
      <x:c r="L2553" s="39" t="str">
        <x:v>MI-2921</x:v>
      </x:c>
      <x:c r="M2553" s="39" t="str">
        <x:v>ساختار تصمیم گیری چگونه باید باشد</x:v>
      </x:c>
      <x:c r="N2553" s="39" t="str">
        <x:v>1154878548.docx::P7798.1</x:v>
      </x:c>
      <x:c r="O2553" s="39"/>
    </x:row>
    <x:row r="2554">
      <x:c r="A2554" s="34" t="str">
        <x:v>☐</x:v>
      </x:c>
      <x:c r="B2554" s="34" t="str">
        <x:v>EX-2526</x:v>
      </x:c>
      <x:c r="C2554" s="34" t="str">
        <x:v>معماری سامانه و پشته فناوری</x:v>
      </x:c>
      <x:c r="D2554" s="34" t="str">
        <x:v>POSSIBLE</x:v>
      </x:c>
      <x:c r="E2554" s="34" t="str">
        <x:v>90.0</x:v>
      </x:c>
      <x:c r="F2554" s="34" t="str">
        <x:v>MI-1192</x:v>
      </x:c>
      <x:c r="G2554" s="39" t="str">
        <x:v>سامان</x:v>
      </x:c>
      <x:c r="H2554" s="39" t="str">
        <x:v>H11</x:v>
      </x:c>
      <x:c r="I2554" s="39" t="str">
        <x:v>DELEGATE/P2</x:v>
      </x:c>
      <x:c r="J2554" s="39" t="str">
        <x:v>H11</x:v>
      </x:c>
      <x:c r="K2554" s="39" t="str">
        <x:v>تطبیق احتمالی با پایه</x:v>
      </x:c>
      <x:c r="L2554" s="39" t="str">
        <x:v>MI-1192</x:v>
      </x:c>
      <x:c r="M2554" s="39" t="str">
        <x:v>سامان</x:v>
      </x:c>
      <x:c r="N2554" s="39" t="str">
        <x:v>1154878548.docx::P7799.1</x:v>
      </x:c>
      <x:c r="O2554" s="39"/>
    </x:row>
    <x:row r="2555">
      <x:c r="A2555" s="34" t="str">
        <x:v>☐</x:v>
      </x:c>
      <x:c r="B2555" s="34" t="str">
        <x:v>EX-2527</x:v>
      </x:c>
      <x:c r="C2555" s="34" t="str">
        <x:v>لایه‌های پایگاه داده هسته‌ای</x:v>
      </x:c>
      <x:c r="D2555" s="34" t="str">
        <x:v>POSSIBLE</x:v>
      </x:c>
      <x:c r="E2555" s="34" t="str">
        <x:v>85.5</x:v>
      </x:c>
      <x:c r="F2555" s="34" t="str">
        <x:v>MI-1501</x:v>
      </x:c>
      <x:c r="G2555" s="39" t="str">
        <x:v>مدیریت ریسک: شناسایی ریسک ها، ارزیابی اثرات، تدوین برنامه های مقابله با ریسک ها.</x:v>
      </x:c>
      <x:c r="H2555" s="39" t="str">
        <x:v>H1</x:v>
      </x:c>
      <x:c r="I2555" s="39" t="str">
        <x:v>P0</x:v>
      </x:c>
      <x:c r="J2555" s="39" t="str">
        <x:v>H1</x:v>
      </x:c>
      <x:c r="K2555" s="39" t="str">
        <x:v>تطبیق احتمالی با پایه</x:v>
      </x:c>
      <x:c r="L2555" s="39" t="str">
        <x:v>MI-1501</x:v>
      </x:c>
      <x:c r="M2555" s="39" t="str">
        <x:v>مدیریت ریسک: شناسایی ریسک ها، ارزیابی اثرات، تدوین برنامه های مقابله با ریسک ها.</x:v>
      </x:c>
      <x:c r="N2555" s="39" t="str">
        <x:v>1154878548.docx::P7800.1</x:v>
      </x:c>
      <x:c r="O2555" s="39"/>
    </x:row>
    <x:row r="2556">
      <x:c r="A2556" s="34" t="str">
        <x:v>☐</x:v>
      </x:c>
      <x:c r="B2556" s="34" t="str">
        <x:v>EX-2528</x:v>
      </x:c>
      <x:c r="C2556" s="34" t="str">
        <x:v>یک CRM متصل باید بانک پروفایل زنده، بانک مسیرهای مهارت و شغلی، بانک فرصت‌های شغلی و بانک شرکا را لینک کند</x:v>
      </x:c>
      <x:c r="D2556" s="34" t="str">
        <x:v>POSSIBLE</x:v>
      </x:c>
      <x:c r="E2556" s="34" t="str">
        <x:v>85.5</x:v>
      </x:c>
      <x:c r="F2556" s="34" t="str">
        <x:v>MI-1513</x:v>
      </x:c>
      <x:c r="G2556" s="39" t="str">
        <x:v>تولید و کارآفرینی: توانایی تولید محصول و خدمات و ایجاد شغل.</x:v>
      </x:c>
      <x:c r="H2556" s="39" t="str">
        <x:v>H1</x:v>
      </x:c>
      <x:c r="I2556" s="39" t="str">
        <x:v>P0</x:v>
      </x:c>
      <x:c r="J2556" s="39" t="str">
        <x:v>H1</x:v>
      </x:c>
      <x:c r="K2556" s="39" t="str">
        <x:v>تطبیق احتمالی با پایه</x:v>
      </x:c>
      <x:c r="L2556" s="39" t="str">
        <x:v>MI-1513</x:v>
      </x:c>
      <x:c r="M2556" s="39" t="str">
        <x:v>تولید و کارآفرینی: توانایی تولید محصول و خدمات و ایجاد شغل.</x:v>
      </x:c>
      <x:c r="N2556" s="39" t="str">
        <x:v>1154878548.docx::P7801.1</x:v>
      </x:c>
      <x:c r="O2556" s="39"/>
    </x:row>
    <x:row r="2557">
      <x:c r="A2557" s="34" t="str">
        <x:v>☐</x:v>
      </x:c>
      <x:c r="B2557" s="34" t="str">
        <x:v>EX-2529</x:v>
      </x:c>
      <x:c r="C2557" s="34" t="str">
        <x:v>بانک پروفایل زنده باید هویت، شخصیت، تاریخ‌های کلیدی و تاریخچه تعاملات را شامل شود</x:v>
      </x:c>
      <x:c r="D2557" s="34" t="str">
        <x:v>POSSIBLE</x:v>
      </x:c>
      <x:c r="E2557" s="34" t="str">
        <x:v>85.5</x:v>
      </x:c>
      <x:c r="F2557" s="34" t="str">
        <x:v>MI-2921</x:v>
      </x:c>
      <x:c r="G2557" s="39" t="str">
        <x:v>ساختار تصمیم گیری چگونه باید باشد</x:v>
      </x:c>
      <x:c r="H2557" s="39" t="str">
        <x:v>H1</x:v>
      </x:c>
      <x:c r="I2557" s="39" t="str">
        <x:v>P0</x:v>
      </x:c>
      <x:c r="J2557" s="39" t="str">
        <x:v>H1</x:v>
      </x:c>
      <x:c r="K2557" s="39" t="str">
        <x:v>تطبیق احتمالی با پایه</x:v>
      </x:c>
      <x:c r="L2557" s="39" t="str">
        <x:v>MI-2921</x:v>
      </x:c>
      <x:c r="M2557" s="39" t="str">
        <x:v>ساختار تصمیم گیری چگونه باید باشد</x:v>
      </x:c>
      <x:c r="N2557" s="39" t="str">
        <x:v>1154878548.docx::P7802.1</x:v>
      </x:c>
      <x:c r="O2557" s="39"/>
    </x:row>
    <x:row r="2558">
      <x:c r="A2558" s="34" t="str">
        <x:v>☐</x:v>
      </x:c>
      <x:c r="B2558" s="34" t="str">
        <x:v>EX-2530</x:v>
      </x:c>
      <x:c r="C2558" s="34" t="str">
        <x:v>بانک مهارت باید از برنامه‌ریزی توسعه فردی به سبک IDP و ردیابی آمادگی برای آینده پشتیبانی کند</x:v>
      </x:c>
      <x:c r="D2558" s="34" t="str">
        <x:v>POSSIBLE</x:v>
      </x:c>
      <x:c r="E2558" s="34" t="str">
        <x:v>85.5</x:v>
      </x:c>
      <x:c r="F2558" s="34" t="str">
        <x:v>MI-0179</x:v>
      </x:c>
      <x:c r="G2558" s="39" t="str">
        <x:v>برنامه ریزی شهری</x:v>
      </x:c>
      <x:c r="H2558" s="39" t="str">
        <x:v>H1</x:v>
      </x:c>
      <x:c r="I2558" s="39" t="str">
        <x:v>P0</x:v>
      </x:c>
      <x:c r="J2558" s="39" t="str">
        <x:v>H1</x:v>
      </x:c>
      <x:c r="K2558" s="39" t="str">
        <x:v>تطبیق احتمالی با پایه</x:v>
      </x:c>
      <x:c r="L2558" s="39" t="str">
        <x:v>MI-0179</x:v>
      </x:c>
      <x:c r="M2558" s="39" t="str">
        <x:v>برنامه ریزی شهری</x:v>
      </x:c>
      <x:c r="N2558" s="39" t="str">
        <x:v>1154878548.docx::P7803.1</x:v>
      </x:c>
      <x:c r="O2558" s="39"/>
    </x:row>
    <x:row r="2559">
      <x:c r="A2559" s="34" t="str">
        <x:v>☐</x:v>
      </x:c>
      <x:c r="B2559" s="34" t="str">
        <x:v>EX-2531</x:v>
      </x:c>
      <x:c r="C2559" s="34" t="str">
        <x:v>جمع‌آوری داده غیرفعال و موتور تطبیق</x:v>
      </x:c>
      <x:c r="D2559" s="34" t="str">
        <x:v>POSSIBLE</x:v>
      </x:c>
      <x:c r="E2559" s="34" t="str">
        <x:v>85.5</x:v>
      </x:c>
      <x:c r="F2559" s="34" t="str">
        <x:v>MI-1513</x:v>
      </x:c>
      <x:c r="G2559" s="39" t="str">
        <x:v>تولید و کارآفرینی: توانایی تولید محصول و خدمات و ایجاد شغل.</x:v>
      </x:c>
      <x:c r="H2559" s="39" t="str">
        <x:v>H1</x:v>
      </x:c>
      <x:c r="I2559" s="39" t="str">
        <x:v>P0</x:v>
      </x:c>
      <x:c r="J2559" s="39" t="str">
        <x:v>H1</x:v>
      </x:c>
      <x:c r="K2559" s="39" t="str">
        <x:v>تطبیق احتمالی با پایه</x:v>
      </x:c>
      <x:c r="L2559" s="39" t="str">
        <x:v>MI-1513</x:v>
      </x:c>
      <x:c r="M2559" s="39" t="str">
        <x:v>تولید و کارآفرینی: توانایی تولید محصول و خدمات و ایجاد شغل.</x:v>
      </x:c>
      <x:c r="N2559" s="39" t="str">
        <x:v>1154878548.docx::P7804.1</x:v>
      </x:c>
      <x:c r="O2559" s="39"/>
    </x:row>
    <x:row r="2560">
      <x:c r="A2560" s="34" t="str">
        <x:v>☐</x:v>
      </x:c>
      <x:c r="B2560" s="34" t="str">
        <x:v>EX-2532</x:v>
      </x:c>
      <x:c r="C2560" s="34" t="str">
        <x:v>پلتفرم باید فرم‌های طولانی را به حداقل برساند و به‌جایش داده را به‌صورت خودکار از APIها، سوابق داخلی، خروجی‌های پروژه و پروفایل‌های خارجی جمع‌آوری کند</x:v>
      </x:c>
      <x:c r="D2560" s="34" t="str">
        <x:v>POSSIBLE</x:v>
      </x:c>
      <x:c r="E2560" s="34" t="str">
        <x:v>85.5</x:v>
      </x:c>
      <x:c r="F2560" s="34" t="str">
        <x:v>MI-1501</x:v>
      </x:c>
      <x:c r="G2560" s="39" t="str">
        <x:v>مدیریت ریسک: شناسایی ریسک ها، ارزیابی اثرات، تدوین برنامه های مقابله با ریسک ها.</x:v>
      </x:c>
      <x:c r="H2560" s="39" t="str">
        <x:v>H1</x:v>
      </x:c>
      <x:c r="I2560" s="39" t="str">
        <x:v>P0</x:v>
      </x:c>
      <x:c r="J2560" s="39" t="str">
        <x:v>H1</x:v>
      </x:c>
      <x:c r="K2560" s="39" t="str">
        <x:v>تطبیق احتمالی با پایه</x:v>
      </x:c>
      <x:c r="L2560" s="39" t="str">
        <x:v>MI-1501</x:v>
      </x:c>
      <x:c r="M2560" s="39" t="str">
        <x:v>مدیریت ریسک: شناسایی ریسک ها، ارزیابی اثرات، تدوین برنامه های مقابله با ریسک ها.</x:v>
      </x:c>
      <x:c r="N2560" s="39" t="str">
        <x:v>1154878548.docx::P7805.1</x:v>
      </x:c>
      <x:c r="O2560" s="39"/>
    </x:row>
    <x:row r="2561">
      <x:c r="A2561" s="34" t="str">
        <x:v>☐</x:v>
      </x:c>
      <x:c r="B2561" s="34" t="str">
        <x:v>EX-2533</x:v>
      </x:c>
      <x:c r="C2561" s="34" t="str">
        <x:v>یک موتور توصیه‌گر باید فرد مناسب را با پروژه، منتور و فرصت آموزشی مناسب تطبیق دهد</x:v>
      </x:c>
      <x:c r="D2561" s="34" t="str">
        <x:v>POSSIBLE</x:v>
      </x:c>
      <x:c r="E2561" s="34" t="str">
        <x:v>85.5</x:v>
      </x:c>
      <x:c r="F2561" s="34" t="str">
        <x:v>MI-2921</x:v>
      </x:c>
      <x:c r="G2561" s="39" t="str">
        <x:v>ساختار تصمیم گیری چگونه باید باشد</x:v>
      </x:c>
      <x:c r="H2561" s="39" t="str">
        <x:v>H1</x:v>
      </x:c>
      <x:c r="I2561" s="39" t="str">
        <x:v>P0</x:v>
      </x:c>
      <x:c r="J2561" s="39" t="str">
        <x:v>H1</x:v>
      </x:c>
      <x:c r="K2561" s="39" t="str">
        <x:v>تطبیق احتمالی با پایه</x:v>
      </x:c>
      <x:c r="L2561" s="39" t="str">
        <x:v>MI-2921</x:v>
      </x:c>
      <x:c r="M2561" s="39" t="str">
        <x:v>ساختار تصمیم گیری چگونه باید باشد</x:v>
      </x:c>
      <x:c r="N2561" s="39" t="str">
        <x:v>1154878548.docx::P7806.1</x:v>
      </x:c>
      <x:c r="O2561" s="39"/>
    </x:row>
    <x:row r="2562">
      <x:c r="A2562" s="34" t="str">
        <x:v>☐</x:v>
      </x:c>
      <x:c r="B2562" s="34" t="str">
        <x:v>EX-2534</x:v>
      </x:c>
      <x:c r="C2562" s="34" t="str">
        <x:v>تطبیق باید احساس یک سیستم توصیه‌گر مدرن را بدهد نه تخصیص اداری دستی</x:v>
      </x:c>
      <x:c r="D2562" s="34" t="str">
        <x:v>POSSIBLE</x:v>
      </x:c>
      <x:c r="E2562" s="34" t="str">
        <x:v>85.5</x:v>
      </x:c>
      <x:c r="F2562" s="34" t="str">
        <x:v>MI-2921</x:v>
      </x:c>
      <x:c r="G2562" s="39" t="str">
        <x:v>ساختار تصمیم گیری چگونه باید باشد</x:v>
      </x:c>
      <x:c r="H2562" s="39" t="str">
        <x:v>H1</x:v>
      </x:c>
      <x:c r="I2562" s="39" t="str">
        <x:v>P0</x:v>
      </x:c>
      <x:c r="J2562" s="39" t="str">
        <x:v>H1</x:v>
      </x:c>
      <x:c r="K2562" s="39" t="str">
        <x:v>تطبیق احتمالی با پایه</x:v>
      </x:c>
      <x:c r="L2562" s="39" t="str">
        <x:v>MI-2921</x:v>
      </x:c>
      <x:c r="M2562" s="39" t="str">
        <x:v>ساختار تصمیم گیری چگونه باید باشد</x:v>
      </x:c>
      <x:c r="N2562" s="39" t="str">
        <x:v>1154878548.docx::P7807.1</x:v>
      </x:c>
      <x:c r="O2562" s="39"/>
    </x:row>
    <x:row r="2563">
      <x:c r="A2563" s="34" t="str">
        <x:v>☐</x:v>
      </x:c>
      <x:c r="B2563" s="34" t="str">
        <x:v>EX-2535</x:v>
      </x:c>
      <x:c r="C2563" s="34" t="str">
        <x:v>تجربه کاربری و بازی‌وارسازی</x:v>
      </x:c>
      <x:c r="D2563" s="34" t="str">
        <x:v>POSSIBLE</x:v>
      </x:c>
      <x:c r="E2563" s="34" t="str">
        <x:v>85.5</x:v>
      </x:c>
      <x:c r="F2563" s="34" t="str">
        <x:v>MI-1513</x:v>
      </x:c>
      <x:c r="G2563" s="39" t="str">
        <x:v>تولید و کارآفرینی: توانایی تولید محصول و خدمات و ایجاد شغل.</x:v>
      </x:c>
      <x:c r="H2563" s="39" t="str">
        <x:v>H1</x:v>
      </x:c>
      <x:c r="I2563" s="39" t="str">
        <x:v>P0</x:v>
      </x:c>
      <x:c r="J2563" s="39" t="str">
        <x:v>H1</x:v>
      </x:c>
      <x:c r="K2563" s="39" t="str">
        <x:v>تطبیق احتمالی با پایه</x:v>
      </x:c>
      <x:c r="L2563" s="39" t="str">
        <x:v>MI-1513</x:v>
      </x:c>
      <x:c r="M2563" s="39" t="str">
        <x:v>تولید و کارآفرینی: توانایی تولید محصول و خدمات و ایجاد شغل.</x:v>
      </x:c>
      <x:c r="N2563" s="39" t="str">
        <x:v>1154878548.docx::P7808.1</x:v>
      </x:c>
      <x:c r="O2563" s="39"/>
    </x:row>
    <x:row r="2564">
      <x:c r="A2564" s="34" t="str">
        <x:v>☐</x:v>
      </x:c>
      <x:c r="B2564" s="34" t="str">
        <x:v>EX-2536</x:v>
      </x:c>
      <x:c r="C2564" s="34" t="str">
        <x:v>رابط باید بازی‌وار شده باشد تا کاربران بتوانند مسیر شغلی، امتیازها، توکن‌های داخلی و نیازمندی‌های سطح بعدی را ببینند</x:v>
      </x:c>
      <x:c r="D2564" s="34" t="str">
        <x:v>POSSIBLE</x:v>
      </x:c>
      <x:c r="E2564" s="34" t="str">
        <x:v>85.5</x:v>
      </x:c>
      <x:c r="F2564" s="34" t="str">
        <x:v>MI-1513</x:v>
      </x:c>
      <x:c r="G2564" s="39" t="str">
        <x:v>تولید و کارآفرینی: توانایی تولید محصول و خدمات و ایجاد شغل.</x:v>
      </x:c>
      <x:c r="H2564" s="39" t="str">
        <x:v>H1</x:v>
      </x:c>
      <x:c r="I2564" s="39" t="str">
        <x:v>P0</x:v>
      </x:c>
      <x:c r="J2564" s="39" t="str">
        <x:v>H1</x:v>
      </x:c>
      <x:c r="K2564" s="39" t="str">
        <x:v>تطبیق احتمالی با پایه</x:v>
      </x:c>
      <x:c r="L2564" s="39" t="str">
        <x:v>MI-1513</x:v>
      </x:c>
      <x:c r="M2564" s="39" t="str">
        <x:v>تولید و کارآفرینی: توانایی تولید محصول و خدمات و ایجاد شغل.</x:v>
      </x:c>
      <x:c r="N2564" s="39" t="str">
        <x:v>1154878548.docx::P7809.1</x:v>
      </x:c>
      <x:c r="O2564" s="39"/>
    </x:row>
    <x:row r="2565">
      <x:c r="A2565" s="34" t="str">
        <x:v>☐</x:v>
      </x:c>
      <x:c r="B2565" s="34" t="str">
        <x:v>EX-2537</x:v>
      </x:c>
      <x:c r="C2565" s="34" t="str">
        <x:v>کاربران باید بفهمند کدام دستاوردها سطح بعدی را باز می‌کنند و چگونه می‌توانند پیشرفت کنند</x:v>
      </x:c>
      <x:c r="D2565" s="34" t="str">
        <x:v>POSSIBLE</x:v>
      </x:c>
      <x:c r="E2565" s="34" t="str">
        <x:v>85.5</x:v>
      </x:c>
      <x:c r="F2565" s="34" t="str">
        <x:v>MI-1513</x:v>
      </x:c>
      <x:c r="G2565" s="39" t="str">
        <x:v>تولید و کارآفرینی: توانایی تولید محصول و خدمات و ایجاد شغل.</x:v>
      </x:c>
      <x:c r="H2565" s="39" t="str">
        <x:v>H1</x:v>
      </x:c>
      <x:c r="I2565" s="39" t="str">
        <x:v>P0</x:v>
      </x:c>
      <x:c r="J2565" s="39" t="str">
        <x:v>H1</x:v>
      </x:c>
      <x:c r="K2565" s="39" t="str">
        <x:v>تطبیق احتمالی با پایه</x:v>
      </x:c>
      <x:c r="L2565" s="39" t="str">
        <x:v>MI-1513</x:v>
      </x:c>
      <x:c r="M2565" s="39" t="str">
        <x:v>تولید و کارآفرینی: توانایی تولید محصول و خدمات و ایجاد شغل.</x:v>
      </x:c>
      <x:c r="N2565" s="39" t="str">
        <x:v>1154878548.docx::P7810.1</x:v>
      </x:c>
      <x:c r="O2565" s="39"/>
    </x:row>
    <x:row r="2566">
      <x:c r="A2566" s="34" t="str">
        <x:v>☐</x:v>
      </x:c>
      <x:c r="B2566" s="34" t="str">
        <x:v>EX-2538</x:v>
      </x:c>
      <x:c r="C2566" s="34" t="str">
        <x:v>لایه تجربه باید پلتفرم را جذاب کند تا افراد داوطلبانه بازگردند</x:v>
      </x:c>
      <x:c r="D2566" s="34" t="str">
        <x:v>POSSIBLE</x:v>
      </x:c>
      <x:c r="E2566" s="34" t="str">
        <x:v>85.5</x:v>
      </x:c>
      <x:c r="F2566" s="34" t="str">
        <x:v>MI-2921</x:v>
      </x:c>
      <x:c r="G2566" s="39" t="str">
        <x:v>ساختار تصمیم گیری چگونه باید باشد</x:v>
      </x:c>
      <x:c r="H2566" s="39" t="str">
        <x:v>H1</x:v>
      </x:c>
      <x:c r="I2566" s="39" t="str">
        <x:v>P0</x:v>
      </x:c>
      <x:c r="J2566" s="39" t="str">
        <x:v>H1</x:v>
      </x:c>
      <x:c r="K2566" s="39" t="str">
        <x:v>تطبیق احتمالی با پایه</x:v>
      </x:c>
      <x:c r="L2566" s="39" t="str">
        <x:v>MI-2921</x:v>
      </x:c>
      <x:c r="M2566" s="39" t="str">
        <x:v>ساختار تصمیم گیری چگونه باید باشد</x:v>
      </x:c>
      <x:c r="N2566" s="39" t="str">
        <x:v>1154878548.docx::P7811.1</x:v>
      </x:c>
      <x:c r="O2566" s="39"/>
    </x:row>
    <x:row r="2567">
      <x:c r="A2567" s="34" t="str">
        <x:v>☐</x:v>
      </x:c>
      <x:c r="B2567" s="34" t="str">
        <x:v>EX-2539</x:v>
      </x:c>
      <x:c r="C2567" s="34" t="str">
        <x:v>هوش پیش‌بینی و مدیریت ریسک</x:v>
      </x:c>
      <x:c r="D2567" s="34" t="str">
        <x:v>POSSIBLE</x:v>
      </x:c>
      <x:c r="E2567" s="34" t="str">
        <x:v>85.5</x:v>
      </x:c>
      <x:c r="F2567" s="34" t="str">
        <x:v>MI-1501</x:v>
      </x:c>
      <x:c r="G2567" s="39" t="str">
        <x:v>مدیریت ریسک: شناسایی ریسک ها، ارزیابی اثرات، تدوین برنامه های مقابله با ریسک ها.</x:v>
      </x:c>
      <x:c r="H2567" s="39" t="str">
        <x:v>H1</x:v>
      </x:c>
      <x:c r="I2567" s="39" t="str">
        <x:v>P0</x:v>
      </x:c>
      <x:c r="J2567" s="39" t="str">
        <x:v>H1</x:v>
      </x:c>
      <x:c r="K2567" s="39" t="str">
        <x:v>تطبیق احتمالی با پایه</x:v>
      </x:c>
      <x:c r="L2567" s="39" t="str">
        <x:v>MI-1501</x:v>
      </x:c>
      <x:c r="M2567" s="39" t="str">
        <x:v>مدیریت ریسک: شناسایی ریسک ها، ارزیابی اثرات، تدوین برنامه های مقابله با ریسک ها.</x:v>
      </x:c>
      <x:c r="N2567" s="39" t="str">
        <x:v>1154878548.docx::P7812.1</x:v>
      </x:c>
      <x:c r="O2567" s="39"/>
    </x:row>
    <x:row r="2568">
      <x:c r="A2568" s="34" t="str">
        <x:v>☐</x:v>
      </x:c>
      <x:c r="B2568" s="34" t="str">
        <x:v>EX-2540</x:v>
      </x:c>
      <x:c r="C2568" s="34" t="str">
        <x:v>پیش‌بینی بی‌تعهدی و ریسک خروج</x:v>
      </x:c>
      <x:c r="D2568" s="34" t="str">
        <x:v>POSSIBLE</x:v>
      </x:c>
      <x:c r="E2568" s="34" t="str">
        <x:v>85.5</x:v>
      </x:c>
      <x:c r="F2568" s="34" t="str">
        <x:v>MI-1501</x:v>
      </x:c>
      <x:c r="G2568" s="39" t="str">
        <x:v>مدیریت ریسک: شناسایی ریسک ها، ارزیابی اثرات، تدوین برنامه های مقابله با ریسک ها.</x:v>
      </x:c>
      <x:c r="H2568" s="39" t="str">
        <x:v>H1</x:v>
      </x:c>
      <x:c r="I2568" s="39" t="str">
        <x:v>P0</x:v>
      </x:c>
      <x:c r="J2568" s="39" t="str">
        <x:v>H1</x:v>
      </x:c>
      <x:c r="K2568" s="39" t="str">
        <x:v>تطبیق احتمالی با پایه</x:v>
      </x:c>
      <x:c r="L2568" s="39" t="str">
        <x:v>MI-1501</x:v>
      </x:c>
      <x:c r="M2568" s="39" t="str">
        <x:v>مدیریت ریسک: شناسایی ریسک ها، ارزیابی اثرات، تدوین برنامه های مقابله با ریسک ها.</x:v>
      </x:c>
      <x:c r="N2568" s="39" t="str">
        <x:v>1154878548.docx::P7813.1</x:v>
      </x:c>
      <x:c r="O2568" s="39"/>
    </x:row>
    <x:row r="2569">
      <x:c r="A2569" s="34" t="str">
        <x:v>☐</x:v>
      </x:c>
      <x:c r="B2569" s="34" t="str">
        <x:v>EX-2541</x:v>
      </x:c>
      <x:c r="C2569" s="34" t="str">
        <x:v>سیستم باید ریسک را قبل از اینکه فرد درخواست حمایت کند یا تصمیم به ترک بگیرد پیش‌بینی کند</x:v>
      </x:c>
      <x:c r="D2569" s="34" t="str">
        <x:v>POSSIBLE</x:v>
      </x:c>
      <x:c r="E2569" s="34" t="str">
        <x:v>85.5</x:v>
      </x:c>
      <x:c r="F2569" s="34" t="str">
        <x:v>MI-2921</x:v>
      </x:c>
      <x:c r="G2569" s="39" t="str">
        <x:v>ساختار تصمیم گیری چگونه باید باشد</x:v>
      </x:c>
      <x:c r="H2569" s="39" t="str">
        <x:v>H1</x:v>
      </x:c>
      <x:c r="I2569" s="39" t="str">
        <x:v>P0</x:v>
      </x:c>
      <x:c r="J2569" s="39" t="str">
        <x:v>H1</x:v>
      </x:c>
      <x:c r="K2569" s="39" t="str">
        <x:v>تطبیق احتمالی با پایه</x:v>
      </x:c>
      <x:c r="L2569" s="39" t="str">
        <x:v>MI-2921</x:v>
      </x:c>
      <x:c r="M2569" s="39" t="str">
        <x:v>ساختار تصمیم گیری چگونه باید باشد</x:v>
      </x:c>
      <x:c r="N2569" s="39" t="str">
        <x:v>1154878548.docx::P7814.1</x:v>
      </x:c>
      <x:c r="O2569" s="39"/>
    </x:row>
    <x:row r="2570">
      <x:c r="A2570" s="34" t="str">
        <x:v>☐</x:v>
      </x:c>
      <x:c r="B2570" s="34" t="str">
        <x:v>EX-2542</x:v>
      </x:c>
      <x:c r="C2570" s="34" t="str">
        <x:v>سیگنال‌های رفتاری مانند پاسخ‌های کندتر، تغییرات برنامه‌ریزی و عدم مشارکت در رویدادها باید به مدل پیش‌بینی خورانده شوند</x:v>
      </x:c>
      <x:c r="D2570" s="34" t="str">
        <x:v>POSSIBLE</x:v>
      </x:c>
      <x:c r="E2570" s="34" t="str">
        <x:v>85.5</x:v>
      </x:c>
      <x:c r="F2570" s="34" t="str">
        <x:v>MI-0179</x:v>
      </x:c>
      <x:c r="G2570" s="39" t="str">
        <x:v>برنامه ریزی شهری</x:v>
      </x:c>
      <x:c r="H2570" s="39" t="str">
        <x:v>H1</x:v>
      </x:c>
      <x:c r="I2570" s="39" t="str">
        <x:v>P0</x:v>
      </x:c>
      <x:c r="J2570" s="39" t="str">
        <x:v>H1</x:v>
      </x:c>
      <x:c r="K2570" s="39" t="str">
        <x:v>تطبیق احتمالی با پایه</x:v>
      </x:c>
      <x:c r="L2570" s="39" t="str">
        <x:v>MI-0179</x:v>
      </x:c>
      <x:c r="M2570" s="39" t="str">
        <x:v>برنامه ریزی شهری</x:v>
      </x:c>
      <x:c r="N2570" s="39" t="str">
        <x:v>1154878548.docx::P7815.1</x:v>
      </x:c>
      <x:c r="O2570" s="39"/>
    </x:row>
    <x:row r="2571">
      <x:c r="A2571" s="34" t="str">
        <x:v>☐</x:v>
      </x:c>
      <x:c r="B2571" s="34" t="str">
        <x:v>EX-2543</x:v>
      </x:c>
      <x:c r="C2571" s="34" t="str">
        <x:v>پیشنهادهای مداخله‌ای باید زودهنگام تولید شوند، مانند منتورینگ، ارتقاء یا حمایت‌های هدفمند</x:v>
      </x:c>
      <x:c r="D2571" s="34" t="str">
        <x:v>POSSIBLE</x:v>
      </x:c>
      <x:c r="E2571" s="34" t="str">
        <x:v>85.5</x:v>
      </x:c>
      <x:c r="F2571" s="34" t="str">
        <x:v>MI-1513</x:v>
      </x:c>
      <x:c r="G2571" s="39" t="str">
        <x:v>تولید و کارآفرینی: توانایی تولید محصول و خدمات و ایجاد شغل.</x:v>
      </x:c>
      <x:c r="H2571" s="39" t="str">
        <x:v>H1</x:v>
      </x:c>
      <x:c r="I2571" s="39" t="str">
        <x:v>P0</x:v>
      </x:c>
      <x:c r="J2571" s="39" t="str">
        <x:v>H1</x:v>
      </x:c>
      <x:c r="K2571" s="39" t="str">
        <x:v>تطبیق احتمالی با پایه</x:v>
      </x:c>
      <x:c r="L2571" s="39" t="str">
        <x:v>MI-1513</x:v>
      </x:c>
      <x:c r="M2571" s="39" t="str">
        <x:v>تولید و کارآفرینی: توانایی تولید محصول و خدمات و ایجاد شغل.</x:v>
      </x:c>
      <x:c r="N2571" s="39" t="str">
        <x:v>1154878548.docx::P7816.1</x:v>
      </x:c>
      <x:c r="O2571" s="39"/>
    </x:row>
    <x:row r="2572">
      <x:c r="A2572" s="34" t="str">
        <x:v>☐</x:v>
      </x:c>
      <x:c r="B2572" s="34" t="str">
        <x:v>EX-2544</x:v>
      </x:c>
      <x:c r="C2572" s="34" t="str">
        <x:v>پشتیبانی تصمیم تحلیلی</x:v>
      </x:c>
      <x:c r="D2572" s="34" t="str">
        <x:v>POSSIBLE</x:v>
      </x:c>
      <x:c r="E2572" s="34" t="str">
        <x:v>85.5</x:v>
      </x:c>
      <x:c r="F2572" s="34" t="str">
        <x:v>MI-2921</x:v>
      </x:c>
      <x:c r="G2572" s="39" t="str">
        <x:v>ساختار تصمیم گیری چگونه باید باشد</x:v>
      </x:c>
      <x:c r="H2572" s="39" t="str">
        <x:v>H1</x:v>
      </x:c>
      <x:c r="I2572" s="39" t="str">
        <x:v>P0</x:v>
      </x:c>
      <x:c r="J2572" s="39" t="str">
        <x:v>H1</x:v>
      </x:c>
      <x:c r="K2572" s="39" t="str">
        <x:v>تطبیق احتمالی با پایه</x:v>
      </x:c>
      <x:c r="L2572" s="39" t="str">
        <x:v>MI-2921</x:v>
      </x:c>
      <x:c r="M2572" s="39" t="str">
        <x:v>ساختار تصمیم گیری چگونه باید باشد</x:v>
      </x:c>
      <x:c r="N2572" s="39" t="str">
        <x:v>1154878548.docx::P7817.1</x:v>
      </x:c>
      <x:c r="O2572" s="39"/>
    </x:row>
    <x:row r="2573">
      <x:c r="A2573" s="34" t="str">
        <x:v>☐</x:v>
      </x:c>
      <x:c r="B2573" s="34" t="str">
        <x:v>EX-2545</x:v>
      </x:c>
      <x:c r="C2573" s="34" t="str">
        <x:v>تحلیل‌های پیش‌بینی باید ارزیابی را از قضاوت گذشته‌نگر به مداخله آینده‌نگر تغییر دهد</x:v>
      </x:c>
      <x:c r="D2573" s="34" t="str">
        <x:v>POSSIBLE</x:v>
      </x:c>
      <x:c r="E2573" s="34" t="str">
        <x:v>85.5</x:v>
      </x:c>
      <x:c r="F2573" s="34" t="str">
        <x:v>MI-2921</x:v>
      </x:c>
      <x:c r="G2573" s="39" t="str">
        <x:v>ساختار تصمیم گیری چگونه باید باشد</x:v>
      </x:c>
      <x:c r="H2573" s="39" t="str">
        <x:v>H1</x:v>
      </x:c>
      <x:c r="I2573" s="39" t="str">
        <x:v>P0</x:v>
      </x:c>
      <x:c r="J2573" s="39" t="str">
        <x:v>H1</x:v>
      </x:c>
      <x:c r="K2573" s="39" t="str">
        <x:v>تطبیق احتمالی با پایه</x:v>
      </x:c>
      <x:c r="L2573" s="39" t="str">
        <x:v>MI-2921</x:v>
      </x:c>
      <x:c r="M2573" s="39" t="str">
        <x:v>ساختار تصمیم گیری چگونه باید باشد</x:v>
      </x:c>
      <x:c r="N2573" s="39" t="str">
        <x:v>1154878548.docx::P7818.1</x:v>
      </x:c>
      <x:c r="O2573" s="39"/>
    </x:row>
    <x:row r="2574">
      <x:c r="A2574" s="34" t="str">
        <x:v>☐</x:v>
      </x:c>
      <x:c r="B2574" s="34" t="str">
        <x:v>EX-2546</x:v>
      </x:c>
      <x:c r="C2574" s="34" t="str">
        <x:v>یک مدل ریسک می‌تواند مشارکت، نسبت جبران خدمت و شکاف مهارتی را ترکیب کند تا بی‌ثباتی آینده را تخمین بزند</x:v>
      </x:c>
      <x:c r="D2574" s="34" t="str">
        <x:v>POSSIBLE</x:v>
      </x:c>
      <x:c r="E2574" s="34" t="str">
        <x:v>85.5</x:v>
      </x:c>
      <x:c r="F2574" s="34" t="str">
        <x:v>MI-1513</x:v>
      </x:c>
      <x:c r="G2574" s="39" t="str">
        <x:v>تولید و کارآفرینی: توانایی تولید محصول و خدمات و ایجاد شغل.</x:v>
      </x:c>
      <x:c r="H2574" s="39" t="str">
        <x:v>H1</x:v>
      </x:c>
      <x:c r="I2574" s="39" t="str">
        <x:v>P0</x:v>
      </x:c>
      <x:c r="J2574" s="39" t="str">
        <x:v>H1</x:v>
      </x:c>
      <x:c r="K2574" s="39" t="str">
        <x:v>تطبیق احتمالی با پایه</x:v>
      </x:c>
      <x:c r="L2574" s="39" t="str">
        <x:v>MI-1513</x:v>
      </x:c>
      <x:c r="M2574" s="39" t="str">
        <x:v>تولید و کارآفرینی: توانایی تولید محصول و خدمات و ایجاد شغل.</x:v>
      </x:c>
      <x:c r="N2574" s="39" t="str">
        <x:v>1154878548.docx::P7819.1</x:v>
      </x:c>
      <x:c r="O2574" s="39"/>
    </x:row>
    <x:row r="2575">
      <x:c r="A2575" s="34" t="str">
        <x:v>☐</x:v>
      </x:c>
      <x:c r="B2575" s="34" t="str">
        <x:v>EX-2547</x:v>
      </x:c>
      <x:c r="C2575" s="34" t="str">
        <x:v>این منطق به مدیریت کمک می‌کند قبل از اینکه مسائل کوچک به بحران‌های سازمانی تبدیل شوند اقدام کند</x:v>
      </x:c>
      <x:c r="D2575" s="34" t="str">
        <x:v>POSSIBLE</x:v>
      </x:c>
      <x:c r="E2575" s="34" t="str">
        <x:v>85.5</x:v>
      </x:c>
      <x:c r="F2575" s="34" t="str">
        <x:v>MI-1503</x:v>
      </x:c>
      <x:c r="G2575" s="39" t="str">
        <x:v>مدیریت زمان: اولویت بندی، برنامه ریزی، تمرکز.</x:v>
      </x:c>
      <x:c r="H2575" s="39" t="str">
        <x:v>H1</x:v>
      </x:c>
      <x:c r="I2575" s="39" t="str">
        <x:v>P0</x:v>
      </x:c>
      <x:c r="J2575" s="39" t="str">
        <x:v>H1</x:v>
      </x:c>
      <x:c r="K2575" s="39" t="str">
        <x:v>تطبیق احتمالی با پایه</x:v>
      </x:c>
      <x:c r="L2575" s="39" t="str">
        <x:v>MI-1503</x:v>
      </x:c>
      <x:c r="M2575" s="39" t="str">
        <x:v>مدیریت زمان: اولویت بندی، برنامه ریزی، تمرکز.</x:v>
      </x:c>
      <x:c r="N2575" s="39" t="str">
        <x:v>1154878548.docx::P7820.1</x:v>
      </x:c>
      <x:c r="O2575" s="39"/>
    </x:row>
    <x:row r="2576">
      <x:c r="A2576" s="34" t="str">
        <x:v>☐</x:v>
      </x:c>
      <x:c r="B2576" s="34" t="str">
        <x:v>EX-2548</x:v>
      </x:c>
      <x:c r="C2576" s="34" t="str">
        <x:v>منطق اقتصاد باز استعداد</x:v>
      </x:c>
      <x:c r="D2576" s="34" t="str">
        <x:v>POSSIBLE</x:v>
      </x:c>
      <x:c r="E2576" s="34" t="str">
        <x:v>90.0</x:v>
      </x:c>
      <x:c r="F2576" s="34" t="str">
        <x:v>MI-1732</x:v>
      </x:c>
      <x:c r="G2576" s="39" t="str">
        <x:v>استعداد</x:v>
      </x:c>
      <x:c r="H2576" s="39" t="str">
        <x:v>H10</x:v>
      </x:c>
      <x:c r="I2576" s="39" t="str">
        <x:v>P2</x:v>
      </x:c>
      <x:c r="J2576" s="39" t="str">
        <x:v>H10</x:v>
      </x:c>
      <x:c r="K2576" s="39" t="str">
        <x:v>تطبیق احتمالی با پایه</x:v>
      </x:c>
      <x:c r="L2576" s="39" t="str">
        <x:v>MI-1732</x:v>
      </x:c>
      <x:c r="M2576" s="39" t="str">
        <x:v>استعداد</x:v>
      </x:c>
      <x:c r="N2576" s="39" t="str">
        <x:v>1154878548.docx::P7821.1</x:v>
      </x:c>
      <x:c r="O2576" s="39"/>
    </x:row>
    <x:row r="2577">
      <x:c r="A2577" s="34" t="str">
        <x:v>☐</x:v>
      </x:c>
      <x:c r="B2577" s="34" t="str">
        <x:v>EX-2549</x:v>
      </x:c>
      <x:c r="C2577" s="34" t="str">
        <x:v>سیستم‌های مدرن باید از جابجایی داخلی، تخصیص کار مبتنی بر شبکه و تطبیق پروژه‌های سیال حمایت کنند نه محدودیت شغلی خطی</x:v>
      </x:c>
      <x:c r="D2577" s="34" t="str">
        <x:v>POSSIBLE</x:v>
      </x:c>
      <x:c r="E2577" s="34" t="str">
        <x:v>85.5</x:v>
      </x:c>
      <x:c r="F2577" s="34" t="str">
        <x:v>MI-1513</x:v>
      </x:c>
      <x:c r="G2577" s="39" t="str">
        <x:v>تولید و کارآفرینی: توانایی تولید محصول و خدمات و ایجاد شغل.</x:v>
      </x:c>
      <x:c r="H2577" s="39" t="str">
        <x:v>H1</x:v>
      </x:c>
      <x:c r="I2577" s="39" t="str">
        <x:v>P0</x:v>
      </x:c>
      <x:c r="J2577" s="39" t="str">
        <x:v>H1</x:v>
      </x:c>
      <x:c r="K2577" s="39" t="str">
        <x:v>تطبیق احتمالی با پایه</x:v>
      </x:c>
      <x:c r="L2577" s="39" t="str">
        <x:v>MI-1513</x:v>
      </x:c>
      <x:c r="M2577" s="39" t="str">
        <x:v>تولید و کارآفرینی: توانایی تولید محصول و خدمات و ایجاد شغل.</x:v>
      </x:c>
      <x:c r="N2577" s="39" t="str">
        <x:v>1154878548.docx::P7822.1</x:v>
      </x:c>
      <x:c r="O2577" s="39"/>
    </x:row>
    <x:row r="2578">
      <x:c r="A2578" s="34" t="str">
        <x:v>☐</x:v>
      </x:c>
      <x:c r="B2578" s="34" t="str">
        <x:v>EX-2550</x:v>
      </x:c>
      <x:c r="C2578" s="34" t="str">
        <x:v>مهارت‌ها باید به‌صورت گراف نمایش داده شوند تا پلتفرم بتواند تخمین بزند یک مهارت چگونه به مهارت دیگر منتقل می‌شود</x:v>
      </x:c>
      <x:c r="D2578" s="34" t="str">
        <x:v>POSSIBLE</x:v>
      </x:c>
      <x:c r="E2578" s="34" t="str">
        <x:v>85.5</x:v>
      </x:c>
      <x:c r="F2578" s="34" t="str">
        <x:v>MI-2921</x:v>
      </x:c>
      <x:c r="G2578" s="39" t="str">
        <x:v>ساختار تصمیم گیری چگونه باید باشد</x:v>
      </x:c>
      <x:c r="H2578" s="39" t="str">
        <x:v>H1</x:v>
      </x:c>
      <x:c r="I2578" s="39" t="str">
        <x:v>P0</x:v>
      </x:c>
      <x:c r="J2578" s="39" t="str">
        <x:v>H1</x:v>
      </x:c>
      <x:c r="K2578" s="39" t="str">
        <x:v>تطبیق احتمالی با پایه</x:v>
      </x:c>
      <x:c r="L2578" s="39" t="str">
        <x:v>MI-2921</x:v>
      </x:c>
      <x:c r="M2578" s="39" t="str">
        <x:v>ساختار تصمیم گیری چگونه باید باشد</x:v>
      </x:c>
      <x:c r="N2578" s="39" t="str">
        <x:v>1154878548.docx::P7823.1</x:v>
      </x:c>
      <x:c r="O2578" s="39"/>
    </x:row>
    <x:row r="2579">
      <x:c r="A2579" s="34" t="str">
        <x:v>☐</x:v>
      </x:c>
      <x:c r="B2579" s="34" t="str">
        <x:v>EX-2551</x:v>
      </x:c>
      <x:c r="C2579" s="34" t="str">
        <x:v>شبکه باید مانند یک اقتصاد باز استعداد عمل کند که پروژه‌ها به‌طور پویا به قابلیت‌ها متصل می‌شوند</x:v>
      </x:c>
      <x:c r="D2579" s="34" t="str">
        <x:v>POSSIBLE</x:v>
      </x:c>
      <x:c r="E2579" s="34" t="str">
        <x:v>85.5</x:v>
      </x:c>
      <x:c r="F2579" s="34" t="str">
        <x:v>MI-2921</x:v>
      </x:c>
      <x:c r="G2579" s="39" t="str">
        <x:v>ساختار تصمیم گیری چگونه باید باشد</x:v>
      </x:c>
      <x:c r="H2579" s="39" t="str">
        <x:v>H1</x:v>
      </x:c>
      <x:c r="I2579" s="39" t="str">
        <x:v>P0</x:v>
      </x:c>
      <x:c r="J2579" s="39" t="str">
        <x:v>H1</x:v>
      </x:c>
      <x:c r="K2579" s="39" t="str">
        <x:v>تطبیق احتمالی با پایه</x:v>
      </x:c>
      <x:c r="L2579" s="39" t="str">
        <x:v>MI-2921</x:v>
      </x:c>
      <x:c r="M2579" s="39" t="str">
        <x:v>ساختار تصمیم گیری چگونه باید باشد</x:v>
      </x:c>
      <x:c r="N2579" s="39" t="str">
        <x:v>1154878548.docx::P7824.1</x:v>
      </x:c>
      <x:c r="O2579" s="39"/>
    </x:row>
    <x:row r="2580">
      <x:c r="A2580" s="34" t="str">
        <x:v>☐</x:v>
      </x:c>
      <x:c r="B2580" s="34" t="str">
        <x:v>EX-2552</x:v>
      </x:c>
      <x:c r="C2580" s="34" t="str">
        <x:v>نقشه راه قابل مقیاس و مراحل پیاده‌سازی</x:v>
      </x:c>
      <x:c r="D2580" s="34" t="str">
        <x:v>POSSIBLE</x:v>
      </x:c>
      <x:c r="E2580" s="34" t="str">
        <x:v>85.5</x:v>
      </x:c>
      <x:c r="F2580" s="34" t="str">
        <x:v>MI-1513</x:v>
      </x:c>
      <x:c r="G2580" s="39" t="str">
        <x:v>تولید و کارآفرینی: توانایی تولید محصول و خدمات و ایجاد شغل.</x:v>
      </x:c>
      <x:c r="H2580" s="39" t="str">
        <x:v>H1</x:v>
      </x:c>
      <x:c r="I2580" s="39" t="str">
        <x:v>P0</x:v>
      </x:c>
      <x:c r="J2580" s="39" t="str">
        <x:v>H1</x:v>
      </x:c>
      <x:c r="K2580" s="39" t="str">
        <x:v>تطبیق احتمالی با پایه</x:v>
      </x:c>
      <x:c r="L2580" s="39" t="str">
        <x:v>MI-1513</x:v>
      </x:c>
      <x:c r="M2580" s="39" t="str">
        <x:v>تولید و کارآفرینی: توانایی تولید محصول و خدمات و ایجاد شغل.</x:v>
      </x:c>
      <x:c r="N2580" s="39" t="str">
        <x:v>1154878548.docx::P7825.1</x:v>
      </x:c>
      <x:c r="O2580" s="39"/>
    </x:row>
    <x:row r="2581">
      <x:c r="A2581" s="34" t="str">
        <x:v>☐</x:v>
      </x:c>
      <x:c r="B2581" s="34" t="str">
        <x:v>EX-2553</x:v>
      </x:c>
      <x:c r="C2581" s="34" t="str">
        <x:v>فاز 1: MVP و 100 نفر اول</x:v>
      </x:c>
      <x:c r="D2581" s="34" t="str">
        <x:v>POSSIBLE</x:v>
      </x:c>
      <x:c r="E2581" s="34" t="str">
        <x:v>85.5</x:v>
      </x:c>
      <x:c r="F2581" s="34" t="str">
        <x:v>MI-1513</x:v>
      </x:c>
      <x:c r="G2581" s="39" t="str">
        <x:v>تولید و کارآفرینی: توانایی تولید محصول و خدمات و ایجاد شغل.</x:v>
      </x:c>
      <x:c r="H2581" s="39" t="str">
        <x:v>H1</x:v>
      </x:c>
      <x:c r="I2581" s="39" t="str">
        <x:v>P0</x:v>
      </x:c>
      <x:c r="J2581" s="39" t="str">
        <x:v>H1</x:v>
      </x:c>
      <x:c r="K2581" s="39" t="str">
        <x:v>تطبیق احتمالی با پایه</x:v>
      </x:c>
      <x:c r="L2581" s="39" t="str">
        <x:v>MI-1513</x:v>
      </x:c>
      <x:c r="M2581" s="39" t="str">
        <x:v>تولید و کارآفرینی: توانایی تولید محصول و خدمات و ایجاد شغل.</x:v>
      </x:c>
      <x:c r="N2581" s="39" t="str">
        <x:v>1154878548.docx::P7826.1</x:v>
      </x:c>
      <x:c r="O2581" s="39"/>
    </x:row>
    <x:row r="2582">
      <x:c r="A2582" s="34" t="str">
        <x:v>☐</x:v>
      </x:c>
      <x:c r="B2582" s="34" t="str">
        <x:v>EX-2554</x:v>
      </x:c>
      <x:c r="C2582" s="34" t="str">
        <x:v>مرحله اول باید بر سازماندهی 100 نفر اولیه با ابزارهای ساده مانند فرم‌ها، پایگاه داده سبک و پیامک متمرکز باشد</x:v>
      </x:c>
      <x:c r="D2582" s="34" t="str">
        <x:v>POSSIBLE</x:v>
      </x:c>
      <x:c r="E2582" s="34" t="str">
        <x:v>85.5</x:v>
      </x:c>
      <x:c r="F2582" s="34" t="str">
        <x:v>MI-1513</x:v>
      </x:c>
      <x:c r="G2582" s="39" t="str">
        <x:v>تولید و کارآفرینی: توانایی تولید محصول و خدمات و ایجاد شغل.</x:v>
      </x:c>
      <x:c r="H2582" s="39" t="str">
        <x:v>H1</x:v>
      </x:c>
      <x:c r="I2582" s="39" t="str">
        <x:v>P0</x:v>
      </x:c>
      <x:c r="J2582" s="39" t="str">
        <x:v>H1</x:v>
      </x:c>
      <x:c r="K2582" s="39" t="str">
        <x:v>تطبیق احتمالی با پایه</x:v>
      </x:c>
      <x:c r="L2582" s="39" t="str">
        <x:v>MI-1513</x:v>
      </x:c>
      <x:c r="M2582" s="39" t="str">
        <x:v>تولید و کارآفرینی: توانایی تولید محصول و خدمات و ایجاد شغل.</x:v>
      </x:c>
      <x:c r="N2582" s="39" t="str">
        <x:v>1154878548.docx::P7827.1</x:v>
      </x:c>
      <x:c r="O2582" s="39"/>
    </x:row>
    <x:row r="2583">
      <x:c r="A2583" s="34" t="str">
        <x:v>☐</x:v>
      </x:c>
      <x:c r="B2583" s="34" t="str">
        <x:v>EX-2555</x:v>
      </x:c>
      <x:c r="C2583" s="34" t="str">
        <x:v>خروجی باید ایجاد پروفایل پایه، دسته‌بندی مهارت و ارسال پیام مناسبت‌ها باشد</x:v>
      </x:c>
      <x:c r="D2583" s="34" t="str">
        <x:v>POSSIBLE</x:v>
      </x:c>
      <x:c r="E2583" s="34" t="str">
        <x:v>85.5</x:v>
      </x:c>
      <x:c r="F2583" s="34" t="str">
        <x:v>MI-1530</x:v>
      </x:c>
      <x:c r="G2583" s="39" t="str">
        <x:v>ایجاد ستاد تحول بسیج</x:v>
      </x:c>
      <x:c r="H2583" s="39" t="str">
        <x:v>H1</x:v>
      </x:c>
      <x:c r="I2583" s="39" t="str">
        <x:v>P0</x:v>
      </x:c>
      <x:c r="J2583" s="39" t="str">
        <x:v>H1</x:v>
      </x:c>
      <x:c r="K2583" s="39" t="str">
        <x:v>تطبیق احتمالی با پایه</x:v>
      </x:c>
      <x:c r="L2583" s="39" t="str">
        <x:v>MI-1530</x:v>
      </x:c>
      <x:c r="M2583" s="39" t="str">
        <x:v>ایجاد ستاد تحول بسیج</x:v>
      </x:c>
      <x:c r="N2583" s="39" t="str">
        <x:v>1154878548.docx::P7828.1</x:v>
      </x:c>
      <x:c r="O2583" s="39"/>
    </x:row>
    <x:row r="2584">
      <x:c r="A2584" s="34" t="str">
        <x:v>☐</x:v>
      </x:c>
      <x:c r="B2584" s="34" t="str">
        <x:v>EX-2556</x:v>
      </x:c>
      <x:c r="C2584" s="34" t="str">
        <x:v>این فاز باید ثابت کند سامانه می‌تواند افراد را جذب، ساختاربندی و فعال نگه دارد</x:v>
      </x:c>
      <x:c r="D2584" s="34" t="str">
        <x:v>POSSIBLE</x:v>
      </x:c>
      <x:c r="E2584" s="34" t="str">
        <x:v>85.5</x:v>
      </x:c>
      <x:c r="F2584" s="34" t="str">
        <x:v>MI-2921</x:v>
      </x:c>
      <x:c r="G2584" s="39" t="str">
        <x:v>ساختار تصمیم گیری چگونه باید باشد</x:v>
      </x:c>
      <x:c r="H2584" s="39" t="str">
        <x:v>H1</x:v>
      </x:c>
      <x:c r="I2584" s="39" t="str">
        <x:v>P0</x:v>
      </x:c>
      <x:c r="J2584" s="39" t="str">
        <x:v>H1</x:v>
      </x:c>
      <x:c r="K2584" s="39" t="str">
        <x:v>تطبیق احتمالی با پایه</x:v>
      </x:c>
      <x:c r="L2584" s="39" t="str">
        <x:v>MI-2921</x:v>
      </x:c>
      <x:c r="M2584" s="39" t="str">
        <x:v>ساختار تصمیم گیری چگونه باید باشد</x:v>
      </x:c>
      <x:c r="N2584" s="39" t="str">
        <x:v>1154878548.docx::P7829.1</x:v>
      </x:c>
      <x:c r="O2584" s="39"/>
    </x:row>
    <x:row r="2585">
      <x:c r="A2585" s="34" t="str">
        <x:v>☐</x:v>
      </x:c>
      <x:c r="B2585" s="34" t="str">
        <x:v>EX-2557</x:v>
      </x:c>
      <x:c r="C2585" s="34" t="str">
        <x:v>فاز 2: خودکارسازی و عملیات تعاونی</x:v>
      </x:c>
      <x:c r="D2585" s="34" t="str">
        <x:v>POSSIBLE</x:v>
      </x:c>
      <x:c r="E2585" s="34" t="str">
        <x:v>90.0</x:v>
      </x:c>
      <x:c r="F2585" s="34" t="str">
        <x:v>MI-0285</x:v>
      </x:c>
      <x:c r="G2585" s="39" t="str">
        <x:v>تعاونی</x:v>
      </x:c>
      <x:c r="H2585" s="39" t="str">
        <x:v>H16</x:v>
      </x:c>
      <x:c r="I2585" s="39" t="str">
        <x:v>P3/CLARIFY</x:v>
      </x:c>
      <x:c r="J2585" s="39" t="str">
        <x:v>H16</x:v>
      </x:c>
      <x:c r="K2585" s="39" t="str">
        <x:v>تطبیق احتمالی با پایه</x:v>
      </x:c>
      <x:c r="L2585" s="39" t="str">
        <x:v>MI-0285</x:v>
      </x:c>
      <x:c r="M2585" s="39" t="str">
        <x:v>تعاونی</x:v>
      </x:c>
      <x:c r="N2585" s="39" t="str">
        <x:v>1154878548.docx::P7830.1</x:v>
      </x:c>
      <x:c r="O2585" s="39"/>
    </x:row>
    <x:row r="2586">
      <x:c r="A2586" s="34" t="str">
        <x:v>☐</x:v>
      </x:c>
      <x:c r="B2586" s="34" t="str">
        <x:v>EX-2558</x:v>
      </x:c>
      <x:c r="C2586" s="34" t="str">
        <x:v>مرحله دوم باید پایگاه‌های داده را متصل کند، صندوق تعاونی را راه‌اندازی کند و جریان‌های کاری هسته‌ای را خودکار سازد</x:v>
      </x:c>
      <x:c r="D2586" s="34" t="str">
        <x:v>POSSIBLE</x:v>
      </x:c>
      <x:c r="E2586" s="34" t="str">
        <x:v>85.5</x:v>
      </x:c>
      <x:c r="F2586" s="34" t="str">
        <x:v>MI-1513</x:v>
      </x:c>
      <x:c r="G2586" s="39" t="str">
        <x:v>تولید و کارآفرینی: توانایی تولید محصول و خدمات و ایجاد شغل.</x:v>
      </x:c>
      <x:c r="H2586" s="39" t="str">
        <x:v>H1</x:v>
      </x:c>
      <x:c r="I2586" s="39" t="str">
        <x:v>P0</x:v>
      </x:c>
      <x:c r="J2586" s="39" t="str">
        <x:v>H1</x:v>
      </x:c>
      <x:c r="K2586" s="39" t="str">
        <x:v>تطبیق احتمالی با پایه</x:v>
      </x:c>
      <x:c r="L2586" s="39" t="str">
        <x:v>MI-1513</x:v>
      </x:c>
      <x:c r="M2586" s="39" t="str">
        <x:v>تولید و کارآفرینی: توانایی تولید محصول و خدمات و ایجاد شغل.</x:v>
      </x:c>
      <x:c r="N2586" s="39" t="str">
        <x:v>1154878548.docx::P7831.1</x:v>
      </x:c>
      <x:c r="O2586" s="39"/>
    </x:row>
    <x:row r="2587">
      <x:c r="A2587" s="34" t="str">
        <x:v>☐</x:v>
      </x:c>
      <x:c r="B2587" s="34" t="str">
        <x:v>EX-2559</x:v>
      </x:c>
      <x:c r="C2587" s="34" t="str">
        <x:v>ابزارهای بدون کد می‌توانند پرداخت‌ها، امتیازدهی و ارائه خدمات را با حداقل هزینه مهندسی متصل کنند</x:v>
      </x:c>
      <x:c r="D2587" s="34" t="str">
        <x:v>POSSIBLE</x:v>
      </x:c>
      <x:c r="E2587" s="34" t="str">
        <x:v>85.5</x:v>
      </x:c>
      <x:c r="F2587" s="34" t="str">
        <x:v>MI-1513</x:v>
      </x:c>
      <x:c r="G2587" s="39" t="str">
        <x:v>تولید و کارآفرینی: توانایی تولید محصول و خدمات و ایجاد شغل.</x:v>
      </x:c>
      <x:c r="H2587" s="39" t="str">
        <x:v>H1</x:v>
      </x:c>
      <x:c r="I2587" s="39" t="str">
        <x:v>P0</x:v>
      </x:c>
      <x:c r="J2587" s="39" t="str">
        <x:v>H1</x:v>
      </x:c>
      <x:c r="K2587" s="39" t="str">
        <x:v>تطبیق احتمالی با پایه</x:v>
      </x:c>
      <x:c r="L2587" s="39" t="str">
        <x:v>MI-1513</x:v>
      </x:c>
      <x:c r="M2587" s="39" t="str">
        <x:v>تولید و کارآفرینی: توانایی تولید محصول و خدمات و ایجاد شغل.</x:v>
      </x:c>
      <x:c r="N2587" s="39" t="str">
        <x:v>1154878548.docx::P7832.1</x:v>
      </x:c>
      <x:c r="O2587" s="39"/>
    </x:row>
    <x:row r="2588">
      <x:c r="A2588" s="34" t="str">
        <x:v>☐</x:v>
      </x:c>
      <x:c r="B2588" s="34" t="str">
        <x:v>EX-2560</x:v>
      </x:c>
      <x:c r="C2588" s="34" t="str">
        <x:v>این فاز باید محاسبه خودکار امتیاز، توزیع وام‌های کوچک و رویدادهای بارتر اولیه با شرکا را ممکن سازد</x:v>
      </x:c>
      <x:c r="D2588" s="34" t="str">
        <x:v>POSSIBLE</x:v>
      </x:c>
      <x:c r="E2588" s="34" t="str">
        <x:v>85.5</x:v>
      </x:c>
      <x:c r="F2588" s="34" t="str">
        <x:v>MI-1513</x:v>
      </x:c>
      <x:c r="G2588" s="39" t="str">
        <x:v>تولید و کارآفرینی: توانایی تولید محصول و خدمات و ایجاد شغل.</x:v>
      </x:c>
      <x:c r="H2588" s="39" t="str">
        <x:v>H1</x:v>
      </x:c>
      <x:c r="I2588" s="39" t="str">
        <x:v>P0</x:v>
      </x:c>
      <x:c r="J2588" s="39" t="str">
        <x:v>H1</x:v>
      </x:c>
      <x:c r="K2588" s="39" t="str">
        <x:v>تطبیق احتمالی با پایه</x:v>
      </x:c>
      <x:c r="L2588" s="39" t="str">
        <x:v>MI-1513</x:v>
      </x:c>
      <x:c r="M2588" s="39" t="str">
        <x:v>تولید و کارآفرینی: توانایی تولید محصول و خدمات و ایجاد شغل.</x:v>
      </x:c>
      <x:c r="N2588" s="39" t="str">
        <x:v>1154878548.docx::P7833.1</x:v>
      </x:c>
      <x:c r="O2588" s="39"/>
    </x:row>
    <x:row r="2589">
      <x:c r="A2589" s="34" t="str">
        <x:v>☐</x:v>
      </x:c>
      <x:c r="B2589" s="34" t="str">
        <x:v>EX-2561</x:v>
      </x:c>
      <x:c r="C2589" s="34" t="str">
        <x:v>فاز 3: هوش و درآمدزایی در مقیاس بزرگ</x:v>
      </x:c>
      <x:c r="D2589" s="34" t="str">
        <x:v>POSSIBLE</x:v>
      </x:c>
      <x:c r="E2589" s="34" t="str">
        <x:v>85.5</x:v>
      </x:c>
      <x:c r="F2589" s="34" t="str">
        <x:v>MI-1513</x:v>
      </x:c>
      <x:c r="G2589" s="39" t="str">
        <x:v>تولید و کارآفرینی: توانایی تولید محصول و خدمات و ایجاد شغل.</x:v>
      </x:c>
      <x:c r="H2589" s="39" t="str">
        <x:v>H1</x:v>
      </x:c>
      <x:c r="I2589" s="39" t="str">
        <x:v>P0</x:v>
      </x:c>
      <x:c r="J2589" s="39" t="str">
        <x:v>H1</x:v>
      </x:c>
      <x:c r="K2589" s="39" t="str">
        <x:v>تطبیق احتمالی با پایه</x:v>
      </x:c>
      <x:c r="L2589" s="39" t="str">
        <x:v>MI-1513</x:v>
      </x:c>
      <x:c r="M2589" s="39" t="str">
        <x:v>تولید و کارآفرینی: توانایی تولید محصول و خدمات و ایجاد شغل.</x:v>
      </x:c>
      <x:c r="N2589" s="39" t="str">
        <x:v>1154878548.docx::P7834.1</x:v>
      </x:c>
      <x:c r="O2589" s="39"/>
    </x:row>
    <x:row r="2590">
      <x:c r="A2590" s="34" t="str">
        <x:v>☐</x:v>
      </x:c>
      <x:c r="B2590" s="34" t="str">
        <x:v>EX-2562</x:v>
      </x:c>
      <x:c r="C2590" s="34" t="str">
        <x:v>مرحله سوم باید شبکه را با اکوسیستم اقتصادی استان از طریق داشبوردها و تحلیل‌های AI متصل کند</x:v>
      </x:c>
      <x:c r="D2590" s="34" t="str">
        <x:v>POSSIBLE</x:v>
      </x:c>
      <x:c r="E2590" s="34" t="str">
        <x:v>85.5</x:v>
      </x:c>
      <x:c r="F2590" s="34" t="str">
        <x:v>MI-1513</x:v>
      </x:c>
      <x:c r="G2590" s="39" t="str">
        <x:v>تولید و کارآفرینی: توانایی تولید محصول و خدمات و ایجاد شغل.</x:v>
      </x:c>
      <x:c r="H2590" s="39" t="str">
        <x:v>H1</x:v>
      </x:c>
      <x:c r="I2590" s="39" t="str">
        <x:v>P0</x:v>
      </x:c>
      <x:c r="J2590" s="39" t="str">
        <x:v>H1</x:v>
      </x:c>
      <x:c r="K2590" s="39" t="str">
        <x:v>تطبیق احتمالی با پایه</x:v>
      </x:c>
      <x:c r="L2590" s="39" t="str">
        <x:v>MI-1513</x:v>
      </x:c>
      <x:c r="M2590" s="39" t="str">
        <x:v>تولید و کارآفرینی: توانایی تولید محصول و خدمات و ایجاد شغل.</x:v>
      </x:c>
      <x:c r="N2590" s="39" t="str">
        <x:v>1154878548.docx::P7835.1</x:v>
      </x:c>
      <x:c r="O2590" s="39"/>
    </x:row>
    <x:row r="2591">
      <x:c r="A2591" s="34" t="str">
        <x:v>☐</x:v>
      </x:c>
      <x:c r="B2591" s="34" t="str">
        <x:v>EX-2563</x:v>
      </x:c>
      <x:c r="C2591" s="34" t="str">
        <x:v>باید پیشنهادهای شغلی هوشمند، درآمد ارجاع نیروی کار و موقعیت یک هاب استعداد در استان را تولید نماید</x:v>
      </x:c>
      <x:c r="D2591" s="34" t="str">
        <x:v>POSSIBLE</x:v>
      </x:c>
      <x:c r="E2591" s="34" t="str">
        <x:v>85.5</x:v>
      </x:c>
      <x:c r="F2591" s="34" t="str">
        <x:v>MI-1513</x:v>
      </x:c>
      <x:c r="G2591" s="39" t="str">
        <x:v>تولید و کارآفرینی: توانایی تولید محصول و خدمات و ایجاد شغل.</x:v>
      </x:c>
      <x:c r="H2591" s="39" t="str">
        <x:v>H1</x:v>
      </x:c>
      <x:c r="I2591" s="39" t="str">
        <x:v>P0</x:v>
      </x:c>
      <x:c r="J2591" s="39" t="str">
        <x:v>H1</x:v>
      </x:c>
      <x:c r="K2591" s="39" t="str">
        <x:v>تطبیق احتمالی با پایه</x:v>
      </x:c>
      <x:c r="L2591" s="39" t="str">
        <x:v>MI-1513</x:v>
      </x:c>
      <x:c r="M2591" s="39" t="str">
        <x:v>تولید و کارآفرینی: توانایی تولید محصول و خدمات و ایجاد شغل.</x:v>
      </x:c>
      <x:c r="N2591" s="39" t="str">
        <x:v>1154878548.docx::P7836.1</x:v>
      </x:c>
      <x:c r="O2591" s="39"/>
    </x:row>
    <x:row r="2592">
      <x:c r="A2592" s="34" t="str">
        <x:v>☐</x:v>
      </x:c>
      <x:c r="B2592" s="34" t="str">
        <x:v>EX-2564</x:v>
      </x:c>
      <x:c r="C2592" s="34" t="str">
        <x:v>در این مرحله پلتفرم هم به‌عنوان سامانه مدیریتی و هم موتور اقتصادی عمل می‌کند</x:v>
      </x:c>
      <x:c r="D2592" s="34" t="str">
        <x:v>POSSIBLE</x:v>
      </x:c>
      <x:c r="E2592" s="34" t="str">
        <x:v>85.5</x:v>
      </x:c>
      <x:c r="F2592" s="34" t="str">
        <x:v>MI-0023</x:v>
      </x:c>
      <x:c r="G2592" s="39" t="str">
        <x:v>برنامه ریزی دقیق و علمگرا هییت دانشگاه</x:v>
      </x:c>
      <x:c r="H2592" s="39" t="str">
        <x:v>H1</x:v>
      </x:c>
      <x:c r="I2592" s="39" t="str">
        <x:v>P0</x:v>
      </x:c>
      <x:c r="J2592" s="39" t="str">
        <x:v>H1</x:v>
      </x:c>
      <x:c r="K2592" s="39" t="str">
        <x:v>تطبیق احتمالی با پایه</x:v>
      </x:c>
      <x:c r="L2592" s="39" t="str">
        <x:v>MI-0023</x:v>
      </x:c>
      <x:c r="M2592" s="39" t="str">
        <x:v>برنامه ریزی دقیق و علمگرا هییت دانشگاه</x:v>
      </x:c>
      <x:c r="N2592" s="39" t="str">
        <x:v>1154878548.docx::P7837.1</x:v>
      </x:c>
      <x:c r="O2592" s="39"/>
    </x:row>
    <x:row r="2593">
      <x:c r="A2593" s="34" t="str">
        <x:v>☐</x:v>
      </x:c>
      <x:c r="B2593" s="34" t="str">
        <x:v>EX-2565</x:v>
      </x:c>
      <x:c r="C2593" s="34" t="str">
        <x:v>ارتباطات، محتوا و فعال‌سازی جامعه</x:v>
      </x:c>
      <x:c r="D2593" s="34" t="str">
        <x:v>POSSIBLE</x:v>
      </x:c>
      <x:c r="E2593" s="34" t="str">
        <x:v>90.0</x:v>
      </x:c>
      <x:c r="F2593" s="34" t="str">
        <x:v>MI-2498</x:v>
      </x:c>
      <x:c r="G2593" s="39" t="str">
        <x:v>ارتباطات</x:v>
      </x:c>
      <x:c r="H2593" s="39" t="str">
        <x:v>H4</x:v>
      </x:c>
      <x:c r="I2593" s="39" t="str">
        <x:v>P1</x:v>
      </x:c>
      <x:c r="J2593" s="39" t="str">
        <x:v>H4</x:v>
      </x:c>
      <x:c r="K2593" s="39" t="str">
        <x:v>تطبیق احتمالی با پایه</x:v>
      </x:c>
      <x:c r="L2593" s="39" t="str">
        <x:v>MI-2498</x:v>
      </x:c>
      <x:c r="M2593" s="39" t="str">
        <x:v>ارتباطات</x:v>
      </x:c>
      <x:c r="N2593" s="39" t="str">
        <x:v>1154878548.docx::P7838.1</x:v>
      </x:c>
      <x:c r="O2593" s="39"/>
    </x:row>
    <x:row r="2594">
      <x:c r="A2594" s="34" t="str">
        <x:v>☐</x:v>
      </x:c>
      <x:c r="B2594" s="34" t="str">
        <x:v>EX-2566</x:v>
      </x:c>
      <x:c r="C2594" s="34" t="str">
        <x:v>استراتژی کانال و پیام‌رسانی</x:v>
      </x:c>
      <x:c r="D2594" s="34" t="str">
        <x:v>POSSIBLE</x:v>
      </x:c>
      <x:c r="E2594" s="34" t="str">
        <x:v>85.5</x:v>
      </x:c>
      <x:c r="F2594" s="34" t="str">
        <x:v>MI-1513</x:v>
      </x:c>
      <x:c r="G2594" s="39" t="str">
        <x:v>تولید و کارآفرینی: توانایی تولید محصول و خدمات و ایجاد شغل.</x:v>
      </x:c>
      <x:c r="H2594" s="39" t="str">
        <x:v>H1</x:v>
      </x:c>
      <x:c r="I2594" s="39" t="str">
        <x:v>P0</x:v>
      </x:c>
      <x:c r="J2594" s="39" t="str">
        <x:v>H1</x:v>
      </x:c>
      <x:c r="K2594" s="39" t="str">
        <x:v>تطبیق احتمالی با پایه</x:v>
      </x:c>
      <x:c r="L2594" s="39" t="str">
        <x:v>MI-1513</x:v>
      </x:c>
      <x:c r="M2594" s="39" t="str">
        <x:v>تولید و کارآفرینی: توانایی تولید محصول و خدمات و ایجاد شغل.</x:v>
      </x:c>
      <x:c r="N2594" s="39" t="str">
        <x:v>1154878548.docx::P7839.1</x:v>
      </x:c>
      <x:c r="O2594" s="39"/>
    </x:row>
    <x:row r="2595">
      <x:c r="A2595" s="34" t="str">
        <x:v>☐</x:v>
      </x:c>
      <x:c r="B2595" s="34" t="str">
        <x:v>EX-2567</x:v>
      </x:c>
      <x:c r="C2595" s="34" t="str">
        <x:v>سیستم باید از گروه‌های پیام‌رسان، کانال‌ها و محتوای مکرر برای اطلاع‌رسانی درباره تعطیلی دفتر، تولدها، رویدادها، کمپین‌ها و فرصت‌های تامین مالی استفاده کند</x:v>
      </x:c>
      <x:c r="D2595" s="34" t="str">
        <x:v>POSSIBLE</x:v>
      </x:c>
      <x:c r="E2595" s="34" t="str">
        <x:v>85.5</x:v>
      </x:c>
      <x:c r="F2595" s="34" t="str">
        <x:v>MI-1501</x:v>
      </x:c>
      <x:c r="G2595" s="39" t="str">
        <x:v>مدیریت ریسک: شناسایی ریسک ها، ارزیابی اثرات، تدوین برنامه های مقابله با ریسک ها.</x:v>
      </x:c>
      <x:c r="H2595" s="39" t="str">
        <x:v>H1</x:v>
      </x:c>
      <x:c r="I2595" s="39" t="str">
        <x:v>P0</x:v>
      </x:c>
      <x:c r="J2595" s="39" t="str">
        <x:v>H1</x:v>
      </x:c>
      <x:c r="K2595" s="39" t="str">
        <x:v>تطبیق احتمالی با پایه</x:v>
      </x:c>
      <x:c r="L2595" s="39" t="str">
        <x:v>MI-1501</x:v>
      </x:c>
      <x:c r="M2595" s="39" t="str">
        <x:v>مدیریت ریسک: شناسایی ریسک ها، ارزیابی اثرات، تدوین برنامه های مقابله با ریسک ها.</x:v>
      </x:c>
      <x:c r="N2595" s="39" t="str">
        <x:v>1154878548.docx::P7840.1</x:v>
      </x:c>
      <x:c r="O2595" s="39"/>
    </x:row>
    <x:row r="2596">
      <x:c r="A2596" s="34" t="str">
        <x:v>☐</x:v>
      </x:c>
      <x:c r="B2596" s="34" t="str">
        <x:v>EX-2568</x:v>
      </x:c>
      <x:c r="C2596" s="34" t="str">
        <x:v>ارتباط باید سبک، مکرر و مفید باشد تا اعضا درگیر بمانند بدون اینکه احساس بمباران اطلاعاتی کنند</x:v>
      </x:c>
      <x:c r="D2596" s="34" t="str">
        <x:v>POSSIBLE</x:v>
      </x:c>
      <x:c r="E2596" s="34" t="str">
        <x:v>85.5</x:v>
      </x:c>
      <x:c r="F2596" s="34" t="str">
        <x:v>MI-1513</x:v>
      </x:c>
      <x:c r="G2596" s="39" t="str">
        <x:v>تولید و کارآفرینی: توانایی تولید محصول و خدمات و ایجاد شغل.</x:v>
      </x:c>
      <x:c r="H2596" s="39" t="str">
        <x:v>H1</x:v>
      </x:c>
      <x:c r="I2596" s="39" t="str">
        <x:v>P0</x:v>
      </x:c>
      <x:c r="J2596" s="39" t="str">
        <x:v>H1</x:v>
      </x:c>
      <x:c r="K2596" s="39" t="str">
        <x:v>تطبیق احتمالی با پایه</x:v>
      </x:c>
      <x:c r="L2596" s="39" t="str">
        <x:v>MI-1513</x:v>
      </x:c>
      <x:c r="M2596" s="39" t="str">
        <x:v>تولید و کارآفرینی: توانایی تولید محصول و خدمات و ایجاد شغل.</x:v>
      </x:c>
      <x:c r="N2596" s="39" t="str">
        <x:v>1154878548.docx::P7841.1</x:v>
      </x:c>
      <x:c r="O2596" s="39"/>
    </x:row>
    <x:row r="2597">
      <x:c r="A2597" s="34" t="str">
        <x:v>☐</x:v>
      </x:c>
      <x:c r="B2597" s="34" t="str">
        <x:v>EX-2569</x:v>
      </x:c>
      <x:c r="C2597" s="34" t="str">
        <x:v>پلتفرم باید همچنین بازخورد درباره علت غیبت افراد در رویدادها، دوره‌ها یا مسابقات را جمع‌آوری کند</x:v>
      </x:c>
      <x:c r="D2597" s="34" t="str">
        <x:v>POSSIBLE</x:v>
      </x:c>
      <x:c r="E2597" s="34" t="str">
        <x:v>85.5</x:v>
      </x:c>
      <x:c r="F2597" s="34" t="str">
        <x:v>MI-2921</x:v>
      </x:c>
      <x:c r="G2597" s="39" t="str">
        <x:v>ساختار تصمیم گیری چگونه باید باشد</x:v>
      </x:c>
      <x:c r="H2597" s="39" t="str">
        <x:v>H1</x:v>
      </x:c>
      <x:c r="I2597" s="39" t="str">
        <x:v>P0</x:v>
      </x:c>
      <x:c r="J2597" s="39" t="str">
        <x:v>H1</x:v>
      </x:c>
      <x:c r="K2597" s="39" t="str">
        <x:v>تطبیق احتمالی با پایه</x:v>
      </x:c>
      <x:c r="L2597" s="39" t="str">
        <x:v>MI-2921</x:v>
      </x:c>
      <x:c r="M2597" s="39" t="str">
        <x:v>ساختار تصمیم گیری چگونه باید باشد</x:v>
      </x:c>
      <x:c r="N2597" s="39" t="str">
        <x:v>1154878548.docx::P7842.1</x:v>
      </x:c>
      <x:c r="O2597" s="39"/>
    </x:row>
    <x:row r="2598">
      <x:c r="A2598" s="34" t="str">
        <x:v>☐</x:v>
      </x:c>
      <x:c r="B2598" s="34" t="str">
        <x:v>EX-2570</x:v>
      </x:c>
      <x:c r="C2598" s="34" t="str">
        <x:v>رسانه، یادگیری و برندینگ عمومی</x:v>
      </x:c>
      <x:c r="D2598" s="34" t="str">
        <x:v>POSSIBLE</x:v>
      </x:c>
      <x:c r="E2598" s="34" t="str">
        <x:v>90.0</x:v>
      </x:c>
      <x:c r="F2598" s="34" t="str">
        <x:v>MI-0815</x:v>
      </x:c>
      <x:c r="G2598" s="39" t="str">
        <x:v>رسانه:</x:v>
      </x:c>
      <x:c r="H2598" s="39" t="str">
        <x:v>H11</x:v>
      </x:c>
      <x:c r="I2598" s="39" t="str">
        <x:v>DELEGATE/P2</x:v>
      </x:c>
      <x:c r="J2598" s="39" t="str">
        <x:v>H11</x:v>
      </x:c>
      <x:c r="K2598" s="39" t="str">
        <x:v>تطبیق احتمالی با پایه</x:v>
      </x:c>
      <x:c r="L2598" s="39" t="str">
        <x:v>MI-0815</x:v>
      </x:c>
      <x:c r="M2598" s="39" t="str">
        <x:v>رسانه:</x:v>
      </x:c>
      <x:c r="N2598" s="39" t="str">
        <x:v>1154878548.docx::P7843.1</x:v>
      </x:c>
      <x:c r="O2598" s="39"/>
    </x:row>
    <x:row r="2599">
      <x:c r="A2599" s="34" t="str">
        <x:v>☐</x:v>
      </x:c>
      <x:c r="B2599" s="34" t="str">
        <x:v>EX-2571</x:v>
      </x:c>
      <x:c r="C2599" s="34" t="str">
        <x:v>پادکست یا جریان رسانه‌ای مشابه می‌تواند مخاطب جذب کند و داده‌های مفیدی برای فیلترسازی و درک نیازها تولید نماید</x:v>
      </x:c>
      <x:c r="D2599" s="34" t="str">
        <x:v>POSSIBLE</x:v>
      </x:c>
      <x:c r="E2599" s="34" t="str">
        <x:v>85.5</x:v>
      </x:c>
      <x:c r="F2599" s="34" t="str">
        <x:v>MI-1513</x:v>
      </x:c>
      <x:c r="G2599" s="39" t="str">
        <x:v>تولید و کارآفرینی: توانایی تولید محصول و خدمات و ایجاد شغل.</x:v>
      </x:c>
      <x:c r="H2599" s="39" t="str">
        <x:v>H1</x:v>
      </x:c>
      <x:c r="I2599" s="39" t="str">
        <x:v>P0</x:v>
      </x:c>
      <x:c r="J2599" s="39" t="str">
        <x:v>H1</x:v>
      </x:c>
      <x:c r="K2599" s="39" t="str">
        <x:v>تطبیق احتمالی با پایه</x:v>
      </x:c>
      <x:c r="L2599" s="39" t="str">
        <x:v>MI-1513</x:v>
      </x:c>
      <x:c r="M2599" s="39" t="str">
        <x:v>تولید و کارآفرینی: توانایی تولید محصول و خدمات و ایجاد شغل.</x:v>
      </x:c>
      <x:c r="N2599" s="39" t="str">
        <x:v>1154878548.docx::P7844.1</x:v>
      </x:c>
      <x:c r="O2599" s="39"/>
    </x:row>
    <x:row r="2600">
      <x:c r="A2600" s="34" t="str">
        <x:v>☐</x:v>
      </x:c>
      <x:c r="B2600" s="34" t="str">
        <x:v>EX-2572</x:v>
      </x:c>
      <x:c r="C2600" s="34" t="str">
        <x:v>کارگاه‌هایی درباره نوشتن CV، رشد LinkedIn و توسعه حرفه‌ای می‌توانند به نیازهای ملموس پاسخ دهند</x:v>
      </x:c>
      <x:c r="D2600" s="34" t="str">
        <x:v>POSSIBLE</x:v>
      </x:c>
      <x:c r="E2600" s="34" t="str">
        <x:v>85.5</x:v>
      </x:c>
      <x:c r="F2600" s="34" t="str">
        <x:v>MI-1513</x:v>
      </x:c>
      <x:c r="G2600" s="39" t="str">
        <x:v>تولید و کارآفرینی: توانایی تولید محصول و خدمات و ایجاد شغل.</x:v>
      </x:c>
      <x:c r="H2600" s="39" t="str">
        <x:v>H1</x:v>
      </x:c>
      <x:c r="I2600" s="39" t="str">
        <x:v>P0</x:v>
      </x:c>
      <x:c r="J2600" s="39" t="str">
        <x:v>H1</x:v>
      </x:c>
      <x:c r="K2600" s="39" t="str">
        <x:v>تطبیق احتمالی با پایه</x:v>
      </x:c>
      <x:c r="L2600" s="39" t="str">
        <x:v>MI-1513</x:v>
      </x:c>
      <x:c r="M2600" s="39" t="str">
        <x:v>تولید و کارآفرینی: توانایی تولید محصول و خدمات و ایجاد شغل.</x:v>
      </x:c>
      <x:c r="N2600" s="39" t="str">
        <x:v>1154878548.docx::P7845.1</x:v>
      </x:c>
      <x:c r="O2600" s="39"/>
    </x:row>
    <x:row r="2601">
      <x:c r="A2601" s="34" t="str">
        <x:v>☐</x:v>
      </x:c>
      <x:c r="B2601" s="34" t="str">
        <x:v>EX-2573</x:v>
      </x:c>
      <x:c r="C2601" s="34" t="str">
        <x:v>رویدادهای رو در رو باید کوچک، چابک و آسان برای اجرا باشند، نه عملیات سنگین سالانه</x:v>
      </x:c>
      <x:c r="D2601" s="34" t="str">
        <x:v>POSSIBLE</x:v>
      </x:c>
      <x:c r="E2601" s="34" t="str">
        <x:v>85.5</x:v>
      </x:c>
      <x:c r="F2601" s="34" t="str">
        <x:v>MI-2921</x:v>
      </x:c>
      <x:c r="G2601" s="39" t="str">
        <x:v>ساختار تصمیم گیری چگونه باید باشد</x:v>
      </x:c>
      <x:c r="H2601" s="39" t="str">
        <x:v>H1</x:v>
      </x:c>
      <x:c r="I2601" s="39" t="str">
        <x:v>P0</x:v>
      </x:c>
      <x:c r="J2601" s="39" t="str">
        <x:v>H1</x:v>
      </x:c>
      <x:c r="K2601" s="39" t="str">
        <x:v>تطبیق احتمالی با پایه</x:v>
      </x:c>
      <x:c r="L2601" s="39" t="str">
        <x:v>MI-2921</x:v>
      </x:c>
      <x:c r="M2601" s="39" t="str">
        <x:v>ساختار تصمیم گیری چگونه باید باشد</x:v>
      </x:c>
      <x:c r="N2601" s="39" t="str">
        <x:v>1154878548.docx::P7846.1</x:v>
      </x:c>
      <x:c r="O2601" s="39"/>
    </x:row>
    <x:row r="2602">
      <x:c r="A2602" s="34" t="str">
        <x:v>☐</x:v>
      </x:c>
      <x:c r="B2602" s="34" t="str">
        <x:v>EX-2574</x:v>
      </x:c>
      <x:c r="C2602" s="34" t="str">
        <x:v>ذی‌نفعان و توسعه اکوسیستم</x:v>
      </x:c>
      <x:c r="D2602" s="34" t="str">
        <x:v>POSSIBLE</x:v>
      </x:c>
      <x:c r="E2602" s="34" t="str">
        <x:v>85.5</x:v>
      </x:c>
      <x:c r="F2602" s="34" t="str">
        <x:v>MI-1513</x:v>
      </x:c>
      <x:c r="G2602" s="39" t="str">
        <x:v>تولید و کارآفرینی: توانایی تولید محصول و خدمات و ایجاد شغل.</x:v>
      </x:c>
      <x:c r="H2602" s="39" t="str">
        <x:v>H1</x:v>
      </x:c>
      <x:c r="I2602" s="39" t="str">
        <x:v>P0</x:v>
      </x:c>
      <x:c r="J2602" s="39" t="str">
        <x:v>H1</x:v>
      </x:c>
      <x:c r="K2602" s="39" t="str">
        <x:v>تطبیق احتمالی با پایه</x:v>
      </x:c>
      <x:c r="L2602" s="39" t="str">
        <x:v>MI-1513</x:v>
      </x:c>
      <x:c r="M2602" s="39" t="str">
        <x:v>تولید و کارآفرینی: توانایی تولید محصول و خدمات و ایجاد شغل.</x:v>
      </x:c>
      <x:c r="N2602" s="39" t="str">
        <x:v>1154878548.docx::P7847.1</x:v>
      </x:c>
      <x:c r="O2602" s="39"/>
    </x:row>
    <x:row r="2603">
      <x:c r="A2603" s="34" t="str">
        <x:v>☐</x:v>
      </x:c>
      <x:c r="B2603" s="34" t="str">
        <x:v>EX-2575</x:v>
      </x:c>
      <x:c r="C2603" s="34" t="str">
        <x:v>شبکه باید با فارغ‌التحصیلان، استادان، افراد موفق و صاحبان کسب‌وکار برای گسترش دسترسی و داده‌ها ارتباط برقرار کند</x:v>
      </x:c>
      <x:c r="D2603" s="34" t="str">
        <x:v>POSSIBLE</x:v>
      </x:c>
      <x:c r="E2603" s="34" t="str">
        <x:v>85.5</x:v>
      </x:c>
      <x:c r="F2603" s="34" t="str">
        <x:v>MI-1513</x:v>
      </x:c>
      <x:c r="G2603" s="39" t="str">
        <x:v>تولید و کارآفرینی: توانایی تولید محصول و خدمات و ایجاد شغل.</x:v>
      </x:c>
      <x:c r="H2603" s="39" t="str">
        <x:v>H1</x:v>
      </x:c>
      <x:c r="I2603" s="39" t="str">
        <x:v>P0</x:v>
      </x:c>
      <x:c r="J2603" s="39" t="str">
        <x:v>H1</x:v>
      </x:c>
      <x:c r="K2603" s="39" t="str">
        <x:v>تطبیق احتمالی با پایه</x:v>
      </x:c>
      <x:c r="L2603" s="39" t="str">
        <x:v>MI-1513</x:v>
      </x:c>
      <x:c r="M2603" s="39" t="str">
        <x:v>تولید و کارآفرینی: توانایی تولید محصول و خدمات و ایجاد شغل.</x:v>
      </x:c>
      <x:c r="N2603" s="39" t="str">
        <x:v>1154878548.docx::P7848.1</x:v>
      </x:c>
      <x:c r="O2603" s="39"/>
    </x:row>
    <x:row r="2604">
      <x:c r="A2604" s="34" t="str">
        <x:v>☐</x:v>
      </x:c>
      <x:c r="B2604" s="34" t="str">
        <x:v>EX-2576</x:v>
      </x:c>
      <x:c r="C2604" s="34" t="str">
        <x:v>باید استعدادهای مشخص یا گروه‌های مورد علاقه را بر اساس تگ‌ها و علایق به رویدادها، مسابقات و سمینارها دعوت کند</x:v>
      </x:c>
      <x:c r="D2604" s="34" t="str">
        <x:v>POSSIBLE</x:v>
      </x:c>
      <x:c r="E2604" s="34" t="str">
        <x:v>85.5</x:v>
      </x:c>
      <x:c r="F2604" s="34" t="str">
        <x:v>MI-1513</x:v>
      </x:c>
      <x:c r="G2604" s="39" t="str">
        <x:v>تولید و کارآفرینی: توانایی تولید محصول و خدمات و ایجاد شغل.</x:v>
      </x:c>
      <x:c r="H2604" s="39" t="str">
        <x:v>H1</x:v>
      </x:c>
      <x:c r="I2604" s="39" t="str">
        <x:v>P0</x:v>
      </x:c>
      <x:c r="J2604" s="39" t="str">
        <x:v>H1</x:v>
      </x:c>
      <x:c r="K2604" s="39" t="str">
        <x:v>تطبیق احتمالی با پایه</x:v>
      </x:c>
      <x:c r="L2604" s="39" t="str">
        <x:v>MI-1513</x:v>
      </x:c>
      <x:c r="M2604" s="39" t="str">
        <x:v>تولید و کارآفرینی: توانایی تولید محصول و خدمات و ایجاد شغل.</x:v>
      </x:c>
      <x:c r="N2604" s="39" t="str">
        <x:v>1154878548.docx::P7849.1</x:v>
      </x:c>
      <x:c r="O2604" s="39"/>
    </x:row>
    <x:row r="2605">
      <x:c r="A2605" s="34" t="str">
        <x:v>☐</x:v>
      </x:c>
      <x:c r="B2605" s="34" t="str">
        <x:v>EX-2577</x:v>
      </x:c>
      <x:c r="C2605" s="34" t="str">
        <x:v>آرمان وسیع‌تر ایجاد یک اکوسیستم علمی و فناوری با هماهنگی انسانی‌محور و رشد مستمر است</x:v>
      </x:c>
      <x:c r="D2605" s="34" t="str">
        <x:v>POSSIBLE</x:v>
      </x:c>
      <x:c r="E2605" s="34" t="str">
        <x:v>85.5</x:v>
      </x:c>
      <x:c r="F2605" s="34" t="str">
        <x:v>MI-1530</x:v>
      </x:c>
      <x:c r="G2605" s="39" t="str">
        <x:v>ایجاد ستاد تحول بسیج</x:v>
      </x:c>
      <x:c r="H2605" s="39" t="str">
        <x:v>H1</x:v>
      </x:c>
      <x:c r="I2605" s="39" t="str">
        <x:v>P0</x:v>
      </x:c>
      <x:c r="J2605" s="39" t="str">
        <x:v>H1</x:v>
      </x:c>
      <x:c r="K2605" s="39" t="str">
        <x:v>تطبیق احتمالی با پایه</x:v>
      </x:c>
      <x:c r="L2605" s="39" t="str">
        <x:v>MI-1530</x:v>
      </x:c>
      <x:c r="M2605" s="39" t="str">
        <x:v>ایجاد ستاد تحول بسیج</x:v>
      </x:c>
      <x:c r="N2605" s="39" t="str">
        <x:v>1154878548.docx::P7850.1</x:v>
      </x:c>
      <x:c r="O2605" s="39"/>
    </x:row>
    <x:row r="2606">
      <x:c r="A2606" s="34" t="str">
        <x:v>☐</x:v>
      </x:c>
      <x:c r="B2606" s="34" t="str">
        <x:v>EX-2578</x:v>
      </x:c>
      <x:c r="C2606" s="34" t="str">
        <x:v>بهترین و موفق ترین سیستم های نظارت و ارزیابی نیروی انسانی برای یک مدیر نیروی انسانی رو چند تا از بهترین ها رو در کنار هم بیار</x:v>
      </x:c>
      <x:c r="D2606" s="34" t="str">
        <x:v>POSSIBLE</x:v>
      </x:c>
      <x:c r="E2606" s="34" t="str">
        <x:v>85.5</x:v>
      </x:c>
      <x:c r="F2606" s="34" t="str">
        <x:v>MI-1451</x:v>
      </x:c>
      <x:c r="G2606" s="39" t="str">
        <x:v>تهیه بهترین ایرپاد</x:v>
      </x:c>
      <x:c r="H2606" s="39" t="str">
        <x:v>H1</x:v>
      </x:c>
      <x:c r="I2606" s="39" t="str">
        <x:v>P0</x:v>
      </x:c>
      <x:c r="J2606" s="39" t="str">
        <x:v>H1</x:v>
      </x:c>
      <x:c r="K2606" s="39" t="str">
        <x:v>تطبیق احتمالی با پایه</x:v>
      </x:c>
      <x:c r="L2606" s="39" t="str">
        <x:v>MI-1451</x:v>
      </x:c>
      <x:c r="M2606" s="39" t="str">
        <x:v>تهیه بهترین ایرپاد</x:v>
      </x:c>
      <x:c r="N2606" s="39" t="str">
        <x:v>1154878548.docx::P7887.1</x:v>
      </x:c>
      <x:c r="O2606" s="39"/>
    </x:row>
    <x:row r="2607">
      <x:c r="A2607" s="34" t="str">
        <x:v>☐</x:v>
      </x:c>
      <x:c r="B2607" s="34" t="str">
        <x:v>EX-2579</x:v>
      </x:c>
      <x:c r="C2607" s="34" t="str">
        <x:v>شیوه های همه اونها رو استخراج کن و به من بگو چطور میتونم سیستماتیک این قضیه رو هندل کنم ، چطور میتونم با سامانه ای که خودم راه میندازم بتونم این سیستم رو تحلیل کنم انلاین بررسی کنم وضعیت مالی شون رو ، حقوقشون رو ، تلنت و استعداد شون رو ،</x:v>
      </x:c>
      <x:c r="D2607" s="34" t="str">
        <x:v>POSSIBLE</x:v>
      </x:c>
      <x:c r="E2607" s="34" t="str">
        <x:v>85.5</x:v>
      </x:c>
      <x:c r="F2607" s="34" t="str">
        <x:v>MI-1501</x:v>
      </x:c>
      <x:c r="G2607" s="39" t="str">
        <x:v>مدیریت ریسک: شناسایی ریسک ها، ارزیابی اثرات، تدوین برنامه های مقابله با ریسک ها.</x:v>
      </x:c>
      <x:c r="H2607" s="39" t="str">
        <x:v>H1</x:v>
      </x:c>
      <x:c r="I2607" s="39" t="str">
        <x:v>P0</x:v>
      </x:c>
      <x:c r="J2607" s="39" t="str">
        <x:v>H1</x:v>
      </x:c>
      <x:c r="K2607" s="39" t="str">
        <x:v>تطبیق احتمالی با پایه</x:v>
      </x:c>
      <x:c r="L2607" s="39" t="str">
        <x:v>MI-1501</x:v>
      </x:c>
      <x:c r="M2607" s="39" t="str">
        <x:v>مدیریت ریسک: شناسایی ریسک ها، ارزیابی اثرات، تدوین برنامه های مقابله با ریسک ها.</x:v>
      </x:c>
      <x:c r="N2607" s="39" t="str">
        <x:v>1154878548.docx::P7890.1</x:v>
      </x:c>
      <x:c r="O2607" s="39"/>
    </x:row>
    <x:row r="2608">
      <x:c r="A2608" s="34" t="str">
        <x:v>☐</x:v>
      </x:c>
      <x:c r="B2608" s="34" t="str">
        <x:v>EX-2580</x:v>
      </x:c>
      <x:c r="C2608" s="34" t="str">
        <x:v>روز تولد و رو های مهم زندگی از جمله سالروز ازدواج یا تولد بچه با تولد خودشون، یه همسر شون،</x:v>
      </x:c>
      <x:c r="D2608" s="34" t="str">
        <x:v>POSSIBLE</x:v>
      </x:c>
      <x:c r="E2608" s="34" t="str">
        <x:v>85.5</x:v>
      </x:c>
      <x:c r="F2608" s="34" t="str">
        <x:v>MI-1513</x:v>
      </x:c>
      <x:c r="G2608" s="39" t="str">
        <x:v>تولید و کارآفرینی: توانایی تولید محصول و خدمات و ایجاد شغل.</x:v>
      </x:c>
      <x:c r="H2608" s="39" t="str">
        <x:v>H1</x:v>
      </x:c>
      <x:c r="I2608" s="39" t="str">
        <x:v>P0</x:v>
      </x:c>
      <x:c r="J2608" s="39" t="str">
        <x:v>H1</x:v>
      </x:c>
      <x:c r="K2608" s="39" t="str">
        <x:v>تطبیق احتمالی با پایه</x:v>
      </x:c>
      <x:c r="L2608" s="39" t="str">
        <x:v>MI-1513</x:v>
      </x:c>
      <x:c r="M2608" s="39" t="str">
        <x:v>تولید و کارآفرینی: توانایی تولید محصول و خدمات و ایجاد شغل.</x:v>
      </x:c>
      <x:c r="N2608" s="39" t="str">
        <x:v>1154878548.docx::P7891.1</x:v>
      </x:c>
      <x:c r="O2608" s="39"/>
    </x:row>
    <x:row r="2609">
      <x:c r="A2609" s="34" t="str">
        <x:v>☐</x:v>
      </x:c>
      <x:c r="B2609" s="34" t="str">
        <x:v>EX-2581</x:v>
      </x:c>
      <x:c r="C2609" s="34" t="str">
        <x:v>کد تخفیف فلان دوره هایی که موجوده و میشه متناسب با تلنت یا جایگاه شغلی که میخوایم براش در نظر بگیریم  رو بهش بدیم</x:v>
      </x:c>
      <x:c r="D2609" s="34" t="str">
        <x:v>POSSIBLE</x:v>
      </x:c>
      <x:c r="E2609" s="34" t="str">
        <x:v>85.5</x:v>
      </x:c>
      <x:c r="F2609" s="34" t="str">
        <x:v>MI-1513</x:v>
      </x:c>
      <x:c r="G2609" s="39" t="str">
        <x:v>تولید و کارآفرینی: توانایی تولید محصول و خدمات و ایجاد شغل.</x:v>
      </x:c>
      <x:c r="H2609" s="39" t="str">
        <x:v>H1</x:v>
      </x:c>
      <x:c r="I2609" s="39" t="str">
        <x:v>P0</x:v>
      </x:c>
      <x:c r="J2609" s="39" t="str">
        <x:v>H1</x:v>
      </x:c>
      <x:c r="K2609" s="39" t="str">
        <x:v>تطبیق احتمالی با پایه</x:v>
      </x:c>
      <x:c r="L2609" s="39" t="str">
        <x:v>MI-1513</x:v>
      </x:c>
      <x:c r="M2609" s="39" t="str">
        <x:v>تولید و کارآفرینی: توانایی تولید محصول و خدمات و ایجاد شغل.</x:v>
      </x:c>
      <x:c r="N2609" s="39" t="str">
        <x:v>1154878548.docx::P7892.1</x:v>
      </x:c>
      <x:c r="O2609" s="39"/>
    </x:row>
    <x:row r="2610">
      <x:c r="A2610" s="34" t="str">
        <x:v>☐</x:v>
      </x:c>
      <x:c r="B2610" s="34" t="str">
        <x:v>EX-2582</x:v>
      </x:c>
      <x:c r="C2610" s="34" t="str">
        <x:v>یا اینکه در مسابقات شرکتش بدیم و اینکه براش مثلا پیامک بره|، سمینار های رایگان براش پیامک بره،</x:v>
      </x:c>
      <x:c r="D2610" s="34" t="str">
        <x:v>POSSIBLE</x:v>
      </x:c>
      <x:c r="E2610" s="34" t="str">
        <x:v>85.5</x:v>
      </x:c>
      <x:c r="F2610" s="34" t="str">
        <x:v>MI-1513</x:v>
      </x:c>
      <x:c r="G2610" s="39" t="str">
        <x:v>تولید و کارآفرینی: توانایی تولید محصول و خدمات و ایجاد شغل.</x:v>
      </x:c>
      <x:c r="H2610" s="39" t="str">
        <x:v>H1</x:v>
      </x:c>
      <x:c r="I2610" s="39" t="str">
        <x:v>P0</x:v>
      </x:c>
      <x:c r="J2610" s="39" t="str">
        <x:v>H1</x:v>
      </x:c>
      <x:c r="K2610" s="39" t="str">
        <x:v>تطبیق احتمالی با پایه</x:v>
      </x:c>
      <x:c r="L2610" s="39" t="str">
        <x:v>MI-1513</x:v>
      </x:c>
      <x:c r="M2610" s="39" t="str">
        <x:v>تولید و کارآفرینی: توانایی تولید محصول و خدمات و ایجاد شغل.</x:v>
      </x:c>
      <x:c r="N2610" s="39" t="str">
        <x:v>1154878548.docx::P7894.1</x:v>
      </x:c>
      <x:c r="O2610" s="39"/>
    </x:row>
    <x:row r="2611">
      <x:c r="A2611" s="34" t="str">
        <x:v>☐</x:v>
      </x:c>
      <x:c r="B2611" s="34" t="str">
        <x:v>EX-2583</x:v>
      </x:c>
      <x:c r="C2611" s="34" t="str">
        <x:v>اگر تیم هستن بشه تیم رو ارزیابی کرد، کجای کار هستن نیاز هست الان تقویتشون کنیم، میشه برنامه ریزی کرد برای این افراد که چه کسی و یا چه کسانی دوست دارند یا برنامه ریزی کردن یا هماهنگ کردن که از چه بازه زمانی تا چه بازه زمانی مثلا در فلان اتاق در دفتر جلسه بیان و بشه پیگیر اموراتشون بود</x:v>
      </x:c>
      <x:c r="D2611" s="34" t="str">
        <x:v>POSSIBLE</x:v>
      </x:c>
      <x:c r="E2611" s="34" t="str">
        <x:v>85.5</x:v>
      </x:c>
      <x:c r="F2611" s="34" t="str">
        <x:v>MI-1501</x:v>
      </x:c>
      <x:c r="G2611" s="39" t="str">
        <x:v>مدیریت ریسک: شناسایی ریسک ها، ارزیابی اثرات، تدوین برنامه های مقابله با ریسک ها.</x:v>
      </x:c>
      <x:c r="H2611" s="39" t="str">
        <x:v>H1</x:v>
      </x:c>
      <x:c r="I2611" s="39" t="str">
        <x:v>P0</x:v>
      </x:c>
      <x:c r="J2611" s="39" t="str">
        <x:v>H1</x:v>
      </x:c>
      <x:c r="K2611" s="39" t="str">
        <x:v>تطبیق احتمالی با پایه</x:v>
      </x:c>
      <x:c r="L2611" s="39" t="str">
        <x:v>MI-1501</x:v>
      </x:c>
      <x:c r="M2611" s="39" t="str">
        <x:v>مدیریت ریسک: شناسایی ریسک ها، ارزیابی اثرات، تدوین برنامه های مقابله با ریسک ها.</x:v>
      </x:c>
      <x:c r="N2611" s="39" t="str">
        <x:v>1154878548.docx::P7897.1</x:v>
      </x:c>
      <x:c r="O2611" s="39"/>
    </x:row>
    <x:row r="2612">
      <x:c r="A2612" s="34" t="str">
        <x:v>☐</x:v>
      </x:c>
      <x:c r="B2612" s="34" t="str">
        <x:v>EX-2584</x:v>
      </x:c>
      <x:c r="C2612" s="34" t="str">
        <x:v>با برای افراد تیم اجرا و نیروی انسانی خودمون بشه یه برنامه ریزی کرد که براش تولد بگیریم و اینا</x:v>
      </x:c>
      <x:c r="D2612" s="34" t="str">
        <x:v>POSSIBLE</x:v>
      </x:c>
      <x:c r="E2612" s="34" t="str">
        <x:v>90.0</x:v>
      </x:c>
      <x:c r="F2612" s="34" t="str">
        <x:v>MI-0635</x:v>
      </x:c>
      <x:c r="G2612" s="39" t="str">
        <x:v>نیروی انسانی</x:v>
      </x:c>
      <x:c r="H2612" s="39" t="str">
        <x:v>H11</x:v>
      </x:c>
      <x:c r="I2612" s="39" t="str">
        <x:v>DELEGATE/P2</x:v>
      </x:c>
      <x:c r="J2612" s="39" t="str">
        <x:v>H11</x:v>
      </x:c>
      <x:c r="K2612" s="39" t="str">
        <x:v>تطبیق احتمالی با پایه</x:v>
      </x:c>
      <x:c r="L2612" s="39" t="str">
        <x:v>MI-0635</x:v>
      </x:c>
      <x:c r="M2612" s="39" t="str">
        <x:v>نیروی انسانی</x:v>
      </x:c>
      <x:c r="N2612" s="39" t="str">
        <x:v>1154878548.docx::P7899.1</x:v>
      </x:c>
      <x:c r="O2612" s="39"/>
    </x:row>
    <x:row r="2613">
      <x:c r="A2613" s="34" t="str">
        <x:v>☐</x:v>
      </x:c>
      <x:c r="B2613" s="34" t="str">
        <x:v>EX-2585</x:v>
      </x:c>
      <x:c r="C2613" s="34" t="str">
        <x:v>با اینکه بشه با تلنت شناسی و محاسبه نیاز روز و اینا بشه یه کاری کرد که یه سری دوره مختص بچه های تیم گذاشت یا اینکه بشه همایش برگزار کرد و اینا</x:v>
      </x:c>
      <x:c r="D2613" s="34" t="str">
        <x:v>POSSIBLE</x:v>
      </x:c>
      <x:c r="E2613" s="34" t="str">
        <x:v>85.5</x:v>
      </x:c>
      <x:c r="F2613" s="34" t="str">
        <x:v>MI-1501</x:v>
      </x:c>
      <x:c r="G2613" s="39" t="str">
        <x:v>مدیریت ریسک: شناسایی ریسک ها، ارزیابی اثرات، تدوین برنامه های مقابله با ریسک ها.</x:v>
      </x:c>
      <x:c r="H2613" s="39" t="str">
        <x:v>H1</x:v>
      </x:c>
      <x:c r="I2613" s="39" t="str">
        <x:v>P0</x:v>
      </x:c>
      <x:c r="J2613" s="39" t="str">
        <x:v>H1</x:v>
      </x:c>
      <x:c r="K2613" s="39" t="str">
        <x:v>تطبیق احتمالی با پایه</x:v>
      </x:c>
      <x:c r="L2613" s="39" t="str">
        <x:v>MI-1501</x:v>
      </x:c>
      <x:c r="M2613" s="39" t="str">
        <x:v>مدیریت ریسک: شناسایی ریسک ها، ارزیابی اثرات، تدوین برنامه های مقابله با ریسک ها.</x:v>
      </x:c>
      <x:c r="N2613" s="39" t="str">
        <x:v>1154878548.docx::P7902.1</x:v>
      </x:c>
      <x:c r="O2613" s="39"/>
    </x:row>
    <x:row r="2614">
      <x:c r="A2614" s="34" t="str">
        <x:v>☐</x:v>
      </x:c>
      <x:c r="B2614" s="34" t="str">
        <x:v>EX-2586</x:v>
      </x:c>
      <x:c r="C2614" s="34" t="str">
        <x:v>همچنین در یه بخش از سامانه بشه فرصت های شغلی گسترده رو بشه به صورت روزانه در سایت هایی که هستن ارزیابی کرد و همچنین ازش دیتا در بیاریم که چه مهارت هایی برای چه کارایی نیازه و همچنین ببینیم اگر فردی نیاز به کاری داره بشه بهش پیشنهاد داد</x:v>
      </x:c>
      <x:c r="D2614" s="34" t="str">
        <x:v>POSSIBLE</x:v>
      </x:c>
      <x:c r="E2614" s="34" t="str">
        <x:v>85.5</x:v>
      </x:c>
      <x:c r="F2614" s="34" t="str">
        <x:v>MI-1501</x:v>
      </x:c>
      <x:c r="G2614" s="39" t="str">
        <x:v>مدیریت ریسک: شناسایی ریسک ها، ارزیابی اثرات، تدوین برنامه های مقابله با ریسک ها.</x:v>
      </x:c>
      <x:c r="H2614" s="39" t="str">
        <x:v>H1</x:v>
      </x:c>
      <x:c r="I2614" s="39" t="str">
        <x:v>P0</x:v>
      </x:c>
      <x:c r="J2614" s="39" t="str">
        <x:v>H1</x:v>
      </x:c>
      <x:c r="K2614" s="39" t="str">
        <x:v>تطبیق احتمالی با پایه</x:v>
      </x:c>
      <x:c r="L2614" s="39" t="str">
        <x:v>MI-1501</x:v>
      </x:c>
      <x:c r="M2614" s="39" t="str">
        <x:v>مدیریت ریسک: شناسایی ریسک ها، ارزیابی اثرات، تدوین برنامه های مقابله با ریسک ها.</x:v>
      </x:c>
      <x:c r="N2614" s="39" t="str">
        <x:v>1154878548.docx::P7905.1</x:v>
      </x:c>
      <x:c r="O2614" s="39"/>
    </x:row>
    <x:row r="2615">
      <x:c r="A2615" s="34" t="str">
        <x:v>☐</x:v>
      </x:c>
      <x:c r="B2615" s="34" t="str">
        <x:v>EX-2587</x:v>
      </x:c>
      <x:c r="C2615" s="34" t="str">
        <x:v>اما در قالب یا هزینه کردی که بشه برای استعداد شناسی اون و معرفی مشاغل و کوچ کردنش هزینه کرد.</x:v>
      </x:c>
      <x:c r="D2615" s="34" t="str">
        <x:v>POSSIBLE</x:v>
      </x:c>
      <x:c r="E2615" s="34" t="str">
        <x:v>85.5</x:v>
      </x:c>
      <x:c r="F2615" s="34" t="str">
        <x:v>MI-1513</x:v>
      </x:c>
      <x:c r="G2615" s="39" t="str">
        <x:v>تولید و کارآفرینی: توانایی تولید محصول و خدمات و ایجاد شغل.</x:v>
      </x:c>
      <x:c r="H2615" s="39" t="str">
        <x:v>H1</x:v>
      </x:c>
      <x:c r="I2615" s="39" t="str">
        <x:v>P0</x:v>
      </x:c>
      <x:c r="J2615" s="39" t="str">
        <x:v>H1</x:v>
      </x:c>
      <x:c r="K2615" s="39" t="str">
        <x:v>تطبیق احتمالی با پایه</x:v>
      </x:c>
      <x:c r="L2615" s="39" t="str">
        <x:v>MI-1513</x:v>
      </x:c>
      <x:c r="M2615" s="39" t="str">
        <x:v>تولید و کارآفرینی: توانایی تولید محصول و خدمات و ایجاد شغل.</x:v>
      </x:c>
      <x:c r="N2615" s="39" t="str">
        <x:v>1154878548.docx::P7908.1</x:v>
      </x:c>
      <x:c r="O2615" s="39"/>
    </x:row>
    <x:row r="2616">
      <x:c r="A2616" s="34" t="str">
        <x:v>☐</x:v>
      </x:c>
      <x:c r="B2616" s="34" t="str">
        <x:v>EX-2588</x:v>
      </x:c>
      <x:c r="C2616" s="34" t="str">
        <x:v>یا برای تولد بچه فلان کس یه هدیه گرفته بشه</x:v>
      </x:c>
      <x:c r="D2616" s="34" t="str">
        <x:v>POSSIBLE</x:v>
      </x:c>
      <x:c r="E2616" s="34" t="str">
        <x:v>85.5</x:v>
      </x:c>
      <x:c r="F2616" s="34" t="str">
        <x:v>MI-1445</x:v>
      </x:c>
      <x:c r="G2616" s="39" t="str">
        <x:v>بنری که بالا نرفت برای بسیج</x:v>
      </x:c>
      <x:c r="H2616" s="39" t="str">
        <x:v>H1</x:v>
      </x:c>
      <x:c r="I2616" s="39" t="str">
        <x:v>P0</x:v>
      </x:c>
      <x:c r="J2616" s="39" t="str">
        <x:v>H1</x:v>
      </x:c>
      <x:c r="K2616" s="39" t="str">
        <x:v>تطبیق احتمالی با پایه</x:v>
      </x:c>
      <x:c r="L2616" s="39" t="str">
        <x:v>MI-1445</x:v>
      </x:c>
      <x:c r="M2616" s="39" t="str">
        <x:v>بنری که بالا نرفت برای بسیج</x:v>
      </x:c>
      <x:c r="N2616" s="39" t="str">
        <x:v>1154878548.docx::P7911.1</x:v>
      </x:c>
      <x:c r="O2616" s="39"/>
    </x:row>
    <x:row r="2617">
      <x:c r="A2617" s="34" t="str">
        <x:v>☐</x:v>
      </x:c>
      <x:c r="B2617" s="34" t="str">
        <x:v>EX-2589</x:v>
      </x:c>
      <x:c r="C2617" s="34" t="str">
        <x:v>یا برای تیم اردو برگزار  بشه</x:v>
      </x:c>
      <x:c r="D2617" s="34" t="str">
        <x:v>POSSIBLE</x:v>
      </x:c>
      <x:c r="E2617" s="34" t="str">
        <x:v>90.0</x:v>
      </x:c>
      <x:c r="F2617" s="34" t="str">
        <x:v>MI-2268</x:v>
      </x:c>
      <x:c r="G2617" s="39" t="str">
        <x:v>برای:</x:v>
      </x:c>
      <x:c r="H2617" s="39" t="str">
        <x:v>H20</x:v>
      </x:c>
      <x:c r="I2617" s="39" t="str">
        <x:v>P3/CLARIFY</x:v>
      </x:c>
      <x:c r="J2617" s="39" t="str">
        <x:v>H20</x:v>
      </x:c>
      <x:c r="K2617" s="39" t="str">
        <x:v>تطبیق احتمالی با پایه</x:v>
      </x:c>
      <x:c r="L2617" s="39" t="str">
        <x:v>MI-2268</x:v>
      </x:c>
      <x:c r="M2617" s="39" t="str">
        <x:v>برای:</x:v>
      </x:c>
      <x:c r="N2617" s="39" t="str">
        <x:v>1154878548.docx::P7914.1</x:v>
      </x:c>
      <x:c r="O2617" s="39"/>
    </x:row>
    <x:row r="2618">
      <x:c r="A2618" s="34" t="str">
        <x:v>☐</x:v>
      </x:c>
      <x:c r="B2618" s="34" t="str">
        <x:v>EX-2590</x:v>
      </x:c>
      <x:c r="C2618" s="34" t="str">
        <x:v>یا دورهمی برای افراد برگزار بشه که تیم صمیمی تر باشن</x:v>
      </x:c>
      <x:c r="D2618" s="34" t="str">
        <x:v>POSSIBLE</x:v>
      </x:c>
      <x:c r="E2618" s="34" t="str">
        <x:v>85.5</x:v>
      </x:c>
      <x:c r="F2618" s="34" t="str">
        <x:v>MI-0067</x:v>
      </x:c>
      <x:c r="G2618" s="39" t="str">
        <x:v>یادگیری روش تعامل با افراد گوناگون</x:v>
      </x:c>
      <x:c r="H2618" s="39" t="str">
        <x:v>H1</x:v>
      </x:c>
      <x:c r="I2618" s="39" t="str">
        <x:v>P0</x:v>
      </x:c>
      <x:c r="J2618" s="39" t="str">
        <x:v>H1</x:v>
      </x:c>
      <x:c r="K2618" s="39" t="str">
        <x:v>تطبیق احتمالی با پایه</x:v>
      </x:c>
      <x:c r="L2618" s="39" t="str">
        <x:v>MI-0067</x:v>
      </x:c>
      <x:c r="M2618" s="39" t="str">
        <x:v>یادگیری روش تعامل با افراد گوناگون</x:v>
      </x:c>
      <x:c r="N2618" s="39" t="str">
        <x:v>1154878548.docx::P7916.1</x:v>
      </x:c>
      <x:c r="O2618" s="39"/>
    </x:row>
    <x:row r="2619">
      <x:c r="A2619" s="34" t="str">
        <x:v>☐</x:v>
      </x:c>
      <x:c r="B2619" s="34" t="str">
        <x:v>EX-2591</x:v>
      </x:c>
      <x:c r="C2619" s="34" t="str">
        <x:v>که اینا به صورت لایه لایه بندی کنیم ببینیم اونی که لایه اصلی ما هست براش کیک بگیریم</x:v>
      </x:c>
      <x:c r="D2619" s="34" t="str">
        <x:v>POSSIBLE</x:v>
      </x:c>
      <x:c r="E2619" s="34" t="str">
        <x:v>85.5</x:v>
      </x:c>
      <x:c r="F2619" s="34" t="str">
        <x:v>MI-2505</x:v>
      </x:c>
      <x:c r="G2619" s="39" t="str">
        <x:v>تمرکز روی مهارت هایی که بازار نیاز دارد.</x:v>
      </x:c>
      <x:c r="H2619" s="39" t="str">
        <x:v>H1</x:v>
      </x:c>
      <x:c r="I2619" s="39" t="str">
        <x:v>P0</x:v>
      </x:c>
      <x:c r="J2619" s="39" t="str">
        <x:v>H1</x:v>
      </x:c>
      <x:c r="K2619" s="39" t="str">
        <x:v>تطبیق احتمالی با پایه</x:v>
      </x:c>
      <x:c r="L2619" s="39" t="str">
        <x:v>MI-2505</x:v>
      </x:c>
      <x:c r="M2619" s="39" t="str">
        <x:v>تمرکز روی مهارت هایی که بازار نیاز دارد.</x:v>
      </x:c>
      <x:c r="N2619" s="39" t="str">
        <x:v>1154878548.docx::P7920.1</x:v>
      </x:c>
      <x:c r="O2619" s="39"/>
    </x:row>
    <x:row r="2620">
      <x:c r="A2620" s="34" t="str">
        <x:v>☐</x:v>
      </x:c>
      <x:c r="B2620" s="34" t="str">
        <x:v>EX-2592</x:v>
      </x:c>
      <x:c r="C2620" s="34" t="str">
        <x:v>برای لایه پایین تر بشه یه پستی طراحی کرد و تبریک تولد گفت یا تبریک ازدواج و ..</x:v>
      </x:c>
      <x:c r="D2620" s="34" t="str">
        <x:v>POSSIBLE</x:v>
      </x:c>
      <x:c r="E2620" s="34" t="str">
        <x:v>85.5</x:v>
      </x:c>
      <x:c r="F2620" s="34" t="str">
        <x:v>MI-0022</x:v>
      </x:c>
      <x:c r="G2620" s="39" t="str">
        <x:v>برنامه ریزی جدی برای دروس دانشگاه پیام نور</x:v>
      </x:c>
      <x:c r="H2620" s="39" t="str">
        <x:v>H1</x:v>
      </x:c>
      <x:c r="I2620" s="39" t="str">
        <x:v>P0</x:v>
      </x:c>
      <x:c r="J2620" s="39" t="str">
        <x:v>H1</x:v>
      </x:c>
      <x:c r="K2620" s="39" t="str">
        <x:v>تطبیق احتمالی با پایه</x:v>
      </x:c>
      <x:c r="L2620" s="39" t="str">
        <x:v>MI-0022</x:v>
      </x:c>
      <x:c r="M2620" s="39" t="str">
        <x:v>برنامه ریزی جدی برای دروس دانشگاه پیام نور</x:v>
      </x:c>
      <x:c r="N2620" s="39" t="str">
        <x:v>1154878548.docx::P7922.1</x:v>
      </x:c>
      <x:c r="O2620" s="39"/>
    </x:row>
    <x:row r="2621">
      <x:c r="A2621" s="34" t="str">
        <x:v>☐</x:v>
      </x:c>
      <x:c r="B2621" s="34" t="str">
        <x:v>EX-2593</x:v>
      </x:c>
      <x:c r="C2621" s="34" t="str">
        <x:v>یا همچنین باید در صدد این باشیم که یه رویداد برگزار کنیم یهو یه صد نفر جذب شدن و سریع بشه اینا رو سامان داد و متناسب با تلنت یا علاقه اونها دسته بندی شون کرد</x:v>
      </x:c>
      <x:c r="D2621" s="34" t="str">
        <x:v>POSSIBLE</x:v>
      </x:c>
      <x:c r="E2621" s="34" t="str">
        <x:v>85.5</x:v>
      </x:c>
      <x:c r="F2621" s="34" t="str">
        <x:v>MI-1501</x:v>
      </x:c>
      <x:c r="G2621" s="39" t="str">
        <x:v>مدیریت ریسک: شناسایی ریسک ها، ارزیابی اثرات، تدوین برنامه های مقابله با ریسک ها.</x:v>
      </x:c>
      <x:c r="H2621" s="39" t="str">
        <x:v>H1</x:v>
      </x:c>
      <x:c r="I2621" s="39" t="str">
        <x:v>P0</x:v>
      </x:c>
      <x:c r="J2621" s="39" t="str">
        <x:v>H1</x:v>
      </x:c>
      <x:c r="K2621" s="39" t="str">
        <x:v>تطبیق احتمالی با پایه</x:v>
      </x:c>
      <x:c r="L2621" s="39" t="str">
        <x:v>MI-1501</x:v>
      </x:c>
      <x:c r="M2621" s="39" t="str">
        <x:v>مدیریت ریسک: شناسایی ریسک ها، ارزیابی اثرات، تدوین برنامه های مقابله با ریسک ها.</x:v>
      </x:c>
      <x:c r="N2621" s="39" t="str">
        <x:v>1154878548.docx::P7928.1</x:v>
      </x:c>
      <x:c r="O2621" s="39"/>
    </x:row>
    <x:row r="2622">
      <x:c r="A2622" s="34" t="str">
        <x:v>☐</x:v>
      </x:c>
      <x:c r="B2622" s="34" t="str">
        <x:v>EX-2594</x:v>
      </x:c>
      <x:c r="C2622" s="34" t="str">
        <x:v>برای هر فرد باید یه پرونده باز بشه</x:v>
      </x:c>
      <x:c r="D2622" s="34" t="str">
        <x:v>POSSIBLE</x:v>
      </x:c>
      <x:c r="E2622" s="34" t="str">
        <x:v>85.5</x:v>
      </x:c>
      <x:c r="F2622" s="34" t="str">
        <x:v>MI-0021</x:v>
      </x:c>
      <x:c r="G2622" s="39" t="str">
        <x:v>برنامه ریزی بسیار جدی تر برای دروس دانشگاه نوشیروانی بابل</x:v>
      </x:c>
      <x:c r="H2622" s="39" t="str">
        <x:v>H1</x:v>
      </x:c>
      <x:c r="I2622" s="39" t="str">
        <x:v>P0</x:v>
      </x:c>
      <x:c r="J2622" s="39" t="str">
        <x:v>H1</x:v>
      </x:c>
      <x:c r="K2622" s="39" t="str">
        <x:v>تطبیق احتمالی با پایه</x:v>
      </x:c>
      <x:c r="L2622" s="39" t="str">
        <x:v>MI-0021</x:v>
      </x:c>
      <x:c r="M2622" s="39" t="str">
        <x:v>برنامه ریزی بسیار جدی تر برای دروس دانشگاه نوشیروانی بابل</x:v>
      </x:c>
      <x:c r="N2622" s="39" t="str">
        <x:v>1154878548.docx::P7931.1</x:v>
      </x:c>
      <x:c r="O2622" s="39"/>
    </x:row>
    <x:row r="2623">
      <x:c r="A2623" s="34" t="str">
        <x:v>☐</x:v>
      </x:c>
      <x:c r="B2623" s="34" t="str">
        <x:v>EX-2595</x:v>
      </x:c>
      <x:c r="C2623" s="34" t="str">
        <x:v>به صورت لایه بندی شده امتیازات تعلق میگیره</x:v>
      </x:c>
      <x:c r="D2623" s="34" t="str">
        <x:v>POSSIBLE</x:v>
      </x:c>
      <x:c r="E2623" s="34" t="str">
        <x:v>85.5</x:v>
      </x:c>
      <x:c r="F2623" s="34" t="str">
        <x:v>MI-1448</x:v>
      </x:c>
      <x:c r="G2623" s="39" t="str">
        <x:v>پول هییت قبلا چوقدر هست دست من؟؟؟ قبلا 4,290 بوده . چقدر به سید دادم.</x:v>
      </x:c>
      <x:c r="H2623" s="39" t="str">
        <x:v>H1</x:v>
      </x:c>
      <x:c r="I2623" s="39" t="str">
        <x:v>P0</x:v>
      </x:c>
      <x:c r="J2623" s="39" t="str">
        <x:v>H1</x:v>
      </x:c>
      <x:c r="K2623" s="39" t="str">
        <x:v>تطبیق احتمالی با پایه</x:v>
      </x:c>
      <x:c r="L2623" s="39" t="str">
        <x:v>MI-1448</x:v>
      </x:c>
      <x:c r="M2623" s="39" t="str">
        <x:v>پول هییت قبلا چوقدر هست دست من؟؟؟ قبلا 4,290 بوده . چقدر به سید دادم.</x:v>
      </x:c>
      <x:c r="N2623" s="39" t="str">
        <x:v>1154878548.docx::P7933.1</x:v>
      </x:c>
      <x:c r="O2623" s="39"/>
    </x:row>
    <x:row r="2624">
      <x:c r="A2624" s="34" t="str">
        <x:v>☐</x:v>
      </x:c>
      <x:c r="B2624" s="34" t="str">
        <x:v>EX-2596</x:v>
      </x:c>
      <x:c r="C2624" s="34" t="str">
        <x:v>لایه بندی شده میشه تیم رو مراسمات خاص برگزار کرد و اینا</x:v>
      </x:c>
      <x:c r="D2624" s="34" t="str">
        <x:v>POSSIBLE</x:v>
      </x:c>
      <x:c r="E2624" s="34" t="str">
        <x:v>85.5</x:v>
      </x:c>
      <x:c r="F2624" s="34" t="str">
        <x:v>MI-0029</x:v>
      </x:c>
      <x:c r="G2624" s="39" t="str">
        <x:v>تدریس ریاضی و فیزیک</x:v>
      </x:c>
      <x:c r="H2624" s="39" t="str">
        <x:v>H1</x:v>
      </x:c>
      <x:c r="I2624" s="39" t="str">
        <x:v>P0</x:v>
      </x:c>
      <x:c r="J2624" s="39" t="str">
        <x:v>H1</x:v>
      </x:c>
      <x:c r="K2624" s="39" t="str">
        <x:v>تطبیق احتمالی با پایه</x:v>
      </x:c>
      <x:c r="L2624" s="39" t="str">
        <x:v>MI-0029</x:v>
      </x:c>
      <x:c r="M2624" s="39" t="str">
        <x:v>تدریس ریاضی و فیزیک</x:v>
      </x:c>
      <x:c r="N2624" s="39" t="str">
        <x:v>1154878548.docx::P7935.1</x:v>
      </x:c>
      <x:c r="O2624" s="39"/>
    </x:row>
    <x:row r="2625">
      <x:c r="A2625" s="34" t="str">
        <x:v>☐</x:v>
      </x:c>
      <x:c r="B2625" s="34" t="str">
        <x:v>EX-2597</x:v>
      </x:c>
      <x:c r="C2625" s="34" t="str">
        <x:v>کل افراد لایه بندی که بشن میشه اونجا انالیز کرد که یه تعدد باید خیلی روشون مانور داد و همچنین یه تعداد یه پیامک یا دعوت به مصاحبه یا دیدار  حضوری یا ارسال رزومه و اینا بشه از ش کرد</x:v>
      </x:c>
      <x:c r="D2625" s="34" t="str">
        <x:v>POSSIBLE</x:v>
      </x:c>
      <x:c r="E2625" s="34" t="str">
        <x:v>85.5</x:v>
      </x:c>
      <x:c r="F2625" s="34" t="str">
        <x:v>MI-1513</x:v>
      </x:c>
      <x:c r="G2625" s="39" t="str">
        <x:v>تولید و کارآفرینی: توانایی تولید محصول و خدمات و ایجاد شغل.</x:v>
      </x:c>
      <x:c r="H2625" s="39" t="str">
        <x:v>H1</x:v>
      </x:c>
      <x:c r="I2625" s="39" t="str">
        <x:v>P0</x:v>
      </x:c>
      <x:c r="J2625" s="39" t="str">
        <x:v>H1</x:v>
      </x:c>
      <x:c r="K2625" s="39" t="str">
        <x:v>تطبیق احتمالی با پایه</x:v>
      </x:c>
      <x:c r="L2625" s="39" t="str">
        <x:v>MI-1513</x:v>
      </x:c>
      <x:c r="M2625" s="39" t="str">
        <x:v>تولید و کارآفرینی: توانایی تولید محصول و خدمات و ایجاد شغل.</x:v>
      </x:c>
      <x:c r="N2625" s="39" t="str">
        <x:v>1154878548.docx::P7939.1</x:v>
      </x:c>
      <x:c r="O2625" s="39"/>
    </x:row>
    <x:row r="2626">
      <x:c r="A2626" s="34" t="str">
        <x:v>☐</x:v>
      </x:c>
      <x:c r="B2626" s="34" t="str">
        <x:v>EX-2598</x:v>
      </x:c>
      <x:c r="C2626" s="34" t="str">
        <x:v>یا اینکه اتفاقا اگه پرونده برای هر کس باز  بشه میشه اونجا دید به صورت مجزا</x:v>
      </x:c>
      <x:c r="D2626" s="34" t="str">
        <x:v>POSSIBLE</x:v>
      </x:c>
      <x:c r="E2626" s="34" t="str">
        <x:v>85.5</x:v>
      </x:c>
      <x:c r="F2626" s="34" t="str">
        <x:v>MI-0022</x:v>
      </x:c>
      <x:c r="G2626" s="39" t="str">
        <x:v>برنامه ریزی جدی برای دروس دانشگاه پیام نور</x:v>
      </x:c>
      <x:c r="H2626" s="39" t="str">
        <x:v>H1</x:v>
      </x:c>
      <x:c r="I2626" s="39" t="str">
        <x:v>P0</x:v>
      </x:c>
      <x:c r="J2626" s="39" t="str">
        <x:v>H1</x:v>
      </x:c>
      <x:c r="K2626" s="39" t="str">
        <x:v>تطبیق احتمالی با پایه</x:v>
      </x:c>
      <x:c r="L2626" s="39" t="str">
        <x:v>MI-0022</x:v>
      </x:c>
      <x:c r="M2626" s="39" t="str">
        <x:v>برنامه ریزی جدی برای دروس دانشگاه پیام نور</x:v>
      </x:c>
      <x:c r="N2626" s="39" t="str">
        <x:v>1154878548.docx::P7943.1</x:v>
      </x:c>
      <x:c r="O2626" s="39"/>
    </x:row>
    <x:row r="2627">
      <x:c r="A2627" s="34" t="str">
        <x:v>☐</x:v>
      </x:c>
      <x:c r="B2627" s="34" t="str">
        <x:v>EX-2599</x:v>
      </x:c>
      <x:c r="C2627" s="34" t="str">
        <x:v>الان عضو تیم هست یا نه</x:v>
      </x:c>
      <x:c r="D2627" s="34" t="str">
        <x:v>POSSIBLE</x:v>
      </x:c>
      <x:c r="E2627" s="34" t="str">
        <x:v>85.5</x:v>
      </x:c>
      <x:c r="F2627" s="34" t="str">
        <x:v>MI-1442</x:v>
      </x:c>
      <x:c r="G2627" s="39" t="str">
        <x:v>این نیت کردم نمیدونم انجام شده یا نه چه کنم</x:v>
      </x:c>
      <x:c r="H2627" s="39" t="str">
        <x:v>H1</x:v>
      </x:c>
      <x:c r="I2627" s="39" t="str">
        <x:v>P0</x:v>
      </x:c>
      <x:c r="J2627" s="39" t="str">
        <x:v>H1</x:v>
      </x:c>
      <x:c r="K2627" s="39" t="str">
        <x:v>تطبیق احتمالی با پایه</x:v>
      </x:c>
      <x:c r="L2627" s="39" t="str">
        <x:v>MI-1442</x:v>
      </x:c>
      <x:c r="M2627" s="39" t="str">
        <x:v>این نیت کردم نمیدونم انجام شده یا نه چه کنم</x:v>
      </x:c>
      <x:c r="N2627" s="39" t="str">
        <x:v>1154878548.docx::P7944.1</x:v>
      </x:c>
      <x:c r="O2627" s="39"/>
    </x:row>
    <x:row r="2628">
      <x:c r="A2628" s="34" t="str">
        <x:v>☐</x:v>
      </x:c>
      <x:c r="B2628" s="34" t="str">
        <x:v>EX-2600</x:v>
      </x:c>
      <x:c r="C2628" s="34" t="str">
        <x:v>تیمشون تا کجا پیش رفته</x:v>
      </x:c>
      <x:c r="D2628" s="34" t="str">
        <x:v>POSSIBLE</x:v>
      </x:c>
      <x:c r="E2628" s="34" t="str">
        <x:v>85.5</x:v>
      </x:c>
      <x:c r="F2628" s="34" t="str">
        <x:v>MI-3110</x:v>
      </x:c>
      <x:c r="G2628" s="39" t="str">
        <x:v>تلاشهایی که تا به الان برای رسیدن به شغل مطلوب خود انجام داده اید چه بوده است؟</x:v>
      </x:c>
      <x:c r="H2628" s="39" t="str">
        <x:v>H3</x:v>
      </x:c>
      <x:c r="I2628" s="39" t="str">
        <x:v>P3/CLARIFY</x:v>
      </x:c>
      <x:c r="J2628" s="39" t="str">
        <x:v>H3</x:v>
      </x:c>
      <x:c r="K2628" s="39" t="str">
        <x:v>تطبیق احتمالی با پایه</x:v>
      </x:c>
      <x:c r="L2628" s="39" t="str">
        <x:v>MI-3110</x:v>
      </x:c>
      <x:c r="M2628" s="39" t="str">
        <x:v>تلاشهایی که تا به الان برای رسیدن به شغل مطلوب خود انجام داده اید چه بوده است؟</x:v>
      </x:c>
      <x:c r="N2628" s="39" t="str">
        <x:v>1154878548.docx::P7945.1</x:v>
      </x:c>
      <x:c r="O2628" s="39"/>
    </x:row>
    <x:row r="2629">
      <x:c r="A2629" s="34" t="str">
        <x:v>☐</x:v>
      </x:c>
      <x:c r="B2629" s="34" t="str">
        <x:v>EX-2601</x:v>
      </x:c>
      <x:c r="C2629" s="34" t="str">
        <x:v>مسئول کجای تیمه</x:v>
      </x:c>
      <x:c r="D2629" s="34" t="str">
        <x:v>UNMAPPED</x:v>
      </x:c>
      <x:c r="E2629" s="34" t="str">
        <x:v>72.0</x:v>
      </x:c>
      <x:c r="F2629" s="34" t="str">
        <x:v>MI-2389</x:v>
      </x:c>
      <x:c r="G2629" s="39" t="str">
        <x:v>تیم ها</x:v>
      </x:c>
      <x:c r="H2629" s="39" t="str">
        <x:v>H10</x:v>
      </x:c>
      <x:c r="I2629" s="39" t="str">
        <x:v>P2</x:v>
      </x:c>
      <x:c r="J2629" s="39" t="str">
        <x:v>H23</x:v>
      </x:c>
      <x:c r="K2629" s="39" t="str">
        <x:v>نیازمند پالایش؛ حذف نشده</x:v>
      </x:c>
      <x:c r="L2629" s="39"/>
      <x:c r="M2629" s="39"/>
      <x:c r="N2629" s="39" t="str">
        <x:v>1154878548.docx::P7946.1</x:v>
      </x:c>
      <x:c r="O2629" s="39"/>
    </x:row>
    <x:row r="2630">
      <x:c r="A2630" s="34" t="str">
        <x:v>☐</x:v>
      </x:c>
      <x:c r="B2630" s="34" t="str">
        <x:v>EX-2602</x:v>
      </x:c>
      <x:c r="C2630" s="34" t="str">
        <x:v>در سطوح لایه بندی شده و اهمیت دادن کجا قرار میگیره</x:v>
      </x:c>
      <x:c r="D2630" s="34" t="str">
        <x:v>POSSIBLE</x:v>
      </x:c>
      <x:c r="E2630" s="34" t="str">
        <x:v>85.5</x:v>
      </x:c>
      <x:c r="F2630" s="34" t="str">
        <x:v>MI-0049</x:v>
      </x:c>
      <x:c r="G2630" s="39" t="str">
        <x:v>گذاشتن قرار دوستانه دبیرستانی</x:v>
      </x:c>
      <x:c r="H2630" s="39" t="str">
        <x:v>H1</x:v>
      </x:c>
      <x:c r="I2630" s="39" t="str">
        <x:v>P0</x:v>
      </x:c>
      <x:c r="J2630" s="39" t="str">
        <x:v>H1</x:v>
      </x:c>
      <x:c r="K2630" s="39" t="str">
        <x:v>تطبیق احتمالی با پایه</x:v>
      </x:c>
      <x:c r="L2630" s="39" t="str">
        <x:v>MI-0049</x:v>
      </x:c>
      <x:c r="M2630" s="39" t="str">
        <x:v>گذاشتن قرار دوستانه دبیرستانی</x:v>
      </x:c>
      <x:c r="N2630" s="39" t="str">
        <x:v>1154878548.docx::P7947.1</x:v>
      </x:c>
      <x:c r="O2630" s="39"/>
    </x:row>
    <x:row r="2631">
      <x:c r="A2631" s="34" t="str">
        <x:v>☐</x:v>
      </x:c>
      <x:c r="B2631" s="34" t="str">
        <x:v>EX-2603</x:v>
      </x:c>
      <x:c r="C2631" s="34" t="str">
        <x:v>تلنت و اخلاقیات و استعادا هاش چیان</x:v>
      </x:c>
      <x:c r="D2631" s="34" t="str">
        <x:v>POSSIBLE</x:v>
      </x:c>
      <x:c r="E2631" s="34" t="str">
        <x:v>85.5</x:v>
      </x:c>
      <x:c r="F2631" s="34" t="str">
        <x:v>MI-1513</x:v>
      </x:c>
      <x:c r="G2631" s="39" t="str">
        <x:v>تولید و کارآفرینی: توانایی تولید محصول و خدمات و ایجاد شغل.</x:v>
      </x:c>
      <x:c r="H2631" s="39" t="str">
        <x:v>H1</x:v>
      </x:c>
      <x:c r="I2631" s="39" t="str">
        <x:v>P0</x:v>
      </x:c>
      <x:c r="J2631" s="39" t="str">
        <x:v>H1</x:v>
      </x:c>
      <x:c r="K2631" s="39" t="str">
        <x:v>تطبیق احتمالی با پایه</x:v>
      </x:c>
      <x:c r="L2631" s="39" t="str">
        <x:v>MI-1513</x:v>
      </x:c>
      <x:c r="M2631" s="39" t="str">
        <x:v>تولید و کارآفرینی: توانایی تولید محصول و خدمات و ایجاد شغل.</x:v>
      </x:c>
      <x:c r="N2631" s="39" t="str">
        <x:v>1154878548.docx::P7948.1</x:v>
      </x:c>
      <x:c r="O2631" s="39"/>
    </x:row>
    <x:row r="2632">
      <x:c r="A2632" s="34" t="str">
        <x:v>☐</x:v>
      </x:c>
      <x:c r="B2632" s="34" t="str">
        <x:v>EX-2604</x:v>
      </x:c>
      <x:c r="C2632" s="34" t="str">
        <x:v>رزرومه ایه که فرستاده نمایش داده میشه</x:v>
      </x:c>
      <x:c r="D2632" s="34" t="str">
        <x:v>POSSIBLE</x:v>
      </x:c>
      <x:c r="E2632" s="34" t="str">
        <x:v>85.5</x:v>
      </x:c>
      <x:c r="F2632" s="34" t="str">
        <x:v>MI-1574</x:v>
      </x:c>
      <x:c r="G2632" s="39" t="str">
        <x:v>در این میان باید یه اکادمی مهارت های نرم هم ایجاد بشه که بشه روی مهارت های تیم سازی و مهارت های نرم مورد نیاز جامعه اشتغال کار کنه و افراد بتونن علاوه بر رزومه سازی بتونن از فرصت های شغلی سربلند بیرون بیان در بحص پروژ] گرفتن یا استخدام شدن یا همکاری یا .....</x:v>
      </x:c>
      <x:c r="H2632" s="39" t="str">
        <x:v>H3</x:v>
      </x:c>
      <x:c r="I2632" s="39" t="str">
        <x:v>P0/P1</x:v>
      </x:c>
      <x:c r="J2632" s="39" t="str">
        <x:v>H3</x:v>
      </x:c>
      <x:c r="K2632" s="39" t="str">
        <x:v>تطبیق احتمالی با پایه</x:v>
      </x:c>
      <x:c r="L2632" s="39" t="str">
        <x:v>MI-1574</x:v>
      </x:c>
      <x:c r="M2632" s="39" t="str">
        <x:v>در این میان باید یه اکادمی مهارت های نرم هم ایجاد بشه که بشه روی مهارت های تیم سازی و مهارت های نرم مورد نیاز جامعه اشتغال کار کنه و افراد بتونن علاوه بر رزومه سازی بتونن از فرصت های شغلی سربلند بیرون بیان در بحص پروژ] گرفتن یا استخدام شدن یا همکاری یا .....</x:v>
      </x:c>
      <x:c r="N2632" s="39" t="str">
        <x:v>1154878548.docx::P7949.1</x:v>
      </x:c>
      <x:c r="O2632" s="39"/>
    </x:row>
    <x:row r="2633">
      <x:c r="A2633" s="34" t="str">
        <x:v>☐</x:v>
      </x:c>
      <x:c r="B2633" s="34" t="str">
        <x:v>EX-2605</x:v>
      </x:c>
      <x:c r="C2633" s="34" t="str">
        <x:v>همچنین بررسی بشه که اگر میشه سامانه ای بالا اورد مثلا بخواد دعوتی بشه از یه عده خاص برای فلان همایش خاص فلان تلنت ها و یا فلان فیوریت هایی که هستن تیکشون خورده برای اون دسته از افراد این پیامک دعوت بره یا به همایش یا رویداد یا مسابقه مثلا دعوت بشن</x:v>
      </x:c>
      <x:c r="D2633" s="34" t="str">
        <x:v>POSSIBLE</x:v>
      </x:c>
      <x:c r="E2633" s="34" t="str">
        <x:v>85.5</x:v>
      </x:c>
      <x:c r="F2633" s="34" t="str">
        <x:v>MI-1501</x:v>
      </x:c>
      <x:c r="G2633" s="39" t="str">
        <x:v>مدیریت ریسک: شناسایی ریسک ها، ارزیابی اثرات، تدوین برنامه های مقابله با ریسک ها.</x:v>
      </x:c>
      <x:c r="H2633" s="39" t="str">
        <x:v>H1</x:v>
      </x:c>
      <x:c r="I2633" s="39" t="str">
        <x:v>P0</x:v>
      </x:c>
      <x:c r="J2633" s="39" t="str">
        <x:v>H1</x:v>
      </x:c>
      <x:c r="K2633" s="39" t="str">
        <x:v>تطبیق احتمالی با پایه</x:v>
      </x:c>
      <x:c r="L2633" s="39" t="str">
        <x:v>MI-1501</x:v>
      </x:c>
      <x:c r="M2633" s="39" t="str">
        <x:v>مدیریت ریسک: شناسایی ریسک ها، ارزیابی اثرات، تدوین برنامه های مقابله با ریسک ها.</x:v>
      </x:c>
      <x:c r="N2633" s="39" t="str">
        <x:v>1154878548.docx::P7951.1</x:v>
      </x:c>
      <x:c r="O2633" s="39"/>
    </x:row>
    <x:row r="2634">
      <x:c r="A2634" s="34" t="str">
        <x:v>☐</x:v>
      </x:c>
      <x:c r="B2634" s="34" t="str">
        <x:v>EX-2606</x:v>
      </x:c>
      <x:c r="C2634" s="34" t="str">
        <x:v>به صورت لایه بندی شده مثلا به طبق سفارش سازی که باید خودمون کنیم یعنی لایه اول بیاد و بگه که اقا فلانی رو به صورت ماه به ماه فلانی رو به صورت هفته به هفته یا فلانی رو هر چند روز یه بار باید ببینیمش و متناسب با اون باید برنامه ریزی هایی انجام بشه.</x:v>
      </x:c>
      <x:c r="D2634" s="34" t="str">
        <x:v>POSSIBLE</x:v>
      </x:c>
      <x:c r="E2634" s="34" t="str">
        <x:v>85.5</x:v>
      </x:c>
      <x:c r="F2634" s="34" t="str">
        <x:v>MI-1501</x:v>
      </x:c>
      <x:c r="G2634" s="39" t="str">
        <x:v>مدیریت ریسک: شناسایی ریسک ها، ارزیابی اثرات، تدوین برنامه های مقابله با ریسک ها.</x:v>
      </x:c>
      <x:c r="H2634" s="39" t="str">
        <x:v>H1</x:v>
      </x:c>
      <x:c r="I2634" s="39" t="str">
        <x:v>P0</x:v>
      </x:c>
      <x:c r="J2634" s="39" t="str">
        <x:v>H1</x:v>
      </x:c>
      <x:c r="K2634" s="39" t="str">
        <x:v>تطبیق احتمالی با پایه</x:v>
      </x:c>
      <x:c r="L2634" s="39" t="str">
        <x:v>MI-1501</x:v>
      </x:c>
      <x:c r="M2634" s="39" t="str">
        <x:v>مدیریت ریسک: شناسایی ریسک ها، ارزیابی اثرات، تدوین برنامه های مقابله با ریسک ها.</x:v>
      </x:c>
      <x:c r="N2634" s="39" t="str">
        <x:v>1154878548.docx::P7953.1</x:v>
      </x:c>
      <x:c r="O2634" s="39"/>
    </x:row>
    <x:row r="2635">
      <x:c r="A2635" s="34" t="str">
        <x:v>☐</x:v>
      </x:c>
      <x:c r="B2635" s="34" t="str">
        <x:v>EX-2607</x:v>
      </x:c>
      <x:c r="C2635" s="34" t="str">
        <x:v>این دید ها رو باید داشته باشیم که ما به دنبال چی هستیم</x:v>
      </x:c>
      <x:c r="D2635" s="34" t="str">
        <x:v>POSSIBLE</x:v>
      </x:c>
      <x:c r="E2635" s="34" t="str">
        <x:v>85.5</x:v>
      </x:c>
      <x:c r="F2635" s="34" t="str">
        <x:v>MI-2921</x:v>
      </x:c>
      <x:c r="G2635" s="39" t="str">
        <x:v>ساختار تصمیم گیری چگونه باید باشد</x:v>
      </x:c>
      <x:c r="H2635" s="39" t="str">
        <x:v>H1</x:v>
      </x:c>
      <x:c r="I2635" s="39" t="str">
        <x:v>P0</x:v>
      </x:c>
      <x:c r="J2635" s="39" t="str">
        <x:v>H1</x:v>
      </x:c>
      <x:c r="K2635" s="39" t="str">
        <x:v>تطبیق احتمالی با پایه</x:v>
      </x:c>
      <x:c r="L2635" s="39" t="str">
        <x:v>MI-2921</x:v>
      </x:c>
      <x:c r="M2635" s="39" t="str">
        <x:v>ساختار تصمیم گیری چگونه باید باشد</x:v>
      </x:c>
      <x:c r="N2635" s="39" t="str">
        <x:v>1154878548.docx::P7957.1</x:v>
      </x:c>
      <x:c r="O2635" s="39"/>
    </x:row>
    <x:row r="2636">
      <x:c r="A2636" s="34" t="str">
        <x:v>☐</x:v>
      </x:c>
      <x:c r="B2636" s="34" t="str">
        <x:v>EX-2608</x:v>
      </x:c>
      <x:c r="C2636" s="34" t="str">
        <x:v>ادم هایی که جذب میکنیم به درد کجا میخورند</x:v>
      </x:c>
      <x:c r="D2636" s="34" t="str">
        <x:v>POSSIBLE</x:v>
      </x:c>
      <x:c r="E2636" s="34" t="str">
        <x:v>85.5</x:v>
      </x:c>
      <x:c r="F2636" s="34" t="str">
        <x:v>MI-1445</x:v>
      </x:c>
      <x:c r="G2636" s="39" t="str">
        <x:v>بنری که بالا نرفت برای بسیج</x:v>
      </x:c>
      <x:c r="H2636" s="39" t="str">
        <x:v>H1</x:v>
      </x:c>
      <x:c r="I2636" s="39" t="str">
        <x:v>P0</x:v>
      </x:c>
      <x:c r="J2636" s="39" t="str">
        <x:v>H1</x:v>
      </x:c>
      <x:c r="K2636" s="39" t="str">
        <x:v>تطبیق احتمالی با پایه</x:v>
      </x:c>
      <x:c r="L2636" s="39" t="str">
        <x:v>MI-1445</x:v>
      </x:c>
      <x:c r="M2636" s="39" t="str">
        <x:v>بنری که بالا نرفت برای بسیج</x:v>
      </x:c>
      <x:c r="N2636" s="39" t="str">
        <x:v>1154878548.docx::P7958.1</x:v>
      </x:c>
      <x:c r="O2636" s="39"/>
    </x:row>
    <x:row r="2637">
      <x:c r="A2637" s="34" t="str">
        <x:v>☐</x:v>
      </x:c>
      <x:c r="B2637" s="34" t="str">
        <x:v>EX-2609</x:v>
      </x:c>
      <x:c r="C2637" s="34" t="str">
        <x:v>و باید چطور حفظشون کینم و رشدشون بدیم</x:v>
      </x:c>
      <x:c r="D2637" s="34" t="str">
        <x:v>POSSIBLE</x:v>
      </x:c>
      <x:c r="E2637" s="34" t="str">
        <x:v>85.5</x:v>
      </x:c>
      <x:c r="F2637" s="34" t="str">
        <x:v>MI-1513</x:v>
      </x:c>
      <x:c r="G2637" s="39" t="str">
        <x:v>تولید و کارآفرینی: توانایی تولید محصول و خدمات و ایجاد شغل.</x:v>
      </x:c>
      <x:c r="H2637" s="39" t="str">
        <x:v>H1</x:v>
      </x:c>
      <x:c r="I2637" s="39" t="str">
        <x:v>P0</x:v>
      </x:c>
      <x:c r="J2637" s="39" t="str">
        <x:v>H1</x:v>
      </x:c>
      <x:c r="K2637" s="39" t="str">
        <x:v>تطبیق احتمالی با پایه</x:v>
      </x:c>
      <x:c r="L2637" s="39" t="str">
        <x:v>MI-1513</x:v>
      </x:c>
      <x:c r="M2637" s="39" t="str">
        <x:v>تولید و کارآفرینی: توانایی تولید محصول و خدمات و ایجاد شغل.</x:v>
      </x:c>
      <x:c r="N2637" s="39" t="str">
        <x:v>1154878548.docx::P7959.1</x:v>
      </x:c>
      <x:c r="O2637" s="39"/>
    </x:row>
    <x:row r="2638">
      <x:c r="A2638" s="34" t="str">
        <x:v>☐</x:v>
      </x:c>
      <x:c r="B2638" s="34" t="str">
        <x:v>EX-2610</x:v>
      </x:c>
      <x:c r="C2638" s="34" t="str">
        <x:v>یه سامانه پیامکی میشه گذاشت</x:v>
      </x:c>
      <x:c r="D2638" s="34" t="str">
        <x:v>POSSIBLE</x:v>
      </x:c>
      <x:c r="E2638" s="34" t="str">
        <x:v>90.0</x:v>
      </x:c>
      <x:c r="F2638" s="34" t="str">
        <x:v>MI-1192</x:v>
      </x:c>
      <x:c r="G2638" s="39" t="str">
        <x:v>سامان</x:v>
      </x:c>
      <x:c r="H2638" s="39" t="str">
        <x:v>H11</x:v>
      </x:c>
      <x:c r="I2638" s="39" t="str">
        <x:v>DELEGATE/P2</x:v>
      </x:c>
      <x:c r="J2638" s="39" t="str">
        <x:v>H11</x:v>
      </x:c>
      <x:c r="K2638" s="39" t="str">
        <x:v>تطبیق احتمالی با پایه</x:v>
      </x:c>
      <x:c r="L2638" s="39" t="str">
        <x:v>MI-1192</x:v>
      </x:c>
      <x:c r="M2638" s="39" t="str">
        <x:v>سامان</x:v>
      </x:c>
      <x:c r="N2638" s="39" t="str">
        <x:v>1154878548.docx::P7961.1</x:v>
      </x:c>
      <x:c r="O2638" s="39"/>
    </x:row>
    <x:row r="2639">
      <x:c r="A2639" s="34" t="str">
        <x:v>☐</x:v>
      </x:c>
      <x:c r="B2639" s="34" t="str">
        <x:v>EX-2611</x:v>
      </x:c>
      <x:c r="C2639" s="34" t="str">
        <x:v>یه گروه راه بندازیم یکه کانال راه بندازیم و محتوا گذاری کنیم</x:v>
      </x:c>
      <x:c r="D2639" s="34" t="str">
        <x:v>POSSIBLE</x:v>
      </x:c>
      <x:c r="E2639" s="34" t="str">
        <x:v>85.5</x:v>
      </x:c>
      <x:c r="F2639" s="34" t="str">
        <x:v>MI-0023</x:v>
      </x:c>
      <x:c r="G2639" s="39" t="str">
        <x:v>برنامه ریزی دقیق و علمگرا هییت دانشگاه</x:v>
      </x:c>
      <x:c r="H2639" s="39" t="str">
        <x:v>H1</x:v>
      </x:c>
      <x:c r="I2639" s="39" t="str">
        <x:v>P0</x:v>
      </x:c>
      <x:c r="J2639" s="39" t="str">
        <x:v>H1</x:v>
      </x:c>
      <x:c r="K2639" s="39" t="str">
        <x:v>تطبیق احتمالی با پایه</x:v>
      </x:c>
      <x:c r="L2639" s="39" t="str">
        <x:v>MI-0023</x:v>
      </x:c>
      <x:c r="M2639" s="39" t="str">
        <x:v>برنامه ریزی دقیق و علمگرا هییت دانشگاه</x:v>
      </x:c>
      <x:c r="N2639" s="39" t="str">
        <x:v>1154878548.docx::P7963.1</x:v>
      </x:c>
      <x:c r="O2639" s="39"/>
    </x:row>
    <x:row r="2640">
      <x:c r="A2640" s="34" t="str">
        <x:v>☐</x:v>
      </x:c>
      <x:c r="B2640" s="34" t="str">
        <x:v>EX-2612</x:v>
      </x:c>
      <x:c r="C2640" s="34" t="str">
        <x:v>از خرد ترین موضوعات که مثلا امروز دفتر بسته است و یا تولد فلانی هست یا فلان رویداد هست یا فلان همایش یا پویش یا مراسم یا مسابقه یا وامی جور شده که میخوان به افرادی که یا تیم هایی که دارن کار میکنن میخوان پول بدن</x:v>
      </x:c>
      <x:c r="D2640" s="34" t="str">
        <x:v>POSSIBLE</x:v>
      </x:c>
      <x:c r="E2640" s="34" t="str">
        <x:v>85.5</x:v>
      </x:c>
      <x:c r="F2640" s="34" t="str">
        <x:v>MI-1513</x:v>
      </x:c>
      <x:c r="G2640" s="39" t="str">
        <x:v>تولید و کارآفرینی: توانایی تولید محصول و خدمات و ایجاد شغل.</x:v>
      </x:c>
      <x:c r="H2640" s="39" t="str">
        <x:v>H1</x:v>
      </x:c>
      <x:c r="I2640" s="39" t="str">
        <x:v>P0</x:v>
      </x:c>
      <x:c r="J2640" s="39" t="str">
        <x:v>H1</x:v>
      </x:c>
      <x:c r="K2640" s="39" t="str">
        <x:v>تطبیق احتمالی با پایه</x:v>
      </x:c>
      <x:c r="L2640" s="39" t="str">
        <x:v>MI-1513</x:v>
      </x:c>
      <x:c r="M2640" s="39" t="str">
        <x:v>تولید و کارآفرینی: توانایی تولید محصول و خدمات و ایجاد شغل.</x:v>
      </x:c>
      <x:c r="N2640" s="39" t="str">
        <x:v>1154878548.docx::P7965.1</x:v>
      </x:c>
      <x:c r="O2640" s="39"/>
    </x:row>
    <x:row r="2641">
      <x:c r="A2641" s="34" t="str">
        <x:v>☐</x:v>
      </x:c>
      <x:c r="B2641" s="34" t="str">
        <x:v>EX-2613</x:v>
      </x:c>
      <x:c r="C2641" s="34" t="str">
        <x:v>شما که فعال هستین یا میخوان وام رو مثلا فلان فرم ها رو پر کنید.</x:v>
      </x:c>
      <x:c r="D2641" s="34" t="str">
        <x:v>POSSIBLE</x:v>
      </x:c>
      <x:c r="E2641" s="34" t="str">
        <x:v>85.5</x:v>
      </x:c>
      <x:c r="F2641" s="34" t="str">
        <x:v>MI-2505</x:v>
      </x:c>
      <x:c r="G2641" s="39" t="str">
        <x:v>تمرکز روی مهارت هایی که بازار نیاز دارد.</x:v>
      </x:c>
      <x:c r="H2641" s="39" t="str">
        <x:v>H1</x:v>
      </x:c>
      <x:c r="I2641" s="39" t="str">
        <x:v>P0</x:v>
      </x:c>
      <x:c r="J2641" s="39" t="str">
        <x:v>H1</x:v>
      </x:c>
      <x:c r="K2641" s="39" t="str">
        <x:v>تطبیق احتمالی با پایه</x:v>
      </x:c>
      <x:c r="L2641" s="39" t="str">
        <x:v>MI-2505</x:v>
      </x:c>
      <x:c r="M2641" s="39" t="str">
        <x:v>تمرکز روی مهارت هایی که بازار نیاز دارد.</x:v>
      </x:c>
      <x:c r="N2641" s="39" t="str">
        <x:v>1154878548.docx::P7967.1</x:v>
      </x:c>
      <x:c r="O2641" s="39"/>
    </x:row>
    <x:row r="2642">
      <x:c r="A2642" s="34" t="str">
        <x:v>☐</x:v>
      </x:c>
      <x:c r="B2642" s="34" t="str">
        <x:v>EX-2614</x:v>
      </x:c>
      <x:c r="C2642" s="34" t="str">
        <x:v>فلان دوره ر و بیایین بگذرونید</x:v>
      </x:c>
      <x:c r="D2642" s="34" t="str">
        <x:v>POSSIBLE</x:v>
      </x:c>
      <x:c r="E2642" s="34" t="str">
        <x:v>85.5</x:v>
      </x:c>
      <x:c r="F2642" s="34" t="str">
        <x:v>MI-1513</x:v>
      </x:c>
      <x:c r="G2642" s="39" t="str">
        <x:v>تولید و کارآفرینی: توانایی تولید محصول و خدمات و ایجاد شغل.</x:v>
      </x:c>
      <x:c r="H2642" s="39" t="str">
        <x:v>H1</x:v>
      </x:c>
      <x:c r="I2642" s="39" t="str">
        <x:v>P0</x:v>
      </x:c>
      <x:c r="J2642" s="39" t="str">
        <x:v>H1</x:v>
      </x:c>
      <x:c r="K2642" s="39" t="str">
        <x:v>تطبیق احتمالی با پایه</x:v>
      </x:c>
      <x:c r="L2642" s="39" t="str">
        <x:v>MI-1513</x:v>
      </x:c>
      <x:c r="M2642" s="39" t="str">
        <x:v>تولید و کارآفرینی: توانایی تولید محصول و خدمات و ایجاد شغل.</x:v>
      </x:c>
      <x:c r="N2642" s="39" t="str">
        <x:v>1154878548.docx::P7969.1</x:v>
      </x:c>
      <x:c r="O2642" s="39"/>
    </x:row>
    <x:row r="2643">
      <x:c r="A2643" s="34" t="str">
        <x:v>☐</x:v>
      </x:c>
      <x:c r="B2643" s="34" t="str">
        <x:v>EX-2615</x:v>
      </x:c>
      <x:c r="C2643" s="34" t="str">
        <x:v>حالا اینجا سیستم مدیریت نیروی انسانی میتونه بازخورد بگیره که فلان همایش چرا فلانی یا فلانی نیومد یا چرا فلان دوره رو شرکت نکردن یا فلان مسابقه رو ..... و ....</x:v>
      </x:c>
      <x:c r="D2643" s="34" t="str">
        <x:v>POSSIBLE</x:v>
      </x:c>
      <x:c r="E2643" s="34" t="str">
        <x:v>85.5</x:v>
      </x:c>
      <x:c r="F2643" s="34" t="str">
        <x:v>MI-1501</x:v>
      </x:c>
      <x:c r="G2643" s="39" t="str">
        <x:v>مدیریت ریسک: شناسایی ریسک ها، ارزیابی اثرات، تدوین برنامه های مقابله با ریسک ها.</x:v>
      </x:c>
      <x:c r="H2643" s="39" t="str">
        <x:v>H1</x:v>
      </x:c>
      <x:c r="I2643" s="39" t="str">
        <x:v>P0</x:v>
      </x:c>
      <x:c r="J2643" s="39" t="str">
        <x:v>H1</x:v>
      </x:c>
      <x:c r="K2643" s="39" t="str">
        <x:v>تطبیق احتمالی با پایه</x:v>
      </x:c>
      <x:c r="L2643" s="39" t="str">
        <x:v>MI-1501</x:v>
      </x:c>
      <x:c r="M2643" s="39" t="str">
        <x:v>مدیریت ریسک: شناسایی ریسک ها، ارزیابی اثرات، تدوین برنامه های مقابله با ریسک ها.</x:v>
      </x:c>
      <x:c r="N2643" s="39" t="str">
        <x:v>1154878548.docx::P7971.1</x:v>
      </x:c>
      <x:c r="O2643" s="39"/>
    </x:row>
    <x:row r="2644">
      <x:c r="A2644" s="34" t="str">
        <x:v>☐</x:v>
      </x:c>
      <x:c r="B2644" s="34" t="str">
        <x:v>EX-2616</x:v>
      </x:c>
      <x:c r="C2644" s="34" t="str">
        <x:v>یه باشگاه طرفداران راه بندازیم که بشه یه سری برنامه ها مختص اون اجرا کرد.</x:v>
      </x:c>
      <x:c r="D2644" s="34" t="str">
        <x:v>POSSIBLE</x:v>
      </x:c>
      <x:c r="E2644" s="34" t="str">
        <x:v>90.0</x:v>
      </x:c>
      <x:c r="F2644" s="34" t="str">
        <x:v>MI-2990</x:v>
      </x:c>
      <x:c r="G2644" s="39" t="str">
        <x:v>برنامه ها:</x:v>
      </x:c>
      <x:c r="H2644" s="39" t="str">
        <x:v>H20</x:v>
      </x:c>
      <x:c r="I2644" s="39" t="str">
        <x:v>P3/CLARIFY</x:v>
      </x:c>
      <x:c r="J2644" s="39" t="str">
        <x:v>H20</x:v>
      </x:c>
      <x:c r="K2644" s="39" t="str">
        <x:v>تطبیق احتمالی با پایه</x:v>
      </x:c>
      <x:c r="L2644" s="39" t="str">
        <x:v>MI-2990</x:v>
      </x:c>
      <x:c r="M2644" s="39" t="str">
        <x:v>برنامه ها:</x:v>
      </x:c>
      <x:c r="N2644" s="39" t="str">
        <x:v>1154878548.docx::P7973.1</x:v>
      </x:c>
      <x:c r="O2644" s="39"/>
    </x:row>
    <x:row r="2645">
      <x:c r="A2645" s="34" t="str">
        <x:v>☐</x:v>
      </x:c>
      <x:c r="B2645" s="34" t="str">
        <x:v>EX-2617</x:v>
      </x:c>
      <x:c r="C2645" s="34" t="str">
        <x:v>یه باشگاه ایجاد بشه</x:v>
      </x:c>
      <x:c r="D2645" s="34" t="str">
        <x:v>POSSIBLE</x:v>
      </x:c>
      <x:c r="E2645" s="34" t="str">
        <x:v>90.0</x:v>
      </x:c>
      <x:c r="F2645" s="34" t="str">
        <x:v>MI-0986</x:v>
      </x:c>
      <x:c r="G2645" s="39" t="str">
        <x:v>باشگاه</x:v>
      </x:c>
      <x:c r="H2645" s="39" t="str">
        <x:v>H11</x:v>
      </x:c>
      <x:c r="I2645" s="39" t="str">
        <x:v>DELEGATE/P2</x:v>
      </x:c>
      <x:c r="J2645" s="39" t="str">
        <x:v>H11</x:v>
      </x:c>
      <x:c r="K2645" s="39" t="str">
        <x:v>تطبیق احتمالی با پایه</x:v>
      </x:c>
      <x:c r="L2645" s="39" t="str">
        <x:v>MI-0986</x:v>
      </x:c>
      <x:c r="M2645" s="39" t="str">
        <x:v>باشگاه</x:v>
      </x:c>
      <x:c r="N2645" s="39" t="str">
        <x:v>1154878548.docx::P7977.1</x:v>
      </x:c>
      <x:c r="O2645" s="39"/>
    </x:row>
    <x:row r="2646">
      <x:c r="A2646" s="34" t="str">
        <x:v>☐</x:v>
      </x:c>
      <x:c r="B2646" s="34" t="str">
        <x:v>EX-2618</x:v>
      </x:c>
      <x:c r="C2646" s="34" t="str">
        <x:v>مثلا باشگاه هواداران و اینا و اونم محتواهای متناسب با خودش</x:v>
      </x:c>
      <x:c r="D2646" s="34" t="str">
        <x:v>POSSIBLE</x:v>
      </x:c>
      <x:c r="E2646" s="34" t="str">
        <x:v>85.5</x:v>
      </x:c>
      <x:c r="F2646" s="34" t="str">
        <x:v>MI-0019</x:v>
      </x:c>
      <x:c r="G2646" s="39" t="str">
        <x:v>آشنایی با نرم افزار املاک</x:v>
      </x:c>
      <x:c r="H2646" s="39" t="str">
        <x:v>H1</x:v>
      </x:c>
      <x:c r="I2646" s="39" t="str">
        <x:v>P0</x:v>
      </x:c>
      <x:c r="J2646" s="39" t="str">
        <x:v>H1</x:v>
      </x:c>
      <x:c r="K2646" s="39" t="str">
        <x:v>تطبیق احتمالی با پایه</x:v>
      </x:c>
      <x:c r="L2646" s="39" t="str">
        <x:v>MI-0019</x:v>
      </x:c>
      <x:c r="M2646" s="39" t="str">
        <x:v>آشنایی با نرم افزار املاک</x:v>
      </x:c>
      <x:c r="N2646" s="39" t="str">
        <x:v>1154878548.docx::P7978.1</x:v>
      </x:c>
      <x:c r="O2646" s="39"/>
    </x:row>
    <x:row r="2647">
      <x:c r="A2647" s="34" t="str">
        <x:v>☐</x:v>
      </x:c>
      <x:c r="B2647" s="34" t="str">
        <x:v>EX-2619</x:v>
      </x:c>
      <x:c r="C2647" s="34" t="str">
        <x:v>در زیست بوم علم و فناوری استان میخوایم فعالیت کنیم ،</x:v>
      </x:c>
      <x:c r="D2647" s="34" t="str">
        <x:v>POSSIBLE</x:v>
      </x:c>
      <x:c r="E2647" s="34" t="str">
        <x:v>90.0</x:v>
      </x:c>
      <x:c r="F2647" s="34" t="str">
        <x:v>MI-1172</x:v>
      </x:c>
      <x:c r="G2647" s="39" t="str">
        <x:v>علم و فناوری</x:v>
      </x:c>
      <x:c r="H2647" s="39" t="str">
        <x:v>H11</x:v>
      </x:c>
      <x:c r="I2647" s="39" t="str">
        <x:v>DELEGATE/P2</x:v>
      </x:c>
      <x:c r="J2647" s="39" t="str">
        <x:v>H11</x:v>
      </x:c>
      <x:c r="K2647" s="39" t="str">
        <x:v>تطبیق احتمالی با پایه</x:v>
      </x:c>
      <x:c r="L2647" s="39" t="str">
        <x:v>MI-1172</x:v>
      </x:c>
      <x:c r="M2647" s="39" t="str">
        <x:v>علم و فناوری</x:v>
      </x:c>
      <x:c r="N2647" s="39" t="str">
        <x:v>1154878548.docx::P7983.1</x:v>
      </x:c>
      <x:c r="O2647" s="39"/>
    </x:row>
    <x:row r="2648">
      <x:c r="A2648" s="34" t="str">
        <x:v>☐</x:v>
      </x:c>
      <x:c r="B2648" s="34" t="str">
        <x:v>EX-2620</x:v>
      </x:c>
      <x:c r="C2648" s="34" t="str">
        <x:v>ادم هایی مختلفی از  جنس کسب و کار و دانش بنیاننن یا میخوان فعالیت کنن یا</x:v>
      </x:c>
      <x:c r="D2648" s="34" t="str">
        <x:v>POSSIBLE</x:v>
      </x:c>
      <x:c r="E2648" s="34" t="str">
        <x:v>85.5</x:v>
      </x:c>
      <x:c r="F2648" s="34" t="str">
        <x:v>MI-0023</x:v>
      </x:c>
      <x:c r="G2648" s="39" t="str">
        <x:v>برنامه ریزی دقیق و علمگرا هییت دانشگاه</x:v>
      </x:c>
      <x:c r="H2648" s="39" t="str">
        <x:v>H1</x:v>
      </x:c>
      <x:c r="I2648" s="39" t="str">
        <x:v>P0</x:v>
      </x:c>
      <x:c r="J2648" s="39" t="str">
        <x:v>H1</x:v>
      </x:c>
      <x:c r="K2648" s="39" t="str">
        <x:v>تطبیق احتمالی با پایه</x:v>
      </x:c>
      <x:c r="L2648" s="39" t="str">
        <x:v>MI-0023</x:v>
      </x:c>
      <x:c r="M2648" s="39" t="str">
        <x:v>برنامه ریزی دقیق و علمگرا هییت دانشگاه</x:v>
      </x:c>
      <x:c r="N2648" s="39" t="str">
        <x:v>1154878548.docx::P7984.1</x:v>
      </x:c>
      <x:c r="O2648" s="39"/>
    </x:row>
    <x:row r="2649">
      <x:c r="A2649" s="34" t="str">
        <x:v>☐</x:v>
      </x:c>
      <x:c r="B2649" s="34" t="str">
        <x:v>EX-2621</x:v>
      </x:c>
      <x:c r="C2649" s="34" t="str">
        <x:v>شعار منابع انسانی هم اینکه میخوام</x:v>
      </x:c>
      <x:c r="D2649" s="34" t="str">
        <x:v>POSSIBLE</x:v>
      </x:c>
      <x:c r="E2649" s="34" t="str">
        <x:v>90.0</x:v>
      </x:c>
      <x:c r="F2649" s="34" t="str">
        <x:v>MI-2797</x:v>
      </x:c>
      <x:c r="G2649" s="39" t="str">
        <x:v>منابع:</x:v>
      </x:c>
      <x:c r="H2649" s="39" t="str">
        <x:v>H20</x:v>
      </x:c>
      <x:c r="I2649" s="39" t="str">
        <x:v>P3/CLARIFY</x:v>
      </x:c>
      <x:c r="J2649" s="39" t="str">
        <x:v>H20</x:v>
      </x:c>
      <x:c r="K2649" s="39" t="str">
        <x:v>تطبیق احتمالی با پایه</x:v>
      </x:c>
      <x:c r="L2649" s="39" t="str">
        <x:v>MI-2797</x:v>
      </x:c>
      <x:c r="M2649" s="39" t="str">
        <x:v>منابع:</x:v>
      </x:c>
      <x:c r="N2649" s="39" t="str">
        <x:v>1154878548.docx::P7987.1</x:v>
      </x:c>
      <x:c r="O2649" s="39"/>
    </x:row>
    <x:row r="2650">
      <x:c r="A2650" s="34" t="str">
        <x:v>☐</x:v>
      </x:c>
      <x:c r="B2650" s="34" t="str">
        <x:v>EX-2622</x:v>
      </x:c>
      <x:c r="C2650" s="34" t="str">
        <x:v>میخوایم پیدا کنیم جذب کنیم نگهشون داریم و رشدشون بدیم.</x:v>
      </x:c>
      <x:c r="D2650" s="34" t="str">
        <x:v>POSSIBLE</x:v>
      </x:c>
      <x:c r="E2650" s="34" t="str">
        <x:v>85.5</x:v>
      </x:c>
      <x:c r="F2650" s="34" t="str">
        <x:v>MI-0029</x:v>
      </x:c>
      <x:c r="G2650" s="39" t="str">
        <x:v>تدریس ریاضی و فیزیک</x:v>
      </x:c>
      <x:c r="H2650" s="39" t="str">
        <x:v>H1</x:v>
      </x:c>
      <x:c r="I2650" s="39" t="str">
        <x:v>P0</x:v>
      </x:c>
      <x:c r="J2650" s="39" t="str">
        <x:v>H1</x:v>
      </x:c>
      <x:c r="K2650" s="39" t="str">
        <x:v>تطبیق احتمالی با پایه</x:v>
      </x:c>
      <x:c r="L2650" s="39" t="str">
        <x:v>MI-0029</x:v>
      </x:c>
      <x:c r="M2650" s="39" t="str">
        <x:v>تدریس ریاضی و فیزیک</x:v>
      </x:c>
      <x:c r="N2650" s="39" t="str">
        <x:v>1154878548.docx::P7988.1</x:v>
      </x:c>
      <x:c r="O2650" s="39"/>
    </x:row>
    <x:row r="2651">
      <x:c r="A2651" s="34" t="str">
        <x:v>☐</x:v>
      </x:c>
      <x:c r="B2651" s="34" t="str">
        <x:v>EX-2623</x:v>
      </x:c>
      <x:c r="C2651" s="34" t="str">
        <x:v>در یه بازه زمانی باید به موازات هم پیش بره</x:v>
      </x:c>
      <x:c r="D2651" s="34" t="str">
        <x:v>POSSIBLE</x:v>
      </x:c>
      <x:c r="E2651" s="34" t="str">
        <x:v>85.5</x:v>
      </x:c>
      <x:c r="F2651" s="34" t="str">
        <x:v>MI-0173</x:v>
      </x:c>
      <x:c r="G2651" s="39" t="str">
        <x:v>جستجو در منابع سریع</x:v>
      </x:c>
      <x:c r="H2651" s="39" t="str">
        <x:v>H1</x:v>
      </x:c>
      <x:c r="I2651" s="39" t="str">
        <x:v>P0</x:v>
      </x:c>
      <x:c r="J2651" s="39" t="str">
        <x:v>H1</x:v>
      </x:c>
      <x:c r="K2651" s="39" t="str">
        <x:v>تطبیق احتمالی با پایه</x:v>
      </x:c>
      <x:c r="L2651" s="39" t="str">
        <x:v>MI-0173</x:v>
      </x:c>
      <x:c r="M2651" s="39" t="str">
        <x:v>جستجو در منابع سریع</x:v>
      </x:c>
      <x:c r="N2651" s="39" t="str">
        <x:v>1154878548.docx::P7989.1</x:v>
      </x:c>
      <x:c r="O2651" s="39"/>
    </x:row>
    <x:row r="2652">
      <x:c r="A2652" s="34" t="str">
        <x:v>☐</x:v>
      </x:c>
      <x:c r="B2652" s="34" t="str">
        <x:v>EX-2624</x:v>
      </x:c>
      <x:c r="C2652" s="34" t="str">
        <x:v>نیرو جذب کردی و مهارت گرفت حالا باید بره کجا</x:v>
      </x:c>
      <x:c r="D2652" s="34" t="str">
        <x:v>POSSIBLE</x:v>
      </x:c>
      <x:c r="E2652" s="34" t="str">
        <x:v>85.5</x:v>
      </x:c>
      <x:c r="F2652" s="34" t="str">
        <x:v>MI-0029</x:v>
      </x:c>
      <x:c r="G2652" s="39" t="str">
        <x:v>تدریس ریاضی و فیزیک</x:v>
      </x:c>
      <x:c r="H2652" s="39" t="str">
        <x:v>H1</x:v>
      </x:c>
      <x:c r="I2652" s="39" t="str">
        <x:v>P0</x:v>
      </x:c>
      <x:c r="J2652" s="39" t="str">
        <x:v>H1</x:v>
      </x:c>
      <x:c r="K2652" s="39" t="str">
        <x:v>تطبیق احتمالی با پایه</x:v>
      </x:c>
      <x:c r="L2652" s="39" t="str">
        <x:v>MI-0029</x:v>
      </x:c>
      <x:c r="M2652" s="39" t="str">
        <x:v>تدریس ریاضی و فیزیک</x:v>
      </x:c>
      <x:c r="N2652" s="39" t="str">
        <x:v>1154878548.docx::P7991.1</x:v>
      </x:c>
      <x:c r="O2652" s="39"/>
    </x:row>
    <x:row r="2653">
      <x:c r="A2653" s="34" t="str">
        <x:v>☐</x:v>
      </x:c>
      <x:c r="B2653" s="34" t="str">
        <x:v>EX-2625</x:v>
      </x:c>
      <x:c r="C2653" s="34" t="str">
        <x:v>ورودی داشته باشیم و خروجی داشته باشیم.</x:v>
      </x:c>
      <x:c r="D2653" s="34" t="str">
        <x:v>POSSIBLE</x:v>
      </x:c>
      <x:c r="E2653" s="34" t="str">
        <x:v>90.0</x:v>
      </x:c>
      <x:c r="F2653" s="34" t="str">
        <x:v>MI-2364</x:v>
      </x:c>
      <x:c r="G2653" s="39" t="str">
        <x:v>خروجی:</x:v>
      </x:c>
      <x:c r="H2653" s="39" t="str">
        <x:v>H20</x:v>
      </x:c>
      <x:c r="I2653" s="39" t="str">
        <x:v>P3/CLARIFY</x:v>
      </x:c>
      <x:c r="J2653" s="39" t="str">
        <x:v>H20</x:v>
      </x:c>
      <x:c r="K2653" s="39" t="str">
        <x:v>تطبیق احتمالی با پایه</x:v>
      </x:c>
      <x:c r="L2653" s="39" t="str">
        <x:v>MI-2364</x:v>
      </x:c>
      <x:c r="M2653" s="39" t="str">
        <x:v>خروجی:</x:v>
      </x:c>
      <x:c r="N2653" s="39" t="str">
        <x:v>1154878548.docx::P7993.1</x:v>
      </x:c>
      <x:c r="O2653" s="39"/>
    </x:row>
    <x:row r="2654">
      <x:c r="A2654" s="34" t="str">
        <x:v>☐</x:v>
      </x:c>
      <x:c r="B2654" s="34" t="str">
        <x:v>EX-2626</x:v>
      </x:c>
      <x:c r="C2654" s="34" t="str">
        <x:v>رویداد ، اموزش یا اردو</x:v>
      </x:c>
      <x:c r="D2654" s="34" t="str">
        <x:v>POSSIBLE</x:v>
      </x:c>
      <x:c r="E2654" s="34" t="str">
        <x:v>85.5</x:v>
      </x:c>
      <x:c r="F2654" s="34" t="str">
        <x:v>MI-1442</x:v>
      </x:c>
      <x:c r="G2654" s="39" t="str">
        <x:v>این نیت کردم نمیدونم انجام شده یا نه چه کنم</x:v>
      </x:c>
      <x:c r="H2654" s="39" t="str">
        <x:v>H1</x:v>
      </x:c>
      <x:c r="I2654" s="39" t="str">
        <x:v>P0</x:v>
      </x:c>
      <x:c r="J2654" s="39" t="str">
        <x:v>H1</x:v>
      </x:c>
      <x:c r="K2654" s="39" t="str">
        <x:v>تطبیق احتمالی با پایه</x:v>
      </x:c>
      <x:c r="L2654" s="39" t="str">
        <x:v>MI-1442</x:v>
      </x:c>
      <x:c r="M2654" s="39" t="str">
        <x:v>این نیت کردم نمیدونم انجام شده یا نه چه کنم</x:v>
      </x:c>
      <x:c r="N2654" s="39" t="str">
        <x:v>1154878548.docx::P7996.1</x:v>
      </x:c>
      <x:c r="O2654" s="39"/>
    </x:row>
    <x:row r="2655">
      <x:c r="A2655" s="34" t="str">
        <x:v>☐</x:v>
      </x:c>
      <x:c r="B2655" s="34" t="str">
        <x:v>EX-2627</x:v>
      </x:c>
      <x:c r="C2655" s="34" t="str">
        <x:v>5 تا وام مثلا جور شد ، کی بگیره ، یه عدالتی باید به خرج بدیم و اولویت بندی کنیم و اختصاص بدیم.</x:v>
      </x:c>
      <x:c r="D2655" s="34" t="str">
        <x:v>POSSIBLE</x:v>
      </x:c>
      <x:c r="E2655" s="34" t="str">
        <x:v>85.5</x:v>
      </x:c>
      <x:c r="F2655" s="34" t="str">
        <x:v>MI-1503</x:v>
      </x:c>
      <x:c r="G2655" s="39" t="str">
        <x:v>مدیریت زمان: اولویت بندی، برنامه ریزی، تمرکز.</x:v>
      </x:c>
      <x:c r="H2655" s="39" t="str">
        <x:v>H1</x:v>
      </x:c>
      <x:c r="I2655" s="39" t="str">
        <x:v>P0</x:v>
      </x:c>
      <x:c r="J2655" s="39" t="str">
        <x:v>H1</x:v>
      </x:c>
      <x:c r="K2655" s="39" t="str">
        <x:v>تطبیق احتمالی با پایه</x:v>
      </x:c>
      <x:c r="L2655" s="39" t="str">
        <x:v>MI-1503</x:v>
      </x:c>
      <x:c r="M2655" s="39" t="str">
        <x:v>مدیریت زمان: اولویت بندی، برنامه ریزی، تمرکز.</x:v>
      </x:c>
      <x:c r="N2655" s="39" t="str">
        <x:v>1154878548.docx::P8000.1</x:v>
      </x:c>
      <x:c r="O2655" s="39"/>
    </x:row>
    <x:row r="2656">
      <x:c r="A2656" s="34" t="str">
        <x:v>☐</x:v>
      </x:c>
      <x:c r="B2656" s="34" t="str">
        <x:v>EX-2628</x:v>
      </x:c>
      <x:c r="C2656" s="34" t="str">
        <x:v>چرا چون بررسی کردیم مثلا مادر فلانی مریضه یا ازدواج یا بچه داره یا میخواد چیزی بخره</x:v>
      </x:c>
      <x:c r="D2656" s="34" t="str">
        <x:v>POSSIBLE</x:v>
      </x:c>
      <x:c r="E2656" s="34" t="str">
        <x:v>85.5</x:v>
      </x:c>
      <x:c r="F2656" s="34" t="str">
        <x:v>MI-3063</x:v>
      </x:c>
      <x:c r="G2656"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H2656" s="39" t="str">
        <x:v>H1</x:v>
      </x:c>
      <x:c r="I2656" s="39" t="str">
        <x:v>P0</x:v>
      </x:c>
      <x:c r="J2656" s="39" t="str">
        <x:v>H1</x:v>
      </x:c>
      <x:c r="K2656" s="39" t="str">
        <x:v>تطبیق احتمالی با پایه</x:v>
      </x:c>
      <x:c r="L2656" s="39" t="str">
        <x:v>MI-3063</x:v>
      </x:c>
      <x:c r="M2656" s="39"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N2656" s="39" t="str">
        <x:v>1154878548.docx::P8003.1</x:v>
      </x:c>
      <x:c r="O2656" s="39"/>
    </x:row>
    <x:row r="2657">
      <x:c r="A2657" s="34" t="str">
        <x:v>☐</x:v>
      </x:c>
      <x:c r="B2657" s="34" t="str">
        <x:v>EX-2629</x:v>
      </x:c>
      <x:c r="C2657" s="34" t="str">
        <x:v>اینا واجب تر مثلا اولویت بالاتر</x:v>
      </x:c>
      <x:c r="D2657" s="34" t="str">
        <x:v>POSSIBLE</x:v>
      </x:c>
      <x:c r="E2657" s="34" t="str">
        <x:v>90.0</x:v>
      </x:c>
      <x:c r="F2657" s="34" t="str">
        <x:v>MI-2095</x:v>
      </x:c>
      <x:c r="G2657" s="39" t="str">
        <x:v>مثلاً:</x:v>
      </x:c>
      <x:c r="H2657" s="39" t="str">
        <x:v>H20</x:v>
      </x:c>
      <x:c r="I2657" s="39" t="str">
        <x:v>P3/CLARIFY</x:v>
      </x:c>
      <x:c r="J2657" s="39" t="str">
        <x:v>H20</x:v>
      </x:c>
      <x:c r="K2657" s="39" t="str">
        <x:v>تطبیق احتمالی با پایه</x:v>
      </x:c>
      <x:c r="L2657" s="39" t="str">
        <x:v>MI-2095</x:v>
      </x:c>
      <x:c r="M2657" s="39" t="str">
        <x:v>مثلاً:</x:v>
      </x:c>
      <x:c r="N2657" s="39" t="str">
        <x:v>1154878548.docx::P8005.1</x:v>
      </x:c>
      <x:c r="O2657" s="39"/>
    </x:row>
    <x:row r="2658">
      <x:c r="A2658" s="34" t="str">
        <x:v>☐</x:v>
      </x:c>
      <x:c r="B2658" s="34" t="str">
        <x:v>EX-2630</x:v>
      </x:c>
      <x:c r="C2658" s="34" t="str">
        <x:v>مثلا یه جلسه گذاشته شد ، طرف اومد  صحبت کرد و قرار شد یه رزومه بفرسته یا یه شرح حال که این جا ما تو پرونده هامون میتونیم در بیاریم که اقا چرا مثلا یه هفته شده رزومه نفرستادی یا شرح حال و اینا</x:v>
      </x:c>
      <x:c r="D2658" s="34" t="str">
        <x:v>POSSIBLE</x:v>
      </x:c>
      <x:c r="E2658" s="34" t="str">
        <x:v>85.5</x:v>
      </x:c>
      <x:c r="F2658" s="34" t="str">
        <x:v>MI-0049</x:v>
      </x:c>
      <x:c r="G2658" s="39" t="str">
        <x:v>گذاشتن قرار دوستانه دبیرستانی</x:v>
      </x:c>
      <x:c r="H2658" s="39" t="str">
        <x:v>H1</x:v>
      </x:c>
      <x:c r="I2658" s="39" t="str">
        <x:v>P0</x:v>
      </x:c>
      <x:c r="J2658" s="39" t="str">
        <x:v>H1</x:v>
      </x:c>
      <x:c r="K2658" s="39" t="str">
        <x:v>تطبیق احتمالی با پایه</x:v>
      </x:c>
      <x:c r="L2658" s="39" t="str">
        <x:v>MI-0049</x:v>
      </x:c>
      <x:c r="M2658" s="39" t="str">
        <x:v>گذاشتن قرار دوستانه دبیرستانی</x:v>
      </x:c>
      <x:c r="N2658" s="39" t="str">
        <x:v>1154878548.docx::P8008.1</x:v>
      </x:c>
      <x:c r="O2658" s="39"/>
    </x:row>
    <x:row r="2659">
      <x:c r="A2659" s="34" t="str">
        <x:v>☐</x:v>
      </x:c>
      <x:c r="B2659" s="34" t="str">
        <x:v>EX-2631</x:v>
      </x:c>
      <x:c r="C2659" s="34" t="str">
        <x:v>و اینا جایی معنا پیدا میکنه که مسئول میخواد با یه نفر یا یه عده صحلت کنه پرنده شون دسته شه و میتونه با یه نگاه انداختن ببنه کی کجای کاره</x:v>
      </x:c>
      <x:c r="D2659" s="34" t="str">
        <x:v>POSSIBLE</x:v>
      </x:c>
      <x:c r="E2659" s="34" t="str">
        <x:v>85.5</x:v>
      </x:c>
      <x:c r="F2659" s="34" t="str">
        <x:v>MI-1501</x:v>
      </x:c>
      <x:c r="G2659" s="39" t="str">
        <x:v>مدیریت ریسک: شناسایی ریسک ها، ارزیابی اثرات، تدوین برنامه های مقابله با ریسک ها.</x:v>
      </x:c>
      <x:c r="H2659" s="39" t="str">
        <x:v>H1</x:v>
      </x:c>
      <x:c r="I2659" s="39" t="str">
        <x:v>P0</x:v>
      </x:c>
      <x:c r="J2659" s="39" t="str">
        <x:v>H1</x:v>
      </x:c>
      <x:c r="K2659" s="39" t="str">
        <x:v>تطبیق احتمالی با پایه</x:v>
      </x:c>
      <x:c r="L2659" s="39" t="str">
        <x:v>MI-1501</x:v>
      </x:c>
      <x:c r="M2659" s="39" t="str">
        <x:v>مدیریت ریسک: شناسایی ریسک ها، ارزیابی اثرات، تدوین برنامه های مقابله با ریسک ها.</x:v>
      </x:c>
      <x:c r="N2659" s="39" t="str">
        <x:v>1154878548.docx::P8014.1</x:v>
      </x:c>
      <x:c r="O2659" s="39"/>
    </x:row>
    <x:row r="2660">
      <x:c r="A2660" s="34" t="str">
        <x:v>☐</x:v>
      </x:c>
      <x:c r="B2660" s="34" t="str">
        <x:v>EX-2632</x:v>
      </x:c>
      <x:c r="C2660" s="34" t="str">
        <x:v>در این میان یه صندوق تعاونی میتونه شکل بگیره که با هزینه هایی که به صورت جزئی هستن بشه در مراسمات شرکت کرد مراسم برگزار کرد تولد یا رادو یا .... که بشه با هزینه های کم ولی به تعداد سهمیه زیاد بشه یه تولدی مثلا برگزار کرد</x:v>
      </x:c>
      <x:c r="D2660" s="34" t="str">
        <x:v>POSSIBLE</x:v>
      </x:c>
      <x:c r="E2660" s="34" t="str">
        <x:v>85.5</x:v>
      </x:c>
      <x:c r="F2660" s="34" t="str">
        <x:v>MI-1501</x:v>
      </x:c>
      <x:c r="G2660" s="39" t="str">
        <x:v>مدیریت ریسک: شناسایی ریسک ها، ارزیابی اثرات، تدوین برنامه های مقابله با ریسک ها.</x:v>
      </x:c>
      <x:c r="H2660" s="39" t="str">
        <x:v>H1</x:v>
      </x:c>
      <x:c r="I2660" s="39" t="str">
        <x:v>P0</x:v>
      </x:c>
      <x:c r="J2660" s="39" t="str">
        <x:v>H1</x:v>
      </x:c>
      <x:c r="K2660" s="39" t="str">
        <x:v>تطبیق احتمالی با پایه</x:v>
      </x:c>
      <x:c r="L2660" s="39" t="str">
        <x:v>MI-1501</x:v>
      </x:c>
      <x:c r="M2660" s="39" t="str">
        <x:v>مدیریت ریسک: شناسایی ریسک ها، ارزیابی اثرات، تدوین برنامه های مقابله با ریسک ها.</x:v>
      </x:c>
      <x:c r="N2660" s="39" t="str">
        <x:v>1154878548.docx::P8018.1</x:v>
      </x:c>
      <x:c r="O2660" s="39"/>
    </x:row>
    <x:row r="2661">
      <x:c r="A2661" s="34" t="str">
        <x:v>☐</x:v>
      </x:c>
      <x:c r="B2661" s="34" t="str">
        <x:v>EX-2633</x:v>
      </x:c>
      <x:c r="C2661" s="34" t="str">
        <x:v>در این میان سمن که همون سازمان مردم نهاده برای ما یه درگاه و  دروازه جذب استانمونه</x:v>
      </x:c>
      <x:c r="D2661" s="34" t="str">
        <x:v>POSSIBLE</x:v>
      </x:c>
      <x:c r="E2661" s="34" t="str">
        <x:v>85.5</x:v>
      </x:c>
      <x:c r="F2661" s="34" t="str">
        <x:v>MI-0022</x:v>
      </x:c>
      <x:c r="G2661" s="39" t="str">
        <x:v>برنامه ریزی جدی برای دروس دانشگاه پیام نور</x:v>
      </x:c>
      <x:c r="H2661" s="39" t="str">
        <x:v>H1</x:v>
      </x:c>
      <x:c r="I2661" s="39" t="str">
        <x:v>P0</x:v>
      </x:c>
      <x:c r="J2661" s="39" t="str">
        <x:v>H1</x:v>
      </x:c>
      <x:c r="K2661" s="39" t="str">
        <x:v>تطبیق احتمالی با پایه</x:v>
      </x:c>
      <x:c r="L2661" s="39" t="str">
        <x:v>MI-0022</x:v>
      </x:c>
      <x:c r="M2661" s="39" t="str">
        <x:v>برنامه ریزی جدی برای دروس دانشگاه پیام نور</x:v>
      </x:c>
      <x:c r="N2661" s="39" t="str">
        <x:v>1154878548.docx::P8024.1</x:v>
      </x:c>
      <x:c r="O2661" s="39"/>
    </x:row>
    <x:row r="2662">
      <x:c r="A2662" s="34" t="str">
        <x:v>☐</x:v>
      </x:c>
      <x:c r="B2662" s="34" t="str">
        <x:v>EX-2634</x:v>
      </x:c>
      <x:c r="C2662" s="34" t="str">
        <x:v>همچنین باید برای این شبکه سمن تک به تک دبیران سمن ها و همچنین اعضاشون رو تکی یا تیمی باید دعوت کرد  و نشست باهاشون صحبت کرد و اینا</x:v>
      </x:c>
      <x:c r="D2662" s="34" t="str">
        <x:v>POSSIBLE</x:v>
      </x:c>
      <x:c r="E2662" s="34" t="str">
        <x:v>85.5</x:v>
      </x:c>
      <x:c r="F2662" s="34" t="str">
        <x:v>MI-1501</x:v>
      </x:c>
      <x:c r="G2662" s="39" t="str">
        <x:v>مدیریت ریسک: شناسایی ریسک ها، ارزیابی اثرات، تدوین برنامه های مقابله با ریسک ها.</x:v>
      </x:c>
      <x:c r="H2662" s="39" t="str">
        <x:v>H1</x:v>
      </x:c>
      <x:c r="I2662" s="39" t="str">
        <x:v>P0</x:v>
      </x:c>
      <x:c r="J2662" s="39" t="str">
        <x:v>H1</x:v>
      </x:c>
      <x:c r="K2662" s="39" t="str">
        <x:v>تطبیق احتمالی با پایه</x:v>
      </x:c>
      <x:c r="L2662" s="39" t="str">
        <x:v>MI-1501</x:v>
      </x:c>
      <x:c r="M2662" s="39" t="str">
        <x:v>مدیریت ریسک: شناسایی ریسک ها، ارزیابی اثرات، تدوین برنامه های مقابله با ریسک ها.</x:v>
      </x:c>
      <x:c r="N2662" s="39" t="str">
        <x:v>1154878548.docx::P8027.1</x:v>
      </x:c>
      <x:c r="O2662" s="39"/>
    </x:row>
    <x:row r="2663">
      <x:c r="A2663" s="34" t="str">
        <x:v>☐</x:v>
      </x:c>
      <x:c r="B2663" s="34" t="str">
        <x:v>EX-2635</x:v>
      </x:c>
      <x:c r="C2663" s="34" t="str">
        <x:v>نمونه بارزش یه شبکه مردمی دفاع مقدس بود که به صورت یه گروه در  پیامرسان بله بالا اومد و همچنین در این گروه این شبکه استانی تونستن برای اجتماعاتی که مثلا برای جنگ تحمیلی که علیه ایران شد در  میادین و اینها با استفاده از لینک ها و منابع انسانی و توانایی ها و .... تونستن خیلی چیزا رو به اشتراک بزارن و از هم ایده بگیرن و مشورت بگیرن که پر شور تر و تاثیر گذار تر  برگزار بشه</x:v>
      </x:c>
      <x:c r="D2663" s="34" t="str">
        <x:v>POSSIBLE</x:v>
      </x:c>
      <x:c r="E2663" s="34" t="str">
        <x:v>85.5</x:v>
      </x:c>
      <x:c r="F2663" s="34" t="str">
        <x:v>MI-1501</x:v>
      </x:c>
      <x:c r="G2663" s="39" t="str">
        <x:v>مدیریت ریسک: شناسایی ریسک ها، ارزیابی اثرات، تدوین برنامه های مقابله با ریسک ها.</x:v>
      </x:c>
      <x:c r="H2663" s="39" t="str">
        <x:v>H1</x:v>
      </x:c>
      <x:c r="I2663" s="39" t="str">
        <x:v>P0</x:v>
      </x:c>
      <x:c r="J2663" s="39" t="str">
        <x:v>H1</x:v>
      </x:c>
      <x:c r="K2663" s="39" t="str">
        <x:v>تطبیق احتمالی با پایه</x:v>
      </x:c>
      <x:c r="L2663" s="39" t="str">
        <x:v>MI-1501</x:v>
      </x:c>
      <x:c r="M2663" s="39" t="str">
        <x:v>مدیریت ریسک: شناسایی ریسک ها، ارزیابی اثرات، تدوین برنامه های مقابله با ریسک ها.</x:v>
      </x:c>
      <x:c r="N2663" s="39" t="str">
        <x:v>1154878548.docx::P8031.1</x:v>
      </x:c>
      <x:c r="O2663" s="39"/>
    </x:row>
    <x:row r="2664">
      <x:c r="A2664" s="34" t="str">
        <x:v>☐</x:v>
      </x:c>
      <x:c r="B2664" s="34" t="str">
        <x:v>EX-2636</x:v>
      </x:c>
      <x:c r="C2664" s="34" t="str">
        <x:v>جنگ جنگه اقتصادی هست و اقا ی رهبر هم این شعار 1405 رو اقتصادی گذاشت</x:v>
      </x:c>
      <x:c r="D2664" s="34" t="str">
        <x:v>POSSIBLE</x:v>
      </x:c>
      <x:c r="E2664" s="34" t="str">
        <x:v>85.5</x:v>
      </x:c>
      <x:c r="F2664" s="34" t="str">
        <x:v>MI-0023</x:v>
      </x:c>
      <x:c r="G2664" s="39" t="str">
        <x:v>برنامه ریزی دقیق و علمگرا هییت دانشگاه</x:v>
      </x:c>
      <x:c r="H2664" s="39" t="str">
        <x:v>H1</x:v>
      </x:c>
      <x:c r="I2664" s="39" t="str">
        <x:v>P0</x:v>
      </x:c>
      <x:c r="J2664" s="39" t="str">
        <x:v>H1</x:v>
      </x:c>
      <x:c r="K2664" s="39" t="str">
        <x:v>تطبیق احتمالی با پایه</x:v>
      </x:c>
      <x:c r="L2664" s="39" t="str">
        <x:v>MI-0023</x:v>
      </x:c>
      <x:c r="M2664" s="39" t="str">
        <x:v>برنامه ریزی دقیق و علمگرا هییت دانشگاه</x:v>
      </x:c>
      <x:c r="N2664" s="39" t="str">
        <x:v>1154878548.docx::P8034.1</x:v>
      </x:c>
      <x:c r="O2664" s="39"/>
    </x:row>
    <x:row r="2665">
      <x:c r="A2665" s="34" t="str">
        <x:v>☐</x:v>
      </x:c>
      <x:c r="B2665" s="34" t="str">
        <x:v>EX-2637</x:v>
      </x:c>
      <x:c r="C2665" s="34" t="str">
        <x:v>که در این میان ما هم باید عمل کنیم</x:v>
      </x:c>
      <x:c r="D2665" s="34" t="str">
        <x:v>POSSIBLE</x:v>
      </x:c>
      <x:c r="E2665" s="34" t="str">
        <x:v>85.5</x:v>
      </x:c>
      <x:c r="F2665" s="34" t="str">
        <x:v>MI-0173</x:v>
      </x:c>
      <x:c r="G2665" s="39" t="str">
        <x:v>جستجو در منابع سریع</x:v>
      </x:c>
      <x:c r="H2665" s="39" t="str">
        <x:v>H1</x:v>
      </x:c>
      <x:c r="I2665" s="39" t="str">
        <x:v>P0</x:v>
      </x:c>
      <x:c r="J2665" s="39" t="str">
        <x:v>H1</x:v>
      </x:c>
      <x:c r="K2665" s="39" t="str">
        <x:v>تطبیق احتمالی با پایه</x:v>
      </x:c>
      <x:c r="L2665" s="39" t="str">
        <x:v>MI-0173</x:v>
      </x:c>
      <x:c r="M2665" s="39" t="str">
        <x:v>جستجو در منابع سریع</x:v>
      </x:c>
      <x:c r="N2665" s="39" t="str">
        <x:v>1154878548.docx::P8035.1</x:v>
      </x:c>
      <x:c r="O2665" s="39"/>
    </x:row>
    <x:row r="2666">
      <x:c r="A2666" s="34" t="str">
        <x:v>☐</x:v>
      </x:c>
      <x:c r="B2666" s="34" t="str">
        <x:v>EX-2638</x:v>
      </x:c>
      <x:c r="C2666" s="34" t="str">
        <x:v>مثلا با قرارگاه پشتیبانی مردمی بریم بشینیم و  بگیم اقا ما یه شبکه داریم شما هم که پول دارین</x:v>
      </x:c>
      <x:c r="D2666" s="34" t="str">
        <x:v>POSSIBLE</x:v>
      </x:c>
      <x:c r="E2666" s="34" t="str">
        <x:v>85.5</x:v>
      </x:c>
      <x:c r="F2666" s="34" t="str">
        <x:v>MI-1513</x:v>
      </x:c>
      <x:c r="G2666" s="39" t="str">
        <x:v>تولید و کارآفرینی: توانایی تولید محصول و خدمات و ایجاد شغل.</x:v>
      </x:c>
      <x:c r="H2666" s="39" t="str">
        <x:v>H1</x:v>
      </x:c>
      <x:c r="I2666" s="39" t="str">
        <x:v>P0</x:v>
      </x:c>
      <x:c r="J2666" s="39" t="str">
        <x:v>H1</x:v>
      </x:c>
      <x:c r="K2666" s="39" t="str">
        <x:v>تطبیق احتمالی با پایه</x:v>
      </x:c>
      <x:c r="L2666" s="39" t="str">
        <x:v>MI-1513</x:v>
      </x:c>
      <x:c r="M2666" s="39" t="str">
        <x:v>تولید و کارآفرینی: توانایی تولید محصول و خدمات و ایجاد شغل.</x:v>
      </x:c>
      <x:c r="N2666" s="39" t="str">
        <x:v>1154878548.docx::P8038.1</x:v>
      </x:c>
      <x:c r="O2666" s="39"/>
    </x:row>
    <x:row r="2667">
      <x:c r="A2667" s="34" t="str">
        <x:v>☐</x:v>
      </x:c>
      <x:c r="B2667" s="34" t="str">
        <x:v>EX-2639</x:v>
      </x:c>
      <x:c r="C2667" s="34" t="str">
        <x:v>یه مقدار پول بدین که  به ما بده که  ما میخوایم یه دبیر خونه برای این شبکه راه بندازیم و اون رو مدیریت کنیم .</x:v>
      </x:c>
      <x:c r="D2667" s="34" t="str">
        <x:v>POSSIBLE</x:v>
      </x:c>
      <x:c r="E2667" s="34" t="str">
        <x:v>85.5</x:v>
      </x:c>
      <x:c r="F2667" s="34" t="str">
        <x:v>MI-1503</x:v>
      </x:c>
      <x:c r="G2667" s="39" t="str">
        <x:v>مدیریت زمان: اولویت بندی، برنامه ریزی، تمرکز.</x:v>
      </x:c>
      <x:c r="H2667" s="39" t="str">
        <x:v>H1</x:v>
      </x:c>
      <x:c r="I2667" s="39" t="str">
        <x:v>P0</x:v>
      </x:c>
      <x:c r="J2667" s="39" t="str">
        <x:v>H1</x:v>
      </x:c>
      <x:c r="K2667" s="39" t="str">
        <x:v>تطبیق احتمالی با پایه</x:v>
      </x:c>
      <x:c r="L2667" s="39" t="str">
        <x:v>MI-1503</x:v>
      </x:c>
      <x:c r="M2667" s="39" t="str">
        <x:v>مدیریت زمان: اولویت بندی، برنامه ریزی، تمرکز.</x:v>
      </x:c>
      <x:c r="N2667" s="39" t="str">
        <x:v>1154878548.docx::P8040.1</x:v>
      </x:c>
      <x:c r="O2667" s="39"/>
    </x:row>
    <x:row r="2668">
      <x:c r="A2668" s="34" t="str">
        <x:v>☐</x:v>
      </x:c>
      <x:c r="B2668" s="34" t="str">
        <x:v>EX-2640</x:v>
      </x:c>
      <x:c r="C2668" s="34" t="str">
        <x:v>که تو که داری پول جمع میکنی ، به من پول  دو سه تا ادم بده که حقوق ماهانه بدم بهشون من یه دبیر خونه  راه میندازم ادم  ها رو پیگیری میکنم یه هل میدم و اینا</x:v>
      </x:c>
      <x:c r="D2668" s="34" t="str">
        <x:v>POSSIBLE</x:v>
      </x:c>
      <x:c r="E2668" s="34" t="str">
        <x:v>85.5</x:v>
      </x:c>
      <x:c r="F2668" s="34" t="str">
        <x:v>MI-1501</x:v>
      </x:c>
      <x:c r="G2668" s="39" t="str">
        <x:v>مدیریت ریسک: شناسایی ریسک ها، ارزیابی اثرات، تدوین برنامه های مقابله با ریسک ها.</x:v>
      </x:c>
      <x:c r="H2668" s="39" t="str">
        <x:v>H1</x:v>
      </x:c>
      <x:c r="I2668" s="39" t="str">
        <x:v>P0</x:v>
      </x:c>
      <x:c r="J2668" s="39" t="str">
        <x:v>H1</x:v>
      </x:c>
      <x:c r="K2668" s="39" t="str">
        <x:v>تطبیق احتمالی با پایه</x:v>
      </x:c>
      <x:c r="L2668" s="39" t="str">
        <x:v>MI-1501</x:v>
      </x:c>
      <x:c r="M2668" s="39" t="str">
        <x:v>مدیریت ریسک: شناسایی ریسک ها، ارزیابی اثرات، تدوین برنامه های مقابله با ریسک ها.</x:v>
      </x:c>
      <x:c r="N2668" s="39" t="str">
        <x:v>1154878548.docx::P8041.1</x:v>
      </x:c>
      <x:c r="O2668" s="39"/>
    </x:row>
    <x:row r="2669">
      <x:c r="A2669" s="34" t="str">
        <x:v>☐</x:v>
      </x:c>
      <x:c r="B2669" s="34" t="str">
        <x:v>EX-2641</x:v>
      </x:c>
      <x:c r="C2669" s="34" t="str">
        <x:v>یه جایی میاییم بررسی می کنیم که اقا ما یه دبیر خونه میخوایم یه سال</x:v>
      </x:c>
      <x:c r="D2669" s="34" t="str">
        <x:v>POSSIBLE</x:v>
      </x:c>
      <x:c r="E2669" s="34" t="str">
        <x:v>85.5</x:v>
      </x:c>
      <x:c r="F2669" s="34" t="str">
        <x:v>MI-2505</x:v>
      </x:c>
      <x:c r="G2669" s="39" t="str">
        <x:v>تمرکز روی مهارت هایی که بازار نیاز دارد.</x:v>
      </x:c>
      <x:c r="H2669" s="39" t="str">
        <x:v>H1</x:v>
      </x:c>
      <x:c r="I2669" s="39" t="str">
        <x:v>P0</x:v>
      </x:c>
      <x:c r="J2669" s="39" t="str">
        <x:v>H1</x:v>
      </x:c>
      <x:c r="K2669" s="39" t="str">
        <x:v>تطبیق احتمالی با پایه</x:v>
      </x:c>
      <x:c r="L2669" s="39" t="str">
        <x:v>MI-2505</x:v>
      </x:c>
      <x:c r="M2669" s="39" t="str">
        <x:v>تمرکز روی مهارت هایی که بازار نیاز دارد.</x:v>
      </x:c>
      <x:c r="N2669" s="39" t="str">
        <x:v>1154878548.docx::P8045.1</x:v>
      </x:c>
      <x:c r="O2669" s="39"/>
    </x:row>
    <x:row r="2670">
      <x:c r="A2670" s="34" t="str">
        <x:v>☐</x:v>
      </x:c>
      <x:c r="B2670" s="34" t="str">
        <x:v>EX-2642</x:v>
      </x:c>
      <x:c r="C2670" s="34" t="str">
        <x:v>یه ضربد و تقسیم میکنیم میگیم یه 600 میلیون مثلا میخواذد که هزینه کرد خودم یا نیروی انسانی ام رو از اون مبلغ به عنوان حق الزحمه بر میدارم</x:v>
      </x:c>
      <x:c r="D2670" s="34" t="str">
        <x:v>POSSIBLE</x:v>
      </x:c>
      <x:c r="E2670" s="34" t="str">
        <x:v>85.5</x:v>
      </x:c>
      <x:c r="F2670" s="34" t="str">
        <x:v>MI-1513</x:v>
      </x:c>
      <x:c r="G2670" s="39" t="str">
        <x:v>تولید و کارآفرینی: توانایی تولید محصول و خدمات و ایجاد شغل.</x:v>
      </x:c>
      <x:c r="H2670" s="39" t="str">
        <x:v>H1</x:v>
      </x:c>
      <x:c r="I2670" s="39" t="str">
        <x:v>P0</x:v>
      </x:c>
      <x:c r="J2670" s="39" t="str">
        <x:v>H1</x:v>
      </x:c>
      <x:c r="K2670" s="39" t="str">
        <x:v>تطبیق احتمالی با پایه</x:v>
      </x:c>
      <x:c r="L2670" s="39" t="str">
        <x:v>MI-1513</x:v>
      </x:c>
      <x:c r="M2670" s="39" t="str">
        <x:v>تولید و کارآفرینی: توانایی تولید محصول و خدمات و ایجاد شغل.</x:v>
      </x:c>
      <x:c r="N2670" s="39" t="str">
        <x:v>1154878548.docx::P8047.1</x:v>
      </x:c>
      <x:c r="O2670" s="39"/>
    </x:row>
    <x:row r="2671">
      <x:c r="A2671" s="34" t="str">
        <x:v>☐</x:v>
      </x:c>
      <x:c r="B2671" s="34" t="str">
        <x:v>EX-2643</x:v>
      </x:c>
      <x:c r="C2671" s="34" t="str">
        <x:v>حالا با بقیه اش میای تقسیم بندی میکنی میگی مثلا 3 4 جا که فعال تر هستن میاییم و نفری 100 تومن میدیم که دفتری راه بندازن و شروع به کار کنن</x:v>
      </x:c>
      <x:c r="D2671" s="34" t="str">
        <x:v>POSSIBLE</x:v>
      </x:c>
      <x:c r="E2671" s="34" t="str">
        <x:v>85.5</x:v>
      </x:c>
      <x:c r="F2671" s="34" t="str">
        <x:v>MI-1501</x:v>
      </x:c>
      <x:c r="G2671" s="39" t="str">
        <x:v>مدیریت ریسک: شناسایی ریسک ها، ارزیابی اثرات، تدوین برنامه های مقابله با ریسک ها.</x:v>
      </x:c>
      <x:c r="H2671" s="39" t="str">
        <x:v>H1</x:v>
      </x:c>
      <x:c r="I2671" s="39" t="str">
        <x:v>P0</x:v>
      </x:c>
      <x:c r="J2671" s="39" t="str">
        <x:v>H1</x:v>
      </x:c>
      <x:c r="K2671" s="39" t="str">
        <x:v>تطبیق احتمالی با پایه</x:v>
      </x:c>
      <x:c r="L2671" s="39" t="str">
        <x:v>MI-1501</x:v>
      </x:c>
      <x:c r="M2671" s="39" t="str">
        <x:v>مدیریت ریسک: شناسایی ریسک ها، ارزیابی اثرات، تدوین برنامه های مقابله با ریسک ها.</x:v>
      </x:c>
      <x:c r="N2671" s="39" t="str">
        <x:v>1154878548.docx::P8051.1</x:v>
      </x:c>
      <x:c r="O2671" s="39"/>
    </x:row>
    <x:row r="2672">
      <x:c r="A2672" s="34" t="str">
        <x:v>☐</x:v>
      </x:c>
      <x:c r="B2672" s="34" t="str">
        <x:v>EX-2644</x:v>
      </x:c>
      <x:c r="C2672" s="34" t="str">
        <x:v>به همه اینها باید یه crm داده بشه یه ظرفیت داده بشه</x:v>
      </x:c>
      <x:c r="D2672" s="34" t="str">
        <x:v>POSSIBLE</x:v>
      </x:c>
      <x:c r="E2672" s="34" t="str">
        <x:v>85.5</x:v>
      </x:c>
      <x:c r="F2672" s="34" t="str">
        <x:v>MI-2921</x:v>
      </x:c>
      <x:c r="G2672" s="39" t="str">
        <x:v>ساختار تصمیم گیری چگونه باید باشد</x:v>
      </x:c>
      <x:c r="H2672" s="39" t="str">
        <x:v>H1</x:v>
      </x:c>
      <x:c r="I2672" s="39" t="str">
        <x:v>P0</x:v>
      </x:c>
      <x:c r="J2672" s="39" t="str">
        <x:v>H1</x:v>
      </x:c>
      <x:c r="K2672" s="39" t="str">
        <x:v>تطبیق احتمالی با پایه</x:v>
      </x:c>
      <x:c r="L2672" s="39" t="str">
        <x:v>MI-2921</x:v>
      </x:c>
      <x:c r="M2672" s="39" t="str">
        <x:v>ساختار تصمیم گیری چگونه باید باشد</x:v>
      </x:c>
      <x:c r="N2672" s="39" t="str">
        <x:v>1154878548.docx::P8055.1</x:v>
      </x:c>
      <x:c r="O2672" s="39"/>
    </x:row>
    <x:row r="2673">
      <x:c r="A2673" s="34" t="str">
        <x:v>☐</x:v>
      </x:c>
      <x:c r="B2673" s="34" t="str">
        <x:v>EX-2645</x:v>
      </x:c>
      <x:c r="C2673" s="34" t="str">
        <x:v>هویت بدیم وجه بدیم</x:v>
      </x:c>
      <x:c r="D2673" s="34" t="str">
        <x:v>POSSIBLE</x:v>
      </x:c>
      <x:c r="E2673" s="34" t="str">
        <x:v>85.5</x:v>
      </x:c>
      <x:c r="F2673" s="34" t="str">
        <x:v>MI-0883</x:v>
      </x:c>
      <x:c r="G2673" s="39" t="str">
        <x:v>حساب کتاب های طراحی لوگو و سربرگ و واریز وجه</x:v>
      </x:c>
      <x:c r="H2673" s="39" t="str">
        <x:v>H11</x:v>
      </x:c>
      <x:c r="I2673" s="39" t="str">
        <x:v>BANK</x:v>
      </x:c>
      <x:c r="J2673" s="39" t="str">
        <x:v>H11</x:v>
      </x:c>
      <x:c r="K2673" s="39" t="str">
        <x:v>تطبیق احتمالی با پایه</x:v>
      </x:c>
      <x:c r="L2673" s="39" t="str">
        <x:v>MI-0883</x:v>
      </x:c>
      <x:c r="M2673" s="39" t="str">
        <x:v>حساب کتاب های طراحی لوگو و سربرگ و واریز وجه</x:v>
      </x:c>
      <x:c r="N2673" s="39" t="str">
        <x:v>1154878548.docx::P8056.1</x:v>
      </x:c>
      <x:c r="O2673" s="39"/>
    </x:row>
    <x:row r="2674">
      <x:c r="A2674" s="34" t="str">
        <x:v>☐</x:v>
      </x:c>
      <x:c r="B2674" s="34" t="str">
        <x:v>EX-2646</x:v>
      </x:c>
      <x:c r="C2674" s="34" t="str">
        <x:v>نرم افزار باشه اپ باشه کارت باشه دورهمی باشه خدمات باشه ،</x:v>
      </x:c>
      <x:c r="D2674" s="34" t="str">
        <x:v>POSSIBLE</x:v>
      </x:c>
      <x:c r="E2674" s="34" t="str">
        <x:v>85.5</x:v>
      </x:c>
      <x:c r="F2674" s="34" t="str">
        <x:v>MI-0019</x:v>
      </x:c>
      <x:c r="G2674" s="39" t="str">
        <x:v>آشنایی با نرم افزار املاک</x:v>
      </x:c>
      <x:c r="H2674" s="39" t="str">
        <x:v>H1</x:v>
      </x:c>
      <x:c r="I2674" s="39" t="str">
        <x:v>P0</x:v>
      </x:c>
      <x:c r="J2674" s="39" t="str">
        <x:v>H1</x:v>
      </x:c>
      <x:c r="K2674" s="39" t="str">
        <x:v>تطبیق احتمالی با پایه</x:v>
      </x:c>
      <x:c r="L2674" s="39" t="str">
        <x:v>MI-0019</x:v>
      </x:c>
      <x:c r="M2674" s="39" t="str">
        <x:v>آشنایی با نرم افزار املاک</x:v>
      </x:c>
      <x:c r="N2674" s="39" t="str">
        <x:v>1154878548.docx::P8058.1</x:v>
      </x:c>
      <x:c r="O2674" s="39"/>
    </x:row>
    <x:row r="2675">
      <x:c r="A2675" s="34" t="str">
        <x:v>☐</x:v>
      </x:c>
      <x:c r="B2675" s="34" t="str">
        <x:v>EX-2647</x:v>
      </x:c>
      <x:c r="C2675" s="34" t="str">
        <x:v>اقا مثلا رستوران میزبان من 500 تا ادم دارم ، من میام تبلیغت رو میکنم اینها همه بچه های علم و فناوری هستن و میشه یه جوری برای اینها مراسم برگزار کنی و به نحوی بگی که اقا من اینا رو میزبانی شون رو کردم و به نوعی حامی علم و فناوری هستم و اینا</x:v>
      </x:c>
      <x:c r="D2675" s="34" t="str">
        <x:v>POSSIBLE</x:v>
      </x:c>
      <x:c r="E2675" s="34" t="str">
        <x:v>85.5</x:v>
      </x:c>
      <x:c r="F2675" s="34" t="str">
        <x:v>MI-1501</x:v>
      </x:c>
      <x:c r="G2675" s="39" t="str">
        <x:v>مدیریت ریسک: شناسایی ریسک ها، ارزیابی اثرات، تدوین برنامه های مقابله با ریسک ها.</x:v>
      </x:c>
      <x:c r="H2675" s="39" t="str">
        <x:v>H1</x:v>
      </x:c>
      <x:c r="I2675" s="39" t="str">
        <x:v>P0</x:v>
      </x:c>
      <x:c r="J2675" s="39" t="str">
        <x:v>H1</x:v>
      </x:c>
      <x:c r="K2675" s="39" t="str">
        <x:v>تطبیق احتمالی با پایه</x:v>
      </x:c>
      <x:c r="L2675" s="39" t="str">
        <x:v>MI-1501</x:v>
      </x:c>
      <x:c r="M2675" s="39" t="str">
        <x:v>مدیریت ریسک: شناسایی ریسک ها، ارزیابی اثرات، تدوین برنامه های مقابله با ریسک ها.</x:v>
      </x:c>
      <x:c r="N2675" s="39" t="str">
        <x:v>1154878548.docx::P8063.1</x:v>
      </x:c>
      <x:c r="O2675" s="39"/>
    </x:row>
    <x:row r="2676">
      <x:c r="A2676" s="34" t="str">
        <x:v>☐</x:v>
      </x:c>
      <x:c r="B2676" s="34" t="str">
        <x:v>EX-2648</x:v>
      </x:c>
      <x:c r="C2676" s="34" t="str">
        <x:v>تو هم الان یه صندوق پژوهش فناوری زدی</x:v>
      </x:c>
      <x:c r="D2676" s="34" t="str">
        <x:v>POSSIBLE</x:v>
      </x:c>
      <x:c r="E2676" s="34" t="str">
        <x:v>90.0</x:v>
      </x:c>
      <x:c r="F2676" s="34" t="str">
        <x:v>MI-2192</x:v>
      </x:c>
      <x:c r="G2676" s="39" t="str">
        <x:v>پژوهش</x:v>
      </x:c>
      <x:c r="H2676" s="39" t="str">
        <x:v>H9</x:v>
      </x:c>
      <x:c r="I2676" s="39" t="str">
        <x:v>P2</x:v>
      </x:c>
      <x:c r="J2676" s="39" t="str">
        <x:v>H9</x:v>
      </x:c>
      <x:c r="K2676" s="39" t="str">
        <x:v>تطبیق احتمالی با پایه</x:v>
      </x:c>
      <x:c r="L2676" s="39" t="str">
        <x:v>MI-2192</x:v>
      </x:c>
      <x:c r="M2676" s="39" t="str">
        <x:v>پژوهش</x:v>
      </x:c>
      <x:c r="N2676" s="39" t="str">
        <x:v>1154878548.docx::P8064.1</x:v>
      </x:c>
      <x:c r="O2676" s="39"/>
    </x:row>
    <x:row r="2677">
      <x:c r="A2677" s="34" t="str">
        <x:v>☐</x:v>
      </x:c>
      <x:c r="B2677" s="34" t="str">
        <x:v>EX-2649</x:v>
      </x:c>
      <x:c r="C2677" s="34" t="str">
        <x:v>هر کی از این در اومد این کارت رو داشت مثلا یه این کد تخفیف یا این معرفی نامه رو داشت نشونت داد اینا همه نوابغ هست ن و کمکشون کن و تخفیف بده یه حالی بده</x:v>
      </x:c>
      <x:c r="D2677" s="34" t="str">
        <x:v>POSSIBLE</x:v>
      </x:c>
      <x:c r="E2677" s="34" t="str">
        <x:v>85.5</x:v>
      </x:c>
      <x:c r="F2677" s="34" t="str">
        <x:v>MI-1513</x:v>
      </x:c>
      <x:c r="G2677" s="39" t="str">
        <x:v>تولید و کارآفرینی: توانایی تولید محصول و خدمات و ایجاد شغل.</x:v>
      </x:c>
      <x:c r="H2677" s="39" t="str">
        <x:v>H1</x:v>
      </x:c>
      <x:c r="I2677" s="39" t="str">
        <x:v>P0</x:v>
      </x:c>
      <x:c r="J2677" s="39" t="str">
        <x:v>H1</x:v>
      </x:c>
      <x:c r="K2677" s="39" t="str">
        <x:v>تطبیق احتمالی با پایه</x:v>
      </x:c>
      <x:c r="L2677" s="39" t="str">
        <x:v>MI-1513</x:v>
      </x:c>
      <x:c r="M2677" s="39" t="str">
        <x:v>تولید و کارآفرینی: توانایی تولید محصول و خدمات و ایجاد شغل.</x:v>
      </x:c>
      <x:c r="N2677" s="39" t="str">
        <x:v>1154878548.docx::P8066.1</x:v>
      </x:c>
      <x:c r="O2677" s="39"/>
    </x:row>
    <x:row r="2678">
      <x:c r="A2678" s="34" t="str">
        <x:v>☐</x:v>
      </x:c>
      <x:c r="B2678" s="34" t="str">
        <x:v>EX-2650</x:v>
      </x:c>
      <x:c r="C2678" s="34" t="str">
        <x:v>یه 5 نفر یا 10 نفر هم بیار و یه بررسی کن ببینم اینا رو رایگان بتونن یه وعده مثلا در ماه بیان یعنی همین هد های مجموعه</x:v>
      </x:c>
      <x:c r="D2678" s="34" t="str">
        <x:v>POSSIBLE</x:v>
      </x:c>
      <x:c r="E2678" s="34" t="str">
        <x:v>85.5</x:v>
      </x:c>
      <x:c r="F2678" s="34" t="str">
        <x:v>MI-1513</x:v>
      </x:c>
      <x:c r="G2678" s="39" t="str">
        <x:v>تولید و کارآفرینی: توانایی تولید محصول و خدمات و ایجاد شغل.</x:v>
      </x:c>
      <x:c r="H2678" s="39" t="str">
        <x:v>H1</x:v>
      </x:c>
      <x:c r="I2678" s="39" t="str">
        <x:v>P0</x:v>
      </x:c>
      <x:c r="J2678" s="39" t="str">
        <x:v>H1</x:v>
      </x:c>
      <x:c r="K2678" s="39" t="str">
        <x:v>تطبیق احتمالی با پایه</x:v>
      </x:c>
      <x:c r="L2678" s="39" t="str">
        <x:v>MI-1513</x:v>
      </x:c>
      <x:c r="M2678" s="39" t="str">
        <x:v>تولید و کارآفرینی: توانایی تولید محصول و خدمات و ایجاد شغل.</x:v>
      </x:c>
      <x:c r="N2678" s="39" t="str">
        <x:v>1154878548.docx::P8067.1</x:v>
      </x:c>
      <x:c r="O2678" s="39"/>
    </x:row>
    <x:row r="2679">
      <x:c r="A2679" s="34" t="str">
        <x:v>☐</x:v>
      </x:c>
      <x:c r="B2679" s="34" t="str">
        <x:v>EX-2651</x:v>
      </x:c>
      <x:c r="C2679" s="34" t="str">
        <x:v>یه فصلی یه نفر بیاد و یه وعده بگیره</x:v>
      </x:c>
      <x:c r="D2679" s="34" t="str">
        <x:v>POSSIBLE</x:v>
      </x:c>
      <x:c r="E2679" s="34" t="str">
        <x:v>85.5</x:v>
      </x:c>
      <x:c r="F2679" s="34" t="str">
        <x:v>MI-1513</x:v>
      </x:c>
      <x:c r="G2679" s="39" t="str">
        <x:v>تولید و کارآفرینی: توانایی تولید محصول و خدمات و ایجاد شغل.</x:v>
      </x:c>
      <x:c r="H2679" s="39" t="str">
        <x:v>H1</x:v>
      </x:c>
      <x:c r="I2679" s="39" t="str">
        <x:v>P0</x:v>
      </x:c>
      <x:c r="J2679" s="39" t="str">
        <x:v>H1</x:v>
      </x:c>
      <x:c r="K2679" s="39" t="str">
        <x:v>تطبیق احتمالی با پایه</x:v>
      </x:c>
      <x:c r="L2679" s="39" t="str">
        <x:v>MI-1513</x:v>
      </x:c>
      <x:c r="M2679" s="39" t="str">
        <x:v>تولید و کارآفرینی: توانایی تولید محصول و خدمات و ایجاد شغل.</x:v>
      </x:c>
      <x:c r="N2679" s="39" t="str">
        <x:v>1154878548.docx::P8069.1</x:v>
      </x:c>
      <x:c r="O2679" s="39"/>
    </x:row>
    <x:row r="2680">
      <x:c r="A2680" s="34" t="str">
        <x:v>☐</x:v>
      </x:c>
      <x:c r="B2680" s="34" t="str">
        <x:v>EX-2652</x:v>
      </x:c>
      <x:c r="C2680" s="34" t="str">
        <x:v>یه رویداد یا دورهمی بگیر به میزبانی مثلا هتل میزبان و اینا</x:v>
      </x:c>
      <x:c r="D2680" s="34" t="str">
        <x:v>POSSIBLE</x:v>
      </x:c>
      <x:c r="E2680" s="34" t="str">
        <x:v>85.5</x:v>
      </x:c>
      <x:c r="F2680" s="34" t="str">
        <x:v>MI-0023</x:v>
      </x:c>
      <x:c r="G2680" s="39" t="str">
        <x:v>برنامه ریزی دقیق و علمگرا هییت دانشگاه</x:v>
      </x:c>
      <x:c r="H2680" s="39" t="str">
        <x:v>H1</x:v>
      </x:c>
      <x:c r="I2680" s="39" t="str">
        <x:v>P0</x:v>
      </x:c>
      <x:c r="J2680" s="39" t="str">
        <x:v>H1</x:v>
      </x:c>
      <x:c r="K2680" s="39" t="str">
        <x:v>تطبیق احتمالی با پایه</x:v>
      </x:c>
      <x:c r="L2680" s="39" t="str">
        <x:v>MI-0023</x:v>
      </x:c>
      <x:c r="M2680" s="39" t="str">
        <x:v>برنامه ریزی دقیق و علمگرا هییت دانشگاه</x:v>
      </x:c>
      <x:c r="N2680" s="39" t="str">
        <x:v>1154878548.docx::P8071.1</x:v>
      </x:c>
      <x:c r="O2680" s="39"/>
    </x:row>
    <x:row r="2681">
      <x:c r="A2681" s="34" t="str">
        <x:v>☐</x:v>
      </x:c>
      <x:c r="B2681" s="34" t="str">
        <x:v>EX-2653</x:v>
      </x:c>
      <x:c r="C2681" s="34" t="str">
        <x:v>یا فلان استخر ها من 500 نفر توی فلان مناطق دارم هر کی اومد این کارت رو نشونت داد مثلا 20 درصد تخفیف بده.</x:v>
      </x:c>
      <x:c r="D2681" s="34" t="str">
        <x:v>POSSIBLE</x:v>
      </x:c>
      <x:c r="E2681" s="34" t="str">
        <x:v>85.5</x:v>
      </x:c>
      <x:c r="F2681" s="34" t="str">
        <x:v>MI-1510</x:v>
      </x:c>
      <x:c r="G2681" s="39" t="str">
        <x:v>دانش مالی: درک مفاهیم مالی، آشنایی با انواع سرمایه گذاری ها.</x:v>
      </x:c>
      <x:c r="H2681" s="39" t="str">
        <x:v>H1</x:v>
      </x:c>
      <x:c r="I2681" s="39" t="str">
        <x:v>P0</x:v>
      </x:c>
      <x:c r="J2681" s="39" t="str">
        <x:v>H1</x:v>
      </x:c>
      <x:c r="K2681" s="39" t="str">
        <x:v>تطبیق احتمالی با پایه</x:v>
      </x:c>
      <x:c r="L2681" s="39" t="str">
        <x:v>MI-1510</x:v>
      </x:c>
      <x:c r="M2681" s="39" t="str">
        <x:v>دانش مالی: درک مفاهیم مالی، آشنایی با انواع سرمایه گذاری ها.</x:v>
      </x:c>
      <x:c r="N2681" s="39" t="str">
        <x:v>1154878548.docx::P8074.1</x:v>
      </x:c>
      <x:c r="O2681" s="39"/>
    </x:row>
    <x:row r="2682">
      <x:c r="A2682" s="34" t="str">
        <x:v>☐</x:v>
      </x:c>
      <x:c r="B2682" s="34" t="str">
        <x:v>EX-2654</x:v>
      </x:c>
      <x:c r="C2682" s="34" t="str">
        <x:v>به یه نحوی اینا رو یه حالی بده و یه تخفیفی براشون بزار</x:v>
      </x:c>
      <x:c r="D2682" s="34" t="str">
        <x:v>POSSIBLE</x:v>
      </x:c>
      <x:c r="E2682" s="34" t="str">
        <x:v>85.5</x:v>
      </x:c>
      <x:c r="F2682" s="34" t="str">
        <x:v>MI-0029</x:v>
      </x:c>
      <x:c r="G2682" s="39" t="str">
        <x:v>تدریس ریاضی و فیزیک</x:v>
      </x:c>
      <x:c r="H2682" s="39" t="str">
        <x:v>H1</x:v>
      </x:c>
      <x:c r="I2682" s="39" t="str">
        <x:v>P0</x:v>
      </x:c>
      <x:c r="J2682" s="39" t="str">
        <x:v>H1</x:v>
      </x:c>
      <x:c r="K2682" s="39" t="str">
        <x:v>تطبیق احتمالی با پایه</x:v>
      </x:c>
      <x:c r="L2682" s="39" t="str">
        <x:v>MI-0029</x:v>
      </x:c>
      <x:c r="M2682" s="39" t="str">
        <x:v>تدریس ریاضی و فیزیک</x:v>
      </x:c>
      <x:c r="N2682" s="39" t="str">
        <x:v>1154878548.docx::P8078.1</x:v>
      </x:c>
      <x:c r="O2682" s="39"/>
    </x:row>
    <x:row r="2683">
      <x:c r="A2683" s="34" t="str">
        <x:v>☐</x:v>
      </x:c>
      <x:c r="B2683" s="34" t="str">
        <x:v>EX-2655</x:v>
      </x:c>
      <x:c r="C2683" s="34" t="str">
        <x:v>یا این تخفیف رستوارن های خوب رو میزاری برای مثلا یکی از اعضا که تولد خودشه یا همسرش یا بچه اش مثلا که خانوادگی برن و کیف کنن</x:v>
      </x:c>
      <x:c r="D2683" s="34" t="str">
        <x:v>POSSIBLE</x:v>
      </x:c>
      <x:c r="E2683" s="34" t="str">
        <x:v>85.5</x:v>
      </x:c>
      <x:c r="F2683" s="34" t="str">
        <x:v>MI-1501</x:v>
      </x:c>
      <x:c r="G2683" s="39" t="str">
        <x:v>مدیریت ریسک: شناسایی ریسک ها، ارزیابی اثرات، تدوین برنامه های مقابله با ریسک ها.</x:v>
      </x:c>
      <x:c r="H2683" s="39" t="str">
        <x:v>H1</x:v>
      </x:c>
      <x:c r="I2683" s="39" t="str">
        <x:v>P0</x:v>
      </x:c>
      <x:c r="J2683" s="39" t="str">
        <x:v>H1</x:v>
      </x:c>
      <x:c r="K2683" s="39" t="str">
        <x:v>تطبیق احتمالی با پایه</x:v>
      </x:c>
      <x:c r="L2683" s="39" t="str">
        <x:v>MI-1501</x:v>
      </x:c>
      <x:c r="M2683" s="39" t="str">
        <x:v>مدیریت ریسک: شناسایی ریسک ها، ارزیابی اثرات، تدوین برنامه های مقابله با ریسک ها.</x:v>
      </x:c>
      <x:c r="N2683" s="39" t="str">
        <x:v>1154878548.docx::P8079.1</x:v>
      </x:c>
      <x:c r="O2683" s="39"/>
    </x:row>
    <x:row r="2684">
      <x:c r="A2684" s="34" t="str">
        <x:v>☐</x:v>
      </x:c>
      <x:c r="B2684" s="34" t="str">
        <x:v>EX-2656</x:v>
      </x:c>
      <x:c r="C2684" s="34" t="str">
        <x:v>رستوران باشه یا فستفودی یا کافه یا هر چی</x:v>
      </x:c>
      <x:c r="D2684" s="34" t="str">
        <x:v>POSSIBLE</x:v>
      </x:c>
      <x:c r="E2684" s="34" t="str">
        <x:v>85.5</x:v>
      </x:c>
      <x:c r="F2684" s="34" t="str">
        <x:v>MI-3098</x:v>
      </x:c>
      <x:c r="G2684" s="39" t="str">
        <x:v>حتی وقتی خسته هستید یا استرس دارید، باز هم دوست دارید چه کاری رو انجام دهید؟</x:v>
      </x:c>
      <x:c r="H2684" s="39" t="str">
        <x:v>H1</x:v>
      </x:c>
      <x:c r="I2684" s="39" t="str">
        <x:v>P0</x:v>
      </x:c>
      <x:c r="J2684" s="39" t="str">
        <x:v>H1</x:v>
      </x:c>
      <x:c r="K2684" s="39" t="str">
        <x:v>تطبیق احتمالی با پایه</x:v>
      </x:c>
      <x:c r="L2684" s="39" t="str">
        <x:v>MI-3098</x:v>
      </x:c>
      <x:c r="M2684" s="39" t="str">
        <x:v>حتی وقتی خسته هستید یا استرس دارید، باز هم دوست دارید چه کاری رو انجام دهید؟</x:v>
      </x:c>
      <x:c r="N2684" s="39" t="str">
        <x:v>1154878548.docx::P8081.1</x:v>
      </x:c>
      <x:c r="O2684" s="39"/>
    </x:row>
    <x:row r="2685">
      <x:c r="A2685" s="34" t="str">
        <x:v>☐</x:v>
      </x:c>
      <x:c r="B2685" s="34" t="str">
        <x:v>EX-2657</x:v>
      </x:c>
      <x:c r="C2685" s="34" t="str">
        <x:v>راه اندازی پادکست  مثل کار نکن برای جذب مخاطب و تولید محتوا برای باشگاه جذب ممبر</x:v>
      </x:c>
      <x:c r="D2685" s="34" t="str">
        <x:v>POSSIBLE</x:v>
      </x:c>
      <x:c r="E2685" s="34" t="str">
        <x:v>90.0</x:v>
      </x:c>
      <x:c r="F2685" s="34" t="str">
        <x:v>MI-0673</x:v>
      </x:c>
      <x:c r="G2685" s="39" t="str">
        <x:v>تولید محتوا</x:v>
      </x:c>
      <x:c r="H2685" s="39" t="str">
        <x:v>H12</x:v>
      </x:c>
      <x:c r="I2685" s="39" t="str">
        <x:v>P2</x:v>
      </x:c>
      <x:c r="J2685" s="39" t="str">
        <x:v>H12</x:v>
      </x:c>
      <x:c r="K2685" s="39" t="str">
        <x:v>تطبیق احتمالی با پایه</x:v>
      </x:c>
      <x:c r="L2685" s="39" t="str">
        <x:v>MI-0673</x:v>
      </x:c>
      <x:c r="M2685" s="39" t="str">
        <x:v>تولید محتوا</x:v>
      </x:c>
      <x:c r="N2685" s="39" t="str">
        <x:v>1154878548.docx::P8084.1</x:v>
      </x:c>
      <x:c r="O2685" s="39"/>
    </x:row>
    <x:row r="2686">
      <x:c r="A2686" s="34" t="str">
        <x:v>☐</x:v>
      </x:c>
      <x:c r="B2686" s="34" t="str">
        <x:v>EX-2658</x:v>
      </x:c>
      <x:c r="C2686" s="34" t="str">
        <x:v>ارتباط با فراغ التحصلان، اساتید ، افراد موفق و  صاحبان کسب و کار و اینها</x:v>
      </x:c>
      <x:c r="D2686" s="34" t="str">
        <x:v>POSSIBLE</x:v>
      </x:c>
      <x:c r="E2686" s="34" t="str">
        <x:v>85.5</x:v>
      </x:c>
      <x:c r="F2686" s="34" t="str">
        <x:v>MI-0019</x:v>
      </x:c>
      <x:c r="G2686" s="39" t="str">
        <x:v>آشنایی با نرم افزار املاک</x:v>
      </x:c>
      <x:c r="H2686" s="39" t="str">
        <x:v>H1</x:v>
      </x:c>
      <x:c r="I2686" s="39" t="str">
        <x:v>P0</x:v>
      </x:c>
      <x:c r="J2686" s="39" t="str">
        <x:v>H1</x:v>
      </x:c>
      <x:c r="K2686" s="39" t="str">
        <x:v>تطبیق احتمالی با پایه</x:v>
      </x:c>
      <x:c r="L2686" s="39" t="str">
        <x:v>MI-0019</x:v>
      </x:c>
      <x:c r="M2686" s="39" t="str">
        <x:v>آشنایی با نرم افزار املاک</x:v>
      </x:c>
      <x:c r="N2686" s="39" t="str">
        <x:v>1154878548.docx::P8085.1</x:v>
      </x:c>
      <x:c r="O2686" s="39"/>
    </x:row>
    <x:row r="2687">
      <x:c r="A2687" s="34" t="str">
        <x:v>☐</x:v>
      </x:c>
      <x:c r="B2687" s="34" t="str">
        <x:v>EX-2659</x:v>
      </x:c>
      <x:c r="C2687" s="34" t="str">
        <x:v>که دیتا در بیاد برای  پالایش و پایش افراد و اینها</x:v>
      </x:c>
      <x:c r="D2687" s="34" t="str">
        <x:v>POSSIBLE</x:v>
      </x:c>
      <x:c r="E2687" s="34" t="str">
        <x:v>85.5</x:v>
      </x:c>
      <x:c r="F2687" s="34" t="str">
        <x:v>MI-0029</x:v>
      </x:c>
      <x:c r="G2687" s="39" t="str">
        <x:v>تدریس ریاضی و فیزیک</x:v>
      </x:c>
      <x:c r="H2687" s="39" t="str">
        <x:v>H1</x:v>
      </x:c>
      <x:c r="I2687" s="39" t="str">
        <x:v>P0</x:v>
      </x:c>
      <x:c r="J2687" s="39" t="str">
        <x:v>H1</x:v>
      </x:c>
      <x:c r="K2687" s="39" t="str">
        <x:v>تطبیق احتمالی با پایه</x:v>
      </x:c>
      <x:c r="L2687" s="39" t="str">
        <x:v>MI-0029</x:v>
      </x:c>
      <x:c r="M2687" s="39" t="str">
        <x:v>تدریس ریاضی و فیزیک</x:v>
      </x:c>
      <x:c r="N2687" s="39" t="str">
        <x:v>1154878548.docx::P8087.1</x:v>
      </x:c>
      <x:c r="O2687" s="39"/>
    </x:row>
    <x:row r="2688">
      <x:c r="A2688" s="34" t="str">
        <x:v>☐</x:v>
      </x:c>
      <x:c r="B2688" s="34" t="str">
        <x:v>EX-2660</x:v>
      </x:c>
      <x:c r="C2688" s="34" t="str">
        <x:v>در اثنای اون کسب دغدغه ها و نیاز ها و برگذاری کارگاه متناسب با اون نیاز ها</x:v>
      </x:c>
      <x:c r="D2688" s="34" t="str">
        <x:v>POSSIBLE</x:v>
      </x:c>
      <x:c r="E2688" s="34" t="str">
        <x:v>85.5</x:v>
      </x:c>
      <x:c r="F2688" s="34" t="str">
        <x:v>MI-0019</x:v>
      </x:c>
      <x:c r="G2688" s="39" t="str">
        <x:v>آشنایی با نرم افزار املاک</x:v>
      </x:c>
      <x:c r="H2688" s="39" t="str">
        <x:v>H1</x:v>
      </x:c>
      <x:c r="I2688" s="39" t="str">
        <x:v>P0</x:v>
      </x:c>
      <x:c r="J2688" s="39" t="str">
        <x:v>H1</x:v>
      </x:c>
      <x:c r="K2688" s="39" t="str">
        <x:v>تطبیق احتمالی با پایه</x:v>
      </x:c>
      <x:c r="L2688" s="39" t="str">
        <x:v>MI-0019</x:v>
      </x:c>
      <x:c r="M2688" s="39" t="str">
        <x:v>آشنایی با نرم افزار املاک</x:v>
      </x:c>
      <x:c r="N2688" s="39" t="str">
        <x:v>1154878548.docx::P8088.1</x:v>
      </x:c>
      <x:c r="O2688" s="39"/>
    </x:row>
    <x:row r="2689">
      <x:c r="A2689" s="34" t="str">
        <x:v>☐</x:v>
      </x:c>
      <x:c r="B2689" s="34" t="str">
        <x:v>EX-2661</x:v>
      </x:c>
      <x:c r="C2689" s="34" t="str">
        <x:v>مثلا چطور سی وی بنویسیم</x:v>
      </x:c>
      <x:c r="D2689" s="34" t="str">
        <x:v>POSSIBLE</x:v>
      </x:c>
      <x:c r="E2689" s="34" t="str">
        <x:v>90.0</x:v>
      </x:c>
      <x:c r="F2689" s="34" t="str">
        <x:v>MI-2095</x:v>
      </x:c>
      <x:c r="G2689" s="39" t="str">
        <x:v>مثلاً:</x:v>
      </x:c>
      <x:c r="H2689" s="39" t="str">
        <x:v>H20</x:v>
      </x:c>
      <x:c r="I2689" s="39" t="str">
        <x:v>P3/CLARIFY</x:v>
      </x:c>
      <x:c r="J2689" s="39" t="str">
        <x:v>H20</x:v>
      </x:c>
      <x:c r="K2689" s="39" t="str">
        <x:v>تطبیق احتمالی با پایه</x:v>
      </x:c>
      <x:c r="L2689" s="39" t="str">
        <x:v>MI-2095</x:v>
      </x:c>
      <x:c r="M2689" s="39" t="str">
        <x:v>مثلاً:</x:v>
      </x:c>
      <x:c r="N2689" s="39" t="str">
        <x:v>1154878548.docx::P8090.1</x:v>
      </x:c>
      <x:c r="O2689" s="39"/>
    </x:row>
    <x:row r="2690">
      <x:c r="A2690" s="34" t="str">
        <x:v>☐</x:v>
      </x:c>
      <x:c r="B2690" s="34" t="str">
        <x:v>EX-2662</x:v>
      </x:c>
      <x:c r="C2690" s="34" t="str">
        <x:v>چطور لینکدین رو بالا بیاریم.</x:v>
      </x:c>
      <x:c r="D2690" s="34" t="str">
        <x:v>POSSIBLE</x:v>
      </x:c>
      <x:c r="E2690" s="34" t="str">
        <x:v>90.0</x:v>
      </x:c>
      <x:c r="F2690" s="34" t="str">
        <x:v>MI-1781</x:v>
      </x:c>
      <x:c r="G2690" s="39" t="str">
        <x:v>لینکدین</x:v>
      </x:c>
      <x:c r="H2690" s="39" t="str">
        <x:v>H14</x:v>
      </x:c>
      <x:c r="I2690" s="39" t="str">
        <x:v>P3</x:v>
      </x:c>
      <x:c r="J2690" s="39" t="str">
        <x:v>H14</x:v>
      </x:c>
      <x:c r="K2690" s="39" t="str">
        <x:v>تطبیق احتمالی با پایه</x:v>
      </x:c>
      <x:c r="L2690" s="39" t="str">
        <x:v>MI-1781</x:v>
      </x:c>
      <x:c r="M2690" s="39" t="str">
        <x:v>لینکدین</x:v>
      </x:c>
      <x:c r="N2690" s="39" t="str">
        <x:v>1154878548.docx::P8092.1</x:v>
      </x:c>
      <x:c r="O2690" s="39"/>
    </x:row>
    <x:row r="2691">
      <x:c r="A2691" s="34" t="str">
        <x:v>☐</x:v>
      </x:c>
      <x:c r="B2691" s="34" t="str">
        <x:v>EX-2663</x:v>
      </x:c>
      <x:c r="C2691" s="34" t="str">
        <x:v>همچنین برگذاری همایش مثل استخدام نشو  برای تبلیغ گنده های بازار مثل هتل  میزبان</x:v>
      </x:c>
      <x:c r="D2691" s="34" t="str">
        <x:v>POSSIBLE</x:v>
      </x:c>
      <x:c r="E2691" s="34" t="str">
        <x:v>85.5</x:v>
      </x:c>
      <x:c r="F2691" s="34" t="str">
        <x:v>MI-0022</x:v>
      </x:c>
      <x:c r="G2691" s="39" t="str">
        <x:v>برنامه ریزی جدی برای دروس دانشگاه پیام نور</x:v>
      </x:c>
      <x:c r="H2691" s="39" t="str">
        <x:v>H1</x:v>
      </x:c>
      <x:c r="I2691" s="39" t="str">
        <x:v>P0</x:v>
      </x:c>
      <x:c r="J2691" s="39" t="str">
        <x:v>H1</x:v>
      </x:c>
      <x:c r="K2691" s="39" t="str">
        <x:v>تطبیق احتمالی با پایه</x:v>
      </x:c>
      <x:c r="L2691" s="39" t="str">
        <x:v>MI-0022</x:v>
      </x:c>
      <x:c r="M2691" s="39" t="str">
        <x:v>برنامه ریزی جدی برای دروس دانشگاه پیام نور</x:v>
      </x:c>
      <x:c r="N2691" s="39" t="str">
        <x:v>1154878548.docx::P8096.1</x:v>
      </x:c>
      <x:c r="O2691" s="39"/>
    </x:row>
    <x:row r="2692">
      <x:c r="A2692" s="34" t="str">
        <x:v>☐</x:v>
      </x:c>
      <x:c r="B2692" s="34" t="str">
        <x:v>EX-2664</x:v>
      </x:c>
      <x:c r="C2692" s="34" t="str">
        <x:v>اینا رو در نظر بگیر که کار سنگین نباشه</x:v>
      </x:c>
      <x:c r="D2692" s="34" t="str">
        <x:v>POSSIBLE</x:v>
      </x:c>
      <x:c r="E2692" s="34" t="str">
        <x:v>85.5</x:v>
      </x:c>
      <x:c r="F2692" s="34" t="str">
        <x:v>MI-0173</x:v>
      </x:c>
      <x:c r="G2692" s="39" t="str">
        <x:v>جستجو در منابع سریع</x:v>
      </x:c>
      <x:c r="H2692" s="39" t="str">
        <x:v>H1</x:v>
      </x:c>
      <x:c r="I2692" s="39" t="str">
        <x:v>P0</x:v>
      </x:c>
      <x:c r="J2692" s="39" t="str">
        <x:v>H1</x:v>
      </x:c>
      <x:c r="K2692" s="39" t="str">
        <x:v>تطبیق احتمالی با پایه</x:v>
      </x:c>
      <x:c r="L2692" s="39" t="str">
        <x:v>MI-0173</x:v>
      </x:c>
      <x:c r="M2692" s="39" t="str">
        <x:v>جستجو در منابع سریع</x:v>
      </x:c>
      <x:c r="N2692" s="39" t="str">
        <x:v>1154878548.docx::P8100.1</x:v>
      </x:c>
      <x:c r="O2692" s="39"/>
    </x:row>
    <x:row r="2693">
      <x:c r="A2693" s="34" t="str">
        <x:v>☐</x:v>
      </x:c>
      <x:c r="B2693" s="34" t="str">
        <x:v>EX-2665</x:v>
      </x:c>
      <x:c r="C2693" s="34" t="str">
        <x:v>چریکی و کار های ریز</x:v>
      </x:c>
      <x:c r="D2693" s="34" t="str">
        <x:v>POSSIBLE</x:v>
      </x:c>
      <x:c r="E2693" s="34" t="str">
        <x:v>90.0</x:v>
      </x:c>
      <x:c r="F2693" s="34" t="str">
        <x:v>MI-2545</x:v>
      </x:c>
      <x:c r="G2693" s="39" t="str">
        <x:v>کار:</x:v>
      </x:c>
      <x:c r="H2693" s="39" t="str">
        <x:v>H20</x:v>
      </x:c>
      <x:c r="I2693" s="39" t="str">
        <x:v>P3/CLARIFY</x:v>
      </x:c>
      <x:c r="J2693" s="39" t="str">
        <x:v>H20</x:v>
      </x:c>
      <x:c r="K2693" s="39" t="str">
        <x:v>تطبیق احتمالی با پایه</x:v>
      </x:c>
      <x:c r="L2693" s="39" t="str">
        <x:v>MI-2545</x:v>
      </x:c>
      <x:c r="M2693" s="39" t="str">
        <x:v>کار:</x:v>
      </x:c>
      <x:c r="N2693" s="39" t="str">
        <x:v>1154878548.docx::P8102.1</x:v>
      </x:c>
      <x:c r="O2693" s="39"/>
    </x:row>
    <x:row r="2694">
      <x:c r="A2694" s="34" t="str">
        <x:v>☐</x:v>
      </x:c>
      <x:c r="B2694" s="34" t="str">
        <x:v>EX-2666</x:v>
      </x:c>
      <x:c r="C2694" s="34" t="str">
        <x:v>مثل قایق های تندروی ایرانی بااشه</x:v>
      </x:c>
      <x:c r="D2694" s="34" t="str">
        <x:v>POSSIBLE</x:v>
      </x:c>
      <x:c r="E2694" s="34" t="str">
        <x:v>90.0</x:v>
      </x:c>
      <x:c r="F2694" s="34" t="str">
        <x:v>MI-1236</x:v>
      </x:c>
      <x:c r="G2694" s="39" t="str">
        <x:v>ایران</x:v>
      </x:c>
      <x:c r="H2694" s="39" t="str">
        <x:v>H12</x:v>
      </x:c>
      <x:c r="I2694" s="39" t="str">
        <x:v>P2</x:v>
      </x:c>
      <x:c r="J2694" s="39" t="str">
        <x:v>H12</x:v>
      </x:c>
      <x:c r="K2694" s="39" t="str">
        <x:v>تطبیق احتمالی با پایه</x:v>
      </x:c>
      <x:c r="L2694" s="39" t="str">
        <x:v>MI-1236</x:v>
      </x:c>
      <x:c r="M2694" s="39" t="str">
        <x:v>ایران</x:v>
      </x:c>
      <x:c r="N2694" s="39" t="str">
        <x:v>1154878548.docx::P8104.1</x:v>
      </x:c>
      <x:c r="O2694" s="39"/>
    </x:row>
    <x:row r="2695">
      <x:c r="A2695" s="34" t="str">
        <x:v>☐</x:v>
      </x:c>
      <x:c r="B2695" s="34" t="str">
        <x:v>EX-2667</x:v>
      </x:c>
      <x:c r="C2695" s="34" t="str">
        <x:v>نه ناوشکن های امریکایی</x:v>
      </x:c>
      <x:c r="D2695" s="34" t="str">
        <x:v>POSSIBLE</x:v>
      </x:c>
      <x:c r="E2695" s="34" t="str">
        <x:v>85.5</x:v>
      </x:c>
      <x:c r="F2695" s="34" t="str">
        <x:v>MI-1501</x:v>
      </x:c>
      <x:c r="G2695" s="39" t="str">
        <x:v>مدیریت ریسک: شناسایی ریسک ها، ارزیابی اثرات، تدوین برنامه های مقابله با ریسک ها.</x:v>
      </x:c>
      <x:c r="H2695" s="39" t="str">
        <x:v>H1</x:v>
      </x:c>
      <x:c r="I2695" s="39" t="str">
        <x:v>P0</x:v>
      </x:c>
      <x:c r="J2695" s="39" t="str">
        <x:v>H1</x:v>
      </x:c>
      <x:c r="K2695" s="39" t="str">
        <x:v>تطبیق احتمالی با پایه</x:v>
      </x:c>
      <x:c r="L2695" s="39" t="str">
        <x:v>MI-1501</x:v>
      </x:c>
      <x:c r="M2695" s="39" t="str">
        <x:v>مدیریت ریسک: شناسایی ریسک ها، ارزیابی اثرات، تدوین برنامه های مقابله با ریسک ها.</x:v>
      </x:c>
      <x:c r="N2695" s="39" t="str">
        <x:v>1154878548.docx::P8106.1</x:v>
      </x:c>
      <x:c r="O2695" s="39"/>
    </x:row>
    <x:row r="2696">
      <x:c r="A2696" s="34" t="str">
        <x:v>☐</x:v>
      </x:c>
      <x:c r="B2696" s="34" t="str">
        <x:v>EX-2668</x:v>
      </x:c>
      <x:c r="C2696" s="34" t="str">
        <x:v>چابک و زودبازده و اثر ده</x:v>
      </x:c>
      <x:c r="D2696" s="34" t="str">
        <x:v>POSSIBLE</x:v>
      </x:c>
      <x:c r="E2696" s="34" t="str">
        <x:v>85.5</x:v>
      </x:c>
      <x:c r="F2696" s="34" t="str">
        <x:v>MI-1513</x:v>
      </x:c>
      <x:c r="G2696" s="39" t="str">
        <x:v>تولید و کارآفرینی: توانایی تولید محصول و خدمات و ایجاد شغل.</x:v>
      </x:c>
      <x:c r="H2696" s="39" t="str">
        <x:v>H1</x:v>
      </x:c>
      <x:c r="I2696" s="39" t="str">
        <x:v>P0</x:v>
      </x:c>
      <x:c r="J2696" s="39" t="str">
        <x:v>H1</x:v>
      </x:c>
      <x:c r="K2696" s="39" t="str">
        <x:v>تطبیق احتمالی با پایه</x:v>
      </x:c>
      <x:c r="L2696" s="39" t="str">
        <x:v>MI-1513</x:v>
      </x:c>
      <x:c r="M2696" s="39" t="str">
        <x:v>تولید و کارآفرینی: توانایی تولید محصول و خدمات و ایجاد شغل.</x:v>
      </x:c>
      <x:c r="N2696" s="39" t="str">
        <x:v>1154878548.docx::P8108.1</x:v>
      </x:c>
      <x:c r="O2696" s="39"/>
    </x:row>
    <x:row r="2697">
      <x:c r="A2697" s="34" t="str">
        <x:v>☐</x:v>
      </x:c>
      <x:c r="B2697" s="34" t="str">
        <x:v>EX-2669</x:v>
      </x:c>
      <x:c r="C2697" s="34" t="str">
        <x:v>کار درشت لود داره و سنگینه</x:v>
      </x:c>
      <x:c r="D2697" s="34" t="str">
        <x:v>POSSIBLE</x:v>
      </x:c>
      <x:c r="E2697" s="34" t="str">
        <x:v>85.5</x:v>
      </x:c>
      <x:c r="F2697" s="34" t="str">
        <x:v>MI-1513</x:v>
      </x:c>
      <x:c r="G2697" s="39" t="str">
        <x:v>تولید و کارآفرینی: توانایی تولید محصول و خدمات و ایجاد شغل.</x:v>
      </x:c>
      <x:c r="H2697" s="39" t="str">
        <x:v>H1</x:v>
      </x:c>
      <x:c r="I2697" s="39" t="str">
        <x:v>P0</x:v>
      </x:c>
      <x:c r="J2697" s="39" t="str">
        <x:v>H1</x:v>
      </x:c>
      <x:c r="K2697" s="39" t="str">
        <x:v>تطبیق احتمالی با پایه</x:v>
      </x:c>
      <x:c r="L2697" s="39" t="str">
        <x:v>MI-1513</x:v>
      </x:c>
      <x:c r="M2697" s="39" t="str">
        <x:v>تولید و کارآفرینی: توانایی تولید محصول و خدمات و ایجاد شغل.</x:v>
      </x:c>
      <x:c r="N2697" s="39" t="str">
        <x:v>1154878548.docx::P8113.1</x:v>
      </x:c>
      <x:c r="O2697" s="39"/>
    </x:row>
    <x:row r="2698">
      <x:c r="A2698" s="34" t="str">
        <x:v>☐</x:v>
      </x:c>
      <x:c r="B2698" s="34" t="str">
        <x:v>EX-2670</x:v>
      </x:c>
      <x:c r="C2698" s="34" t="str">
        <x:v>اگه پادکست رو بزاریم به عهده یه نفر که اون اجرا کنه</x:v>
      </x:c>
      <x:c r="D2698" s="34" t="str">
        <x:v>POSSIBLE</x:v>
      </x:c>
      <x:c r="E2698" s="34" t="str">
        <x:v>85.5</x:v>
      </x:c>
      <x:c r="F2698" s="34" t="str">
        <x:v>MI-1445</x:v>
      </x:c>
      <x:c r="G2698" s="39" t="str">
        <x:v>بنری که بالا نرفت برای بسیج</x:v>
      </x:c>
      <x:c r="H2698" s="39" t="str">
        <x:v>H1</x:v>
      </x:c>
      <x:c r="I2698" s="39" t="str">
        <x:v>P0</x:v>
      </x:c>
      <x:c r="J2698" s="39" t="str">
        <x:v>H1</x:v>
      </x:c>
      <x:c r="K2698" s="39" t="str">
        <x:v>تطبیق احتمالی با پایه</x:v>
      </x:c>
      <x:c r="L2698" s="39" t="str">
        <x:v>MI-1445</x:v>
      </x:c>
      <x:c r="M2698" s="39" t="str">
        <x:v>بنری که بالا نرفت برای بسیج</x:v>
      </x:c>
      <x:c r="N2698" s="39" t="str">
        <x:v>1154878548.docx::P8115.1</x:v>
      </x:c>
      <x:c r="O2698" s="39"/>
    </x:row>
    <x:row r="2699">
      <x:c r="A2699" s="34" t="str">
        <x:v>☐</x:v>
      </x:c>
      <x:c r="B2699" s="34" t="str">
        <x:v>EX-2671</x:v>
      </x:c>
      <x:c r="C2699" s="34" t="str">
        <x:v>بشه توسعه زیست بوم انجام بده</x:v>
      </x:c>
      <x:c r="D2699" s="34" t="str">
        <x:v>POSSIBLE</x:v>
      </x:c>
      <x:c r="E2699" s="34" t="str">
        <x:v>85.5</x:v>
      </x:c>
      <x:c r="F2699" s="34" t="str">
        <x:v>MI-1442</x:v>
      </x:c>
      <x:c r="G2699" s="39" t="str">
        <x:v>این نیت کردم نمیدونم انجام شده یا نه چه کنم</x:v>
      </x:c>
      <x:c r="H2699" s="39" t="str">
        <x:v>H1</x:v>
      </x:c>
      <x:c r="I2699" s="39" t="str">
        <x:v>P0</x:v>
      </x:c>
      <x:c r="J2699" s="39" t="str">
        <x:v>H1</x:v>
      </x:c>
      <x:c r="K2699" s="39" t="str">
        <x:v>تطبیق احتمالی با پایه</x:v>
      </x:c>
      <x:c r="L2699" s="39" t="str">
        <x:v>MI-1442</x:v>
      </x:c>
      <x:c r="M2699" s="39" t="str">
        <x:v>این نیت کردم نمیدونم انجام شده یا نه چه کنم</x:v>
      </x:c>
      <x:c r="N2699" s="39" t="str">
        <x:v>1154878548.docx::P8118.1</x:v>
      </x:c>
      <x:c r="O2699" s="39"/>
    </x:row>
    <x:row r="2700">
      <x:c r="A2700" s="34" t="str">
        <x:v>☐</x:v>
      </x:c>
      <x:c r="B2700" s="34" t="str">
        <x:v>EX-2672</x:v>
      </x:c>
      <x:c r="C2700" s="34" t="str">
        <x:v>به عواید هم فکر باید بشه</x:v>
      </x:c>
      <x:c r="D2700" s="34" t="str">
        <x:v>POSSIBLE</x:v>
      </x:c>
      <x:c r="E2700" s="34" t="str">
        <x:v>85.5</x:v>
      </x:c>
      <x:c r="F2700" s="34" t="str">
        <x:v>MI-1448</x:v>
      </x:c>
      <x:c r="G2700" s="39" t="str">
        <x:v>پول هییت قبلا چوقدر هست دست من؟؟؟ قبلا 4,290 بوده . چقدر به سید دادم.</x:v>
      </x:c>
      <x:c r="H2700" s="39" t="str">
        <x:v>H1</x:v>
      </x:c>
      <x:c r="I2700" s="39" t="str">
        <x:v>P0</x:v>
      </x:c>
      <x:c r="J2700" s="39" t="str">
        <x:v>H1</x:v>
      </x:c>
      <x:c r="K2700" s="39" t="str">
        <x:v>تطبیق احتمالی با پایه</x:v>
      </x:c>
      <x:c r="L2700" s="39" t="str">
        <x:v>MI-1448</x:v>
      </x:c>
      <x:c r="M2700" s="39" t="str">
        <x:v>پول هییت قبلا چوقدر هست دست من؟؟؟ قبلا 4,290 بوده . چقدر به سید دادم.</x:v>
      </x:c>
      <x:c r="N2700" s="39" t="str">
        <x:v>1154878548.docx::P8121.1</x:v>
      </x:c>
      <x:c r="O2700" s="39"/>
    </x:row>
    <x:row r="2701">
      <x:c r="A2701" s="34" t="str">
        <x:v>☐</x:v>
      </x:c>
      <x:c r="B2701" s="34" t="str">
        <x:v>EX-2673</x:v>
      </x:c>
      <x:c r="C2701" s="34" t="str">
        <x:v>در اخر همه اینا رو وقتی تونستی بررسی کن و اینها</x:v>
      </x:c>
      <x:c r="D2701" s="34" t="str">
        <x:v>POSSIBLE</x:v>
      </x:c>
      <x:c r="E2701" s="34" t="str">
        <x:v>85.5</x:v>
      </x:c>
      <x:c r="F2701" s="34" t="str">
        <x:v>MI-0029</x:v>
      </x:c>
      <x:c r="G2701" s="39" t="str">
        <x:v>تدریس ریاضی و فیزیک</x:v>
      </x:c>
      <x:c r="H2701" s="39" t="str">
        <x:v>H1</x:v>
      </x:c>
      <x:c r="I2701" s="39" t="str">
        <x:v>P0</x:v>
      </x:c>
      <x:c r="J2701" s="39" t="str">
        <x:v>H1</x:v>
      </x:c>
      <x:c r="K2701" s="39" t="str">
        <x:v>تطبیق احتمالی با پایه</x:v>
      </x:c>
      <x:c r="L2701" s="39" t="str">
        <x:v>MI-0029</x:v>
      </x:c>
      <x:c r="M2701" s="39" t="str">
        <x:v>تدریس ریاضی و فیزیک</x:v>
      </x:c>
      <x:c r="N2701" s="39" t="str">
        <x:v>1154878548.docx::P8128.1</x:v>
      </x:c>
      <x:c r="O2701" s="39"/>
    </x:row>
    <x:row r="2702">
      <x:c r="A2702" s="34" t="str">
        <x:v>☐</x:v>
      </x:c>
      <x:c r="B2702" s="34" t="str">
        <x:v>EX-2674</x:v>
      </x:c>
      <x:c r="C2702" s="34" t="str">
        <x:v>بیا و در یه بخش جداگانه دسته بندی کن که بشه چه ایده هایی داد و وقتی انتخاب شد ،  حالا بررسی کنیم و بیشتر توضیح</x:v>
      </x:c>
      <x:c r="D2702" s="34" t="str">
        <x:v>POSSIBLE</x:v>
      </x:c>
      <x:c r="E2702" s="34" t="str">
        <x:v>85.5</x:v>
      </x:c>
      <x:c r="F2702" s="34" t="str">
        <x:v>MI-1513</x:v>
      </x:c>
      <x:c r="G2702" s="39" t="str">
        <x:v>تولید و کارآفرینی: توانایی تولید محصول و خدمات و ایجاد شغل.</x:v>
      </x:c>
      <x:c r="H2702" s="39" t="str">
        <x:v>H1</x:v>
      </x:c>
      <x:c r="I2702" s="39" t="str">
        <x:v>P0</x:v>
      </x:c>
      <x:c r="J2702" s="39" t="str">
        <x:v>H1</x:v>
      </x:c>
      <x:c r="K2702" s="39" t="str">
        <x:v>تطبیق احتمالی با پایه</x:v>
      </x:c>
      <x:c r="L2702" s="39" t="str">
        <x:v>MI-1513</x:v>
      </x:c>
      <x:c r="M2702" s="39" t="str">
        <x:v>تولید و کارآفرینی: توانایی تولید محصول و خدمات و ایجاد شغل.</x:v>
      </x:c>
      <x:c r="N2702" s="39" t="str">
        <x:v>1154878548.docx::P8132.1</x:v>
      </x:c>
      <x:c r="O2702" s="39"/>
    </x:row>
    <x:row r="2703">
      <x:c r="A2703" s="34" t="str">
        <x:v>☐</x:v>
      </x:c>
      <x:c r="B2703" s="34" t="str">
        <x:v>EX-2675</x:v>
      </x:c>
      <x:c r="C2703" s="34" t="str">
        <x:v>۳۰-بوفه</x:v>
      </x:c>
      <x:c r="D2703" s="34" t="str">
        <x:v>POSSIBLE</x:v>
      </x:c>
      <x:c r="E2703" s="34" t="str">
        <x:v>85.5</x:v>
      </x:c>
      <x:c r="F2703" s="34" t="str">
        <x:v>MI-0813</x:v>
      </x:c>
      <x:c r="G2703" s="39" t="str">
        <x:v>- تعویض بوفه به فروشگاه جهت تردد دانشجو</x:v>
      </x:c>
      <x:c r="H2703" s="39" t="str">
        <x:v>H11</x:v>
      </x:c>
      <x:c r="I2703" s="39" t="str">
        <x:v>DELEGATE/P2</x:v>
      </x:c>
      <x:c r="J2703" s="39" t="str">
        <x:v>H11</x:v>
      </x:c>
      <x:c r="K2703" s="39" t="str">
        <x:v>تطبیق احتمالی با پایه</x:v>
      </x:c>
      <x:c r="L2703" s="39" t="str">
        <x:v>MI-0813</x:v>
      </x:c>
      <x:c r="M2703" s="39" t="str">
        <x:v>- تعویض بوفه به فروشگاه جهت تردد دانشجو</x:v>
      </x:c>
      <x:c r="N2703" s="39" t="str">
        <x:v>1154878548.docx::T2R3C2.1</x:v>
      </x:c>
      <x:c r="O2703" s="39"/>
    </x:row>
    <x:row r="2704">
      <x:c r="A2704" s="34" t="str">
        <x:v>☐</x:v>
      </x:c>
      <x:c r="B2704" s="34" t="str">
        <x:v>EX-2676</x:v>
      </x:c>
      <x:c r="C2704" s="34" t="str">
        <x:v>۳۴- قرار دادن قرارداد پیمانکار سلف غذای دانشگاه</x:v>
      </x:c>
      <x:c r="D2704" s="34" t="str">
        <x:v>POSSIBLE</x:v>
      </x:c>
      <x:c r="E2704" s="34" t="str">
        <x:v>85.5</x:v>
      </x:c>
      <x:c r="F2704" s="34" t="str">
        <x:v>MI-0049</x:v>
      </x:c>
      <x:c r="G2704" s="39" t="str">
        <x:v>گذاشتن قرار دوستانه دبیرستانی</x:v>
      </x:c>
      <x:c r="H2704" s="39" t="str">
        <x:v>H1</x:v>
      </x:c>
      <x:c r="I2704" s="39" t="str">
        <x:v>P0</x:v>
      </x:c>
      <x:c r="J2704" s="39" t="str">
        <x:v>H1</x:v>
      </x:c>
      <x:c r="K2704" s="39" t="str">
        <x:v>تطبیق احتمالی با پایه</x:v>
      </x:c>
      <x:c r="L2704" s="39" t="str">
        <x:v>MI-0049</x:v>
      </x:c>
      <x:c r="M2704" s="39" t="str">
        <x:v>گذاشتن قرار دوستانه دبیرستانی</x:v>
      </x:c>
      <x:c r="N2704" s="39" t="str">
        <x:v>1154878548.docx::T2R4C2.1</x:v>
      </x:c>
      <x:c r="O2704" s="39"/>
    </x:row>
    <x:row r="2705">
      <x:c r="A2705" s="34" t="str">
        <x:v>☐</x:v>
      </x:c>
      <x:c r="B2705" s="34" t="str">
        <x:v>EX-2677</x:v>
      </x:c>
      <x:c r="C2705" s="34" t="str">
        <x:v>احتیاط در امر استفاده هماهنگی با مسئول بهداشت جهت تایین نوع مواد شوینده مورد استفاده</x:v>
      </x:c>
      <x:c r="D2705" s="34" t="str">
        <x:v>POSSIBLE</x:v>
      </x:c>
      <x:c r="E2705" s="34" t="str">
        <x:v>85.5</x:v>
      </x:c>
      <x:c r="F2705" s="34" t="str">
        <x:v>MI-0019</x:v>
      </x:c>
      <x:c r="G2705" s="39" t="str">
        <x:v>آشنایی با نرم افزار املاک</x:v>
      </x:c>
      <x:c r="H2705" s="39" t="str">
        <x:v>H1</x:v>
      </x:c>
      <x:c r="I2705" s="39" t="str">
        <x:v>P0</x:v>
      </x:c>
      <x:c r="J2705" s="39" t="str">
        <x:v>H1</x:v>
      </x:c>
      <x:c r="K2705" s="39" t="str">
        <x:v>تطبیق احتمالی با پایه</x:v>
      </x:c>
      <x:c r="L2705" s="39" t="str">
        <x:v>MI-0019</x:v>
      </x:c>
      <x:c r="M2705" s="39" t="str">
        <x:v>آشنایی با نرم افزار املاک</x:v>
      </x:c>
      <x:c r="N2705" s="39" t="str">
        <x:v>1154878548.docx::T2R5C2.1</x:v>
      </x:c>
      <x:c r="O2705" s="39"/>
    </x:row>
    <x:row r="2706">
      <x:c r="A2706" s="34" t="str">
        <x:v>☐</x:v>
      </x:c>
      <x:c r="B2706" s="34" t="str">
        <x:v>EX-2678</x:v>
      </x:c>
      <x:c r="C2706" s="34" t="str">
        <x:v>ارائه میوه به همراه غذا مطابق با توافق هیئت رئیسه با شورای صنفی سال 97</x:v>
      </x:c>
      <x:c r="D2706" s="34" t="str">
        <x:v>POSSIBLE</x:v>
      </x:c>
      <x:c r="E2706" s="34" t="str">
        <x:v>85.5</x:v>
      </x:c>
      <x:c r="F2706" s="34" t="str">
        <x:v>MI-0019</x:v>
      </x:c>
      <x:c r="G2706" s="39" t="str">
        <x:v>آشنایی با نرم افزار املاک</x:v>
      </x:c>
      <x:c r="H2706" s="39" t="str">
        <x:v>H1</x:v>
      </x:c>
      <x:c r="I2706" s="39" t="str">
        <x:v>P0</x:v>
      </x:c>
      <x:c r="J2706" s="39" t="str">
        <x:v>H1</x:v>
      </x:c>
      <x:c r="K2706" s="39" t="str">
        <x:v>تطبیق احتمالی با پایه</x:v>
      </x:c>
      <x:c r="L2706" s="39" t="str">
        <x:v>MI-0019</x:v>
      </x:c>
      <x:c r="M2706" s="39" t="str">
        <x:v>آشنایی با نرم افزار املاک</x:v>
      </x:c>
      <x:c r="N2706" s="39" t="str">
        <x:v>1154878548.docx::T2R7C2.1</x:v>
      </x:c>
      <x:c r="O2706" s="39"/>
    </x:row>
    <x:row r="2707">
      <x:c r="A2707" s="34" t="str">
        <x:v>☐</x:v>
      </x:c>
      <x:c r="B2707" s="34" t="str">
        <x:v>EX-2679</x:v>
      </x:c>
      <x:c r="C2707" s="34" t="str">
        <x:v>باز ماندن سالن مطالعه کتابخانه سردار تا ساعت 2 به وقت بازبودن سلف دانشگاه</x:v>
      </x:c>
      <x:c r="D2707" s="34" t="str">
        <x:v>POSSIBLE</x:v>
      </x:c>
      <x:c r="E2707" s="34" t="str">
        <x:v>85.5</x:v>
      </x:c>
      <x:c r="F2707" s="34" t="str">
        <x:v>MI-0022</x:v>
      </x:c>
      <x:c r="G2707" s="39" t="str">
        <x:v>برنامه ریزی جدی برای دروس دانشگاه پیام نور</x:v>
      </x:c>
      <x:c r="H2707" s="39" t="str">
        <x:v>H1</x:v>
      </x:c>
      <x:c r="I2707" s="39" t="str">
        <x:v>P0</x:v>
      </x:c>
      <x:c r="J2707" s="39" t="str">
        <x:v>H1</x:v>
      </x:c>
      <x:c r="K2707" s="39" t="str">
        <x:v>تطبیق احتمالی با پایه</x:v>
      </x:c>
      <x:c r="L2707" s="39" t="str">
        <x:v>MI-0022</x:v>
      </x:c>
      <x:c r="M2707" s="39" t="str">
        <x:v>برنامه ریزی جدی برای دروس دانشگاه پیام نور</x:v>
      </x:c>
      <x:c r="N2707" s="39" t="str">
        <x:v>1154878548.docx::T2R9C2.1</x:v>
      </x:c>
      <x:c r="O2707" s="39"/>
    </x:row>
    <x:row r="2708">
      <x:c r="A2708" s="34" t="str">
        <x:v>☐</x:v>
      </x:c>
      <x:c r="B2708" s="34" t="str">
        <x:v>EX-2680</x:v>
      </x:c>
      <x:c r="C2708" s="34" t="str">
        <x:v>بررسی حضوری عملکرد سلف و استقرار نمایندگان شورای صنفی به عنوان بازرسی بهداشتی با صدور کارت بهداشت ( 2 نماینده از شورا و 2 نماینده از سایر دانشجویان)</x:v>
      </x:c>
      <x:c r="D2708" s="34" t="str">
        <x:v>POSSIBLE</x:v>
      </x:c>
      <x:c r="E2708" s="34" t="str">
        <x:v>85.5</x:v>
      </x:c>
      <x:c r="F2708" s="34" t="str">
        <x:v>MI-1501</x:v>
      </x:c>
      <x:c r="G2708" s="39" t="str">
        <x:v>مدیریت ریسک: شناسایی ریسک ها، ارزیابی اثرات، تدوین برنامه های مقابله با ریسک ها.</x:v>
      </x:c>
      <x:c r="H2708" s="39" t="str">
        <x:v>H1</x:v>
      </x:c>
      <x:c r="I2708" s="39" t="str">
        <x:v>P0</x:v>
      </x:c>
      <x:c r="J2708" s="39" t="str">
        <x:v>H1</x:v>
      </x:c>
      <x:c r="K2708" s="39" t="str">
        <x:v>تطبیق احتمالی با پایه</x:v>
      </x:c>
      <x:c r="L2708" s="39" t="str">
        <x:v>MI-1501</x:v>
      </x:c>
      <x:c r="M2708" s="39" t="str">
        <x:v>مدیریت ریسک: شناسایی ریسک ها، ارزیابی اثرات، تدوین برنامه های مقابله با ریسک ها.</x:v>
      </x:c>
      <x:c r="N2708" s="39" t="str">
        <x:v>1154878548.docx::T2R10C2.1</x:v>
      </x:c>
      <x:c r="O2708" s="39"/>
    </x:row>
    <x:row r="2709">
      <x:c r="A2709" s="34" t="str">
        <x:v>☐</x:v>
      </x:c>
      <x:c r="B2709" s="34" t="str">
        <x:v>EX-2681</x:v>
      </x:c>
      <x:c r="C2709" s="34" t="str">
        <x:v>تغییر فصلی ساعت باز بودن سلف دانشگاه</x:v>
      </x:c>
      <x:c r="D2709" s="34" t="str">
        <x:v>POSSIBLE</x:v>
      </x:c>
      <x:c r="E2709" s="34" t="str">
        <x:v>85.5</x:v>
      </x:c>
      <x:c r="F2709" s="34" t="str">
        <x:v>MI-0021</x:v>
      </x:c>
      <x:c r="G2709" s="39" t="str">
        <x:v>برنامه ریزی بسیار جدی تر برای دروس دانشگاه نوشیروانی بابل</x:v>
      </x:c>
      <x:c r="H2709" s="39" t="str">
        <x:v>H1</x:v>
      </x:c>
      <x:c r="I2709" s="39" t="str">
        <x:v>P0</x:v>
      </x:c>
      <x:c r="J2709" s="39" t="str">
        <x:v>H1</x:v>
      </x:c>
      <x:c r="K2709" s="39" t="str">
        <x:v>تطبیق احتمالی با پایه</x:v>
      </x:c>
      <x:c r="L2709" s="39" t="str">
        <x:v>MI-0021</x:v>
      </x:c>
      <x:c r="M2709" s="39" t="str">
        <x:v>برنامه ریزی بسیار جدی تر برای دروس دانشگاه نوشیروانی بابل</x:v>
      </x:c>
      <x:c r="N2709" s="39" t="str">
        <x:v>1154878548.docx::T2R20C2.1</x:v>
      </x:c>
      <x:c r="O2709" s="39"/>
    </x:row>
    <x:row r="2710">
      <x:c r="A2710" s="34" t="str">
        <x:v>☐</x:v>
      </x:c>
      <x:c r="B2710" s="34" t="str">
        <x:v>EX-2682</x:v>
      </x:c>
      <x:c r="C2710" s="34" t="str">
        <x:v>در دانشگاه نزدیک سلف باز شود برای پسران به طور مثال شیفت شب</x:v>
      </x:c>
      <x:c r="D2710" s="34" t="str">
        <x:v>POSSIBLE</x:v>
      </x:c>
      <x:c r="E2710" s="34" t="str">
        <x:v>85.5</x:v>
      </x:c>
      <x:c r="F2710" s="34" t="str">
        <x:v>MI-0023</x:v>
      </x:c>
      <x:c r="G2710" s="39" t="str">
        <x:v>برنامه ریزی دقیق و علمگرا هییت دانشگاه</x:v>
      </x:c>
      <x:c r="H2710" s="39" t="str">
        <x:v>H1</x:v>
      </x:c>
      <x:c r="I2710" s="39" t="str">
        <x:v>P0</x:v>
      </x:c>
      <x:c r="J2710" s="39" t="str">
        <x:v>H1</x:v>
      </x:c>
      <x:c r="K2710" s="39" t="str">
        <x:v>تطبیق احتمالی با پایه</x:v>
      </x:c>
      <x:c r="L2710" s="39" t="str">
        <x:v>MI-0023</x:v>
      </x:c>
      <x:c r="M2710" s="39" t="str">
        <x:v>برنامه ریزی دقیق و علمگرا هییت دانشگاه</x:v>
      </x:c>
      <x:c r="N2710" s="39" t="str">
        <x:v>1154878548.docx::T2R25C2.1</x:v>
      </x:c>
      <x:c r="O2710" s="39"/>
    </x:row>
    <x:row r="2711">
      <x:c r="A2711" s="34" t="str">
        <x:v>☐</x:v>
      </x:c>
      <x:c r="B2711" s="34" t="str">
        <x:v>EX-2683</x:v>
      </x:c>
      <x:c r="C2711" s="34" t="str">
        <x:v>عدس پلو با گوشت</x:v>
      </x:c>
      <x:c r="D2711" s="34" t="str">
        <x:v>POSSIBLE</x:v>
      </x:c>
      <x:c r="E2711" s="34" t="str">
        <x:v>85.5</x:v>
      </x:c>
      <x:c r="F2711" s="34" t="str">
        <x:v>MI-1501</x:v>
      </x:c>
      <x:c r="G2711" s="39" t="str">
        <x:v>مدیریت ریسک: شناسایی ریسک ها، ارزیابی اثرات، تدوین برنامه های مقابله با ریسک ها.</x:v>
      </x:c>
      <x:c r="H2711" s="39" t="str">
        <x:v>H1</x:v>
      </x:c>
      <x:c r="I2711" s="39" t="str">
        <x:v>P0</x:v>
      </x:c>
      <x:c r="J2711" s="39" t="str">
        <x:v>H1</x:v>
      </x:c>
      <x:c r="K2711" s="39" t="str">
        <x:v>تطبیق احتمالی با پایه</x:v>
      </x:c>
      <x:c r="L2711" s="39" t="str">
        <x:v>MI-1501</x:v>
      </x:c>
      <x:c r="M2711" s="39" t="str">
        <x:v>مدیریت ریسک: شناسایی ریسک ها، ارزیابی اثرات، تدوین برنامه های مقابله با ریسک ها.</x:v>
      </x:c>
      <x:c r="N2711" s="39" t="str">
        <x:v>1154878548.docx::T2R29C2.1</x:v>
      </x:c>
      <x:c r="O2711" s="39"/>
    </x:row>
    <x:row r="2712">
      <x:c r="A2712" s="34" t="str">
        <x:v>☐</x:v>
      </x:c>
      <x:c r="B2712" s="34" t="str">
        <x:v>EX-2684</x:v>
      </x:c>
      <x:c r="C2712" s="34" t="str">
        <x:v>قرارداد اجاره بوفه ها / پیمانکاری سلف</x:v>
      </x:c>
      <x:c r="D2712" s="34" t="str">
        <x:v>POSSIBLE</x:v>
      </x:c>
      <x:c r="E2712" s="34" t="str">
        <x:v>85.5</x:v>
      </x:c>
      <x:c r="F2712" s="34" t="str">
        <x:v>MI-1501</x:v>
      </x:c>
      <x:c r="G2712" s="39" t="str">
        <x:v>مدیریت ریسک: شناسایی ریسک ها، ارزیابی اثرات، تدوین برنامه های مقابله با ریسک ها.</x:v>
      </x:c>
      <x:c r="H2712" s="39" t="str">
        <x:v>H1</x:v>
      </x:c>
      <x:c r="I2712" s="39" t="str">
        <x:v>P0</x:v>
      </x:c>
      <x:c r="J2712" s="39" t="str">
        <x:v>H1</x:v>
      </x:c>
      <x:c r="K2712" s="39" t="str">
        <x:v>تطبیق احتمالی با پایه</x:v>
      </x:c>
      <x:c r="L2712" s="39" t="str">
        <x:v>MI-1501</x:v>
      </x:c>
      <x:c r="M2712" s="39" t="str">
        <x:v>مدیریت ریسک: شناسایی ریسک ها، ارزیابی اثرات، تدوین برنامه های مقابله با ریسک ها.</x:v>
      </x:c>
      <x:c r="N2712" s="39" t="str">
        <x:v>1154878548.docx::T2R31C2.1 | 1154878548.docx::T2R32C2.1</x:v>
      </x:c>
      <x:c r="O2712" s="39"/>
    </x:row>
    <x:row r="2713">
      <x:c r="A2713" s="34" t="str">
        <x:v>☐</x:v>
      </x:c>
      <x:c r="B2713" s="34" t="str">
        <x:v>EX-2685</x:v>
      </x:c>
      <x:c r="C2713" s="34" t="str">
        <x:v>قرارداد سلف رو از دکتر بگیرم که قول دادن</x:v>
      </x:c>
      <x:c r="D2713" s="34" t="str">
        <x:v>POSSIBLE</x:v>
      </x:c>
      <x:c r="E2713" s="34" t="str">
        <x:v>85.5</x:v>
      </x:c>
      <x:c r="F2713" s="34" t="str">
        <x:v>MI-1457</x:v>
      </x:c>
      <x:c r="G2713" s="39" t="str">
        <x:v>سلامت جسمانی: تغذیه سالم، ورزش منظم، خواب کافی، پیشگیری از بیماری ها.</x:v>
      </x:c>
      <x:c r="H2713" s="39" t="str">
        <x:v>H1</x:v>
      </x:c>
      <x:c r="I2713" s="39" t="str">
        <x:v>P0</x:v>
      </x:c>
      <x:c r="J2713" s="39" t="str">
        <x:v>H1</x:v>
      </x:c>
      <x:c r="K2713" s="39" t="str">
        <x:v>تطبیق احتمالی با پایه</x:v>
      </x:c>
      <x:c r="L2713" s="39" t="str">
        <x:v>MI-1457</x:v>
      </x:c>
      <x:c r="M2713" s="39" t="str">
        <x:v>سلامت جسمانی: تغذیه سالم، ورزش منظم، خواب کافی، پیشگیری از بیماری ها.</x:v>
      </x:c>
      <x:c r="N2713" s="39" t="str">
        <x:v>1154878548.docx::T2R33C2.1</x:v>
      </x:c>
      <x:c r="O2713" s="39"/>
    </x:row>
    <x:row r="2714">
      <x:c r="A2714" s="34" t="str">
        <x:v>☐</x:v>
      </x:c>
      <x:c r="B2714" s="34" t="str">
        <x:v>EX-2686</x:v>
      </x:c>
      <x:c r="C2714" s="34" t="str">
        <x:v>کدام دانشگاه ها پک صبحانه میدن و با چه وضعیتی و سیستمی</x:v>
      </x:c>
      <x:c r="D2714" s="34" t="str">
        <x:v>POSSIBLE</x:v>
      </x:c>
      <x:c r="E2714" s="34" t="str">
        <x:v>90.0</x:v>
      </x:c>
      <x:c r="F2714" s="34" t="str">
        <x:v>MI-1791</x:v>
      </x:c>
      <x:c r="G2714" s="39" t="str">
        <x:v>دانشگاه ها</x:v>
      </x:c>
      <x:c r="H2714" s="39" t="str">
        <x:v>H11</x:v>
      </x:c>
      <x:c r="I2714" s="39" t="str">
        <x:v>DELEGATE/P2</x:v>
      </x:c>
      <x:c r="J2714" s="39" t="str">
        <x:v>H11</x:v>
      </x:c>
      <x:c r="K2714" s="39" t="str">
        <x:v>تطبیق احتمالی با پایه</x:v>
      </x:c>
      <x:c r="L2714" s="39" t="str">
        <x:v>MI-1791</x:v>
      </x:c>
      <x:c r="M2714" s="39" t="str">
        <x:v>دانشگاه ها</x:v>
      </x:c>
      <x:c r="N2714" s="39" t="str">
        <x:v>1154878548.docx::T2R35C2.1</x:v>
      </x:c>
      <x:c r="O2714" s="39"/>
    </x:row>
    <x:row r="2715">
      <x:c r="A2715" s="34" t="str">
        <x:v>☐</x:v>
      </x:c>
      <x:c r="B2715" s="34" t="str">
        <x:v>EX-2687</x:v>
      </x:c>
      <x:c r="C2715" s="34" t="str">
        <x:v>کیفیت و تنوع غذا</x:v>
      </x:c>
      <x:c r="D2715" s="34" t="str">
        <x:v>POSSIBLE</x:v>
      </x:c>
      <x:c r="E2715" s="34" t="str">
        <x:v>90.0</x:v>
      </x:c>
      <x:c r="F2715" s="34" t="str">
        <x:v>MI-0720</x:v>
      </x:c>
      <x:c r="G2715" s="39" t="str">
        <x:v>کیفیت</x:v>
      </x:c>
      <x:c r="H2715" s="39" t="str">
        <x:v>H11</x:v>
      </x:c>
      <x:c r="I2715" s="39" t="str">
        <x:v>DELEGATE/P2</x:v>
      </x:c>
      <x:c r="J2715" s="39" t="str">
        <x:v>H11</x:v>
      </x:c>
      <x:c r="K2715" s="39" t="str">
        <x:v>تطبیق احتمالی با پایه</x:v>
      </x:c>
      <x:c r="L2715" s="39" t="str">
        <x:v>MI-0720</x:v>
      </x:c>
      <x:c r="M2715" s="39" t="str">
        <x:v>کیفیت</x:v>
      </x:c>
      <x:c r="N2715" s="39" t="str">
        <x:v>1154878548.docx::T2R38C2.1</x:v>
      </x:c>
      <x:c r="O2715" s="39"/>
    </x:row>
    <x:row r="2716">
      <x:c r="A2716" s="34" t="str">
        <x:v>☐</x:v>
      </x:c>
      <x:c r="B2716" s="34" t="str">
        <x:v>EX-2688</x:v>
      </x:c>
      <x:c r="C2716" s="34" t="str">
        <x:v>مناسبت خاص برای هماهنگی جهت طبخ غذا برای نیازمندان با هماهنگی دانشجویان</x:v>
      </x:c>
      <x:c r="D2716" s="34" t="str">
        <x:v>POSSIBLE</x:v>
      </x:c>
      <x:c r="E2716" s="34" t="str">
        <x:v>90.0</x:v>
      </x:c>
      <x:c r="F2716" s="34" t="str">
        <x:v>MI-2707</x:v>
      </x:c>
      <x:c r="G2716" s="39" t="str">
        <x:v>دانشجویان</x:v>
      </x:c>
      <x:c r="H2716" s="39" t="str">
        <x:v>H11</x:v>
      </x:c>
      <x:c r="I2716" s="39" t="str">
        <x:v>DELEGATE/P2</x:v>
      </x:c>
      <x:c r="J2716" s="39" t="str">
        <x:v>H11</x:v>
      </x:c>
      <x:c r="K2716" s="39" t="str">
        <x:v>تطبیق احتمالی با پایه</x:v>
      </x:c>
      <x:c r="L2716" s="39" t="str">
        <x:v>MI-2707</x:v>
      </x:c>
      <x:c r="M2716" s="39" t="str">
        <x:v>دانشجویان</x:v>
      </x:c>
      <x:c r="N2716" s="39" t="str">
        <x:v>1154878548.docx::T2R41C2.1</x:v>
      </x:c>
      <x:c r="O2716" s="39"/>
    </x:row>
    <x:row r="2717">
      <x:c r="A2717" s="34" t="str">
        <x:v>☐</x:v>
      </x:c>
      <x:c r="B2717" s="34" t="str">
        <x:v>EX-2689</x:v>
      </x:c>
      <x:c r="C2717" s="34" t="str">
        <x:v>نظر سنجی بر کیفیت وعده های توزیع شده و دورچین ها</x:v>
      </x:c>
      <x:c r="D2717" s="34" t="str">
        <x:v>POSSIBLE</x:v>
      </x:c>
      <x:c r="E2717" s="34" t="str">
        <x:v>90.0</x:v>
      </x:c>
      <x:c r="F2717" s="34" t="str">
        <x:v>MI-0826</x:v>
      </x:c>
      <x:c r="G2717" s="39" t="str">
        <x:v>- نظر سنجی</x:v>
      </x:c>
      <x:c r="H2717" s="39" t="str">
        <x:v>H11</x:v>
      </x:c>
      <x:c r="I2717" s="39" t="str">
        <x:v>DELEGATE/P2</x:v>
      </x:c>
      <x:c r="J2717" s="39" t="str">
        <x:v>H11</x:v>
      </x:c>
      <x:c r="K2717" s="39" t="str">
        <x:v>تطبیق احتمالی با پایه</x:v>
      </x:c>
      <x:c r="L2717" s="39" t="str">
        <x:v>MI-0826</x:v>
      </x:c>
      <x:c r="M2717" s="39" t="str">
        <x:v>- نظر سنجی</x:v>
      </x:c>
      <x:c r="N2717" s="39" t="str">
        <x:v>1154878548.docx::T2R47C2.1</x:v>
      </x:c>
      <x:c r="O2717" s="39"/>
    </x:row>
    <x:row r="2718">
      <x:c r="A2718" s="34" t="str">
        <x:v>☐</x:v>
      </x:c>
      <x:c r="B2718" s="34" t="str">
        <x:v>EX-2690</x:v>
      </x:c>
      <x:c r="C2718" s="34" t="str">
        <x:v>مطالعه</x:v>
      </x:c>
      <x:c r="D2718" s="34" t="str">
        <x:v>POSSIBLE</x:v>
      </x:c>
      <x:c r="E2718" s="34" t="str">
        <x:v>90.0</x:v>
      </x:c>
      <x:c r="F2718" s="34" t="str">
        <x:v>MI-0358</x:v>
      </x:c>
      <x:c r="G2718" s="39" t="str">
        <x:v>مطالعه توسعه فردی</x:v>
      </x:c>
      <x:c r="H2718" s="39" t="str">
        <x:v>H1</x:v>
      </x:c>
      <x:c r="I2718" s="39" t="str">
        <x:v>BANK</x:v>
      </x:c>
      <x:c r="J2718" s="39" t="str">
        <x:v>H1</x:v>
      </x:c>
      <x:c r="K2718" s="39" t="str">
        <x:v>تطبیق احتمالی با پایه</x:v>
      </x:c>
      <x:c r="L2718" s="39" t="str">
        <x:v>MI-0358</x:v>
      </x:c>
      <x:c r="M2718" s="39" t="str">
        <x:v>مطالعه توسعه فردی</x:v>
      </x:c>
      <x:c r="N2718" s="39" t="str">
        <x:v>1154878548.docx::T4R1C1.1</x:v>
      </x:c>
      <x:c r="O2718" s="39"/>
    </x:row>
    <x:row r="2719">
      <x:c r="A2719" s="34" t="str">
        <x:v>☐</x:v>
      </x:c>
      <x:c r="B2719" s="34" t="str">
        <x:v>EX-2691</x:v>
      </x:c>
      <x:c r="C2719" s="34" t="str">
        <x:v>نوع تحقیق</x:v>
      </x:c>
      <x:c r="D2719" s="34" t="str">
        <x:v>POSSIBLE</x:v>
      </x:c>
      <x:c r="E2719" s="34" t="str">
        <x:v>85.5</x:v>
      </x:c>
      <x:c r="F2719" s="34" t="str">
        <x:v>MI-0796</x:v>
      </x:c>
      <x:c r="G2719" s="39" t="str">
        <x:v>- تغییر نوع برنج مصرفی در سلف (برنج ایرانی به جای خارجی)</x:v>
      </x:c>
      <x:c r="H2719" s="39" t="str">
        <x:v>H11</x:v>
      </x:c>
      <x:c r="I2719" s="39" t="str">
        <x:v>DELEGATE/P2</x:v>
      </x:c>
      <x:c r="J2719" s="39" t="str">
        <x:v>H11</x:v>
      </x:c>
      <x:c r="K2719" s="39" t="str">
        <x:v>تطبیق احتمالی با پایه</x:v>
      </x:c>
      <x:c r="L2719" s="39" t="str">
        <x:v>MI-0796</x:v>
      </x:c>
      <x:c r="M2719" s="39" t="str">
        <x:v>- تغییر نوع برنج مصرفی در سلف (برنج ایرانی به جای خارجی)</x:v>
      </x:c>
      <x:c r="N2719" s="39" t="str">
        <x:v>1154878548.docx::T4R1C2.1</x:v>
      </x:c>
      <x:c r="O2719" s="39"/>
    </x:row>
    <x:row r="2720">
      <x:c r="A2720" s="34" t="str">
        <x:v>☐</x:v>
      </x:c>
      <x:c r="B2720" s="34" t="str">
        <x:v>EX-2692</x:v>
      </x:c>
      <x:c r="C2720" s="34" t="str">
        <x:v>کاربرد صنعتی</x:v>
      </x:c>
      <x:c r="D2720" s="34" t="str">
        <x:v>POSSIBLE</x:v>
      </x:c>
      <x:c r="E2720" s="34" t="str">
        <x:v>90.0</x:v>
      </x:c>
      <x:c r="F2720" s="34" t="str">
        <x:v>MI-2602</x:v>
      </x:c>
      <x:c r="G2720" s="39" t="str">
        <x:v>صنعت</x:v>
      </x:c>
      <x:c r="H2720" s="39" t="str">
        <x:v>H12</x:v>
      </x:c>
      <x:c r="I2720" s="39" t="str">
        <x:v>P2</x:v>
      </x:c>
      <x:c r="J2720" s="39" t="str">
        <x:v>H12</x:v>
      </x:c>
      <x:c r="K2720" s="39" t="str">
        <x:v>تطبیق احتمالی با پایه</x:v>
      </x:c>
      <x:c r="L2720" s="39" t="str">
        <x:v>MI-2602</x:v>
      </x:c>
      <x:c r="M2720" s="39" t="str">
        <x:v>صنعت</x:v>
      </x:c>
      <x:c r="N2720" s="39" t="str">
        <x:v>1154878548.docx::T4R1C3.1</x:v>
      </x:c>
      <x:c r="O2720" s="39"/>
    </x:row>
    <x:row r="2721">
      <x:c r="A2721" s="34" t="str">
        <x:v>☐</x:v>
      </x:c>
      <x:c r="B2721" s="34" t="str">
        <x:v>EX-2693</x:v>
      </x:c>
      <x:c r="C2721" s="34" t="str">
        <x:v>متن کامل بازیابی شد</x:v>
      </x:c>
      <x:c r="D2721" s="34" t="str">
        <x:v>POSSIBLE</x:v>
      </x:c>
      <x:c r="E2721" s="34" t="str">
        <x:v>85.5</x:v>
      </x:c>
      <x:c r="F2721" s="34" t="str">
        <x:v>MI-0277</x:v>
      </x:c>
      <x:c r="G2721" s="39" t="str">
        <x:v>ایپاک رییسش در نوشیروانی فارغ التحصیل شد</x:v>
      </x:c>
      <x:c r="H2721" s="39" t="str">
        <x:v>H10</x:v>
      </x:c>
      <x:c r="I2721" s="39" t="str">
        <x:v>P2</x:v>
      </x:c>
      <x:c r="J2721" s="39" t="str">
        <x:v>H10</x:v>
      </x:c>
      <x:c r="K2721" s="39" t="str">
        <x:v>تطبیق احتمالی با پایه</x:v>
      </x:c>
      <x:c r="L2721" s="39" t="str">
        <x:v>MI-0277</x:v>
      </x:c>
      <x:c r="M2721" s="39" t="str">
        <x:v>ایپاک رییسش در نوشیروانی فارغ التحصیل شد</x:v>
      </x:c>
      <x:c r="N2721" s="39" t="str">
        <x:v>1154878548.docx::T4R1C5.1</x:v>
      </x:c>
      <x:c r="O2721" s="39"/>
    </x:row>
    <x:row r="2722">
      <x:c r="A2722" s="34" t="str">
        <x:v>☐</x:v>
      </x:c>
      <x:c r="B2722" s="34" t="str">
        <x:v>EX-2694</x:v>
      </x:c>
      <x:c r="C2722" s="34" t="str">
        <x:v>کائو و همکاران، 2001</x:v>
      </x:c>
      <x:c r="D2722" s="34" t="str">
        <x:v>POSSIBLE</x:v>
      </x:c>
      <x:c r="E2722" s="34" t="str">
        <x:v>90.0</x:v>
      </x:c>
      <x:c r="F2722" s="34" t="str">
        <x:v>MI-2545</x:v>
      </x:c>
      <x:c r="G2722" s="39" t="str">
        <x:v>کار:</x:v>
      </x:c>
      <x:c r="H2722" s="39" t="str">
        <x:v>H20</x:v>
      </x:c>
      <x:c r="I2722" s="39" t="str">
        <x:v>P3/CLARIFY</x:v>
      </x:c>
      <x:c r="J2722" s="39" t="str">
        <x:v>H20</x:v>
      </x:c>
      <x:c r="K2722" s="39" t="str">
        <x:v>تطبیق احتمالی با پایه</x:v>
      </x:c>
      <x:c r="L2722" s="39" t="str">
        <x:v>MI-2545</x:v>
      </x:c>
      <x:c r="M2722" s="39" t="str">
        <x:v>کار:</x:v>
      </x:c>
      <x:c r="N2722" s="39" t="str">
        <x:v>1154878548.docx::T4R2C1.1</x:v>
      </x:c>
      <x:c r="O2722" s="39"/>
    </x:row>
    <x:row r="2723">
      <x:c r="A2723" s="34" t="str">
        <x:v>☐</x:v>
      </x:c>
      <x:c r="B2723" s="34" t="str">
        <x:v>EX-2695</x:v>
      </x:c>
      <x:c r="C2723" s="34" t="str">
        <x:v>مطالعه نظری</x:v>
      </x:c>
      <x:c r="D2723" s="34" t="str">
        <x:v>POSSIBLE</x:v>
      </x:c>
      <x:c r="E2723" s="34" t="str">
        <x:v>85.5</x:v>
      </x:c>
      <x:c r="F2723" s="34" t="str">
        <x:v>MI-0358</x:v>
      </x:c>
      <x:c r="G2723" s="39" t="str">
        <x:v>مطالعه توسعه فردی</x:v>
      </x:c>
      <x:c r="H2723" s="39" t="str">
        <x:v>H1</x:v>
      </x:c>
      <x:c r="I2723" s="39" t="str">
        <x:v>BANK</x:v>
      </x:c>
      <x:c r="J2723" s="39" t="str">
        <x:v>H1</x:v>
      </x:c>
      <x:c r="K2723" s="39" t="str">
        <x:v>تطبیق احتمالی با پایه</x:v>
      </x:c>
      <x:c r="L2723" s="39" t="str">
        <x:v>MI-0358</x:v>
      </x:c>
      <x:c r="M2723" s="39" t="str">
        <x:v>مطالعه توسعه فردی</x:v>
      </x:c>
      <x:c r="N2723" s="39" t="str">
        <x:v>1154878548.docx::T4R2C2.1</x:v>
      </x:c>
      <x:c r="O2723" s="39"/>
    </x:row>
    <x:row r="2724">
      <x:c r="A2724" s="34" t="str">
        <x:v>☐</x:v>
      </x:c>
      <x:c r="B2724" s="34" t="str">
        <x:v>EX-2696</x:v>
      </x:c>
      <x:c r="C2724" s="34" t="str">
        <x:v>فیلتراسیون عمومی هوا</x:v>
      </x:c>
      <x:c r="D2724" s="34" t="str">
        <x:v>POSSIBLE</x:v>
      </x:c>
      <x:c r="E2724" s="34" t="str">
        <x:v>85.5</x:v>
      </x:c>
      <x:c r="F2724" s="34" t="str">
        <x:v>MI-0167</x:v>
      </x:c>
      <x:c r="G2724" s="39" t="str">
        <x:v>تهویه هوا</x:v>
      </x:c>
      <x:c r="H2724" s="39" t="str">
        <x:v>H6</x:v>
      </x:c>
      <x:c r="I2724" s="39" t="str">
        <x:v>P3/CLARIFY</x:v>
      </x:c>
      <x:c r="J2724" s="39" t="str">
        <x:v>H6</x:v>
      </x:c>
      <x:c r="K2724" s="39" t="str">
        <x:v>تطبیق احتمالی با پایه</x:v>
      </x:c>
      <x:c r="L2724" s="39" t="str">
        <x:v>MI-0167</x:v>
      </x:c>
      <x:c r="M2724" s="39" t="str">
        <x:v>تهویه هوا</x:v>
      </x:c>
      <x:c r="N2724" s="39" t="str">
        <x:v>1154878548.docx::T4R2C3.1</x:v>
      </x:c>
      <x:c r="O2724" s="39"/>
    </x:row>
    <x:row r="2725">
      <x:c r="A2725" s="34" t="str">
        <x:v>☐</x:v>
      </x:c>
      <x:c r="B2725" s="34" t="str">
        <x:v>EX-2697</x:v>
      </x:c>
      <x:c r="C2725" s="34" t="str">
        <x:v>فیلتر طولی دراز شونده توخالی</x:v>
      </x:c>
      <x:c r="D2725" s="34" t="str">
        <x:v>UNMAPPED</x:v>
      </x:c>
      <x:c r="E2725" s="34" t="str">
        <x:v>64.1</x:v>
      </x:c>
      <x:c r="F2725" s="34" t="str">
        <x:v>MI-1286</x:v>
      </x:c>
      <x:c r="G2725" s="39" t="str">
        <x:v>لوستر</x:v>
      </x:c>
      <x:c r="H2725" s="39" t="str">
        <x:v>H12</x:v>
      </x:c>
      <x:c r="I2725" s="39" t="str">
        <x:v>P2</x:v>
      </x:c>
      <x:c r="J2725" s="39" t="str">
        <x:v>H23</x:v>
      </x:c>
      <x:c r="K2725" s="39" t="str">
        <x:v>نیازمند پالایش؛ حذف نشده</x:v>
      </x:c>
      <x:c r="L2725" s="39"/>
      <x:c r="M2725" s="39"/>
      <x:c r="N2725" s="39" t="str">
        <x:v>1154878548.docx::T4R2C4.1</x:v>
      </x:c>
      <x:c r="O2725" s="39"/>
    </x:row>
    <x:row r="2726">
      <x:c r="A2726" s="34" t="str">
        <x:v>☐</x:v>
      </x:c>
      <x:c r="B2726" s="34" t="str">
        <x:v>EX-2698</x:v>
      </x:c>
      <x:c r="C2726" s="34" t="str">
        <x:v>خیر</x:v>
      </x:c>
      <x:c r="D2726" s="34" t="str">
        <x:v>POSSIBLE</x:v>
      </x:c>
      <x:c r="E2726" s="34" t="str">
        <x:v>90.0</x:v>
      </x:c>
      <x:c r="F2726" s="34" t="str">
        <x:v>MI-1321</x:v>
      </x:c>
      <x:c r="G2726" s="39" t="str">
        <x:v>امکان ذخیره سازی</x:v>
      </x:c>
      <x:c r="H2726" s="39" t="str">
        <x:v>H12</x:v>
      </x:c>
      <x:c r="I2726" s="39" t="str">
        <x:v>P2</x:v>
      </x:c>
      <x:c r="J2726" s="39" t="str">
        <x:v>H12</x:v>
      </x:c>
      <x:c r="K2726" s="39" t="str">
        <x:v>تطبیق احتمالی با پایه</x:v>
      </x:c>
      <x:c r="L2726" s="39" t="str">
        <x:v>MI-1321</x:v>
      </x:c>
      <x:c r="M2726" s="39" t="str">
        <x:v>امکان ذخیره سازی</x:v>
      </x:c>
      <x:c r="N2726" s="39" t="str">
        <x:v>1154878548.docx::T4R2C5.1 | 1154878548.docx::T4R3C5.1 | 1154878548.docx::T4R5C5.1 | 1154878548.docx::T4R6C5.1</x:v>
      </x:c>
      <x:c r="O2726" s="39"/>
    </x:row>
    <x:row r="2727">
      <x:c r="A2727" s="34" t="str">
        <x:v>☐</x:v>
      </x:c>
      <x:c r="B2727" s="34" t="str">
        <x:v>EX-2699</x:v>
      </x:c>
      <x:c r="C2727" s="34" t="str">
        <x:v>هاردمان، 2014</x:v>
      </x:c>
      <x:c r="D2727" s="34" t="str">
        <x:v>UNMAPPED</x:v>
      </x:c>
      <x:c r="E2727" s="34" t="str">
        <x:v>67.5</x:v>
      </x:c>
      <x:c r="F2727" s="34" t="str">
        <x:v>MI-0141</x:v>
      </x:c>
      <x:c r="G2727" s="39" t="str">
        <x:v>ادمز</x:v>
      </x:c>
      <x:c r="H2727" s="39" t="str">
        <x:v>H6</x:v>
      </x:c>
      <x:c r="I2727" s="39" t="str">
        <x:v>P3/CLARIFY</x:v>
      </x:c>
      <x:c r="J2727" s="39" t="str">
        <x:v>H23</x:v>
      </x:c>
      <x:c r="K2727" s="39" t="str">
        <x:v>نیازمند پالایش؛ حذف نشده</x:v>
      </x:c>
      <x:c r="L2727" s="39"/>
      <x:c r="M2727" s="39"/>
      <x:c r="N2727" s="39" t="str">
        <x:v>1154878548.docx::T4R3C1.1</x:v>
      </x:c>
      <x:c r="O2727" s="39"/>
    </x:row>
    <x:row r="2728">
      <x:c r="A2728" s="34" t="str">
        <x:v>☐</x:v>
      </x:c>
      <x:c r="B2728" s="34" t="str">
        <x:v>EX-2700</x:v>
      </x:c>
      <x:c r="C2728" s="34" t="str">
        <x:v>بررسی کلی</x:v>
      </x:c>
      <x:c r="D2728" s="34" t="str">
        <x:v>POSSIBLE</x:v>
      </x:c>
      <x:c r="E2728" s="34" t="str">
        <x:v>90.0</x:v>
      </x:c>
      <x:c r="F2728" s="34" t="str">
        <x:v>MI-0888</x:v>
      </x:c>
      <x:c r="G2728" s="39" t="str">
        <x:v>کلی</x:v>
      </x:c>
      <x:c r="H2728" s="39" t="str">
        <x:v>H11</x:v>
      </x:c>
      <x:c r="I2728" s="39" t="str">
        <x:v>DELEGATE/P2</x:v>
      </x:c>
      <x:c r="J2728" s="39" t="str">
        <x:v>H11</x:v>
      </x:c>
      <x:c r="K2728" s="39" t="str">
        <x:v>تطبیق احتمالی با پایه</x:v>
      </x:c>
      <x:c r="L2728" s="39" t="str">
        <x:v>MI-0888</x:v>
      </x:c>
      <x:c r="M2728" s="39" t="str">
        <x:v>کلی</x:v>
      </x:c>
      <x:c r="N2728" s="39" t="str">
        <x:v>1154878548.docx::T4R3C2.1</x:v>
      </x:c>
      <x:c r="O2728" s="39"/>
    </x:row>
    <x:row r="2729">
      <x:c r="A2729" s="34" t="str">
        <x:v>☐</x:v>
      </x:c>
      <x:c r="B2729" s="34" t="str">
        <x:v>EX-2701</x:v>
      </x:c>
      <x:c r="C2729" s="34" t="str">
        <x:v>فیلتراسیون صنعتی، جمع‌آوری گرد و غبار</x:v>
      </x:c>
      <x:c r="D2729" s="34" t="str">
        <x:v>POSSIBLE</x:v>
      </x:c>
      <x:c r="E2729" s="34" t="str">
        <x:v>85.5</x:v>
      </x:c>
      <x:c r="F2729" s="34" t="str">
        <x:v>MI-1513</x:v>
      </x:c>
      <x:c r="G2729" s="39" t="str">
        <x:v>تولید و کارآفرینی: توانایی تولید محصول و خدمات و ایجاد شغل.</x:v>
      </x:c>
      <x:c r="H2729" s="39" t="str">
        <x:v>H1</x:v>
      </x:c>
      <x:c r="I2729" s="39" t="str">
        <x:v>P0</x:v>
      </x:c>
      <x:c r="J2729" s="39" t="str">
        <x:v>H1</x:v>
      </x:c>
      <x:c r="K2729" s="39" t="str">
        <x:v>تطبیق احتمالی با پایه</x:v>
      </x:c>
      <x:c r="L2729" s="39" t="str">
        <x:v>MI-1513</x:v>
      </x:c>
      <x:c r="M2729" s="39" t="str">
        <x:v>تولید و کارآفرینی: توانایی تولید محصول و خدمات و ایجاد شغل.</x:v>
      </x:c>
      <x:c r="N2729" s="39" t="str">
        <x:v>1154878548.docx::T4R3C3.1</x:v>
      </x:c>
      <x:c r="O2729" s="39"/>
    </x:row>
    <x:row r="2730">
      <x:c r="A2730" s="34" t="str">
        <x:v>☐</x:v>
      </x:c>
      <x:c r="B2730" s="34" t="str">
        <x:v>EX-2702</x:v>
      </x:c>
      <x:c r="C2730" s="34" t="str">
        <x:v>مدیای فیلتر پارچه‌ای</x:v>
      </x:c>
      <x:c r="D2730" s="34" t="str">
        <x:v>POSSIBLE</x:v>
      </x:c>
      <x:c r="E2730" s="34" t="str">
        <x:v>85.5</x:v>
      </x:c>
      <x:c r="F2730" s="34" t="str">
        <x:v>MI-2785</x:v>
      </x:c>
      <x:c r="G2730" s="39" t="str">
        <x:v>اگر بخواهی، در مرحله بعد می توانم دو چیز بسیار مهم را هم طراحی کنم که این سند را چند برابر حرفه ای تر و اجرایی تر می کند:</x:v>
      </x:c>
      <x:c r="H2730" s="39" t="str">
        <x:v>H3</x:v>
      </x:c>
      <x:c r="I2730" s="39" t="str">
        <x:v>P3/CLARIFY</x:v>
      </x:c>
      <x:c r="J2730" s="39" t="str">
        <x:v>H3</x:v>
      </x:c>
      <x:c r="K2730" s="39" t="str">
        <x:v>تطبیق احتمالی با پایه</x:v>
      </x:c>
      <x:c r="L2730" s="39" t="str">
        <x:v>MI-2785</x:v>
      </x:c>
      <x:c r="M2730" s="39" t="str">
        <x:v>اگر بخواهی، در مرحله بعد می توانم دو چیز بسیار مهم را هم طراحی کنم که این سند را چند برابر حرفه ای تر و اجرایی تر می کند:</x:v>
      </x:c>
      <x:c r="N2730" s="39" t="str">
        <x:v>1154878548.docx::T4R3C4.1</x:v>
      </x:c>
      <x:c r="O2730" s="39"/>
    </x:row>
    <x:row r="2731">
      <x:c r="A2731" s="34" t="str">
        <x:v>☐</x:v>
      </x:c>
      <x:c r="B2731" s="34" t="str">
        <x:v>EX-2703</x:v>
      </x:c>
      <x:c r="C2731" s="34" t="str">
        <x:v>جولیانتو و حنیفی، 2021</x:v>
      </x:c>
      <x:c r="D2731" s="34" t="str">
        <x:v>POSSIBLE</x:v>
      </x:c>
      <x:c r="E2731" s="34" t="str">
        <x:v>85.5</x:v>
      </x:c>
      <x:c r="F2731" s="34" t="str">
        <x:v>MI-1513</x:v>
      </x:c>
      <x:c r="G2731" s="39" t="str">
        <x:v>تولید و کارآفرینی: توانایی تولید محصول و خدمات و ایجاد شغل.</x:v>
      </x:c>
      <x:c r="H2731" s="39" t="str">
        <x:v>H1</x:v>
      </x:c>
      <x:c r="I2731" s="39" t="str">
        <x:v>P0</x:v>
      </x:c>
      <x:c r="J2731" s="39" t="str">
        <x:v>H1</x:v>
      </x:c>
      <x:c r="K2731" s="39" t="str">
        <x:v>تطبیق احتمالی با پایه</x:v>
      </x:c>
      <x:c r="L2731" s="39" t="str">
        <x:v>MI-1513</x:v>
      </x:c>
      <x:c r="M2731" s="39" t="str">
        <x:v>تولید و کارآفرینی: توانایی تولید محصول و خدمات و ایجاد شغل.</x:v>
      </x:c>
      <x:c r="N2731" s="39" t="str">
        <x:v>1154878548.docx::T4R4C1.1</x:v>
      </x:c>
      <x:c r="O2731" s="39"/>
    </x:row>
    <x:row r="2732">
      <x:c r="A2732" s="34" t="str">
        <x:v>☐</x:v>
      </x:c>
      <x:c r="B2732" s="34" t="str">
        <x:v>EX-2704</x:v>
      </x:c>
      <x:c r="C2732" s="34" t="str">
        <x:v>مطالعه طراحی</x:v>
      </x:c>
      <x:c r="D2732" s="34" t="str">
        <x:v>POSSIBLE</x:v>
      </x:c>
      <x:c r="E2732" s="34" t="str">
        <x:v>85.5</x:v>
      </x:c>
      <x:c r="F2732" s="34" t="str">
        <x:v>MI-1678</x:v>
      </x:c>
      <x:c r="G2732" s="39" t="str">
        <x:v>اگر درست طراحی شود، مازندران می تواند تبدیل شود به:</x:v>
      </x:c>
      <x:c r="H2732" s="39" t="str">
        <x:v>H2</x:v>
      </x:c>
      <x:c r="I2732" s="39" t="str">
        <x:v>P3/CLARIFY</x:v>
      </x:c>
      <x:c r="J2732" s="39" t="str">
        <x:v>H2</x:v>
      </x:c>
      <x:c r="K2732" s="39" t="str">
        <x:v>تطبیق احتمالی با پایه</x:v>
      </x:c>
      <x:c r="L2732" s="39" t="str">
        <x:v>MI-1678</x:v>
      </x:c>
      <x:c r="M2732" s="39" t="str">
        <x:v>اگر درست طراحی شود، مازندران می تواند تبدیل شود به:</x:v>
      </x:c>
      <x:c r="N2732" s="39" t="str">
        <x:v>1154878548.docx::T4R4C2.1</x:v>
      </x:c>
      <x:c r="O2732" s="39"/>
    </x:row>
    <x:row r="2733">
      <x:c r="A2733" s="34" t="str">
        <x:v>☐</x:v>
      </x:c>
      <x:c r="B2733" s="34" t="str">
        <x:v>EX-2705</x:v>
      </x:c>
      <x:c r="C2733" s="34" t="str">
        <x:v>تمیزکاری صنعتی</x:v>
      </x:c>
      <x:c r="D2733" s="34" t="str">
        <x:v>POSSIBLE</x:v>
      </x:c>
      <x:c r="E2733" s="34" t="str">
        <x:v>90.0</x:v>
      </x:c>
      <x:c r="F2733" s="34" t="str">
        <x:v>MI-2602</x:v>
      </x:c>
      <x:c r="G2733" s="39" t="str">
        <x:v>صنعت</x:v>
      </x:c>
      <x:c r="H2733" s="39" t="str">
        <x:v>H12</x:v>
      </x:c>
      <x:c r="I2733" s="39" t="str">
        <x:v>P2</x:v>
      </x:c>
      <x:c r="J2733" s="39" t="str">
        <x:v>H12</x:v>
      </x:c>
      <x:c r="K2733" s="39" t="str">
        <x:v>تطبیق احتمالی با پایه</x:v>
      </x:c>
      <x:c r="L2733" s="39" t="str">
        <x:v>MI-2602</x:v>
      </x:c>
      <x:c r="M2733" s="39" t="str">
        <x:v>صنعت</x:v>
      </x:c>
      <x:c r="N2733" s="39" t="str">
        <x:v>1154878548.docx::T4R4C3.1</x:v>
      </x:c>
      <x:c r="O2733" s="39"/>
    </x:row>
    <x:row r="2734">
      <x:c r="A2734" s="34" t="str">
        <x:v>☐</x:v>
      </x:c>
      <x:c r="B2734" s="34" t="str">
        <x:v>EX-2706</x:v>
      </x:c>
      <x:c r="C2734" s="34" t="str">
        <x:v>جاروبرقی هوای فشرده با استفاده از اثر ونتوری</x:v>
      </x:c>
      <x:c r="D2734" s="34" t="str">
        <x:v>POSSIBLE</x:v>
      </x:c>
      <x:c r="E2734" s="34" t="str">
        <x:v>90.0</x:v>
      </x:c>
      <x:c r="F2734" s="34" t="str">
        <x:v>MI-2578</x:v>
      </x:c>
      <x:c r="G2734" s="39" t="str">
        <x:v>با استفاده از:</x:v>
      </x:c>
      <x:c r="H2734" s="39" t="str">
        <x:v>H20</x:v>
      </x:c>
      <x:c r="I2734" s="39" t="str">
        <x:v>P3/CLARIFY</x:v>
      </x:c>
      <x:c r="J2734" s="39" t="str">
        <x:v>H20</x:v>
      </x:c>
      <x:c r="K2734" s="39" t="str">
        <x:v>تطبیق احتمالی با پایه</x:v>
      </x:c>
      <x:c r="L2734" s="39" t="str">
        <x:v>MI-2578</x:v>
      </x:c>
      <x:c r="M2734" s="39" t="str">
        <x:v>با استفاده از:</x:v>
      </x:c>
      <x:c r="N2734" s="39" t="str">
        <x:v>1154878548.docx::T4R4C4.1</x:v>
      </x:c>
      <x:c r="O2734" s="39"/>
    </x:row>
    <x:row r="2735">
      <x:c r="A2735" s="34" t="str">
        <x:v>☐</x:v>
      </x:c>
      <x:c r="B2735" s="34" t="str">
        <x:v>EX-2707</x:v>
      </x:c>
      <x:c r="C2735" s="34" t="str">
        <x:v>تراکوماس و همکاران، 2001</x:v>
      </x:c>
      <x:c r="D2735" s="34" t="str">
        <x:v>POSSIBLE</x:v>
      </x:c>
      <x:c r="E2735" s="34" t="str">
        <x:v>90.0</x:v>
      </x:c>
      <x:c r="F2735" s="34" t="str">
        <x:v>MI-2545</x:v>
      </x:c>
      <x:c r="G2735" s="39" t="str">
        <x:v>کار:</x:v>
      </x:c>
      <x:c r="H2735" s="39" t="str">
        <x:v>H20</x:v>
      </x:c>
      <x:c r="I2735" s="39" t="str">
        <x:v>P3/CLARIFY</x:v>
      </x:c>
      <x:c r="J2735" s="39" t="str">
        <x:v>H20</x:v>
      </x:c>
      <x:c r="K2735" s="39" t="str">
        <x:v>تطبیق احتمالی با پایه</x:v>
      </x:c>
      <x:c r="L2735" s="39" t="str">
        <x:v>MI-2545</x:v>
      </x:c>
      <x:c r="M2735" s="39" t="str">
        <x:v>کار:</x:v>
      </x:c>
      <x:c r="N2735" s="39" t="str">
        <x:v>1154878548.docx::T4R5C1.1</x:v>
      </x:c>
      <x:c r="O2735" s="39"/>
    </x:row>
    <x:row r="2736">
      <x:c r="A2736" s="34" t="str">
        <x:v>☐</x:v>
      </x:c>
      <x:c r="B2736" s="34" t="str">
        <x:v>EX-2708</x:v>
      </x:c>
      <x:c r="C2736" s="34" t="str">
        <x:v>مطالعه مقایسه‌ای</x:v>
      </x:c>
      <x:c r="D2736" s="34" t="str">
        <x:v>POSSIBLE</x:v>
      </x:c>
      <x:c r="E2736" s="34" t="str">
        <x:v>85.5</x:v>
      </x:c>
      <x:c r="F2736" s="34" t="str">
        <x:v>MI-2785</x:v>
      </x:c>
      <x:c r="G2736" s="39" t="str">
        <x:v>اگر بخواهی، در مرحله بعد می توانم دو چیز بسیار مهم را هم طراحی کنم که این سند را چند برابر حرفه ای تر و اجرایی تر می کند:</x:v>
      </x:c>
      <x:c r="H2736" s="39" t="str">
        <x:v>H3</x:v>
      </x:c>
      <x:c r="I2736" s="39" t="str">
        <x:v>P3/CLARIFY</x:v>
      </x:c>
      <x:c r="J2736" s="39" t="str">
        <x:v>H3</x:v>
      </x:c>
      <x:c r="K2736" s="39" t="str">
        <x:v>تطبیق احتمالی با پایه</x:v>
      </x:c>
      <x:c r="L2736" s="39" t="str">
        <x:v>MI-2785</x:v>
      </x:c>
      <x:c r="M2736" s="39" t="str">
        <x:v>اگر بخواهی، در مرحله بعد می توانم دو چیز بسیار مهم را هم طراحی کنم که این سند را چند برابر حرفه ای تر و اجرایی تر می کند:</x:v>
      </x:c>
      <x:c r="N2736" s="39" t="str">
        <x:v>1154878548.docx::T4R5C2.1</x:v>
      </x:c>
      <x:c r="O2736" s="39"/>
    </x:row>
    <x:row r="2737">
      <x:c r="A2737" s="34" t="str">
        <x:v>☐</x:v>
      </x:c>
      <x:c r="B2737" s="34" t="str">
        <x:v>EX-2709</x:v>
      </x:c>
      <x:c r="C2737" s="34" t="str">
        <x:v>تمیزکاری صنعتی و خانگی</x:v>
      </x:c>
      <x:c r="D2737" s="34" t="str">
        <x:v>POSSIBLE</x:v>
      </x:c>
      <x:c r="E2737" s="34" t="str">
        <x:v>90.0</x:v>
      </x:c>
      <x:c r="F2737" s="34" t="str">
        <x:v>MI-2602</x:v>
      </x:c>
      <x:c r="G2737" s="39" t="str">
        <x:v>صنعت</x:v>
      </x:c>
      <x:c r="H2737" s="39" t="str">
        <x:v>H12</x:v>
      </x:c>
      <x:c r="I2737" s="39" t="str">
        <x:v>P2</x:v>
      </x:c>
      <x:c r="J2737" s="39" t="str">
        <x:v>H12</x:v>
      </x:c>
      <x:c r="K2737" s="39" t="str">
        <x:v>تطبیق احتمالی با پایه</x:v>
      </x:c>
      <x:c r="L2737" s="39" t="str">
        <x:v>MI-2602</x:v>
      </x:c>
      <x:c r="M2737" s="39" t="str">
        <x:v>صنعت</x:v>
      </x:c>
      <x:c r="N2737" s="39" t="str">
        <x:v>1154878548.docx::T4R5C3.1 | 1154878548.docx::T4R6C3.1</x:v>
      </x:c>
      <x:c r="O2737" s="39"/>
    </x:row>
    <x:row r="2738">
      <x:c r="A2738" s="34" t="str">
        <x:v>☐</x:v>
      </x:c>
      <x:c r="B2738" s="34" t="str">
        <x:v>EX-2710</x:v>
      </x:c>
      <x:c r="C2738" s="34" t="str">
        <x:v>ویلکه و همکاران، 2001</x:v>
      </x:c>
      <x:c r="D2738" s="34" t="str">
        <x:v>POSSIBLE</x:v>
      </x:c>
      <x:c r="E2738" s="34" t="str">
        <x:v>90.0</x:v>
      </x:c>
      <x:c r="F2738" s="34" t="str">
        <x:v>MI-2545</x:v>
      </x:c>
      <x:c r="G2738" s="39" t="str">
        <x:v>کار:</x:v>
      </x:c>
      <x:c r="H2738" s="39" t="str">
        <x:v>H20</x:v>
      </x:c>
      <x:c r="I2738" s="39" t="str">
        <x:v>P3/CLARIFY</x:v>
      </x:c>
      <x:c r="J2738" s="39" t="str">
        <x:v>H20</x:v>
      </x:c>
      <x:c r="K2738" s="39" t="str">
        <x:v>تطبیق احتمالی با پایه</x:v>
      </x:c>
      <x:c r="L2738" s="39" t="str">
        <x:v>MI-2545</x:v>
      </x:c>
      <x:c r="M2738" s="39" t="str">
        <x:v>کار:</x:v>
      </x:c>
      <x:c r="N2738" s="39" t="str">
        <x:v>1154878548.docx::T4R6C1.1</x:v>
      </x:c>
      <x:c r="O2738" s="39"/>
    </x:row>
    <x:row r="2739">
      <x:c r="A2739" s="34" t="str">
        <x:v>☐</x:v>
      </x:c>
      <x:c r="B2739" s="34" t="str">
        <x:v>EX-2711</x:v>
      </x:c>
      <x:c r="C2739" s="34" t="str">
        <x:v>مطالعه تجربی</x:v>
      </x:c>
      <x:c r="D2739" s="34" t="str">
        <x:v>POSSIBLE</x:v>
      </x:c>
      <x:c r="E2739" s="34" t="str">
        <x:v>85.5</x:v>
      </x:c>
      <x:c r="F2739" s="34" t="str">
        <x:v>MI-0693</x:v>
      </x:c>
      <x:c r="G2739" s="39" t="str">
        <x:v>دوربین مدار بسته سالن مطالعه کتابخانه سردار و سالن های مطالعه خوابگاه ها</x:v>
      </x:c>
      <x:c r="H2739" s="39" t="str">
        <x:v>H11</x:v>
      </x:c>
      <x:c r="I2739" s="39" t="str">
        <x:v>BANK</x:v>
      </x:c>
      <x:c r="J2739" s="39" t="str">
        <x:v>H11</x:v>
      </x:c>
      <x:c r="K2739" s="39" t="str">
        <x:v>تطبیق احتمالی با پایه</x:v>
      </x:c>
      <x:c r="L2739" s="39" t="str">
        <x:v>MI-0693</x:v>
      </x:c>
      <x:c r="M2739" s="39" t="str">
        <x:v>دوربین مدار بسته سالن مطالعه کتابخانه سردار و سالن های مطالعه خوابگاه ها</x:v>
      </x:c>
      <x:c r="N2739" s="39" t="str">
        <x:v>1154878548.docx::T4R6C2.1</x:v>
      </x:c>
      <x:c r="O2739" s="39"/>
    </x:row>
    <x:row r="2740">
      <x:c r="A2740" s="34" t="str">
        <x:v>☐</x:v>
      </x:c>
      <x:c r="B2740" s="34" t="str">
        <x:v>EX-2712</x:v>
      </x:c>
      <x:c r="C2740" s="34" t="str">
        <x:v>روش‌های تست کارایی فیلتراسیون</x:v>
      </x:c>
      <x:c r="D2740" s="34" t="str">
        <x:v>POSSIBLE</x:v>
      </x:c>
      <x:c r="E2740" s="34" t="str">
        <x:v>85.5</x:v>
      </x:c>
      <x:c r="F2740" s="34" t="str">
        <x:v>MI-1501</x:v>
      </x:c>
      <x:c r="G2740" s="39" t="str">
        <x:v>مدیریت ریسک: شناسایی ریسک ها، ارزیابی اثرات، تدوین برنامه های مقابله با ریسک ها.</x:v>
      </x:c>
      <x:c r="H2740" s="39" t="str">
        <x:v>H1</x:v>
      </x:c>
      <x:c r="I2740" s="39" t="str">
        <x:v>P0</x:v>
      </x:c>
      <x:c r="J2740" s="39" t="str">
        <x:v>H1</x:v>
      </x:c>
      <x:c r="K2740" s="39" t="str">
        <x:v>تطبیق احتمالی با پایه</x:v>
      </x:c>
      <x:c r="L2740" s="39" t="str">
        <x:v>MI-1501</x:v>
      </x:c>
      <x:c r="M2740" s="39" t="str">
        <x:v>مدیریت ریسک: شناسایی ریسک ها، ارزیابی اثرات، تدوین برنامه های مقابله با ریسک ها.</x:v>
      </x:c>
      <x:c r="N2740" s="39" t="str">
        <x:v>1154878548.docx::T4R6C4.1</x:v>
      </x:c>
      <x:c r="O2740" s="39"/>
    </x:row>
    <x:row r="2741">
      <x:c r="A2741" s="34" t="str">
        <x:v>☐</x:v>
      </x:c>
      <x:c r="B2741" s="34" t="str">
        <x:v>EX-2713</x:v>
      </x:c>
      <x:c r="C2741" s="34" t="str">
        <x:v>فرم اطلاعات نتایج آزمونها (تحصیلی)</x:v>
      </x:c>
      <x:c r="D2741" s="34" t="str">
        <x:v>POSSIBLE</x:v>
      </x:c>
      <x:c r="E2741" s="34" t="str">
        <x:v>90.0</x:v>
      </x:c>
      <x:c r="F2741" s="34" t="str">
        <x:v>MI-1733</x:v>
      </x:c>
      <x:c r="G2741" s="39" t="str">
        <x:v>اطلاعات</x:v>
      </x:c>
      <x:c r="H2741" s="39" t="str">
        <x:v>H20</x:v>
      </x:c>
      <x:c r="I2741" s="39" t="str">
        <x:v>P3/CLARIFY</x:v>
      </x:c>
      <x:c r="J2741" s="39" t="str">
        <x:v>H20</x:v>
      </x:c>
      <x:c r="K2741" s="39" t="str">
        <x:v>تطبیق احتمالی با پایه</x:v>
      </x:c>
      <x:c r="L2741" s="39" t="str">
        <x:v>MI-1733</x:v>
      </x:c>
      <x:c r="M2741" s="39" t="str">
        <x:v>اطلاعات</x:v>
      </x:c>
      <x:c r="N2741" s="39" t="str">
        <x:v>فرم_اطلاعات_نتایج_آزمونها_تحصیلی (1).xlsx::فرم نتایج تست ها!M2</x:v>
      </x:c>
      <x:c r="O2741" s="39"/>
    </x:row>
    <x:row r="2742">
      <x:c r="A2742" s="34" t="str">
        <x:v>☐</x:v>
      </x:c>
      <x:c r="B2742" s="34" t="str">
        <x:v>EX-2714</x:v>
      </x:c>
      <x:c r="C2742" s="34" t="str">
        <x:v>مشخصات فردي متقاضی</x:v>
      </x:c>
      <x:c r="D2742" s="34" t="str">
        <x:v>POSSIBLE</x:v>
      </x:c>
      <x:c r="E2742" s="34" t="str">
        <x:v>85.5</x:v>
      </x:c>
      <x:c r="F2742" s="34" t="str">
        <x:v>MI-1461</x:v>
      </x:c>
      <x:c r="G2742" s="39" t="str">
        <x:v>مهارت های ارتباطی و بین فردی</x:v>
      </x:c>
      <x:c r="H2742" s="39" t="str">
        <x:v>H1</x:v>
      </x:c>
      <x:c r="I2742" s="39" t="str">
        <x:v>P0</x:v>
      </x:c>
      <x:c r="J2742" s="39" t="str">
        <x:v>H1</x:v>
      </x:c>
      <x:c r="K2742" s="39" t="str">
        <x:v>تطبیق احتمالی با پایه</x:v>
      </x:c>
      <x:c r="L2742" s="39" t="str">
        <x:v>MI-1461</x:v>
      </x:c>
      <x:c r="M2742" s="39" t="str">
        <x:v>مهارت های ارتباطی و بین فردی</x:v>
      </x:c>
      <x:c r="N2742" s="39" t="str">
        <x:v>فرم_اطلاعات_نتایج_آزمونها_تحصیلی (1).xlsx::فرم نتایج تست ها!AF2</x:v>
      </x:c>
      <x:c r="O2742" s="39"/>
    </x:row>
    <x:row r="2743">
      <x:c r="A2743" s="34" t="str">
        <x:v>☐</x:v>
      </x:c>
      <x:c r="B2743" s="34" t="str">
        <x:v>EX-2715</x:v>
      </x:c>
      <x:c r="C2743" s="34" t="str">
        <x:v>1405/03/18</x:v>
      </x:c>
      <x:c r="D2743" s="34" t="str">
        <x:v>UNMAPPED</x:v>
      </x:c>
      <x:c r="E2743" s="34" t="str">
        <x:v>51.4</x:v>
      </x:c>
      <x:c r="F2743" s="34" t="str">
        <x:v>MI-0724</x:v>
      </x:c>
      <x:c r="G2743" s="39" t="str">
        <x:v>100 میلیون تومن پیگری سوخته سرا برای تجهیز باشگاه کشتی سالن</x:v>
      </x:c>
      <x:c r="H2743" s="39" t="str">
        <x:v>H11</x:v>
      </x:c>
      <x:c r="I2743" s="39" t="str">
        <x:v>DELEGATE/P2</x:v>
      </x:c>
      <x:c r="J2743" s="39" t="str">
        <x:v>H23</x:v>
      </x:c>
      <x:c r="K2743" s="39" t="str">
        <x:v>نیازمند پالایش؛ حذف نشده</x:v>
      </x:c>
      <x:c r="L2743" s="39"/>
      <x:c r="M2743" s="39"/>
      <x:c r="N2743" s="39" t="str">
        <x:v>فرم_اطلاعات_نتایج_آزمونها_تحصیلی (1).xlsx::فرم نتایج تست ها!E3</x:v>
      </x:c>
      <x:c r="O2743" s="39"/>
    </x:row>
    <x:row r="2744">
      <x:c r="A2744" s="34" t="str">
        <x:v>☐</x:v>
      </x:c>
      <x:c r="B2744" s="34" t="str">
        <x:v>EX-2716</x:v>
      </x:c>
      <x:c r="C2744" s="34" t="str">
        <x:v>تاریخ :</x:v>
      </x:c>
      <x:c r="D2744" s="34" t="str">
        <x:v>POSSIBLE</x:v>
      </x:c>
      <x:c r="E2744" s="34" t="str">
        <x:v>90.9</x:v>
      </x:c>
      <x:c r="F2744" s="34" t="str">
        <x:v>MI-1417</x:v>
      </x:c>
      <x:c r="G2744" s="39" t="str">
        <x:v>تاریخی</x:v>
      </x:c>
      <x:c r="H2744" s="39" t="str">
        <x:v>H15</x:v>
      </x:c>
      <x:c r="I2744" s="39" t="str">
        <x:v>BANK</x:v>
      </x:c>
      <x:c r="J2744" s="39" t="str">
        <x:v>H15</x:v>
      </x:c>
      <x:c r="K2744" s="39" t="str">
        <x:v>تطبیق احتمالی با پایه</x:v>
      </x:c>
      <x:c r="L2744" s="39" t="str">
        <x:v>MI-1417</x:v>
      </x:c>
      <x:c r="M2744" s="39" t="str">
        <x:v>تاریخی</x:v>
      </x:c>
      <x:c r="N2744" s="39" t="str">
        <x:v>فرم_اطلاعات_نتایج_آزمونها_تحصیلی (1).xlsx::فرم نتایج تست ها!I3</x:v>
      </x:c>
      <x:c r="O2744" s="39"/>
    </x:row>
    <x:row r="2745">
      <x:c r="A2745" s="34" t="str">
        <x:v>☐</x:v>
      </x:c>
      <x:c r="B2745" s="34" t="str">
        <x:v>EX-2717</x:v>
      </x:c>
      <x:c r="C2745" s="34" t="str">
        <x:v>1380</x:v>
      </x:c>
      <x:c r="D2745" s="34" t="str">
        <x:v>UNMAPPED</x:v>
      </x:c>
      <x:c r="E2745" s="34" t="str">
        <x:v>60.0</x:v>
      </x:c>
      <x:c r="F2745" s="34" t="str">
        <x:v>MI-2559</x:v>
      </x:c>
      <x:c r="G2745" s="39" t="str">
        <x:v>10. اتصال به سرمایه</x:v>
      </x:c>
      <x:c r="H2745" s="39" t="str">
        <x:v>H8</x:v>
      </x:c>
      <x:c r="I2745" s="39" t="str">
        <x:v>P2</x:v>
      </x:c>
      <x:c r="J2745" s="39" t="str">
        <x:v>STRUCT</x:v>
      </x:c>
      <x:c r="K2745" s="39" t="str">
        <x:v>ساختار/برچسب</x:v>
      </x:c>
      <x:c r="L2745" s="39"/>
      <x:c r="M2745" s="39"/>
      <x:c r="N2745" s="39" t="str">
        <x:v>فرم_اطلاعات_نتایج_آزمونها_تحصیلی (1).xlsx::فرم نتایج تست ها!M3</x:v>
      </x:c>
      <x:c r="O2745" s="39"/>
    </x:row>
    <x:row r="2746">
      <x:c r="A2746" s="34" t="str">
        <x:v>☐</x:v>
      </x:c>
      <x:c r="B2746" s="34" t="str">
        <x:v>EX-2718</x:v>
      </x:c>
      <x:c r="C2746" s="34" t="str">
        <x:v>سال تولد:</x:v>
      </x:c>
      <x:c r="D2746" s="34" t="str">
        <x:v>UNMAPPED</x:v>
      </x:c>
      <x:c r="E2746" s="34" t="str">
        <x:v>78.8</x:v>
      </x:c>
      <x:c r="F2746" s="34" t="str">
        <x:v>MI-1234</x:v>
      </x:c>
      <x:c r="G2746" s="39" t="str">
        <x:v>کانال تولید محتوا</x:v>
      </x:c>
      <x:c r="H2746" s="39" t="str">
        <x:v>H12</x:v>
      </x:c>
      <x:c r="I2746" s="39" t="str">
        <x:v>P2</x:v>
      </x:c>
      <x:c r="J2746" s="39" t="str">
        <x:v>H23</x:v>
      </x:c>
      <x:c r="K2746" s="39" t="str">
        <x:v>نیازمند پالایش؛ حذف نشده</x:v>
      </x:c>
      <x:c r="L2746" s="39"/>
      <x:c r="M2746" s="39"/>
      <x:c r="N2746" s="39" t="str">
        <x:v>فرم_اطلاعات_نتایج_آزمونها_تحصیلی (1).xlsx::فرم نتایج تست ها!P3</x:v>
      </x:c>
      <x:c r="O2746" s="39"/>
    </x:row>
    <x:row r="2747">
      <x:c r="A2747" s="34" t="str">
        <x:v>☐</x:v>
      </x:c>
      <x:c r="B2747" s="34" t="str">
        <x:v>EX-2719</x:v>
      </x:c>
      <x:c r="C2747" s="34" t="str">
        <x:v>محمد شجاع پور</x:v>
      </x:c>
      <x:c r="D2747" s="34" t="str">
        <x:v>POSSIBLE</x:v>
      </x:c>
      <x:c r="E2747" s="34" t="str">
        <x:v>85.5</x:v>
      </x:c>
      <x:c r="F2747" s="34" t="str">
        <x:v>MI-1020</x:v>
      </x:c>
      <x:c r="G2747" s="39" t="str">
        <x:v>اطلاعیه نتایج جلسه با عمران پور و دردل و معانین آموزشی</x:v>
      </x:c>
      <x:c r="H2747" s="39" t="str">
        <x:v>H14</x:v>
      </x:c>
      <x:c r="I2747" s="39" t="str">
        <x:v>P3</x:v>
      </x:c>
      <x:c r="J2747" s="39" t="str">
        <x:v>H14</x:v>
      </x:c>
      <x:c r="K2747" s="39" t="str">
        <x:v>تطبیق احتمالی با پایه</x:v>
      </x:c>
      <x:c r="L2747" s="39" t="str">
        <x:v>MI-1020</x:v>
      </x:c>
      <x:c r="M2747" s="39" t="str">
        <x:v>اطلاعیه نتایج جلسه با عمران پور و دردل و معانین آموزشی</x:v>
      </x:c>
      <x:c r="N2747" s="39" t="str">
        <x:v>فرم_اطلاعات_نتایج_آزمونها_تحصیلی (1).xlsx::فرم نتایج تست ها!T3</x:v>
      </x:c>
      <x:c r="O2747" s="39"/>
    </x:row>
    <x:row r="2748">
      <x:c r="A2748" s="34" t="str">
        <x:v>☐</x:v>
      </x:c>
      <x:c r="B2748" s="34" t="str">
        <x:v>EX-2720</x:v>
      </x:c>
      <x:c r="C2748" s="34" t="str">
        <x:v>نام و نام خانوادگي:</x:v>
      </x:c>
      <x:c r="D2748" s="34" t="str">
        <x:v>POSSIBLE</x:v>
      </x:c>
      <x:c r="E2748" s="34" t="str">
        <x:v>85.5</x:v>
      </x:c>
      <x:c r="F2748" s="34" t="str">
        <x:v>MI-1513</x:v>
      </x:c>
      <x:c r="G2748" s="39" t="str">
        <x:v>تولید و کارآفرینی: توانایی تولید محصول و خدمات و ایجاد شغل.</x:v>
      </x:c>
      <x:c r="H2748" s="39" t="str">
        <x:v>H1</x:v>
      </x:c>
      <x:c r="I2748" s="39" t="str">
        <x:v>P0</x:v>
      </x:c>
      <x:c r="J2748" s="39" t="str">
        <x:v>H1</x:v>
      </x:c>
      <x:c r="K2748" s="39" t="str">
        <x:v>تطبیق احتمالی با پایه</x:v>
      </x:c>
      <x:c r="L2748" s="39" t="str">
        <x:v>MI-1513</x:v>
      </x:c>
      <x:c r="M2748" s="39" t="str">
        <x:v>تولید و کارآفرینی: توانایی تولید محصول و خدمات و ایجاد شغل.</x:v>
      </x:c>
      <x:c r="N2748" s="39" t="str">
        <x:v>فرم_اطلاعات_نتایج_آزمونها_تحصیلی (1).xlsx::فرم نتایج تست ها!Z3</x:v>
      </x:c>
      <x:c r="O2748" s="39"/>
    </x:row>
    <x:row r="2749">
      <x:c r="A2749" s="34" t="str">
        <x:v>☐</x:v>
      </x:c>
      <x:c r="B2749" s="34" t="str">
        <x:v>EX-2721</x:v>
      </x:c>
      <x:c r="C2749" s="34" t="str">
        <x:v>www.SinaTalent.com</x:v>
      </x:c>
      <x:c r="D2749" s="34" t="str">
        <x:v>POSSIBLE</x:v>
      </x:c>
      <x:c r="E2749" s="34" t="str">
        <x:v>85.5</x:v>
      </x:c>
      <x:c r="F2749" s="34" t="str">
        <x:v>MI-0161</x:v>
      </x:c>
      <x:c r="G2749" s="39" t="str">
        <x:v>N&amp;N</x:v>
      </x:c>
      <x:c r="H2749" s="39" t="str">
        <x:v>H23</x:v>
      </x:c>
      <x:c r="I2749" s="39" t="str">
        <x:v>P3/CLARIFY</x:v>
      </x:c>
      <x:c r="J2749" s="39" t="str">
        <x:v>H23</x:v>
      </x:c>
      <x:c r="K2749" s="39" t="str">
        <x:v>تطبیق احتمالی با پایه</x:v>
      </x:c>
      <x:c r="L2749" s="39" t="str">
        <x:v>MI-0161</x:v>
      </x:c>
      <x:c r="M2749" s="39" t="str">
        <x:v>N&amp;N</x:v>
      </x:c>
      <x:c r="N2749" s="39" t="str">
        <x:v>فرم_اطلاعات_نتایج_آزمونها_تحصیلی (1).xlsx::فرم نتایج تست ها!A4</x:v>
      </x:c>
      <x:c r="O2749" s="39"/>
    </x:row>
    <x:row r="2750">
      <x:c r="A2750" s="34" t="str">
        <x:v>☐</x:v>
      </x:c>
      <x:c r="B2750" s="34" t="str">
        <x:v>EX-2722</x:v>
      </x:c>
      <x:c r="C2750" s="34" t="str">
        <x:v>ابعاد دیسک</x:v>
      </x:c>
      <x:c r="D2750" s="34" t="str">
        <x:v>UNMAPPED</x:v>
      </x:c>
      <x:c r="E2750" s="34" t="str">
        <x:v>76.2</x:v>
      </x:c>
      <x:c r="F2750" s="34" t="str">
        <x:v>MI-1555</x:v>
      </x:c>
      <x:c r="G2750" s="39" t="str">
        <x:v>ابعاد جهادی</x:v>
      </x:c>
      <x:c r="H2750" s="39" t="str">
        <x:v>H23</x:v>
      </x:c>
      <x:c r="I2750" s="39" t="str">
        <x:v>P3/CLARIFY</x:v>
      </x:c>
      <x:c r="J2750" s="39" t="str">
        <x:v>H23</x:v>
      </x:c>
      <x:c r="K2750" s="39" t="str">
        <x:v>نیازمند پالایش؛ حذف نشده</x:v>
      </x:c>
      <x:c r="L2750" s="39"/>
      <x:c r="M2750" s="39"/>
      <x:c r="N2750" s="39" t="str">
        <x:v>فرم_اطلاعات_نتایج_آزمونها_تحصیلی (1).xlsx::فرم نتایج تست ها!B6 | فرم_اطلاعات_نتایج_آزمونها_تحصیلی (1).xlsx::فرم نتایج تست ها!B11 | فرم_اطلاعات_نتایج_آزمونها_تحصیلی (1).xlsx::فرم نتایج تست ها!B16</x:v>
      </x:c>
      <x:c r="O2750" s="39"/>
    </x:row>
    <x:row r="2751">
      <x:c r="A2751" s="34" t="str">
        <x:v>☐</x:v>
      </x:c>
      <x:c r="B2751" s="34" t="str">
        <x:v>EX-2723</x:v>
      </x:c>
      <x:c r="C2751" s="34" t="str">
        <x:v>I</x:v>
      </x:c>
      <x:c r="D2751" s="34" t="str">
        <x:v>POSSIBLE</x:v>
      </x:c>
      <x:c r="E2751" s="34" t="str">
        <x:v>90.0</x:v>
      </x:c>
      <x:c r="F2751" s="34" t="str">
        <x:v>MI-0162</x:v>
      </x:c>
      <x:c r="G2751" s="39" t="str">
        <x:v>SIMULINK</x:v>
      </x:c>
      <x:c r="H2751" s="39" t="str">
        <x:v>H1</x:v>
      </x:c>
      <x:c r="I2751" s="39" t="str">
        <x:v>P0</x:v>
      </x:c>
      <x:c r="J2751" s="39" t="str">
        <x:v>H1</x:v>
      </x:c>
      <x:c r="K2751" s="39" t="str">
        <x:v>تطبیق احتمالی با پایه</x:v>
      </x:c>
      <x:c r="L2751" s="39" t="str">
        <x:v>MI-0162</x:v>
      </x:c>
      <x:c r="M2751" s="39" t="str">
        <x:v>SIMULINK</x:v>
      </x:c>
      <x:c r="N2751" s="39" t="str">
        <x:v>فرم_اطلاعات_نتایج_آزمونها_تحصیلی (1).xlsx::فرم نتایج تست ها!I6 | فرم_اطلاعات_نتایج_آزمونها_تحصیلی (1).xlsx::فرم نتایج تست ها!I11 | فرم_اطلاعات_نتایج_آزمونها_تحصیلی (1).xlsx::فرم نتایج تست ها!I16</x:v>
      </x:c>
      <x:c r="O2751" s="39"/>
    </x:row>
    <x:row r="2752">
      <x:c r="A2752" s="34" t="str">
        <x:v>☐</x:v>
      </x:c>
      <x:c r="B2752" s="34" t="str">
        <x:v>EX-2724</x:v>
      </x:c>
      <x:c r="C2752" s="34" t="str">
        <x:v>S</x:v>
      </x:c>
      <x:c r="D2752" s="34" t="str">
        <x:v>POSSIBLE</x:v>
      </x:c>
      <x:c r="E2752" s="34" t="str">
        <x:v>90.0</x:v>
      </x:c>
      <x:c r="F2752" s="34" t="str">
        <x:v>MI-0113</x:v>
      </x:c>
      <x:c r="G2752" s="39" t="str">
        <x:v>flask</x:v>
      </x:c>
      <x:c r="H2752" s="39" t="str">
        <x:v>H1</x:v>
      </x:c>
      <x:c r="I2752" s="39" t="str">
        <x:v>P0</x:v>
      </x:c>
      <x:c r="J2752" s="39" t="str">
        <x:v>H1</x:v>
      </x:c>
      <x:c r="K2752" s="39" t="str">
        <x:v>تطبیق احتمالی با پایه</x:v>
      </x:c>
      <x:c r="L2752" s="39" t="str">
        <x:v>MI-0113</x:v>
      </x:c>
      <x:c r="M2752" s="39" t="str">
        <x:v>flask</x:v>
      </x:c>
      <x:c r="N2752" s="39" t="str">
        <x:v>فرم_اطلاعات_نتایج_آزمونها_تحصیلی (1).xlsx::فرم نتایج تست ها!L6 | فرم_اطلاعات_نتایج_آزمونها_تحصیلی (1).xlsx::فرم نتایج تست ها!L11 | فرم_اطلاعات_نتایج_آزمونها_تحصیلی (1).xlsx::فرم نتایج تست ها!L16</x:v>
      </x:c>
      <x:c r="O2752" s="39"/>
    </x:row>
    <x:row r="2753">
      <x:c r="A2753" s="34" t="str">
        <x:v>☐</x:v>
      </x:c>
      <x:c r="B2753" s="34" t="str">
        <x:v>EX-2725</x:v>
      </x:c>
      <x:c r="C2753" s="34" t="str">
        <x:v>DISC</x:v>
      </x:c>
      <x:c r="D2753" s="34" t="str">
        <x:v>POSSIBLE</x:v>
      </x:c>
      <x:c r="E2753" s="34" t="str">
        <x:v>90.0</x:v>
      </x:c>
      <x:c r="F2753" s="34" t="str">
        <x:v>MI-2947</x:v>
      </x:c>
      <x:c r="G2753" s="39" t="str">
        <x:v>(Talent Discovery System)</x:v>
      </x:c>
      <x:c r="H2753" s="39" t="str">
        <x:v>H6</x:v>
      </x:c>
      <x:c r="I2753" s="39" t="str">
        <x:v>P3/CLARIFY</x:v>
      </x:c>
      <x:c r="J2753" s="39" t="str">
        <x:v>H6</x:v>
      </x:c>
      <x:c r="K2753" s="39" t="str">
        <x:v>تطبیق احتمالی با پایه</x:v>
      </x:c>
      <x:c r="L2753" s="39" t="str">
        <x:v>MI-2947</x:v>
      </x:c>
      <x:c r="M2753" s="39" t="str">
        <x:v>(Talent Discovery System)</x:v>
      </x:c>
      <x:c r="N2753" s="39" t="str">
        <x:v>فرم_اطلاعات_نتایج_آزمونها_تحصیلی (1).xlsx::فرم نتایج تست ها!AA6</x:v>
      </x:c>
      <x:c r="O2753" s="39"/>
    </x:row>
    <x:row r="2754">
      <x:c r="A2754" s="34" t="str">
        <x:v>☐</x:v>
      </x:c>
      <x:c r="B2754" s="34" t="str">
        <x:v>EX-2726</x:v>
      </x:c>
      <x:c r="C2754" s="34" t="str">
        <x:v>تست رفتارشناسی دیسک</x:v>
      </x:c>
      <x:c r="D2754" s="34" t="str">
        <x:v>UNMAPPED</x:v>
      </x:c>
      <x:c r="E2754" s="34" t="str">
        <x:v>73.3</x:v>
      </x:c>
      <x:c r="F2754" s="34" t="str">
        <x:v>MI-1177</x:v>
      </x:c>
      <x:c r="G2754" s="39" t="str">
        <x:v>اسدی</x:v>
      </x:c>
      <x:c r="H2754" s="39" t="str">
        <x:v>H11</x:v>
      </x:c>
      <x:c r="I2754" s="39" t="str">
        <x:v>DELEGATE/P2</x:v>
      </x:c>
      <x:c r="J2754" s="39" t="str">
        <x:v>H23</x:v>
      </x:c>
      <x:c r="K2754" s="39" t="str">
        <x:v>نیازمند پالایش؛ حذف نشده</x:v>
      </x:c>
      <x:c r="L2754" s="39"/>
      <x:c r="M2754" s="39"/>
      <x:c r="N2754" s="39" t="str">
        <x:v>فرم_اطلاعات_نتایج_آزمونها_تحصیلی (1).xlsx::فرم نتایج تست ها!AC6</x:v>
      </x:c>
      <x:c r="O2754" s="39"/>
    </x:row>
    <x:row r="2755">
      <x:c r="A2755" s="34" t="str">
        <x:v>☐</x:v>
      </x:c>
      <x:c r="B2755" s="34" t="str">
        <x:v>EX-2727</x:v>
      </x:c>
      <x:c r="C2755" s="34" t="str">
        <x:v>گراف طبیعی (min)</x:v>
      </x:c>
      <x:c r="D2755" s="34" t="str">
        <x:v>POSSIBLE</x:v>
      </x:c>
      <x:c r="E2755" s="34" t="str">
        <x:v>85.5</x:v>
      </x:c>
      <x:c r="F2755" s="34" t="str">
        <x:v>MI-2420</x:v>
      </x:c>
      <x:c r="G2755" s="39" t="str">
        <x:v>اگر این اتصال شکل بگیرد، اکوسیستم به طور طبیعی رشد می کند.</x:v>
      </x:c>
      <x:c r="H2755" s="39" t="str">
        <x:v>H10</x:v>
      </x:c>
      <x:c r="I2755" s="39" t="str">
        <x:v>P2</x:v>
      </x:c>
      <x:c r="J2755" s="39" t="str">
        <x:v>H10</x:v>
      </x:c>
      <x:c r="K2755" s="39" t="str">
        <x:v>تطبیق احتمالی با پایه</x:v>
      </x:c>
      <x:c r="L2755" s="39" t="str">
        <x:v>MI-2420</x:v>
      </x:c>
      <x:c r="M2755" s="39" t="str">
        <x:v>اگر این اتصال شکل بگیرد، اکوسیستم به طور طبیعی رشد می کند.</x:v>
      </x:c>
      <x:c r="N2755" s="39" t="str">
        <x:v>فرم_اطلاعات_نتایج_آزمونها_تحصیلی (1).xlsx::فرم نتایج تست ها!B7 | فرم_اطلاعات_نتایج_آزمونها_تحصیلی (1).xlsx::فرم نتایج تست ها!B12 | فرم_اطلاعات_نتایج_آزمونها_تحصیلی (1).xlsx::فرم نتایج تست ها!B17</x:v>
      </x:c>
      <x:c r="O2755" s="39"/>
    </x:row>
    <x:row r="2756">
      <x:c r="A2756" s="34" t="str">
        <x:v>☐</x:v>
      </x:c>
      <x:c r="B2756" s="34" t="str">
        <x:v>EX-2728</x:v>
      </x:c>
      <x:c r="C2756" s="34" t="str">
        <x:v>ID</x:v>
      </x:c>
      <x:c r="D2756" s="34" t="str">
        <x:v>POSSIBLE</x:v>
      </x:c>
      <x:c r="E2756" s="34" t="str">
        <x:v>90.0</x:v>
      </x:c>
      <x:c r="F2756" s="34" t="str">
        <x:v>MI-1477</x:v>
      </x:c>
      <x:c r="G2756" s="39" t="str">
        <x:v>SolidWorks</x:v>
      </x:c>
      <x:c r="H2756" s="39" t="str">
        <x:v>H1</x:v>
      </x:c>
      <x:c r="I2756" s="39" t="str">
        <x:v>P0</x:v>
      </x:c>
      <x:c r="J2756" s="39" t="str">
        <x:v>H1</x:v>
      </x:c>
      <x:c r="K2756" s="39" t="str">
        <x:v>تطبیق احتمالی با پایه</x:v>
      </x:c>
      <x:c r="L2756" s="39" t="str">
        <x:v>MI-1477</x:v>
      </x:c>
      <x:c r="M2756" s="39" t="str">
        <x:v>SolidWorks</x:v>
      </x:c>
      <x:c r="N2756" s="39" t="str">
        <x:v>فرم_اطلاعات_نتایج_آزمونها_تحصیلی (1).xlsx::فرم نتایج تست ها!U7</x:v>
      </x:c>
      <x:c r="O2756" s="39"/>
    </x:row>
    <x:row r="2757">
      <x:c r="A2757" s="34" t="str">
        <x:v>☐</x:v>
      </x:c>
      <x:c r="B2757" s="34" t="str">
        <x:v>EX-2729</x:v>
      </x:c>
      <x:c r="C2757" s="34" t="str">
        <x:v>کد رفتاری</x:v>
      </x:c>
      <x:c r="D2757" s="34" t="str">
        <x:v>POSSIBLE</x:v>
      </x:c>
      <x:c r="E2757" s="34" t="str">
        <x:v>85.5</x:v>
      </x:c>
      <x:c r="F2757" s="34" t="str">
        <x:v>MI-0759</x:v>
      </x:c>
      <x:c r="G2757" s="39" t="str">
        <x:v>تهیه کیو آر کد و نصب در راهرو دانشکده ها و کارگاه ها و سلف و خوابگاه ها</x:v>
      </x:c>
      <x:c r="H2757" s="39" t="str">
        <x:v>H11</x:v>
      </x:c>
      <x:c r="I2757" s="39" t="str">
        <x:v>DELEGATE/P2</x:v>
      </x:c>
      <x:c r="J2757" s="39" t="str">
        <x:v>H11</x:v>
      </x:c>
      <x:c r="K2757" s="39" t="str">
        <x:v>تطبیق احتمالی با پایه</x:v>
      </x:c>
      <x:c r="L2757" s="39" t="str">
        <x:v>MI-0759</x:v>
      </x:c>
      <x:c r="M2757" s="39" t="str">
        <x:v>تهیه کیو آر کد و نصب در راهرو دانشکده ها و کارگاه ها و سلف و خوابگاه ها</x:v>
      </x:c>
      <x:c r="N2757" s="39" t="str">
        <x:v>فرم_اطلاعات_نتایج_آزمونها_تحصیلی (1).xlsx::فرم نتایج تست ها!Y7 | فرم_اطلاعات_نتایج_آزمونها_تحصیلی (1).xlsx::فرم نتایج تست ها!Y12 | فرم_اطلاعات_نتایج_آزمونها_تحصیلی (1).xlsx::فرم نتایج تست ها!Y17</x:v>
      </x:c>
      <x:c r="O2757" s="39"/>
    </x:row>
    <x:row r="2758">
      <x:c r="A2758" s="34" t="str">
        <x:v>☐</x:v>
      </x:c>
      <x:c r="B2758" s="34" t="str">
        <x:v>EX-2730</x:v>
      </x:c>
      <x:c r="C2758" s="34" t="str">
        <x:v>ترغیب کننده</x:v>
      </x:c>
      <x:c r="D2758" s="34" t="str">
        <x:v>POSSIBLE</x:v>
      </x:c>
      <x:c r="E2758" s="34" t="str">
        <x:v>90.0</x:v>
      </x:c>
      <x:c r="F2758" s="34" t="str">
        <x:v>MI-3119</x:v>
      </x:c>
      <x:c r="G2758" s="39" t="str">
        <x:v>DISC الگو: ترغیب کننده</x:v>
      </x:c>
      <x:c r="H2758" s="39" t="str">
        <x:v>H22</x:v>
      </x:c>
      <x:c r="I2758" s="39" t="str">
        <x:v>P3/CLARIFY</x:v>
      </x:c>
      <x:c r="J2758" s="39" t="str">
        <x:v>H22</x:v>
      </x:c>
      <x:c r="K2758" s="39" t="str">
        <x:v>تطبیق احتمالی با پایه</x:v>
      </x:c>
      <x:c r="L2758" s="39" t="str">
        <x:v>MI-3119</x:v>
      </x:c>
      <x:c r="M2758" s="39" t="str">
        <x:v>DISC الگو: ترغیب کننده</x:v>
      </x:c>
      <x:c r="N2758" s="39" t="str">
        <x:v>فرم_اطلاعات_نتایج_آزمونها_تحصیلی (1).xlsx::فرم نتایج تست ها!AA7</x:v>
      </x:c>
      <x:c r="O2758" s="39"/>
    </x:row>
    <x:row r="2759">
      <x:c r="A2759" s="34" t="str">
        <x:v>☐</x:v>
      </x:c>
      <x:c r="B2759" s="34" t="str">
        <x:v>EX-2731</x:v>
      </x:c>
      <x:c r="C2759" s="34" t="str">
        <x:v>نام الگو</x:v>
      </x:c>
      <x:c r="D2759" s="34" t="str">
        <x:v>POSSIBLE</x:v>
      </x:c>
      <x:c r="E2759" s="34" t="str">
        <x:v>85.5</x:v>
      </x:c>
      <x:c r="F2759" s="34" t="str">
        <x:v>MI-3062</x:v>
      </x:c>
      <x:c r="G2759" s="39" t="str">
        <x:v>بهترین شغل از نظر شما چیست؟ نام برده و دلیل آن را بنویسید.</x:v>
      </x:c>
      <x:c r="H2759" s="39" t="str">
        <x:v>H3</x:v>
      </x:c>
      <x:c r="I2759" s="39" t="str">
        <x:v>P3/CLARIFY</x:v>
      </x:c>
      <x:c r="J2759" s="39" t="str">
        <x:v>H3</x:v>
      </x:c>
      <x:c r="K2759" s="39" t="str">
        <x:v>تطبیق احتمالی با پایه</x:v>
      </x:c>
      <x:c r="L2759" s="39" t="str">
        <x:v>MI-3062</x:v>
      </x:c>
      <x:c r="M2759" s="39" t="str">
        <x:v>بهترین شغل از نظر شما چیست؟ نام برده و دلیل آن را بنویسید.</x:v>
      </x:c>
      <x:c r="N2759" s="39" t="str">
        <x:v>فرم_اطلاعات_نتایج_آزمونها_تحصیلی (1).xlsx::فرم نتایج تست ها!AE7 | فرم_اطلاعات_نتایج_آزمونها_تحصیلی (1).xlsx::فرم نتایج تست ها!AE12 | فرم_اطلاعات_نتایج_آزمونها_تحصیلی (1).xlsx::فرم نتایج تست ها!AE17</x:v>
      </x:c>
      <x:c r="O2759" s="39"/>
    </x:row>
    <x:row r="2760">
      <x:c r="A2760" s="34" t="str">
        <x:v>☐</x:v>
      </x:c>
      <x:c r="B2760" s="34" t="str">
        <x:v>EX-2732</x:v>
      </x:c>
      <x:c r="C2760" s="34" t="str">
        <x:v>گراف تطبیق یافته (max)</x:v>
      </x:c>
      <x:c r="D2760" s="34" t="str">
        <x:v>POSSIBLE</x:v>
      </x:c>
      <x:c r="E2760" s="34" t="str">
        <x:v>85.5</x:v>
      </x:c>
      <x:c r="F2760" s="34" t="str">
        <x:v>MI-1507</x:v>
      </x:c>
      <x:c r="G2760" s="39" t="str">
        <x:v>انعطاف پذیری: تطبیق با شرایط جدید، یادگیری سریع.</x:v>
      </x:c>
      <x:c r="H2760" s="39" t="str">
        <x:v>H1</x:v>
      </x:c>
      <x:c r="I2760" s="39" t="str">
        <x:v>P0</x:v>
      </x:c>
      <x:c r="J2760" s="39" t="str">
        <x:v>H1</x:v>
      </x:c>
      <x:c r="K2760" s="39" t="str">
        <x:v>تطبیق احتمالی با پایه</x:v>
      </x:c>
      <x:c r="L2760" s="39" t="str">
        <x:v>MI-1507</x:v>
      </x:c>
      <x:c r="M2760" s="39" t="str">
        <x:v>انعطاف پذیری: تطبیق با شرایط جدید، یادگیری سریع.</x:v>
      </x:c>
      <x:c r="N2760" s="39" t="str">
        <x:v>فرم_اطلاعات_نتایج_آزمونها_تحصیلی (1).xlsx::فرم نتایج تست ها!B8 | فرم_اطلاعات_نتایج_آزمونها_تحصیلی (1).xlsx::فرم نتایج تست ها!B13 | فرم_اطلاعات_نتایج_آزمونها_تحصیلی (1).xlsx::فرم نتایج تست ها!B18</x:v>
      </x:c>
      <x:c r="O2760" s="39"/>
    </x:row>
    <x:row r="2761">
      <x:c r="A2761" s="34" t="str">
        <x:v>☐</x:v>
      </x:c>
      <x:c r="B2761" s="34" t="str">
        <x:v>EX-2733</x:v>
      </x:c>
      <x:c r="C2761" s="34" t="str">
        <x:v>پدر</x:v>
      </x:c>
      <x:c r="D2761" s="34" t="str">
        <x:v>UNMAPPED</x:v>
      </x:c>
      <x:c r="E2761" s="34" t="str">
        <x:v>72.0</x:v>
      </x:c>
      <x:c r="F2761" s="34" t="str">
        <x:v>MI-2763</x:v>
      </x:c>
      <x:c r="G2761" s="39" t="str">
        <x:v>پروژه سرمایه گذاری مشترک</x:v>
      </x:c>
      <x:c r="H2761" s="39" t="str">
        <x:v>H8</x:v>
      </x:c>
      <x:c r="I2761" s="39" t="str">
        <x:v>P2</x:v>
      </x:c>
      <x:c r="J2761" s="39" t="str">
        <x:v>H23</x:v>
      </x:c>
      <x:c r="K2761" s="39" t="str">
        <x:v>نیازمند پالایش؛ حذف نشده</x:v>
      </x:c>
      <x:c r="L2761" s="39"/>
      <x:c r="M2761" s="39"/>
      <x:c r="N2761" s="39" t="str">
        <x:v>فرم_اطلاعات_نتایج_آزمونها_تحصیلی (1).xlsx::فرم نتایج تست ها!B10 | فرم_اطلاعات_نتایج_آزمونها_تحصیلی (1).xlsx::فرم نتایج تست ها!U11</x:v>
      </x:c>
      <x:c r="O2761" s="39"/>
    </x:row>
    <x:row r="2762">
      <x:c r="A2762" s="34" t="str">
        <x:v>☐</x:v>
      </x:c>
      <x:c r="B2762" s="34" t="str">
        <x:v>EX-2734</x:v>
      </x:c>
      <x:c r="C2762" s="34" t="str">
        <x:v>مادر</x:v>
      </x:c>
      <x:c r="D2762" s="34" t="str">
        <x:v>UNMAPPED</x:v>
      </x:c>
      <x:c r="E2762" s="34" t="str">
        <x:v>77.1</x:v>
      </x:c>
      <x:c r="F2762" s="34" t="str">
        <x:v>MI-1924</x:v>
      </x:c>
      <x:c r="G2762" s="39" t="str">
        <x:v>مدرسه تابستانی</x:v>
      </x:c>
      <x:c r="H2762" s="39" t="str">
        <x:v>H2</x:v>
      </x:c>
      <x:c r="I2762" s="39" t="str">
        <x:v>P3/CLARIFY</x:v>
      </x:c>
      <x:c r="J2762" s="39" t="str">
        <x:v>H23</x:v>
      </x:c>
      <x:c r="K2762" s="39" t="str">
        <x:v>نیازمند پالایش؛ حذف نشده</x:v>
      </x:c>
      <x:c r="L2762" s="39"/>
      <x:c r="M2762" s="39"/>
      <x:c r="N2762" s="39" t="str">
        <x:v>فرم_اطلاعات_نتایج_آزمونها_تحصیلی (1).xlsx::فرم نتایج تست ها!B15 | فرم_اطلاعات_نتایج_آزمونها_تحصیلی (1).xlsx::فرم نتایج تست ها!U16</x:v>
      </x:c>
      <x:c r="O2762" s="39"/>
    </x:row>
    <x:row r="2763">
      <x:c r="A2763" s="34" t="str">
        <x:v>☐</x:v>
      </x:c>
      <x:c r="B2763" s="34" t="str">
        <x:v>EX-2735</x:v>
      </x:c>
      <x:c r="C2763" s="34" t="str">
        <x:v>Clifton</x:v>
      </x:c>
      <x:c r="D2763" s="34" t="str">
        <x:v>POSSIBLE</x:v>
      </x:c>
      <x:c r="E2763" s="34" t="str">
        <x:v>85.5</x:v>
      </x:c>
      <x:c r="F2763" s="34" t="str">
        <x:v>MI-0161</x:v>
      </x:c>
      <x:c r="G2763" s="39" t="str">
        <x:v>N&amp;N</x:v>
      </x:c>
      <x:c r="H2763" s="39" t="str">
        <x:v>H23</x:v>
      </x:c>
      <x:c r="I2763" s="39" t="str">
        <x:v>P3/CLARIFY</x:v>
      </x:c>
      <x:c r="J2763" s="39" t="str">
        <x:v>H23</x:v>
      </x:c>
      <x:c r="K2763" s="39" t="str">
        <x:v>تطبیق احتمالی با پایه</x:v>
      </x:c>
      <x:c r="L2763" s="39" t="str">
        <x:v>MI-0161</x:v>
      </x:c>
      <x:c r="M2763" s="39" t="str">
        <x:v>N&amp;N</x:v>
      </x:c>
      <x:c r="N2763" s="39" t="str">
        <x:v>فرم_اطلاعات_نتایج_آزمونها_تحصیلی (1).xlsx::فرم نتایج تست ها!Z20</x:v>
      </x:c>
      <x:c r="O2763" s="39"/>
    </x:row>
    <x:row r="2764">
      <x:c r="A2764" s="34" t="str">
        <x:v>☐</x:v>
      </x:c>
      <x:c r="B2764" s="34" t="str">
        <x:v>EX-2736</x:v>
      </x:c>
      <x:c r="C2764" s="34" t="str">
        <x:v>تست نقاط قوت کلیفتون</x:v>
      </x:c>
      <x:c r="D2764" s="34" t="str">
        <x:v>POSSIBLE</x:v>
      </x:c>
      <x:c r="E2764" s="34" t="str">
        <x:v>90.0</x:v>
      </x:c>
      <x:c r="F2764" s="34" t="str">
        <x:v>MI-0888</x:v>
      </x:c>
      <x:c r="G2764" s="39" t="str">
        <x:v>کلی</x:v>
      </x:c>
      <x:c r="H2764" s="39" t="str">
        <x:v>H11</x:v>
      </x:c>
      <x:c r="I2764" s="39" t="str">
        <x:v>DELEGATE/P2</x:v>
      </x:c>
      <x:c r="J2764" s="39" t="str">
        <x:v>H11</x:v>
      </x:c>
      <x:c r="K2764" s="39" t="str">
        <x:v>تطبیق احتمالی با پایه</x:v>
      </x:c>
      <x:c r="L2764" s="39" t="str">
        <x:v>MI-0888</x:v>
      </x:c>
      <x:c r="M2764" s="39" t="str">
        <x:v>کلی</x:v>
      </x:c>
      <x:c r="N2764" s="39" t="str">
        <x:v>فرم_اطلاعات_نتایج_آزمونها_تحصیلی (1).xlsx::فرم نتایج تست ها!AC20</x:v>
      </x:c>
      <x:c r="O2764" s="39"/>
    </x:row>
    <x:row r="2765">
      <x:c r="A2765" s="34" t="str">
        <x:v>☐</x:v>
      </x:c>
      <x:c r="B2765" s="34" t="str">
        <x:v>EX-2737</x:v>
      </x:c>
      <x:c r="C2765" s="34" t="str">
        <x:v>دست یابنده</x:v>
      </x:c>
      <x:c r="D2765" s="34" t="str">
        <x:v>POSSIBLE</x:v>
      </x:c>
      <x:c r="E2765" s="34" t="str">
        <x:v>90.0</x:v>
      </x:c>
      <x:c r="F2765" s="34" t="str">
        <x:v>MI-3121</x:v>
      </x:c>
      <x:c r="G2765" s="39" t="str">
        <x:v>کلیفتون 1: دست یابنده</x:v>
      </x:c>
      <x:c r="H2765" s="39" t="str">
        <x:v>H22</x:v>
      </x:c>
      <x:c r="I2765" s="39" t="str">
        <x:v>P3/CLARIFY</x:v>
      </x:c>
      <x:c r="J2765" s="39" t="str">
        <x:v>H22</x:v>
      </x:c>
      <x:c r="K2765" s="39" t="str">
        <x:v>تطبیق احتمالی با پایه</x:v>
      </x:c>
      <x:c r="L2765" s="39" t="str">
        <x:v>MI-3121</x:v>
      </x:c>
      <x:c r="M2765" s="39" t="str">
        <x:v>کلیفتون 1: دست یابنده</x:v>
      </x:c>
      <x:c r="N2765" s="39" t="str">
        <x:v>فرم_اطلاعات_نتایج_آزمونها_تحصیلی (1).xlsx::فرم نتایج تست ها!J21</x:v>
      </x:c>
      <x:c r="O2765" s="39"/>
    </x:row>
    <x:row r="2766">
      <x:c r="A2766" s="34" t="str">
        <x:v>☐</x:v>
      </x:c>
      <x:c r="B2766" s="34" t="str">
        <x:v>EX-2738</x:v>
      </x:c>
      <x:c r="C2766" s="34" t="str">
        <x:v>آینده نگر</x:v>
      </x:c>
      <x:c r="D2766" s="34" t="str">
        <x:v>POSSIBLE</x:v>
      </x:c>
      <x:c r="E2766" s="34" t="str">
        <x:v>90.0</x:v>
      </x:c>
      <x:c r="F2766" s="34" t="str">
        <x:v>MI-3122</x:v>
      </x:c>
      <x:c r="G2766" s="39" t="str">
        <x:v>کلیفتون 2: آینده نگر</x:v>
      </x:c>
      <x:c r="H2766" s="39" t="str">
        <x:v>H22</x:v>
      </x:c>
      <x:c r="I2766" s="39" t="str">
        <x:v>P3/CLARIFY</x:v>
      </x:c>
      <x:c r="J2766" s="39" t="str">
        <x:v>H22</x:v>
      </x:c>
      <x:c r="K2766" s="39" t="str">
        <x:v>تطبیق احتمالی با پایه</x:v>
      </x:c>
      <x:c r="L2766" s="39" t="str">
        <x:v>MI-3122</x:v>
      </x:c>
      <x:c r="M2766" s="39" t="str">
        <x:v>کلیفتون 2: آینده نگر</x:v>
      </x:c>
      <x:c r="N2766" s="39" t="str">
        <x:v>فرم_اطلاعات_نتایج_آزمونها_تحصیلی (1).xlsx::فرم نتایج تست ها!N21</x:v>
      </x:c>
      <x:c r="O2766" s="39"/>
    </x:row>
    <x:row r="2767">
      <x:c r="A2767" s="34" t="str">
        <x:v>☐</x:v>
      </x:c>
      <x:c r="B2767" s="34" t="str">
        <x:v>EX-2739</x:v>
      </x:c>
      <x:c r="C2767" s="34" t="str">
        <x:v>ایده پرداز</x:v>
      </x:c>
      <x:c r="D2767" s="34" t="str">
        <x:v>POSSIBLE</x:v>
      </x:c>
      <x:c r="E2767" s="34" t="str">
        <x:v>90.0</x:v>
      </x:c>
      <x:c r="F2767" s="34" t="str">
        <x:v>MI-0110</x:v>
      </x:c>
      <x:c r="G2767" s="39" t="str">
        <x:v>خلاقیت و ایده پردازی</x:v>
      </x:c>
      <x:c r="H2767" s="39" t="str">
        <x:v>H1</x:v>
      </x:c>
      <x:c r="I2767" s="39" t="str">
        <x:v>P0</x:v>
      </x:c>
      <x:c r="J2767" s="39" t="str">
        <x:v>H1</x:v>
      </x:c>
      <x:c r="K2767" s="39" t="str">
        <x:v>تطبیق احتمالی با پایه</x:v>
      </x:c>
      <x:c r="L2767" s="39" t="str">
        <x:v>MI-0110</x:v>
      </x:c>
      <x:c r="M2767" s="39" t="str">
        <x:v>خلاقیت و ایده پردازی</x:v>
      </x:c>
      <x:c r="N2767" s="39" t="str">
        <x:v>فرم_اطلاعات_نتایج_آزمونها_تحصیلی (1).xlsx::فرم نتایج تست ها!R21</x:v>
      </x:c>
      <x:c r="O2767" s="39"/>
    </x:row>
    <x:row r="2768">
      <x:c r="A2768" s="34" t="str">
        <x:v>☐</x:v>
      </x:c>
      <x:c r="B2768" s="34" t="str">
        <x:v>EX-2740</x:v>
      </x:c>
      <x:c r="C2768" s="34" t="str">
        <x:v>فردیت بخش</x:v>
      </x:c>
      <x:c r="D2768" s="34" t="str">
        <x:v>POSSIBLE</x:v>
      </x:c>
      <x:c r="E2768" s="34" t="str">
        <x:v>90.0</x:v>
      </x:c>
      <x:c r="F2768" s="34" t="str">
        <x:v>MI-3124</x:v>
      </x:c>
      <x:c r="G2768" s="39" t="str">
        <x:v>کلیفتون 4: فردیت بخش</x:v>
      </x:c>
      <x:c r="H2768" s="39" t="str">
        <x:v>H22</x:v>
      </x:c>
      <x:c r="I2768" s="39" t="str">
        <x:v>P3/CLARIFY</x:v>
      </x:c>
      <x:c r="J2768" s="39" t="str">
        <x:v>H22</x:v>
      </x:c>
      <x:c r="K2768" s="39" t="str">
        <x:v>تطبیق احتمالی با پایه</x:v>
      </x:c>
      <x:c r="L2768" s="39" t="str">
        <x:v>MI-3124</x:v>
      </x:c>
      <x:c r="M2768" s="39" t="str">
        <x:v>کلیفتون 4: فردیت بخش</x:v>
      </x:c>
      <x:c r="N2768" s="39" t="str">
        <x:v>فرم_اطلاعات_نتایج_آزمونها_تحصیلی (1).xlsx::فرم نتایج تست ها!V21</x:v>
      </x:c>
      <x:c r="O2768" s="39"/>
    </x:row>
    <x:row r="2769">
      <x:c r="A2769" s="34" t="str">
        <x:v>☐</x:v>
      </x:c>
      <x:c r="B2769" s="34" t="str">
        <x:v>EX-2741</x:v>
      </x:c>
      <x:c r="C2769" s="34" t="str">
        <x:v>جذب کننده</x:v>
      </x:c>
      <x:c r="D2769" s="34" t="str">
        <x:v>POSSIBLE</x:v>
      </x:c>
      <x:c r="E2769" s="34" t="str">
        <x:v>90.0</x:v>
      </x:c>
      <x:c r="F2769" s="34" t="str">
        <x:v>MI-3125</x:v>
      </x:c>
      <x:c r="G2769" s="39" t="str">
        <x:v>کلیفتون 5: جذب کننده</x:v>
      </x:c>
      <x:c r="H2769" s="39" t="str">
        <x:v>H22</x:v>
      </x:c>
      <x:c r="I2769" s="39" t="str">
        <x:v>P3/CLARIFY</x:v>
      </x:c>
      <x:c r="J2769" s="39" t="str">
        <x:v>H22</x:v>
      </x:c>
      <x:c r="K2769" s="39" t="str">
        <x:v>تطبیق احتمالی با پایه</x:v>
      </x:c>
      <x:c r="L2769" s="39" t="str">
        <x:v>MI-3125</x:v>
      </x:c>
      <x:c r="M2769" s="39" t="str">
        <x:v>کلیفتون 5: جذب کننده</x:v>
      </x:c>
      <x:c r="N2769" s="39" t="str">
        <x:v>فرم_اطلاعات_نتایج_آزمونها_تحصیلی (1).xlsx::فرم نتایج تست ها!Z21</x:v>
      </x:c>
      <x:c r="O2769" s="39"/>
    </x:row>
    <x:row r="2770">
      <x:c r="A2770" s="34" t="str">
        <x:v>☐</x:v>
      </x:c>
      <x:c r="B2770" s="34" t="str">
        <x:v>EX-2742</x:v>
      </x:c>
      <x:c r="C2770" s="34" t="str">
        <x:v>استعداد 1 تا 7</x:v>
      </x:c>
      <x:c r="D2770" s="34" t="str">
        <x:v>POSSIBLE</x:v>
      </x:c>
      <x:c r="E2770" s="34" t="str">
        <x:v>90.0</x:v>
      </x:c>
      <x:c r="F2770" s="34" t="str">
        <x:v>MI-1732</x:v>
      </x:c>
      <x:c r="G2770" s="39" t="str">
        <x:v>استعداد</x:v>
      </x:c>
      <x:c r="H2770" s="39" t="str">
        <x:v>H10</x:v>
      </x:c>
      <x:c r="I2770" s="39" t="str">
        <x:v>P2</x:v>
      </x:c>
      <x:c r="J2770" s="39" t="str">
        <x:v>H10</x:v>
      </x:c>
      <x:c r="K2770" s="39" t="str">
        <x:v>تطبیق احتمالی با پایه</x:v>
      </x:c>
      <x:c r="L2770" s="39" t="str">
        <x:v>MI-1732</x:v>
      </x:c>
      <x:c r="M2770" s="39" t="str">
        <x:v>استعداد</x:v>
      </x:c>
      <x:c r="N2770" s="39" t="str">
        <x:v>فرم_اطلاعات_نتایج_آزمونها_تحصیلی (1).xlsx::فرم نتایج تست ها!AD21</x:v>
      </x:c>
      <x:c r="O2770" s="39"/>
    </x:row>
    <x:row r="2771">
      <x:c r="A2771" s="34" t="str">
        <x:v>☐</x:v>
      </x:c>
      <x:c r="B2771" s="34" t="str">
        <x:v>EX-2743</x:v>
      </x:c>
      <x:c r="C2771" s="34" t="str">
        <x:v>استعداد 8 تا 14</x:v>
      </x:c>
      <x:c r="D2771" s="34" t="str">
        <x:v>POSSIBLE</x:v>
      </x:c>
      <x:c r="E2771" s="34" t="str">
        <x:v>90.0</x:v>
      </x:c>
      <x:c r="F2771" s="34" t="str">
        <x:v>MI-1732</x:v>
      </x:c>
      <x:c r="G2771" s="39" t="str">
        <x:v>استعداد</x:v>
      </x:c>
      <x:c r="H2771" s="39" t="str">
        <x:v>H10</x:v>
      </x:c>
      <x:c r="I2771" s="39" t="str">
        <x:v>P2</x:v>
      </x:c>
      <x:c r="J2771" s="39" t="str">
        <x:v>H10</x:v>
      </x:c>
      <x:c r="K2771" s="39" t="str">
        <x:v>تطبیق احتمالی با پایه</x:v>
      </x:c>
      <x:c r="L2771" s="39" t="str">
        <x:v>MI-1732</x:v>
      </x:c>
      <x:c r="M2771" s="39" t="str">
        <x:v>استعداد</x:v>
      </x:c>
      <x:c r="N2771" s="39" t="str">
        <x:v>فرم_اطلاعات_نتایج_آزمونها_تحصیلی (1).xlsx::فرم نتایج تست ها!AD22</x:v>
      </x:c>
      <x:c r="O2771" s="39"/>
    </x:row>
    <x:row r="2772">
      <x:c r="A2772" s="34" t="str">
        <x:v>☐</x:v>
      </x:c>
      <x:c r="B2772" s="34" t="str">
        <x:v>EX-2744</x:v>
      </x:c>
      <x:c r="C2772" s="34" t="str">
        <x:v>استعداد 36 تا 30</x:v>
      </x:c>
      <x:c r="D2772" s="34" t="str">
        <x:v>POSSIBLE</x:v>
      </x:c>
      <x:c r="E2772" s="34" t="str">
        <x:v>90.0</x:v>
      </x:c>
      <x:c r="F2772" s="34" t="str">
        <x:v>MI-1732</x:v>
      </x:c>
      <x:c r="G2772" s="39" t="str">
        <x:v>استعداد</x:v>
      </x:c>
      <x:c r="H2772" s="39" t="str">
        <x:v>H10</x:v>
      </x:c>
      <x:c r="I2772" s="39" t="str">
        <x:v>P2</x:v>
      </x:c>
      <x:c r="J2772" s="39" t="str">
        <x:v>H10</x:v>
      </x:c>
      <x:c r="K2772" s="39" t="str">
        <x:v>تطبیق احتمالی با پایه</x:v>
      </x:c>
      <x:c r="L2772" s="39" t="str">
        <x:v>MI-1732</x:v>
      </x:c>
      <x:c r="M2772" s="39" t="str">
        <x:v>استعداد</x:v>
      </x:c>
      <x:c r="N2772" s="39" t="str">
        <x:v>فرم_اطلاعات_نتایج_آزمونها_تحصیلی (1).xlsx::فرم نتایج تست ها!AD23</x:v>
      </x:c>
      <x:c r="O2772" s="39"/>
    </x:row>
    <x:row r="2773">
      <x:c r="A2773" s="34" t="str">
        <x:v>☐</x:v>
      </x:c>
      <x:c r="B2773" s="34" t="str">
        <x:v>EX-2745</x:v>
      </x:c>
      <x:c r="C2773" s="34" t="str">
        <x:v>Gardner</x:v>
      </x:c>
      <x:c r="D2773" s="34" t="str">
        <x:v>POSSIBLE</x:v>
      </x:c>
      <x:c r="E2773" s="34" t="str">
        <x:v>85.5</x:v>
      </x:c>
      <x:c r="F2773" s="34" t="str">
        <x:v>MI-0161</x:v>
      </x:c>
      <x:c r="G2773" s="39" t="str">
        <x:v>N&amp;N</x:v>
      </x:c>
      <x:c r="H2773" s="39" t="str">
        <x:v>H23</x:v>
      </x:c>
      <x:c r="I2773" s="39" t="str">
        <x:v>P3/CLARIFY</x:v>
      </x:c>
      <x:c r="J2773" s="39" t="str">
        <x:v>H23</x:v>
      </x:c>
      <x:c r="K2773" s="39" t="str">
        <x:v>تطبیق احتمالی با پایه</x:v>
      </x:c>
      <x:c r="L2773" s="39" t="str">
        <x:v>MI-0161</x:v>
      </x:c>
      <x:c r="M2773" s="39" t="str">
        <x:v>N&amp;N</x:v>
      </x:c>
      <x:c r="N2773" s="39" t="str">
        <x:v>فرم_اطلاعات_نتایج_آزمونها_تحصیلی (1).xlsx::فرم نتایج تست ها!Y25</x:v>
      </x:c>
      <x:c r="O2773" s="39"/>
    </x:row>
    <x:row r="2774">
      <x:c r="A2774" s="34" t="str">
        <x:v>☐</x:v>
      </x:c>
      <x:c r="B2774" s="34" t="str">
        <x:v>EX-2746</x:v>
      </x:c>
      <x:c r="C2774" s="34" t="str">
        <x:v>تست هوش چندگانه گاردنر</x:v>
      </x:c>
      <x:c r="D2774" s="34" t="str">
        <x:v>POSSIBLE</x:v>
      </x:c>
      <x:c r="E2774" s="34" t="str">
        <x:v>85.5</x:v>
      </x:c>
      <x:c r="F2774" s="34" t="str">
        <x:v>MI-0077</x:v>
      </x:c>
      <x:c r="G2774" s="39" t="str">
        <x:v>یادگیری هوش هیجانی و قدرت تصمیم گیری بالا در لحظه</x:v>
      </x:c>
      <x:c r="H2774" s="39" t="str">
        <x:v>H1</x:v>
      </x:c>
      <x:c r="I2774" s="39" t="str">
        <x:v>P0</x:v>
      </x:c>
      <x:c r="J2774" s="39" t="str">
        <x:v>H1</x:v>
      </x:c>
      <x:c r="K2774" s="39" t="str">
        <x:v>تطبیق احتمالی با پایه</x:v>
      </x:c>
      <x:c r="L2774" s="39" t="str">
        <x:v>MI-0077</x:v>
      </x:c>
      <x:c r="M2774" s="39" t="str">
        <x:v>یادگیری هوش هیجانی و قدرت تصمیم گیری بالا در لحظه</x:v>
      </x:c>
      <x:c r="N2774" s="39" t="str">
        <x:v>فرم_اطلاعات_نتایج_آزمونها_تحصیلی (1).xlsx::فرم نتایج تست ها!AB25</x:v>
      </x:c>
      <x:c r="O2774" s="39"/>
    </x:row>
    <x:row r="2775">
      <x:c r="A2775" s="34" t="str">
        <x:v>☐</x:v>
      </x:c>
      <x:c r="B2775" s="34" t="str">
        <x:v>EX-2747</x:v>
      </x:c>
      <x:c r="C2775" s="34" t="str">
        <x:v>موسیقیایی</x:v>
      </x:c>
      <x:c r="D2775" s="34" t="str">
        <x:v>POSSIBLE</x:v>
      </x:c>
      <x:c r="E2775" s="34" t="str">
        <x:v>90.0</x:v>
      </x:c>
      <x:c r="F2775" s="34" t="str">
        <x:v>MI-3126</x:v>
      </x:c>
      <x:c r="G2775" s="39" t="str">
        <x:v>گاردنر موسیقیایی: 50</x:v>
      </x:c>
      <x:c r="H2775" s="39" t="str">
        <x:v>H22</x:v>
      </x:c>
      <x:c r="I2775" s="39" t="str">
        <x:v>P3/CLARIFY</x:v>
      </x:c>
      <x:c r="J2775" s="39" t="str">
        <x:v>H22</x:v>
      </x:c>
      <x:c r="K2775" s="39" t="str">
        <x:v>تطبیق احتمالی با پایه</x:v>
      </x:c>
      <x:c r="L2775" s="39" t="str">
        <x:v>MI-3126</x:v>
      </x:c>
      <x:c r="M2775" s="39" t="str">
        <x:v>گاردنر موسیقیایی: 50</x:v>
      </x:c>
      <x:c r="N2775" s="39" t="str">
        <x:v>فرم_اطلاعات_نتایج_آزمونها_تحصیلی (1).xlsx::فرم نتایج تست ها!B26</x:v>
      </x:c>
      <x:c r="O2775" s="39"/>
    </x:row>
    <x:row r="2776">
      <x:c r="A2776" s="34" t="str">
        <x:v>☐</x:v>
      </x:c>
      <x:c r="B2776" s="34" t="str">
        <x:v>EX-2748</x:v>
      </x:c>
      <x:c r="C2776" s="34" t="str">
        <x:v>طبیعت گرا</x:v>
      </x:c>
      <x:c r="D2776" s="34" t="str">
        <x:v>POSSIBLE</x:v>
      </x:c>
      <x:c r="E2776" s="34" t="str">
        <x:v>90.0</x:v>
      </x:c>
      <x:c r="F2776" s="34" t="str">
        <x:v>MI-3127</x:v>
      </x:c>
      <x:c r="G2776" s="39" t="str">
        <x:v>گاردنر طبیعت گرا: 62.5</x:v>
      </x:c>
      <x:c r="H2776" s="39" t="str">
        <x:v>H22</x:v>
      </x:c>
      <x:c r="I2776" s="39" t="str">
        <x:v>P3/CLARIFY</x:v>
      </x:c>
      <x:c r="J2776" s="39" t="str">
        <x:v>H22</x:v>
      </x:c>
      <x:c r="K2776" s="39" t="str">
        <x:v>تطبیق احتمالی با پایه</x:v>
      </x:c>
      <x:c r="L2776" s="39" t="str">
        <x:v>MI-3127</x:v>
      </x:c>
      <x:c r="M2776" s="39" t="str">
        <x:v>گاردنر طبیعت گرا: 62.5</x:v>
      </x:c>
      <x:c r="N2776" s="39" t="str">
        <x:v>فرم_اطلاعات_نتایج_آزمونها_تحصیلی (1).xlsx::فرم نتایج تست ها!E26</x:v>
      </x:c>
      <x:c r="O2776" s="39"/>
    </x:row>
    <x:row r="2777">
      <x:c r="A2777" s="34" t="str">
        <x:v>☐</x:v>
      </x:c>
      <x:c r="B2777" s="34" t="str">
        <x:v>EX-2749</x:v>
      </x:c>
      <x:c r="C2777" s="34" t="str">
        <x:v>ریاضی - منطقی</x:v>
      </x:c>
      <x:c r="D2777" s="34" t="str">
        <x:v>POSSIBLE</x:v>
      </x:c>
      <x:c r="E2777" s="34" t="str">
        <x:v>90.0</x:v>
      </x:c>
      <x:c r="F2777" s="34" t="str">
        <x:v>MI-1170</x:v>
      </x:c>
      <x:c r="G2777" s="39" t="str">
        <x:v>ریاضی</x:v>
      </x:c>
      <x:c r="H2777" s="39" t="str">
        <x:v>H11</x:v>
      </x:c>
      <x:c r="I2777" s="39" t="str">
        <x:v>DELEGATE/P2</x:v>
      </x:c>
      <x:c r="J2777" s="39" t="str">
        <x:v>H11</x:v>
      </x:c>
      <x:c r="K2777" s="39" t="str">
        <x:v>تطبیق احتمالی با پایه</x:v>
      </x:c>
      <x:c r="L2777" s="39" t="str">
        <x:v>MI-1170</x:v>
      </x:c>
      <x:c r="M2777" s="39" t="str">
        <x:v>ریاضی</x:v>
      </x:c>
      <x:c r="N2777" s="39" t="str">
        <x:v>فرم_اطلاعات_نتایج_آزمونها_تحصیلی (1).xlsx::فرم نتایج تست ها!H26</x:v>
      </x:c>
      <x:c r="O2777" s="39"/>
    </x:row>
    <x:row r="2778">
      <x:c r="A2778" s="34" t="str">
        <x:v>☐</x:v>
      </x:c>
      <x:c r="B2778" s="34" t="str">
        <x:v>EX-2750</x:v>
      </x:c>
      <x:c r="C2778" s="34" t="str">
        <x:v>معناگرا</x:v>
      </x:c>
      <x:c r="D2778" s="34" t="str">
        <x:v>POSSIBLE</x:v>
      </x:c>
      <x:c r="E2778" s="34" t="str">
        <x:v>90.0</x:v>
      </x:c>
      <x:c r="F2778" s="34" t="str">
        <x:v>MI-3129</x:v>
      </x:c>
      <x:c r="G2778" s="39" t="str">
        <x:v>گاردنر معناگرا: 67.5</x:v>
      </x:c>
      <x:c r="H2778" s="39" t="str">
        <x:v>H22</x:v>
      </x:c>
      <x:c r="I2778" s="39" t="str">
        <x:v>P3/CLARIFY</x:v>
      </x:c>
      <x:c r="J2778" s="39" t="str">
        <x:v>H22</x:v>
      </x:c>
      <x:c r="K2778" s="39" t="str">
        <x:v>تطبیق احتمالی با پایه</x:v>
      </x:c>
      <x:c r="L2778" s="39" t="str">
        <x:v>MI-3129</x:v>
      </x:c>
      <x:c r="M2778" s="39" t="str">
        <x:v>گاردنر معناگرا: 67.5</x:v>
      </x:c>
      <x:c r="N2778" s="39" t="str">
        <x:v>فرم_اطلاعات_نتایج_آزمونها_تحصیلی (1).xlsx::فرم نتایج تست ها!K26</x:v>
      </x:c>
      <x:c r="O2778" s="39"/>
    </x:row>
    <x:row r="2779">
      <x:c r="A2779" s="34" t="str">
        <x:v>☐</x:v>
      </x:c>
      <x:c r="B2779" s="34" t="str">
        <x:v>EX-2751</x:v>
      </x:c>
      <x:c r="C2779" s="34" t="str">
        <x:v>بین فردی</x:v>
      </x:c>
      <x:c r="D2779" s="34" t="str">
        <x:v>POSSIBLE</x:v>
      </x:c>
      <x:c r="E2779" s="34" t="str">
        <x:v>90.0</x:v>
      </x:c>
      <x:c r="F2779" s="34" t="str">
        <x:v>MI-1461</x:v>
      </x:c>
      <x:c r="G2779" s="39" t="str">
        <x:v>مهارت های ارتباطی و بین فردی</x:v>
      </x:c>
      <x:c r="H2779" s="39" t="str">
        <x:v>H1</x:v>
      </x:c>
      <x:c r="I2779" s="39" t="str">
        <x:v>P0</x:v>
      </x:c>
      <x:c r="J2779" s="39" t="str">
        <x:v>H1</x:v>
      </x:c>
      <x:c r="K2779" s="39" t="str">
        <x:v>تطبیق احتمالی با پایه</x:v>
      </x:c>
      <x:c r="L2779" s="39" t="str">
        <x:v>MI-1461</x:v>
      </x:c>
      <x:c r="M2779" s="39" t="str">
        <x:v>مهارت های ارتباطی و بین فردی</x:v>
      </x:c>
      <x:c r="N2779" s="39" t="str">
        <x:v>فرم_اطلاعات_نتایج_آزمونها_تحصیلی (1).xlsx::فرم نتایج تست ها!N26</x:v>
      </x:c>
      <x:c r="O2779" s="39"/>
    </x:row>
    <x:row r="2780">
      <x:c r="A2780" s="34" t="str">
        <x:v>☐</x:v>
      </x:c>
      <x:c r="B2780" s="34" t="str">
        <x:v>EX-2752</x:v>
      </x:c>
      <x:c r="C2780" s="34" t="str">
        <x:v>بدنی - جنبشی</x:v>
      </x:c>
      <x:c r="D2780" s="34" t="str">
        <x:v>POSSIBLE</x:v>
      </x:c>
      <x:c r="E2780" s="34" t="str">
        <x:v>90.0</x:v>
      </x:c>
      <x:c r="F2780" s="34" t="str">
        <x:v>MI-3131</x:v>
      </x:c>
      <x:c r="G2780" s="39" t="str">
        <x:v>گاردنر بدنی-جنبشی: 67.5</x:v>
      </x:c>
      <x:c r="H2780" s="39" t="str">
        <x:v>H22</x:v>
      </x:c>
      <x:c r="I2780" s="39" t="str">
        <x:v>P3/CLARIFY</x:v>
      </x:c>
      <x:c r="J2780" s="39" t="str">
        <x:v>H22</x:v>
      </x:c>
      <x:c r="K2780" s="39" t="str">
        <x:v>تطبیق احتمالی با پایه</x:v>
      </x:c>
      <x:c r="L2780" s="39" t="str">
        <x:v>MI-3131</x:v>
      </x:c>
      <x:c r="M2780" s="39" t="str">
        <x:v>گاردنر بدنی-جنبشی: 67.5</x:v>
      </x:c>
      <x:c r="N2780" s="39" t="str">
        <x:v>فرم_اطلاعات_نتایج_آزمونها_تحصیلی (1).xlsx::فرم نتایج تست ها!Q26</x:v>
      </x:c>
      <x:c r="O2780" s="39"/>
    </x:row>
    <x:row r="2781">
      <x:c r="A2781" s="34" t="str">
        <x:v>☐</x:v>
      </x:c>
      <x:c r="B2781" s="34" t="str">
        <x:v>EX-2753</x:v>
      </x:c>
      <x:c r="C2781" s="34" t="str">
        <x:v>زبانی - کلامی</x:v>
      </x:c>
      <x:c r="D2781" s="34" t="str">
        <x:v>POSSIBLE</x:v>
      </x:c>
      <x:c r="E2781" s="34" t="str">
        <x:v>90.0</x:v>
      </x:c>
      <x:c r="F2781" s="34" t="str">
        <x:v>MI-3132</x:v>
      </x:c>
      <x:c r="G2781" s="39" t="str">
        <x:v>گاردنر زبانی-کلامی: 57.5</x:v>
      </x:c>
      <x:c r="H2781" s="39" t="str">
        <x:v>H22</x:v>
      </x:c>
      <x:c r="I2781" s="39" t="str">
        <x:v>P3/CLARIFY</x:v>
      </x:c>
      <x:c r="J2781" s="39" t="str">
        <x:v>H22</x:v>
      </x:c>
      <x:c r="K2781" s="39" t="str">
        <x:v>تطبیق احتمالی با پایه</x:v>
      </x:c>
      <x:c r="L2781" s="39" t="str">
        <x:v>MI-3132</x:v>
      </x:c>
      <x:c r="M2781" s="39" t="str">
        <x:v>گاردنر زبانی-کلامی: 57.5</x:v>
      </x:c>
      <x:c r="N2781" s="39" t="str">
        <x:v>فرم_اطلاعات_نتایج_آزمونها_تحصیلی (1).xlsx::فرم نتایج تست ها!T26</x:v>
      </x:c>
      <x:c r="O2781" s="39"/>
    </x:row>
    <x:row r="2782">
      <x:c r="A2782" s="34" t="str">
        <x:v>☐</x:v>
      </x:c>
      <x:c r="B2782" s="34" t="str">
        <x:v>EX-2754</x:v>
      </x:c>
      <x:c r="C2782" s="34" t="str">
        <x:v>درون فردی</x:v>
      </x:c>
      <x:c r="D2782" s="34" t="str">
        <x:v>POSSIBLE</x:v>
      </x:c>
      <x:c r="E2782" s="34" t="str">
        <x:v>90.0</x:v>
      </x:c>
      <x:c r="F2782" s="34" t="str">
        <x:v>MI-3133</x:v>
      </x:c>
      <x:c r="G2782" s="39" t="str">
        <x:v>گاردنر درون فردی: 72.5</x:v>
      </x:c>
      <x:c r="H2782" s="39" t="str">
        <x:v>H22</x:v>
      </x:c>
      <x:c r="I2782" s="39" t="str">
        <x:v>P3/CLARIFY</x:v>
      </x:c>
      <x:c r="J2782" s="39" t="str">
        <x:v>H22</x:v>
      </x:c>
      <x:c r="K2782" s="39" t="str">
        <x:v>تطبیق احتمالی با پایه</x:v>
      </x:c>
      <x:c r="L2782" s="39" t="str">
        <x:v>MI-3133</x:v>
      </x:c>
      <x:c r="M2782" s="39" t="str">
        <x:v>گاردنر درون فردی: 72.5</x:v>
      </x:c>
      <x:c r="N2782" s="39" t="str">
        <x:v>فرم_اطلاعات_نتایج_آزمونها_تحصیلی (1).xlsx::فرم نتایج تست ها!W26</x:v>
      </x:c>
      <x:c r="O2782" s="39"/>
    </x:row>
    <x:row r="2783">
      <x:c r="A2783" s="34" t="str">
        <x:v>☐</x:v>
      </x:c>
      <x:c r="B2783" s="34" t="str">
        <x:v>EX-2755</x:v>
      </x:c>
      <x:c r="C2783" s="34" t="str">
        <x:v>بصری - فضایی</x:v>
      </x:c>
      <x:c r="D2783" s="34" t="str">
        <x:v>POSSIBLE</x:v>
      </x:c>
      <x:c r="E2783" s="34" t="str">
        <x:v>90.0</x:v>
      </x:c>
      <x:c r="F2783" s="34" t="str">
        <x:v>MI-3134</x:v>
      </x:c>
      <x:c r="G2783" s="39" t="str">
        <x:v>گاردنر بصری-فضایی: 60</x:v>
      </x:c>
      <x:c r="H2783" s="39" t="str">
        <x:v>H22</x:v>
      </x:c>
      <x:c r="I2783" s="39" t="str">
        <x:v>P3/CLARIFY</x:v>
      </x:c>
      <x:c r="J2783" s="39" t="str">
        <x:v>H22</x:v>
      </x:c>
      <x:c r="K2783" s="39" t="str">
        <x:v>تطبیق احتمالی با پایه</x:v>
      </x:c>
      <x:c r="L2783" s="39" t="str">
        <x:v>MI-3134</x:v>
      </x:c>
      <x:c r="M2783" s="39" t="str">
        <x:v>گاردنر بصری-فضایی: 60</x:v>
      </x:c>
      <x:c r="N2783" s="39" t="str">
        <x:v>فرم_اطلاعات_نتایج_آزمونها_تحصیلی (1).xlsx::فرم نتایج تست ها!Z26</x:v>
      </x:c>
      <x:c r="O2783" s="39"/>
    </x:row>
    <x:row r="2784">
      <x:c r="A2784" s="34" t="str">
        <x:v>☐</x:v>
      </x:c>
      <x:c r="B2784" s="34" t="str">
        <x:v>EX-2756</x:v>
      </x:c>
      <x:c r="C2784" s="34" t="str">
        <x:v>عنوان</x:v>
      </x:c>
      <x:c r="D2784" s="34" t="str">
        <x:v>POSSIBLE</x:v>
      </x:c>
      <x:c r="E2784" s="34" t="str">
        <x:v>90.0</x:v>
      </x:c>
      <x:c r="F2784" s="34" t="str">
        <x:v>MI-1630</x:v>
      </x:c>
      <x:c r="G2784" s="39" t="str">
        <x:v>مرحله 1: دعوت به عنوان EiR</x:v>
      </x:c>
      <x:c r="H2784" s="39" t="str">
        <x:v>H10</x:v>
      </x:c>
      <x:c r="I2784" s="39" t="str">
        <x:v>P2</x:v>
      </x:c>
      <x:c r="J2784" s="39" t="str">
        <x:v>H10</x:v>
      </x:c>
      <x:c r="K2784" s="39" t="str">
        <x:v>تطبیق احتمالی با پایه</x:v>
      </x:c>
      <x:c r="L2784" s="39" t="str">
        <x:v>MI-1630</x:v>
      </x:c>
      <x:c r="M2784" s="39" t="str">
        <x:v>مرحله 1: دعوت به عنوان EiR</x:v>
      </x:c>
      <x:c r="N2784" s="39" t="str">
        <x:v>فرم_اطلاعات_نتایج_آزمونها_تحصیلی (1).xlsx::فرم نتایج تست ها!AD26 | فرم_اطلاعات_نتایج_آزمونها_تحصیلی (1).xlsx::فرم نتایج تست ها!AD30 | فرم_اطلاعات_نتایج_آزمونها_تحصیلی (1).xlsx::فرم نتایج تست ها!AF35</x:v>
      </x:c>
      <x:c r="O2784" s="39"/>
    </x:row>
    <x:row r="2785">
      <x:c r="A2785" s="34" t="str">
        <x:v>☐</x:v>
      </x:c>
      <x:c r="B2785" s="34" t="str">
        <x:v>EX-2757</x:v>
      </x:c>
      <x:c r="C2785" s="34" t="str">
        <x:v>62.5</x:v>
      </x:c>
      <x:c r="D2785" s="34" t="str">
        <x:v>POSSIBLE</x:v>
      </x:c>
      <x:c r="E2785" s="34" t="str">
        <x:v>90.0</x:v>
      </x:c>
      <x:c r="F2785" s="34" t="str">
        <x:v>MI-3127</x:v>
      </x:c>
      <x:c r="G2785" s="39" t="str">
        <x:v>گاردنر طبیعت گرا: 62.5</x:v>
      </x:c>
      <x:c r="H2785" s="39" t="str">
        <x:v>H22</x:v>
      </x:c>
      <x:c r="I2785" s="39" t="str">
        <x:v>P3/CLARIFY</x:v>
      </x:c>
      <x:c r="J2785" s="39" t="str">
        <x:v>H22</x:v>
      </x:c>
      <x:c r="K2785" s="39" t="str">
        <x:v>تطبیق احتمالی با پایه</x:v>
      </x:c>
      <x:c r="L2785" s="39" t="str">
        <x:v>MI-3127</x:v>
      </x:c>
      <x:c r="M2785" s="39" t="str">
        <x:v>گاردنر طبیعت گرا: 62.5</x:v>
      </x:c>
      <x:c r="N2785" s="39" t="str">
        <x:v>فرم_اطلاعات_نتایج_آزمونها_تحصیلی (1).xlsx::فرم نتایج تست ها!E27 | فرم_اطلاعات_نتایج_آزمونها_تحصیلی (1).xlsx::فرم نتایج تست ها!H27</x:v>
      </x:c>
      <x:c r="O2785" s="39"/>
    </x:row>
    <x:row r="2786">
      <x:c r="A2786" s="34" t="str">
        <x:v>☐</x:v>
      </x:c>
      <x:c r="B2786" s="34" t="str">
        <x:v>EX-2758</x:v>
      </x:c>
      <x:c r="C2786" s="34" t="str">
        <x:v>67.5</x:v>
      </x:c>
      <x:c r="D2786" s="34" t="str">
        <x:v>POSSIBLE</x:v>
      </x:c>
      <x:c r="E2786" s="34" t="str">
        <x:v>90.0</x:v>
      </x:c>
      <x:c r="F2786" s="34" t="str">
        <x:v>MI-3129</x:v>
      </x:c>
      <x:c r="G2786" s="39" t="str">
        <x:v>گاردنر معناگرا: 67.5</x:v>
      </x:c>
      <x:c r="H2786" s="39" t="str">
        <x:v>H22</x:v>
      </x:c>
      <x:c r="I2786" s="39" t="str">
        <x:v>P3/CLARIFY</x:v>
      </x:c>
      <x:c r="J2786" s="39" t="str">
        <x:v>H22</x:v>
      </x:c>
      <x:c r="K2786" s="39" t="str">
        <x:v>تطبیق احتمالی با پایه</x:v>
      </x:c>
      <x:c r="L2786" s="39" t="str">
        <x:v>MI-3129</x:v>
      </x:c>
      <x:c r="M2786" s="39" t="str">
        <x:v>گاردنر معناگرا: 67.5</x:v>
      </x:c>
      <x:c r="N2786" s="39" t="str">
        <x:v>فرم_اطلاعات_نتایج_آزمونها_تحصیلی (1).xlsx::فرم نتایج تست ها!K27 | فرم_اطلاعات_نتایج_آزمونها_تحصیلی (1).xlsx::فرم نتایج تست ها!Q27</x:v>
      </x:c>
      <x:c r="O2786" s="39"/>
    </x:row>
    <x:row r="2787">
      <x:c r="A2787" s="34" t="str">
        <x:v>☐</x:v>
      </x:c>
      <x:c r="B2787" s="34" t="str">
        <x:v>EX-2759</x:v>
      </x:c>
      <x:c r="C2787" s="34" t="str">
        <x:v>57.5</x:v>
      </x:c>
      <x:c r="D2787" s="34" t="str">
        <x:v>POSSIBLE</x:v>
      </x:c>
      <x:c r="E2787" s="34" t="str">
        <x:v>90.0</x:v>
      </x:c>
      <x:c r="F2787" s="34" t="str">
        <x:v>MI-3132</x:v>
      </x:c>
      <x:c r="G2787" s="39" t="str">
        <x:v>گاردنر زبانی-کلامی: 57.5</x:v>
      </x:c>
      <x:c r="H2787" s="39" t="str">
        <x:v>H22</x:v>
      </x:c>
      <x:c r="I2787" s="39" t="str">
        <x:v>P3/CLARIFY</x:v>
      </x:c>
      <x:c r="J2787" s="39" t="str">
        <x:v>H22</x:v>
      </x:c>
      <x:c r="K2787" s="39" t="str">
        <x:v>تطبیق احتمالی با پایه</x:v>
      </x:c>
      <x:c r="L2787" s="39" t="str">
        <x:v>MI-3132</x:v>
      </x:c>
      <x:c r="M2787" s="39" t="str">
        <x:v>گاردنر زبانی-کلامی: 57.5</x:v>
      </x:c>
      <x:c r="N2787" s="39" t="str">
        <x:v>فرم_اطلاعات_نتایج_آزمونها_تحصیلی (1).xlsx::فرم نتایج تست ها!T27</x:v>
      </x:c>
      <x:c r="O2787" s="39"/>
    </x:row>
    <x:row r="2788">
      <x:c r="A2788" s="34" t="str">
        <x:v>☐</x:v>
      </x:c>
      <x:c r="B2788" s="34" t="str">
        <x:v>EX-2760</x:v>
      </x:c>
      <x:c r="C2788" s="34" t="str">
        <x:v>72.5</x:v>
      </x:c>
      <x:c r="D2788" s="34" t="str">
        <x:v>POSSIBLE</x:v>
      </x:c>
      <x:c r="E2788" s="34" t="str">
        <x:v>90.0</x:v>
      </x:c>
      <x:c r="F2788" s="34" t="str">
        <x:v>MI-3133</x:v>
      </x:c>
      <x:c r="G2788" s="39" t="str">
        <x:v>گاردنر درون فردی: 72.5</x:v>
      </x:c>
      <x:c r="H2788" s="39" t="str">
        <x:v>H22</x:v>
      </x:c>
      <x:c r="I2788" s="39" t="str">
        <x:v>P3/CLARIFY</x:v>
      </x:c>
      <x:c r="J2788" s="39" t="str">
        <x:v>H22</x:v>
      </x:c>
      <x:c r="K2788" s="39" t="str">
        <x:v>تطبیق احتمالی با پایه</x:v>
      </x:c>
      <x:c r="L2788" s="39" t="str">
        <x:v>MI-3133</x:v>
      </x:c>
      <x:c r="M2788" s="39" t="str">
        <x:v>گاردنر درون فردی: 72.5</x:v>
      </x:c>
      <x:c r="N2788" s="39" t="str">
        <x:v>فرم_اطلاعات_نتایج_آزمونها_تحصیلی (1).xlsx::فرم نتایج تست ها!W27</x:v>
      </x:c>
      <x:c r="O2788" s="39"/>
    </x:row>
    <x:row r="2789">
      <x:c r="A2789" s="34" t="str">
        <x:v>☐</x:v>
      </x:c>
      <x:c r="B2789" s="34" t="str">
        <x:v>EX-2761</x:v>
      </x:c>
      <x:c r="C2789" s="34" t="str">
        <x:v>درصد</x:v>
      </x:c>
      <x:c r="D2789" s="34" t="str">
        <x:v>UNMAPPED</x:v>
      </x:c>
      <x:c r="E2789" s="34" t="str">
        <x:v>73.3</x:v>
      </x:c>
      <x:c r="F2789" s="34" t="str">
        <x:v>MI-0407</x:v>
      </x:c>
      <x:c r="G2789" s="39" t="str">
        <x:v>کمیته رصد فضای مجازی</x:v>
      </x:c>
      <x:c r="H2789" s="39" t="str">
        <x:v>H18</x:v>
      </x:c>
      <x:c r="I2789" s="39" t="str">
        <x:v>BANK</x:v>
      </x:c>
      <x:c r="J2789" s="39" t="str">
        <x:v>STRUCT</x:v>
      </x:c>
      <x:c r="K2789" s="39" t="str">
        <x:v>ساختار/برچسب</x:v>
      </x:c>
      <x:c r="L2789" s="39"/>
      <x:c r="M2789" s="39"/>
      <x:c r="N2789" s="39" t="str">
        <x:v>فرم_اطلاعات_نتایج_آزمونها_تحصیلی (1).xlsx::فرم نتایج تست ها!AD27</x:v>
      </x:c>
      <x:c r="O2789" s="39"/>
    </x:row>
    <x:row r="2790">
      <x:c r="A2790" s="34" t="str">
        <x:v>☐</x:v>
      </x:c>
      <x:c r="B2790" s="34" t="str">
        <x:v>EX-2762</x:v>
      </x:c>
      <x:c r="C2790" s="34" t="str">
        <x:v>Holland</x:v>
      </x:c>
      <x:c r="D2790" s="34" t="str">
        <x:v>POSSIBLE</x:v>
      </x:c>
      <x:c r="E2790" s="34" t="str">
        <x:v>85.5</x:v>
      </x:c>
      <x:c r="F2790" s="34" t="str">
        <x:v>MI-0161</x:v>
      </x:c>
      <x:c r="G2790" s="39" t="str">
        <x:v>N&amp;N</x:v>
      </x:c>
      <x:c r="H2790" s="39" t="str">
        <x:v>H23</x:v>
      </x:c>
      <x:c r="I2790" s="39" t="str">
        <x:v>P3/CLARIFY</x:v>
      </x:c>
      <x:c r="J2790" s="39" t="str">
        <x:v>H23</x:v>
      </x:c>
      <x:c r="K2790" s="39" t="str">
        <x:v>تطبیق احتمالی با پایه</x:v>
      </x:c>
      <x:c r="L2790" s="39" t="str">
        <x:v>MI-0161</x:v>
      </x:c>
      <x:c r="M2790" s="39" t="str">
        <x:v>N&amp;N</x:v>
      </x:c>
      <x:c r="N2790" s="39" t="str">
        <x:v>فرم_اطلاعات_نتایج_آزمونها_تحصیلی (1).xlsx::فرم نتایج تست ها!Z29</x:v>
      </x:c>
      <x:c r="O2790" s="39"/>
    </x:row>
    <x:row r="2791">
      <x:c r="A2791" s="34" t="str">
        <x:v>☐</x:v>
      </x:c>
      <x:c r="B2791" s="34" t="str">
        <x:v>EX-2763</x:v>
      </x:c>
      <x:c r="C2791" s="34" t="str">
        <x:v>تست رغبت سنج هالند</x:v>
      </x:c>
      <x:c r="D2791" s="34" t="str">
        <x:v>POSSIBLE</x:v>
      </x:c>
      <x:c r="E2791" s="34" t="str">
        <x:v>85.5</x:v>
      </x:c>
      <x:c r="F2791" s="34" t="str">
        <x:v>MI-3138</x:v>
      </x:c>
      <x:c r="G2791" s="39" t="str">
        <x:v>هالند اجتماعی/کمک‌کننده: 100</x:v>
      </x:c>
      <x:c r="H2791" s="39" t="str">
        <x:v>H13</x:v>
      </x:c>
      <x:c r="I2791" s="39" t="str">
        <x:v>P2</x:v>
      </x:c>
      <x:c r="J2791" s="39" t="str">
        <x:v>H13</x:v>
      </x:c>
      <x:c r="K2791" s="39" t="str">
        <x:v>تطبیق احتمالی با پایه</x:v>
      </x:c>
      <x:c r="L2791" s="39" t="str">
        <x:v>MI-3138</x:v>
      </x:c>
      <x:c r="M2791" s="39" t="str">
        <x:v>هالند اجتماعی/کمک‌کننده: 100</x:v>
      </x:c>
      <x:c r="N2791" s="39" t="str">
        <x:v>فرم_اطلاعات_نتایج_آزمونها_تحصیلی (1).xlsx::فرم نتایج تست ها!AC29</x:v>
      </x:c>
      <x:c r="O2791" s="39"/>
    </x:row>
    <x:row r="2792">
      <x:c r="A2792" s="34" t="str">
        <x:v>☐</x:v>
      </x:c>
      <x:c r="B2792" s="34" t="str">
        <x:v>EX-2764</x:v>
      </x:c>
      <x:c r="C2792" s="34" t="str">
        <x:v>رقابتی / متقاعد کننده</x:v>
      </x:c>
      <x:c r="D2792" s="34" t="str">
        <x:v>POSSIBLE</x:v>
      </x:c>
      <x:c r="E2792" s="34" t="str">
        <x:v>85.5</x:v>
      </x:c>
      <x:c r="F2792" s="34" t="str">
        <x:v>MI-0020</x:v>
      </x:c>
      <x:c r="G2792" s="39" t="str">
        <x:v>بررسی عوامل موثر بر موفقیت در فروش و بازاریابی محصول در بازار رقابتی</x:v>
      </x:c>
      <x:c r="H2792" s="39" t="str">
        <x:v>H8</x:v>
      </x:c>
      <x:c r="I2792" s="39" t="str">
        <x:v>P2</x:v>
      </x:c>
      <x:c r="J2792" s="39" t="str">
        <x:v>H8</x:v>
      </x:c>
      <x:c r="K2792" s="39" t="str">
        <x:v>تطبیق احتمالی با پایه</x:v>
      </x:c>
      <x:c r="L2792" s="39" t="str">
        <x:v>MI-0020</x:v>
      </x:c>
      <x:c r="M2792" s="39" t="str">
        <x:v>بررسی عوامل موثر بر موفقیت در فروش و بازاریابی محصول در بازار رقابتی</x:v>
      </x:c>
      <x:c r="N2792" s="39" t="str">
        <x:v>فرم_اطلاعات_نتایج_آزمونها_تحصیلی (1).xlsx::فرم نتایج تست ها!B30</x:v>
      </x:c>
      <x:c r="O2792" s="39"/>
    </x:row>
    <x:row r="2793">
      <x:c r="A2793" s="34" t="str">
        <x:v>☐</x:v>
      </x:c>
      <x:c r="B2793" s="34" t="str">
        <x:v>EX-2765</x:v>
      </x:c>
      <x:c r="C2793" s="34" t="str">
        <x:v>قراردادی / سازمان دهنده</x:v>
      </x:c>
      <x:c r="D2793" s="34" t="str">
        <x:v>POSSIBLE</x:v>
      </x:c>
      <x:c r="E2793" s="34" t="str">
        <x:v>90.0</x:v>
      </x:c>
      <x:c r="F2793" s="34" t="str">
        <x:v>MI-3136</x:v>
      </x:c>
      <x:c r="G2793" s="39" t="str">
        <x:v>هالند قراردادی/سازمان‌دهنده: 12.5</x:v>
      </x:c>
      <x:c r="H2793" s="39" t="str">
        <x:v>H22</x:v>
      </x:c>
      <x:c r="I2793" s="39" t="str">
        <x:v>P3/CLARIFY</x:v>
      </x:c>
      <x:c r="J2793" s="39" t="str">
        <x:v>H22</x:v>
      </x:c>
      <x:c r="K2793" s="39" t="str">
        <x:v>تطبیق احتمالی با پایه</x:v>
      </x:c>
      <x:c r="L2793" s="39" t="str">
        <x:v>MI-3136</x:v>
      </x:c>
      <x:c r="M2793" s="39" t="str">
        <x:v>هالند قراردادی/سازمان‌دهنده: 12.5</x:v>
      </x:c>
      <x:c r="N2793" s="39" t="str">
        <x:v>فرم_اطلاعات_نتایج_آزمونها_تحصیلی (1).xlsx::فرم نتایج تست ها!G30</x:v>
      </x:c>
      <x:c r="O2793" s="39"/>
    </x:row>
    <x:row r="2794">
      <x:c r="A2794" s="34" t="str">
        <x:v>☐</x:v>
      </x:c>
      <x:c r="B2794" s="34" t="str">
        <x:v>EX-2766</x:v>
      </x:c>
      <x:c r="C2794" s="34" t="str">
        <x:v>واقع گرا / عمل گرا</x:v>
      </x:c>
      <x:c r="D2794" s="34" t="str">
        <x:v>POSSIBLE</x:v>
      </x:c>
      <x:c r="E2794" s="34" t="str">
        <x:v>90.0</x:v>
      </x:c>
      <x:c r="F2794" s="34" t="str">
        <x:v>MI-3137</x:v>
      </x:c>
      <x:c r="G2794" s="39" t="str">
        <x:v>هالند واقع‌گرا/عمل‌گرا: 37.5</x:v>
      </x:c>
      <x:c r="H2794" s="39" t="str">
        <x:v>H22</x:v>
      </x:c>
      <x:c r="I2794" s="39" t="str">
        <x:v>P3/CLARIFY</x:v>
      </x:c>
      <x:c r="J2794" s="39" t="str">
        <x:v>H22</x:v>
      </x:c>
      <x:c r="K2794" s="39" t="str">
        <x:v>تطبیق احتمالی با پایه</x:v>
      </x:c>
      <x:c r="L2794" s="39" t="str">
        <x:v>MI-3137</x:v>
      </x:c>
      <x:c r="M2794" s="39" t="str">
        <x:v>هالند واقع‌گرا/عمل‌گرا: 37.5</x:v>
      </x:c>
      <x:c r="N2794" s="39" t="str">
        <x:v>فرم_اطلاعات_نتایج_آزمونها_تحصیلی (1).xlsx::فرم نتایج تست ها!L30</x:v>
      </x:c>
      <x:c r="O2794" s="39"/>
    </x:row>
    <x:row r="2795">
      <x:c r="A2795" s="34" t="str">
        <x:v>☐</x:v>
      </x:c>
      <x:c r="B2795" s="34" t="str">
        <x:v>EX-2767</x:v>
      </x:c>
      <x:c r="C2795" s="34" t="str">
        <x:v>اجتماعی / کمک کننده</x:v>
      </x:c>
      <x:c r="D2795" s="34" t="str">
        <x:v>POSSIBLE</x:v>
      </x:c>
      <x:c r="E2795" s="34" t="str">
        <x:v>90.0</x:v>
      </x:c>
      <x:c r="F2795" s="34" t="str">
        <x:v>MI-3138</x:v>
      </x:c>
      <x:c r="G2795" s="39" t="str">
        <x:v>هالند اجتماعی/کمک‌کننده: 100</x:v>
      </x:c>
      <x:c r="H2795" s="39" t="str">
        <x:v>H13</x:v>
      </x:c>
      <x:c r="I2795" s="39" t="str">
        <x:v>P2</x:v>
      </x:c>
      <x:c r="J2795" s="39" t="str">
        <x:v>H13</x:v>
      </x:c>
      <x:c r="K2795" s="39" t="str">
        <x:v>تطبیق احتمالی با پایه</x:v>
      </x:c>
      <x:c r="L2795" s="39" t="str">
        <x:v>MI-3138</x:v>
      </x:c>
      <x:c r="M2795" s="39" t="str">
        <x:v>هالند اجتماعی/کمک‌کننده: 100</x:v>
      </x:c>
      <x:c r="N2795" s="39" t="str">
        <x:v>فرم_اطلاعات_نتایج_آزمونها_تحصیلی (1).xlsx::فرم نتایج تست ها!P30</x:v>
      </x:c>
      <x:c r="O2795" s="39"/>
    </x:row>
    <x:row r="2796">
      <x:c r="A2796" s="34" t="str">
        <x:v>☐</x:v>
      </x:c>
      <x:c r="B2796" s="34" t="str">
        <x:v>EX-2768</x:v>
      </x:c>
      <x:c r="C2796" s="34" t="str">
        <x:v>هنری / خلاق</x:v>
      </x:c>
      <x:c r="D2796" s="34" t="str">
        <x:v>POSSIBLE</x:v>
      </x:c>
      <x:c r="E2796" s="34" t="str">
        <x:v>90.0</x:v>
      </x:c>
      <x:c r="F2796" s="34" t="str">
        <x:v>MI-3139</x:v>
      </x:c>
      <x:c r="G2796" s="39" t="str">
        <x:v>هالند هنری/خلاق: 50</x:v>
      </x:c>
      <x:c r="H2796" s="39" t="str">
        <x:v>H22</x:v>
      </x:c>
      <x:c r="I2796" s="39" t="str">
        <x:v>P3/CLARIFY</x:v>
      </x:c>
      <x:c r="J2796" s="39" t="str">
        <x:v>H22</x:v>
      </x:c>
      <x:c r="K2796" s="39" t="str">
        <x:v>تطبیق احتمالی با پایه</x:v>
      </x:c>
      <x:c r="L2796" s="39" t="str">
        <x:v>MI-3139</x:v>
      </x:c>
      <x:c r="M2796" s="39" t="str">
        <x:v>هالند هنری/خلاق: 50</x:v>
      </x:c>
      <x:c r="N2796" s="39" t="str">
        <x:v>فرم_اطلاعات_نتایج_آزمونها_تحصیلی (1).xlsx::فرم نتایج تست ها!U30</x:v>
      </x:c>
      <x:c r="O2796" s="39"/>
    </x:row>
    <x:row r="2797">
      <x:c r="A2797" s="34" t="str">
        <x:v>☐</x:v>
      </x:c>
      <x:c r="B2797" s="34" t="str">
        <x:v>EX-2769</x:v>
      </x:c>
      <x:c r="C2797" s="34" t="str">
        <x:v>جستجوگر/ متفکر</x:v>
      </x:c>
      <x:c r="D2797" s="34" t="str">
        <x:v>POSSIBLE</x:v>
      </x:c>
      <x:c r="E2797" s="34" t="str">
        <x:v>90.0</x:v>
      </x:c>
      <x:c r="F2797" s="34" t="str">
        <x:v>MI-3140</x:v>
      </x:c>
      <x:c r="G2797" s="39" t="str">
        <x:v>هالند جستجوگر/متفکر: 25</x:v>
      </x:c>
      <x:c r="H2797" s="39" t="str">
        <x:v>H22</x:v>
      </x:c>
      <x:c r="I2797" s="39" t="str">
        <x:v>P3/CLARIFY</x:v>
      </x:c>
      <x:c r="J2797" s="39" t="str">
        <x:v>H22</x:v>
      </x:c>
      <x:c r="K2797" s="39" t="str">
        <x:v>تطبیق احتمالی با پایه</x:v>
      </x:c>
      <x:c r="L2797" s="39" t="str">
        <x:v>MI-3140</x:v>
      </x:c>
      <x:c r="M2797" s="39" t="str">
        <x:v>هالند جستجوگر/متفکر: 25</x:v>
      </x:c>
      <x:c r="N2797" s="39" t="str">
        <x:v>فرم_اطلاعات_نتایج_آزمونها_تحصیلی (1).xlsx::فرم نتایج تست ها!Y30</x:v>
      </x:c>
      <x:c r="O2797" s="39"/>
    </x:row>
    <x:row r="2798">
      <x:c r="A2798" s="34" t="str">
        <x:v>☐</x:v>
      </x:c>
      <x:c r="B2798" s="34" t="str">
        <x:v>EX-2770</x:v>
      </x:c>
      <x:c r="C2798" s="34" t="str">
        <x:v>12.5</x:v>
      </x:c>
      <x:c r="D2798" s="34" t="str">
        <x:v>POSSIBLE</x:v>
      </x:c>
      <x:c r="E2798" s="34" t="str">
        <x:v>90.0</x:v>
      </x:c>
      <x:c r="F2798" s="34" t="str">
        <x:v>MI-3136</x:v>
      </x:c>
      <x:c r="G2798" s="39" t="str">
        <x:v>هالند قراردادی/سازمان‌دهنده: 12.5</x:v>
      </x:c>
      <x:c r="H2798" s="39" t="str">
        <x:v>H22</x:v>
      </x:c>
      <x:c r="I2798" s="39" t="str">
        <x:v>P3/CLARIFY</x:v>
      </x:c>
      <x:c r="J2798" s="39" t="str">
        <x:v>H22</x:v>
      </x:c>
      <x:c r="K2798" s="39" t="str">
        <x:v>تطبیق احتمالی با پایه</x:v>
      </x:c>
      <x:c r="L2798" s="39" t="str">
        <x:v>MI-3136</x:v>
      </x:c>
      <x:c r="M2798" s="39" t="str">
        <x:v>هالند قراردادی/سازمان‌دهنده: 12.5</x:v>
      </x:c>
      <x:c r="N2798" s="39" t="str">
        <x:v>فرم_اطلاعات_نتایج_آزمونها_تحصیلی (1).xlsx::فرم نتایج تست ها!G31</x:v>
      </x:c>
      <x:c r="O2798" s="39"/>
    </x:row>
    <x:row r="2799">
      <x:c r="A2799" s="34" t="str">
        <x:v>☐</x:v>
      </x:c>
      <x:c r="B2799" s="34" t="str">
        <x:v>EX-2771</x:v>
      </x:c>
      <x:c r="C2799" s="34" t="str">
        <x:v>37.5</x:v>
      </x:c>
      <x:c r="D2799" s="34" t="str">
        <x:v>POSSIBLE</x:v>
      </x:c>
      <x:c r="E2799" s="34" t="str">
        <x:v>90.0</x:v>
      </x:c>
      <x:c r="F2799" s="34" t="str">
        <x:v>MI-3137</x:v>
      </x:c>
      <x:c r="G2799" s="39" t="str">
        <x:v>هالند واقع‌گرا/عمل‌گرا: 37.5</x:v>
      </x:c>
      <x:c r="H2799" s="39" t="str">
        <x:v>H22</x:v>
      </x:c>
      <x:c r="I2799" s="39" t="str">
        <x:v>P3/CLARIFY</x:v>
      </x:c>
      <x:c r="J2799" s="39" t="str">
        <x:v>H22</x:v>
      </x:c>
      <x:c r="K2799" s="39" t="str">
        <x:v>تطبیق احتمالی با پایه</x:v>
      </x:c>
      <x:c r="L2799" s="39" t="str">
        <x:v>MI-3137</x:v>
      </x:c>
      <x:c r="M2799" s="39" t="str">
        <x:v>هالند واقع‌گرا/عمل‌گرا: 37.5</x:v>
      </x:c>
      <x:c r="N2799" s="39" t="str">
        <x:v>فرم_اطلاعات_نتایج_آزمونها_تحصیلی (1).xlsx::فرم نتایج تست ها!L31</x:v>
      </x:c>
      <x:c r="O2799" s="39"/>
    </x:row>
    <x:row r="2800">
      <x:c r="A2800" s="34" t="str">
        <x:v>☐</x:v>
      </x:c>
      <x:c r="B2800" s="34" t="str">
        <x:v>EX-2772</x:v>
      </x:c>
      <x:c r="C2800" s="34" t="str">
        <x:v>100</x:v>
      </x:c>
      <x:c r="D2800" s="34" t="str">
        <x:v>UNMAPPED</x:v>
      </x:c>
      <x:c r="E2800" s="34" t="str">
        <x:v>72.0</x:v>
      </x:c>
      <x:c r="F2800" s="34" t="str">
        <x:v>MI-2559</x:v>
      </x:c>
      <x:c r="G2800" s="39" t="str">
        <x:v>10. اتصال به سرمایه</x:v>
      </x:c>
      <x:c r="H2800" s="39" t="str">
        <x:v>H8</x:v>
      </x:c>
      <x:c r="I2800" s="39" t="str">
        <x:v>P2</x:v>
      </x:c>
      <x:c r="J2800" s="39" t="str">
        <x:v>STRUCT</x:v>
      </x:c>
      <x:c r="K2800" s="39" t="str">
        <x:v>ساختار/برچسب</x:v>
      </x:c>
      <x:c r="L2800" s="39"/>
      <x:c r="M2800" s="39"/>
      <x:c r="N2800" s="39" t="str">
        <x:v>فرم_اطلاعات_نتایج_آزمونها_تحصیلی (1).xlsx::فرم نتایج تست ها!P31</x:v>
      </x:c>
      <x:c r="O2800" s="39"/>
    </x:row>
    <x:row r="2801">
      <x:c r="A2801" s="34" t="str">
        <x:v>☐</x:v>
      </x:c>
      <x:c r="B2801" s="34" t="str">
        <x:v>EX-2773</x:v>
      </x:c>
      <x:c r="C2801" s="34" t="str">
        <x:v>میزان</x:v>
      </x:c>
      <x:c r="D2801" s="34" t="str">
        <x:v>POSSIBLE</x:v>
      </x:c>
      <x:c r="E2801" s="34" t="str">
        <x:v>90.0</x:v>
      </x:c>
      <x:c r="F2801" s="34" t="str">
        <x:v>MI-3003</x:v>
      </x:c>
      <x:c r="G2801" s="39" t="str">
        <x:v>میزان سرمایه جذب شده</x:v>
      </x:c>
      <x:c r="H2801" s="39" t="str">
        <x:v>H8</x:v>
      </x:c>
      <x:c r="I2801" s="39" t="str">
        <x:v>P2</x:v>
      </x:c>
      <x:c r="J2801" s="39" t="str">
        <x:v>H8</x:v>
      </x:c>
      <x:c r="K2801" s="39" t="str">
        <x:v>تطبیق احتمالی با پایه</x:v>
      </x:c>
      <x:c r="L2801" s="39" t="str">
        <x:v>MI-3003</x:v>
      </x:c>
      <x:c r="M2801" s="39" t="str">
        <x:v>میزان سرمایه جذب شده</x:v>
      </x:c>
      <x:c r="N2801" s="39" t="str">
        <x:v>فرم_اطلاعات_نتایج_آزمونها_تحصیلی (1).xlsx::فرم نتایج تست ها!AD31</x:v>
      </x:c>
      <x:c r="O2801" s="39"/>
    </x:row>
    <x:row r="2802">
      <x:c r="A2802" s="34" t="str">
        <x:v>☐</x:v>
      </x:c>
      <x:c r="B2802" s="34" t="str">
        <x:v>EX-2774</x:v>
      </x:c>
      <x:c r="C2802" s="34" t="str">
        <x:v>Value</x:v>
      </x:c>
      <x:c r="D2802" s="34" t="str">
        <x:v>UNMAPPED</x:v>
      </x:c>
      <x:c r="E2802" s="34" t="str">
        <x:v>64.1</x:v>
      </x:c>
      <x:c r="F2802" s="34" t="str">
        <x:v>MI-1962</x:v>
      </x:c>
      <x:c r="G2802" s="39" t="str">
        <x:v>شبکه alumni دانشگاه ها</x:v>
      </x:c>
      <x:c r="H2802" s="39" t="str">
        <x:v>H14</x:v>
      </x:c>
      <x:c r="I2802" s="39" t="str">
        <x:v>P3</x:v>
      </x:c>
      <x:c r="J2802" s="39" t="str">
        <x:v>H23</x:v>
      </x:c>
      <x:c r="K2802" s="39" t="str">
        <x:v>نیازمند پالایش؛ حذف نشده</x:v>
      </x:c>
      <x:c r="L2802" s="39"/>
      <x:c r="M2802" s="39"/>
      <x:c r="N2802" s="39" t="str">
        <x:v>فرم_اطلاعات_نتایج_آزمونها_تحصیلی (1).xlsx::فرم نتایج تست ها!AA33</x:v>
      </x:c>
      <x:c r="O2802" s="39"/>
    </x:row>
    <x:row r="2803">
      <x:c r="A2803" s="34" t="str">
        <x:v>☐</x:v>
      </x:c>
      <x:c r="B2803" s="34" t="str">
        <x:v>EX-2775</x:v>
      </x:c>
      <x:c r="C2803" s="34" t="str">
        <x:v>تست ارزش ها</x:v>
      </x:c>
      <x:c r="D2803" s="34" t="str">
        <x:v>POSSIBLE</x:v>
      </x:c>
      <x:c r="E2803" s="34" t="str">
        <x:v>85.5</x:v>
      </x:c>
      <x:c r="F2803" s="34" t="str">
        <x:v>MI-1501</x:v>
      </x:c>
      <x:c r="G2803" s="39" t="str">
        <x:v>مدیریت ریسک: شناسایی ریسک ها، ارزیابی اثرات، تدوین برنامه های مقابله با ریسک ها.</x:v>
      </x:c>
      <x:c r="H2803" s="39" t="str">
        <x:v>H1</x:v>
      </x:c>
      <x:c r="I2803" s="39" t="str">
        <x:v>P0</x:v>
      </x:c>
      <x:c r="J2803" s="39" t="str">
        <x:v>H1</x:v>
      </x:c>
      <x:c r="K2803" s="39" t="str">
        <x:v>تطبیق احتمالی با پایه</x:v>
      </x:c>
      <x:c r="L2803" s="39" t="str">
        <x:v>MI-1501</x:v>
      </x:c>
      <x:c r="M2803" s="39" t="str">
        <x:v>مدیریت ریسک: شناسایی ریسک ها، ارزیابی اثرات، تدوین برنامه های مقابله با ریسک ها.</x:v>
      </x:c>
      <x:c r="N2803" s="39" t="str">
        <x:v>فرم_اطلاعات_نتایج_آزمونها_تحصیلی (1).xlsx::فرم نتایج تست ها!AD33</x:v>
      </x:c>
      <x:c r="O2803" s="39"/>
    </x:row>
    <x:row r="2804">
      <x:c r="A2804" s="34" t="str">
        <x:v>☐</x:v>
      </x:c>
      <x:c r="B2804" s="34" t="str">
        <x:v>EX-2776</x:v>
      </x:c>
      <x:c r="C2804" s="34" t="str">
        <x:v>اولویت</x:v>
      </x:c>
      <x:c r="D2804" s="34" t="str">
        <x:v>POSSIBLE</x:v>
      </x:c>
      <x:c r="E2804" s="34" t="str">
        <x:v>90.0</x:v>
      </x:c>
      <x:c r="F2804" s="34" t="str">
        <x:v>MI-1503</x:v>
      </x:c>
      <x:c r="G2804" s="39" t="str">
        <x:v>مدیریت زمان: اولویت بندی، برنامه ریزی، تمرکز.</x:v>
      </x:c>
      <x:c r="H2804" s="39" t="str">
        <x:v>H1</x:v>
      </x:c>
      <x:c r="I2804" s="39" t="str">
        <x:v>P0</x:v>
      </x:c>
      <x:c r="J2804" s="39" t="str">
        <x:v>H1</x:v>
      </x:c>
      <x:c r="K2804" s="39" t="str">
        <x:v>تطبیق احتمالی با پایه</x:v>
      </x:c>
      <x:c r="L2804" s="39" t="str">
        <x:v>MI-1503</x:v>
      </x:c>
      <x:c r="M2804" s="39" t="str">
        <x:v>مدیریت زمان: اولویت بندی، برنامه ریزی، تمرکز.</x:v>
      </x:c>
      <x:c r="N2804" s="39" t="str">
        <x:v>فرم_اطلاعات_نتایج_آزمونها_تحصیلی (1).xlsx::فرم نتایج تست ها!AF34</x:v>
      </x:c>
      <x:c r="O2804" s="39"/>
    </x:row>
    <x:row r="2805">
      <x:c r="A2805" s="34" t="str">
        <x:v>☐</x:v>
      </x:c>
      <x:c r="B2805" s="34" t="str">
        <x:v>EX-2777</x:v>
      </x:c>
      <x:c r="C2805" s="34" t="str">
        <x:v>حمیاتگر</x:v>
      </x:c>
      <x:c r="D2805" s="34" t="str">
        <x:v>UNMAPPED</x:v>
      </x:c>
      <x:c r="E2805" s="34" t="str">
        <x:v>77.1</x:v>
      </x:c>
      <x:c r="F2805" s="34" t="str">
        <x:v>MI-3150</x:v>
      </x:c>
      <x:c r="G2805" s="39" t="str">
        <x:v>ارزش 10: حمایتگر</x:v>
      </x:c>
      <x:c r="H2805" s="39" t="str">
        <x:v>H22</x:v>
      </x:c>
      <x:c r="I2805" s="39" t="str">
        <x:v>P3/CLARIFY</x:v>
      </x:c>
      <x:c r="J2805" s="39" t="str">
        <x:v>H23</x:v>
      </x:c>
      <x:c r="K2805" s="39" t="str">
        <x:v>نیازمند پالایش؛ حذف نشده</x:v>
      </x:c>
      <x:c r="L2805" s="39"/>
      <x:c r="M2805" s="39"/>
      <x:c r="N2805" s="39" t="str">
        <x:v>فرم_اطلاعات_نتایج_آزمونها_تحصیلی (1).xlsx::فرم نتایج تست ها!B35</x:v>
      </x:c>
      <x:c r="O2805" s="39"/>
    </x:row>
    <x:row r="2806">
      <x:c r="A2806" s="34" t="str">
        <x:v>☐</x:v>
      </x:c>
      <x:c r="B2806" s="34" t="str">
        <x:v>EX-2778</x:v>
      </x:c>
      <x:c r="C2806" s="34" t="str">
        <x:v>دستاورد</x:v>
      </x:c>
      <x:c r="D2806" s="34" t="str">
        <x:v>POSSIBLE</x:v>
      </x:c>
      <x:c r="E2806" s="34" t="str">
        <x:v>90.0</x:v>
      </x:c>
      <x:c r="F2806" s="34" t="str">
        <x:v>MI-3149</x:v>
      </x:c>
      <x:c r="G2806" s="39" t="str">
        <x:v>ارزش 9: دستاورد</x:v>
      </x:c>
      <x:c r="H2806" s="39" t="str">
        <x:v>H22</x:v>
      </x:c>
      <x:c r="I2806" s="39" t="str">
        <x:v>P3/CLARIFY</x:v>
      </x:c>
      <x:c r="J2806" s="39" t="str">
        <x:v>H22</x:v>
      </x:c>
      <x:c r="K2806" s="39" t="str">
        <x:v>تطبیق احتمالی با پایه</x:v>
      </x:c>
      <x:c r="L2806" s="39" t="str">
        <x:v>MI-3149</x:v>
      </x:c>
      <x:c r="M2806" s="39" t="str">
        <x:v>ارزش 9: دستاورد</x:v>
      </x:c>
      <x:c r="N2806" s="39" t="str">
        <x:v>فرم_اطلاعات_نتایج_آزمونها_تحصیلی (1).xlsx::فرم نتایج تست ها!E35</x:v>
      </x:c>
      <x:c r="O2806" s="39"/>
    </x:row>
    <x:row r="2807">
      <x:c r="A2807" s="34" t="str">
        <x:v>☐</x:v>
      </x:c>
      <x:c r="B2807" s="34" t="str">
        <x:v>EX-2779</x:v>
      </x:c>
      <x:c r="C2807" s="34" t="str">
        <x:v>آزادی - استقلال</x:v>
      </x:c>
      <x:c r="D2807" s="34" t="str">
        <x:v>POSSIBLE</x:v>
      </x:c>
      <x:c r="E2807" s="34" t="str">
        <x:v>90.0</x:v>
      </x:c>
      <x:c r="F2807" s="34" t="str">
        <x:v>MI-3146</x:v>
      </x:c>
      <x:c r="G2807" s="39" t="str">
        <x:v>ارزش 6: آزادی-استقلال</x:v>
      </x:c>
      <x:c r="H2807" s="39" t="str">
        <x:v>H22</x:v>
      </x:c>
      <x:c r="I2807" s="39" t="str">
        <x:v>P3/CLARIFY</x:v>
      </x:c>
      <x:c r="J2807" s="39" t="str">
        <x:v>H22</x:v>
      </x:c>
      <x:c r="K2807" s="39" t="str">
        <x:v>تطبیق احتمالی با پایه</x:v>
      </x:c>
      <x:c r="L2807" s="39" t="str">
        <x:v>MI-3146</x:v>
      </x:c>
      <x:c r="M2807" s="39" t="str">
        <x:v>ارزش 6: آزادی-استقلال</x:v>
      </x:c>
      <x:c r="N2807" s="39" t="str">
        <x:v>فرم_اطلاعات_نتایج_آزمونها_تحصیلی (1).xlsx::فرم نتایج تست ها!N35</x:v>
      </x:c>
      <x:c r="O2807" s="39"/>
    </x:row>
    <x:row r="2808">
      <x:c r="A2808" s="34" t="str">
        <x:v>☐</x:v>
      </x:c>
      <x:c r="B2808" s="34" t="str">
        <x:v>EX-2780</x:v>
      </x:c>
      <x:c r="C2808" s="34" t="str">
        <x:v>کنجکاو</x:v>
      </x:c>
      <x:c r="D2808" s="34" t="str">
        <x:v>POSSIBLE</x:v>
      </x:c>
      <x:c r="E2808" s="34" t="str">
        <x:v>90.0</x:v>
      </x:c>
      <x:c r="F2808" s="34" t="str">
        <x:v>MI-3145</x:v>
      </x:c>
      <x:c r="G2808" s="39" t="str">
        <x:v>ارزش 5: کنجکاو</x:v>
      </x:c>
      <x:c r="H2808" s="39" t="str">
        <x:v>H22</x:v>
      </x:c>
      <x:c r="I2808" s="39" t="str">
        <x:v>P3/CLARIFY</x:v>
      </x:c>
      <x:c r="J2808" s="39" t="str">
        <x:v>H22</x:v>
      </x:c>
      <x:c r="K2808" s="39" t="str">
        <x:v>تطبیق احتمالی با پایه</x:v>
      </x:c>
      <x:c r="L2808" s="39" t="str">
        <x:v>MI-3145</x:v>
      </x:c>
      <x:c r="M2808" s="39" t="str">
        <x:v>ارزش 5: کنجکاو</x:v>
      </x:c>
      <x:c r="N2808" s="39" t="str">
        <x:v>فرم_اطلاعات_نتایج_آزمونها_تحصیلی (1).xlsx::فرم نتایج تست ها!Q35</x:v>
      </x:c>
      <x:c r="O2808" s="39"/>
    </x:row>
    <x:row r="2809">
      <x:c r="A2809" s="34" t="str">
        <x:v>☐</x:v>
      </x:c>
      <x:c r="B2809" s="34" t="str">
        <x:v>EX-2781</x:v>
      </x:c>
      <x:c r="C2809" s="34" t="str">
        <x:v>خلاقیت /</x:v>
      </x:c>
      <x:c r="D2809" s="34" t="str">
        <x:v>POSSIBLE</x:v>
      </x:c>
      <x:c r="E2809" s="34" t="str">
        <x:v>90.0</x:v>
      </x:c>
      <x:c r="F2809" s="34" t="str">
        <x:v>MI-0110</x:v>
      </x:c>
      <x:c r="G2809" s="39" t="str">
        <x:v>خلاقیت و ایده پردازی</x:v>
      </x:c>
      <x:c r="H2809" s="39" t="str">
        <x:v>H1</x:v>
      </x:c>
      <x:c r="I2809" s="39" t="str">
        <x:v>P0</x:v>
      </x:c>
      <x:c r="J2809" s="39" t="str">
        <x:v>H1</x:v>
      </x:c>
      <x:c r="K2809" s="39" t="str">
        <x:v>تطبیق احتمالی با پایه</x:v>
      </x:c>
      <x:c r="L2809" s="39" t="str">
        <x:v>MI-0110</x:v>
      </x:c>
      <x:c r="M2809" s="39" t="str">
        <x:v>خلاقیت و ایده پردازی</x:v>
      </x:c>
      <x:c r="N2809" s="39" t="str">
        <x:v>فرم_اطلاعات_نتایج_آزمونها_تحصیلی (1).xlsx::فرم نتایج تست ها!T35</x:v>
      </x:c>
      <x:c r="O2809" s="39"/>
    </x:row>
    <x:row r="2810">
      <x:c r="A2810" s="34" t="str">
        <x:v>☐</x:v>
      </x:c>
      <x:c r="B2810" s="34" t="str">
        <x:v>EX-2782</x:v>
      </x:c>
      <x:c r="C2810" s="34" t="str">
        <x:v>معنویت</x:v>
      </x:c>
      <x:c r="D2810" s="34" t="str">
        <x:v>POSSIBLE</x:v>
      </x:c>
      <x:c r="E2810" s="34" t="str">
        <x:v>92.3</x:v>
      </x:c>
      <x:c r="F2810" s="34" t="str">
        <x:v>MI-1438</x:v>
      </x:c>
      <x:c r="G2810" s="39" t="str">
        <x:v>معنویات</x:v>
      </x:c>
      <x:c r="H2810" s="39" t="str">
        <x:v>H1</x:v>
      </x:c>
      <x:c r="I2810" s="39" t="str">
        <x:v>P0</x:v>
      </x:c>
      <x:c r="J2810" s="39" t="str">
        <x:v>H1</x:v>
      </x:c>
      <x:c r="K2810" s="39" t="str">
        <x:v>تطبیق احتمالی با پایه</x:v>
      </x:c>
      <x:c r="L2810" s="39" t="str">
        <x:v>MI-1438</x:v>
      </x:c>
      <x:c r="M2810" s="39" t="str">
        <x:v>معنویات</x:v>
      </x:c>
      <x:c r="N2810" s="39" t="str">
        <x:v>فرم_اطلاعات_نتایج_آزمونها_تحصیلی (1).xlsx::فرم نتایج تست ها!AC35</x:v>
      </x:c>
      <x:c r="O2810" s="39"/>
    </x:row>
  </x:sheetData>
  <x:mergeCells>
    <x:mergeCell ref="A1:O1"/>
    <x:mergeCell ref="A2:O3"/>
  </x:mergeCells>
  <x:conditionalFormatting sqref="A29:O2810">
    <x:cfRule type="expression" dxfId="2" priority="1">
      <x:formula>$A29="☑"</x:formula>
    </x:cfRule>
  </x:conditionalFormatting>
  <x:dataValidations count="1">
    <x:dataValidation type="list" sqref="A29:A2810">
      <x:formula1>"☐,☑"</x:formula1>
    </x:dataValidation>
  </x:dataValidations>
  <x:pageMargins left="0.7" right="0.7" top="0.75" bottom="0.75" header="0.3" footer="0.3"/>
  <x:tableParts count="1">
    <x:tablePart xmlns:r="http://schemas.openxmlformats.org/officeDocument/2006/relationships" r:id="Rd5f38a0e20b644ef"/>
  </x:tableParts>
</x:worksheet>
</file>